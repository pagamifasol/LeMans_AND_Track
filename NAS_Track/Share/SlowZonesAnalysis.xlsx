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RaceEngineering\_EVENTS\21R04 Le Mans\STRATEGY\Pre Event Preparation\"/>
    </mc:Choice>
  </mc:AlternateContent>
  <xr:revisionPtr revIDLastSave="0" documentId="13_ncr:1_{8C883214-824B-41B0-A800-D6501E79825E}" xr6:coauthVersionLast="47" xr6:coauthVersionMax="47" xr10:uidLastSave="{00000000-0000-0000-0000-000000000000}"/>
  <bookViews>
    <workbookView xWindow="-120" yWindow="-120" windowWidth="38640" windowHeight="15840" activeTab="2" xr2:uid="{F5BCD1BD-FB5E-4F32-A252-93CA457E75E5}"/>
  </bookViews>
  <sheets>
    <sheet name="Slow Zones" sheetId="1" r:id="rId1"/>
    <sheet name="Sheet1" sheetId="3" r:id="rId2"/>
    <sheet name="Safety Ca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3" i="3" l="1"/>
  <c r="AH24" i="3"/>
  <c r="AH25" i="3"/>
  <c r="AH26" i="3"/>
  <c r="AH27" i="3"/>
  <c r="AH28" i="3"/>
  <c r="AH29" i="3"/>
  <c r="AH30" i="3"/>
  <c r="AH31" i="3"/>
  <c r="AH32" i="3"/>
  <c r="AH33" i="3"/>
  <c r="AH22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8" i="3"/>
  <c r="AH6" i="3"/>
  <c r="AD27" i="3"/>
  <c r="AD28" i="3"/>
  <c r="AD29" i="3"/>
  <c r="AD30" i="3"/>
  <c r="AD31" i="3"/>
  <c r="AD32" i="3"/>
  <c r="AD33" i="3"/>
  <c r="AD26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12" i="3"/>
  <c r="AD7" i="3"/>
  <c r="AD8" i="3"/>
  <c r="AD9" i="3"/>
  <c r="AD10" i="3"/>
  <c r="AD11" i="3"/>
  <c r="AD6" i="3"/>
  <c r="Z21" i="3"/>
  <c r="Z22" i="3"/>
  <c r="Z23" i="3"/>
  <c r="Z24" i="3"/>
  <c r="Z25" i="3"/>
  <c r="Z26" i="3"/>
  <c r="Z27" i="3"/>
  <c r="Z28" i="3"/>
  <c r="Z29" i="3"/>
  <c r="Z30" i="3"/>
  <c r="Z31" i="3"/>
  <c r="Z32" i="3"/>
  <c r="Z20" i="3"/>
  <c r="Z7" i="3"/>
  <c r="Z8" i="3"/>
  <c r="Z9" i="3"/>
  <c r="Z10" i="3"/>
  <c r="Z11" i="3"/>
  <c r="Z12" i="3"/>
  <c r="Z13" i="3"/>
  <c r="Z14" i="3"/>
  <c r="Z15" i="3"/>
  <c r="Z16" i="3"/>
  <c r="Z17" i="3"/>
  <c r="Z18" i="3"/>
  <c r="Z6" i="3"/>
  <c r="C5" i="3"/>
  <c r="I25" i="2"/>
  <c r="J25" i="2"/>
  <c r="K25" i="2"/>
  <c r="I26" i="2"/>
  <c r="J26" i="2"/>
  <c r="K26" i="2"/>
  <c r="I27" i="2"/>
  <c r="J27" i="2"/>
  <c r="K27" i="2"/>
  <c r="H26" i="2"/>
  <c r="H27" i="2"/>
  <c r="H25" i="2"/>
  <c r="F25" i="2"/>
  <c r="E25" i="2"/>
  <c r="C20" i="2"/>
  <c r="AJ23" i="3" l="1"/>
  <c r="AJ22" i="3"/>
  <c r="AI22" i="3"/>
  <c r="AJ21" i="3"/>
  <c r="AH21" i="3"/>
  <c r="AI21" i="3" s="1"/>
  <c r="AF27" i="3"/>
  <c r="AF26" i="3"/>
  <c r="AE26" i="3"/>
  <c r="AF25" i="3"/>
  <c r="AD25" i="3"/>
  <c r="AE25" i="3" s="1"/>
  <c r="AF21" i="3"/>
  <c r="AB33" i="3"/>
  <c r="AA33" i="3"/>
  <c r="Z33" i="3"/>
  <c r="AB32" i="3"/>
  <c r="AA32" i="3" s="1"/>
  <c r="AB21" i="3"/>
  <c r="AH7" i="3"/>
  <c r="AA19" i="3"/>
  <c r="AI19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20" i="3"/>
  <c r="AI6" i="3"/>
  <c r="AJ7" i="3"/>
  <c r="AJ8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20" i="3"/>
  <c r="AF20" i="3"/>
  <c r="AF12" i="3"/>
  <c r="AF11" i="3"/>
  <c r="AF7" i="3"/>
  <c r="Z19" i="3"/>
  <c r="AB7" i="3"/>
  <c r="AB8" i="3" s="1"/>
  <c r="AA6" i="3"/>
  <c r="I6" i="3"/>
  <c r="J6" i="3"/>
  <c r="K6" i="3"/>
  <c r="K8" i="3" s="1"/>
  <c r="K10" i="3" s="1"/>
  <c r="K11" i="3" s="1"/>
  <c r="K12" i="3" s="1"/>
  <c r="K14" i="3" s="1"/>
  <c r="K16" i="3" s="1"/>
  <c r="K18" i="3" s="1"/>
  <c r="K20" i="3" s="1"/>
  <c r="K22" i="3" s="1"/>
  <c r="K24" i="3" s="1"/>
  <c r="K26" i="3" s="1"/>
  <c r="K28" i="3" s="1"/>
  <c r="K30" i="3" s="1"/>
  <c r="L6" i="3"/>
  <c r="M6" i="3"/>
  <c r="N6" i="3"/>
  <c r="O6" i="3"/>
  <c r="P6" i="3"/>
  <c r="Q6" i="3"/>
  <c r="S6" i="3"/>
  <c r="S8" i="3" s="1"/>
  <c r="S10" i="3" s="1"/>
  <c r="S12" i="3" s="1"/>
  <c r="S14" i="3" s="1"/>
  <c r="S16" i="3" s="1"/>
  <c r="S18" i="3" s="1"/>
  <c r="S20" i="3" s="1"/>
  <c r="S22" i="3" s="1"/>
  <c r="S24" i="3" s="1"/>
  <c r="S26" i="3" s="1"/>
  <c r="S27" i="3" s="1"/>
  <c r="S28" i="3" s="1"/>
  <c r="S30" i="3" s="1"/>
  <c r="T6" i="3"/>
  <c r="T8" i="3" s="1"/>
  <c r="T10" i="3" s="1"/>
  <c r="T12" i="3" s="1"/>
  <c r="T14" i="3" s="1"/>
  <c r="T16" i="3" s="1"/>
  <c r="T18" i="3" s="1"/>
  <c r="T20" i="3" s="1"/>
  <c r="T22" i="3" s="1"/>
  <c r="T24" i="3" s="1"/>
  <c r="T26" i="3" s="1"/>
  <c r="T28" i="3" s="1"/>
  <c r="U6" i="3"/>
  <c r="U8" i="3" s="1"/>
  <c r="U10" i="3" s="1"/>
  <c r="U12" i="3" s="1"/>
  <c r="U14" i="3" s="1"/>
  <c r="U16" i="3" s="1"/>
  <c r="U18" i="3" s="1"/>
  <c r="U20" i="3" s="1"/>
  <c r="U22" i="3" s="1"/>
  <c r="U24" i="3" s="1"/>
  <c r="U26" i="3" s="1"/>
  <c r="U28" i="3" s="1"/>
  <c r="U30" i="3" s="1"/>
  <c r="R6" i="3"/>
  <c r="R8" i="3" s="1"/>
  <c r="R10" i="3" s="1"/>
  <c r="R12" i="3" s="1"/>
  <c r="R14" i="3" s="1"/>
  <c r="R16" i="3" s="1"/>
  <c r="R18" i="3" s="1"/>
  <c r="R20" i="3" s="1"/>
  <c r="R22" i="3" s="1"/>
  <c r="R24" i="3" s="1"/>
  <c r="J8" i="3"/>
  <c r="I7" i="3"/>
  <c r="I8" i="3" s="1"/>
  <c r="I10" i="3" s="1"/>
  <c r="I12" i="3" s="1"/>
  <c r="I14" i="3" s="1"/>
  <c r="I16" i="3" s="1"/>
  <c r="I18" i="3" s="1"/>
  <c r="I20" i="3" s="1"/>
  <c r="I22" i="3" s="1"/>
  <c r="I24" i="3" s="1"/>
  <c r="I26" i="3" s="1"/>
  <c r="I28" i="3" s="1"/>
  <c r="I30" i="3" s="1"/>
  <c r="F31" i="3"/>
  <c r="F29" i="3"/>
  <c r="F27" i="3"/>
  <c r="F25" i="3"/>
  <c r="F23" i="3"/>
  <c r="F21" i="3"/>
  <c r="F19" i="3"/>
  <c r="F17" i="3"/>
  <c r="F15" i="3"/>
  <c r="F13" i="3"/>
  <c r="F11" i="3"/>
  <c r="F9" i="3"/>
  <c r="F7" i="3"/>
  <c r="G6" i="3"/>
  <c r="H6" i="3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29" i="1"/>
  <c r="T29" i="1" s="1"/>
  <c r="H45" i="1"/>
  <c r="H46" i="1"/>
  <c r="H47" i="1"/>
  <c r="H48" i="1"/>
  <c r="I48" i="1" s="1"/>
  <c r="J48" i="1" s="1"/>
  <c r="H49" i="1"/>
  <c r="H50" i="1"/>
  <c r="H51" i="1"/>
  <c r="H52" i="1"/>
  <c r="I52" i="1" s="1"/>
  <c r="J52" i="1" s="1"/>
  <c r="I51" i="1"/>
  <c r="J51" i="1" s="1"/>
  <c r="H44" i="1"/>
  <c r="E45" i="1"/>
  <c r="E46" i="1"/>
  <c r="E47" i="1"/>
  <c r="F47" i="1" s="1"/>
  <c r="E48" i="1"/>
  <c r="F48" i="1" s="1"/>
  <c r="E49" i="1"/>
  <c r="E50" i="1"/>
  <c r="E51" i="1"/>
  <c r="F51" i="1" s="1"/>
  <c r="E52" i="1"/>
  <c r="F52" i="1" s="1"/>
  <c r="E44" i="1"/>
  <c r="I50" i="1"/>
  <c r="J50" i="1" s="1"/>
  <c r="F50" i="1"/>
  <c r="I49" i="1"/>
  <c r="J49" i="1" s="1"/>
  <c r="F49" i="1"/>
  <c r="I47" i="1"/>
  <c r="J47" i="1" s="1"/>
  <c r="I46" i="1"/>
  <c r="J46" i="1" s="1"/>
  <c r="F46" i="1"/>
  <c r="I45" i="1"/>
  <c r="J45" i="1" s="1"/>
  <c r="F45" i="1"/>
  <c r="I44" i="1"/>
  <c r="F44" i="1"/>
  <c r="F4" i="1"/>
  <c r="K4" i="1"/>
  <c r="V23" i="1"/>
  <c r="D2" i="2"/>
  <c r="F16" i="2" s="1"/>
  <c r="C2" i="2"/>
  <c r="E16" i="2" s="1"/>
  <c r="C15" i="2"/>
  <c r="C14" i="2"/>
  <c r="E14" i="2" l="1"/>
  <c r="E15" i="2"/>
  <c r="F14" i="2"/>
  <c r="F15" i="2"/>
  <c r="AI23" i="3"/>
  <c r="AJ24" i="3"/>
  <c r="AE27" i="3"/>
  <c r="AF28" i="3"/>
  <c r="AE21" i="3"/>
  <c r="AF22" i="3"/>
  <c r="AA21" i="3"/>
  <c r="AB22" i="3"/>
  <c r="AJ9" i="3"/>
  <c r="G8" i="3"/>
  <c r="G10" i="3" s="1"/>
  <c r="J9" i="3"/>
  <c r="J10" i="3" s="1"/>
  <c r="J12" i="3" s="1"/>
  <c r="J14" i="3" s="1"/>
  <c r="J16" i="3" s="1"/>
  <c r="J18" i="3" s="1"/>
  <c r="J20" i="3" s="1"/>
  <c r="J22" i="3" s="1"/>
  <c r="J24" i="3" s="1"/>
  <c r="J26" i="3" s="1"/>
  <c r="J28" i="3" s="1"/>
  <c r="J30" i="3" s="1"/>
  <c r="R25" i="3"/>
  <c r="R26" i="3" s="1"/>
  <c r="R28" i="3" s="1"/>
  <c r="R30" i="3" s="1"/>
  <c r="AF8" i="3"/>
  <c r="U31" i="3"/>
  <c r="G12" i="3"/>
  <c r="H10" i="3"/>
  <c r="T29" i="3"/>
  <c r="T30" i="3" s="1"/>
  <c r="H8" i="3"/>
  <c r="AB9" i="3"/>
  <c r="J44" i="1"/>
  <c r="AJ25" i="3" l="1"/>
  <c r="AF29" i="3"/>
  <c r="AF23" i="3"/>
  <c r="AB23" i="3"/>
  <c r="AJ10" i="3"/>
  <c r="AJ11" i="3" s="1"/>
  <c r="AF9" i="3"/>
  <c r="G14" i="3"/>
  <c r="H12" i="3"/>
  <c r="AB10" i="3"/>
  <c r="AI24" i="3" l="1"/>
  <c r="AJ26" i="3"/>
  <c r="AE28" i="3"/>
  <c r="AE29" i="3"/>
  <c r="AF30" i="3"/>
  <c r="AE22" i="3"/>
  <c r="AE24" i="3"/>
  <c r="AF24" i="3"/>
  <c r="AA22" i="3"/>
  <c r="AB24" i="3"/>
  <c r="AJ12" i="3"/>
  <c r="AF10" i="3"/>
  <c r="G16" i="3"/>
  <c r="H14" i="3"/>
  <c r="AB11" i="3"/>
  <c r="AI25" i="3" l="1"/>
  <c r="AJ27" i="3"/>
  <c r="AF31" i="3"/>
  <c r="AE23" i="3"/>
  <c r="AB25" i="3"/>
  <c r="AA23" i="3"/>
  <c r="AJ13" i="3"/>
  <c r="G18" i="3"/>
  <c r="H16" i="3"/>
  <c r="AB12" i="3"/>
  <c r="AJ28" i="3" l="1"/>
  <c r="AI26" i="3"/>
  <c r="AI27" i="3"/>
  <c r="AF32" i="3"/>
  <c r="AE31" i="3"/>
  <c r="AE30" i="3"/>
  <c r="AB26" i="3"/>
  <c r="AA24" i="3"/>
  <c r="AJ14" i="3"/>
  <c r="AF13" i="3"/>
  <c r="G20" i="3"/>
  <c r="H18" i="3"/>
  <c r="AB13" i="3"/>
  <c r="AJ29" i="3" l="1"/>
  <c r="AF33" i="3"/>
  <c r="AE33" i="3" s="1"/>
  <c r="AE39" i="3" s="1"/>
  <c r="AE32" i="3"/>
  <c r="AB27" i="3"/>
  <c r="AA25" i="3"/>
  <c r="AA26" i="3"/>
  <c r="AJ15" i="3"/>
  <c r="AF14" i="3"/>
  <c r="G22" i="3"/>
  <c r="H20" i="3"/>
  <c r="AB14" i="3"/>
  <c r="AI28" i="3" l="1"/>
  <c r="AI29" i="3"/>
  <c r="AJ30" i="3"/>
  <c r="AA27" i="3"/>
  <c r="AB28" i="3"/>
  <c r="AJ16" i="3"/>
  <c r="AF15" i="3"/>
  <c r="G24" i="3"/>
  <c r="H22" i="3"/>
  <c r="AB15" i="3"/>
  <c r="AJ31" i="3" l="1"/>
  <c r="AI30" i="3"/>
  <c r="AA28" i="3"/>
  <c r="AB29" i="3"/>
  <c r="AJ17" i="3"/>
  <c r="AF16" i="3"/>
  <c r="G26" i="3"/>
  <c r="H24" i="3"/>
  <c r="AB16" i="3"/>
  <c r="AI31" i="3" l="1"/>
  <c r="AJ32" i="3"/>
  <c r="AA29" i="3"/>
  <c r="AB30" i="3"/>
  <c r="AJ18" i="3"/>
  <c r="AF17" i="3"/>
  <c r="G28" i="3"/>
  <c r="H26" i="3"/>
  <c r="AB17" i="3"/>
  <c r="AJ33" i="3" l="1"/>
  <c r="AI32" i="3"/>
  <c r="AB31" i="3"/>
  <c r="AA30" i="3"/>
  <c r="AJ19" i="3"/>
  <c r="AF18" i="3"/>
  <c r="AB18" i="3"/>
  <c r="G30" i="3"/>
  <c r="H28" i="3"/>
  <c r="AI33" i="3" l="1"/>
  <c r="AI39" i="3" s="1"/>
  <c r="AA31" i="3"/>
  <c r="AJ20" i="3"/>
  <c r="AF19" i="3"/>
  <c r="H30" i="3"/>
  <c r="G31" i="3"/>
  <c r="AB19" i="3"/>
  <c r="AB20" i="3" s="1"/>
  <c r="N34" i="3" l="1"/>
  <c r="H31" i="3"/>
  <c r="L34" i="3"/>
  <c r="M34" i="3"/>
  <c r="O34" i="3"/>
  <c r="P34" i="3"/>
  <c r="Q34" i="3"/>
  <c r="I34" i="3"/>
  <c r="J34" i="3"/>
  <c r="S34" i="3"/>
  <c r="R34" i="3"/>
  <c r="U34" i="3"/>
  <c r="K34" i="3"/>
  <c r="T34" i="3"/>
  <c r="I35" i="1" l="1"/>
  <c r="E30" i="1"/>
  <c r="E33" i="1"/>
  <c r="E32" i="1"/>
  <c r="E31" i="1"/>
  <c r="D19" i="1"/>
  <c r="F20" i="1" s="1"/>
  <c r="G20" i="1" s="1"/>
  <c r="D20" i="1"/>
  <c r="D21" i="1"/>
  <c r="D22" i="1"/>
  <c r="F23" i="1" s="1"/>
  <c r="G23" i="1" s="1"/>
  <c r="D23" i="1"/>
  <c r="F22" i="1" l="1"/>
  <c r="G22" i="1" s="1"/>
  <c r="F21" i="1"/>
  <c r="G21" i="1" s="1"/>
  <c r="I5" i="1"/>
  <c r="I6" i="1"/>
  <c r="I7" i="1"/>
  <c r="I8" i="1"/>
  <c r="I9" i="1"/>
  <c r="I10" i="1"/>
  <c r="I11" i="1"/>
  <c r="I12" i="1"/>
  <c r="I4" i="1"/>
  <c r="H13" i="1"/>
  <c r="E13" i="1"/>
  <c r="G13" i="1"/>
  <c r="F5" i="1"/>
  <c r="F6" i="1"/>
  <c r="F7" i="1"/>
  <c r="F8" i="1"/>
  <c r="F9" i="1"/>
  <c r="F10" i="1"/>
  <c r="F11" i="1"/>
  <c r="F12" i="1"/>
  <c r="D13" i="1"/>
  <c r="F13" i="1" s="1"/>
  <c r="I13" i="1" l="1"/>
  <c r="J5" i="1"/>
  <c r="J9" i="1"/>
  <c r="J4" i="1"/>
  <c r="W4" i="1" s="1"/>
  <c r="J6" i="1"/>
  <c r="J10" i="1"/>
  <c r="J7" i="1"/>
  <c r="J11" i="1"/>
  <c r="J8" i="1"/>
  <c r="J12" i="1"/>
  <c r="U8" i="1" l="1"/>
  <c r="AG8" i="1" s="1"/>
  <c r="Q8" i="1"/>
  <c r="AC8" i="1" s="1"/>
  <c r="M8" i="1"/>
  <c r="Y8" i="1" s="1"/>
  <c r="P8" i="1"/>
  <c r="AB8" i="1" s="1"/>
  <c r="L8" i="1"/>
  <c r="X8" i="1" s="1"/>
  <c r="V8" i="1"/>
  <c r="AH8" i="1" s="1"/>
  <c r="T8" i="1"/>
  <c r="AF8" i="1" s="1"/>
  <c r="S8" i="1"/>
  <c r="AE8" i="1" s="1"/>
  <c r="O8" i="1"/>
  <c r="AA8" i="1" s="1"/>
  <c r="K8" i="1"/>
  <c r="W8" i="1" s="1"/>
  <c r="R8" i="1"/>
  <c r="AD8" i="1" s="1"/>
  <c r="N8" i="1"/>
  <c r="Z8" i="1" s="1"/>
  <c r="V6" i="1"/>
  <c r="AH6" i="1" s="1"/>
  <c r="T6" i="1"/>
  <c r="AF6" i="1" s="1"/>
  <c r="S6" i="1"/>
  <c r="AE6" i="1" s="1"/>
  <c r="O6" i="1"/>
  <c r="AA6" i="1" s="1"/>
  <c r="K6" i="1"/>
  <c r="W6" i="1" s="1"/>
  <c r="R6" i="1"/>
  <c r="AD6" i="1" s="1"/>
  <c r="N6" i="1"/>
  <c r="Z6" i="1" s="1"/>
  <c r="U6" i="1"/>
  <c r="AG6" i="1" s="1"/>
  <c r="Q6" i="1"/>
  <c r="AC6" i="1" s="1"/>
  <c r="M6" i="1"/>
  <c r="Y6" i="1" s="1"/>
  <c r="P6" i="1"/>
  <c r="AB6" i="1" s="1"/>
  <c r="L6" i="1"/>
  <c r="X6" i="1" s="1"/>
  <c r="P11" i="1"/>
  <c r="AB11" i="1" s="1"/>
  <c r="L11" i="1"/>
  <c r="X11" i="1" s="1"/>
  <c r="V11" i="1"/>
  <c r="AH11" i="1" s="1"/>
  <c r="T11" i="1"/>
  <c r="AF11" i="1" s="1"/>
  <c r="S11" i="1"/>
  <c r="AE11" i="1" s="1"/>
  <c r="O11" i="1"/>
  <c r="AA11" i="1" s="1"/>
  <c r="K11" i="1"/>
  <c r="W11" i="1" s="1"/>
  <c r="R11" i="1"/>
  <c r="AD11" i="1" s="1"/>
  <c r="N11" i="1"/>
  <c r="Z11" i="1" s="1"/>
  <c r="U11" i="1"/>
  <c r="AG11" i="1" s="1"/>
  <c r="Q11" i="1"/>
  <c r="AC11" i="1" s="1"/>
  <c r="M11" i="1"/>
  <c r="Y11" i="1" s="1"/>
  <c r="V4" i="1"/>
  <c r="AH4" i="1" s="1"/>
  <c r="R4" i="1"/>
  <c r="AD4" i="1" s="1"/>
  <c r="N4" i="1"/>
  <c r="Z4" i="1" s="1"/>
  <c r="U4" i="1"/>
  <c r="AG4" i="1" s="1"/>
  <c r="Q4" i="1"/>
  <c r="AC4" i="1" s="1"/>
  <c r="M4" i="1"/>
  <c r="Y4" i="1" s="1"/>
  <c r="T4" i="1"/>
  <c r="AF4" i="1" s="1"/>
  <c r="P4" i="1"/>
  <c r="AB4" i="1" s="1"/>
  <c r="L4" i="1"/>
  <c r="X4" i="1" s="1"/>
  <c r="S4" i="1"/>
  <c r="AE4" i="1" s="1"/>
  <c r="O4" i="1"/>
  <c r="AA4" i="1" s="1"/>
  <c r="P7" i="1"/>
  <c r="AB7" i="1" s="1"/>
  <c r="L7" i="1"/>
  <c r="X7" i="1" s="1"/>
  <c r="V7" i="1"/>
  <c r="AH7" i="1" s="1"/>
  <c r="T7" i="1"/>
  <c r="AF7" i="1" s="1"/>
  <c r="S7" i="1"/>
  <c r="AE7" i="1" s="1"/>
  <c r="O7" i="1"/>
  <c r="AA7" i="1" s="1"/>
  <c r="K7" i="1"/>
  <c r="W7" i="1" s="1"/>
  <c r="R7" i="1"/>
  <c r="AD7" i="1" s="1"/>
  <c r="N7" i="1"/>
  <c r="Z7" i="1" s="1"/>
  <c r="U7" i="1"/>
  <c r="AG7" i="1" s="1"/>
  <c r="Q7" i="1"/>
  <c r="AC7" i="1" s="1"/>
  <c r="M7" i="1"/>
  <c r="Y7" i="1" s="1"/>
  <c r="R9" i="1"/>
  <c r="AD9" i="1" s="1"/>
  <c r="N9" i="1"/>
  <c r="Z9" i="1" s="1"/>
  <c r="U9" i="1"/>
  <c r="AG9" i="1" s="1"/>
  <c r="Q9" i="1"/>
  <c r="AC9" i="1" s="1"/>
  <c r="M9" i="1"/>
  <c r="Y9" i="1" s="1"/>
  <c r="P9" i="1"/>
  <c r="AB9" i="1" s="1"/>
  <c r="L9" i="1"/>
  <c r="X9" i="1" s="1"/>
  <c r="V9" i="1"/>
  <c r="AH9" i="1" s="1"/>
  <c r="T9" i="1"/>
  <c r="AF9" i="1" s="1"/>
  <c r="S9" i="1"/>
  <c r="AE9" i="1" s="1"/>
  <c r="O9" i="1"/>
  <c r="AA9" i="1" s="1"/>
  <c r="K9" i="1"/>
  <c r="W9" i="1" s="1"/>
  <c r="U12" i="1"/>
  <c r="AG12" i="1" s="1"/>
  <c r="Q12" i="1"/>
  <c r="AC12" i="1" s="1"/>
  <c r="M12" i="1"/>
  <c r="Y12" i="1" s="1"/>
  <c r="P12" i="1"/>
  <c r="AB12" i="1" s="1"/>
  <c r="L12" i="1"/>
  <c r="X12" i="1" s="1"/>
  <c r="V12" i="1"/>
  <c r="AH12" i="1" s="1"/>
  <c r="T12" i="1"/>
  <c r="AF12" i="1" s="1"/>
  <c r="S12" i="1"/>
  <c r="AE12" i="1" s="1"/>
  <c r="O12" i="1"/>
  <c r="AA12" i="1" s="1"/>
  <c r="K12" i="1"/>
  <c r="W12" i="1" s="1"/>
  <c r="R12" i="1"/>
  <c r="AD12" i="1" s="1"/>
  <c r="N12" i="1"/>
  <c r="Z12" i="1" s="1"/>
  <c r="V10" i="1"/>
  <c r="AH10" i="1" s="1"/>
  <c r="T10" i="1"/>
  <c r="AF10" i="1" s="1"/>
  <c r="S10" i="1"/>
  <c r="AE10" i="1" s="1"/>
  <c r="O10" i="1"/>
  <c r="AA10" i="1" s="1"/>
  <c r="K10" i="1"/>
  <c r="W10" i="1" s="1"/>
  <c r="R10" i="1"/>
  <c r="AD10" i="1" s="1"/>
  <c r="N10" i="1"/>
  <c r="Z10" i="1" s="1"/>
  <c r="U10" i="1"/>
  <c r="AG10" i="1" s="1"/>
  <c r="Q10" i="1"/>
  <c r="AC10" i="1" s="1"/>
  <c r="M10" i="1"/>
  <c r="Y10" i="1" s="1"/>
  <c r="P10" i="1"/>
  <c r="AB10" i="1" s="1"/>
  <c r="L10" i="1"/>
  <c r="X10" i="1" s="1"/>
  <c r="R5" i="1"/>
  <c r="AD5" i="1" s="1"/>
  <c r="N5" i="1"/>
  <c r="Z5" i="1" s="1"/>
  <c r="U5" i="1"/>
  <c r="AG5" i="1" s="1"/>
  <c r="Q5" i="1"/>
  <c r="AC5" i="1" s="1"/>
  <c r="M5" i="1"/>
  <c r="Y5" i="1" s="1"/>
  <c r="P5" i="1"/>
  <c r="AB5" i="1" s="1"/>
  <c r="L5" i="1"/>
  <c r="X5" i="1" s="1"/>
  <c r="V5" i="1"/>
  <c r="AH5" i="1" s="1"/>
  <c r="T5" i="1"/>
  <c r="AF5" i="1" s="1"/>
  <c r="S5" i="1"/>
  <c r="AE5" i="1" s="1"/>
  <c r="O5" i="1"/>
  <c r="AA5" i="1" s="1"/>
  <c r="K5" i="1"/>
  <c r="W5" i="1" s="1"/>
</calcChain>
</file>

<file path=xl/sharedStrings.xml><?xml version="1.0" encoding="utf-8"?>
<sst xmlns="http://schemas.openxmlformats.org/spreadsheetml/2006/main" count="201" uniqueCount="128">
  <si>
    <t>SZ #</t>
  </si>
  <si>
    <t>Time GREEN [s]</t>
  </si>
  <si>
    <t>Delta [s]</t>
  </si>
  <si>
    <t>Energy GREEN [MJ]</t>
  </si>
  <si>
    <t>Energy YELLOW [MJ]</t>
  </si>
  <si>
    <t>Time YELLOW [s]</t>
  </si>
  <si>
    <t>Distance @end [m]</t>
  </si>
  <si>
    <t>Delta [MJ]</t>
  </si>
  <si>
    <t>LAP END</t>
  </si>
  <si>
    <t>ENERGY PER LAP</t>
  </si>
  <si>
    <t>STINT LENGTH</t>
  </si>
  <si>
    <t>BoP Energy per Stint [MJ]</t>
  </si>
  <si>
    <t>Delta lap</t>
  </si>
  <si>
    <t>Delta Stint</t>
  </si>
  <si>
    <t>1 LAP</t>
  </si>
  <si>
    <t>2 LAPS</t>
  </si>
  <si>
    <t>3 LAPS</t>
  </si>
  <si>
    <t>4 LAPS</t>
  </si>
  <si>
    <t>STINT CONSUMPTION IF SLOW ZONE XX ACTIVE FOR NN LAPS</t>
  </si>
  <si>
    <t>5 LAPS</t>
  </si>
  <si>
    <t>6 LAPS</t>
  </si>
  <si>
    <t>LAPS</t>
  </si>
  <si>
    <t>LAP ENERGY [MJ]</t>
  </si>
  <si>
    <t>7 LAPS</t>
  </si>
  <si>
    <t>8 LAPS</t>
  </si>
  <si>
    <t>9 LAPS</t>
  </si>
  <si>
    <t>10 LAPS</t>
  </si>
  <si>
    <t>11 LAPS</t>
  </si>
  <si>
    <t>12 LAPS</t>
  </si>
  <si>
    <t>STINT CONSUMPTION RELATIVE TO BoP ENERGY ALLOCATION (+XX% or - XX% wrt Allocated Energy)</t>
  </si>
  <si>
    <t xml:space="preserve"> </t>
  </si>
  <si>
    <t xml:space="preserve">ENERGY ALLOCATION </t>
  </si>
  <si>
    <t>MJ</t>
  </si>
  <si>
    <t>TO EXTEND THE STINT ON LAP 8,5% OF ENERGY SAVING IS NEEDED</t>
  </si>
  <si>
    <t>LIFT AND COAST</t>
  </si>
  <si>
    <t>100m</t>
  </si>
  <si>
    <t>150m</t>
  </si>
  <si>
    <t>200m</t>
  </si>
  <si>
    <t>DIST</t>
  </si>
  <si>
    <t>ENERGY SAVED [MJ]</t>
  </si>
  <si>
    <t>FRACTION OF STINT ENERGY</t>
  </si>
  <si>
    <t>TURN</t>
  </si>
  <si>
    <t>DIST [m]</t>
  </si>
  <si>
    <t>Tertre Rouge (?)</t>
  </si>
  <si>
    <t>Chicane 1</t>
  </si>
  <si>
    <t>Chicane 2</t>
  </si>
  <si>
    <t xml:space="preserve">Mulsanne </t>
  </si>
  <si>
    <t>Indianapolis</t>
  </si>
  <si>
    <t>Ford Chicane</t>
  </si>
  <si>
    <t>50m</t>
  </si>
  <si>
    <t>SAVING [MJ]</t>
  </si>
  <si>
    <t>TOTAL</t>
  </si>
  <si>
    <t>AVERAGE SPEED</t>
  </si>
  <si>
    <t>km/h</t>
  </si>
  <si>
    <t>SC A starting dist</t>
  </si>
  <si>
    <t>m</t>
  </si>
  <si>
    <t>SC B starting dist</t>
  </si>
  <si>
    <t>SC C starting dist</t>
  </si>
  <si>
    <t>Delta A-B</t>
  </si>
  <si>
    <t>Delta B-C</t>
  </si>
  <si>
    <t>Delta C-A</t>
  </si>
  <si>
    <t>m/s</t>
  </si>
  <si>
    <t>Threshold to do the 13th lap</t>
  </si>
  <si>
    <t>Time lost in pit lane [s]</t>
  </si>
  <si>
    <t>Refuelling time per Lap [s]</t>
  </si>
  <si>
    <t>Time Lost for Pit after X Laps</t>
  </si>
  <si>
    <t>Laps</t>
  </si>
  <si>
    <t>Fuel Only</t>
  </si>
  <si>
    <t xml:space="preserve"> F+T</t>
  </si>
  <si>
    <t>LAP #</t>
  </si>
  <si>
    <t>Lap Time [s]</t>
  </si>
  <si>
    <t>Elapsed Time [s]</t>
  </si>
  <si>
    <t>Elapsed Time [hh:mm:ss]</t>
  </si>
  <si>
    <t>PIT</t>
  </si>
  <si>
    <t>Time lost in Pit Lane</t>
  </si>
  <si>
    <t>s</t>
  </si>
  <si>
    <t>Refuelling tIme per lap</t>
  </si>
  <si>
    <t>Tire change</t>
  </si>
  <si>
    <t>ET [s]</t>
  </si>
  <si>
    <t>PIT LAP 1</t>
  </si>
  <si>
    <t>PIT LAP 2</t>
  </si>
  <si>
    <t>PIT LAP 3</t>
  </si>
  <si>
    <t>PIT LAP 4</t>
  </si>
  <si>
    <t>PIT LAP 5</t>
  </si>
  <si>
    <t>PIT LAP 6</t>
  </si>
  <si>
    <t>PIT LAP 7</t>
  </si>
  <si>
    <t>PIT LAP 8</t>
  </si>
  <si>
    <t>PIT LAP 9</t>
  </si>
  <si>
    <t>PIT LAP 10</t>
  </si>
  <si>
    <t>PIT LAP 11</t>
  </si>
  <si>
    <t>PIT LAP 12</t>
  </si>
  <si>
    <t>PIT LAP 13</t>
  </si>
  <si>
    <t>DELTA</t>
  </si>
  <si>
    <t>DELTA [s]</t>
  </si>
  <si>
    <t>Lap #</t>
  </si>
  <si>
    <t>Fuel On board [kg]</t>
  </si>
  <si>
    <t>SCENARIO 1</t>
  </si>
  <si>
    <t>SCENARIO 2</t>
  </si>
  <si>
    <t>F</t>
  </si>
  <si>
    <t>F+T</t>
  </si>
  <si>
    <t>F+T+O</t>
  </si>
  <si>
    <t>F+BRAKES</t>
  </si>
  <si>
    <t>Time Lost [s]</t>
  </si>
  <si>
    <t>Dist [m]</t>
  </si>
  <si>
    <t>Green Time [s]</t>
  </si>
  <si>
    <t>SC time (110) [s]</t>
  </si>
  <si>
    <t>SC time (115) [s]</t>
  </si>
  <si>
    <t>To account for the cue behind the safety car 0,5s per car is a good reference</t>
  </si>
  <si>
    <t>When the last car of the cue cross the SC line 2 we have to release the car from the box to avoid loosing another SC. This needs to be validated with the current box position.</t>
  </si>
  <si>
    <t>Gaps</t>
  </si>
  <si>
    <t>Fuel</t>
  </si>
  <si>
    <t>F+T+Oil</t>
  </si>
  <si>
    <t>F+T+Brake</t>
  </si>
  <si>
    <t>Pit Lane Loss</t>
  </si>
  <si>
    <t>Services</t>
  </si>
  <si>
    <t>SC A-B</t>
  </si>
  <si>
    <t>SC B-C</t>
  </si>
  <si>
    <t>SC C-A</t>
  </si>
  <si>
    <t xml:space="preserve">Weight Sensitivity </t>
  </si>
  <si>
    <t>s/10kg</t>
  </si>
  <si>
    <t>%/10kg</t>
  </si>
  <si>
    <t>Change brakes will cost us one full lap if done in SC conditions</t>
  </si>
  <si>
    <t>If We can manage to change the brakes in 320" (5'20") and we are luckily behind SC B we can loose just 152" (2'32")</t>
  </si>
  <si>
    <t>It is fundamental to understand if and after how many hours we need to do brake change to try to exploit as much as possible SC situations</t>
  </si>
  <si>
    <t>Service time MIN [s]</t>
  </si>
  <si>
    <t>Service time MAX [s]</t>
  </si>
  <si>
    <t>SC time [s]</t>
  </si>
  <si>
    <t>GF time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</si>
</sst>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[$-F400]h:mm:ss\ AM/PM"/>
    <numFmt numFmtId="167" formatCode="0.000%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0">
    <xf numFmtId="0" fontId="0" fillId="0" borderId="0" xfId="0"/>
    <xf numFmtId="0" fontId="0" fillId="0" borderId="1" xfId="0" applyBorder="1"/>
    <xf numFmtId="0" fontId="0" fillId="0" borderId="13" xfId="0" applyBorder="1"/>
    <xf numFmtId="0" fontId="0" fillId="0" borderId="5" xfId="0" applyBorder="1"/>
    <xf numFmtId="164" fontId="0" fillId="0" borderId="5" xfId="0" applyNumberFormat="1" applyBorder="1"/>
    <xf numFmtId="164" fontId="0" fillId="0" borderId="7" xfId="0" applyNumberFormat="1" applyBorder="1"/>
    <xf numFmtId="0" fontId="0" fillId="0" borderId="15" xfId="0" applyBorder="1"/>
    <xf numFmtId="0" fontId="0" fillId="0" borderId="16" xfId="0" applyBorder="1"/>
    <xf numFmtId="164" fontId="0" fillId="0" borderId="16" xfId="0" applyNumberFormat="1" applyBorder="1"/>
    <xf numFmtId="164" fontId="0" fillId="0" borderId="10" xfId="0" applyNumberFormat="1" applyBorder="1"/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0" fillId="2" borderId="3" xfId="0" applyFill="1" applyBorder="1"/>
    <xf numFmtId="0" fontId="0" fillId="2" borderId="4" xfId="0" applyFill="1" applyBorder="1"/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0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0" xfId="0" applyFont="1" applyFill="1" applyBorder="1" applyAlignment="1"/>
    <xf numFmtId="0" fontId="0" fillId="2" borderId="0" xfId="0" applyFill="1" applyBorder="1"/>
    <xf numFmtId="0" fontId="2" fillId="2" borderId="7" xfId="0" applyFont="1" applyFill="1" applyBorder="1" applyAlignment="1">
      <alignment horizontal="center" wrapText="1"/>
    </xf>
    <xf numFmtId="0" fontId="2" fillId="2" borderId="5" xfId="0" applyFont="1" applyFill="1" applyBorder="1" applyAlignment="1"/>
    <xf numFmtId="0" fontId="0" fillId="2" borderId="6" xfId="0" applyFill="1" applyBorder="1"/>
    <xf numFmtId="0" fontId="2" fillId="2" borderId="6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0" xfId="0" applyFill="1"/>
    <xf numFmtId="165" fontId="0" fillId="0" borderId="3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165" fontId="0" fillId="3" borderId="0" xfId="1" applyNumberFormat="1" applyFont="1" applyFill="1" applyBorder="1" applyAlignment="1">
      <alignment horizontal="center"/>
    </xf>
    <xf numFmtId="165" fontId="0" fillId="3" borderId="6" xfId="1" applyNumberFormat="1" applyFont="1" applyFill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165" fontId="0" fillId="0" borderId="9" xfId="1" applyNumberFormat="1" applyFon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3" borderId="5" xfId="1" applyNumberFormat="1" applyFont="1" applyFill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65" fontId="0" fillId="0" borderId="7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0" fillId="0" borderId="17" xfId="0" applyBorder="1" applyAlignment="1">
      <alignment horizontal="center"/>
    </xf>
    <xf numFmtId="0" fontId="0" fillId="0" borderId="24" xfId="0" applyFill="1" applyBorder="1"/>
    <xf numFmtId="166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2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2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0" fontId="0" fillId="0" borderId="25" xfId="0" applyBorder="1"/>
    <xf numFmtId="0" fontId="0" fillId="6" borderId="1" xfId="0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1" fontId="0" fillId="0" borderId="6" xfId="0" applyNumberFormat="1" applyBorder="1" applyAlignment="1">
      <alignment horizontal="right"/>
    </xf>
    <xf numFmtId="1" fontId="0" fillId="0" borderId="9" xfId="0" applyNumberFormat="1" applyBorder="1" applyAlignment="1">
      <alignment horizontal="right"/>
    </xf>
    <xf numFmtId="0" fontId="0" fillId="0" borderId="17" xfId="0" applyBorder="1"/>
    <xf numFmtId="0" fontId="0" fillId="0" borderId="26" xfId="0" applyBorder="1" applyAlignment="1"/>
    <xf numFmtId="0" fontId="0" fillId="0" borderId="28" xfId="0" applyBorder="1"/>
    <xf numFmtId="0" fontId="0" fillId="0" borderId="27" xfId="0" applyBorder="1"/>
    <xf numFmtId="1" fontId="0" fillId="0" borderId="28" xfId="0" applyNumberFormat="1" applyBorder="1" applyAlignment="1">
      <alignment horizontal="right"/>
    </xf>
    <xf numFmtId="1" fontId="0" fillId="0" borderId="27" xfId="0" applyNumberFormat="1" applyBorder="1" applyAlignment="1">
      <alignment horizontal="right"/>
    </xf>
    <xf numFmtId="0" fontId="0" fillId="0" borderId="26" xfId="0" applyBorder="1"/>
    <xf numFmtId="164" fontId="0" fillId="0" borderId="0" xfId="0" applyNumberFormat="1"/>
    <xf numFmtId="167" fontId="0" fillId="0" borderId="0" xfId="1" applyNumberFormat="1" applyFont="1"/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1" xfId="0" applyBorder="1" applyAlignment="1">
      <alignment horizontal="center"/>
    </xf>
    <xf numFmtId="10" fontId="0" fillId="0" borderId="11" xfId="1" applyNumberFormat="1" applyFont="1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10" fontId="0" fillId="0" borderId="12" xfId="1" applyNumberFormat="1" applyFont="1" applyBorder="1" applyAlignment="1">
      <alignment horizontal="center"/>
    </xf>
    <xf numFmtId="10" fontId="0" fillId="0" borderId="6" xfId="1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10" fontId="0" fillId="0" borderId="4" xfId="1" applyNumberFormat="1" applyFon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0" borderId="0" xfId="0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5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</cellXfs>
  <cellStyles count="2">
    <cellStyle name="Normal" xfId="0" builtinId="0"/>
    <cellStyle name="Percent" xfId="1" builtinId="5"/>
  </cellStyles>
  <dxfs count="5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4F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FULL STINT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(Sheet1!$Y$6:$Y$18,Sheet1!$X$20:$X$32)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xVal>
          <c:yVal>
            <c:numRef>
              <c:f>(Sheet1!$Z$6:$Z$18,Sheet1!$Z$20:$Z$32)</c:f>
              <c:numCache>
                <c:formatCode>0.00</c:formatCode>
                <c:ptCount val="26"/>
                <c:pt idx="0">
                  <c:v>210.31604400000001</c:v>
                </c:pt>
                <c:pt idx="1">
                  <c:v>210.08583000000002</c:v>
                </c:pt>
                <c:pt idx="2">
                  <c:v>209.85561600000003</c:v>
                </c:pt>
                <c:pt idx="3">
                  <c:v>209.62540199999998</c:v>
                </c:pt>
                <c:pt idx="4">
                  <c:v>209.39518799999999</c:v>
                </c:pt>
                <c:pt idx="5">
                  <c:v>209.164974</c:v>
                </c:pt>
                <c:pt idx="6">
                  <c:v>208.93476000000001</c:v>
                </c:pt>
                <c:pt idx="7">
                  <c:v>208.70454599999999</c:v>
                </c:pt>
                <c:pt idx="8">
                  <c:v>208.474332</c:v>
                </c:pt>
                <c:pt idx="9">
                  <c:v>208.24411800000001</c:v>
                </c:pt>
                <c:pt idx="10">
                  <c:v>208.01390400000003</c:v>
                </c:pt>
                <c:pt idx="11">
                  <c:v>207.78368999999998</c:v>
                </c:pt>
                <c:pt idx="12">
                  <c:v>207.55347599999999</c:v>
                </c:pt>
                <c:pt idx="13">
                  <c:v>210.31604400000001</c:v>
                </c:pt>
                <c:pt idx="14">
                  <c:v>210.08583000000002</c:v>
                </c:pt>
                <c:pt idx="15">
                  <c:v>209.85561600000003</c:v>
                </c:pt>
                <c:pt idx="16">
                  <c:v>209.62540199999998</c:v>
                </c:pt>
                <c:pt idx="17">
                  <c:v>209.39518799999999</c:v>
                </c:pt>
                <c:pt idx="18">
                  <c:v>209.164974</c:v>
                </c:pt>
                <c:pt idx="19">
                  <c:v>208.93476000000001</c:v>
                </c:pt>
                <c:pt idx="20">
                  <c:v>208.70454599999999</c:v>
                </c:pt>
                <c:pt idx="21">
                  <c:v>208.474332</c:v>
                </c:pt>
                <c:pt idx="22">
                  <c:v>208.24411800000001</c:v>
                </c:pt>
                <c:pt idx="23">
                  <c:v>208.01390400000003</c:v>
                </c:pt>
                <c:pt idx="24">
                  <c:v>207.78368999999998</c:v>
                </c:pt>
                <c:pt idx="25">
                  <c:v>207.55347599999999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6-435A-833A-3DBBDCBE568C}"/>
            </c:ext>
          </c:extLst>
        </c:ser>
        <c:ser>
          <c:idx val="1"/>
          <c:order val="1"/>
          <c:tx>
            <c:v>PIT LAP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(Sheet1!$Y$6:$Y$18,Sheet1!$X$20:$X$32)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xVal>
          <c:yVal>
            <c:numRef>
              <c:f>(Sheet1!$AH$6,Sheet1!$AH$8:$AH$19,Sheet1!$AH$20,Sheet1!$AH$22:$AH$33)</c:f>
              <c:numCache>
                <c:formatCode>0.00</c:formatCode>
                <c:ptCount val="26"/>
                <c:pt idx="0">
                  <c:v>210.31604400000001</c:v>
                </c:pt>
                <c:pt idx="1">
                  <c:v>210.31604400000001</c:v>
                </c:pt>
                <c:pt idx="2">
                  <c:v>210.08583000000002</c:v>
                </c:pt>
                <c:pt idx="3">
                  <c:v>209.85561600000003</c:v>
                </c:pt>
                <c:pt idx="4">
                  <c:v>209.62540199999998</c:v>
                </c:pt>
                <c:pt idx="5">
                  <c:v>209.39518799999999</c:v>
                </c:pt>
                <c:pt idx="6">
                  <c:v>209.164974</c:v>
                </c:pt>
                <c:pt idx="7">
                  <c:v>208.93476000000001</c:v>
                </c:pt>
                <c:pt idx="8">
                  <c:v>208.70454599999999</c:v>
                </c:pt>
                <c:pt idx="9">
                  <c:v>208.474332</c:v>
                </c:pt>
                <c:pt idx="10">
                  <c:v>208.24411800000001</c:v>
                </c:pt>
                <c:pt idx="11">
                  <c:v>208.01390400000003</c:v>
                </c:pt>
                <c:pt idx="12">
                  <c:v>207.78368999999998</c:v>
                </c:pt>
                <c:pt idx="13">
                  <c:v>207.55347599999999</c:v>
                </c:pt>
                <c:pt idx="14">
                  <c:v>210.31604400000001</c:v>
                </c:pt>
                <c:pt idx="15">
                  <c:v>210.08583000000002</c:v>
                </c:pt>
                <c:pt idx="16">
                  <c:v>209.85561600000003</c:v>
                </c:pt>
                <c:pt idx="17">
                  <c:v>209.62540199999998</c:v>
                </c:pt>
                <c:pt idx="18">
                  <c:v>209.39518799999999</c:v>
                </c:pt>
                <c:pt idx="19">
                  <c:v>209.164974</c:v>
                </c:pt>
                <c:pt idx="20">
                  <c:v>208.93476000000001</c:v>
                </c:pt>
                <c:pt idx="21">
                  <c:v>208.70454599999999</c:v>
                </c:pt>
                <c:pt idx="22">
                  <c:v>208.474332</c:v>
                </c:pt>
                <c:pt idx="23">
                  <c:v>208.24411800000001</c:v>
                </c:pt>
                <c:pt idx="24">
                  <c:v>208.01390400000003</c:v>
                </c:pt>
                <c:pt idx="25">
                  <c:v>207.78368999999998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B6-435A-833A-3DBBDCBE568C}"/>
            </c:ext>
          </c:extLst>
        </c:ser>
        <c:ser>
          <c:idx val="2"/>
          <c:order val="2"/>
          <c:tx>
            <c:v>PIT LAP 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(Sheet1!$Y$6:$Y$18,Sheet1!$X$20:$X$32)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xVal>
          <c:yVal>
            <c:numRef>
              <c:f>(Sheet1!$AD$6:$AD$10,Sheet1!$AD$12:$AD$19,Sheet1!$AD$20:$AD$24,Sheet1!$AD$26:$AD$33)</c:f>
              <c:numCache>
                <c:formatCode>0.00</c:formatCode>
                <c:ptCount val="26"/>
                <c:pt idx="0">
                  <c:v>210.31604400000001</c:v>
                </c:pt>
                <c:pt idx="1">
                  <c:v>210.08583000000002</c:v>
                </c:pt>
                <c:pt idx="2">
                  <c:v>209.85561600000003</c:v>
                </c:pt>
                <c:pt idx="3">
                  <c:v>209.62540199999998</c:v>
                </c:pt>
                <c:pt idx="4">
                  <c:v>209.39518799999999</c:v>
                </c:pt>
                <c:pt idx="5">
                  <c:v>210.31604400000001</c:v>
                </c:pt>
                <c:pt idx="6">
                  <c:v>210.08583000000002</c:v>
                </c:pt>
                <c:pt idx="7">
                  <c:v>209.85561600000003</c:v>
                </c:pt>
                <c:pt idx="8">
                  <c:v>209.62540199999998</c:v>
                </c:pt>
                <c:pt idx="9">
                  <c:v>209.39518799999999</c:v>
                </c:pt>
                <c:pt idx="10">
                  <c:v>209.164974</c:v>
                </c:pt>
                <c:pt idx="11">
                  <c:v>208.93476000000001</c:v>
                </c:pt>
                <c:pt idx="12">
                  <c:v>208.70454599999999</c:v>
                </c:pt>
                <c:pt idx="13">
                  <c:v>208.474332</c:v>
                </c:pt>
                <c:pt idx="14">
                  <c:v>208.24411800000001</c:v>
                </c:pt>
                <c:pt idx="15">
                  <c:v>208.01390400000003</c:v>
                </c:pt>
                <c:pt idx="16">
                  <c:v>207.78368999999998</c:v>
                </c:pt>
                <c:pt idx="17">
                  <c:v>207.55347599999999</c:v>
                </c:pt>
                <c:pt idx="18">
                  <c:v>210.31604400000001</c:v>
                </c:pt>
                <c:pt idx="19">
                  <c:v>210.08583000000002</c:v>
                </c:pt>
                <c:pt idx="20">
                  <c:v>209.85561600000003</c:v>
                </c:pt>
                <c:pt idx="21">
                  <c:v>209.62540199999998</c:v>
                </c:pt>
                <c:pt idx="22">
                  <c:v>209.39518799999999</c:v>
                </c:pt>
                <c:pt idx="23">
                  <c:v>209.164974</c:v>
                </c:pt>
                <c:pt idx="24">
                  <c:v>208.93476000000001</c:v>
                </c:pt>
                <c:pt idx="25">
                  <c:v>208.70454599999999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B6-435A-833A-3DBBDCBE5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936624"/>
        <c:axId val="627932688"/>
      </c:scatterChart>
      <c:valAx>
        <c:axId val="62793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32688"/>
        <c:crosses val="autoZero"/>
        <c:crossBetween val="midCat"/>
      </c:valAx>
      <c:valAx>
        <c:axId val="6279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3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FULL STINT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(Sheet1!$Y$6:$Y$18,Sheet1!$X$20:$X$32)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xVal>
          <c:yVal>
            <c:numRef>
              <c:f>(Sheet1!$AA$6:$AA$17,Sheet1!$AA$19,Sheet1!$AA$20:$AA$31,Sheet1!$AA$33)</c:f>
              <c:numCache>
                <c:formatCode>[$-F400]h:mm:ss\ AM/PM</c:formatCode>
                <c:ptCount val="26"/>
                <c:pt idx="0">
                  <c:v>2.4342134722222224E-3</c:v>
                </c:pt>
                <c:pt idx="1">
                  <c:v>4.8657624305555557E-3</c:v>
                </c:pt>
                <c:pt idx="2">
                  <c:v>7.2946468750000005E-3</c:v>
                </c:pt>
                <c:pt idx="3">
                  <c:v>9.7208668055555562E-3</c:v>
                </c:pt>
                <c:pt idx="4">
                  <c:v>1.2144422222222223E-2</c:v>
                </c:pt>
                <c:pt idx="5">
                  <c:v>1.4565313125000002E-2</c:v>
                </c:pt>
                <c:pt idx="6">
                  <c:v>1.6983539513888892E-2</c:v>
                </c:pt>
                <c:pt idx="7">
                  <c:v>1.9399101388888892E-2</c:v>
                </c:pt>
                <c:pt idx="8">
                  <c:v>2.1811998750000002E-2</c:v>
                </c:pt>
                <c:pt idx="9">
                  <c:v>2.4222231597222223E-2</c:v>
                </c:pt>
                <c:pt idx="10">
                  <c:v>2.6629799930555555E-2</c:v>
                </c:pt>
                <c:pt idx="11">
                  <c:v>2.9034703750000005E-2</c:v>
                </c:pt>
                <c:pt idx="12">
                  <c:v>3.2220507870370375E-2</c:v>
                </c:pt>
                <c:pt idx="13">
                  <c:v>3.46547213425926E-2</c:v>
                </c:pt>
                <c:pt idx="14">
                  <c:v>3.7086270300925928E-2</c:v>
                </c:pt>
                <c:pt idx="15">
                  <c:v>3.9515154745370373E-2</c:v>
                </c:pt>
                <c:pt idx="16">
                  <c:v>4.194137467592593E-2</c:v>
                </c:pt>
                <c:pt idx="17">
                  <c:v>4.4364930092592597E-2</c:v>
                </c:pt>
                <c:pt idx="18">
                  <c:v>4.6785820995370368E-2</c:v>
                </c:pt>
                <c:pt idx="19">
                  <c:v>4.9204047384259257E-2</c:v>
                </c:pt>
                <c:pt idx="20">
                  <c:v>5.1619609259259257E-2</c:v>
                </c:pt>
                <c:pt idx="21">
                  <c:v>5.403250662037036E-2</c:v>
                </c:pt>
                <c:pt idx="22">
                  <c:v>5.6442739467592581E-2</c:v>
                </c:pt>
                <c:pt idx="23">
                  <c:v>5.885030780092592E-2</c:v>
                </c:pt>
                <c:pt idx="24">
                  <c:v>6.1255211620370363E-2</c:v>
                </c:pt>
                <c:pt idx="25">
                  <c:v>6.4441015740740737E-2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6-435A-833A-3DBBDCBE568C}"/>
            </c:ext>
          </c:extLst>
        </c:ser>
        <c:ser>
          <c:idx val="1"/>
          <c:order val="1"/>
          <c:tx>
            <c:v>PIT LAP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(Sheet1!$Y$6:$Y$18,Sheet1!$X$20:$X$32)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xVal>
          <c:yVal>
            <c:numRef>
              <c:f>(Sheet1!$AI$6,Sheet1!$AI$8:$AI$19,Sheet1!$AI$21:$AI$33)</c:f>
              <c:numCache>
                <c:formatCode>[$-F400]h:mm:ss\ AM/PM</c:formatCode>
                <c:ptCount val="26"/>
                <c:pt idx="0">
                  <c:v>2.4342134722222224E-3</c:v>
                </c:pt>
                <c:pt idx="1">
                  <c:v>5.249213981481482E-3</c:v>
                </c:pt>
                <c:pt idx="2">
                  <c:v>7.6807629398148152E-3</c:v>
                </c:pt>
                <c:pt idx="3">
                  <c:v>1.0109647384259261E-2</c:v>
                </c:pt>
                <c:pt idx="4">
                  <c:v>1.2535867314814816E-2</c:v>
                </c:pt>
                <c:pt idx="5">
                  <c:v>1.4959422731481481E-2</c:v>
                </c:pt>
                <c:pt idx="6">
                  <c:v>1.7380313634259261E-2</c:v>
                </c:pt>
                <c:pt idx="7">
                  <c:v>1.979854002314815E-2</c:v>
                </c:pt>
                <c:pt idx="8">
                  <c:v>2.221410189814815E-2</c:v>
                </c:pt>
                <c:pt idx="9">
                  <c:v>2.4626999259259257E-2</c:v>
                </c:pt>
                <c:pt idx="10">
                  <c:v>2.7037232106481481E-2</c:v>
                </c:pt>
                <c:pt idx="11">
                  <c:v>2.9444800439814813E-2</c:v>
                </c:pt>
                <c:pt idx="12">
                  <c:v>3.1849704259259259E-2</c:v>
                </c:pt>
                <c:pt idx="13">
                  <c:v>3.5035508379629626E-2</c:v>
                </c:pt>
                <c:pt idx="14">
                  <c:v>3.746972185185185E-2</c:v>
                </c:pt>
                <c:pt idx="15">
                  <c:v>3.9901270810185185E-2</c:v>
                </c:pt>
                <c:pt idx="16">
                  <c:v>4.2330155254629631E-2</c:v>
                </c:pt>
                <c:pt idx="17">
                  <c:v>4.4756375185185188E-2</c:v>
                </c:pt>
                <c:pt idx="18">
                  <c:v>4.7179930601851855E-2</c:v>
                </c:pt>
                <c:pt idx="19">
                  <c:v>4.9600821504629633E-2</c:v>
                </c:pt>
                <c:pt idx="20">
                  <c:v>5.2019047893518522E-2</c:v>
                </c:pt>
                <c:pt idx="21">
                  <c:v>5.4434609768518522E-2</c:v>
                </c:pt>
                <c:pt idx="22">
                  <c:v>5.6847507129629632E-2</c:v>
                </c:pt>
                <c:pt idx="23">
                  <c:v>5.9257739976851846E-2</c:v>
                </c:pt>
                <c:pt idx="24">
                  <c:v>6.1665308310185185E-2</c:v>
                </c:pt>
                <c:pt idx="25">
                  <c:v>6.4070212129629628E-2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B6-435A-833A-3DBBDCBE568C}"/>
            </c:ext>
          </c:extLst>
        </c:ser>
        <c:ser>
          <c:idx val="2"/>
          <c:order val="2"/>
          <c:tx>
            <c:v>PIT LAP 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Sheet1!$Y$6:$Y$18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(Sheet1!$AE$6:$AE$10,Sheet1!$AE$12:$AE$19,Sheet1!$AE$20:$AE$23,Sheet1!$AE$25:$AE$33)</c:f>
              <c:numCache>
                <c:formatCode>[$-F400]h:mm:ss\ AM/PM</c:formatCode>
                <c:ptCount val="26"/>
                <c:pt idx="0">
                  <c:v>2.4342134722222224E-3</c:v>
                </c:pt>
                <c:pt idx="1">
                  <c:v>4.8657624305555557E-3</c:v>
                </c:pt>
                <c:pt idx="2">
                  <c:v>7.2946468750000005E-3</c:v>
                </c:pt>
                <c:pt idx="3">
                  <c:v>9.7208668055555562E-3</c:v>
                </c:pt>
                <c:pt idx="4">
                  <c:v>1.2144422222222223E-2</c:v>
                </c:pt>
                <c:pt idx="5">
                  <c:v>1.5093681990740741E-2</c:v>
                </c:pt>
                <c:pt idx="6">
                  <c:v>1.7525230949074072E-2</c:v>
                </c:pt>
                <c:pt idx="7">
                  <c:v>1.9954115393518518E-2</c:v>
                </c:pt>
                <c:pt idx="8">
                  <c:v>2.2380335324074074E-2</c:v>
                </c:pt>
                <c:pt idx="9">
                  <c:v>2.4803890740740742E-2</c:v>
                </c:pt>
                <c:pt idx="10">
                  <c:v>2.7224781643518516E-2</c:v>
                </c:pt>
                <c:pt idx="11">
                  <c:v>2.9643008032407409E-2</c:v>
                </c:pt>
                <c:pt idx="12">
                  <c:v>3.2058569907407408E-2</c:v>
                </c:pt>
                <c:pt idx="13">
                  <c:v>3.4471467268518519E-2</c:v>
                </c:pt>
                <c:pt idx="14">
                  <c:v>3.6881700115740747E-2</c:v>
                </c:pt>
                <c:pt idx="15">
                  <c:v>3.9289268449074079E-2</c:v>
                </c:pt>
                <c:pt idx="16">
                  <c:v>4.1694172268518521E-2</c:v>
                </c:pt>
                <c:pt idx="17">
                  <c:v>4.4879976388888888E-2</c:v>
                </c:pt>
                <c:pt idx="18">
                  <c:v>4.7314189861111113E-2</c:v>
                </c:pt>
                <c:pt idx="19">
                  <c:v>4.9745738819444447E-2</c:v>
                </c:pt>
                <c:pt idx="20">
                  <c:v>5.2174623263888893E-2</c:v>
                </c:pt>
                <c:pt idx="21">
                  <c:v>5.4600843194444443E-2</c:v>
                </c:pt>
                <c:pt idx="22">
                  <c:v>5.7024398611111117E-2</c:v>
                </c:pt>
                <c:pt idx="23">
                  <c:v>5.9445289513888895E-2</c:v>
                </c:pt>
                <c:pt idx="24">
                  <c:v>6.1863515902777784E-2</c:v>
                </c:pt>
                <c:pt idx="25">
                  <c:v>6.4279077777777791E-2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B6-435A-833A-3DBBDCBE5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936624"/>
        <c:axId val="627932688"/>
      </c:scatterChart>
      <c:valAx>
        <c:axId val="62793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32688"/>
        <c:crosses val="autoZero"/>
        <c:crossBetween val="midCat"/>
      </c:valAx>
      <c:valAx>
        <c:axId val="6279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3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85725</xdr:colOff>
      <xdr:row>1</xdr:row>
      <xdr:rowOff>23811</xdr:rowOff>
    </xdr:from>
    <xdr:to>
      <xdr:col>45</xdr:col>
      <xdr:colOff>409575</xdr:colOff>
      <xdr:row>16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C2331E-FC28-434E-950E-1A1312482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600075</xdr:colOff>
      <xdr:row>19</xdr:row>
      <xdr:rowOff>152400</xdr:rowOff>
    </xdr:from>
    <xdr:to>
      <xdr:col>53</xdr:col>
      <xdr:colOff>314325</xdr:colOff>
      <xdr:row>53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5942A4-8901-41A6-A5F8-5190C0F94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3260-C6EB-4B00-B83A-42AE4E674F8F}">
  <dimension ref="B1:AH53"/>
  <sheetViews>
    <sheetView zoomScale="80" zoomScaleNormal="80" workbookViewId="0">
      <selection activeCell="AA23" sqref="AA23"/>
    </sheetView>
  </sheetViews>
  <sheetFormatPr defaultRowHeight="15" x14ac:dyDescent="0.25"/>
  <cols>
    <col min="3" max="3" width="14.85546875" customWidth="1"/>
    <col min="4" max="4" width="13" customWidth="1"/>
    <col min="5" max="5" width="15.28515625" customWidth="1"/>
    <col min="6" max="6" width="12" customWidth="1"/>
    <col min="7" max="7" width="16.42578125" customWidth="1"/>
    <col min="8" max="8" width="17.28515625" customWidth="1"/>
    <col min="9" max="9" width="13" bestFit="1" customWidth="1"/>
    <col min="10" max="10" width="13" customWidth="1"/>
  </cols>
  <sheetData>
    <row r="1" spans="2:34" ht="18.75" x14ac:dyDescent="0.3">
      <c r="K1" s="19" t="s">
        <v>18</v>
      </c>
      <c r="L1" s="20"/>
      <c r="M1" s="20"/>
      <c r="N1" s="20"/>
      <c r="O1" s="20"/>
      <c r="P1" s="20"/>
      <c r="Q1" s="21"/>
      <c r="R1" s="21"/>
      <c r="S1" s="21"/>
      <c r="T1" s="33"/>
      <c r="U1" s="21"/>
      <c r="V1" s="22"/>
      <c r="W1" s="19" t="s">
        <v>29</v>
      </c>
      <c r="X1" s="20"/>
      <c r="Y1" s="20"/>
      <c r="Z1" s="20"/>
      <c r="AA1" s="20"/>
      <c r="AB1" s="20"/>
      <c r="AC1" s="21"/>
      <c r="AD1" s="21"/>
      <c r="AE1" s="21"/>
      <c r="AF1" s="33"/>
      <c r="AG1" s="21"/>
      <c r="AH1" s="22"/>
    </row>
    <row r="2" spans="2:34" ht="19.5" thickBot="1" x14ac:dyDescent="0.35">
      <c r="K2" s="35" t="s">
        <v>10</v>
      </c>
      <c r="L2" s="32"/>
      <c r="M2" s="32">
        <v>12</v>
      </c>
      <c r="N2" s="32" t="s">
        <v>21</v>
      </c>
      <c r="O2" s="32"/>
      <c r="P2" s="32"/>
      <c r="Q2" s="33"/>
      <c r="R2" s="33"/>
      <c r="S2" s="33"/>
      <c r="T2" s="33"/>
      <c r="U2" s="33"/>
      <c r="V2" s="36"/>
      <c r="W2" s="35" t="s">
        <v>10</v>
      </c>
      <c r="X2" s="32"/>
      <c r="Y2" s="32">
        <v>12</v>
      </c>
      <c r="Z2" s="32" t="s">
        <v>21</v>
      </c>
      <c r="AA2" s="32" t="s">
        <v>30</v>
      </c>
      <c r="AB2" s="32" t="s">
        <v>31</v>
      </c>
      <c r="AC2" s="33"/>
      <c r="AD2" s="33"/>
      <c r="AE2" s="32">
        <v>965</v>
      </c>
      <c r="AF2" s="32" t="s">
        <v>32</v>
      </c>
      <c r="AG2" s="33"/>
      <c r="AH2" s="36"/>
    </row>
    <row r="3" spans="2:34" ht="57" thickBot="1" x14ac:dyDescent="0.35">
      <c r="B3" s="23" t="s">
        <v>0</v>
      </c>
      <c r="C3" s="24" t="s">
        <v>6</v>
      </c>
      <c r="D3" s="24" t="s">
        <v>1</v>
      </c>
      <c r="E3" s="24" t="s">
        <v>5</v>
      </c>
      <c r="F3" s="24" t="s">
        <v>2</v>
      </c>
      <c r="G3" s="24" t="s">
        <v>3</v>
      </c>
      <c r="H3" s="24" t="s">
        <v>4</v>
      </c>
      <c r="I3" s="24" t="s">
        <v>7</v>
      </c>
      <c r="J3" s="25" t="s">
        <v>22</v>
      </c>
      <c r="K3" s="34" t="s">
        <v>14</v>
      </c>
      <c r="L3" s="31" t="s">
        <v>15</v>
      </c>
      <c r="M3" s="31" t="s">
        <v>16</v>
      </c>
      <c r="N3" s="31" t="s">
        <v>17</v>
      </c>
      <c r="O3" s="31" t="s">
        <v>19</v>
      </c>
      <c r="P3" s="31" t="s">
        <v>20</v>
      </c>
      <c r="Q3" s="31" t="s">
        <v>23</v>
      </c>
      <c r="R3" s="31" t="s">
        <v>24</v>
      </c>
      <c r="S3" s="31" t="s">
        <v>25</v>
      </c>
      <c r="T3" s="31" t="s">
        <v>26</v>
      </c>
      <c r="U3" s="30" t="s">
        <v>27</v>
      </c>
      <c r="V3" s="37" t="s">
        <v>28</v>
      </c>
      <c r="W3" s="34" t="s">
        <v>14</v>
      </c>
      <c r="X3" s="31" t="s">
        <v>15</v>
      </c>
      <c r="Y3" s="31" t="s">
        <v>16</v>
      </c>
      <c r="Z3" s="31" t="s">
        <v>17</v>
      </c>
      <c r="AA3" s="31" t="s">
        <v>19</v>
      </c>
      <c r="AB3" s="31" t="s">
        <v>20</v>
      </c>
      <c r="AC3" s="31" t="s">
        <v>23</v>
      </c>
      <c r="AD3" s="31" t="s">
        <v>24</v>
      </c>
      <c r="AE3" s="31" t="s">
        <v>25</v>
      </c>
      <c r="AF3" s="31" t="s">
        <v>26</v>
      </c>
      <c r="AG3" s="30" t="s">
        <v>27</v>
      </c>
      <c r="AH3" s="37" t="s">
        <v>28</v>
      </c>
    </row>
    <row r="4" spans="2:34" x14ac:dyDescent="0.25">
      <c r="B4" s="10">
        <v>1</v>
      </c>
      <c r="C4" s="11">
        <v>1000</v>
      </c>
      <c r="D4" s="11">
        <v>17.329999999999998</v>
      </c>
      <c r="E4" s="11">
        <v>44.834000000000003</v>
      </c>
      <c r="F4" s="11">
        <f>E4-D4</f>
        <v>27.504000000000005</v>
      </c>
      <c r="G4" s="11">
        <v>5.45</v>
      </c>
      <c r="H4" s="11">
        <v>0.46700000000000003</v>
      </c>
      <c r="I4" s="11">
        <f>G4-H4</f>
        <v>4.9830000000000005</v>
      </c>
      <c r="J4" s="12">
        <f>$G$13-I4</f>
        <v>72.47</v>
      </c>
      <c r="K4" s="38">
        <f>1*J4+11*$G$13</f>
        <v>924.45300000000009</v>
      </c>
      <c r="L4" s="26">
        <f>2*$J4+10*$G$13</f>
        <v>919.47</v>
      </c>
      <c r="M4" s="26">
        <f>3*$J4+9*$G$13</f>
        <v>914.48699999999997</v>
      </c>
      <c r="N4" s="26">
        <f>4*$J4+8*$G$13</f>
        <v>909.50400000000002</v>
      </c>
      <c r="O4" s="26">
        <f>5*$J4+7*$G$13</f>
        <v>904.52100000000007</v>
      </c>
      <c r="P4" s="26">
        <f>6*$J4+6*$G$13</f>
        <v>899.53800000000001</v>
      </c>
      <c r="Q4" s="26">
        <f>7*$J4+5*$G$13</f>
        <v>894.55499999999995</v>
      </c>
      <c r="R4" s="26">
        <f>8*$J4+4*$G$13</f>
        <v>889.572</v>
      </c>
      <c r="S4" s="26">
        <f>9*$J4+3*$G$13</f>
        <v>884.58900000000006</v>
      </c>
      <c r="T4" s="26">
        <f>10*$J4+2*$G$13</f>
        <v>879.60599999999999</v>
      </c>
      <c r="U4" s="26">
        <f>11*$J4+1*$G$13</f>
        <v>874.62299999999993</v>
      </c>
      <c r="V4" s="27">
        <f>12*$J4</f>
        <v>869.64</v>
      </c>
      <c r="W4" s="52">
        <f>(K4-$AE$2)/$AE$2</f>
        <v>-4.2017616580310786E-2</v>
      </c>
      <c r="X4" s="44">
        <f t="shared" ref="X4:AH4" si="0">(L4-$AE$2)/$AE$2</f>
        <v>-4.718134715025904E-2</v>
      </c>
      <c r="Y4" s="44">
        <f t="shared" si="0"/>
        <v>-5.2345077720207286E-2</v>
      </c>
      <c r="Z4" s="44">
        <f t="shared" si="0"/>
        <v>-5.7508808290155422E-2</v>
      </c>
      <c r="AA4" s="44">
        <f t="shared" si="0"/>
        <v>-6.2672538860103558E-2</v>
      </c>
      <c r="AB4" s="44">
        <f t="shared" si="0"/>
        <v>-6.7836269430051804E-2</v>
      </c>
      <c r="AC4" s="44">
        <f t="shared" si="0"/>
        <v>-7.3000000000000051E-2</v>
      </c>
      <c r="AD4" s="44">
        <f t="shared" si="0"/>
        <v>-7.8163730569948187E-2</v>
      </c>
      <c r="AE4" s="44">
        <f t="shared" si="0"/>
        <v>-8.3327461139896322E-2</v>
      </c>
      <c r="AF4" s="44">
        <f t="shared" si="0"/>
        <v>-8.8491191709844569E-2</v>
      </c>
      <c r="AG4" s="44">
        <f t="shared" si="0"/>
        <v>-9.3654922279792815E-2</v>
      </c>
      <c r="AH4" s="45">
        <f t="shared" si="0"/>
        <v>-9.8818652849740951E-2</v>
      </c>
    </row>
    <row r="5" spans="2:34" x14ac:dyDescent="0.25">
      <c r="B5" s="13">
        <v>2</v>
      </c>
      <c r="C5" s="14">
        <v>1900</v>
      </c>
      <c r="D5" s="14">
        <v>15.928000000000001</v>
      </c>
      <c r="E5" s="14">
        <v>40.35</v>
      </c>
      <c r="F5" s="14">
        <f t="shared" ref="F5:F12" si="1">E5-D5</f>
        <v>24.422000000000001</v>
      </c>
      <c r="G5" s="14">
        <v>5.42</v>
      </c>
      <c r="H5" s="14">
        <v>0.38800000000000001</v>
      </c>
      <c r="I5" s="14">
        <f t="shared" ref="I5:I12" si="2">G5-H5</f>
        <v>5.032</v>
      </c>
      <c r="J5" s="18">
        <f t="shared" ref="J5:J12" si="3">$G$13-I5</f>
        <v>72.421000000000006</v>
      </c>
      <c r="K5" s="13">
        <f t="shared" ref="K5:K12" si="4">1*J5+11*$G$13</f>
        <v>924.40400000000011</v>
      </c>
      <c r="L5" s="14">
        <f t="shared" ref="L5:L12" si="5">2*$J5+10*$G$13</f>
        <v>919.37199999999996</v>
      </c>
      <c r="M5" s="14">
        <f t="shared" ref="M5:M12" si="6">3*$J5+9*$G$13</f>
        <v>914.34</v>
      </c>
      <c r="N5" s="14">
        <f t="shared" ref="N5:N12" si="7">4*$J5+8*$G$13</f>
        <v>909.30799999999999</v>
      </c>
      <c r="O5" s="14">
        <f t="shared" ref="O5:O12" si="8">5*$J5+7*$G$13</f>
        <v>904.27600000000007</v>
      </c>
      <c r="P5" s="14">
        <f t="shared" ref="P5:P12" si="9">6*$J5+6*$G$13</f>
        <v>899.24400000000014</v>
      </c>
      <c r="Q5" s="14">
        <f t="shared" ref="Q5:Q12" si="10">7*$J5+5*$G$13</f>
        <v>894.21199999999999</v>
      </c>
      <c r="R5" s="14">
        <f t="shared" ref="R5:R12" si="11">8*$J5+4*$G$13</f>
        <v>889.18000000000006</v>
      </c>
      <c r="S5" s="14">
        <f t="shared" ref="S5:S12" si="12">9*$J5+3*$G$13</f>
        <v>884.14800000000014</v>
      </c>
      <c r="T5" s="14">
        <f t="shared" ref="T5:T11" si="13">10*$J5+2*$G$13</f>
        <v>879.11599999999999</v>
      </c>
      <c r="U5" s="14">
        <f t="shared" ref="U5:U12" si="14">11*$J5+1*$G$13</f>
        <v>874.08400000000006</v>
      </c>
      <c r="V5" s="18">
        <f>12*$J5</f>
        <v>869.05200000000013</v>
      </c>
      <c r="W5" s="53">
        <f t="shared" ref="W5:W12" si="15">(K5-$AE$2)/$AE$2</f>
        <v>-4.2068393782383307E-2</v>
      </c>
      <c r="X5" s="46">
        <f t="shared" ref="X5:X12" si="16">(L5-$AE$2)/$AE$2</f>
        <v>-4.7282901554404191E-2</v>
      </c>
      <c r="Y5" s="46">
        <f t="shared" ref="Y5:Y12" si="17">(M5-$AE$2)/$AE$2</f>
        <v>-5.249740932642484E-2</v>
      </c>
      <c r="Z5" s="46">
        <f t="shared" ref="Z5:Z12" si="18">(N5-$AE$2)/$AE$2</f>
        <v>-5.77119170984456E-2</v>
      </c>
      <c r="AA5" s="46">
        <f t="shared" ref="AA5:AA12" si="19">(O5-$AE$2)/$AE$2</f>
        <v>-6.2926424870466249E-2</v>
      </c>
      <c r="AB5" s="46">
        <f t="shared" ref="AB5:AB12" si="20">(P5-$AE$2)/$AE$2</f>
        <v>-6.8140932642486898E-2</v>
      </c>
      <c r="AC5" s="46">
        <f t="shared" ref="AC5:AC12" si="21">(Q5-$AE$2)/$AE$2</f>
        <v>-7.3355440414507783E-2</v>
      </c>
      <c r="AD5" s="46">
        <f t="shared" ref="AD5:AD12" si="22">(R5-$AE$2)/$AE$2</f>
        <v>-7.8569948186528432E-2</v>
      </c>
      <c r="AE5" s="46">
        <f t="shared" ref="AE5:AE12" si="23">(S5-$AE$2)/$AE$2</f>
        <v>-8.3784455958549081E-2</v>
      </c>
      <c r="AF5" s="46">
        <f t="shared" ref="AF5:AF12" si="24">(T5-$AE$2)/$AE$2</f>
        <v>-8.8998963730569966E-2</v>
      </c>
      <c r="AG5" s="46">
        <f t="shared" ref="AG5:AG12" si="25">(U5-$AE$2)/$AE$2</f>
        <v>-9.4213471502590615E-2</v>
      </c>
      <c r="AH5" s="47">
        <f t="shared" ref="AH5:AH12" si="26">(V5-$AE$2)/$AE$2</f>
        <v>-9.9427979274611264E-2</v>
      </c>
    </row>
    <row r="6" spans="2:34" x14ac:dyDescent="0.25">
      <c r="B6" s="10">
        <v>3</v>
      </c>
      <c r="C6" s="11">
        <v>4300</v>
      </c>
      <c r="D6" s="11">
        <v>33.183</v>
      </c>
      <c r="E6" s="11">
        <v>107.601</v>
      </c>
      <c r="F6" s="11">
        <f t="shared" si="1"/>
        <v>74.418000000000006</v>
      </c>
      <c r="G6" s="11">
        <v>13.994999999999999</v>
      </c>
      <c r="H6" s="11">
        <v>0.95199999999999996</v>
      </c>
      <c r="I6" s="11">
        <f t="shared" si="2"/>
        <v>13.042999999999999</v>
      </c>
      <c r="J6" s="12">
        <f t="shared" si="3"/>
        <v>64.41</v>
      </c>
      <c r="K6" s="10">
        <f t="shared" si="4"/>
        <v>916.39300000000003</v>
      </c>
      <c r="L6" s="11">
        <f t="shared" si="5"/>
        <v>903.34999999999991</v>
      </c>
      <c r="M6" s="11">
        <f t="shared" si="6"/>
        <v>890.30700000000002</v>
      </c>
      <c r="N6" s="11">
        <f t="shared" si="7"/>
        <v>877.26400000000001</v>
      </c>
      <c r="O6" s="11">
        <f t="shared" si="8"/>
        <v>864.221</v>
      </c>
      <c r="P6" s="11">
        <f t="shared" si="9"/>
        <v>851.178</v>
      </c>
      <c r="Q6" s="11">
        <f t="shared" si="10"/>
        <v>838.13499999999999</v>
      </c>
      <c r="R6" s="11">
        <f t="shared" si="11"/>
        <v>825.09199999999998</v>
      </c>
      <c r="S6" s="11">
        <f t="shared" si="12"/>
        <v>812.04899999999998</v>
      </c>
      <c r="T6" s="11">
        <f t="shared" si="13"/>
        <v>799.00599999999986</v>
      </c>
      <c r="U6" s="11">
        <f t="shared" si="14"/>
        <v>785.96299999999997</v>
      </c>
      <c r="V6" s="12">
        <f t="shared" ref="V6:V12" si="27">12*$J6</f>
        <v>772.92</v>
      </c>
      <c r="W6" s="54">
        <f t="shared" si="15"/>
        <v>-5.0369948186528464E-2</v>
      </c>
      <c r="X6" s="48">
        <f t="shared" si="16"/>
        <v>-6.3886010362694395E-2</v>
      </c>
      <c r="Y6" s="48">
        <f t="shared" si="17"/>
        <v>-7.7402072538860084E-2</v>
      </c>
      <c r="Z6" s="48">
        <f t="shared" si="18"/>
        <v>-9.0918134715025897E-2</v>
      </c>
      <c r="AA6" s="48">
        <f t="shared" si="19"/>
        <v>-0.10443419689119171</v>
      </c>
      <c r="AB6" s="48">
        <f t="shared" si="20"/>
        <v>-0.11795025906735751</v>
      </c>
      <c r="AC6" s="48">
        <f t="shared" si="21"/>
        <v>-0.13146632124352334</v>
      </c>
      <c r="AD6" s="48">
        <f t="shared" si="22"/>
        <v>-0.14498238341968914</v>
      </c>
      <c r="AE6" s="48">
        <f t="shared" si="23"/>
        <v>-0.15849844559585494</v>
      </c>
      <c r="AF6" s="48">
        <f t="shared" si="24"/>
        <v>-0.17201450777202087</v>
      </c>
      <c r="AG6" s="48">
        <f t="shared" si="25"/>
        <v>-0.18553056994818656</v>
      </c>
      <c r="AH6" s="49">
        <f t="shared" si="26"/>
        <v>-0.19904663212435236</v>
      </c>
    </row>
    <row r="7" spans="2:34" x14ac:dyDescent="0.25">
      <c r="B7" s="13">
        <v>4</v>
      </c>
      <c r="C7" s="14">
        <v>6500</v>
      </c>
      <c r="D7" s="14">
        <v>31.550999999999998</v>
      </c>
      <c r="E7" s="14">
        <v>98.634</v>
      </c>
      <c r="F7" s="14">
        <f t="shared" si="1"/>
        <v>67.082999999999998</v>
      </c>
      <c r="G7" s="14">
        <v>13.15</v>
      </c>
      <c r="H7" s="14">
        <v>0.875</v>
      </c>
      <c r="I7" s="14">
        <f t="shared" si="2"/>
        <v>12.275</v>
      </c>
      <c r="J7" s="18">
        <f t="shared" si="3"/>
        <v>65.177999999999997</v>
      </c>
      <c r="K7" s="13">
        <f t="shared" si="4"/>
        <v>917.16100000000006</v>
      </c>
      <c r="L7" s="14">
        <f t="shared" si="5"/>
        <v>904.88599999999997</v>
      </c>
      <c r="M7" s="14">
        <f t="shared" si="6"/>
        <v>892.61099999999999</v>
      </c>
      <c r="N7" s="14">
        <f t="shared" si="7"/>
        <v>880.33600000000001</v>
      </c>
      <c r="O7" s="14">
        <f t="shared" si="8"/>
        <v>868.06100000000004</v>
      </c>
      <c r="P7" s="14">
        <f t="shared" si="9"/>
        <v>855.78600000000006</v>
      </c>
      <c r="Q7" s="14">
        <f t="shared" si="10"/>
        <v>843.51099999999997</v>
      </c>
      <c r="R7" s="14">
        <f t="shared" si="11"/>
        <v>831.23599999999999</v>
      </c>
      <c r="S7" s="14">
        <f t="shared" si="12"/>
        <v>818.96100000000001</v>
      </c>
      <c r="T7" s="14">
        <f t="shared" si="13"/>
        <v>806.68599999999992</v>
      </c>
      <c r="U7" s="14">
        <f t="shared" si="14"/>
        <v>794.41099999999994</v>
      </c>
      <c r="V7" s="18">
        <f t="shared" si="27"/>
        <v>782.13599999999997</v>
      </c>
      <c r="W7" s="53">
        <f t="shared" si="15"/>
        <v>-4.9574093264248643E-2</v>
      </c>
      <c r="X7" s="46">
        <f t="shared" si="16"/>
        <v>-6.2294300518134747E-2</v>
      </c>
      <c r="Y7" s="46">
        <f t="shared" si="17"/>
        <v>-7.5014507772020733E-2</v>
      </c>
      <c r="Z7" s="46">
        <f t="shared" si="18"/>
        <v>-8.7734715025906726E-2</v>
      </c>
      <c r="AA7" s="46">
        <f t="shared" si="19"/>
        <v>-0.1004549222797927</v>
      </c>
      <c r="AB7" s="46">
        <f t="shared" si="20"/>
        <v>-0.1131751295336787</v>
      </c>
      <c r="AC7" s="46">
        <f t="shared" si="21"/>
        <v>-0.12589533678756479</v>
      </c>
      <c r="AD7" s="46">
        <f t="shared" si="22"/>
        <v>-0.13861554404145079</v>
      </c>
      <c r="AE7" s="46">
        <f t="shared" si="23"/>
        <v>-0.15133575129533677</v>
      </c>
      <c r="AF7" s="46">
        <f t="shared" si="24"/>
        <v>-0.16405595854922289</v>
      </c>
      <c r="AG7" s="46">
        <f t="shared" si="25"/>
        <v>-0.17677616580310887</v>
      </c>
      <c r="AH7" s="47">
        <f t="shared" si="26"/>
        <v>-0.18949637305699485</v>
      </c>
    </row>
    <row r="8" spans="2:34" x14ac:dyDescent="0.25">
      <c r="B8" s="10">
        <v>5</v>
      </c>
      <c r="C8" s="11">
        <v>7900</v>
      </c>
      <c r="D8" s="11">
        <v>21.170999999999999</v>
      </c>
      <c r="E8" s="11">
        <v>62.767000000000003</v>
      </c>
      <c r="F8" s="11">
        <f t="shared" si="1"/>
        <v>41.596000000000004</v>
      </c>
      <c r="G8" s="11">
        <v>7.7969999999999997</v>
      </c>
      <c r="H8" s="11">
        <v>0.6</v>
      </c>
      <c r="I8" s="11">
        <f t="shared" si="2"/>
        <v>7.1970000000000001</v>
      </c>
      <c r="J8" s="12">
        <f t="shared" si="3"/>
        <v>70.256</v>
      </c>
      <c r="K8" s="10">
        <f t="shared" si="4"/>
        <v>922.23900000000003</v>
      </c>
      <c r="L8" s="11">
        <f t="shared" si="5"/>
        <v>915.04199999999992</v>
      </c>
      <c r="M8" s="11">
        <f t="shared" si="6"/>
        <v>907.84500000000003</v>
      </c>
      <c r="N8" s="11">
        <f t="shared" si="7"/>
        <v>900.64800000000002</v>
      </c>
      <c r="O8" s="11">
        <f t="shared" si="8"/>
        <v>893.45100000000002</v>
      </c>
      <c r="P8" s="11">
        <f t="shared" si="9"/>
        <v>886.25400000000002</v>
      </c>
      <c r="Q8" s="11">
        <f t="shared" si="10"/>
        <v>879.05700000000002</v>
      </c>
      <c r="R8" s="11">
        <f t="shared" si="11"/>
        <v>871.86</v>
      </c>
      <c r="S8" s="11">
        <f t="shared" si="12"/>
        <v>864.66300000000001</v>
      </c>
      <c r="T8" s="11">
        <f t="shared" si="13"/>
        <v>857.46599999999989</v>
      </c>
      <c r="U8" s="11">
        <f t="shared" si="14"/>
        <v>850.26900000000001</v>
      </c>
      <c r="V8" s="12">
        <f t="shared" si="27"/>
        <v>843.072</v>
      </c>
      <c r="W8" s="54">
        <f t="shared" si="15"/>
        <v>-4.4311917098445563E-2</v>
      </c>
      <c r="X8" s="48">
        <f t="shared" si="16"/>
        <v>-5.1769948186528587E-2</v>
      </c>
      <c r="Y8" s="48">
        <f t="shared" si="17"/>
        <v>-5.9227979274611368E-2</v>
      </c>
      <c r="Z8" s="48">
        <f t="shared" si="18"/>
        <v>-6.6686010362694281E-2</v>
      </c>
      <c r="AA8" s="48">
        <f t="shared" si="19"/>
        <v>-7.4144041450777173E-2</v>
      </c>
      <c r="AB8" s="48">
        <f t="shared" si="20"/>
        <v>-8.1602072538860079E-2</v>
      </c>
      <c r="AC8" s="48">
        <f t="shared" si="21"/>
        <v>-8.9060103626942985E-2</v>
      </c>
      <c r="AD8" s="48">
        <f t="shared" si="22"/>
        <v>-9.6518134715025891E-2</v>
      </c>
      <c r="AE8" s="48">
        <f t="shared" si="23"/>
        <v>-0.1039761658031088</v>
      </c>
      <c r="AF8" s="48">
        <f t="shared" si="24"/>
        <v>-0.11143419689119181</v>
      </c>
      <c r="AG8" s="48">
        <f t="shared" si="25"/>
        <v>-0.11889222797927461</v>
      </c>
      <c r="AH8" s="49">
        <f t="shared" si="26"/>
        <v>-0.1263502590673575</v>
      </c>
    </row>
    <row r="9" spans="2:34" x14ac:dyDescent="0.25">
      <c r="B9" s="13">
        <v>6</v>
      </c>
      <c r="C9" s="14">
        <v>10200</v>
      </c>
      <c r="D9" s="14">
        <v>35.454999999999998</v>
      </c>
      <c r="E9" s="14">
        <v>103.11799999999999</v>
      </c>
      <c r="F9" s="14">
        <f t="shared" si="1"/>
        <v>67.662999999999997</v>
      </c>
      <c r="G9" s="14">
        <v>12.532999999999999</v>
      </c>
      <c r="H9" s="14">
        <v>0.99199999999999999</v>
      </c>
      <c r="I9" s="14">
        <f t="shared" si="2"/>
        <v>11.541</v>
      </c>
      <c r="J9" s="18">
        <f t="shared" si="3"/>
        <v>65.912000000000006</v>
      </c>
      <c r="K9" s="13">
        <f t="shared" si="4"/>
        <v>917.8950000000001</v>
      </c>
      <c r="L9" s="14">
        <f t="shared" si="5"/>
        <v>906.35400000000004</v>
      </c>
      <c r="M9" s="14">
        <f t="shared" si="6"/>
        <v>894.81299999999999</v>
      </c>
      <c r="N9" s="14">
        <f t="shared" si="7"/>
        <v>883.27200000000005</v>
      </c>
      <c r="O9" s="14">
        <f t="shared" si="8"/>
        <v>871.73100000000011</v>
      </c>
      <c r="P9" s="14">
        <f t="shared" si="9"/>
        <v>860.19</v>
      </c>
      <c r="Q9" s="14">
        <f t="shared" si="10"/>
        <v>848.649</v>
      </c>
      <c r="R9" s="14">
        <f t="shared" si="11"/>
        <v>837.10800000000006</v>
      </c>
      <c r="S9" s="14">
        <f t="shared" si="12"/>
        <v>825.56700000000012</v>
      </c>
      <c r="T9" s="14">
        <f t="shared" si="13"/>
        <v>814.02600000000007</v>
      </c>
      <c r="U9" s="14">
        <f t="shared" si="14"/>
        <v>802.48500000000001</v>
      </c>
      <c r="V9" s="18">
        <f t="shared" si="27"/>
        <v>790.94400000000007</v>
      </c>
      <c r="W9" s="53">
        <f t="shared" si="15"/>
        <v>-4.8813471502590577E-2</v>
      </c>
      <c r="X9" s="46">
        <f t="shared" si="16"/>
        <v>-6.0773056994818608E-2</v>
      </c>
      <c r="Y9" s="46">
        <f t="shared" si="17"/>
        <v>-7.2732642487046639E-2</v>
      </c>
      <c r="Z9" s="46">
        <f t="shared" si="18"/>
        <v>-8.4692227979274559E-2</v>
      </c>
      <c r="AA9" s="46">
        <f t="shared" si="19"/>
        <v>-9.6651813471502479E-2</v>
      </c>
      <c r="AB9" s="46">
        <f t="shared" si="20"/>
        <v>-0.10861139896373051</v>
      </c>
      <c r="AC9" s="46">
        <f t="shared" si="21"/>
        <v>-0.12057098445595855</v>
      </c>
      <c r="AD9" s="46">
        <f t="shared" si="22"/>
        <v>-0.13253056994818646</v>
      </c>
      <c r="AE9" s="46">
        <f t="shared" si="23"/>
        <v>-0.14449015544041438</v>
      </c>
      <c r="AF9" s="46">
        <f t="shared" si="24"/>
        <v>-0.15644974093264241</v>
      </c>
      <c r="AG9" s="46">
        <f t="shared" si="25"/>
        <v>-0.16840932642487044</v>
      </c>
      <c r="AH9" s="47">
        <f t="shared" si="26"/>
        <v>-0.18036891191709836</v>
      </c>
    </row>
    <row r="10" spans="2:34" x14ac:dyDescent="0.25">
      <c r="B10" s="10">
        <v>7</v>
      </c>
      <c r="C10" s="11">
        <v>11400</v>
      </c>
      <c r="D10" s="11">
        <v>16.547000000000001</v>
      </c>
      <c r="E10" s="11">
        <v>53.8</v>
      </c>
      <c r="F10" s="11">
        <f t="shared" si="1"/>
        <v>37.253</v>
      </c>
      <c r="G10" s="11">
        <v>8.09</v>
      </c>
      <c r="H10" s="11">
        <v>0.45600000000000002</v>
      </c>
      <c r="I10" s="11">
        <f t="shared" si="2"/>
        <v>7.6339999999999995</v>
      </c>
      <c r="J10" s="12">
        <f t="shared" si="3"/>
        <v>69.819000000000003</v>
      </c>
      <c r="K10" s="10">
        <f t="shared" si="4"/>
        <v>921.80200000000002</v>
      </c>
      <c r="L10" s="11">
        <f t="shared" si="5"/>
        <v>914.16800000000001</v>
      </c>
      <c r="M10" s="11">
        <f t="shared" si="6"/>
        <v>906.53399999999999</v>
      </c>
      <c r="N10" s="11">
        <f t="shared" si="7"/>
        <v>898.90000000000009</v>
      </c>
      <c r="O10" s="11">
        <f t="shared" si="8"/>
        <v>891.26600000000008</v>
      </c>
      <c r="P10" s="11">
        <f t="shared" si="9"/>
        <v>883.63200000000006</v>
      </c>
      <c r="Q10" s="11">
        <f t="shared" si="10"/>
        <v>875.99800000000005</v>
      </c>
      <c r="R10" s="11">
        <f t="shared" si="11"/>
        <v>868.36400000000003</v>
      </c>
      <c r="S10" s="11">
        <f t="shared" si="12"/>
        <v>860.73</v>
      </c>
      <c r="T10" s="11">
        <f t="shared" si="13"/>
        <v>853.096</v>
      </c>
      <c r="U10" s="11">
        <f t="shared" si="14"/>
        <v>845.46199999999999</v>
      </c>
      <c r="V10" s="12">
        <f t="shared" si="27"/>
        <v>837.82799999999997</v>
      </c>
      <c r="W10" s="54">
        <f t="shared" si="15"/>
        <v>-4.4764766839378217E-2</v>
      </c>
      <c r="X10" s="48">
        <f t="shared" si="16"/>
        <v>-5.2675647668393777E-2</v>
      </c>
      <c r="Y10" s="48">
        <f t="shared" si="17"/>
        <v>-6.0586528497409337E-2</v>
      </c>
      <c r="Z10" s="48">
        <f t="shared" si="18"/>
        <v>-6.8497409326424771E-2</v>
      </c>
      <c r="AA10" s="48">
        <f t="shared" si="19"/>
        <v>-7.6408290155440331E-2</v>
      </c>
      <c r="AB10" s="48">
        <f t="shared" si="20"/>
        <v>-8.4319170984455891E-2</v>
      </c>
      <c r="AC10" s="48">
        <f t="shared" si="21"/>
        <v>-9.223005181347145E-2</v>
      </c>
      <c r="AD10" s="48">
        <f t="shared" si="22"/>
        <v>-0.10014093264248701</v>
      </c>
      <c r="AE10" s="48">
        <f t="shared" si="23"/>
        <v>-0.10805181347150257</v>
      </c>
      <c r="AF10" s="48">
        <f t="shared" si="24"/>
        <v>-0.11596269430051813</v>
      </c>
      <c r="AG10" s="48">
        <f t="shared" si="25"/>
        <v>-0.12387357512953369</v>
      </c>
      <c r="AH10" s="49">
        <f t="shared" si="26"/>
        <v>-0.13178445595854926</v>
      </c>
    </row>
    <row r="11" spans="2:34" x14ac:dyDescent="0.25">
      <c r="B11" s="13">
        <v>8</v>
      </c>
      <c r="C11" s="14">
        <v>12600</v>
      </c>
      <c r="D11" s="14">
        <v>18.131</v>
      </c>
      <c r="E11" s="14">
        <v>53.8</v>
      </c>
      <c r="F11" s="14">
        <f t="shared" si="1"/>
        <v>35.668999999999997</v>
      </c>
      <c r="G11" s="14">
        <v>6.34</v>
      </c>
      <c r="H11" s="14">
        <v>0.49</v>
      </c>
      <c r="I11" s="14">
        <f t="shared" si="2"/>
        <v>5.85</v>
      </c>
      <c r="J11" s="18">
        <f t="shared" si="3"/>
        <v>71.603000000000009</v>
      </c>
      <c r="K11" s="13">
        <f t="shared" si="4"/>
        <v>923.58600000000001</v>
      </c>
      <c r="L11" s="14">
        <f t="shared" si="5"/>
        <v>917.73599999999999</v>
      </c>
      <c r="M11" s="14">
        <f t="shared" si="6"/>
        <v>911.88599999999997</v>
      </c>
      <c r="N11" s="14">
        <f t="shared" si="7"/>
        <v>906.03600000000006</v>
      </c>
      <c r="O11" s="14">
        <f t="shared" si="8"/>
        <v>900.18600000000015</v>
      </c>
      <c r="P11" s="14">
        <f t="shared" si="9"/>
        <v>894.33600000000001</v>
      </c>
      <c r="Q11" s="14">
        <f t="shared" si="10"/>
        <v>888.4860000000001</v>
      </c>
      <c r="R11" s="14">
        <f t="shared" si="11"/>
        <v>882.63600000000008</v>
      </c>
      <c r="S11" s="14">
        <f t="shared" si="12"/>
        <v>876.78600000000017</v>
      </c>
      <c r="T11" s="14">
        <f t="shared" si="13"/>
        <v>870.93600000000015</v>
      </c>
      <c r="U11" s="14">
        <f t="shared" si="14"/>
        <v>865.08600000000001</v>
      </c>
      <c r="V11" s="18">
        <f t="shared" si="27"/>
        <v>859.2360000000001</v>
      </c>
      <c r="W11" s="53">
        <f t="shared" si="15"/>
        <v>-4.2916062176165788E-2</v>
      </c>
      <c r="X11" s="46">
        <f t="shared" si="16"/>
        <v>-4.8978238341968926E-2</v>
      </c>
      <c r="Y11" s="46">
        <f t="shared" si="17"/>
        <v>-5.5040414507772056E-2</v>
      </c>
      <c r="Z11" s="46">
        <f t="shared" si="18"/>
        <v>-6.1102590673575069E-2</v>
      </c>
      <c r="AA11" s="46">
        <f t="shared" si="19"/>
        <v>-6.7164766839378082E-2</v>
      </c>
      <c r="AB11" s="46">
        <f t="shared" si="20"/>
        <v>-7.322694300518133E-2</v>
      </c>
      <c r="AC11" s="46">
        <f t="shared" si="21"/>
        <v>-7.9289119170984343E-2</v>
      </c>
      <c r="AD11" s="46">
        <f t="shared" si="22"/>
        <v>-8.535129533678748E-2</v>
      </c>
      <c r="AE11" s="46">
        <f t="shared" si="23"/>
        <v>-9.1413471502590493E-2</v>
      </c>
      <c r="AF11" s="46">
        <f t="shared" si="24"/>
        <v>-9.7475647668393631E-2</v>
      </c>
      <c r="AG11" s="46">
        <f t="shared" si="25"/>
        <v>-0.10353782383419688</v>
      </c>
      <c r="AH11" s="47">
        <f t="shared" si="26"/>
        <v>-0.10959999999999989</v>
      </c>
    </row>
    <row r="12" spans="2:34" ht="15.75" thickBot="1" x14ac:dyDescent="0.3">
      <c r="B12" s="10">
        <v>9</v>
      </c>
      <c r="C12" s="11">
        <v>13625</v>
      </c>
      <c r="D12" s="11">
        <v>18.021999999999998</v>
      </c>
      <c r="E12" s="11">
        <v>43.466999999999999</v>
      </c>
      <c r="F12" s="11">
        <f t="shared" si="1"/>
        <v>25.445</v>
      </c>
      <c r="G12" s="11">
        <v>4.6779999999999999</v>
      </c>
      <c r="H12" s="11">
        <v>0.47</v>
      </c>
      <c r="I12" s="11">
        <f t="shared" si="2"/>
        <v>4.2080000000000002</v>
      </c>
      <c r="J12" s="12">
        <f t="shared" si="3"/>
        <v>73.245000000000005</v>
      </c>
      <c r="K12" s="39">
        <f t="shared" si="4"/>
        <v>925.22800000000007</v>
      </c>
      <c r="L12" s="28">
        <f t="shared" si="5"/>
        <v>921.02</v>
      </c>
      <c r="M12" s="28">
        <f t="shared" si="6"/>
        <v>916.81200000000001</v>
      </c>
      <c r="N12" s="28">
        <f t="shared" si="7"/>
        <v>912.60400000000004</v>
      </c>
      <c r="O12" s="28">
        <f t="shared" si="8"/>
        <v>908.39600000000007</v>
      </c>
      <c r="P12" s="28">
        <f t="shared" si="9"/>
        <v>904.1880000000001</v>
      </c>
      <c r="Q12" s="28">
        <f t="shared" si="10"/>
        <v>899.98</v>
      </c>
      <c r="R12" s="28">
        <f t="shared" si="11"/>
        <v>895.77200000000005</v>
      </c>
      <c r="S12" s="28">
        <f t="shared" si="12"/>
        <v>891.56400000000008</v>
      </c>
      <c r="T12" s="28">
        <f>10*$J12+2*$G$13</f>
        <v>887.35599999999999</v>
      </c>
      <c r="U12" s="28">
        <f t="shared" si="14"/>
        <v>883.14800000000002</v>
      </c>
      <c r="V12" s="29">
        <f t="shared" si="27"/>
        <v>878.94</v>
      </c>
      <c r="W12" s="55">
        <f t="shared" si="15"/>
        <v>-4.121450777202066E-2</v>
      </c>
      <c r="X12" s="50">
        <f t="shared" si="16"/>
        <v>-4.5575129533678774E-2</v>
      </c>
      <c r="Y12" s="50">
        <f t="shared" si="17"/>
        <v>-4.9935751295336776E-2</v>
      </c>
      <c r="Z12" s="50">
        <f t="shared" si="18"/>
        <v>-5.4296373056994772E-2</v>
      </c>
      <c r="AA12" s="50">
        <f t="shared" si="19"/>
        <v>-5.8656994818652775E-2</v>
      </c>
      <c r="AB12" s="50">
        <f t="shared" si="20"/>
        <v>-6.301761658031077E-2</v>
      </c>
      <c r="AC12" s="50">
        <f t="shared" si="21"/>
        <v>-6.7378238341968891E-2</v>
      </c>
      <c r="AD12" s="50">
        <f t="shared" si="22"/>
        <v>-7.1738860103626886E-2</v>
      </c>
      <c r="AE12" s="50">
        <f t="shared" si="23"/>
        <v>-7.6099481865284896E-2</v>
      </c>
      <c r="AF12" s="50">
        <f t="shared" si="24"/>
        <v>-8.0460103626943016E-2</v>
      </c>
      <c r="AG12" s="50">
        <f t="shared" si="25"/>
        <v>-8.4820725388601012E-2</v>
      </c>
      <c r="AH12" s="51">
        <f t="shared" si="26"/>
        <v>-8.9181347150259008E-2</v>
      </c>
    </row>
    <row r="13" spans="2:34" ht="15.75" thickBot="1" x14ac:dyDescent="0.3">
      <c r="B13" s="15" t="s">
        <v>8</v>
      </c>
      <c r="C13" s="16">
        <v>13625</v>
      </c>
      <c r="D13" s="16">
        <f>SUM(D4:D12)</f>
        <v>207.31799999999998</v>
      </c>
      <c r="E13" s="16">
        <f>SUM(E4:E12)</f>
        <v>608.37099999999998</v>
      </c>
      <c r="F13" s="16">
        <f>E13-D13</f>
        <v>401.053</v>
      </c>
      <c r="G13" s="16">
        <f>SUM(G4:G12)</f>
        <v>77.453000000000003</v>
      </c>
      <c r="H13" s="16">
        <f>SUM(H4:H12)</f>
        <v>5.69</v>
      </c>
      <c r="I13" s="16">
        <f>SUM(I4:I12)</f>
        <v>71.762999999999991</v>
      </c>
      <c r="J13" s="17"/>
    </row>
    <row r="15" spans="2:34" x14ac:dyDescent="0.25">
      <c r="X15" s="43" t="s">
        <v>33</v>
      </c>
      <c r="Y15" s="43"/>
      <c r="Z15" s="43"/>
      <c r="AA15" s="43"/>
      <c r="AB15" s="43"/>
      <c r="AC15" s="43"/>
      <c r="AD15" s="43"/>
    </row>
    <row r="16" spans="2:34" ht="15.75" thickBot="1" x14ac:dyDescent="0.3"/>
    <row r="17" spans="2:22" ht="15.75" thickBot="1" x14ac:dyDescent="0.3">
      <c r="B17" s="100" t="s">
        <v>11</v>
      </c>
      <c r="C17" s="82"/>
      <c r="D17" s="82"/>
      <c r="E17" s="1">
        <v>965</v>
      </c>
    </row>
    <row r="18" spans="2:22" ht="15.75" thickBot="1" x14ac:dyDescent="0.3">
      <c r="B18" s="109" t="s">
        <v>10</v>
      </c>
      <c r="C18" s="92"/>
      <c r="D18" s="94" t="s">
        <v>9</v>
      </c>
      <c r="E18" s="93"/>
      <c r="F18" s="2" t="s">
        <v>12</v>
      </c>
      <c r="G18" s="6" t="s">
        <v>13</v>
      </c>
    </row>
    <row r="19" spans="2:22" x14ac:dyDescent="0.25">
      <c r="B19" s="110">
        <v>10</v>
      </c>
      <c r="C19" s="90"/>
      <c r="D19" s="107">
        <f>$E$17/B19</f>
        <v>96.5</v>
      </c>
      <c r="E19" s="108"/>
      <c r="F19" s="3"/>
      <c r="G19" s="7"/>
    </row>
    <row r="20" spans="2:22" x14ac:dyDescent="0.25">
      <c r="B20" s="110">
        <v>11</v>
      </c>
      <c r="C20" s="90"/>
      <c r="D20" s="107">
        <f t="shared" ref="D20:D23" si="28">$E$17/B20</f>
        <v>87.727272727272734</v>
      </c>
      <c r="E20" s="108"/>
      <c r="F20" s="4">
        <f>D19-D20</f>
        <v>8.7727272727272663</v>
      </c>
      <c r="G20" s="8">
        <f>F20*B20</f>
        <v>96.499999999999929</v>
      </c>
    </row>
    <row r="21" spans="2:22" x14ac:dyDescent="0.25">
      <c r="B21" s="110">
        <v>12</v>
      </c>
      <c r="C21" s="90"/>
      <c r="D21" s="107">
        <f t="shared" si="28"/>
        <v>80.416666666666671</v>
      </c>
      <c r="E21" s="108"/>
      <c r="F21" s="4">
        <f t="shared" ref="F21:F23" si="29">D20-D21</f>
        <v>7.3106060606060623</v>
      </c>
      <c r="G21" s="8">
        <f>F21*B21</f>
        <v>87.727272727272748</v>
      </c>
    </row>
    <row r="22" spans="2:22" x14ac:dyDescent="0.25">
      <c r="B22" s="110">
        <v>13</v>
      </c>
      <c r="C22" s="90"/>
      <c r="D22" s="107">
        <f t="shared" si="28"/>
        <v>74.230769230769226</v>
      </c>
      <c r="E22" s="108"/>
      <c r="F22" s="4">
        <f t="shared" si="29"/>
        <v>6.185897435897445</v>
      </c>
      <c r="G22" s="8">
        <f t="shared" ref="G22:G23" si="30">F22*B22</f>
        <v>80.416666666666785</v>
      </c>
    </row>
    <row r="23" spans="2:22" ht="15.75" thickBot="1" x14ac:dyDescent="0.3">
      <c r="B23" s="109">
        <v>14</v>
      </c>
      <c r="C23" s="92"/>
      <c r="D23" s="105">
        <f t="shared" si="28"/>
        <v>68.928571428571431</v>
      </c>
      <c r="E23" s="106"/>
      <c r="F23" s="5">
        <f t="shared" si="29"/>
        <v>5.3021978021977958</v>
      </c>
      <c r="G23" s="9">
        <f t="shared" si="30"/>
        <v>74.230769230769141</v>
      </c>
      <c r="R23" s="84" t="s">
        <v>62</v>
      </c>
      <c r="S23" s="84"/>
      <c r="T23" s="84"/>
      <c r="U23" s="84"/>
      <c r="V23" s="43">
        <f>AE2-80</f>
        <v>885</v>
      </c>
    </row>
    <row r="24" spans="2:22" x14ac:dyDescent="0.25">
      <c r="R24" s="84" t="s">
        <v>63</v>
      </c>
      <c r="S24" s="84"/>
      <c r="T24" s="84"/>
      <c r="U24" s="84"/>
      <c r="V24" s="43">
        <v>30</v>
      </c>
    </row>
    <row r="25" spans="2:22" x14ac:dyDescent="0.25">
      <c r="R25" s="84" t="s">
        <v>64</v>
      </c>
      <c r="S25" s="84"/>
      <c r="T25" s="84"/>
      <c r="U25" s="84"/>
      <c r="V25" s="43">
        <v>3</v>
      </c>
    </row>
    <row r="27" spans="2:22" ht="15.75" thickBot="1" x14ac:dyDescent="0.3">
      <c r="R27" s="85" t="s">
        <v>65</v>
      </c>
      <c r="S27" s="85"/>
      <c r="T27" s="85"/>
      <c r="U27" s="85"/>
    </row>
    <row r="28" spans="2:22" ht="15.75" thickBot="1" x14ac:dyDescent="0.3">
      <c r="B28" s="100" t="s">
        <v>34</v>
      </c>
      <c r="C28" s="82"/>
      <c r="D28" s="82"/>
      <c r="E28" s="82"/>
      <c r="F28" s="83"/>
      <c r="H28" s="2" t="s">
        <v>41</v>
      </c>
      <c r="I28" s="86" t="s">
        <v>50</v>
      </c>
      <c r="J28" s="87"/>
      <c r="K28" s="82" t="s">
        <v>42</v>
      </c>
      <c r="L28" s="83"/>
      <c r="R28" t="s">
        <v>66</v>
      </c>
      <c r="S28" t="s">
        <v>67</v>
      </c>
      <c r="T28" t="s">
        <v>68</v>
      </c>
    </row>
    <row r="29" spans="2:22" ht="15.75" thickBot="1" x14ac:dyDescent="0.3">
      <c r="B29" s="57" t="s">
        <v>38</v>
      </c>
      <c r="C29" s="86" t="s">
        <v>39</v>
      </c>
      <c r="D29" s="87"/>
      <c r="E29" s="86" t="s">
        <v>40</v>
      </c>
      <c r="F29" s="83"/>
      <c r="H29" s="3" t="s">
        <v>43</v>
      </c>
      <c r="I29" s="88">
        <v>0.3</v>
      </c>
      <c r="J29" s="89"/>
      <c r="K29" s="90">
        <v>50</v>
      </c>
      <c r="L29" s="91"/>
      <c r="R29">
        <v>1</v>
      </c>
      <c r="S29">
        <f>$V$24+R29*$V$25</f>
        <v>33</v>
      </c>
      <c r="T29">
        <f>S29+15</f>
        <v>48</v>
      </c>
    </row>
    <row r="30" spans="2:22" x14ac:dyDescent="0.25">
      <c r="B30" s="3" t="s">
        <v>49</v>
      </c>
      <c r="C30" s="101">
        <v>0.28000000000000003</v>
      </c>
      <c r="D30" s="102"/>
      <c r="E30" s="103">
        <f>C30/965</f>
        <v>2.9015544041450782E-4</v>
      </c>
      <c r="F30" s="104"/>
      <c r="H30" s="3" t="s">
        <v>44</v>
      </c>
      <c r="I30" s="88">
        <v>0.85</v>
      </c>
      <c r="J30" s="89"/>
      <c r="K30" s="90">
        <v>150</v>
      </c>
      <c r="L30" s="91"/>
      <c r="R30">
        <v>2</v>
      </c>
      <c r="S30">
        <f t="shared" ref="S30:S41" si="31">$V$24+R30*$V$25</f>
        <v>36</v>
      </c>
      <c r="T30">
        <f t="shared" ref="T30:T41" si="32">S30+15</f>
        <v>51</v>
      </c>
    </row>
    <row r="31" spans="2:22" x14ac:dyDescent="0.25">
      <c r="B31" s="3" t="s">
        <v>35</v>
      </c>
      <c r="C31" s="88">
        <v>0.55000000000000004</v>
      </c>
      <c r="D31" s="89"/>
      <c r="E31" s="98">
        <f>C31/965</f>
        <v>5.6994818652849743E-4</v>
      </c>
      <c r="F31" s="99"/>
      <c r="H31" s="3" t="s">
        <v>45</v>
      </c>
      <c r="I31" s="88">
        <v>0.85</v>
      </c>
      <c r="J31" s="89"/>
      <c r="K31" s="90">
        <v>150</v>
      </c>
      <c r="L31" s="91"/>
      <c r="R31">
        <v>3</v>
      </c>
      <c r="S31">
        <f t="shared" si="31"/>
        <v>39</v>
      </c>
      <c r="T31">
        <f t="shared" si="32"/>
        <v>54</v>
      </c>
    </row>
    <row r="32" spans="2:22" x14ac:dyDescent="0.25">
      <c r="B32" s="3" t="s">
        <v>36</v>
      </c>
      <c r="C32" s="88">
        <v>0.85</v>
      </c>
      <c r="D32" s="89"/>
      <c r="E32" s="98">
        <f>C32/965</f>
        <v>8.8082901554404139E-4</v>
      </c>
      <c r="F32" s="99"/>
      <c r="H32" s="3" t="s">
        <v>46</v>
      </c>
      <c r="I32" s="88">
        <v>0.85</v>
      </c>
      <c r="J32" s="89"/>
      <c r="K32" s="90">
        <v>150</v>
      </c>
      <c r="L32" s="91"/>
      <c r="R32">
        <v>4</v>
      </c>
      <c r="S32">
        <f t="shared" si="31"/>
        <v>42</v>
      </c>
      <c r="T32">
        <f t="shared" si="32"/>
        <v>57</v>
      </c>
    </row>
    <row r="33" spans="2:20" ht="15.75" thickBot="1" x14ac:dyDescent="0.3">
      <c r="B33" s="57" t="s">
        <v>37</v>
      </c>
      <c r="C33" s="94">
        <v>1.1200000000000001</v>
      </c>
      <c r="D33" s="95"/>
      <c r="E33" s="96">
        <f>C33/965</f>
        <v>1.1606217616580313E-3</v>
      </c>
      <c r="F33" s="97"/>
      <c r="H33" s="3" t="s">
        <v>47</v>
      </c>
      <c r="I33" s="88">
        <v>0.85</v>
      </c>
      <c r="J33" s="89"/>
      <c r="K33" s="90">
        <v>150</v>
      </c>
      <c r="L33" s="91"/>
      <c r="R33">
        <v>5</v>
      </c>
      <c r="S33">
        <f t="shared" si="31"/>
        <v>45</v>
      </c>
      <c r="T33">
        <f t="shared" si="32"/>
        <v>60</v>
      </c>
    </row>
    <row r="34" spans="2:20" ht="15.75" thickBot="1" x14ac:dyDescent="0.3">
      <c r="H34" s="57" t="s">
        <v>48</v>
      </c>
      <c r="I34" s="94">
        <v>0.55000000000000004</v>
      </c>
      <c r="J34" s="95"/>
      <c r="K34" s="92">
        <v>100</v>
      </c>
      <c r="L34" s="93"/>
      <c r="R34">
        <v>6</v>
      </c>
      <c r="S34">
        <f t="shared" si="31"/>
        <v>48</v>
      </c>
      <c r="T34">
        <f t="shared" si="32"/>
        <v>63</v>
      </c>
    </row>
    <row r="35" spans="2:20" ht="15.75" thickBot="1" x14ac:dyDescent="0.3">
      <c r="H35" s="59" t="s">
        <v>51</v>
      </c>
      <c r="I35" s="82">
        <f>SUM(I29:J34)</f>
        <v>4.25</v>
      </c>
      <c r="J35" s="83"/>
      <c r="R35">
        <v>7</v>
      </c>
      <c r="S35">
        <f t="shared" si="31"/>
        <v>51</v>
      </c>
      <c r="T35">
        <f t="shared" si="32"/>
        <v>66</v>
      </c>
    </row>
    <row r="36" spans="2:20" x14ac:dyDescent="0.25">
      <c r="R36">
        <v>8</v>
      </c>
      <c r="S36">
        <f t="shared" si="31"/>
        <v>54</v>
      </c>
      <c r="T36">
        <f t="shared" si="32"/>
        <v>69</v>
      </c>
    </row>
    <row r="37" spans="2:20" x14ac:dyDescent="0.25">
      <c r="R37">
        <v>9</v>
      </c>
      <c r="S37">
        <f t="shared" si="31"/>
        <v>57</v>
      </c>
      <c r="T37">
        <f t="shared" si="32"/>
        <v>72</v>
      </c>
    </row>
    <row r="38" spans="2:20" x14ac:dyDescent="0.25">
      <c r="R38">
        <v>10</v>
      </c>
      <c r="S38">
        <f t="shared" si="31"/>
        <v>60</v>
      </c>
      <c r="T38">
        <f t="shared" si="32"/>
        <v>75</v>
      </c>
    </row>
    <row r="39" spans="2:20" x14ac:dyDescent="0.25">
      <c r="R39">
        <v>11</v>
      </c>
      <c r="S39">
        <f t="shared" si="31"/>
        <v>63</v>
      </c>
      <c r="T39">
        <f t="shared" si="32"/>
        <v>78</v>
      </c>
    </row>
    <row r="40" spans="2:20" x14ac:dyDescent="0.25">
      <c r="R40">
        <v>12</v>
      </c>
      <c r="S40">
        <f t="shared" si="31"/>
        <v>66</v>
      </c>
      <c r="T40">
        <f t="shared" si="32"/>
        <v>81</v>
      </c>
    </row>
    <row r="41" spans="2:20" x14ac:dyDescent="0.25">
      <c r="R41">
        <v>13</v>
      </c>
      <c r="S41">
        <f t="shared" si="31"/>
        <v>69</v>
      </c>
      <c r="T41">
        <f t="shared" si="32"/>
        <v>84</v>
      </c>
    </row>
    <row r="42" spans="2:20" ht="15.75" thickBot="1" x14ac:dyDescent="0.3"/>
    <row r="43" spans="2:20" ht="56.25" x14ac:dyDescent="0.3">
      <c r="B43" s="23" t="s">
        <v>0</v>
      </c>
      <c r="C43" s="24" t="s">
        <v>6</v>
      </c>
      <c r="D43" s="24" t="s">
        <v>1</v>
      </c>
      <c r="E43" s="24" t="s">
        <v>5</v>
      </c>
      <c r="F43" s="24" t="s">
        <v>2</v>
      </c>
      <c r="G43" s="24" t="s">
        <v>3</v>
      </c>
      <c r="H43" s="24" t="s">
        <v>4</v>
      </c>
      <c r="I43" s="24" t="s">
        <v>7</v>
      </c>
      <c r="J43" s="25" t="s">
        <v>22</v>
      </c>
    </row>
    <row r="44" spans="2:20" x14ac:dyDescent="0.25">
      <c r="B44" s="10">
        <v>1</v>
      </c>
      <c r="C44" s="11">
        <v>1000</v>
      </c>
      <c r="D44" s="11">
        <v>207.31800000000001</v>
      </c>
      <c r="E44" s="11">
        <f>D44+F4</f>
        <v>234.822</v>
      </c>
      <c r="F44" s="11">
        <f>E44-D44</f>
        <v>27.503999999999991</v>
      </c>
      <c r="G44" s="11">
        <v>77.5</v>
      </c>
      <c r="H44" s="11">
        <f>G44-I4</f>
        <v>72.516999999999996</v>
      </c>
      <c r="I44" s="11">
        <f>G44-H44</f>
        <v>4.9830000000000041</v>
      </c>
      <c r="J44" s="12">
        <f>$G$13-I44</f>
        <v>72.47</v>
      </c>
    </row>
    <row r="45" spans="2:20" x14ac:dyDescent="0.25">
      <c r="B45" s="13">
        <v>2</v>
      </c>
      <c r="C45" s="14">
        <v>1900</v>
      </c>
      <c r="D45" s="14">
        <v>207.31800000000001</v>
      </c>
      <c r="E45" s="14">
        <f t="shared" ref="E45:E52" si="33">D45+F5</f>
        <v>231.74</v>
      </c>
      <c r="F45" s="14">
        <f t="shared" ref="F45:F52" si="34">E45-D45</f>
        <v>24.421999999999997</v>
      </c>
      <c r="G45" s="14">
        <v>77.5</v>
      </c>
      <c r="H45" s="14">
        <f t="shared" ref="H45:H52" si="35">G45-I5</f>
        <v>72.468000000000004</v>
      </c>
      <c r="I45" s="14">
        <f t="shared" ref="I45:I52" si="36">G45-H45</f>
        <v>5.0319999999999965</v>
      </c>
      <c r="J45" s="18">
        <f t="shared" ref="J45:J52" si="37">$G$13-I45</f>
        <v>72.421000000000006</v>
      </c>
    </row>
    <row r="46" spans="2:20" x14ac:dyDescent="0.25">
      <c r="B46" s="10">
        <v>3</v>
      </c>
      <c r="C46" s="11">
        <v>4300</v>
      </c>
      <c r="D46" s="11">
        <v>207.31800000000001</v>
      </c>
      <c r="E46" s="11">
        <f t="shared" si="33"/>
        <v>281.73599999999999</v>
      </c>
      <c r="F46" s="11">
        <f t="shared" si="34"/>
        <v>74.417999999999978</v>
      </c>
      <c r="G46" s="11">
        <v>77.5</v>
      </c>
      <c r="H46" s="11">
        <f t="shared" si="35"/>
        <v>64.456999999999994</v>
      </c>
      <c r="I46" s="11">
        <f t="shared" si="36"/>
        <v>13.043000000000006</v>
      </c>
      <c r="J46" s="12">
        <f t="shared" si="37"/>
        <v>64.41</v>
      </c>
    </row>
    <row r="47" spans="2:20" x14ac:dyDescent="0.25">
      <c r="B47" s="13">
        <v>4</v>
      </c>
      <c r="C47" s="14">
        <v>6500</v>
      </c>
      <c r="D47" s="14">
        <v>207.31800000000001</v>
      </c>
      <c r="E47" s="14">
        <f t="shared" si="33"/>
        <v>274.40100000000001</v>
      </c>
      <c r="F47" s="14">
        <f t="shared" si="34"/>
        <v>67.082999999999998</v>
      </c>
      <c r="G47" s="14">
        <v>77.5</v>
      </c>
      <c r="H47" s="14">
        <f t="shared" si="35"/>
        <v>65.224999999999994</v>
      </c>
      <c r="I47" s="14">
        <f t="shared" si="36"/>
        <v>12.275000000000006</v>
      </c>
      <c r="J47" s="18">
        <f t="shared" si="37"/>
        <v>65.177999999999997</v>
      </c>
    </row>
    <row r="48" spans="2:20" x14ac:dyDescent="0.25">
      <c r="B48" s="10">
        <v>5</v>
      </c>
      <c r="C48" s="11">
        <v>7900</v>
      </c>
      <c r="D48" s="11">
        <v>207.31800000000001</v>
      </c>
      <c r="E48" s="11">
        <f t="shared" si="33"/>
        <v>248.91400000000002</v>
      </c>
      <c r="F48" s="11">
        <f t="shared" si="34"/>
        <v>41.596000000000004</v>
      </c>
      <c r="G48" s="11">
        <v>77.5</v>
      </c>
      <c r="H48" s="11">
        <f t="shared" si="35"/>
        <v>70.302999999999997</v>
      </c>
      <c r="I48" s="11">
        <f t="shared" si="36"/>
        <v>7.1970000000000027</v>
      </c>
      <c r="J48" s="12">
        <f t="shared" si="37"/>
        <v>70.256</v>
      </c>
    </row>
    <row r="49" spans="2:10" x14ac:dyDescent="0.25">
      <c r="B49" s="13">
        <v>6</v>
      </c>
      <c r="C49" s="14">
        <v>10200</v>
      </c>
      <c r="D49" s="14">
        <v>207.31800000000001</v>
      </c>
      <c r="E49" s="14">
        <f t="shared" si="33"/>
        <v>274.98099999999999</v>
      </c>
      <c r="F49" s="14">
        <f t="shared" si="34"/>
        <v>67.662999999999982</v>
      </c>
      <c r="G49" s="14">
        <v>77.5</v>
      </c>
      <c r="H49" s="14">
        <f t="shared" si="35"/>
        <v>65.959000000000003</v>
      </c>
      <c r="I49" s="14">
        <f t="shared" si="36"/>
        <v>11.540999999999997</v>
      </c>
      <c r="J49" s="18">
        <f t="shared" si="37"/>
        <v>65.912000000000006</v>
      </c>
    </row>
    <row r="50" spans="2:10" x14ac:dyDescent="0.25">
      <c r="B50" s="10">
        <v>7</v>
      </c>
      <c r="C50" s="11">
        <v>11400</v>
      </c>
      <c r="D50" s="11">
        <v>207.31800000000001</v>
      </c>
      <c r="E50" s="11">
        <f t="shared" si="33"/>
        <v>244.57100000000003</v>
      </c>
      <c r="F50" s="11">
        <f t="shared" si="34"/>
        <v>37.253000000000014</v>
      </c>
      <c r="G50" s="11">
        <v>77.5</v>
      </c>
      <c r="H50" s="11">
        <f t="shared" si="35"/>
        <v>69.866</v>
      </c>
      <c r="I50" s="11">
        <f t="shared" si="36"/>
        <v>7.6340000000000003</v>
      </c>
      <c r="J50" s="12">
        <f t="shared" si="37"/>
        <v>69.819000000000003</v>
      </c>
    </row>
    <row r="51" spans="2:10" x14ac:dyDescent="0.25">
      <c r="B51" s="13">
        <v>8</v>
      </c>
      <c r="C51" s="14">
        <v>12600</v>
      </c>
      <c r="D51" s="14">
        <v>207.31800000000001</v>
      </c>
      <c r="E51" s="14">
        <f t="shared" si="33"/>
        <v>242.98700000000002</v>
      </c>
      <c r="F51" s="14">
        <f t="shared" si="34"/>
        <v>35.669000000000011</v>
      </c>
      <c r="G51" s="14">
        <v>77.5</v>
      </c>
      <c r="H51" s="14">
        <f t="shared" si="35"/>
        <v>71.650000000000006</v>
      </c>
      <c r="I51" s="14">
        <f t="shared" si="36"/>
        <v>5.8499999999999943</v>
      </c>
      <c r="J51" s="18">
        <f t="shared" si="37"/>
        <v>71.603000000000009</v>
      </c>
    </row>
    <row r="52" spans="2:10" x14ac:dyDescent="0.25">
      <c r="B52" s="10">
        <v>9</v>
      </c>
      <c r="C52" s="11">
        <v>13625</v>
      </c>
      <c r="D52" s="11">
        <v>207.31800000000001</v>
      </c>
      <c r="E52" s="11">
        <f t="shared" si="33"/>
        <v>232.76300000000001</v>
      </c>
      <c r="F52" s="11">
        <f t="shared" si="34"/>
        <v>25.444999999999993</v>
      </c>
      <c r="G52" s="11">
        <v>77.5</v>
      </c>
      <c r="H52" s="11">
        <f t="shared" si="35"/>
        <v>73.292000000000002</v>
      </c>
      <c r="I52" s="11">
        <f t="shared" si="36"/>
        <v>4.2079999999999984</v>
      </c>
      <c r="J52" s="12">
        <f t="shared" si="37"/>
        <v>73.245000000000005</v>
      </c>
    </row>
    <row r="53" spans="2:10" ht="15.75" thickBot="1" x14ac:dyDescent="0.3">
      <c r="B53" s="15" t="s">
        <v>8</v>
      </c>
      <c r="C53" s="16">
        <v>13625</v>
      </c>
      <c r="D53" s="16"/>
      <c r="E53" s="16"/>
      <c r="F53" s="16"/>
      <c r="G53" s="16"/>
      <c r="H53" s="16"/>
      <c r="I53" s="16"/>
      <c r="J53" s="17"/>
    </row>
  </sheetData>
  <mergeCells count="43">
    <mergeCell ref="B28:F28"/>
    <mergeCell ref="C30:D30"/>
    <mergeCell ref="E30:F30"/>
    <mergeCell ref="B17:D17"/>
    <mergeCell ref="D23:E23"/>
    <mergeCell ref="D22:E22"/>
    <mergeCell ref="D21:E21"/>
    <mergeCell ref="D20:E20"/>
    <mergeCell ref="D19:E19"/>
    <mergeCell ref="D18:E18"/>
    <mergeCell ref="B18:C18"/>
    <mergeCell ref="B23:C23"/>
    <mergeCell ref="B22:C22"/>
    <mergeCell ref="B21:C21"/>
    <mergeCell ref="B20:C20"/>
    <mergeCell ref="B19:C19"/>
    <mergeCell ref="C29:D29"/>
    <mergeCell ref="E33:F33"/>
    <mergeCell ref="E32:F32"/>
    <mergeCell ref="E31:F31"/>
    <mergeCell ref="E29:F29"/>
    <mergeCell ref="K31:L31"/>
    <mergeCell ref="K30:L30"/>
    <mergeCell ref="I30:J30"/>
    <mergeCell ref="C33:D33"/>
    <mergeCell ref="C32:D32"/>
    <mergeCell ref="C31:D31"/>
    <mergeCell ref="I35:J35"/>
    <mergeCell ref="R23:U23"/>
    <mergeCell ref="R24:U24"/>
    <mergeCell ref="R25:U25"/>
    <mergeCell ref="R27:U27"/>
    <mergeCell ref="I28:J28"/>
    <mergeCell ref="K28:L28"/>
    <mergeCell ref="I29:J29"/>
    <mergeCell ref="K29:L29"/>
    <mergeCell ref="K34:L34"/>
    <mergeCell ref="K32:L32"/>
    <mergeCell ref="K33:L33"/>
    <mergeCell ref="I34:J34"/>
    <mergeCell ref="I33:J33"/>
    <mergeCell ref="I32:J32"/>
    <mergeCell ref="I31:J31"/>
  </mergeCells>
  <conditionalFormatting sqref="F4:F12">
    <cfRule type="colorScale" priority="7">
      <colorScale>
        <cfvo type="min"/>
        <cfvo type="max"/>
        <color rgb="FFFFFF00"/>
        <color rgb="FF00B050"/>
      </colorScale>
    </cfRule>
  </conditionalFormatting>
  <conditionalFormatting sqref="I4:I12">
    <cfRule type="colorScale" priority="6">
      <colorScale>
        <cfvo type="min"/>
        <cfvo type="max"/>
        <color rgb="FFFFFF00"/>
        <color rgb="FF00B050"/>
      </colorScale>
    </cfRule>
  </conditionalFormatting>
  <conditionalFormatting sqref="K4:V12">
    <cfRule type="cellIs" dxfId="4" priority="5" operator="lessThan">
      <formula>965-81</formula>
    </cfRule>
  </conditionalFormatting>
  <conditionalFormatting sqref="W4:AH12">
    <cfRule type="cellIs" dxfId="3" priority="3" operator="lessThan">
      <formula>-0.085</formula>
    </cfRule>
  </conditionalFormatting>
  <conditionalFormatting sqref="F44:F52">
    <cfRule type="colorScale" priority="2">
      <colorScale>
        <cfvo type="min"/>
        <cfvo type="max"/>
        <color rgb="FFFFFF00"/>
        <color rgb="FF00B050"/>
      </colorScale>
    </cfRule>
  </conditionalFormatting>
  <conditionalFormatting sqref="I44:I52">
    <cfRule type="colorScale" priority="1">
      <colorScale>
        <cfvo type="min"/>
        <cfvo type="max"/>
        <color rgb="FFFFFF00"/>
        <color rgb="FF00B050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9852-274F-4CD2-AD8D-0BF6E1964026}">
  <dimension ref="A1:AJ39"/>
  <sheetViews>
    <sheetView topLeftCell="G1" workbookViewId="0">
      <selection activeCell="AH22" sqref="AH22:AH33"/>
    </sheetView>
  </sheetViews>
  <sheetFormatPr defaultRowHeight="15" x14ac:dyDescent="0.25"/>
  <cols>
    <col min="6" max="6" width="12.7109375" bestFit="1" customWidth="1"/>
    <col min="7" max="7" width="15.5703125" bestFit="1" customWidth="1"/>
    <col min="8" max="8" width="23.5703125" bestFit="1" customWidth="1"/>
    <col min="9" max="9" width="10.7109375" bestFit="1" customWidth="1"/>
    <col min="10" max="21" width="9.140625" style="62"/>
    <col min="25" max="25" width="6.7109375" style="56" customWidth="1"/>
    <col min="26" max="26" width="11.5703125" bestFit="1" customWidth="1"/>
    <col min="27" max="27" width="15.5703125" bestFit="1" customWidth="1"/>
    <col min="28" max="28" width="17" customWidth="1"/>
    <col min="29" max="29" width="6.7109375" customWidth="1"/>
    <col min="30" max="30" width="11.5703125" style="56" bestFit="1" customWidth="1"/>
    <col min="31" max="31" width="15.5703125" style="56" bestFit="1" customWidth="1"/>
    <col min="32" max="32" width="17.5703125" style="56" bestFit="1" customWidth="1"/>
    <col min="33" max="33" width="7.28515625" customWidth="1"/>
    <col min="34" max="34" width="11.5703125" bestFit="1" customWidth="1"/>
    <col min="35" max="35" width="15.5703125" bestFit="1" customWidth="1"/>
    <col min="36" max="36" width="17.5703125" bestFit="1" customWidth="1"/>
  </cols>
  <sheetData>
    <row r="1" spans="1:36" x14ac:dyDescent="0.25">
      <c r="A1" t="s">
        <v>74</v>
      </c>
      <c r="C1">
        <v>30</v>
      </c>
      <c r="D1" t="s">
        <v>75</v>
      </c>
    </row>
    <row r="2" spans="1:36" x14ac:dyDescent="0.25">
      <c r="A2" t="s">
        <v>76</v>
      </c>
      <c r="C2">
        <v>2.9</v>
      </c>
      <c r="D2" t="s">
        <v>75</v>
      </c>
    </row>
    <row r="3" spans="1:36" x14ac:dyDescent="0.25">
      <c r="A3" t="s">
        <v>77</v>
      </c>
      <c r="C3">
        <v>15</v>
      </c>
      <c r="D3" t="s">
        <v>75</v>
      </c>
    </row>
    <row r="4" spans="1:36" x14ac:dyDescent="0.25">
      <c r="A4" t="s">
        <v>118</v>
      </c>
      <c r="C4">
        <v>0.38400000000000001</v>
      </c>
      <c r="D4" t="s">
        <v>119</v>
      </c>
      <c r="I4" t="s">
        <v>79</v>
      </c>
      <c r="J4" s="62" t="s">
        <v>80</v>
      </c>
      <c r="K4" s="62" t="s">
        <v>81</v>
      </c>
      <c r="L4" s="62" t="s">
        <v>82</v>
      </c>
      <c r="M4" s="62" t="s">
        <v>83</v>
      </c>
      <c r="N4" s="62" t="s">
        <v>84</v>
      </c>
      <c r="O4" s="62" t="s">
        <v>85</v>
      </c>
      <c r="P4" s="62" t="s">
        <v>86</v>
      </c>
      <c r="Q4" s="62" t="s">
        <v>87</v>
      </c>
      <c r="R4" s="62" t="s">
        <v>88</v>
      </c>
      <c r="S4" s="62" t="s">
        <v>89</v>
      </c>
      <c r="T4" s="62" t="s">
        <v>90</v>
      </c>
      <c r="U4" s="62" t="s">
        <v>91</v>
      </c>
      <c r="Z4" s="85" t="s">
        <v>96</v>
      </c>
      <c r="AA4" s="85"/>
      <c r="AB4" s="85"/>
      <c r="AC4" s="85" t="s">
        <v>97</v>
      </c>
      <c r="AD4" s="85"/>
      <c r="AE4" s="85"/>
      <c r="AF4" s="85"/>
      <c r="AG4" s="85" t="s">
        <v>97</v>
      </c>
      <c r="AH4" s="85"/>
      <c r="AI4" s="85"/>
      <c r="AJ4" s="85"/>
    </row>
    <row r="5" spans="1:36" x14ac:dyDescent="0.25">
      <c r="C5" s="81">
        <f>C4/207.5</f>
        <v>1.8506024096385542E-3</v>
      </c>
      <c r="D5" t="s">
        <v>120</v>
      </c>
      <c r="E5" s="56" t="s">
        <v>69</v>
      </c>
      <c r="F5" s="56" t="s">
        <v>70</v>
      </c>
      <c r="G5" s="56" t="s">
        <v>71</v>
      </c>
      <c r="H5" s="56" t="s">
        <v>72</v>
      </c>
      <c r="I5" s="56" t="s">
        <v>78</v>
      </c>
      <c r="J5" s="61" t="s">
        <v>78</v>
      </c>
      <c r="K5" s="61" t="s">
        <v>78</v>
      </c>
      <c r="L5" s="61" t="s">
        <v>78</v>
      </c>
      <c r="M5" s="61" t="s">
        <v>78</v>
      </c>
      <c r="N5" s="61" t="s">
        <v>78</v>
      </c>
      <c r="O5" s="61" t="s">
        <v>78</v>
      </c>
      <c r="P5" s="61" t="s">
        <v>78</v>
      </c>
      <c r="Q5" s="61" t="s">
        <v>78</v>
      </c>
      <c r="R5" s="61" t="s">
        <v>78</v>
      </c>
      <c r="S5" s="61" t="s">
        <v>78</v>
      </c>
      <c r="T5" s="61" t="s">
        <v>78</v>
      </c>
      <c r="U5" s="61" t="s">
        <v>78</v>
      </c>
      <c r="Y5" s="56" t="s">
        <v>94</v>
      </c>
      <c r="Z5" t="s">
        <v>70</v>
      </c>
      <c r="AA5" t="s">
        <v>71</v>
      </c>
      <c r="AB5" t="s">
        <v>95</v>
      </c>
      <c r="AC5" s="56" t="s">
        <v>94</v>
      </c>
      <c r="AD5" s="56" t="s">
        <v>70</v>
      </c>
      <c r="AE5" s="56" t="s">
        <v>71</v>
      </c>
      <c r="AF5" s="56" t="s">
        <v>95</v>
      </c>
      <c r="AG5" s="56" t="s">
        <v>94</v>
      </c>
      <c r="AH5" s="56" t="s">
        <v>70</v>
      </c>
      <c r="AI5" s="56" t="s">
        <v>71</v>
      </c>
      <c r="AJ5" s="56" t="s">
        <v>95</v>
      </c>
    </row>
    <row r="6" spans="1:36" x14ac:dyDescent="0.25">
      <c r="E6" s="56">
        <v>1</v>
      </c>
      <c r="F6" s="56">
        <v>207.4</v>
      </c>
      <c r="G6" s="56">
        <f>F6</f>
        <v>207.4</v>
      </c>
      <c r="H6" s="60">
        <f>G6/86400</f>
        <v>2.4004629629629632E-3</v>
      </c>
      <c r="I6" s="62">
        <f t="shared" ref="I6:Q6" si="0">$F$6</f>
        <v>207.4</v>
      </c>
      <c r="J6" s="62">
        <f t="shared" si="0"/>
        <v>207.4</v>
      </c>
      <c r="K6" s="62">
        <f t="shared" si="0"/>
        <v>207.4</v>
      </c>
      <c r="L6" s="62">
        <f t="shared" si="0"/>
        <v>207.4</v>
      </c>
      <c r="M6" s="62">
        <f t="shared" si="0"/>
        <v>207.4</v>
      </c>
      <c r="N6" s="62">
        <f t="shared" si="0"/>
        <v>207.4</v>
      </c>
      <c r="O6" s="62">
        <f t="shared" si="0"/>
        <v>207.4</v>
      </c>
      <c r="P6" s="62">
        <f t="shared" si="0"/>
        <v>207.4</v>
      </c>
      <c r="Q6" s="62">
        <f t="shared" si="0"/>
        <v>207.4</v>
      </c>
      <c r="R6" s="62">
        <f>$F$6</f>
        <v>207.4</v>
      </c>
      <c r="S6" s="62">
        <f t="shared" ref="S6:U6" si="1">$F$6</f>
        <v>207.4</v>
      </c>
      <c r="T6" s="62">
        <f t="shared" si="1"/>
        <v>207.4</v>
      </c>
      <c r="U6" s="62">
        <f t="shared" si="1"/>
        <v>207.4</v>
      </c>
      <c r="Y6" s="56">
        <v>1</v>
      </c>
      <c r="Z6" s="63">
        <f>207.4*(1+0.00185*AB6/10)</f>
        <v>210.31604400000001</v>
      </c>
      <c r="AA6" s="60">
        <f>SUM($Z$6:Z6)/86400</f>
        <v>2.4342134722222224E-3</v>
      </c>
      <c r="AB6" s="56">
        <v>76</v>
      </c>
      <c r="AC6" s="56">
        <v>1</v>
      </c>
      <c r="AD6" s="63">
        <f>207.4*(1+0.00185*AF6/10)</f>
        <v>210.31604400000001</v>
      </c>
      <c r="AE6" s="60">
        <f>SUM($AD$6:AD6)/86400</f>
        <v>2.4342134722222224E-3</v>
      </c>
      <c r="AF6" s="56">
        <v>76</v>
      </c>
      <c r="AG6" s="56">
        <v>1</v>
      </c>
      <c r="AH6" s="63">
        <f>207.4*(1+0.00185*AJ6/10)</f>
        <v>210.31604400000001</v>
      </c>
      <c r="AI6" s="60">
        <f>SUM($AH$6:AH6)/86400</f>
        <v>2.4342134722222224E-3</v>
      </c>
      <c r="AJ6" s="56">
        <v>76</v>
      </c>
    </row>
    <row r="7" spans="1:36" x14ac:dyDescent="0.25">
      <c r="E7" t="s">
        <v>73</v>
      </c>
      <c r="F7">
        <f>$C$1+$C$2*E6</f>
        <v>32.9</v>
      </c>
      <c r="G7" s="56"/>
      <c r="H7" s="60"/>
      <c r="I7" s="56">
        <f>F7+F6</f>
        <v>240.3</v>
      </c>
      <c r="J7" s="61"/>
      <c r="K7" s="61"/>
      <c r="L7" s="61"/>
      <c r="Y7" s="56">
        <v>2</v>
      </c>
      <c r="Z7" s="63">
        <f t="shared" ref="Z7:Z18" si="2">207.4*(1+0.00185*AB7/10)</f>
        <v>210.08583000000002</v>
      </c>
      <c r="AA7" s="60">
        <f>SUM($Z$6:Z7)/86400</f>
        <v>4.8657624305555557E-3</v>
      </c>
      <c r="AB7" s="56">
        <f>AB6-6</f>
        <v>70</v>
      </c>
      <c r="AC7" s="56">
        <v>2</v>
      </c>
      <c r="AD7" s="63">
        <f t="shared" ref="AD7:AD10" si="3">207.4*(1+0.00185*AF7/10)</f>
        <v>210.08583000000002</v>
      </c>
      <c r="AE7" s="60">
        <f>SUM($AD$6:AD7)/86400</f>
        <v>4.8657624305555557E-3</v>
      </c>
      <c r="AF7" s="56">
        <f>AF6-6</f>
        <v>70</v>
      </c>
      <c r="AG7" s="56" t="s">
        <v>73</v>
      </c>
      <c r="AH7" s="63">
        <f>30+AG6*2.9</f>
        <v>32.9</v>
      </c>
      <c r="AI7" s="60">
        <f>SUM($AH$6:AH7)/86400</f>
        <v>2.8150005092592596E-3</v>
      </c>
      <c r="AJ7" s="56">
        <f>6*AG6+AJ6</f>
        <v>82</v>
      </c>
    </row>
    <row r="8" spans="1:36" x14ac:dyDescent="0.25">
      <c r="E8" s="56">
        <v>2</v>
      </c>
      <c r="F8" s="56">
        <v>207.4</v>
      </c>
      <c r="G8" s="56">
        <f>F8+G6</f>
        <v>414.8</v>
      </c>
      <c r="H8" s="60">
        <f t="shared" ref="H8:H31" si="4">G8/86400</f>
        <v>4.8009259259259264E-3</v>
      </c>
      <c r="I8" s="56">
        <f>F8+I7</f>
        <v>447.70000000000005</v>
      </c>
      <c r="J8" s="61">
        <f>F8+J6</f>
        <v>414.8</v>
      </c>
      <c r="K8" s="61">
        <f>K6+F8</f>
        <v>414.8</v>
      </c>
      <c r="L8" s="61"/>
      <c r="R8" s="62">
        <f>R6+F8</f>
        <v>414.8</v>
      </c>
      <c r="S8" s="62">
        <f>S6+F8</f>
        <v>414.8</v>
      </c>
      <c r="T8" s="62">
        <f>T6+F8</f>
        <v>414.8</v>
      </c>
      <c r="U8" s="62">
        <f>U6+F8</f>
        <v>414.8</v>
      </c>
      <c r="Y8" s="56">
        <v>3</v>
      </c>
      <c r="Z8" s="63">
        <f t="shared" si="2"/>
        <v>209.85561600000003</v>
      </c>
      <c r="AA8" s="60">
        <f>SUM($Z$6:Z8)/86400</f>
        <v>7.2946468750000005E-3</v>
      </c>
      <c r="AB8" s="56">
        <f t="shared" ref="AB8:AB20" si="5">AB7-6</f>
        <v>64</v>
      </c>
      <c r="AC8" s="56">
        <v>3</v>
      </c>
      <c r="AD8" s="63">
        <f t="shared" si="3"/>
        <v>209.85561600000003</v>
      </c>
      <c r="AE8" s="60">
        <f>SUM($AD$6:AD8)/86400</f>
        <v>7.2946468750000005E-3</v>
      </c>
      <c r="AF8" s="56">
        <f t="shared" ref="AF8:AF10" si="6">AF7-6</f>
        <v>64</v>
      </c>
      <c r="AG8" s="56">
        <v>1</v>
      </c>
      <c r="AH8" s="63">
        <f>207.4*(1+0.00185*AJ8/10)</f>
        <v>210.31604400000001</v>
      </c>
      <c r="AI8" s="60">
        <f>SUM($AH$6:AH8)/86400</f>
        <v>5.249213981481482E-3</v>
      </c>
      <c r="AJ8" s="56">
        <f t="shared" ref="AJ8:AJ20" si="7">AJ7-6</f>
        <v>76</v>
      </c>
    </row>
    <row r="9" spans="1:36" x14ac:dyDescent="0.25">
      <c r="E9" t="s">
        <v>73</v>
      </c>
      <c r="F9">
        <f>$C$1+$C$2*E8</f>
        <v>35.799999999999997</v>
      </c>
      <c r="G9" s="56"/>
      <c r="H9" s="60"/>
      <c r="I9" s="56"/>
      <c r="J9" s="61">
        <f>J8+F9</f>
        <v>450.6</v>
      </c>
      <c r="K9" s="61"/>
      <c r="L9" s="61"/>
      <c r="Y9" s="56">
        <v>4</v>
      </c>
      <c r="Z9" s="63">
        <f t="shared" si="2"/>
        <v>209.62540199999998</v>
      </c>
      <c r="AA9" s="60">
        <f>SUM($Z$6:Z9)/86400</f>
        <v>9.7208668055555562E-3</v>
      </c>
      <c r="AB9" s="56">
        <f t="shared" si="5"/>
        <v>58</v>
      </c>
      <c r="AC9" s="56">
        <v>4</v>
      </c>
      <c r="AD9" s="63">
        <f t="shared" si="3"/>
        <v>209.62540199999998</v>
      </c>
      <c r="AE9" s="60">
        <f>SUM($AD$6:AD9)/86400</f>
        <v>9.7208668055555562E-3</v>
      </c>
      <c r="AF9" s="56">
        <f t="shared" si="6"/>
        <v>58</v>
      </c>
      <c r="AG9" s="56">
        <v>2</v>
      </c>
      <c r="AH9" s="63">
        <f t="shared" ref="AH9:AH20" si="8">207.4*(1+0.00185*AJ9/10)</f>
        <v>210.08583000000002</v>
      </c>
      <c r="AI9" s="60">
        <f>SUM($AH$6:AH9)/86400</f>
        <v>7.6807629398148152E-3</v>
      </c>
      <c r="AJ9" s="56">
        <f t="shared" si="7"/>
        <v>70</v>
      </c>
    </row>
    <row r="10" spans="1:36" x14ac:dyDescent="0.25">
      <c r="E10" s="56">
        <v>3</v>
      </c>
      <c r="F10" s="56">
        <v>207.4</v>
      </c>
      <c r="G10" s="56">
        <f>G8+F10</f>
        <v>622.20000000000005</v>
      </c>
      <c r="H10" s="60">
        <f t="shared" si="4"/>
        <v>7.2013888888888891E-3</v>
      </c>
      <c r="I10" s="56">
        <f>F10+I8</f>
        <v>655.1</v>
      </c>
      <c r="J10" s="61">
        <f>J9+F10</f>
        <v>658</v>
      </c>
      <c r="K10" s="61">
        <f>K8+F10</f>
        <v>622.20000000000005</v>
      </c>
      <c r="L10" s="61"/>
      <c r="R10" s="62">
        <f>R8+$F$10</f>
        <v>622.20000000000005</v>
      </c>
      <c r="S10" s="62">
        <f t="shared" ref="S10:U10" si="9">S8+$F$10</f>
        <v>622.20000000000005</v>
      </c>
      <c r="T10" s="62">
        <f t="shared" si="9"/>
        <v>622.20000000000005</v>
      </c>
      <c r="U10" s="62">
        <f t="shared" si="9"/>
        <v>622.20000000000005</v>
      </c>
      <c r="Y10" s="56">
        <v>5</v>
      </c>
      <c r="Z10" s="63">
        <f t="shared" si="2"/>
        <v>209.39518799999999</v>
      </c>
      <c r="AA10" s="60">
        <f>SUM($Z$6:Z10)/86400</f>
        <v>1.2144422222222223E-2</v>
      </c>
      <c r="AB10" s="56">
        <f t="shared" si="5"/>
        <v>52</v>
      </c>
      <c r="AC10" s="56">
        <v>5</v>
      </c>
      <c r="AD10" s="63">
        <f t="shared" si="3"/>
        <v>209.39518799999999</v>
      </c>
      <c r="AE10" s="60">
        <f>SUM($AD$6:AD10)/86400</f>
        <v>1.2144422222222223E-2</v>
      </c>
      <c r="AF10" s="56">
        <f t="shared" si="6"/>
        <v>52</v>
      </c>
      <c r="AG10" s="56">
        <v>3</v>
      </c>
      <c r="AH10" s="63">
        <f t="shared" si="8"/>
        <v>209.85561600000003</v>
      </c>
      <c r="AI10" s="60">
        <f>SUM($AH$6:AH10)/86400</f>
        <v>1.0109647384259261E-2</v>
      </c>
      <c r="AJ10" s="56">
        <f t="shared" si="7"/>
        <v>64</v>
      </c>
    </row>
    <row r="11" spans="1:36" x14ac:dyDescent="0.25">
      <c r="E11" t="s">
        <v>73</v>
      </c>
      <c r="F11">
        <f>$C$1+$C$2*E10</f>
        <v>38.700000000000003</v>
      </c>
      <c r="G11" s="56"/>
      <c r="H11" s="60"/>
      <c r="I11" s="56"/>
      <c r="J11" s="61"/>
      <c r="K11" s="61">
        <f>K10+F11</f>
        <v>660.90000000000009</v>
      </c>
      <c r="L11" s="61"/>
      <c r="Y11" s="56">
        <v>6</v>
      </c>
      <c r="Z11" s="63">
        <f t="shared" si="2"/>
        <v>209.164974</v>
      </c>
      <c r="AA11" s="60">
        <f>SUM($Z$6:Z11)/86400</f>
        <v>1.4565313125000002E-2</v>
      </c>
      <c r="AB11" s="56">
        <f t="shared" si="5"/>
        <v>46</v>
      </c>
      <c r="AC11" s="56" t="s">
        <v>73</v>
      </c>
      <c r="AD11" s="63">
        <f>30+AC10*2.9</f>
        <v>44.5</v>
      </c>
      <c r="AE11" s="60">
        <f>SUM($AD$6:AD11)/86400</f>
        <v>1.265946851851852E-2</v>
      </c>
      <c r="AF11" s="56">
        <f>6*AC10+AF10</f>
        <v>82</v>
      </c>
      <c r="AG11" s="56">
        <v>4</v>
      </c>
      <c r="AH11" s="63">
        <f t="shared" si="8"/>
        <v>209.62540199999998</v>
      </c>
      <c r="AI11" s="60">
        <f>SUM($AH$6:AH11)/86400</f>
        <v>1.2535867314814816E-2</v>
      </c>
      <c r="AJ11" s="56">
        <f t="shared" si="7"/>
        <v>58</v>
      </c>
    </row>
    <row r="12" spans="1:36" x14ac:dyDescent="0.25">
      <c r="E12" s="56">
        <v>4</v>
      </c>
      <c r="F12" s="56">
        <v>207.4</v>
      </c>
      <c r="G12" s="56">
        <f t="shared" ref="G12" si="10">F12+G10</f>
        <v>829.6</v>
      </c>
      <c r="H12" s="60">
        <f t="shared" si="4"/>
        <v>9.6018518518518527E-3</v>
      </c>
      <c r="I12" s="56">
        <f>F12+I10</f>
        <v>862.5</v>
      </c>
      <c r="J12" s="61">
        <f>J10+F12</f>
        <v>865.4</v>
      </c>
      <c r="K12" s="61">
        <f>K11+F12</f>
        <v>868.30000000000007</v>
      </c>
      <c r="L12" s="61"/>
      <c r="R12" s="62">
        <f t="shared" ref="R12" si="11">R10+F12</f>
        <v>829.6</v>
      </c>
      <c r="S12" s="62">
        <f t="shared" ref="S12" si="12">S10+F12</f>
        <v>829.6</v>
      </c>
      <c r="T12" s="62">
        <f t="shared" ref="T12" si="13">T10+F12</f>
        <v>829.6</v>
      </c>
      <c r="U12" s="62">
        <f t="shared" ref="U12" si="14">U10+F12</f>
        <v>829.6</v>
      </c>
      <c r="Y12" s="56">
        <v>7</v>
      </c>
      <c r="Z12" s="63">
        <f t="shared" si="2"/>
        <v>208.93476000000001</v>
      </c>
      <c r="AA12" s="60">
        <f>SUM($Z$6:Z12)/86400</f>
        <v>1.6983539513888892E-2</v>
      </c>
      <c r="AB12" s="56">
        <f t="shared" si="5"/>
        <v>40</v>
      </c>
      <c r="AC12" s="56">
        <v>1</v>
      </c>
      <c r="AD12" s="63">
        <f>207.4*(1+0.00185*AF12/10)</f>
        <v>210.31604400000001</v>
      </c>
      <c r="AE12" s="60">
        <f>SUM($AD$6:AD12)/86400</f>
        <v>1.5093681990740741E-2</v>
      </c>
      <c r="AF12" s="56">
        <f t="shared" ref="AF12:AF20" si="15">AF11-6</f>
        <v>76</v>
      </c>
      <c r="AG12" s="56">
        <v>5</v>
      </c>
      <c r="AH12" s="63">
        <f t="shared" si="8"/>
        <v>209.39518799999999</v>
      </c>
      <c r="AI12" s="60">
        <f>SUM($AH$6:AH12)/86400</f>
        <v>1.4959422731481481E-2</v>
      </c>
      <c r="AJ12" s="56">
        <f t="shared" si="7"/>
        <v>52</v>
      </c>
    </row>
    <row r="13" spans="1:36" x14ac:dyDescent="0.25">
      <c r="E13" t="s">
        <v>73</v>
      </c>
      <c r="F13">
        <f>$C$1+$C$2*E12</f>
        <v>41.6</v>
      </c>
      <c r="G13" s="56"/>
      <c r="H13" s="60"/>
      <c r="I13" s="56"/>
      <c r="J13" s="61"/>
      <c r="K13" s="61"/>
      <c r="L13" s="61"/>
      <c r="Y13" s="56">
        <v>8</v>
      </c>
      <c r="Z13" s="63">
        <f t="shared" si="2"/>
        <v>208.70454599999999</v>
      </c>
      <c r="AA13" s="60">
        <f>SUM($Z$6:Z13)/86400</f>
        <v>1.9399101388888892E-2</v>
      </c>
      <c r="AB13" s="56">
        <f t="shared" si="5"/>
        <v>34</v>
      </c>
      <c r="AC13" s="56">
        <v>2</v>
      </c>
      <c r="AD13" s="63">
        <f t="shared" ref="AD13:AD24" si="16">207.4*(1+0.00185*AF13/10)</f>
        <v>210.08583000000002</v>
      </c>
      <c r="AE13" s="60">
        <f>SUM($AD$6:AD13)/86400</f>
        <v>1.7525230949074072E-2</v>
      </c>
      <c r="AF13" s="56">
        <f t="shared" si="15"/>
        <v>70</v>
      </c>
      <c r="AG13" s="56">
        <v>6</v>
      </c>
      <c r="AH13" s="63">
        <f t="shared" si="8"/>
        <v>209.164974</v>
      </c>
      <c r="AI13" s="60">
        <f>SUM($AH$6:AH13)/86400</f>
        <v>1.7380313634259261E-2</v>
      </c>
      <c r="AJ13" s="56">
        <f t="shared" si="7"/>
        <v>46</v>
      </c>
    </row>
    <row r="14" spans="1:36" x14ac:dyDescent="0.25">
      <c r="E14" s="56">
        <v>5</v>
      </c>
      <c r="F14" s="56">
        <v>207.4</v>
      </c>
      <c r="G14" s="56">
        <f t="shared" ref="G14" si="17">G12+F14</f>
        <v>1037</v>
      </c>
      <c r="H14" s="60">
        <f t="shared" si="4"/>
        <v>1.2002314814814815E-2</v>
      </c>
      <c r="I14" s="56">
        <f t="shared" ref="I14" si="18">F14+I12</f>
        <v>1069.9000000000001</v>
      </c>
      <c r="J14" s="61">
        <f>J12+F14</f>
        <v>1072.8</v>
      </c>
      <c r="K14" s="61">
        <f>K12+F14</f>
        <v>1075.7</v>
      </c>
      <c r="L14" s="61"/>
      <c r="R14" s="62">
        <f t="shared" ref="R14" si="19">R12+F14</f>
        <v>1037</v>
      </c>
      <c r="S14" s="62">
        <f t="shared" ref="S14:U14" si="20">S12+$F$10</f>
        <v>1037</v>
      </c>
      <c r="T14" s="62">
        <f t="shared" si="20"/>
        <v>1037</v>
      </c>
      <c r="U14" s="62">
        <f t="shared" si="20"/>
        <v>1037</v>
      </c>
      <c r="Y14" s="56">
        <v>9</v>
      </c>
      <c r="Z14" s="63">
        <f t="shared" si="2"/>
        <v>208.474332</v>
      </c>
      <c r="AA14" s="60">
        <f>SUM($Z$6:Z14)/86400</f>
        <v>2.1811998750000002E-2</v>
      </c>
      <c r="AB14" s="56">
        <f t="shared" si="5"/>
        <v>28</v>
      </c>
      <c r="AC14" s="56">
        <v>3</v>
      </c>
      <c r="AD14" s="63">
        <f t="shared" si="16"/>
        <v>209.85561600000003</v>
      </c>
      <c r="AE14" s="60">
        <f>SUM($AD$6:AD14)/86400</f>
        <v>1.9954115393518518E-2</v>
      </c>
      <c r="AF14" s="56">
        <f t="shared" si="15"/>
        <v>64</v>
      </c>
      <c r="AG14" s="56">
        <v>7</v>
      </c>
      <c r="AH14" s="63">
        <f t="shared" si="8"/>
        <v>208.93476000000001</v>
      </c>
      <c r="AI14" s="60">
        <f>SUM($AH$6:AH14)/86400</f>
        <v>1.979854002314815E-2</v>
      </c>
      <c r="AJ14" s="56">
        <f t="shared" si="7"/>
        <v>40</v>
      </c>
    </row>
    <row r="15" spans="1:36" x14ac:dyDescent="0.25">
      <c r="E15" t="s">
        <v>73</v>
      </c>
      <c r="F15">
        <f>$C$1+$C$2*E14</f>
        <v>44.5</v>
      </c>
      <c r="G15" s="56"/>
      <c r="H15" s="60"/>
      <c r="I15" s="56"/>
      <c r="J15" s="61"/>
      <c r="K15" s="61"/>
      <c r="L15" s="61"/>
      <c r="Y15" s="56">
        <v>10</v>
      </c>
      <c r="Z15" s="63">
        <f t="shared" si="2"/>
        <v>208.24411800000001</v>
      </c>
      <c r="AA15" s="60">
        <f>SUM($Z$6:Z15)/86400</f>
        <v>2.4222231597222223E-2</v>
      </c>
      <c r="AB15" s="56">
        <f t="shared" si="5"/>
        <v>22</v>
      </c>
      <c r="AC15" s="56">
        <v>4</v>
      </c>
      <c r="AD15" s="63">
        <f t="shared" si="16"/>
        <v>209.62540199999998</v>
      </c>
      <c r="AE15" s="60">
        <f>SUM($AD$6:AD15)/86400</f>
        <v>2.2380335324074074E-2</v>
      </c>
      <c r="AF15" s="56">
        <f t="shared" si="15"/>
        <v>58</v>
      </c>
      <c r="AG15" s="56">
        <v>8</v>
      </c>
      <c r="AH15" s="63">
        <f t="shared" si="8"/>
        <v>208.70454599999999</v>
      </c>
      <c r="AI15" s="60">
        <f>SUM($AH$6:AH15)/86400</f>
        <v>2.221410189814815E-2</v>
      </c>
      <c r="AJ15" s="56">
        <f t="shared" si="7"/>
        <v>34</v>
      </c>
    </row>
    <row r="16" spans="1:36" x14ac:dyDescent="0.25">
      <c r="E16" s="56">
        <v>6</v>
      </c>
      <c r="F16" s="56">
        <v>207.4</v>
      </c>
      <c r="G16" s="56">
        <f t="shared" ref="G16" si="21">F16+G14</f>
        <v>1244.4000000000001</v>
      </c>
      <c r="H16" s="60">
        <f t="shared" si="4"/>
        <v>1.4402777777777778E-2</v>
      </c>
      <c r="I16" s="56">
        <f t="shared" ref="I16" si="22">F16+I14</f>
        <v>1277.3000000000002</v>
      </c>
      <c r="J16" s="61">
        <f t="shared" ref="J16" si="23">J14+F16</f>
        <v>1280.2</v>
      </c>
      <c r="K16" s="61">
        <f>K14+F16</f>
        <v>1283.1000000000001</v>
      </c>
      <c r="L16" s="61"/>
      <c r="R16" s="62">
        <f t="shared" ref="R16" si="24">R14+F16</f>
        <v>1244.4000000000001</v>
      </c>
      <c r="S16" s="62">
        <f t="shared" ref="S16" si="25">S14+F16</f>
        <v>1244.4000000000001</v>
      </c>
      <c r="T16" s="62">
        <f t="shared" ref="T16" si="26">T14+F16</f>
        <v>1244.4000000000001</v>
      </c>
      <c r="U16" s="62">
        <f t="shared" ref="U16" si="27">U14+F16</f>
        <v>1244.4000000000001</v>
      </c>
      <c r="Y16" s="56">
        <v>11</v>
      </c>
      <c r="Z16" s="63">
        <f t="shared" si="2"/>
        <v>208.01390400000003</v>
      </c>
      <c r="AA16" s="60">
        <f>SUM($Z$6:Z16)/86400</f>
        <v>2.6629799930555555E-2</v>
      </c>
      <c r="AB16" s="56">
        <f t="shared" si="5"/>
        <v>16</v>
      </c>
      <c r="AC16" s="56">
        <v>5</v>
      </c>
      <c r="AD16" s="63">
        <f t="shared" si="16"/>
        <v>209.39518799999999</v>
      </c>
      <c r="AE16" s="60">
        <f>SUM($AD$6:AD16)/86400</f>
        <v>2.4803890740740742E-2</v>
      </c>
      <c r="AF16" s="56">
        <f t="shared" si="15"/>
        <v>52</v>
      </c>
      <c r="AG16" s="56">
        <v>9</v>
      </c>
      <c r="AH16" s="63">
        <f t="shared" si="8"/>
        <v>208.474332</v>
      </c>
      <c r="AI16" s="60">
        <f>SUM($AH$6:AH16)/86400</f>
        <v>2.4626999259259257E-2</v>
      </c>
      <c r="AJ16" s="56">
        <f t="shared" si="7"/>
        <v>28</v>
      </c>
    </row>
    <row r="17" spans="5:36" x14ac:dyDescent="0.25">
      <c r="E17" t="s">
        <v>73</v>
      </c>
      <c r="F17">
        <f>$C$1+$C$2*E16</f>
        <v>47.4</v>
      </c>
      <c r="G17" s="56"/>
      <c r="H17" s="60"/>
      <c r="I17" s="56"/>
      <c r="J17" s="61"/>
      <c r="K17" s="61"/>
      <c r="L17" s="61"/>
      <c r="Y17" s="56">
        <v>12</v>
      </c>
      <c r="Z17" s="63">
        <f t="shared" si="2"/>
        <v>207.78368999999998</v>
      </c>
      <c r="AA17" s="60">
        <f>SUM($Z$6:Z17)/86400</f>
        <v>2.9034703750000005E-2</v>
      </c>
      <c r="AB17" s="56">
        <f t="shared" si="5"/>
        <v>10</v>
      </c>
      <c r="AC17" s="56">
        <v>6</v>
      </c>
      <c r="AD17" s="63">
        <f t="shared" si="16"/>
        <v>209.164974</v>
      </c>
      <c r="AE17" s="60">
        <f>SUM($AD$6:AD17)/86400</f>
        <v>2.7224781643518516E-2</v>
      </c>
      <c r="AF17" s="56">
        <f t="shared" si="15"/>
        <v>46</v>
      </c>
      <c r="AG17" s="56">
        <v>10</v>
      </c>
      <c r="AH17" s="63">
        <f t="shared" si="8"/>
        <v>208.24411800000001</v>
      </c>
      <c r="AI17" s="60">
        <f>SUM($AH$6:AH17)/86400</f>
        <v>2.7037232106481481E-2</v>
      </c>
      <c r="AJ17" s="56">
        <f t="shared" si="7"/>
        <v>22</v>
      </c>
    </row>
    <row r="18" spans="5:36" x14ac:dyDescent="0.25">
      <c r="E18" s="56">
        <v>7</v>
      </c>
      <c r="F18" s="56">
        <v>207.4</v>
      </c>
      <c r="G18" s="56">
        <f t="shared" ref="G18" si="28">G16+F18</f>
        <v>1451.8000000000002</v>
      </c>
      <c r="H18" s="60">
        <f t="shared" si="4"/>
        <v>1.6803240740740744E-2</v>
      </c>
      <c r="I18" s="56">
        <f t="shared" ref="I18" si="29">F18+I16</f>
        <v>1484.7000000000003</v>
      </c>
      <c r="J18" s="61">
        <f t="shared" ref="J18" si="30">J16+F18</f>
        <v>1487.6000000000001</v>
      </c>
      <c r="K18" s="61">
        <f t="shared" ref="K18" si="31">K16+F18</f>
        <v>1490.5000000000002</v>
      </c>
      <c r="L18" s="61"/>
      <c r="R18" s="62">
        <f t="shared" ref="R18" si="32">R16+F18</f>
        <v>1451.8000000000002</v>
      </c>
      <c r="S18" s="62">
        <f t="shared" ref="S18:U18" si="33">S16+$F$10</f>
        <v>1451.8000000000002</v>
      </c>
      <c r="T18" s="62">
        <f t="shared" si="33"/>
        <v>1451.8000000000002</v>
      </c>
      <c r="U18" s="62">
        <f t="shared" si="33"/>
        <v>1451.8000000000002</v>
      </c>
      <c r="Y18" s="56">
        <v>13</v>
      </c>
      <c r="Z18" s="63">
        <f t="shared" si="2"/>
        <v>207.55347599999999</v>
      </c>
      <c r="AA18" s="60">
        <f>SUM($Z$6:Z18)/86400</f>
        <v>3.1436943055555562E-2</v>
      </c>
      <c r="AB18" s="56">
        <f t="shared" si="5"/>
        <v>4</v>
      </c>
      <c r="AC18" s="56">
        <v>7</v>
      </c>
      <c r="AD18" s="63">
        <f t="shared" si="16"/>
        <v>208.93476000000001</v>
      </c>
      <c r="AE18" s="60">
        <f>SUM($AD$6:AD18)/86400</f>
        <v>2.9643008032407409E-2</v>
      </c>
      <c r="AF18" s="56">
        <f t="shared" si="15"/>
        <v>40</v>
      </c>
      <c r="AG18" s="56">
        <v>11</v>
      </c>
      <c r="AH18" s="63">
        <f t="shared" si="8"/>
        <v>208.01390400000003</v>
      </c>
      <c r="AI18" s="60">
        <f>SUM($AH$6:AH18)/86400</f>
        <v>2.9444800439814813E-2</v>
      </c>
      <c r="AJ18" s="56">
        <f t="shared" si="7"/>
        <v>16</v>
      </c>
    </row>
    <row r="19" spans="5:36" x14ac:dyDescent="0.25">
      <c r="E19" t="s">
        <v>73</v>
      </c>
      <c r="F19">
        <f>$C$1+$C$2*E18</f>
        <v>50.3</v>
      </c>
      <c r="G19" s="56"/>
      <c r="H19" s="60"/>
      <c r="I19" s="56"/>
      <c r="J19" s="61"/>
      <c r="K19" s="61"/>
      <c r="L19" s="61"/>
      <c r="Y19" s="64" t="s">
        <v>73</v>
      </c>
      <c r="Z19" s="65">
        <f>30+Y18*2.9</f>
        <v>67.699999999999989</v>
      </c>
      <c r="AA19" s="66">
        <f>SUM($Z$6:Z19)/86400</f>
        <v>3.2220507870370375E-2</v>
      </c>
      <c r="AB19" s="64">
        <f>6*Y18+AB18</f>
        <v>82</v>
      </c>
      <c r="AC19" s="64">
        <v>8</v>
      </c>
      <c r="AD19" s="65">
        <f t="shared" si="16"/>
        <v>208.70454599999999</v>
      </c>
      <c r="AE19" s="66">
        <f>SUM($AD$6:AD19)/86400</f>
        <v>3.2058569907407408E-2</v>
      </c>
      <c r="AF19" s="64">
        <f t="shared" si="15"/>
        <v>34</v>
      </c>
      <c r="AG19" s="64">
        <v>12</v>
      </c>
      <c r="AH19" s="65">
        <f t="shared" si="8"/>
        <v>207.78368999999998</v>
      </c>
      <c r="AI19" s="66">
        <f>SUM($AH$6:AH19)/86400</f>
        <v>3.1849704259259259E-2</v>
      </c>
      <c r="AJ19" s="64">
        <f t="shared" si="7"/>
        <v>10</v>
      </c>
    </row>
    <row r="20" spans="5:36" x14ac:dyDescent="0.25">
      <c r="E20" s="56">
        <v>8</v>
      </c>
      <c r="F20" s="56">
        <v>207.4</v>
      </c>
      <c r="G20" s="56">
        <f t="shared" ref="G20" si="34">F20+G18</f>
        <v>1659.2000000000003</v>
      </c>
      <c r="H20" s="60">
        <f t="shared" si="4"/>
        <v>1.9203703703703705E-2</v>
      </c>
      <c r="I20" s="56">
        <f t="shared" ref="I20:I26" si="35">F20+I18</f>
        <v>1692.1000000000004</v>
      </c>
      <c r="J20" s="61">
        <f t="shared" ref="J20" si="36">J18+F20</f>
        <v>1695.0000000000002</v>
      </c>
      <c r="K20" s="61">
        <f t="shared" ref="K20" si="37">K18+F20</f>
        <v>1697.9000000000003</v>
      </c>
      <c r="R20" s="62">
        <f t="shared" ref="R20" si="38">R18+F20</f>
        <v>1659.2000000000003</v>
      </c>
      <c r="S20" s="62">
        <f t="shared" ref="S20" si="39">S18+F20</f>
        <v>1659.2000000000003</v>
      </c>
      <c r="T20" s="62">
        <f t="shared" ref="T20" si="40">T18+F20</f>
        <v>1659.2000000000003</v>
      </c>
      <c r="U20" s="62">
        <f t="shared" ref="U20" si="41">U18+F20</f>
        <v>1659.2000000000003</v>
      </c>
      <c r="X20">
        <v>14</v>
      </c>
      <c r="Y20" s="56">
        <v>1</v>
      </c>
      <c r="Z20" s="63">
        <f>207.4*(1+0.00185*AB20/10)</f>
        <v>210.31604400000001</v>
      </c>
      <c r="AA20" s="60">
        <f>SUM($Z$6:Z20)/86400</f>
        <v>3.46547213425926E-2</v>
      </c>
      <c r="AB20" s="56">
        <f t="shared" si="5"/>
        <v>76</v>
      </c>
      <c r="AC20" s="56">
        <v>9</v>
      </c>
      <c r="AD20" s="63">
        <f t="shared" si="16"/>
        <v>208.474332</v>
      </c>
      <c r="AE20" s="60">
        <f>SUM($AD$6:AD20)/86400</f>
        <v>3.4471467268518519E-2</v>
      </c>
      <c r="AF20" s="56">
        <f t="shared" si="15"/>
        <v>28</v>
      </c>
      <c r="AG20" s="56">
        <v>13</v>
      </c>
      <c r="AH20" s="63">
        <f t="shared" si="8"/>
        <v>207.55347599999999</v>
      </c>
      <c r="AI20" s="60">
        <f>SUM($AH$6:AH20)/86400</f>
        <v>3.4251943564814813E-2</v>
      </c>
      <c r="AJ20" s="56">
        <f t="shared" si="7"/>
        <v>4</v>
      </c>
    </row>
    <row r="21" spans="5:36" x14ac:dyDescent="0.25">
      <c r="E21" t="s">
        <v>73</v>
      </c>
      <c r="F21">
        <f>$C$1+$C$2*E20</f>
        <v>53.2</v>
      </c>
      <c r="G21" s="56"/>
      <c r="H21" s="60"/>
      <c r="I21" s="56"/>
      <c r="J21" s="61"/>
      <c r="K21" s="61"/>
      <c r="X21">
        <v>15</v>
      </c>
      <c r="Y21" s="56">
        <v>2</v>
      </c>
      <c r="Z21" s="63">
        <f t="shared" ref="Z21:Z32" si="42">207.4*(1+0.00185*AB21/10)</f>
        <v>210.08583000000002</v>
      </c>
      <c r="AA21" s="60">
        <f>SUM($Z$6:Z21)/86400</f>
        <v>3.7086270300925928E-2</v>
      </c>
      <c r="AB21" s="56">
        <f t="shared" ref="AB21:AB32" si="43">AB20-6</f>
        <v>70</v>
      </c>
      <c r="AC21" s="56">
        <v>10</v>
      </c>
      <c r="AD21" s="63">
        <f t="shared" si="16"/>
        <v>208.24411800000001</v>
      </c>
      <c r="AE21" s="60">
        <f>SUM($AD$6:AD21)/86400</f>
        <v>3.6881700115740747E-2</v>
      </c>
      <c r="AF21" s="56">
        <f t="shared" ref="AF21:AF24" si="44">AF20-6</f>
        <v>22</v>
      </c>
      <c r="AG21" s="56" t="s">
        <v>73</v>
      </c>
      <c r="AH21" s="63">
        <f>30+AG20*2.9</f>
        <v>67.699999999999989</v>
      </c>
      <c r="AI21" s="60">
        <f>SUM($AH$6:AH21)/86400</f>
        <v>3.5035508379629626E-2</v>
      </c>
      <c r="AJ21" s="56">
        <f>6*AG20+AJ20</f>
        <v>82</v>
      </c>
    </row>
    <row r="22" spans="5:36" x14ac:dyDescent="0.25">
      <c r="E22" s="56">
        <v>9</v>
      </c>
      <c r="F22" s="56">
        <v>207.4</v>
      </c>
      <c r="G22" s="56">
        <f t="shared" ref="G22" si="45">G20+F22</f>
        <v>1866.6000000000004</v>
      </c>
      <c r="H22" s="60">
        <f t="shared" si="4"/>
        <v>2.1604166666666671E-2</v>
      </c>
      <c r="I22" s="56">
        <f t="shared" ref="I22" si="46">F22+I20</f>
        <v>1899.5000000000005</v>
      </c>
      <c r="J22" s="61">
        <f t="shared" ref="J22" si="47">J20+F22</f>
        <v>1902.4000000000003</v>
      </c>
      <c r="K22" s="61">
        <f t="shared" ref="K22" si="48">K20+F22</f>
        <v>1905.3000000000004</v>
      </c>
      <c r="R22" s="62">
        <f t="shared" ref="R22" si="49">R20+F22</f>
        <v>1866.6000000000004</v>
      </c>
      <c r="S22" s="62">
        <f t="shared" ref="S22:U22" si="50">S20+$F$10</f>
        <v>1866.6000000000004</v>
      </c>
      <c r="T22" s="62">
        <f t="shared" si="50"/>
        <v>1866.6000000000004</v>
      </c>
      <c r="U22" s="62">
        <f t="shared" si="50"/>
        <v>1866.6000000000004</v>
      </c>
      <c r="X22">
        <v>16</v>
      </c>
      <c r="Y22" s="56">
        <v>3</v>
      </c>
      <c r="Z22" s="63">
        <f t="shared" si="42"/>
        <v>209.85561600000003</v>
      </c>
      <c r="AA22" s="60">
        <f>SUM($Z$6:Z22)/86400</f>
        <v>3.9515154745370373E-2</v>
      </c>
      <c r="AB22" s="56">
        <f t="shared" si="43"/>
        <v>64</v>
      </c>
      <c r="AC22" s="56">
        <v>11</v>
      </c>
      <c r="AD22" s="63">
        <f t="shared" si="16"/>
        <v>208.01390400000003</v>
      </c>
      <c r="AE22" s="60">
        <f>SUM($AD$6:AD22)/86400</f>
        <v>3.9289268449074079E-2</v>
      </c>
      <c r="AF22" s="56">
        <f t="shared" si="44"/>
        <v>16</v>
      </c>
      <c r="AG22" s="56">
        <v>1</v>
      </c>
      <c r="AH22" s="63">
        <f>207.4*(1+0.00185*AJ22/10)</f>
        <v>210.31604400000001</v>
      </c>
      <c r="AI22" s="60">
        <f>SUM($AH$6:AH22)/86400</f>
        <v>3.746972185185185E-2</v>
      </c>
      <c r="AJ22" s="56">
        <f t="shared" ref="AJ22" si="51">AJ21-6</f>
        <v>76</v>
      </c>
    </row>
    <row r="23" spans="5:36" x14ac:dyDescent="0.25">
      <c r="E23" t="s">
        <v>73</v>
      </c>
      <c r="F23">
        <f>$C$1+$C$2*E22</f>
        <v>56.099999999999994</v>
      </c>
      <c r="G23" s="56"/>
      <c r="H23" s="60"/>
      <c r="I23" s="56"/>
      <c r="J23" s="61"/>
      <c r="K23" s="61"/>
      <c r="X23">
        <v>17</v>
      </c>
      <c r="Y23" s="56">
        <v>4</v>
      </c>
      <c r="Z23" s="63">
        <f t="shared" si="42"/>
        <v>209.62540199999998</v>
      </c>
      <c r="AA23" s="60">
        <f>SUM($Z$6:Z23)/86400</f>
        <v>4.194137467592593E-2</v>
      </c>
      <c r="AB23" s="56">
        <f t="shared" si="43"/>
        <v>58</v>
      </c>
      <c r="AC23" s="56">
        <v>12</v>
      </c>
      <c r="AD23" s="63">
        <f t="shared" si="16"/>
        <v>207.78368999999998</v>
      </c>
      <c r="AE23" s="60">
        <f>SUM($AD$6:AD23)/86400</f>
        <v>4.1694172268518521E-2</v>
      </c>
      <c r="AF23" s="56">
        <f t="shared" si="44"/>
        <v>10</v>
      </c>
      <c r="AG23" s="56">
        <v>2</v>
      </c>
      <c r="AH23" s="63">
        <f t="shared" ref="AH23:AH33" si="52">207.4*(1+0.00185*AJ23/10)</f>
        <v>210.08583000000002</v>
      </c>
      <c r="AI23" s="60">
        <f>SUM($AH$6:AH23)/86400</f>
        <v>3.9901270810185185E-2</v>
      </c>
      <c r="AJ23" s="56">
        <f t="shared" ref="AJ23:AJ33" si="53">AJ22-6</f>
        <v>70</v>
      </c>
    </row>
    <row r="24" spans="5:36" x14ac:dyDescent="0.25">
      <c r="E24" s="56">
        <v>10</v>
      </c>
      <c r="F24" s="56">
        <v>207.4</v>
      </c>
      <c r="G24" s="56">
        <f t="shared" ref="G24" si="54">F24+G22</f>
        <v>2074.0000000000005</v>
      </c>
      <c r="H24" s="60">
        <f t="shared" si="4"/>
        <v>2.4004629629629636E-2</v>
      </c>
      <c r="I24" s="56">
        <f t="shared" ref="I24" si="55">F24+I22</f>
        <v>2106.9000000000005</v>
      </c>
      <c r="J24" s="61">
        <f t="shared" ref="J24" si="56">J22+F24</f>
        <v>2109.8000000000002</v>
      </c>
      <c r="K24" s="61">
        <f t="shared" ref="K24" si="57">K22+F24</f>
        <v>2112.7000000000003</v>
      </c>
      <c r="R24" s="62">
        <f t="shared" ref="R24" si="58">R22+F24</f>
        <v>2074.0000000000005</v>
      </c>
      <c r="S24" s="62">
        <f t="shared" ref="S24" si="59">S22+F24</f>
        <v>2074.0000000000005</v>
      </c>
      <c r="T24" s="62">
        <f t="shared" ref="T24" si="60">T22+F24</f>
        <v>2074.0000000000005</v>
      </c>
      <c r="U24" s="62">
        <f t="shared" ref="U24" si="61">U22+F24</f>
        <v>2074.0000000000005</v>
      </c>
      <c r="X24">
        <v>18</v>
      </c>
      <c r="Y24" s="56">
        <v>5</v>
      </c>
      <c r="Z24" s="63">
        <f t="shared" si="42"/>
        <v>209.39518799999999</v>
      </c>
      <c r="AA24" s="60">
        <f>SUM($Z$6:Z24)/86400</f>
        <v>4.4364930092592597E-2</v>
      </c>
      <c r="AB24" s="56">
        <f t="shared" si="43"/>
        <v>52</v>
      </c>
      <c r="AC24" s="56">
        <v>13</v>
      </c>
      <c r="AD24" s="63">
        <f t="shared" si="16"/>
        <v>207.55347599999999</v>
      </c>
      <c r="AE24" s="60">
        <f>SUM($AD$6:AD24)/86400</f>
        <v>4.4096411574074082E-2</v>
      </c>
      <c r="AF24" s="56">
        <f t="shared" si="44"/>
        <v>4</v>
      </c>
      <c r="AG24" s="56">
        <v>3</v>
      </c>
      <c r="AH24" s="63">
        <f t="shared" si="52"/>
        <v>209.85561600000003</v>
      </c>
      <c r="AI24" s="60">
        <f>SUM($AH$6:AH24)/86400</f>
        <v>4.2330155254629631E-2</v>
      </c>
      <c r="AJ24" s="56">
        <f t="shared" si="53"/>
        <v>64</v>
      </c>
    </row>
    <row r="25" spans="5:36" x14ac:dyDescent="0.25">
      <c r="E25" t="s">
        <v>73</v>
      </c>
      <c r="F25">
        <f>$C$1+$C$2*E24</f>
        <v>59</v>
      </c>
      <c r="G25" s="56"/>
      <c r="H25" s="60"/>
      <c r="I25" s="56"/>
      <c r="J25" s="61"/>
      <c r="K25" s="61"/>
      <c r="R25" s="62">
        <f>R24+F25</f>
        <v>2133.0000000000005</v>
      </c>
      <c r="X25">
        <v>19</v>
      </c>
      <c r="Y25" s="56">
        <v>6</v>
      </c>
      <c r="Z25" s="63">
        <f t="shared" si="42"/>
        <v>209.164974</v>
      </c>
      <c r="AA25" s="60">
        <f>SUM($Z$6:Z25)/86400</f>
        <v>4.6785820995370368E-2</v>
      </c>
      <c r="AB25" s="56">
        <f t="shared" si="43"/>
        <v>46</v>
      </c>
      <c r="AC25" s="56" t="s">
        <v>73</v>
      </c>
      <c r="AD25" s="63">
        <f>30+AC24*2.9</f>
        <v>67.699999999999989</v>
      </c>
      <c r="AE25" s="60">
        <f>SUM($AD$6:AD25)/86400</f>
        <v>4.4879976388888888E-2</v>
      </c>
      <c r="AF25" s="56">
        <f>6*AC24+AF24</f>
        <v>82</v>
      </c>
      <c r="AG25" s="56">
        <v>4</v>
      </c>
      <c r="AH25" s="63">
        <f t="shared" si="52"/>
        <v>209.62540199999998</v>
      </c>
      <c r="AI25" s="60">
        <f>SUM($AH$6:AH25)/86400</f>
        <v>4.4756375185185188E-2</v>
      </c>
      <c r="AJ25" s="56">
        <f t="shared" si="53"/>
        <v>58</v>
      </c>
    </row>
    <row r="26" spans="5:36" x14ac:dyDescent="0.25">
      <c r="E26" s="56">
        <v>11</v>
      </c>
      <c r="F26" s="56">
        <v>207.4</v>
      </c>
      <c r="G26" s="56">
        <f t="shared" ref="G26" si="62">G24+F26</f>
        <v>2281.4000000000005</v>
      </c>
      <c r="H26" s="60">
        <f t="shared" si="4"/>
        <v>2.6405092592592598E-2</v>
      </c>
      <c r="I26" s="56">
        <f t="shared" si="35"/>
        <v>2314.3000000000006</v>
      </c>
      <c r="J26" s="61">
        <f t="shared" ref="J26" si="63">J24+F26</f>
        <v>2317.2000000000003</v>
      </c>
      <c r="K26" s="61">
        <f t="shared" ref="K26" si="64">K24+F26</f>
        <v>2320.1000000000004</v>
      </c>
      <c r="R26" s="62">
        <f>R25+F26</f>
        <v>2340.4000000000005</v>
      </c>
      <c r="S26" s="62">
        <f>S24+$F$24</f>
        <v>2281.4000000000005</v>
      </c>
      <c r="T26" s="62">
        <f t="shared" ref="T26:U26" si="65">T24+$F$10</f>
        <v>2281.4000000000005</v>
      </c>
      <c r="U26" s="62">
        <f t="shared" si="65"/>
        <v>2281.4000000000005</v>
      </c>
      <c r="X26">
        <v>20</v>
      </c>
      <c r="Y26" s="56">
        <v>7</v>
      </c>
      <c r="Z26" s="63">
        <f t="shared" si="42"/>
        <v>208.93476000000001</v>
      </c>
      <c r="AA26" s="60">
        <f>SUM($Z$6:Z26)/86400</f>
        <v>4.9204047384259257E-2</v>
      </c>
      <c r="AB26" s="56">
        <f t="shared" si="43"/>
        <v>40</v>
      </c>
      <c r="AC26" s="56">
        <v>1</v>
      </c>
      <c r="AD26" s="63">
        <f>207.4*(1+0.00185*AF26/10)</f>
        <v>210.31604400000001</v>
      </c>
      <c r="AE26" s="60">
        <f>SUM($AD$6:AD26)/86400</f>
        <v>4.7314189861111113E-2</v>
      </c>
      <c r="AF26" s="56">
        <f>AF25-6</f>
        <v>76</v>
      </c>
      <c r="AG26" s="56">
        <v>5</v>
      </c>
      <c r="AH26" s="63">
        <f t="shared" si="52"/>
        <v>209.39518799999999</v>
      </c>
      <c r="AI26" s="60">
        <f>SUM($AH$6:AH26)/86400</f>
        <v>4.7179930601851855E-2</v>
      </c>
      <c r="AJ26" s="56">
        <f t="shared" si="53"/>
        <v>52</v>
      </c>
    </row>
    <row r="27" spans="5:36" x14ac:dyDescent="0.25">
      <c r="E27" t="s">
        <v>73</v>
      </c>
      <c r="F27">
        <f>$C$1+$C$2*E26</f>
        <v>61.9</v>
      </c>
      <c r="G27" s="56"/>
      <c r="H27" s="60"/>
      <c r="I27" s="56"/>
      <c r="J27" s="61"/>
      <c r="K27" s="61"/>
      <c r="S27" s="62">
        <f>S26+F27</f>
        <v>2343.3000000000006</v>
      </c>
      <c r="X27">
        <v>21</v>
      </c>
      <c r="Y27" s="56">
        <v>8</v>
      </c>
      <c r="Z27" s="63">
        <f t="shared" si="42"/>
        <v>208.70454599999999</v>
      </c>
      <c r="AA27" s="60">
        <f>SUM($Z$6:Z27)/86400</f>
        <v>5.1619609259259257E-2</v>
      </c>
      <c r="AB27" s="56">
        <f t="shared" si="43"/>
        <v>34</v>
      </c>
      <c r="AC27" s="56">
        <v>2</v>
      </c>
      <c r="AD27" s="63">
        <f t="shared" ref="AD27:AD33" si="66">207.4*(1+0.00185*AF27/10)</f>
        <v>210.08583000000002</v>
      </c>
      <c r="AE27" s="60">
        <f>SUM($AD$6:AD27)/86400</f>
        <v>4.9745738819444447E-2</v>
      </c>
      <c r="AF27" s="56">
        <f t="shared" ref="AF27:AF33" si="67">AF26-6</f>
        <v>70</v>
      </c>
      <c r="AG27" s="56">
        <v>6</v>
      </c>
      <c r="AH27" s="63">
        <f t="shared" si="52"/>
        <v>209.164974</v>
      </c>
      <c r="AI27" s="60">
        <f>SUM($AH$6:AH27)/86400</f>
        <v>4.9600821504629633E-2</v>
      </c>
      <c r="AJ27" s="56">
        <f t="shared" si="53"/>
        <v>46</v>
      </c>
    </row>
    <row r="28" spans="5:36" x14ac:dyDescent="0.25">
      <c r="E28" s="56">
        <v>12</v>
      </c>
      <c r="F28" s="56">
        <v>207.4</v>
      </c>
      <c r="G28" s="56">
        <f t="shared" ref="G28" si="68">F28+G26</f>
        <v>2488.8000000000006</v>
      </c>
      <c r="H28" s="60">
        <f t="shared" si="4"/>
        <v>2.8805555555555563E-2</v>
      </c>
      <c r="I28" s="56">
        <f t="shared" ref="I28" si="69">F28+I26</f>
        <v>2521.7000000000007</v>
      </c>
      <c r="J28" s="61">
        <f t="shared" ref="J28" si="70">J26+F28</f>
        <v>2524.6000000000004</v>
      </c>
      <c r="K28" s="61">
        <f t="shared" ref="K28" si="71">K26+F28</f>
        <v>2527.5000000000005</v>
      </c>
      <c r="R28" s="62">
        <f>R26+F28</f>
        <v>2547.8000000000006</v>
      </c>
      <c r="S28" s="62">
        <f>S27+F28</f>
        <v>2550.7000000000007</v>
      </c>
      <c r="T28" s="62">
        <f t="shared" ref="T28" si="72">T26+F28</f>
        <v>2488.8000000000006</v>
      </c>
      <c r="U28" s="62">
        <f t="shared" ref="U28" si="73">U26+F28</f>
        <v>2488.8000000000006</v>
      </c>
      <c r="X28">
        <v>22</v>
      </c>
      <c r="Y28" s="56">
        <v>9</v>
      </c>
      <c r="Z28" s="63">
        <f t="shared" si="42"/>
        <v>208.474332</v>
      </c>
      <c r="AA28" s="60">
        <f>SUM($Z$6:Z28)/86400</f>
        <v>5.403250662037036E-2</v>
      </c>
      <c r="AB28" s="56">
        <f t="shared" si="43"/>
        <v>28</v>
      </c>
      <c r="AC28" s="56">
        <v>3</v>
      </c>
      <c r="AD28" s="63">
        <f t="shared" si="66"/>
        <v>209.85561600000003</v>
      </c>
      <c r="AE28" s="60">
        <f>SUM($AD$6:AD28)/86400</f>
        <v>5.2174623263888893E-2</v>
      </c>
      <c r="AF28" s="56">
        <f t="shared" si="67"/>
        <v>64</v>
      </c>
      <c r="AG28" s="56">
        <v>7</v>
      </c>
      <c r="AH28" s="63">
        <f t="shared" si="52"/>
        <v>208.93476000000001</v>
      </c>
      <c r="AI28" s="60">
        <f>SUM($AH$6:AH28)/86400</f>
        <v>5.2019047893518522E-2</v>
      </c>
      <c r="AJ28" s="56">
        <f t="shared" si="53"/>
        <v>40</v>
      </c>
    </row>
    <row r="29" spans="5:36" x14ac:dyDescent="0.25">
      <c r="E29" t="s">
        <v>73</v>
      </c>
      <c r="F29">
        <f>$C$1+$C$2*E28</f>
        <v>64.8</v>
      </c>
      <c r="G29" s="56"/>
      <c r="H29" s="60"/>
      <c r="I29" s="56"/>
      <c r="J29" s="61"/>
      <c r="K29" s="61"/>
      <c r="T29" s="62">
        <f>T28+F29</f>
        <v>2553.6000000000008</v>
      </c>
      <c r="X29">
        <v>23</v>
      </c>
      <c r="Y29" s="56">
        <v>10</v>
      </c>
      <c r="Z29" s="63">
        <f t="shared" si="42"/>
        <v>208.24411800000001</v>
      </c>
      <c r="AA29" s="60">
        <f>SUM($Z$6:Z29)/86400</f>
        <v>5.6442739467592581E-2</v>
      </c>
      <c r="AB29" s="56">
        <f t="shared" si="43"/>
        <v>22</v>
      </c>
      <c r="AC29" s="56">
        <v>4</v>
      </c>
      <c r="AD29" s="63">
        <f t="shared" si="66"/>
        <v>209.62540199999998</v>
      </c>
      <c r="AE29" s="60">
        <f>SUM($AD$6:AD29)/86400</f>
        <v>5.4600843194444443E-2</v>
      </c>
      <c r="AF29" s="56">
        <f t="shared" si="67"/>
        <v>58</v>
      </c>
      <c r="AG29" s="56">
        <v>8</v>
      </c>
      <c r="AH29" s="63">
        <f t="shared" si="52"/>
        <v>208.70454599999999</v>
      </c>
      <c r="AI29" s="60">
        <f>SUM($AH$6:AH29)/86400</f>
        <v>5.4434609768518522E-2</v>
      </c>
      <c r="AJ29" s="56">
        <f t="shared" si="53"/>
        <v>34</v>
      </c>
    </row>
    <row r="30" spans="5:36" x14ac:dyDescent="0.25">
      <c r="E30" s="56">
        <v>13</v>
      </c>
      <c r="F30" s="56">
        <v>207.4</v>
      </c>
      <c r="G30" s="56">
        <f t="shared" ref="G30" si="74">G28+F30</f>
        <v>2696.2000000000007</v>
      </c>
      <c r="H30" s="60">
        <f t="shared" si="4"/>
        <v>3.1206018518518525E-2</v>
      </c>
      <c r="I30" s="56">
        <f>F30+I28</f>
        <v>2729.1000000000008</v>
      </c>
      <c r="J30" s="61">
        <f t="shared" ref="J30" si="75">J28+F30</f>
        <v>2732.0000000000005</v>
      </c>
      <c r="K30" s="61">
        <f t="shared" ref="K30" si="76">K28+F30</f>
        <v>2734.9000000000005</v>
      </c>
      <c r="R30" s="62">
        <f>R28+F30</f>
        <v>2755.2000000000007</v>
      </c>
      <c r="S30" s="62">
        <f>S28+$F$30</f>
        <v>2758.1000000000008</v>
      </c>
      <c r="T30" s="62">
        <f>T29+$F$30</f>
        <v>2761.0000000000009</v>
      </c>
      <c r="U30" s="62">
        <f t="shared" ref="U30" si="77">U28+$F$10</f>
        <v>2696.2000000000007</v>
      </c>
      <c r="X30">
        <v>24</v>
      </c>
      <c r="Y30" s="56">
        <v>11</v>
      </c>
      <c r="Z30" s="63">
        <f t="shared" si="42"/>
        <v>208.01390400000003</v>
      </c>
      <c r="AA30" s="60">
        <f>SUM($Z$6:Z30)/86400</f>
        <v>5.885030780092592E-2</v>
      </c>
      <c r="AB30" s="56">
        <f t="shared" si="43"/>
        <v>16</v>
      </c>
      <c r="AC30" s="56">
        <v>5</v>
      </c>
      <c r="AD30" s="63">
        <f t="shared" si="66"/>
        <v>209.39518799999999</v>
      </c>
      <c r="AE30" s="60">
        <f>SUM($AD$6:AD30)/86400</f>
        <v>5.7024398611111117E-2</v>
      </c>
      <c r="AF30" s="56">
        <f t="shared" si="67"/>
        <v>52</v>
      </c>
      <c r="AG30" s="56">
        <v>9</v>
      </c>
      <c r="AH30" s="63">
        <f t="shared" si="52"/>
        <v>208.474332</v>
      </c>
      <c r="AI30" s="60">
        <f>SUM($AH$6:AH30)/86400</f>
        <v>5.6847507129629632E-2</v>
      </c>
      <c r="AJ30" s="56">
        <f t="shared" si="53"/>
        <v>28</v>
      </c>
    </row>
    <row r="31" spans="5:36" x14ac:dyDescent="0.25">
      <c r="E31" t="s">
        <v>73</v>
      </c>
      <c r="F31">
        <f>$C$1+$C$2*E30</f>
        <v>67.699999999999989</v>
      </c>
      <c r="G31" s="56">
        <f>G30+F31</f>
        <v>2763.9000000000005</v>
      </c>
      <c r="H31" s="60">
        <f t="shared" si="4"/>
        <v>3.1989583333333342E-2</v>
      </c>
      <c r="I31" s="56"/>
      <c r="J31" s="61"/>
      <c r="U31" s="62">
        <f>U30+F31</f>
        <v>2763.9000000000005</v>
      </c>
      <c r="X31">
        <v>25</v>
      </c>
      <c r="Y31" s="56">
        <v>12</v>
      </c>
      <c r="Z31" s="63">
        <f t="shared" si="42"/>
        <v>207.78368999999998</v>
      </c>
      <c r="AA31" s="60">
        <f>SUM($Z$6:Z31)/86400</f>
        <v>6.1255211620370363E-2</v>
      </c>
      <c r="AB31" s="56">
        <f t="shared" si="43"/>
        <v>10</v>
      </c>
      <c r="AC31" s="56">
        <v>6</v>
      </c>
      <c r="AD31" s="63">
        <f t="shared" si="66"/>
        <v>209.164974</v>
      </c>
      <c r="AE31" s="60">
        <f>SUM($AD$6:AD31)/86400</f>
        <v>5.9445289513888895E-2</v>
      </c>
      <c r="AF31" s="56">
        <f t="shared" si="67"/>
        <v>46</v>
      </c>
      <c r="AG31" s="56">
        <v>10</v>
      </c>
      <c r="AH31" s="63">
        <f t="shared" si="52"/>
        <v>208.24411800000001</v>
      </c>
      <c r="AI31" s="60">
        <f>SUM($AH$6:AH31)/86400</f>
        <v>5.9257739976851846E-2</v>
      </c>
      <c r="AJ31" s="56">
        <f t="shared" si="53"/>
        <v>22</v>
      </c>
    </row>
    <row r="32" spans="5:36" x14ac:dyDescent="0.25">
      <c r="E32" s="56"/>
      <c r="F32" s="56"/>
      <c r="G32" s="56"/>
      <c r="H32" s="60"/>
      <c r="I32" s="56"/>
      <c r="J32" s="61"/>
      <c r="X32">
        <v>26</v>
      </c>
      <c r="Y32" s="56">
        <v>13</v>
      </c>
      <c r="Z32" s="63">
        <f t="shared" si="42"/>
        <v>207.55347599999999</v>
      </c>
      <c r="AA32" s="60">
        <f>SUM($Z$6:Z32)/86400</f>
        <v>6.3657450925925924E-2</v>
      </c>
      <c r="AB32" s="56">
        <f t="shared" si="43"/>
        <v>4</v>
      </c>
      <c r="AC32" s="56">
        <v>7</v>
      </c>
      <c r="AD32" s="63">
        <f t="shared" si="66"/>
        <v>208.93476000000001</v>
      </c>
      <c r="AE32" s="60">
        <f>SUM($AD$6:AD32)/86400</f>
        <v>6.1863515902777784E-2</v>
      </c>
      <c r="AF32" s="56">
        <f t="shared" si="67"/>
        <v>40</v>
      </c>
      <c r="AG32" s="56">
        <v>11</v>
      </c>
      <c r="AH32" s="63">
        <f t="shared" si="52"/>
        <v>208.01390400000003</v>
      </c>
      <c r="AI32" s="60">
        <f>SUM($AH$6:AH32)/86400</f>
        <v>6.1665308310185185E-2</v>
      </c>
      <c r="AJ32" s="56">
        <f t="shared" si="53"/>
        <v>16</v>
      </c>
    </row>
    <row r="33" spans="7:36" x14ac:dyDescent="0.25">
      <c r="G33" s="56"/>
      <c r="I33" s="56"/>
      <c r="J33" s="61"/>
      <c r="Y33" s="64" t="s">
        <v>73</v>
      </c>
      <c r="Z33" s="65">
        <f>30+Y32*2.9</f>
        <v>67.699999999999989</v>
      </c>
      <c r="AA33" s="66">
        <f>SUM($Z$6:Z33)/86400</f>
        <v>6.4441015740740737E-2</v>
      </c>
      <c r="AB33" s="64">
        <f>6*Y32+AB32</f>
        <v>82</v>
      </c>
      <c r="AC33" s="64">
        <v>8</v>
      </c>
      <c r="AD33" s="65">
        <f t="shared" si="66"/>
        <v>208.70454599999999</v>
      </c>
      <c r="AE33" s="66">
        <f>SUM($AD$6:AD33)/86400</f>
        <v>6.4279077777777791E-2</v>
      </c>
      <c r="AF33" s="64">
        <f t="shared" si="67"/>
        <v>34</v>
      </c>
      <c r="AG33" s="64">
        <v>12</v>
      </c>
      <c r="AH33" s="65">
        <f t="shared" si="52"/>
        <v>207.78368999999998</v>
      </c>
      <c r="AI33" s="66">
        <f>SUM($AH$6:AH33)/86400</f>
        <v>6.4070212129629628E-2</v>
      </c>
      <c r="AJ33" s="64">
        <f t="shared" si="53"/>
        <v>10</v>
      </c>
    </row>
    <row r="34" spans="7:36" x14ac:dyDescent="0.25">
      <c r="H34" t="s">
        <v>93</v>
      </c>
      <c r="I34">
        <f>I30-$G$31</f>
        <v>-34.799999999999727</v>
      </c>
      <c r="J34">
        <f>J30-$G$31</f>
        <v>-31.900000000000091</v>
      </c>
      <c r="K34">
        <f>K30-$G$31</f>
        <v>-29</v>
      </c>
      <c r="L34">
        <f t="shared" ref="L34:T34" si="78">L30-$G$31</f>
        <v>-2763.9000000000005</v>
      </c>
      <c r="M34">
        <f t="shared" si="78"/>
        <v>-2763.9000000000005</v>
      </c>
      <c r="N34">
        <f t="shared" si="78"/>
        <v>-2763.9000000000005</v>
      </c>
      <c r="O34">
        <f t="shared" si="78"/>
        <v>-2763.9000000000005</v>
      </c>
      <c r="P34">
        <f t="shared" si="78"/>
        <v>-2763.9000000000005</v>
      </c>
      <c r="Q34">
        <f t="shared" si="78"/>
        <v>-2763.9000000000005</v>
      </c>
      <c r="R34">
        <f t="shared" si="78"/>
        <v>-8.6999999999998181</v>
      </c>
      <c r="S34">
        <f t="shared" si="78"/>
        <v>-5.7999999999997272</v>
      </c>
      <c r="T34">
        <f t="shared" si="78"/>
        <v>-2.8999999999996362</v>
      </c>
      <c r="U34">
        <f>U31-$G$31</f>
        <v>0</v>
      </c>
    </row>
    <row r="39" spans="7:36" x14ac:dyDescent="0.25">
      <c r="AD39" s="56" t="s">
        <v>92</v>
      </c>
      <c r="AE39" s="60">
        <f>$AA$33-AE33</f>
        <v>1.6193796296294638E-4</v>
      </c>
      <c r="AH39" s="56" t="s">
        <v>92</v>
      </c>
      <c r="AI39" s="60">
        <f>$AA$33-AI33</f>
        <v>3.7080361111110904E-4</v>
      </c>
    </row>
  </sheetData>
  <mergeCells count="3">
    <mergeCell ref="Z4:AB4"/>
    <mergeCell ref="AC4:AF4"/>
    <mergeCell ref="AG4:AJ4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C0A7-68BF-41C9-A418-1F7638D197A2}">
  <dimension ref="B1:N27"/>
  <sheetViews>
    <sheetView tabSelected="1" topLeftCell="A7" workbookViewId="0">
      <selection activeCell="I21" sqref="I21"/>
    </sheetView>
  </sheetViews>
  <sheetFormatPr defaultRowHeight="15" x14ac:dyDescent="0.25"/>
  <cols>
    <col min="2" max="2" width="15.85546875" bestFit="1" customWidth="1"/>
    <col min="3" max="3" width="8" bestFit="1" customWidth="1"/>
    <col min="4" max="4" width="14.140625" bestFit="1" customWidth="1"/>
    <col min="5" max="5" width="16.28515625" bestFit="1" customWidth="1"/>
    <col min="6" max="6" width="16.7109375" bestFit="1" customWidth="1"/>
    <col min="7" max="7" width="12.5703125" bestFit="1" customWidth="1"/>
    <col min="10" max="10" width="10" bestFit="1" customWidth="1"/>
  </cols>
  <sheetData>
    <row r="1" spans="2:6" x14ac:dyDescent="0.25">
      <c r="B1" t="s">
        <v>30</v>
      </c>
    </row>
    <row r="2" spans="2:6" x14ac:dyDescent="0.25">
      <c r="C2" s="80">
        <f>C3/3.6</f>
        <v>30.555555555555554</v>
      </c>
      <c r="D2" s="80">
        <f>D3/3.6</f>
        <v>31.944444444444443</v>
      </c>
      <c r="E2" t="s">
        <v>61</v>
      </c>
    </row>
    <row r="3" spans="2:6" x14ac:dyDescent="0.25">
      <c r="B3" t="s">
        <v>52</v>
      </c>
      <c r="C3">
        <v>110</v>
      </c>
      <c r="D3">
        <v>115</v>
      </c>
      <c r="E3" t="s">
        <v>53</v>
      </c>
    </row>
    <row r="4" spans="2:6" x14ac:dyDescent="0.25">
      <c r="B4" t="s">
        <v>54</v>
      </c>
      <c r="C4">
        <v>0</v>
      </c>
      <c r="D4" t="s">
        <v>55</v>
      </c>
    </row>
    <row r="5" spans="2:6" x14ac:dyDescent="0.25">
      <c r="B5" t="s">
        <v>56</v>
      </c>
      <c r="C5">
        <v>10125</v>
      </c>
      <c r="D5" t="s">
        <v>55</v>
      </c>
    </row>
    <row r="6" spans="2:6" x14ac:dyDescent="0.25">
      <c r="B6" t="s">
        <v>57</v>
      </c>
      <c r="C6">
        <v>4600</v>
      </c>
      <c r="D6" t="s">
        <v>55</v>
      </c>
    </row>
    <row r="8" spans="2:6" x14ac:dyDescent="0.25">
      <c r="B8" t="s">
        <v>107</v>
      </c>
    </row>
    <row r="9" spans="2:6" x14ac:dyDescent="0.25">
      <c r="B9" t="s">
        <v>108</v>
      </c>
    </row>
    <row r="12" spans="2:6" ht="15.75" thickBot="1" x14ac:dyDescent="0.3"/>
    <row r="13" spans="2:6" ht="15.75" thickBot="1" x14ac:dyDescent="0.3">
      <c r="B13" s="2"/>
      <c r="C13" s="79" t="s">
        <v>103</v>
      </c>
      <c r="D13" s="74" t="s">
        <v>104</v>
      </c>
      <c r="E13" s="74" t="s">
        <v>105</v>
      </c>
      <c r="F13" s="73" t="s">
        <v>106</v>
      </c>
    </row>
    <row r="14" spans="2:6" x14ac:dyDescent="0.25">
      <c r="B14" s="3" t="s">
        <v>58</v>
      </c>
      <c r="C14" s="75">
        <f>13625-$C$5</f>
        <v>3500</v>
      </c>
      <c r="D14" s="75">
        <v>56</v>
      </c>
      <c r="E14" s="77">
        <f>C14/$C$2</f>
        <v>114.54545454545455</v>
      </c>
      <c r="F14" s="71">
        <f>C14/$D$2</f>
        <v>109.56521739130436</v>
      </c>
    </row>
    <row r="15" spans="2:6" x14ac:dyDescent="0.25">
      <c r="B15" s="3" t="s">
        <v>59</v>
      </c>
      <c r="C15" s="75">
        <f>$C$5-$C$6</f>
        <v>5525</v>
      </c>
      <c r="D15" s="75">
        <v>80</v>
      </c>
      <c r="E15" s="77">
        <f t="shared" ref="E15:E16" si="0">C15/$C$2</f>
        <v>180.81818181818184</v>
      </c>
      <c r="F15" s="71">
        <f t="shared" ref="F15:F16" si="1">C15/$D$2</f>
        <v>172.95652173913044</v>
      </c>
    </row>
    <row r="16" spans="2:6" ht="15.75" thickBot="1" x14ac:dyDescent="0.3">
      <c r="B16" s="57" t="s">
        <v>60</v>
      </c>
      <c r="C16" s="76">
        <v>4600</v>
      </c>
      <c r="D16" s="76">
        <v>72</v>
      </c>
      <c r="E16" s="78">
        <f t="shared" si="0"/>
        <v>150.54545454545456</v>
      </c>
      <c r="F16" s="72">
        <f t="shared" si="1"/>
        <v>144</v>
      </c>
    </row>
    <row r="18" spans="2:14" ht="15.75" thickBot="1" x14ac:dyDescent="0.3"/>
    <row r="19" spans="2:14" ht="15.75" thickBot="1" x14ac:dyDescent="0.3">
      <c r="B19" s="68"/>
      <c r="C19" s="40" t="s">
        <v>98</v>
      </c>
      <c r="D19" s="69" t="s">
        <v>99</v>
      </c>
      <c r="E19" s="69" t="s">
        <v>100</v>
      </c>
      <c r="F19" s="58" t="s">
        <v>101</v>
      </c>
    </row>
    <row r="20" spans="2:14" ht="15.75" thickBot="1" x14ac:dyDescent="0.3">
      <c r="B20" s="67" t="s">
        <v>102</v>
      </c>
      <c r="C20" s="42">
        <f>30+35</f>
        <v>65</v>
      </c>
      <c r="D20" s="70">
        <v>80</v>
      </c>
      <c r="E20" s="70">
        <v>83</v>
      </c>
      <c r="F20" s="41">
        <v>400</v>
      </c>
    </row>
    <row r="21" spans="2:14" ht="15.75" thickBot="1" x14ac:dyDescent="0.3"/>
    <row r="22" spans="2:14" ht="15" customHeight="1" x14ac:dyDescent="0.25">
      <c r="B22" s="123" t="s">
        <v>109</v>
      </c>
      <c r="C22" s="125" t="s">
        <v>126</v>
      </c>
      <c r="D22" s="125" t="s">
        <v>127</v>
      </c>
      <c r="E22" s="125" t="s">
        <v>124</v>
      </c>
      <c r="F22" s="127" t="s">
        <v>125</v>
      </c>
      <c r="G22" s="122" t="s">
        <v>114</v>
      </c>
      <c r="H22" s="111"/>
      <c r="I22" s="111"/>
      <c r="J22" s="111"/>
      <c r="K22" s="112"/>
    </row>
    <row r="23" spans="2:14" x14ac:dyDescent="0.25">
      <c r="B23" s="124"/>
      <c r="C23" s="126"/>
      <c r="D23" s="126"/>
      <c r="E23" s="126"/>
      <c r="F23" s="128"/>
      <c r="G23" s="113" t="s">
        <v>113</v>
      </c>
      <c r="H23" s="114" t="s">
        <v>110</v>
      </c>
      <c r="I23" s="114" t="s">
        <v>99</v>
      </c>
      <c r="J23" s="114" t="s">
        <v>111</v>
      </c>
      <c r="K23" s="115" t="s">
        <v>112</v>
      </c>
    </row>
    <row r="24" spans="2:14" ht="15.75" thickBot="1" x14ac:dyDescent="0.3">
      <c r="B24" s="124"/>
      <c r="C24" s="126"/>
      <c r="D24" s="126"/>
      <c r="E24" s="126"/>
      <c r="F24" s="128"/>
      <c r="G24" s="57">
        <v>30</v>
      </c>
      <c r="H24" s="119">
        <v>35</v>
      </c>
      <c r="I24" s="119">
        <v>50</v>
      </c>
      <c r="J24" s="119">
        <v>53</v>
      </c>
      <c r="K24" s="121">
        <v>330</v>
      </c>
    </row>
    <row r="25" spans="2:14" x14ac:dyDescent="0.25">
      <c r="B25" s="3" t="s">
        <v>115</v>
      </c>
      <c r="C25" s="116">
        <v>110</v>
      </c>
      <c r="D25" s="116">
        <v>56</v>
      </c>
      <c r="E25" s="118">
        <f>$G$24+MIN(H24:K24)</f>
        <v>65</v>
      </c>
      <c r="F25" s="118">
        <f>$G$24+MAX(H24:K24)</f>
        <v>360</v>
      </c>
      <c r="G25" s="129"/>
      <c r="H25" s="116">
        <f>$G$24+H$24</f>
        <v>65</v>
      </c>
      <c r="I25" s="116">
        <f t="shared" ref="I25:K25" si="2">$G$24+I$24</f>
        <v>80</v>
      </c>
      <c r="J25" s="116">
        <f t="shared" si="2"/>
        <v>83</v>
      </c>
      <c r="K25" s="117">
        <f t="shared" si="2"/>
        <v>360</v>
      </c>
      <c r="N25" t="s">
        <v>121</v>
      </c>
    </row>
    <row r="26" spans="2:14" x14ac:dyDescent="0.25">
      <c r="B26" s="3" t="s">
        <v>116</v>
      </c>
      <c r="C26" s="116">
        <v>175</v>
      </c>
      <c r="D26" s="116">
        <v>80</v>
      </c>
      <c r="E26" s="118"/>
      <c r="F26" s="118"/>
      <c r="G26" s="110"/>
      <c r="H26" s="116">
        <f t="shared" ref="H26:K27" si="3">$G$24+H$24</f>
        <v>65</v>
      </c>
      <c r="I26" s="116">
        <f t="shared" si="3"/>
        <v>80</v>
      </c>
      <c r="J26" s="116">
        <f t="shared" si="3"/>
        <v>83</v>
      </c>
      <c r="K26" s="117">
        <f t="shared" si="3"/>
        <v>360</v>
      </c>
      <c r="N26" t="s">
        <v>122</v>
      </c>
    </row>
    <row r="27" spans="2:14" ht="15.75" thickBot="1" x14ac:dyDescent="0.3">
      <c r="B27" s="57" t="s">
        <v>117</v>
      </c>
      <c r="C27" s="119">
        <v>145</v>
      </c>
      <c r="D27" s="119">
        <v>72</v>
      </c>
      <c r="E27" s="120"/>
      <c r="F27" s="120"/>
      <c r="G27" s="109"/>
      <c r="H27" s="119">
        <f t="shared" si="3"/>
        <v>65</v>
      </c>
      <c r="I27" s="119">
        <f t="shared" si="3"/>
        <v>80</v>
      </c>
      <c r="J27" s="119">
        <f t="shared" si="3"/>
        <v>83</v>
      </c>
      <c r="K27" s="121">
        <f t="shared" si="3"/>
        <v>360</v>
      </c>
      <c r="N27" t="s">
        <v>123</v>
      </c>
    </row>
  </sheetData>
  <mergeCells count="9">
    <mergeCell ref="B22:B24"/>
    <mergeCell ref="C22:C24"/>
    <mergeCell ref="D22:D24"/>
    <mergeCell ref="E22:E24"/>
    <mergeCell ref="F22:F24"/>
    <mergeCell ref="G22:K22"/>
    <mergeCell ref="F25:F27"/>
    <mergeCell ref="E25:E27"/>
    <mergeCell ref="G25:G27"/>
  </mergeCells>
  <conditionalFormatting sqref="H25:K25">
    <cfRule type="cellIs" dxfId="2" priority="1" operator="between">
      <formula>$D$25</formula>
      <formula>$C$25</formula>
    </cfRule>
  </conditionalFormatting>
  <conditionalFormatting sqref="H26:K26">
    <cfRule type="cellIs" dxfId="1" priority="2" operator="between">
      <formula>$D$26</formula>
      <formula>$C$26</formula>
    </cfRule>
  </conditionalFormatting>
  <conditionalFormatting sqref="H27:K27">
    <cfRule type="cellIs" dxfId="0" priority="3" operator="between">
      <formula>$D$27</formula>
      <formula>$C$27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Slow Zones</vt:lpstr>
      <vt:lpstr>Sheet1</vt:lpstr>
      <vt:lpstr>Safety 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Marco.Rossini</dc:creator>
  <cp:lastModifiedBy>Marco.Rossini</cp:lastModifiedBy>
  <dcterms:created xsi:type="dcterms:W3CDTF">2021-07-30T09:17:00Z</dcterms:created>
  <dcterms:modified xsi:type="dcterms:W3CDTF">2021-08-10T17:37:29Z</dcterms:modified>
</cp:coreProperties>
</file>