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\\10.10.105.50\SCG007c_Data\Share\"/>
    </mc:Choice>
  </mc:AlternateContent>
  <xr:revisionPtr revIDLastSave="0" documentId="13_ncr:1_{B244287B-648C-467E-A925-E0FDAAAADEEE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1" l="1"/>
  <c r="N5" i="1"/>
  <c r="O4" i="1"/>
  <c r="N4" i="1"/>
  <c r="H4" i="1"/>
  <c r="G4" i="1"/>
  <c r="G5" i="1"/>
  <c r="H6" i="1"/>
  <c r="G6" i="1"/>
  <c r="H7" i="1"/>
  <c r="G7" i="1"/>
</calcChain>
</file>

<file path=xl/sharedStrings.xml><?xml version="1.0" encoding="utf-8"?>
<sst xmlns="http://schemas.openxmlformats.org/spreadsheetml/2006/main" count="38" uniqueCount="14">
  <si>
    <t>Front</t>
  </si>
  <si>
    <t>Rear</t>
  </si>
  <si>
    <t># 1</t>
  </si>
  <si>
    <t># 2</t>
  </si>
  <si>
    <t># 3</t>
  </si>
  <si>
    <t># 4</t>
  </si>
  <si>
    <t>#7</t>
  </si>
  <si>
    <t>PIT RH</t>
  </si>
  <si>
    <t>EoS RH</t>
  </si>
  <si>
    <t>Parabolica</t>
  </si>
  <si>
    <t>BackStraight</t>
  </si>
  <si>
    <t>AB</t>
  </si>
  <si>
    <t>pFront</t>
  </si>
  <si>
    <t>pRear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</si>
</sst>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33CC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9"/>
  <sheetViews>
    <sheetView tabSelected="1" workbookViewId="0">
      <selection activeCell="G4" sqref="G4"/>
    </sheetView>
  </sheetViews>
  <sheetFormatPr defaultRowHeight="15" x14ac:dyDescent="0.25"/>
  <cols>
    <col min="1" max="1" width="3.7109375" customWidth="1"/>
    <col min="2" max="2" width="11.85546875" bestFit="1" customWidth="1"/>
    <col min="9" max="9" width="3.7109375" style="5" customWidth="1"/>
  </cols>
  <sheetData>
    <row r="2" spans="2:15" x14ac:dyDescent="0.25">
      <c r="D2" s="2">
        <v>708</v>
      </c>
      <c r="E2" s="2"/>
      <c r="F2" s="4"/>
      <c r="G2" s="4"/>
      <c r="H2" s="4"/>
      <c r="I2" s="4"/>
      <c r="K2" s="3">
        <v>709</v>
      </c>
      <c r="L2" s="3"/>
    </row>
    <row r="3" spans="2:15" x14ac:dyDescent="0.25">
      <c r="D3" t="s">
        <v>0</v>
      </c>
      <c r="E3" t="s">
        <v>1</v>
      </c>
      <c r="G3" s="12" t="s">
        <v>12</v>
      </c>
      <c r="H3" s="12" t="s">
        <v>13</v>
      </c>
      <c r="K3" t="s">
        <v>0</v>
      </c>
      <c r="L3" t="s">
        <v>1</v>
      </c>
      <c r="N3" s="12" t="s">
        <v>12</v>
      </c>
      <c r="O3" s="12" t="s">
        <v>13</v>
      </c>
    </row>
    <row r="4" spans="2:15" x14ac:dyDescent="0.25">
      <c r="B4" t="s">
        <v>7</v>
      </c>
      <c r="C4" s="7" t="s">
        <v>2</v>
      </c>
      <c r="D4" s="1">
        <v>67.2</v>
      </c>
      <c r="E4" s="1">
        <v>78.599999999999994</v>
      </c>
      <c r="F4" s="1"/>
      <c r="G4" s="11">
        <f>0.5*(1.97+1.99)</f>
        <v>1.98</v>
      </c>
      <c r="H4" s="11">
        <f>0.5*(1.794+1.855)</f>
        <v>1.8245</v>
      </c>
      <c r="J4" s="7" t="s">
        <v>2</v>
      </c>
      <c r="K4" s="1">
        <v>67.8</v>
      </c>
      <c r="L4" s="1">
        <v>78.2</v>
      </c>
      <c r="N4" s="13">
        <f>0.5*(1.94+1.98)</f>
        <v>1.96</v>
      </c>
      <c r="O4" s="13">
        <f>0.5*(1.78+1.796)</f>
        <v>1.788</v>
      </c>
    </row>
    <row r="5" spans="2:15" x14ac:dyDescent="0.25">
      <c r="C5" s="7" t="s">
        <v>3</v>
      </c>
      <c r="D5" s="1">
        <v>62.5</v>
      </c>
      <c r="E5" s="1">
        <v>74.2</v>
      </c>
      <c r="F5" s="1"/>
      <c r="G5" s="11">
        <f>0.5*(1.625+1.7)</f>
        <v>1.6625000000000001</v>
      </c>
      <c r="H5" s="11">
        <v>1.7</v>
      </c>
      <c r="J5" s="7" t="s">
        <v>6</v>
      </c>
      <c r="K5" s="1">
        <v>67.400000000000006</v>
      </c>
      <c r="L5" s="1">
        <v>76.5</v>
      </c>
      <c r="N5" s="13">
        <f>0.5*(1.684+1.709)</f>
        <v>1.6964999999999999</v>
      </c>
      <c r="O5" s="13">
        <f>0.5*(1.471+1.535)</f>
        <v>1.5030000000000001</v>
      </c>
    </row>
    <row r="6" spans="2:15" x14ac:dyDescent="0.25">
      <c r="C6" s="7" t="s">
        <v>4</v>
      </c>
      <c r="D6" s="1">
        <v>62.3</v>
      </c>
      <c r="E6" s="1">
        <v>75.7</v>
      </c>
      <c r="F6" s="1"/>
      <c r="G6" s="11">
        <f>0.5*(1.69+1.75)</f>
        <v>1.72</v>
      </c>
      <c r="H6" s="11">
        <f>0.5*(1.7+1.75)</f>
        <v>1.7250000000000001</v>
      </c>
      <c r="J6" s="8"/>
    </row>
    <row r="7" spans="2:15" x14ac:dyDescent="0.25">
      <c r="C7" s="7" t="s">
        <v>5</v>
      </c>
      <c r="D7" s="1">
        <v>61.3</v>
      </c>
      <c r="E7" s="1">
        <v>73</v>
      </c>
      <c r="F7" s="1"/>
      <c r="G7" s="11">
        <f>(1.634+1.683)/2</f>
        <v>1.6585000000000001</v>
      </c>
      <c r="H7" s="11">
        <f>0.5*(1.697+1.715)</f>
        <v>1.706</v>
      </c>
      <c r="J7" s="8"/>
    </row>
    <row r="8" spans="2:15" x14ac:dyDescent="0.25">
      <c r="F8" s="9" t="s">
        <v>11</v>
      </c>
      <c r="G8" s="9"/>
      <c r="H8" s="9"/>
      <c r="J8" s="6"/>
      <c r="M8" s="9" t="s">
        <v>11</v>
      </c>
    </row>
    <row r="9" spans="2:15" x14ac:dyDescent="0.25">
      <c r="B9" t="s">
        <v>8</v>
      </c>
      <c r="C9" s="7" t="s">
        <v>2</v>
      </c>
      <c r="D9" s="1">
        <v>48.5</v>
      </c>
      <c r="E9" s="1">
        <v>35.700000000000003</v>
      </c>
      <c r="F9" s="10">
        <v>39.200000000000003</v>
      </c>
      <c r="G9" s="10"/>
      <c r="H9" s="10"/>
      <c r="I9" s="6"/>
      <c r="J9" s="7" t="s">
        <v>2</v>
      </c>
      <c r="K9" s="8">
        <v>45.7</v>
      </c>
      <c r="L9" s="8">
        <v>35.5</v>
      </c>
      <c r="M9" s="10">
        <v>40.6</v>
      </c>
    </row>
    <row r="10" spans="2:15" x14ac:dyDescent="0.25">
      <c r="C10" s="7" t="s">
        <v>2</v>
      </c>
      <c r="D10" s="1">
        <v>48.5</v>
      </c>
      <c r="E10" s="1">
        <v>35.700000000000003</v>
      </c>
      <c r="F10" s="10">
        <v>39.200000000000003</v>
      </c>
      <c r="G10" s="10"/>
      <c r="H10" s="10"/>
      <c r="I10" s="6"/>
      <c r="J10" s="7" t="s">
        <v>6</v>
      </c>
      <c r="K10" s="1">
        <v>44.8</v>
      </c>
      <c r="L10" s="1">
        <v>37.200000000000003</v>
      </c>
      <c r="M10" s="10">
        <v>41.4</v>
      </c>
    </row>
    <row r="11" spans="2:15" x14ac:dyDescent="0.25">
      <c r="C11" s="7" t="s">
        <v>3</v>
      </c>
      <c r="D11" s="1">
        <v>43</v>
      </c>
      <c r="E11" s="1">
        <v>35</v>
      </c>
      <c r="F11" s="10">
        <v>42</v>
      </c>
      <c r="G11" s="10"/>
      <c r="H11" s="10"/>
      <c r="I11" s="6"/>
      <c r="J11" s="7" t="s">
        <v>6</v>
      </c>
      <c r="K11" s="1">
        <v>44.3</v>
      </c>
      <c r="L11" s="1">
        <v>37</v>
      </c>
      <c r="M11" s="10">
        <v>41.4</v>
      </c>
    </row>
    <row r="12" spans="2:15" x14ac:dyDescent="0.25">
      <c r="J12" s="6"/>
      <c r="M12" s="10"/>
    </row>
    <row r="13" spans="2:15" x14ac:dyDescent="0.25">
      <c r="B13" t="s">
        <v>9</v>
      </c>
      <c r="C13" s="7" t="s">
        <v>2</v>
      </c>
      <c r="D13" s="8">
        <v>61.7</v>
      </c>
      <c r="E13" s="1">
        <v>66.099999999999994</v>
      </c>
      <c r="F13" s="10">
        <v>37.85</v>
      </c>
      <c r="G13" s="10"/>
      <c r="H13" s="10"/>
      <c r="I13" s="6"/>
      <c r="J13" s="7" t="s">
        <v>2</v>
      </c>
      <c r="K13" s="8">
        <v>63</v>
      </c>
      <c r="L13" s="1">
        <v>57.4</v>
      </c>
      <c r="M13" s="10">
        <v>36</v>
      </c>
    </row>
    <row r="14" spans="2:15" x14ac:dyDescent="0.25">
      <c r="C14" s="7" t="s">
        <v>2</v>
      </c>
      <c r="D14" s="8">
        <v>61.7</v>
      </c>
      <c r="E14" s="1">
        <v>66.099999999999994</v>
      </c>
      <c r="F14" s="10">
        <v>37.85</v>
      </c>
      <c r="G14" s="10"/>
      <c r="H14" s="10"/>
      <c r="I14" s="6"/>
      <c r="J14" s="7" t="s">
        <v>6</v>
      </c>
      <c r="K14" s="1">
        <v>59.4</v>
      </c>
      <c r="L14" s="1">
        <v>65.8</v>
      </c>
      <c r="M14" s="10">
        <v>39</v>
      </c>
    </row>
    <row r="15" spans="2:15" x14ac:dyDescent="0.25">
      <c r="C15" s="7" t="s">
        <v>3</v>
      </c>
      <c r="D15" s="8">
        <v>58.9</v>
      </c>
      <c r="E15" s="1">
        <v>64</v>
      </c>
      <c r="F15" s="10">
        <v>39.200000000000003</v>
      </c>
      <c r="G15" s="10"/>
      <c r="H15" s="10"/>
      <c r="I15" s="6"/>
      <c r="J15" s="7" t="s">
        <v>6</v>
      </c>
      <c r="K15" s="1">
        <v>59.4</v>
      </c>
      <c r="L15" s="1">
        <v>65.7</v>
      </c>
      <c r="M15" s="10">
        <v>39</v>
      </c>
    </row>
    <row r="16" spans="2:15" x14ac:dyDescent="0.25">
      <c r="D16" s="1"/>
      <c r="E16" s="1"/>
      <c r="F16" s="1"/>
      <c r="G16" s="1"/>
      <c r="H16" s="1"/>
      <c r="I16" s="6"/>
      <c r="J16" s="6"/>
      <c r="K16" s="1"/>
      <c r="L16" s="1"/>
      <c r="M16" s="10"/>
    </row>
    <row r="17" spans="2:13" x14ac:dyDescent="0.25">
      <c r="B17" t="s">
        <v>10</v>
      </c>
      <c r="C17" s="7" t="s">
        <v>2</v>
      </c>
      <c r="D17" s="8">
        <v>45</v>
      </c>
      <c r="E17" s="1">
        <v>37.9</v>
      </c>
      <c r="F17" s="10">
        <v>38.65</v>
      </c>
      <c r="G17" s="10"/>
      <c r="H17" s="10"/>
      <c r="J17" s="7" t="s">
        <v>2</v>
      </c>
      <c r="K17" s="8">
        <v>49</v>
      </c>
      <c r="L17" s="1">
        <v>37.5</v>
      </c>
      <c r="M17" s="10">
        <v>39.299999999999997</v>
      </c>
    </row>
    <row r="18" spans="2:13" x14ac:dyDescent="0.25">
      <c r="C18" s="7" t="s">
        <v>2</v>
      </c>
      <c r="D18" s="8">
        <v>45</v>
      </c>
      <c r="E18" s="1">
        <v>37.9</v>
      </c>
      <c r="F18" s="10">
        <v>38.65</v>
      </c>
      <c r="G18" s="10"/>
      <c r="H18" s="10"/>
      <c r="I18" s="6"/>
      <c r="J18" s="7" t="s">
        <v>6</v>
      </c>
      <c r="K18" s="1">
        <v>48.8</v>
      </c>
      <c r="L18" s="1">
        <v>40.5</v>
      </c>
      <c r="M18" s="10">
        <v>40.65</v>
      </c>
    </row>
    <row r="19" spans="2:13" x14ac:dyDescent="0.25">
      <c r="C19" s="7" t="s">
        <v>3</v>
      </c>
      <c r="D19" s="8">
        <v>43</v>
      </c>
      <c r="E19" s="1">
        <v>48.2</v>
      </c>
      <c r="F19" s="10">
        <v>43.53</v>
      </c>
      <c r="G19" s="10"/>
      <c r="H19" s="10"/>
      <c r="I19" s="6"/>
      <c r="J19" s="7" t="s">
        <v>6</v>
      </c>
      <c r="K19" s="1">
        <v>39.9</v>
      </c>
      <c r="L19" s="1">
        <v>40.1</v>
      </c>
      <c r="M19" s="10">
        <v>40.65</v>
      </c>
    </row>
  </sheetData>
  <mergeCells count="2">
    <mergeCell ref="D2:E2"/>
    <mergeCell ref="K2:L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2015-06-05T18:17:20Z</dcterms:created>
  <dcterms:modified xsi:type="dcterms:W3CDTF">2021-07-16T20:34:07Z</dcterms:modified>
</cp:coreProperties>
</file>