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DataEngineering\Monza_21R03\Cockpit_Temperatures_report\"/>
    </mc:Choice>
  </mc:AlternateContent>
  <xr:revisionPtr revIDLastSave="0" documentId="13_ncr:1_{E29164C9-B626-4919-A644-1766AB7873C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FP1" sheetId="9" r:id="rId1"/>
    <sheet name="FP2" sheetId="5" r:id="rId2"/>
    <sheet name="FP3" sheetId="8" r:id="rId3"/>
    <sheet name="709_Cockpit_data_Quali" sheetId="13" r:id="rId4"/>
    <sheet name="Quali" sheetId="12" r:id="rId5"/>
    <sheet name="Race" sheetId="4" r:id="rId6"/>
  </sheets>
  <definedNames>
    <definedName name="ExternalData_1" localSheetId="0" hidden="1">'FP1'!$A$1:$F$170</definedName>
    <definedName name="ExternalData_1" localSheetId="1" hidden="1">'FP2'!$A$1:$G$113</definedName>
    <definedName name="ExternalData_1" localSheetId="2" hidden="1">'FP3'!$A$1:$G$88</definedName>
    <definedName name="ExternalData_1" localSheetId="4" hidden="1">Quali!$A$1:$G$21</definedName>
    <definedName name="ExternalData_2" localSheetId="3" hidden="1">'709_Cockpit_data_Quali'!$A$1:$E$22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2" l="1"/>
  <c r="O3" i="12"/>
  <c r="N4" i="12"/>
  <c r="O4" i="12"/>
  <c r="N5" i="12"/>
  <c r="O5" i="12"/>
  <c r="N6" i="12"/>
  <c r="O6" i="12"/>
  <c r="N7" i="12"/>
  <c r="O7" i="12"/>
  <c r="N8" i="12"/>
  <c r="O8" i="12"/>
  <c r="N9" i="12"/>
  <c r="O9" i="12"/>
  <c r="N10" i="12"/>
  <c r="O10" i="12"/>
  <c r="N11" i="12"/>
  <c r="O11" i="12"/>
  <c r="N12" i="12"/>
  <c r="O12" i="12"/>
  <c r="N13" i="12"/>
  <c r="O13" i="12"/>
  <c r="N14" i="12"/>
  <c r="O14" i="12"/>
  <c r="N15" i="12"/>
  <c r="O15" i="12"/>
  <c r="N16" i="12"/>
  <c r="O16" i="12"/>
  <c r="N17" i="12"/>
  <c r="O17" i="12"/>
  <c r="N18" i="12"/>
  <c r="O18" i="12"/>
  <c r="N19" i="12"/>
  <c r="O19" i="12"/>
  <c r="N20" i="12"/>
  <c r="O20" i="12"/>
  <c r="N21" i="12"/>
  <c r="O21" i="12"/>
  <c r="O2" i="12"/>
  <c r="N2" i="12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N2" i="9"/>
  <c r="M2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2" i="8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1705A4-CA0F-44D4-8750-F20C079327E1}" keepAlive="1" name="Query - 20210716214800_weatherstation_1" description="Connection to the '20210716214800_weatherstation_1' query in the workbook." type="5" refreshedVersion="7" background="1" saveData="1">
    <dbPr connection="Provider=Microsoft.Mashup.OleDb.1;Data Source=$Workbook$;Location=20210716214800_weatherstation_1;Extended Properties=&quot;&quot;" command="SELECT * FROM [20210716214800_weatherstation_1]"/>
  </connection>
  <connection id="2" xr16:uid="{EF40FC14-882A-486D-9BD1-3ECB235F0706}" keepAlive="1" name="Query - 20210717210500_weatherstation_1" description="Connection to the '20210717210500_weatherstation_1' query in the workbook." type="5" refreshedVersion="7" background="1" saveData="1">
    <dbPr connection="Provider=Microsoft.Mashup.OleDb.1;Data Source=$Workbook$;Location=20210717210500_weatherstation_1;Extended Properties=&quot;&quot;" command="SELECT * FROM [20210717210500_weatherstation_1]"/>
  </connection>
  <connection id="3" xr16:uid="{AF38A25F-08B8-465F-AE4C-47FF1F4B0C7F}" keepAlive="1" name="Query - 20210717210500_weatherstation_1 (1)" description="Connection to the '20210717210500_weatherstation_1 (1)' query in the workbook." type="5" refreshedVersion="7" background="1" saveData="1">
    <dbPr connection="Provider=Microsoft.Mashup.OleDb.1;Data Source=$Workbook$;Location=&quot;20210717210500_weatherstation_1 (1)&quot;;Extended Properties=&quot;&quot;" command="SELECT * FROM [20210717210500_weatherstation_1 (1)]"/>
  </connection>
  <connection id="4" xr16:uid="{CDCAEDE7-B89F-4F87-BC76-DD825BC350A0}" keepAlive="1" name="Query - 20210717210500_weatherstation_1 (2)" description="Connection to the '20210717210500_weatherstation_1 (2)' query in the workbook." type="5" refreshedVersion="7" background="1" saveData="1">
    <dbPr connection="Provider=Microsoft.Mashup.OleDb.1;Data Source=$Workbook$;Location=&quot;20210717210500_weatherstation_1 (2)&quot;;Extended Properties=&quot;&quot;" command="SELECT * FROM [20210717210500_weatherstation_1 (2)]"/>
  </connection>
  <connection id="5" xr16:uid="{0A852126-498F-4502-9390-2A8BCD6CC828}" keepAlive="1" name="Query - 709_Cockpit_data_FP1" description="Connection to the '709_Cockpit_data_FP1' query in the workbook." type="5" refreshedVersion="0" background="1">
    <dbPr connection="Provider=Microsoft.Mashup.OleDb.1;Data Source=$Workbook$;Location=709_Cockpit_data_FP1;Extended Properties=&quot;&quot;" command="SELECT * FROM [709_Cockpit_data_FP1]"/>
  </connection>
  <connection id="6" xr16:uid="{11771640-5966-4C4C-8B44-8F6AB0945E51}" keepAlive="1" name="Query - 709_Cockpit_data_FP2" description="Connection to the '709_Cockpit_data_FP2' query in the workbook." type="5" refreshedVersion="0" background="1">
    <dbPr connection="Provider=Microsoft.Mashup.OleDb.1;Data Source=$Workbook$;Location=709_Cockpit_data_FP2;Extended Properties=&quot;&quot;" command="SELECT * FROM [709_Cockpit_data_FP2]"/>
  </connection>
  <connection id="7" xr16:uid="{A043EB95-608C-4E3E-BFF2-DB8EDDEE8087}" keepAlive="1" name="Query - 709_Cockpit_data_FP3" description="Connection to the '709_Cockpit_data_FP3' query in the workbook." type="5" refreshedVersion="0" background="1">
    <dbPr connection="Provider=Microsoft.Mashup.OleDb.1;Data Source=$Workbook$;Location=709_Cockpit_data_FP3;Extended Properties=&quot;&quot;" command="SELECT * FROM [709_Cockpit_data_FP3]"/>
  </connection>
  <connection id="8" xr16:uid="{1BB9B9BF-77EB-4DB9-9262-4B9FF717BBD4}" keepAlive="1" name="Query - 709_Cockpit_data_Quali" description="Connection to the '709_Cockpit_data_Quali' query in the workbook." type="5" refreshedVersion="7" background="1" saveData="1">
    <dbPr connection="Provider=Microsoft.Mashup.OleDb.1;Data Source=$Workbook$;Location=709_Cockpit_data_Quali;Extended Properties=&quot;&quot;" command="SELECT * FROM [709_Cockpit_data_Quali]"/>
  </connection>
</connections>
</file>

<file path=xl/sharedStrings.xml><?xml version="1.0" encoding="utf-8"?>
<sst xmlns="http://schemas.openxmlformats.org/spreadsheetml/2006/main" count="617" uniqueCount="280">
  <si>
    <t>Date Time</t>
  </si>
  <si>
    <t>Time</t>
  </si>
  <si>
    <t>Air Temperature</t>
  </si>
  <si>
    <t>Track Temperature</t>
  </si>
  <si>
    <t>Humidity</t>
  </si>
  <si>
    <t>Pressure</t>
  </si>
  <si>
    <t>Wind Average Speed</t>
  </si>
  <si>
    <t>Column3</t>
  </si>
  <si>
    <t>Column4</t>
  </si>
  <si>
    <t>Column5</t>
  </si>
  <si>
    <t>Column6</t>
  </si>
  <si>
    <t>Column7</t>
  </si>
  <si>
    <t>cu_out_fan[   A]</t>
  </si>
  <si>
    <t>FIA_TCockpit[  ï¿]</t>
  </si>
  <si>
    <t>Pitot_Air_temp[  ï¿]</t>
  </si>
  <si>
    <t>time_hour[none]</t>
  </si>
  <si>
    <t>time_min [none]</t>
  </si>
  <si>
    <t xml:space="preserve">              0</t>
  </si>
  <si>
    <t xml:space="preserve">          0.000</t>
  </si>
  <si>
    <t xml:space="preserve">              8</t>
  </si>
  <si>
    <t xml:space="preserve">             30</t>
  </si>
  <si>
    <t xml:space="preserve">              1</t>
  </si>
  <si>
    <t xml:space="preserve">           25.9</t>
  </si>
  <si>
    <t xml:space="preserve">           26.3</t>
  </si>
  <si>
    <t xml:space="preserve">             31</t>
  </si>
  <si>
    <t xml:space="preserve">             32</t>
  </si>
  <si>
    <t xml:space="preserve">           29.7</t>
  </si>
  <si>
    <t xml:space="preserve">             33</t>
  </si>
  <si>
    <t xml:space="preserve">          9.053</t>
  </si>
  <si>
    <t xml:space="preserve">             34</t>
  </si>
  <si>
    <t xml:space="preserve">           25.4</t>
  </si>
  <si>
    <t xml:space="preserve">             35</t>
  </si>
  <si>
    <t xml:space="preserve">           31.8</t>
  </si>
  <si>
    <t xml:space="preserve">           25.3</t>
  </si>
  <si>
    <t xml:space="preserve">             36</t>
  </si>
  <si>
    <t xml:space="preserve">             37</t>
  </si>
  <si>
    <t xml:space="preserve">             38</t>
  </si>
  <si>
    <t xml:space="preserve">             39</t>
  </si>
  <si>
    <t xml:space="preserve">          9.440</t>
  </si>
  <si>
    <t xml:space="preserve">             40</t>
  </si>
  <si>
    <t xml:space="preserve">             41</t>
  </si>
  <si>
    <t xml:space="preserve">             42</t>
  </si>
  <si>
    <t xml:space="preserve">             43</t>
  </si>
  <si>
    <t xml:space="preserve">           26.9</t>
  </si>
  <si>
    <t xml:space="preserve">             44</t>
  </si>
  <si>
    <t xml:space="preserve">           30.9</t>
  </si>
  <si>
    <t xml:space="preserve">           27.3</t>
  </si>
  <si>
    <t xml:space="preserve">             45</t>
  </si>
  <si>
    <t xml:space="preserve">           26.7</t>
  </si>
  <si>
    <t xml:space="preserve">             46</t>
  </si>
  <si>
    <t xml:space="preserve">             47</t>
  </si>
  <si>
    <t xml:space="preserve">           25.0</t>
  </si>
  <si>
    <t xml:space="preserve">             48</t>
  </si>
  <si>
    <t xml:space="preserve">           33.2</t>
  </si>
  <si>
    <t xml:space="preserve">             49</t>
  </si>
  <si>
    <t xml:space="preserve">           33.5</t>
  </si>
  <si>
    <t xml:space="preserve">             50</t>
  </si>
  <si>
    <t xml:space="preserve">           33.7</t>
  </si>
  <si>
    <t xml:space="preserve">             51</t>
  </si>
  <si>
    <t xml:space="preserve">           33.8</t>
  </si>
  <si>
    <t xml:space="preserve">           25.2</t>
  </si>
  <si>
    <t xml:space="preserve">             52</t>
  </si>
  <si>
    <t xml:space="preserve">           34.0</t>
  </si>
  <si>
    <t xml:space="preserve">             53</t>
  </si>
  <si>
    <t xml:space="preserve">          8.024</t>
  </si>
  <si>
    <t xml:space="preserve">             54</t>
  </si>
  <si>
    <t xml:space="preserve">           34.2</t>
  </si>
  <si>
    <t xml:space="preserve">             55</t>
  </si>
  <si>
    <t xml:space="preserve">           34.6</t>
  </si>
  <si>
    <t xml:space="preserve">           26.2</t>
  </si>
  <si>
    <t xml:space="preserve">             56</t>
  </si>
  <si>
    <t xml:space="preserve">           34.4</t>
  </si>
  <si>
    <t xml:space="preserve">             57</t>
  </si>
  <si>
    <t xml:space="preserve">           25.7</t>
  </si>
  <si>
    <t xml:space="preserve">             58</t>
  </si>
  <si>
    <t xml:space="preserve">           34.1</t>
  </si>
  <si>
    <t xml:space="preserve">             59</t>
  </si>
  <si>
    <t xml:space="preserve">           33.6</t>
  </si>
  <si>
    <t xml:space="preserve">              9</t>
  </si>
  <si>
    <t xml:space="preserve">           31.3</t>
  </si>
  <si>
    <t xml:space="preserve">              2</t>
  </si>
  <si>
    <t xml:space="preserve">              3</t>
  </si>
  <si>
    <t xml:space="preserve">              4</t>
  </si>
  <si>
    <t xml:space="preserve">              5</t>
  </si>
  <si>
    <t xml:space="preserve">              6</t>
  </si>
  <si>
    <t xml:space="preserve">              7</t>
  </si>
  <si>
    <t xml:space="preserve">           33.9</t>
  </si>
  <si>
    <t xml:space="preserve">             10</t>
  </si>
  <si>
    <t xml:space="preserve">           33.3</t>
  </si>
  <si>
    <t xml:space="preserve">             11</t>
  </si>
  <si>
    <t xml:space="preserve">           33.4</t>
  </si>
  <si>
    <t xml:space="preserve">             12</t>
  </si>
  <si>
    <t xml:space="preserve">           25.6</t>
  </si>
  <si>
    <t xml:space="preserve">             13</t>
  </si>
  <si>
    <t xml:space="preserve">          9.106</t>
  </si>
  <si>
    <t xml:space="preserve">             14</t>
  </si>
  <si>
    <t xml:space="preserve">             15</t>
  </si>
  <si>
    <t xml:space="preserve">          7.263</t>
  </si>
  <si>
    <t xml:space="preserve">             16</t>
  </si>
  <si>
    <t xml:space="preserve">          7.952</t>
  </si>
  <si>
    <t xml:space="preserve">             17</t>
  </si>
  <si>
    <t xml:space="preserve">          6.279</t>
  </si>
  <si>
    <t xml:space="preserve">             18</t>
  </si>
  <si>
    <t xml:space="preserve">          8.931</t>
  </si>
  <si>
    <t xml:space="preserve">           34.3</t>
  </si>
  <si>
    <t xml:space="preserve">             19</t>
  </si>
  <si>
    <t xml:space="preserve">          5.934</t>
  </si>
  <si>
    <t xml:space="preserve">           34.5</t>
  </si>
  <si>
    <t xml:space="preserve">           26.1</t>
  </si>
  <si>
    <t xml:space="preserve">             20</t>
  </si>
  <si>
    <t xml:space="preserve">          7.260</t>
  </si>
  <si>
    <t xml:space="preserve">             21</t>
  </si>
  <si>
    <t xml:space="preserve">          8.581</t>
  </si>
  <si>
    <t xml:space="preserve">             22</t>
  </si>
  <si>
    <t xml:space="preserve">          9.346</t>
  </si>
  <si>
    <t xml:space="preserve">           32.8</t>
  </si>
  <si>
    <t xml:space="preserve">           27.7</t>
  </si>
  <si>
    <t xml:space="preserve">             23</t>
  </si>
  <si>
    <t xml:space="preserve">          9.075</t>
  </si>
  <si>
    <t xml:space="preserve">           28.7</t>
  </si>
  <si>
    <t xml:space="preserve">             24</t>
  </si>
  <si>
    <t xml:space="preserve">          8.129</t>
  </si>
  <si>
    <t xml:space="preserve">           29.3</t>
  </si>
  <si>
    <t xml:space="preserve">             25</t>
  </si>
  <si>
    <t xml:space="preserve">          9.349</t>
  </si>
  <si>
    <t xml:space="preserve">             26</t>
  </si>
  <si>
    <t xml:space="preserve">          5.166</t>
  </si>
  <si>
    <t xml:space="preserve">           32.3</t>
  </si>
  <si>
    <t xml:space="preserve">             27</t>
  </si>
  <si>
    <t xml:space="preserve">          5.441</t>
  </si>
  <si>
    <t xml:space="preserve">             28</t>
  </si>
  <si>
    <t xml:space="preserve">          5.937</t>
  </si>
  <si>
    <t xml:space="preserve">             29</t>
  </si>
  <si>
    <t xml:space="preserve">          8.971</t>
  </si>
  <si>
    <t xml:space="preserve">          9.171</t>
  </si>
  <si>
    <t xml:space="preserve">           32.7</t>
  </si>
  <si>
    <t xml:space="preserve">           26.4</t>
  </si>
  <si>
    <t xml:space="preserve">          4.949</t>
  </si>
  <si>
    <t xml:space="preserve">           27.1</t>
  </si>
  <si>
    <t xml:space="preserve">           33.0</t>
  </si>
  <si>
    <t xml:space="preserve">           26.0</t>
  </si>
  <si>
    <t xml:space="preserve">          5.552</t>
  </si>
  <si>
    <t xml:space="preserve">          9.090</t>
  </si>
  <si>
    <t xml:space="preserve">          9.182</t>
  </si>
  <si>
    <t xml:space="preserve">           26.8</t>
  </si>
  <si>
    <t xml:space="preserve">          4.440</t>
  </si>
  <si>
    <t xml:space="preserve">          6.684</t>
  </si>
  <si>
    <t xml:space="preserve">          8.293</t>
  </si>
  <si>
    <t xml:space="preserve">          7.622</t>
  </si>
  <si>
    <t xml:space="preserve">          3.815</t>
  </si>
  <si>
    <t xml:space="preserve">           27.0</t>
  </si>
  <si>
    <t xml:space="preserve">          0.009</t>
  </si>
  <si>
    <t xml:space="preserve">          6.499</t>
  </si>
  <si>
    <t xml:space="preserve">          7.977</t>
  </si>
  <si>
    <t xml:space="preserve">          9.256</t>
  </si>
  <si>
    <t xml:space="preserve">          6.418</t>
  </si>
  <si>
    <t xml:space="preserve">           26.6</t>
  </si>
  <si>
    <t xml:space="preserve">          7.395</t>
  </si>
  <si>
    <t xml:space="preserve">           27.9</t>
  </si>
  <si>
    <t xml:space="preserve">          9.237</t>
  </si>
  <si>
    <t xml:space="preserve">          6.372</t>
  </si>
  <si>
    <t xml:space="preserve">          9.263</t>
  </si>
  <si>
    <t xml:space="preserve">          5.493</t>
  </si>
  <si>
    <t xml:space="preserve">          6.647</t>
  </si>
  <si>
    <t xml:space="preserve">           28.1</t>
  </si>
  <si>
    <t xml:space="preserve">          7.847</t>
  </si>
  <si>
    <t xml:space="preserve">           27.5</t>
  </si>
  <si>
    <t xml:space="preserve">          8.771</t>
  </si>
  <si>
    <t xml:space="preserve">           27.2</t>
  </si>
  <si>
    <t xml:space="preserve">          5.568</t>
  </si>
  <si>
    <t xml:space="preserve">          6.667</t>
  </si>
  <si>
    <t xml:space="preserve">          6.229</t>
  </si>
  <si>
    <t xml:space="preserve">          6.503</t>
  </si>
  <si>
    <t xml:space="preserve">          5.474</t>
  </si>
  <si>
    <t xml:space="preserve">          8.909</t>
  </si>
  <si>
    <t xml:space="preserve">          9.001</t>
  </si>
  <si>
    <t>DELTA_AMB</t>
  </si>
  <si>
    <t>DELTA_TRACK</t>
  </si>
  <si>
    <t xml:space="preserve">          8.009</t>
  </si>
  <si>
    <t xml:space="preserve">          8.278</t>
  </si>
  <si>
    <t xml:space="preserve">           35.2</t>
  </si>
  <si>
    <t xml:space="preserve">          8.439</t>
  </si>
  <si>
    <t xml:space="preserve">           37.1</t>
  </si>
  <si>
    <t xml:space="preserve">          8.878</t>
  </si>
  <si>
    <t xml:space="preserve">          8.614</t>
  </si>
  <si>
    <t xml:space="preserve">           34.8</t>
  </si>
  <si>
    <t xml:space="preserve">          7.493</t>
  </si>
  <si>
    <t xml:space="preserve">          8.157</t>
  </si>
  <si>
    <t xml:space="preserve">          8.468</t>
  </si>
  <si>
    <t xml:space="preserve">          8.731</t>
  </si>
  <si>
    <t xml:space="preserve">          8.760</t>
  </si>
  <si>
    <t xml:space="preserve">          8.186</t>
  </si>
  <si>
    <t xml:space="preserve">          9.484</t>
  </si>
  <si>
    <t xml:space="preserve">          8.704</t>
  </si>
  <si>
    <t xml:space="preserve">          8.509</t>
  </si>
  <si>
    <t xml:space="preserve">          9.145</t>
  </si>
  <si>
    <t xml:space="preserve">          7.744</t>
  </si>
  <si>
    <t xml:space="preserve">          9.350</t>
  </si>
  <si>
    <t xml:space="preserve">          6.918</t>
  </si>
  <si>
    <t xml:space="preserve">          7.286</t>
  </si>
  <si>
    <t xml:space="preserve">          8.717</t>
  </si>
  <si>
    <t xml:space="preserve">          7.377</t>
  </si>
  <si>
    <t xml:space="preserve">          9.663</t>
  </si>
  <si>
    <t xml:space="preserve">          7.259</t>
  </si>
  <si>
    <t xml:space="preserve">          7.388</t>
  </si>
  <si>
    <t xml:space="preserve">          9.055</t>
  </si>
  <si>
    <t xml:space="preserve">          6.092</t>
  </si>
  <si>
    <t xml:space="preserve">          8.306</t>
  </si>
  <si>
    <t xml:space="preserve">           35.1</t>
  </si>
  <si>
    <t xml:space="preserve">          8.835</t>
  </si>
  <si>
    <t xml:space="preserve">          8.319</t>
  </si>
  <si>
    <t xml:space="preserve">           36.1</t>
  </si>
  <si>
    <t xml:space="preserve">          8.053</t>
  </si>
  <si>
    <t xml:space="preserve">           37.4</t>
  </si>
  <si>
    <t xml:space="preserve">          8.658</t>
  </si>
  <si>
    <t xml:space="preserve">          6.564</t>
  </si>
  <si>
    <t xml:space="preserve">          7.242</t>
  </si>
  <si>
    <t xml:space="preserve">          8.288</t>
  </si>
  <si>
    <t xml:space="preserve">          6.770</t>
  </si>
  <si>
    <t xml:space="preserve">          8.481</t>
  </si>
  <si>
    <t xml:space="preserve">          7.093</t>
  </si>
  <si>
    <t xml:space="preserve">          7.288</t>
  </si>
  <si>
    <t xml:space="preserve">          8.465</t>
  </si>
  <si>
    <t xml:space="preserve">          7.390</t>
  </si>
  <si>
    <t xml:space="preserve">          8.629</t>
  </si>
  <si>
    <t xml:space="preserve">          7.021</t>
  </si>
  <si>
    <t xml:space="preserve">          6.872</t>
  </si>
  <si>
    <t xml:space="preserve">          7.803</t>
  </si>
  <si>
    <t xml:space="preserve">          6.814</t>
  </si>
  <si>
    <t xml:space="preserve">          8.999</t>
  </si>
  <si>
    <t xml:space="preserve">          6.239</t>
  </si>
  <si>
    <t xml:space="preserve">          6.549</t>
  </si>
  <si>
    <t xml:space="preserve">          7.629</t>
  </si>
  <si>
    <t xml:space="preserve">          5.961</t>
  </si>
  <si>
    <t xml:space="preserve">          8.422</t>
  </si>
  <si>
    <t xml:space="preserve">          8.332</t>
  </si>
  <si>
    <t xml:space="preserve">           34.7</t>
  </si>
  <si>
    <t xml:space="preserve">          8.524</t>
  </si>
  <si>
    <t xml:space="preserve">           42.8</t>
  </si>
  <si>
    <t xml:space="preserve">          8.848</t>
  </si>
  <si>
    <t xml:space="preserve">          9.307</t>
  </si>
  <si>
    <t xml:space="preserve">          8.407</t>
  </si>
  <si>
    <t xml:space="preserve">          4.427</t>
  </si>
  <si>
    <t xml:space="preserve">           29.9</t>
  </si>
  <si>
    <t xml:space="preserve">           29.8</t>
  </si>
  <si>
    <t xml:space="preserve">           30.0</t>
  </si>
  <si>
    <t xml:space="preserve">           30.4</t>
  </si>
  <si>
    <t xml:space="preserve">           30.8</t>
  </si>
  <si>
    <t xml:space="preserve">           35.6</t>
  </si>
  <si>
    <t xml:space="preserve">           36.8</t>
  </si>
  <si>
    <t xml:space="preserve">           36.5</t>
  </si>
  <si>
    <t xml:space="preserve">           36.6</t>
  </si>
  <si>
    <t xml:space="preserve">           37.6</t>
  </si>
  <si>
    <t xml:space="preserve">           36.2</t>
  </si>
  <si>
    <t xml:space="preserve">           36.0</t>
  </si>
  <si>
    <t xml:space="preserve">           37.0</t>
  </si>
  <si>
    <t xml:space="preserve">        184.001</t>
  </si>
  <si>
    <t xml:space="preserve">          7.953</t>
  </si>
  <si>
    <t xml:space="preserve">          8.515</t>
  </si>
  <si>
    <t xml:space="preserve">           35.9</t>
  </si>
  <si>
    <t xml:space="preserve">          8.496</t>
  </si>
  <si>
    <t xml:space="preserve">          8.093</t>
  </si>
  <si>
    <t xml:space="preserve">          9.480</t>
  </si>
  <si>
    <t xml:space="preserve">          9.588</t>
  </si>
  <si>
    <t xml:space="preserve">           37.3</t>
  </si>
  <si>
    <t xml:space="preserve">          7.951</t>
  </si>
  <si>
    <t xml:space="preserve">          7.004</t>
  </si>
  <si>
    <t xml:space="preserve">           36.9</t>
  </si>
  <si>
    <t xml:space="preserve">          6.057</t>
  </si>
  <si>
    <t xml:space="preserve">          5.111</t>
  </si>
  <si>
    <t xml:space="preserve">          4.164</t>
  </si>
  <si>
    <t xml:space="preserve">          3.218</t>
  </si>
  <si>
    <t xml:space="preserve">           36.4</t>
  </si>
  <si>
    <t xml:space="preserve">          2.271</t>
  </si>
  <si>
    <t xml:space="preserve">          1.324</t>
  </si>
  <si>
    <t xml:space="preserve">          0.378</t>
  </si>
  <si>
    <t xml:space="preserve">          7.788</t>
  </si>
  <si>
    <t xml:space="preserve">          6.663</t>
  </si>
  <si>
    <t xml:space="preserve">          8.437</t>
  </si>
  <si>
    <t xml:space="preserve">           36.7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</si>
</sst>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2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2" borderId="2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0" fillId="2" borderId="3" xfId="0" applyNumberFormat="1" applyFont="1" applyFill="1" applyBorder="1"/>
    <xf numFmtId="0" fontId="0" fillId="2" borderId="1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NumberFormat="1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0" fillId="2" borderId="0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1" xfId="0" applyNumberFormat="1" applyFont="1" applyFill="1" applyBorder="1" applyAlignment="1"/>
    <xf numFmtId="0" fontId="0" fillId="2" borderId="2" xfId="0" applyNumberFormat="1" applyFont="1" applyFill="1" applyBorder="1" applyAlignment="1"/>
    <xf numFmtId="0" fontId="0" fillId="2" borderId="3" xfId="0" applyNumberFormat="1" applyFont="1" applyFill="1" applyBorder="1" applyAlignment="1"/>
    <xf numFmtId="0" fontId="0" fillId="0" borderId="0" xfId="0" applyAlignme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27" formatCode="m/d/yyyy\ h:mm"/>
    </dxf>
    <dxf>
      <numFmt numFmtId="164" formatCode="[$-F400]h:mm:ss\ AM/PM"/>
    </dxf>
    <dxf>
      <numFmt numFmtId="164" formatCode="[$-F400]h:mm:ss\ AM/PM"/>
    </dxf>
    <dxf>
      <numFmt numFmtId="27" formatCode="m/d/yyyy\ h:mm"/>
    </dxf>
    <dxf>
      <numFmt numFmtId="164" formatCode="[$-F400]h:mm:ss\ AM/P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'FP1'!$M$1</c:f>
              <c:strCache>
                <c:ptCount val="1"/>
                <c:pt idx="0">
                  <c:v>DELTA_AMB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'FP1'!$A$2:$A$64</c:f>
              <c:numCache>
                <c:formatCode>[$-F400]h:mm:ss\ AM/PM</c:formatCode>
                <c:ptCount val="63"/>
                <c:pt idx="0">
                  <c:v>0.67708333333333337</c:v>
                </c:pt>
                <c:pt idx="1">
                  <c:v>0.67777777777777781</c:v>
                </c:pt>
                <c:pt idx="2">
                  <c:v>0.67847222222222225</c:v>
                </c:pt>
                <c:pt idx="3">
                  <c:v>0.6791666666666667</c:v>
                </c:pt>
                <c:pt idx="4">
                  <c:v>0.67986111111111114</c:v>
                </c:pt>
                <c:pt idx="5">
                  <c:v>0.68055555555555558</c:v>
                </c:pt>
                <c:pt idx="6">
                  <c:v>0.68125000000000002</c:v>
                </c:pt>
                <c:pt idx="7">
                  <c:v>0.68194444444444446</c:v>
                </c:pt>
                <c:pt idx="8">
                  <c:v>0.68263888888888891</c:v>
                </c:pt>
                <c:pt idx="9">
                  <c:v>0.68333333333333335</c:v>
                </c:pt>
                <c:pt idx="10">
                  <c:v>0.68402777777777779</c:v>
                </c:pt>
                <c:pt idx="11">
                  <c:v>0.68680555555555556</c:v>
                </c:pt>
                <c:pt idx="12">
                  <c:v>0.6875</c:v>
                </c:pt>
                <c:pt idx="13">
                  <c:v>0.68819444444444444</c:v>
                </c:pt>
                <c:pt idx="14">
                  <c:v>0.68888888888888888</c:v>
                </c:pt>
                <c:pt idx="15">
                  <c:v>0.68958333333333333</c:v>
                </c:pt>
                <c:pt idx="16">
                  <c:v>0.69027777777777777</c:v>
                </c:pt>
                <c:pt idx="17">
                  <c:v>0.69097222222222221</c:v>
                </c:pt>
                <c:pt idx="18">
                  <c:v>0.69166666666666665</c:v>
                </c:pt>
                <c:pt idx="19">
                  <c:v>0.69236111111111109</c:v>
                </c:pt>
                <c:pt idx="20">
                  <c:v>0.69305555555555554</c:v>
                </c:pt>
                <c:pt idx="21">
                  <c:v>0.69374999999999998</c:v>
                </c:pt>
                <c:pt idx="22">
                  <c:v>0.69444444444444442</c:v>
                </c:pt>
                <c:pt idx="23">
                  <c:v>0.69513888888888886</c:v>
                </c:pt>
                <c:pt idx="24">
                  <c:v>0.6958333333333333</c:v>
                </c:pt>
                <c:pt idx="25">
                  <c:v>0.69652777777777775</c:v>
                </c:pt>
                <c:pt idx="26">
                  <c:v>0.69722222222222219</c:v>
                </c:pt>
                <c:pt idx="27">
                  <c:v>0.69791666666666663</c:v>
                </c:pt>
                <c:pt idx="28">
                  <c:v>0.69861111111111107</c:v>
                </c:pt>
                <c:pt idx="29">
                  <c:v>0.69930555555555551</c:v>
                </c:pt>
                <c:pt idx="30">
                  <c:v>0.7</c:v>
                </c:pt>
                <c:pt idx="31">
                  <c:v>0.7006944444444444</c:v>
                </c:pt>
                <c:pt idx="32">
                  <c:v>0.70208333333333328</c:v>
                </c:pt>
                <c:pt idx="33">
                  <c:v>0.70277777777777772</c:v>
                </c:pt>
                <c:pt idx="34">
                  <c:v>0.70347222222222228</c:v>
                </c:pt>
                <c:pt idx="35">
                  <c:v>0.70416666666666672</c:v>
                </c:pt>
                <c:pt idx="36">
                  <c:v>0.70486111111111116</c:v>
                </c:pt>
                <c:pt idx="37">
                  <c:v>0.7055555555555556</c:v>
                </c:pt>
                <c:pt idx="38">
                  <c:v>0.70694444444444449</c:v>
                </c:pt>
                <c:pt idx="39">
                  <c:v>0.70763888888888893</c:v>
                </c:pt>
                <c:pt idx="40">
                  <c:v>0.70833333333333337</c:v>
                </c:pt>
                <c:pt idx="41">
                  <c:v>0.70902777777777781</c:v>
                </c:pt>
                <c:pt idx="42">
                  <c:v>0.70972222222222225</c:v>
                </c:pt>
                <c:pt idx="43">
                  <c:v>0.7104166666666667</c:v>
                </c:pt>
                <c:pt idx="44">
                  <c:v>0.71111111111111114</c:v>
                </c:pt>
                <c:pt idx="45">
                  <c:v>0.71180555555555558</c:v>
                </c:pt>
                <c:pt idx="46">
                  <c:v>0.71250000000000002</c:v>
                </c:pt>
                <c:pt idx="47">
                  <c:v>0.71319444444444446</c:v>
                </c:pt>
                <c:pt idx="48">
                  <c:v>0.71388888888888891</c:v>
                </c:pt>
                <c:pt idx="49">
                  <c:v>0.71458333333333335</c:v>
                </c:pt>
                <c:pt idx="50">
                  <c:v>0.71527777777777779</c:v>
                </c:pt>
                <c:pt idx="51">
                  <c:v>0.71597222222222223</c:v>
                </c:pt>
                <c:pt idx="52">
                  <c:v>0.71666666666666667</c:v>
                </c:pt>
                <c:pt idx="53">
                  <c:v>0.71736111111111112</c:v>
                </c:pt>
                <c:pt idx="54">
                  <c:v>0.71805555555555556</c:v>
                </c:pt>
                <c:pt idx="55">
                  <c:v>0.71875</c:v>
                </c:pt>
                <c:pt idx="56">
                  <c:v>0.71944444444444444</c:v>
                </c:pt>
                <c:pt idx="57">
                  <c:v>0.72013888888888888</c:v>
                </c:pt>
                <c:pt idx="58">
                  <c:v>0.72083333333333333</c:v>
                </c:pt>
                <c:pt idx="59">
                  <c:v>0.72152777777777777</c:v>
                </c:pt>
                <c:pt idx="60">
                  <c:v>0.72291666666666665</c:v>
                </c:pt>
                <c:pt idx="61">
                  <c:v>0.72361111111111109</c:v>
                </c:pt>
                <c:pt idx="62">
                  <c:v>0.72430555555555554</c:v>
                </c:pt>
              </c:numCache>
            </c:numRef>
          </c:xVal>
          <c:yVal>
            <c:numRef>
              <c:f>'FP1'!$M$2:$M$64</c:f>
              <c:numCache>
                <c:formatCode>General</c:formatCode>
                <c:ptCount val="63"/>
                <c:pt idx="0">
                  <c:v>7.9999999999999964</c:v>
                </c:pt>
                <c:pt idx="1">
                  <c:v>8</c:v>
                </c:pt>
                <c:pt idx="2">
                  <c:v>7.8000000000000007</c:v>
                </c:pt>
                <c:pt idx="3">
                  <c:v>8.1000000000000014</c:v>
                </c:pt>
                <c:pt idx="4">
                  <c:v>9.3000000000000007</c:v>
                </c:pt>
                <c:pt idx="5">
                  <c:v>10.100000000000001</c:v>
                </c:pt>
                <c:pt idx="6">
                  <c:v>9.0999999999999979</c:v>
                </c:pt>
                <c:pt idx="7">
                  <c:v>7.5</c:v>
                </c:pt>
                <c:pt idx="8">
                  <c:v>8</c:v>
                </c:pt>
                <c:pt idx="9">
                  <c:v>8.1999999999999993</c:v>
                </c:pt>
                <c:pt idx="10">
                  <c:v>7.6999999999999993</c:v>
                </c:pt>
                <c:pt idx="11">
                  <c:v>7.2999999999999972</c:v>
                </c:pt>
                <c:pt idx="12">
                  <c:v>6.6000000000000014</c:v>
                </c:pt>
                <c:pt idx="13">
                  <c:v>6.6000000000000014</c:v>
                </c:pt>
                <c:pt idx="14">
                  <c:v>7.7000000000000028</c:v>
                </c:pt>
                <c:pt idx="15">
                  <c:v>7.8999999999999986</c:v>
                </c:pt>
                <c:pt idx="16">
                  <c:v>7.6999999999999993</c:v>
                </c:pt>
                <c:pt idx="17">
                  <c:v>7.6999999999999993</c:v>
                </c:pt>
                <c:pt idx="18">
                  <c:v>7.8000000000000007</c:v>
                </c:pt>
                <c:pt idx="19">
                  <c:v>7.8000000000000007</c:v>
                </c:pt>
                <c:pt idx="20">
                  <c:v>7.6999999999999993</c:v>
                </c:pt>
                <c:pt idx="21">
                  <c:v>7.3000000000000007</c:v>
                </c:pt>
                <c:pt idx="22">
                  <c:v>7.3999999999999986</c:v>
                </c:pt>
                <c:pt idx="23">
                  <c:v>7.9000000000000021</c:v>
                </c:pt>
                <c:pt idx="24">
                  <c:v>8</c:v>
                </c:pt>
                <c:pt idx="25">
                  <c:v>8.2000000000000028</c:v>
                </c:pt>
                <c:pt idx="26">
                  <c:v>8</c:v>
                </c:pt>
                <c:pt idx="27">
                  <c:v>7.8999999999999986</c:v>
                </c:pt>
                <c:pt idx="28">
                  <c:v>8.3000000000000007</c:v>
                </c:pt>
                <c:pt idx="29">
                  <c:v>8.4000000000000021</c:v>
                </c:pt>
                <c:pt idx="30">
                  <c:v>8.5</c:v>
                </c:pt>
                <c:pt idx="31">
                  <c:v>8.5</c:v>
                </c:pt>
                <c:pt idx="32">
                  <c:v>8.5</c:v>
                </c:pt>
                <c:pt idx="33">
                  <c:v>8.3999999999999986</c:v>
                </c:pt>
                <c:pt idx="34">
                  <c:v>8.3999999999999986</c:v>
                </c:pt>
                <c:pt idx="35">
                  <c:v>8.5999999999999979</c:v>
                </c:pt>
                <c:pt idx="36">
                  <c:v>8.6999999999999993</c:v>
                </c:pt>
                <c:pt idx="37">
                  <c:v>8.6000000000000014</c:v>
                </c:pt>
                <c:pt idx="38">
                  <c:v>8.3999999999999986</c:v>
                </c:pt>
                <c:pt idx="39">
                  <c:v>8.1999999999999993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8.1000000000000014</c:v>
                </c:pt>
                <c:pt idx="44">
                  <c:v>8</c:v>
                </c:pt>
                <c:pt idx="45">
                  <c:v>8</c:v>
                </c:pt>
                <c:pt idx="46">
                  <c:v>7.8999999999999986</c:v>
                </c:pt>
                <c:pt idx="47">
                  <c:v>7.8000000000000007</c:v>
                </c:pt>
                <c:pt idx="48">
                  <c:v>7.8000000000000007</c:v>
                </c:pt>
                <c:pt idx="49">
                  <c:v>7.6999999999999993</c:v>
                </c:pt>
                <c:pt idx="50">
                  <c:v>7.8000000000000007</c:v>
                </c:pt>
                <c:pt idx="51">
                  <c:v>7.7000000000000028</c:v>
                </c:pt>
                <c:pt idx="52">
                  <c:v>7.7000000000000028</c:v>
                </c:pt>
                <c:pt idx="53">
                  <c:v>7.5</c:v>
                </c:pt>
                <c:pt idx="54">
                  <c:v>7.1999999999999993</c:v>
                </c:pt>
                <c:pt idx="55">
                  <c:v>7.8999999999999986</c:v>
                </c:pt>
                <c:pt idx="56">
                  <c:v>8.5</c:v>
                </c:pt>
                <c:pt idx="57">
                  <c:v>9.1999999999999993</c:v>
                </c:pt>
                <c:pt idx="58">
                  <c:v>9.3999999999999986</c:v>
                </c:pt>
                <c:pt idx="59">
                  <c:v>9.4000000000000021</c:v>
                </c:pt>
                <c:pt idx="60">
                  <c:v>10.099999999999998</c:v>
                </c:pt>
                <c:pt idx="61">
                  <c:v>10.200000000000003</c:v>
                </c:pt>
                <c:pt idx="62">
                  <c:v>9.7000000000000028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5-495D-A885-D6A3BEAFF1BF}"/>
            </c:ext>
          </c:extLst>
        </c:ser>
        <c:ser>
          <c:idx val="1"/>
          <c:order val="1"/>
          <c:tx>
            <c:strRef>
              <c:f>'FP1'!$B$1</c:f>
              <c:strCache>
                <c:ptCount val="1"/>
                <c:pt idx="0">
                  <c:v>Air Temperature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'FP1'!$A$2:$A$64</c:f>
              <c:numCache>
                <c:formatCode>[$-F400]h:mm:ss\ AM/PM</c:formatCode>
                <c:ptCount val="63"/>
                <c:pt idx="0">
                  <c:v>0.67708333333333337</c:v>
                </c:pt>
                <c:pt idx="1">
                  <c:v>0.67777777777777781</c:v>
                </c:pt>
                <c:pt idx="2">
                  <c:v>0.67847222222222225</c:v>
                </c:pt>
                <c:pt idx="3">
                  <c:v>0.6791666666666667</c:v>
                </c:pt>
                <c:pt idx="4">
                  <c:v>0.67986111111111114</c:v>
                </c:pt>
                <c:pt idx="5">
                  <c:v>0.68055555555555558</c:v>
                </c:pt>
                <c:pt idx="6">
                  <c:v>0.68125000000000002</c:v>
                </c:pt>
                <c:pt idx="7">
                  <c:v>0.68194444444444446</c:v>
                </c:pt>
                <c:pt idx="8">
                  <c:v>0.68263888888888891</c:v>
                </c:pt>
                <c:pt idx="9">
                  <c:v>0.68333333333333335</c:v>
                </c:pt>
                <c:pt idx="10">
                  <c:v>0.68402777777777779</c:v>
                </c:pt>
                <c:pt idx="11">
                  <c:v>0.68680555555555556</c:v>
                </c:pt>
                <c:pt idx="12">
                  <c:v>0.6875</c:v>
                </c:pt>
                <c:pt idx="13">
                  <c:v>0.68819444444444444</c:v>
                </c:pt>
                <c:pt idx="14">
                  <c:v>0.68888888888888888</c:v>
                </c:pt>
                <c:pt idx="15">
                  <c:v>0.68958333333333333</c:v>
                </c:pt>
                <c:pt idx="16">
                  <c:v>0.69027777777777777</c:v>
                </c:pt>
                <c:pt idx="17">
                  <c:v>0.69097222222222221</c:v>
                </c:pt>
                <c:pt idx="18">
                  <c:v>0.69166666666666665</c:v>
                </c:pt>
                <c:pt idx="19">
                  <c:v>0.69236111111111109</c:v>
                </c:pt>
                <c:pt idx="20">
                  <c:v>0.69305555555555554</c:v>
                </c:pt>
                <c:pt idx="21">
                  <c:v>0.69374999999999998</c:v>
                </c:pt>
                <c:pt idx="22">
                  <c:v>0.69444444444444442</c:v>
                </c:pt>
                <c:pt idx="23">
                  <c:v>0.69513888888888886</c:v>
                </c:pt>
                <c:pt idx="24">
                  <c:v>0.6958333333333333</c:v>
                </c:pt>
                <c:pt idx="25">
                  <c:v>0.69652777777777775</c:v>
                </c:pt>
                <c:pt idx="26">
                  <c:v>0.69722222222222219</c:v>
                </c:pt>
                <c:pt idx="27">
                  <c:v>0.69791666666666663</c:v>
                </c:pt>
                <c:pt idx="28">
                  <c:v>0.69861111111111107</c:v>
                </c:pt>
                <c:pt idx="29">
                  <c:v>0.69930555555555551</c:v>
                </c:pt>
                <c:pt idx="30">
                  <c:v>0.7</c:v>
                </c:pt>
                <c:pt idx="31">
                  <c:v>0.7006944444444444</c:v>
                </c:pt>
                <c:pt idx="32">
                  <c:v>0.70208333333333328</c:v>
                </c:pt>
                <c:pt idx="33">
                  <c:v>0.70277777777777772</c:v>
                </c:pt>
                <c:pt idx="34">
                  <c:v>0.70347222222222228</c:v>
                </c:pt>
                <c:pt idx="35">
                  <c:v>0.70416666666666672</c:v>
                </c:pt>
                <c:pt idx="36">
                  <c:v>0.70486111111111116</c:v>
                </c:pt>
                <c:pt idx="37">
                  <c:v>0.7055555555555556</c:v>
                </c:pt>
                <c:pt idx="38">
                  <c:v>0.70694444444444449</c:v>
                </c:pt>
                <c:pt idx="39">
                  <c:v>0.70763888888888893</c:v>
                </c:pt>
                <c:pt idx="40">
                  <c:v>0.70833333333333337</c:v>
                </c:pt>
                <c:pt idx="41">
                  <c:v>0.70902777777777781</c:v>
                </c:pt>
                <c:pt idx="42">
                  <c:v>0.70972222222222225</c:v>
                </c:pt>
                <c:pt idx="43">
                  <c:v>0.7104166666666667</c:v>
                </c:pt>
                <c:pt idx="44">
                  <c:v>0.71111111111111114</c:v>
                </c:pt>
                <c:pt idx="45">
                  <c:v>0.71180555555555558</c:v>
                </c:pt>
                <c:pt idx="46">
                  <c:v>0.71250000000000002</c:v>
                </c:pt>
                <c:pt idx="47">
                  <c:v>0.71319444444444446</c:v>
                </c:pt>
                <c:pt idx="48">
                  <c:v>0.71388888888888891</c:v>
                </c:pt>
                <c:pt idx="49">
                  <c:v>0.71458333333333335</c:v>
                </c:pt>
                <c:pt idx="50">
                  <c:v>0.71527777777777779</c:v>
                </c:pt>
                <c:pt idx="51">
                  <c:v>0.71597222222222223</c:v>
                </c:pt>
                <c:pt idx="52">
                  <c:v>0.71666666666666667</c:v>
                </c:pt>
                <c:pt idx="53">
                  <c:v>0.71736111111111112</c:v>
                </c:pt>
                <c:pt idx="54">
                  <c:v>0.71805555555555556</c:v>
                </c:pt>
                <c:pt idx="55">
                  <c:v>0.71875</c:v>
                </c:pt>
                <c:pt idx="56">
                  <c:v>0.71944444444444444</c:v>
                </c:pt>
                <c:pt idx="57">
                  <c:v>0.72013888888888888</c:v>
                </c:pt>
                <c:pt idx="58">
                  <c:v>0.72083333333333333</c:v>
                </c:pt>
                <c:pt idx="59">
                  <c:v>0.72152777777777777</c:v>
                </c:pt>
                <c:pt idx="60">
                  <c:v>0.72291666666666665</c:v>
                </c:pt>
                <c:pt idx="61">
                  <c:v>0.72361111111111109</c:v>
                </c:pt>
                <c:pt idx="62">
                  <c:v>0.72430555555555554</c:v>
                </c:pt>
              </c:numCache>
            </c:numRef>
          </c:xVal>
          <c:yVal>
            <c:numRef>
              <c:f>'FP1'!$B$2:$B$64</c:f>
              <c:numCache>
                <c:formatCode>General</c:formatCode>
                <c:ptCount val="63"/>
                <c:pt idx="0">
                  <c:v>24.8</c:v>
                </c:pt>
                <c:pt idx="1">
                  <c:v>24.5</c:v>
                </c:pt>
                <c:pt idx="2">
                  <c:v>24.3</c:v>
                </c:pt>
                <c:pt idx="3">
                  <c:v>24.4</c:v>
                </c:pt>
                <c:pt idx="4">
                  <c:v>24.3</c:v>
                </c:pt>
                <c:pt idx="5">
                  <c:v>24.4</c:v>
                </c:pt>
                <c:pt idx="6">
                  <c:v>24.3</c:v>
                </c:pt>
                <c:pt idx="7">
                  <c:v>24</c:v>
                </c:pt>
                <c:pt idx="8">
                  <c:v>23.8</c:v>
                </c:pt>
                <c:pt idx="9">
                  <c:v>23.6</c:v>
                </c:pt>
                <c:pt idx="10">
                  <c:v>23.8</c:v>
                </c:pt>
                <c:pt idx="11">
                  <c:v>24.1</c:v>
                </c:pt>
                <c:pt idx="12">
                  <c:v>23.9</c:v>
                </c:pt>
                <c:pt idx="13">
                  <c:v>23.9</c:v>
                </c:pt>
                <c:pt idx="14">
                  <c:v>23.9</c:v>
                </c:pt>
                <c:pt idx="15">
                  <c:v>24</c:v>
                </c:pt>
                <c:pt idx="16">
                  <c:v>24</c:v>
                </c:pt>
                <c:pt idx="17">
                  <c:v>23.8</c:v>
                </c:pt>
                <c:pt idx="18">
                  <c:v>23.5</c:v>
                </c:pt>
                <c:pt idx="19">
                  <c:v>23.3</c:v>
                </c:pt>
                <c:pt idx="20">
                  <c:v>23.2</c:v>
                </c:pt>
                <c:pt idx="21">
                  <c:v>23.4</c:v>
                </c:pt>
                <c:pt idx="22">
                  <c:v>23.5</c:v>
                </c:pt>
                <c:pt idx="23">
                  <c:v>23.4</c:v>
                </c:pt>
                <c:pt idx="24">
                  <c:v>23.4</c:v>
                </c:pt>
                <c:pt idx="25">
                  <c:v>23.4</c:v>
                </c:pt>
                <c:pt idx="26">
                  <c:v>23.3</c:v>
                </c:pt>
                <c:pt idx="27">
                  <c:v>23.3</c:v>
                </c:pt>
                <c:pt idx="28">
                  <c:v>22.9</c:v>
                </c:pt>
                <c:pt idx="29">
                  <c:v>22.7</c:v>
                </c:pt>
                <c:pt idx="30">
                  <c:v>22.6</c:v>
                </c:pt>
                <c:pt idx="31">
                  <c:v>22.5</c:v>
                </c:pt>
                <c:pt idx="32">
                  <c:v>22.5</c:v>
                </c:pt>
                <c:pt idx="33">
                  <c:v>22.5</c:v>
                </c:pt>
                <c:pt idx="34">
                  <c:v>22.5</c:v>
                </c:pt>
                <c:pt idx="35">
                  <c:v>22.3</c:v>
                </c:pt>
                <c:pt idx="36">
                  <c:v>22.1</c:v>
                </c:pt>
                <c:pt idx="37">
                  <c:v>22.2</c:v>
                </c:pt>
                <c:pt idx="38">
                  <c:v>22.3</c:v>
                </c:pt>
                <c:pt idx="39">
                  <c:v>22.5</c:v>
                </c:pt>
                <c:pt idx="40">
                  <c:v>22.6</c:v>
                </c:pt>
                <c:pt idx="41">
                  <c:v>22.6</c:v>
                </c:pt>
                <c:pt idx="42">
                  <c:v>22.5</c:v>
                </c:pt>
                <c:pt idx="43">
                  <c:v>22.4</c:v>
                </c:pt>
                <c:pt idx="44">
                  <c:v>22.4</c:v>
                </c:pt>
                <c:pt idx="45">
                  <c:v>22.4</c:v>
                </c:pt>
                <c:pt idx="46">
                  <c:v>22.5</c:v>
                </c:pt>
                <c:pt idx="47">
                  <c:v>22.5</c:v>
                </c:pt>
                <c:pt idx="48">
                  <c:v>22.5</c:v>
                </c:pt>
                <c:pt idx="49">
                  <c:v>22.5</c:v>
                </c:pt>
                <c:pt idx="50">
                  <c:v>22.4</c:v>
                </c:pt>
                <c:pt idx="51">
                  <c:v>22.4</c:v>
                </c:pt>
                <c:pt idx="52">
                  <c:v>22.4</c:v>
                </c:pt>
                <c:pt idx="53">
                  <c:v>22.5</c:v>
                </c:pt>
                <c:pt idx="54">
                  <c:v>22.7</c:v>
                </c:pt>
                <c:pt idx="55">
                  <c:v>22.6</c:v>
                </c:pt>
                <c:pt idx="56">
                  <c:v>22.6</c:v>
                </c:pt>
                <c:pt idx="57">
                  <c:v>22.6</c:v>
                </c:pt>
                <c:pt idx="58">
                  <c:v>22.6</c:v>
                </c:pt>
                <c:pt idx="59">
                  <c:v>22.8</c:v>
                </c:pt>
                <c:pt idx="60">
                  <c:v>22.7</c:v>
                </c:pt>
                <c:pt idx="61">
                  <c:v>22.5</c:v>
                </c:pt>
                <c:pt idx="62">
                  <c:v>22.4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55-495D-A885-D6A3BEAFF1BF}"/>
            </c:ext>
          </c:extLst>
        </c:ser>
        <c:ser>
          <c:idx val="2"/>
          <c:order val="2"/>
          <c:tx>
            <c:strRef>
              <c:f>'FP1'!$I$1</c:f>
              <c:strCache>
                <c:ptCount val="1"/>
                <c:pt idx="0">
                  <c:v>FIA_TCockpit[  ï¿]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'FP1'!$A$2:$A$64</c:f>
              <c:numCache>
                <c:formatCode>[$-F400]h:mm:ss\ AM/PM</c:formatCode>
                <c:ptCount val="63"/>
                <c:pt idx="0">
                  <c:v>0.67708333333333337</c:v>
                </c:pt>
                <c:pt idx="1">
                  <c:v>0.67777777777777781</c:v>
                </c:pt>
                <c:pt idx="2">
                  <c:v>0.67847222222222225</c:v>
                </c:pt>
                <c:pt idx="3">
                  <c:v>0.6791666666666667</c:v>
                </c:pt>
                <c:pt idx="4">
                  <c:v>0.67986111111111114</c:v>
                </c:pt>
                <c:pt idx="5">
                  <c:v>0.68055555555555558</c:v>
                </c:pt>
                <c:pt idx="6">
                  <c:v>0.68125000000000002</c:v>
                </c:pt>
                <c:pt idx="7">
                  <c:v>0.68194444444444446</c:v>
                </c:pt>
                <c:pt idx="8">
                  <c:v>0.68263888888888891</c:v>
                </c:pt>
                <c:pt idx="9">
                  <c:v>0.68333333333333335</c:v>
                </c:pt>
                <c:pt idx="10">
                  <c:v>0.68402777777777779</c:v>
                </c:pt>
                <c:pt idx="11">
                  <c:v>0.68680555555555556</c:v>
                </c:pt>
                <c:pt idx="12">
                  <c:v>0.6875</c:v>
                </c:pt>
                <c:pt idx="13">
                  <c:v>0.68819444444444444</c:v>
                </c:pt>
                <c:pt idx="14">
                  <c:v>0.68888888888888888</c:v>
                </c:pt>
                <c:pt idx="15">
                  <c:v>0.68958333333333333</c:v>
                </c:pt>
                <c:pt idx="16">
                  <c:v>0.69027777777777777</c:v>
                </c:pt>
                <c:pt idx="17">
                  <c:v>0.69097222222222221</c:v>
                </c:pt>
                <c:pt idx="18">
                  <c:v>0.69166666666666665</c:v>
                </c:pt>
                <c:pt idx="19">
                  <c:v>0.69236111111111109</c:v>
                </c:pt>
                <c:pt idx="20">
                  <c:v>0.69305555555555554</c:v>
                </c:pt>
                <c:pt idx="21">
                  <c:v>0.69374999999999998</c:v>
                </c:pt>
                <c:pt idx="22">
                  <c:v>0.69444444444444442</c:v>
                </c:pt>
                <c:pt idx="23">
                  <c:v>0.69513888888888886</c:v>
                </c:pt>
                <c:pt idx="24">
                  <c:v>0.6958333333333333</c:v>
                </c:pt>
                <c:pt idx="25">
                  <c:v>0.69652777777777775</c:v>
                </c:pt>
                <c:pt idx="26">
                  <c:v>0.69722222222222219</c:v>
                </c:pt>
                <c:pt idx="27">
                  <c:v>0.69791666666666663</c:v>
                </c:pt>
                <c:pt idx="28">
                  <c:v>0.69861111111111107</c:v>
                </c:pt>
                <c:pt idx="29">
                  <c:v>0.69930555555555551</c:v>
                </c:pt>
                <c:pt idx="30">
                  <c:v>0.7</c:v>
                </c:pt>
                <c:pt idx="31">
                  <c:v>0.7006944444444444</c:v>
                </c:pt>
                <c:pt idx="32">
                  <c:v>0.70208333333333328</c:v>
                </c:pt>
                <c:pt idx="33">
                  <c:v>0.70277777777777772</c:v>
                </c:pt>
                <c:pt idx="34">
                  <c:v>0.70347222222222228</c:v>
                </c:pt>
                <c:pt idx="35">
                  <c:v>0.70416666666666672</c:v>
                </c:pt>
                <c:pt idx="36">
                  <c:v>0.70486111111111116</c:v>
                </c:pt>
                <c:pt idx="37">
                  <c:v>0.7055555555555556</c:v>
                </c:pt>
                <c:pt idx="38">
                  <c:v>0.70694444444444449</c:v>
                </c:pt>
                <c:pt idx="39">
                  <c:v>0.70763888888888893</c:v>
                </c:pt>
                <c:pt idx="40">
                  <c:v>0.70833333333333337</c:v>
                </c:pt>
                <c:pt idx="41">
                  <c:v>0.70902777777777781</c:v>
                </c:pt>
                <c:pt idx="42">
                  <c:v>0.70972222222222225</c:v>
                </c:pt>
                <c:pt idx="43">
                  <c:v>0.7104166666666667</c:v>
                </c:pt>
                <c:pt idx="44">
                  <c:v>0.71111111111111114</c:v>
                </c:pt>
                <c:pt idx="45">
                  <c:v>0.71180555555555558</c:v>
                </c:pt>
                <c:pt idx="46">
                  <c:v>0.71250000000000002</c:v>
                </c:pt>
                <c:pt idx="47">
                  <c:v>0.71319444444444446</c:v>
                </c:pt>
                <c:pt idx="48">
                  <c:v>0.71388888888888891</c:v>
                </c:pt>
                <c:pt idx="49">
                  <c:v>0.71458333333333335</c:v>
                </c:pt>
                <c:pt idx="50">
                  <c:v>0.71527777777777779</c:v>
                </c:pt>
                <c:pt idx="51">
                  <c:v>0.71597222222222223</c:v>
                </c:pt>
                <c:pt idx="52">
                  <c:v>0.71666666666666667</c:v>
                </c:pt>
                <c:pt idx="53">
                  <c:v>0.71736111111111112</c:v>
                </c:pt>
                <c:pt idx="54">
                  <c:v>0.71805555555555556</c:v>
                </c:pt>
                <c:pt idx="55">
                  <c:v>0.71875</c:v>
                </c:pt>
                <c:pt idx="56">
                  <c:v>0.71944444444444444</c:v>
                </c:pt>
                <c:pt idx="57">
                  <c:v>0.72013888888888888</c:v>
                </c:pt>
                <c:pt idx="58">
                  <c:v>0.72083333333333333</c:v>
                </c:pt>
                <c:pt idx="59">
                  <c:v>0.72152777777777777</c:v>
                </c:pt>
                <c:pt idx="60">
                  <c:v>0.72291666666666665</c:v>
                </c:pt>
                <c:pt idx="61">
                  <c:v>0.72361111111111109</c:v>
                </c:pt>
                <c:pt idx="62">
                  <c:v>0.72430555555555554</c:v>
                </c:pt>
              </c:numCache>
            </c:numRef>
          </c:xVal>
          <c:yVal>
            <c:numRef>
              <c:f>'FP1'!$I$2:$I$64</c:f>
              <c:numCache>
                <c:formatCode>General</c:formatCode>
                <c:ptCount val="63"/>
                <c:pt idx="0">
                  <c:v>32.799999999999997</c:v>
                </c:pt>
                <c:pt idx="1">
                  <c:v>32.5</c:v>
                </c:pt>
                <c:pt idx="2">
                  <c:v>32.1</c:v>
                </c:pt>
                <c:pt idx="3">
                  <c:v>32.5</c:v>
                </c:pt>
                <c:pt idx="4">
                  <c:v>33.6</c:v>
                </c:pt>
                <c:pt idx="5">
                  <c:v>34.5</c:v>
                </c:pt>
                <c:pt idx="6">
                  <c:v>33.4</c:v>
                </c:pt>
                <c:pt idx="7">
                  <c:v>31.5</c:v>
                </c:pt>
                <c:pt idx="8">
                  <c:v>31.8</c:v>
                </c:pt>
                <c:pt idx="9">
                  <c:v>31.8</c:v>
                </c:pt>
                <c:pt idx="10">
                  <c:v>31.5</c:v>
                </c:pt>
                <c:pt idx="11">
                  <c:v>31.4</c:v>
                </c:pt>
                <c:pt idx="12">
                  <c:v>30.5</c:v>
                </c:pt>
                <c:pt idx="13">
                  <c:v>30.5</c:v>
                </c:pt>
                <c:pt idx="14">
                  <c:v>31.6</c:v>
                </c:pt>
                <c:pt idx="15">
                  <c:v>31.9</c:v>
                </c:pt>
                <c:pt idx="16">
                  <c:v>31.7</c:v>
                </c:pt>
                <c:pt idx="17">
                  <c:v>31.5</c:v>
                </c:pt>
                <c:pt idx="18">
                  <c:v>31.3</c:v>
                </c:pt>
                <c:pt idx="19">
                  <c:v>31.1</c:v>
                </c:pt>
                <c:pt idx="20">
                  <c:v>30.9</c:v>
                </c:pt>
                <c:pt idx="21">
                  <c:v>30.7</c:v>
                </c:pt>
                <c:pt idx="22">
                  <c:v>30.9</c:v>
                </c:pt>
                <c:pt idx="23">
                  <c:v>31.3</c:v>
                </c:pt>
                <c:pt idx="24">
                  <c:v>31.4</c:v>
                </c:pt>
                <c:pt idx="25">
                  <c:v>31.6</c:v>
                </c:pt>
                <c:pt idx="26">
                  <c:v>31.3</c:v>
                </c:pt>
                <c:pt idx="27">
                  <c:v>31.2</c:v>
                </c:pt>
                <c:pt idx="28">
                  <c:v>31.2</c:v>
                </c:pt>
                <c:pt idx="29">
                  <c:v>31.1</c:v>
                </c:pt>
                <c:pt idx="30">
                  <c:v>31.1</c:v>
                </c:pt>
                <c:pt idx="31">
                  <c:v>31</c:v>
                </c:pt>
                <c:pt idx="32">
                  <c:v>31</c:v>
                </c:pt>
                <c:pt idx="33">
                  <c:v>30.9</c:v>
                </c:pt>
                <c:pt idx="34">
                  <c:v>30.9</c:v>
                </c:pt>
                <c:pt idx="35">
                  <c:v>30.9</c:v>
                </c:pt>
                <c:pt idx="36">
                  <c:v>30.8</c:v>
                </c:pt>
                <c:pt idx="37">
                  <c:v>30.8</c:v>
                </c:pt>
                <c:pt idx="38">
                  <c:v>30.7</c:v>
                </c:pt>
                <c:pt idx="39">
                  <c:v>30.7</c:v>
                </c:pt>
                <c:pt idx="40">
                  <c:v>30.6</c:v>
                </c:pt>
                <c:pt idx="41">
                  <c:v>30.6</c:v>
                </c:pt>
                <c:pt idx="42">
                  <c:v>30.5</c:v>
                </c:pt>
                <c:pt idx="43">
                  <c:v>30.5</c:v>
                </c:pt>
                <c:pt idx="44">
                  <c:v>30.4</c:v>
                </c:pt>
                <c:pt idx="45">
                  <c:v>30.4</c:v>
                </c:pt>
                <c:pt idx="46">
                  <c:v>30.4</c:v>
                </c:pt>
                <c:pt idx="47">
                  <c:v>30.3</c:v>
                </c:pt>
                <c:pt idx="48">
                  <c:v>30.3</c:v>
                </c:pt>
                <c:pt idx="49">
                  <c:v>30.2</c:v>
                </c:pt>
                <c:pt idx="50">
                  <c:v>30.2</c:v>
                </c:pt>
                <c:pt idx="51">
                  <c:v>30.1</c:v>
                </c:pt>
                <c:pt idx="52">
                  <c:v>30.1</c:v>
                </c:pt>
                <c:pt idx="53">
                  <c:v>30</c:v>
                </c:pt>
                <c:pt idx="54">
                  <c:v>29.9</c:v>
                </c:pt>
                <c:pt idx="55">
                  <c:v>30.5</c:v>
                </c:pt>
                <c:pt idx="56">
                  <c:v>31.1</c:v>
                </c:pt>
                <c:pt idx="57">
                  <c:v>31.8</c:v>
                </c:pt>
                <c:pt idx="58">
                  <c:v>32</c:v>
                </c:pt>
                <c:pt idx="59">
                  <c:v>32.200000000000003</c:v>
                </c:pt>
                <c:pt idx="60">
                  <c:v>32.799999999999997</c:v>
                </c:pt>
                <c:pt idx="61">
                  <c:v>32.700000000000003</c:v>
                </c:pt>
                <c:pt idx="62">
                  <c:v>32.1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55-495D-A885-D6A3BEAF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84447"/>
        <c:axId val="1163781535"/>
      </c:scatterChart>
      <c:valAx>
        <c:axId val="116378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3781535"/>
        <c:crosses val="autoZero"/>
        <c:crossBetween val="midCat"/>
      </c:valAx>
      <c:valAx>
        <c:axId val="116378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378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'FP1'!$N$1</c:f>
              <c:strCache>
                <c:ptCount val="1"/>
                <c:pt idx="0">
                  <c:v>DELTA_TRACK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'FP1'!$A$2:$A$64</c:f>
              <c:numCache>
                <c:formatCode>[$-F400]h:mm:ss\ AM/PM</c:formatCode>
                <c:ptCount val="63"/>
                <c:pt idx="0">
                  <c:v>0.67708333333333337</c:v>
                </c:pt>
                <c:pt idx="1">
                  <c:v>0.67777777777777781</c:v>
                </c:pt>
                <c:pt idx="2">
                  <c:v>0.67847222222222225</c:v>
                </c:pt>
                <c:pt idx="3">
                  <c:v>0.6791666666666667</c:v>
                </c:pt>
                <c:pt idx="4">
                  <c:v>0.67986111111111114</c:v>
                </c:pt>
                <c:pt idx="5">
                  <c:v>0.68055555555555558</c:v>
                </c:pt>
                <c:pt idx="6">
                  <c:v>0.68125000000000002</c:v>
                </c:pt>
                <c:pt idx="7">
                  <c:v>0.68194444444444446</c:v>
                </c:pt>
                <c:pt idx="8">
                  <c:v>0.68263888888888891</c:v>
                </c:pt>
                <c:pt idx="9">
                  <c:v>0.68333333333333335</c:v>
                </c:pt>
                <c:pt idx="10">
                  <c:v>0.68402777777777779</c:v>
                </c:pt>
                <c:pt idx="11">
                  <c:v>0.68680555555555556</c:v>
                </c:pt>
                <c:pt idx="12">
                  <c:v>0.6875</c:v>
                </c:pt>
                <c:pt idx="13">
                  <c:v>0.68819444444444444</c:v>
                </c:pt>
                <c:pt idx="14">
                  <c:v>0.68888888888888888</c:v>
                </c:pt>
                <c:pt idx="15">
                  <c:v>0.68958333333333333</c:v>
                </c:pt>
                <c:pt idx="16">
                  <c:v>0.69027777777777777</c:v>
                </c:pt>
                <c:pt idx="17">
                  <c:v>0.69097222222222221</c:v>
                </c:pt>
                <c:pt idx="18">
                  <c:v>0.69166666666666665</c:v>
                </c:pt>
                <c:pt idx="19">
                  <c:v>0.69236111111111109</c:v>
                </c:pt>
                <c:pt idx="20">
                  <c:v>0.69305555555555554</c:v>
                </c:pt>
                <c:pt idx="21">
                  <c:v>0.69374999999999998</c:v>
                </c:pt>
                <c:pt idx="22">
                  <c:v>0.69444444444444442</c:v>
                </c:pt>
                <c:pt idx="23">
                  <c:v>0.69513888888888886</c:v>
                </c:pt>
                <c:pt idx="24">
                  <c:v>0.6958333333333333</c:v>
                </c:pt>
                <c:pt idx="25">
                  <c:v>0.69652777777777775</c:v>
                </c:pt>
                <c:pt idx="26">
                  <c:v>0.69722222222222219</c:v>
                </c:pt>
                <c:pt idx="27">
                  <c:v>0.69791666666666663</c:v>
                </c:pt>
                <c:pt idx="28">
                  <c:v>0.69861111111111107</c:v>
                </c:pt>
                <c:pt idx="29">
                  <c:v>0.69930555555555551</c:v>
                </c:pt>
                <c:pt idx="30">
                  <c:v>0.7</c:v>
                </c:pt>
                <c:pt idx="31">
                  <c:v>0.7006944444444444</c:v>
                </c:pt>
                <c:pt idx="32">
                  <c:v>0.70208333333333328</c:v>
                </c:pt>
                <c:pt idx="33">
                  <c:v>0.70277777777777772</c:v>
                </c:pt>
                <c:pt idx="34">
                  <c:v>0.70347222222222228</c:v>
                </c:pt>
                <c:pt idx="35">
                  <c:v>0.70416666666666672</c:v>
                </c:pt>
                <c:pt idx="36">
                  <c:v>0.70486111111111116</c:v>
                </c:pt>
                <c:pt idx="37">
                  <c:v>0.7055555555555556</c:v>
                </c:pt>
                <c:pt idx="38">
                  <c:v>0.70694444444444449</c:v>
                </c:pt>
                <c:pt idx="39">
                  <c:v>0.70763888888888893</c:v>
                </c:pt>
                <c:pt idx="40">
                  <c:v>0.70833333333333337</c:v>
                </c:pt>
                <c:pt idx="41">
                  <c:v>0.70902777777777781</c:v>
                </c:pt>
                <c:pt idx="42">
                  <c:v>0.70972222222222225</c:v>
                </c:pt>
                <c:pt idx="43">
                  <c:v>0.7104166666666667</c:v>
                </c:pt>
                <c:pt idx="44">
                  <c:v>0.71111111111111114</c:v>
                </c:pt>
                <c:pt idx="45">
                  <c:v>0.71180555555555558</c:v>
                </c:pt>
                <c:pt idx="46">
                  <c:v>0.71250000000000002</c:v>
                </c:pt>
                <c:pt idx="47">
                  <c:v>0.71319444444444446</c:v>
                </c:pt>
                <c:pt idx="48">
                  <c:v>0.71388888888888891</c:v>
                </c:pt>
                <c:pt idx="49">
                  <c:v>0.71458333333333335</c:v>
                </c:pt>
                <c:pt idx="50">
                  <c:v>0.71527777777777779</c:v>
                </c:pt>
                <c:pt idx="51">
                  <c:v>0.71597222222222223</c:v>
                </c:pt>
                <c:pt idx="52">
                  <c:v>0.71666666666666667</c:v>
                </c:pt>
                <c:pt idx="53">
                  <c:v>0.71736111111111112</c:v>
                </c:pt>
                <c:pt idx="54">
                  <c:v>0.71805555555555556</c:v>
                </c:pt>
                <c:pt idx="55">
                  <c:v>0.71875</c:v>
                </c:pt>
                <c:pt idx="56">
                  <c:v>0.71944444444444444</c:v>
                </c:pt>
                <c:pt idx="57">
                  <c:v>0.72013888888888888</c:v>
                </c:pt>
                <c:pt idx="58">
                  <c:v>0.72083333333333333</c:v>
                </c:pt>
                <c:pt idx="59">
                  <c:v>0.72152777777777777</c:v>
                </c:pt>
                <c:pt idx="60">
                  <c:v>0.72291666666666665</c:v>
                </c:pt>
                <c:pt idx="61">
                  <c:v>0.72361111111111109</c:v>
                </c:pt>
                <c:pt idx="62">
                  <c:v>0.72430555555555554</c:v>
                </c:pt>
              </c:numCache>
            </c:numRef>
          </c:xVal>
          <c:yVal>
            <c:numRef>
              <c:f>'FP1'!$N$2:$N$64</c:f>
              <c:numCache>
                <c:formatCode>General</c:formatCode>
                <c:ptCount val="63"/>
                <c:pt idx="0">
                  <c:v>-12.100000000000001</c:v>
                </c:pt>
                <c:pt idx="1">
                  <c:v>-11.5</c:v>
                </c:pt>
                <c:pt idx="2">
                  <c:v>-11.299999999999997</c:v>
                </c:pt>
                <c:pt idx="3">
                  <c:v>-11</c:v>
                </c:pt>
                <c:pt idx="4">
                  <c:v>-9.8999999999999986</c:v>
                </c:pt>
                <c:pt idx="5">
                  <c:v>-9</c:v>
                </c:pt>
                <c:pt idx="6">
                  <c:v>-10</c:v>
                </c:pt>
                <c:pt idx="7">
                  <c:v>-11.200000000000003</c:v>
                </c:pt>
                <c:pt idx="8">
                  <c:v>-10.900000000000002</c:v>
                </c:pt>
                <c:pt idx="9">
                  <c:v>-10.7</c:v>
                </c:pt>
                <c:pt idx="10">
                  <c:v>-11.399999999999999</c:v>
                </c:pt>
                <c:pt idx="11">
                  <c:v>-11.200000000000003</c:v>
                </c:pt>
                <c:pt idx="12">
                  <c:v>-11.899999999999999</c:v>
                </c:pt>
                <c:pt idx="13">
                  <c:v>-12.100000000000001</c:v>
                </c:pt>
                <c:pt idx="14">
                  <c:v>-10.799999999999997</c:v>
                </c:pt>
                <c:pt idx="15">
                  <c:v>-10.5</c:v>
                </c:pt>
                <c:pt idx="16">
                  <c:v>-10.500000000000004</c:v>
                </c:pt>
                <c:pt idx="17">
                  <c:v>-10.700000000000003</c:v>
                </c:pt>
                <c:pt idx="18">
                  <c:v>-10.499999999999996</c:v>
                </c:pt>
                <c:pt idx="19">
                  <c:v>-10.699999999999996</c:v>
                </c:pt>
                <c:pt idx="20">
                  <c:v>-11.200000000000003</c:v>
                </c:pt>
                <c:pt idx="21">
                  <c:v>-11.599999999999998</c:v>
                </c:pt>
                <c:pt idx="22">
                  <c:v>-11.899999999999999</c:v>
                </c:pt>
                <c:pt idx="23">
                  <c:v>-10.8</c:v>
                </c:pt>
                <c:pt idx="24">
                  <c:v>-10.899999999999999</c:v>
                </c:pt>
                <c:pt idx="25">
                  <c:v>-10.399999999999999</c:v>
                </c:pt>
                <c:pt idx="26">
                  <c:v>-10.599999999999998</c:v>
                </c:pt>
                <c:pt idx="27">
                  <c:v>-10.599999999999998</c:v>
                </c:pt>
                <c:pt idx="28">
                  <c:v>-10.199999999999999</c:v>
                </c:pt>
                <c:pt idx="29">
                  <c:v>-10</c:v>
                </c:pt>
                <c:pt idx="30">
                  <c:v>-10</c:v>
                </c:pt>
                <c:pt idx="31">
                  <c:v>-10.100000000000001</c:v>
                </c:pt>
                <c:pt idx="32">
                  <c:v>-9.3999999999999986</c:v>
                </c:pt>
                <c:pt idx="33">
                  <c:v>-9.3000000000000043</c:v>
                </c:pt>
                <c:pt idx="34">
                  <c:v>-9.1000000000000014</c:v>
                </c:pt>
                <c:pt idx="35">
                  <c:v>-8.8999999999999986</c:v>
                </c:pt>
                <c:pt idx="36">
                  <c:v>-8.5999999999999979</c:v>
                </c:pt>
                <c:pt idx="37">
                  <c:v>-8.5999999999999979</c:v>
                </c:pt>
                <c:pt idx="38">
                  <c:v>-8.0999999999999979</c:v>
                </c:pt>
                <c:pt idx="39">
                  <c:v>-8.0000000000000036</c:v>
                </c:pt>
                <c:pt idx="40">
                  <c:v>-8.1000000000000014</c:v>
                </c:pt>
                <c:pt idx="41">
                  <c:v>-7.5</c:v>
                </c:pt>
                <c:pt idx="42">
                  <c:v>-7.2000000000000028</c:v>
                </c:pt>
                <c:pt idx="43">
                  <c:v>-6.7999999999999972</c:v>
                </c:pt>
                <c:pt idx="44">
                  <c:v>-6.7000000000000028</c:v>
                </c:pt>
                <c:pt idx="45">
                  <c:v>-6.6000000000000014</c:v>
                </c:pt>
                <c:pt idx="46">
                  <c:v>-6.3000000000000043</c:v>
                </c:pt>
                <c:pt idx="47">
                  <c:v>-5.9999999999999964</c:v>
                </c:pt>
                <c:pt idx="48">
                  <c:v>-5.9999999999999964</c:v>
                </c:pt>
                <c:pt idx="49">
                  <c:v>-6.0999999999999979</c:v>
                </c:pt>
                <c:pt idx="50">
                  <c:v>-6.0999999999999979</c:v>
                </c:pt>
                <c:pt idx="51">
                  <c:v>-6.1999999999999957</c:v>
                </c:pt>
                <c:pt idx="52">
                  <c:v>-6.1999999999999957</c:v>
                </c:pt>
                <c:pt idx="53">
                  <c:v>-6.2999999999999972</c:v>
                </c:pt>
                <c:pt idx="54">
                  <c:v>-6.7000000000000028</c:v>
                </c:pt>
                <c:pt idx="55">
                  <c:v>-6.1000000000000014</c:v>
                </c:pt>
                <c:pt idx="56">
                  <c:v>-5.1000000000000014</c:v>
                </c:pt>
                <c:pt idx="57">
                  <c:v>-4.4000000000000021</c:v>
                </c:pt>
                <c:pt idx="58">
                  <c:v>-4.2000000000000028</c:v>
                </c:pt>
                <c:pt idx="59">
                  <c:v>-4</c:v>
                </c:pt>
                <c:pt idx="60">
                  <c:v>-3.3000000000000043</c:v>
                </c:pt>
                <c:pt idx="61">
                  <c:v>-3.3999999999999986</c:v>
                </c:pt>
                <c:pt idx="62">
                  <c:v>-3.8999999999999986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5-495D-A885-D6A3BEAFF1BF}"/>
            </c:ext>
          </c:extLst>
        </c:ser>
        <c:ser>
          <c:idx val="1"/>
          <c:order val="1"/>
          <c:tx>
            <c:strRef>
              <c:f>'FP1'!$C$1</c:f>
              <c:strCache>
                <c:ptCount val="1"/>
                <c:pt idx="0">
                  <c:v>Track Temperature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'FP1'!$A$2:$A$64</c:f>
              <c:numCache>
                <c:formatCode>[$-F400]h:mm:ss\ AM/PM</c:formatCode>
                <c:ptCount val="63"/>
                <c:pt idx="0">
                  <c:v>0.67708333333333337</c:v>
                </c:pt>
                <c:pt idx="1">
                  <c:v>0.67777777777777781</c:v>
                </c:pt>
                <c:pt idx="2">
                  <c:v>0.67847222222222225</c:v>
                </c:pt>
                <c:pt idx="3">
                  <c:v>0.6791666666666667</c:v>
                </c:pt>
                <c:pt idx="4">
                  <c:v>0.67986111111111114</c:v>
                </c:pt>
                <c:pt idx="5">
                  <c:v>0.68055555555555558</c:v>
                </c:pt>
                <c:pt idx="6">
                  <c:v>0.68125000000000002</c:v>
                </c:pt>
                <c:pt idx="7">
                  <c:v>0.68194444444444446</c:v>
                </c:pt>
                <c:pt idx="8">
                  <c:v>0.68263888888888891</c:v>
                </c:pt>
                <c:pt idx="9">
                  <c:v>0.68333333333333335</c:v>
                </c:pt>
                <c:pt idx="10">
                  <c:v>0.68402777777777779</c:v>
                </c:pt>
                <c:pt idx="11">
                  <c:v>0.68680555555555556</c:v>
                </c:pt>
                <c:pt idx="12">
                  <c:v>0.6875</c:v>
                </c:pt>
                <c:pt idx="13">
                  <c:v>0.68819444444444444</c:v>
                </c:pt>
                <c:pt idx="14">
                  <c:v>0.68888888888888888</c:v>
                </c:pt>
                <c:pt idx="15">
                  <c:v>0.68958333333333333</c:v>
                </c:pt>
                <c:pt idx="16">
                  <c:v>0.69027777777777777</c:v>
                </c:pt>
                <c:pt idx="17">
                  <c:v>0.69097222222222221</c:v>
                </c:pt>
                <c:pt idx="18">
                  <c:v>0.69166666666666665</c:v>
                </c:pt>
                <c:pt idx="19">
                  <c:v>0.69236111111111109</c:v>
                </c:pt>
                <c:pt idx="20">
                  <c:v>0.69305555555555554</c:v>
                </c:pt>
                <c:pt idx="21">
                  <c:v>0.69374999999999998</c:v>
                </c:pt>
                <c:pt idx="22">
                  <c:v>0.69444444444444442</c:v>
                </c:pt>
                <c:pt idx="23">
                  <c:v>0.69513888888888886</c:v>
                </c:pt>
                <c:pt idx="24">
                  <c:v>0.6958333333333333</c:v>
                </c:pt>
                <c:pt idx="25">
                  <c:v>0.69652777777777775</c:v>
                </c:pt>
                <c:pt idx="26">
                  <c:v>0.69722222222222219</c:v>
                </c:pt>
                <c:pt idx="27">
                  <c:v>0.69791666666666663</c:v>
                </c:pt>
                <c:pt idx="28">
                  <c:v>0.69861111111111107</c:v>
                </c:pt>
                <c:pt idx="29">
                  <c:v>0.69930555555555551</c:v>
                </c:pt>
                <c:pt idx="30">
                  <c:v>0.7</c:v>
                </c:pt>
                <c:pt idx="31">
                  <c:v>0.7006944444444444</c:v>
                </c:pt>
                <c:pt idx="32">
                  <c:v>0.70208333333333328</c:v>
                </c:pt>
                <c:pt idx="33">
                  <c:v>0.70277777777777772</c:v>
                </c:pt>
                <c:pt idx="34">
                  <c:v>0.70347222222222228</c:v>
                </c:pt>
                <c:pt idx="35">
                  <c:v>0.70416666666666672</c:v>
                </c:pt>
                <c:pt idx="36">
                  <c:v>0.70486111111111116</c:v>
                </c:pt>
                <c:pt idx="37">
                  <c:v>0.7055555555555556</c:v>
                </c:pt>
                <c:pt idx="38">
                  <c:v>0.70694444444444449</c:v>
                </c:pt>
                <c:pt idx="39">
                  <c:v>0.70763888888888893</c:v>
                </c:pt>
                <c:pt idx="40">
                  <c:v>0.70833333333333337</c:v>
                </c:pt>
                <c:pt idx="41">
                  <c:v>0.70902777777777781</c:v>
                </c:pt>
                <c:pt idx="42">
                  <c:v>0.70972222222222225</c:v>
                </c:pt>
                <c:pt idx="43">
                  <c:v>0.7104166666666667</c:v>
                </c:pt>
                <c:pt idx="44">
                  <c:v>0.71111111111111114</c:v>
                </c:pt>
                <c:pt idx="45">
                  <c:v>0.71180555555555558</c:v>
                </c:pt>
                <c:pt idx="46">
                  <c:v>0.71250000000000002</c:v>
                </c:pt>
                <c:pt idx="47">
                  <c:v>0.71319444444444446</c:v>
                </c:pt>
                <c:pt idx="48">
                  <c:v>0.71388888888888891</c:v>
                </c:pt>
                <c:pt idx="49">
                  <c:v>0.71458333333333335</c:v>
                </c:pt>
                <c:pt idx="50">
                  <c:v>0.71527777777777779</c:v>
                </c:pt>
                <c:pt idx="51">
                  <c:v>0.71597222222222223</c:v>
                </c:pt>
                <c:pt idx="52">
                  <c:v>0.71666666666666667</c:v>
                </c:pt>
                <c:pt idx="53">
                  <c:v>0.71736111111111112</c:v>
                </c:pt>
                <c:pt idx="54">
                  <c:v>0.71805555555555556</c:v>
                </c:pt>
                <c:pt idx="55">
                  <c:v>0.71875</c:v>
                </c:pt>
                <c:pt idx="56">
                  <c:v>0.71944444444444444</c:v>
                </c:pt>
                <c:pt idx="57">
                  <c:v>0.72013888888888888</c:v>
                </c:pt>
                <c:pt idx="58">
                  <c:v>0.72083333333333333</c:v>
                </c:pt>
                <c:pt idx="59">
                  <c:v>0.72152777777777777</c:v>
                </c:pt>
                <c:pt idx="60">
                  <c:v>0.72291666666666665</c:v>
                </c:pt>
                <c:pt idx="61">
                  <c:v>0.72361111111111109</c:v>
                </c:pt>
                <c:pt idx="62">
                  <c:v>0.72430555555555554</c:v>
                </c:pt>
              </c:numCache>
            </c:numRef>
          </c:xVal>
          <c:yVal>
            <c:numRef>
              <c:f>'FP1'!$C$2:$C$64</c:f>
              <c:numCache>
                <c:formatCode>General</c:formatCode>
                <c:ptCount val="63"/>
                <c:pt idx="0">
                  <c:v>44.9</c:v>
                </c:pt>
                <c:pt idx="1">
                  <c:v>44</c:v>
                </c:pt>
                <c:pt idx="2">
                  <c:v>43.4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  <c:pt idx="6">
                  <c:v>43.4</c:v>
                </c:pt>
                <c:pt idx="7">
                  <c:v>42.7</c:v>
                </c:pt>
                <c:pt idx="8">
                  <c:v>42.7</c:v>
                </c:pt>
                <c:pt idx="9">
                  <c:v>42.5</c:v>
                </c:pt>
                <c:pt idx="10">
                  <c:v>42.9</c:v>
                </c:pt>
                <c:pt idx="11">
                  <c:v>42.6</c:v>
                </c:pt>
                <c:pt idx="12">
                  <c:v>42.4</c:v>
                </c:pt>
                <c:pt idx="13">
                  <c:v>42.6</c:v>
                </c:pt>
                <c:pt idx="14">
                  <c:v>42.4</c:v>
                </c:pt>
                <c:pt idx="15">
                  <c:v>42.4</c:v>
                </c:pt>
                <c:pt idx="16">
                  <c:v>42.2</c:v>
                </c:pt>
                <c:pt idx="17">
                  <c:v>42.2</c:v>
                </c:pt>
                <c:pt idx="18">
                  <c:v>41.8</c:v>
                </c:pt>
                <c:pt idx="19">
                  <c:v>41.8</c:v>
                </c:pt>
                <c:pt idx="20">
                  <c:v>42.1</c:v>
                </c:pt>
                <c:pt idx="21">
                  <c:v>42.3</c:v>
                </c:pt>
                <c:pt idx="22">
                  <c:v>42.8</c:v>
                </c:pt>
                <c:pt idx="23">
                  <c:v>42.1</c:v>
                </c:pt>
                <c:pt idx="24">
                  <c:v>42.3</c:v>
                </c:pt>
                <c:pt idx="25">
                  <c:v>42</c:v>
                </c:pt>
                <c:pt idx="26">
                  <c:v>41.9</c:v>
                </c:pt>
                <c:pt idx="27">
                  <c:v>41.8</c:v>
                </c:pt>
                <c:pt idx="28">
                  <c:v>41.4</c:v>
                </c:pt>
                <c:pt idx="29">
                  <c:v>41.1</c:v>
                </c:pt>
                <c:pt idx="30">
                  <c:v>41.1</c:v>
                </c:pt>
                <c:pt idx="31">
                  <c:v>41.1</c:v>
                </c:pt>
                <c:pt idx="32">
                  <c:v>40.4</c:v>
                </c:pt>
                <c:pt idx="33">
                  <c:v>40.200000000000003</c:v>
                </c:pt>
                <c:pt idx="34">
                  <c:v>40</c:v>
                </c:pt>
                <c:pt idx="35">
                  <c:v>39.799999999999997</c:v>
                </c:pt>
                <c:pt idx="36">
                  <c:v>39.4</c:v>
                </c:pt>
                <c:pt idx="37">
                  <c:v>39.4</c:v>
                </c:pt>
                <c:pt idx="38">
                  <c:v>38.799999999999997</c:v>
                </c:pt>
                <c:pt idx="39">
                  <c:v>38.700000000000003</c:v>
                </c:pt>
                <c:pt idx="40">
                  <c:v>38.700000000000003</c:v>
                </c:pt>
                <c:pt idx="41">
                  <c:v>38.1</c:v>
                </c:pt>
                <c:pt idx="42">
                  <c:v>37.700000000000003</c:v>
                </c:pt>
                <c:pt idx="43">
                  <c:v>37.299999999999997</c:v>
                </c:pt>
                <c:pt idx="44">
                  <c:v>37.1</c:v>
                </c:pt>
                <c:pt idx="45">
                  <c:v>37</c:v>
                </c:pt>
                <c:pt idx="46">
                  <c:v>36.700000000000003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36.299999999999997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36.6</c:v>
                </c:pt>
                <c:pt idx="55">
                  <c:v>36.6</c:v>
                </c:pt>
                <c:pt idx="56">
                  <c:v>36.200000000000003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36.1</c:v>
                </c:pt>
                <c:pt idx="62">
                  <c:v>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55-495D-A885-D6A3BEAF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84447"/>
        <c:axId val="1163781535"/>
      </c:scatterChart>
      <c:valAx>
        <c:axId val="116378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3781535"/>
        <c:crosses val="autoZero"/>
        <c:crossBetween val="midCat"/>
      </c:valAx>
      <c:valAx>
        <c:axId val="116378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6378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'FP2'!$N$1</c:f>
              <c:strCache>
                <c:ptCount val="1"/>
                <c:pt idx="0">
                  <c:v>DELTA_AMB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'FP2'!$B$2:$B$49</c:f>
              <c:numCache>
                <c:formatCode>[$-F400]h:mm:ss\ AM/PM</c:formatCode>
                <c:ptCount val="48"/>
                <c:pt idx="0">
                  <c:v>0.38611111111111113</c:v>
                </c:pt>
                <c:pt idx="1">
                  <c:v>0.38680555555555557</c:v>
                </c:pt>
                <c:pt idx="2">
                  <c:v>0.38750000000000001</c:v>
                </c:pt>
                <c:pt idx="3">
                  <c:v>0.38819444444444445</c:v>
                </c:pt>
                <c:pt idx="4">
                  <c:v>0.3888888888888889</c:v>
                </c:pt>
                <c:pt idx="5">
                  <c:v>0.38958333333333334</c:v>
                </c:pt>
                <c:pt idx="6">
                  <c:v>0.39027777777777778</c:v>
                </c:pt>
                <c:pt idx="7">
                  <c:v>0.39097222222222222</c:v>
                </c:pt>
                <c:pt idx="8">
                  <c:v>0.39166666666666666</c:v>
                </c:pt>
                <c:pt idx="9">
                  <c:v>0.3923611111111111</c:v>
                </c:pt>
                <c:pt idx="10">
                  <c:v>0.39305555555555555</c:v>
                </c:pt>
                <c:pt idx="11">
                  <c:v>0.39374999999999999</c:v>
                </c:pt>
                <c:pt idx="12">
                  <c:v>0.39444444444444443</c:v>
                </c:pt>
                <c:pt idx="13">
                  <c:v>0.39513888888888887</c:v>
                </c:pt>
                <c:pt idx="14">
                  <c:v>0.39583333333333331</c:v>
                </c:pt>
                <c:pt idx="15">
                  <c:v>0.39652777777777776</c:v>
                </c:pt>
                <c:pt idx="16">
                  <c:v>0.3972222222222222</c:v>
                </c:pt>
                <c:pt idx="17">
                  <c:v>0.39791666666666664</c:v>
                </c:pt>
                <c:pt idx="18">
                  <c:v>0.39861111111111114</c:v>
                </c:pt>
                <c:pt idx="19">
                  <c:v>0.39930555555555558</c:v>
                </c:pt>
                <c:pt idx="20">
                  <c:v>0.4</c:v>
                </c:pt>
                <c:pt idx="21">
                  <c:v>0.40069444444444446</c:v>
                </c:pt>
                <c:pt idx="22">
                  <c:v>0.40138888888888891</c:v>
                </c:pt>
                <c:pt idx="23">
                  <c:v>0.40208333333333335</c:v>
                </c:pt>
                <c:pt idx="24">
                  <c:v>0.40277777777777779</c:v>
                </c:pt>
                <c:pt idx="25">
                  <c:v>0.40347222222222223</c:v>
                </c:pt>
                <c:pt idx="26">
                  <c:v>0.40416666666666667</c:v>
                </c:pt>
                <c:pt idx="27">
                  <c:v>0.40486111111111112</c:v>
                </c:pt>
                <c:pt idx="28">
                  <c:v>0.40555555555555556</c:v>
                </c:pt>
                <c:pt idx="29">
                  <c:v>0.40625</c:v>
                </c:pt>
                <c:pt idx="30">
                  <c:v>0.40694444444444444</c:v>
                </c:pt>
                <c:pt idx="31">
                  <c:v>0.40763888888888888</c:v>
                </c:pt>
                <c:pt idx="32">
                  <c:v>0.40833333333333333</c:v>
                </c:pt>
                <c:pt idx="33">
                  <c:v>0.40902777777777777</c:v>
                </c:pt>
                <c:pt idx="34">
                  <c:v>0.40972222222222221</c:v>
                </c:pt>
                <c:pt idx="35">
                  <c:v>0.41041666666666665</c:v>
                </c:pt>
                <c:pt idx="36">
                  <c:v>0.41111111111111109</c:v>
                </c:pt>
                <c:pt idx="37">
                  <c:v>0.41180555555555554</c:v>
                </c:pt>
                <c:pt idx="38">
                  <c:v>0.41249999999999998</c:v>
                </c:pt>
                <c:pt idx="39">
                  <c:v>0.41319444444444442</c:v>
                </c:pt>
                <c:pt idx="40">
                  <c:v>0.41388888888888886</c:v>
                </c:pt>
                <c:pt idx="41">
                  <c:v>0.41458333333333336</c:v>
                </c:pt>
                <c:pt idx="42">
                  <c:v>0.4152777777777778</c:v>
                </c:pt>
                <c:pt idx="43">
                  <c:v>0.41597222222222224</c:v>
                </c:pt>
                <c:pt idx="44">
                  <c:v>0.41666666666666669</c:v>
                </c:pt>
                <c:pt idx="45">
                  <c:v>0.41736111111111113</c:v>
                </c:pt>
                <c:pt idx="46">
                  <c:v>0.41805555555555557</c:v>
                </c:pt>
                <c:pt idx="47">
                  <c:v>0.41875000000000001</c:v>
                </c:pt>
              </c:numCache>
            </c:numRef>
          </c:xVal>
          <c:yVal>
            <c:numRef>
              <c:f>'FP2'!$N$2:$N$49</c:f>
              <c:numCache>
                <c:formatCode>General</c:formatCode>
                <c:ptCount val="48"/>
                <c:pt idx="0">
                  <c:v>10</c:v>
                </c:pt>
                <c:pt idx="1">
                  <c:v>10.399999999999999</c:v>
                </c:pt>
                <c:pt idx="2">
                  <c:v>10.5</c:v>
                </c:pt>
                <c:pt idx="3">
                  <c:v>10.999999999999996</c:v>
                </c:pt>
                <c:pt idx="4">
                  <c:v>11.2</c:v>
                </c:pt>
                <c:pt idx="5">
                  <c:v>11.099999999999998</c:v>
                </c:pt>
                <c:pt idx="6">
                  <c:v>10.3</c:v>
                </c:pt>
                <c:pt idx="7">
                  <c:v>9.4999999999999964</c:v>
                </c:pt>
                <c:pt idx="8">
                  <c:v>9.3999999999999986</c:v>
                </c:pt>
                <c:pt idx="9">
                  <c:v>9.1999999999999957</c:v>
                </c:pt>
                <c:pt idx="10">
                  <c:v>8.3999999999999986</c:v>
                </c:pt>
                <c:pt idx="11">
                  <c:v>8.6999999999999957</c:v>
                </c:pt>
                <c:pt idx="12">
                  <c:v>8.5000000000000036</c:v>
                </c:pt>
                <c:pt idx="13">
                  <c:v>8.4000000000000021</c:v>
                </c:pt>
                <c:pt idx="14">
                  <c:v>8.8999999999999986</c:v>
                </c:pt>
                <c:pt idx="15">
                  <c:v>9.2000000000000028</c:v>
                </c:pt>
                <c:pt idx="16">
                  <c:v>9.7999999999999972</c:v>
                </c:pt>
                <c:pt idx="17">
                  <c:v>9.6000000000000014</c:v>
                </c:pt>
                <c:pt idx="18">
                  <c:v>9.8000000000000007</c:v>
                </c:pt>
                <c:pt idx="19">
                  <c:v>10.099999999999998</c:v>
                </c:pt>
                <c:pt idx="20">
                  <c:v>9.9999999999999964</c:v>
                </c:pt>
                <c:pt idx="21">
                  <c:v>9.9000000000000021</c:v>
                </c:pt>
                <c:pt idx="22">
                  <c:v>9.3000000000000007</c:v>
                </c:pt>
                <c:pt idx="23">
                  <c:v>8.6999999999999993</c:v>
                </c:pt>
                <c:pt idx="24">
                  <c:v>8.6000000000000014</c:v>
                </c:pt>
                <c:pt idx="25">
                  <c:v>8.6999999999999993</c:v>
                </c:pt>
                <c:pt idx="26">
                  <c:v>8.6000000000000014</c:v>
                </c:pt>
                <c:pt idx="27">
                  <c:v>8.7000000000000028</c:v>
                </c:pt>
                <c:pt idx="28">
                  <c:v>8.2999999999999972</c:v>
                </c:pt>
                <c:pt idx="29">
                  <c:v>8.5999999999999979</c:v>
                </c:pt>
                <c:pt idx="30">
                  <c:v>9.0000000000000036</c:v>
                </c:pt>
                <c:pt idx="31">
                  <c:v>9.3999999999999986</c:v>
                </c:pt>
                <c:pt idx="32">
                  <c:v>9.3000000000000007</c:v>
                </c:pt>
                <c:pt idx="33">
                  <c:v>8.6999999999999993</c:v>
                </c:pt>
                <c:pt idx="34">
                  <c:v>9.2999999999999972</c:v>
                </c:pt>
                <c:pt idx="35">
                  <c:v>9.3999999999999986</c:v>
                </c:pt>
                <c:pt idx="36">
                  <c:v>9.4000000000000021</c:v>
                </c:pt>
                <c:pt idx="37">
                  <c:v>9.6999999999999993</c:v>
                </c:pt>
                <c:pt idx="38">
                  <c:v>9.5</c:v>
                </c:pt>
                <c:pt idx="39">
                  <c:v>9.1999999999999957</c:v>
                </c:pt>
                <c:pt idx="40">
                  <c:v>9.1000000000000014</c:v>
                </c:pt>
                <c:pt idx="41">
                  <c:v>8.4000000000000021</c:v>
                </c:pt>
                <c:pt idx="42">
                  <c:v>7.8999999999999986</c:v>
                </c:pt>
                <c:pt idx="43">
                  <c:v>7.8000000000000007</c:v>
                </c:pt>
                <c:pt idx="44">
                  <c:v>7.3999999999999986</c:v>
                </c:pt>
                <c:pt idx="45">
                  <c:v>7.5000000000000036</c:v>
                </c:pt>
                <c:pt idx="46">
                  <c:v>6.6000000000000014</c:v>
                </c:pt>
                <c:pt idx="47">
                  <c:v>6.8000000000000007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34-4C40-9A28-3B614D546BF3}"/>
            </c:ext>
          </c:extLst>
        </c:ser>
        <c:ser>
          <c:idx val="1"/>
          <c:order val="1"/>
          <c:tx>
            <c:strRef>
              <c:f>'FP2'!$C$1</c:f>
              <c:strCache>
                <c:ptCount val="1"/>
                <c:pt idx="0">
                  <c:v>Air Temperature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'FP2'!$B$2:$B$49</c:f>
              <c:numCache>
                <c:formatCode>[$-F400]h:mm:ss\ AM/PM</c:formatCode>
                <c:ptCount val="48"/>
                <c:pt idx="0">
                  <c:v>0.38611111111111113</c:v>
                </c:pt>
                <c:pt idx="1">
                  <c:v>0.38680555555555557</c:v>
                </c:pt>
                <c:pt idx="2">
                  <c:v>0.38750000000000001</c:v>
                </c:pt>
                <c:pt idx="3">
                  <c:v>0.38819444444444445</c:v>
                </c:pt>
                <c:pt idx="4">
                  <c:v>0.3888888888888889</c:v>
                </c:pt>
                <c:pt idx="5">
                  <c:v>0.38958333333333334</c:v>
                </c:pt>
                <c:pt idx="6">
                  <c:v>0.39027777777777778</c:v>
                </c:pt>
                <c:pt idx="7">
                  <c:v>0.39097222222222222</c:v>
                </c:pt>
                <c:pt idx="8">
                  <c:v>0.39166666666666666</c:v>
                </c:pt>
                <c:pt idx="9">
                  <c:v>0.3923611111111111</c:v>
                </c:pt>
                <c:pt idx="10">
                  <c:v>0.39305555555555555</c:v>
                </c:pt>
                <c:pt idx="11">
                  <c:v>0.39374999999999999</c:v>
                </c:pt>
                <c:pt idx="12">
                  <c:v>0.39444444444444443</c:v>
                </c:pt>
                <c:pt idx="13">
                  <c:v>0.39513888888888887</c:v>
                </c:pt>
                <c:pt idx="14">
                  <c:v>0.39583333333333331</c:v>
                </c:pt>
                <c:pt idx="15">
                  <c:v>0.39652777777777776</c:v>
                </c:pt>
                <c:pt idx="16">
                  <c:v>0.3972222222222222</c:v>
                </c:pt>
                <c:pt idx="17">
                  <c:v>0.39791666666666664</c:v>
                </c:pt>
                <c:pt idx="18">
                  <c:v>0.39861111111111114</c:v>
                </c:pt>
                <c:pt idx="19">
                  <c:v>0.39930555555555558</c:v>
                </c:pt>
                <c:pt idx="20">
                  <c:v>0.4</c:v>
                </c:pt>
                <c:pt idx="21">
                  <c:v>0.40069444444444446</c:v>
                </c:pt>
                <c:pt idx="22">
                  <c:v>0.40138888888888891</c:v>
                </c:pt>
                <c:pt idx="23">
                  <c:v>0.40208333333333335</c:v>
                </c:pt>
                <c:pt idx="24">
                  <c:v>0.40277777777777779</c:v>
                </c:pt>
                <c:pt idx="25">
                  <c:v>0.40347222222222223</c:v>
                </c:pt>
                <c:pt idx="26">
                  <c:v>0.40416666666666667</c:v>
                </c:pt>
                <c:pt idx="27">
                  <c:v>0.40486111111111112</c:v>
                </c:pt>
                <c:pt idx="28">
                  <c:v>0.40555555555555556</c:v>
                </c:pt>
                <c:pt idx="29">
                  <c:v>0.40625</c:v>
                </c:pt>
                <c:pt idx="30">
                  <c:v>0.40694444444444444</c:v>
                </c:pt>
                <c:pt idx="31">
                  <c:v>0.40763888888888888</c:v>
                </c:pt>
                <c:pt idx="32">
                  <c:v>0.40833333333333333</c:v>
                </c:pt>
                <c:pt idx="33">
                  <c:v>0.40902777777777777</c:v>
                </c:pt>
                <c:pt idx="34">
                  <c:v>0.40972222222222221</c:v>
                </c:pt>
                <c:pt idx="35">
                  <c:v>0.41041666666666665</c:v>
                </c:pt>
                <c:pt idx="36">
                  <c:v>0.41111111111111109</c:v>
                </c:pt>
                <c:pt idx="37">
                  <c:v>0.41180555555555554</c:v>
                </c:pt>
                <c:pt idx="38">
                  <c:v>0.41249999999999998</c:v>
                </c:pt>
                <c:pt idx="39">
                  <c:v>0.41319444444444442</c:v>
                </c:pt>
                <c:pt idx="40">
                  <c:v>0.41388888888888886</c:v>
                </c:pt>
                <c:pt idx="41">
                  <c:v>0.41458333333333336</c:v>
                </c:pt>
                <c:pt idx="42">
                  <c:v>0.4152777777777778</c:v>
                </c:pt>
                <c:pt idx="43">
                  <c:v>0.41597222222222224</c:v>
                </c:pt>
                <c:pt idx="44">
                  <c:v>0.41666666666666669</c:v>
                </c:pt>
                <c:pt idx="45">
                  <c:v>0.41736111111111113</c:v>
                </c:pt>
                <c:pt idx="46">
                  <c:v>0.41805555555555557</c:v>
                </c:pt>
                <c:pt idx="47">
                  <c:v>0.41875000000000001</c:v>
                </c:pt>
              </c:numCache>
            </c:numRef>
          </c:xVal>
          <c:yVal>
            <c:numRef>
              <c:f>'FP2'!$L$2:$L$49</c:f>
              <c:numCache>
                <c:formatCode>General</c:formatCode>
                <c:ptCount val="48"/>
                <c:pt idx="0">
                  <c:v>33.4</c:v>
                </c:pt>
                <c:pt idx="1">
                  <c:v>33.799999999999997</c:v>
                </c:pt>
                <c:pt idx="2">
                  <c:v>33.9</c:v>
                </c:pt>
                <c:pt idx="3">
                  <c:v>34.299999999999997</c:v>
                </c:pt>
                <c:pt idx="4">
                  <c:v>34.5</c:v>
                </c:pt>
                <c:pt idx="5">
                  <c:v>34.4</c:v>
                </c:pt>
                <c:pt idx="6">
                  <c:v>33.6</c:v>
                </c:pt>
                <c:pt idx="7">
                  <c:v>32.799999999999997</c:v>
                </c:pt>
                <c:pt idx="8">
                  <c:v>32.9</c:v>
                </c:pt>
                <c:pt idx="9">
                  <c:v>32.799999999999997</c:v>
                </c:pt>
                <c:pt idx="10">
                  <c:v>32</c:v>
                </c:pt>
                <c:pt idx="11">
                  <c:v>32.299999999999997</c:v>
                </c:pt>
                <c:pt idx="12">
                  <c:v>32.200000000000003</c:v>
                </c:pt>
                <c:pt idx="13">
                  <c:v>32.200000000000003</c:v>
                </c:pt>
                <c:pt idx="14">
                  <c:v>32.5</c:v>
                </c:pt>
                <c:pt idx="15">
                  <c:v>32.700000000000003</c:v>
                </c:pt>
                <c:pt idx="16">
                  <c:v>33.299999999999997</c:v>
                </c:pt>
                <c:pt idx="17">
                  <c:v>33</c:v>
                </c:pt>
                <c:pt idx="18">
                  <c:v>33.1</c:v>
                </c:pt>
                <c:pt idx="19">
                  <c:v>33.4</c:v>
                </c:pt>
                <c:pt idx="20">
                  <c:v>33.299999999999997</c:v>
                </c:pt>
                <c:pt idx="21">
                  <c:v>33.200000000000003</c:v>
                </c:pt>
                <c:pt idx="22">
                  <c:v>32.6</c:v>
                </c:pt>
                <c:pt idx="23">
                  <c:v>32</c:v>
                </c:pt>
                <c:pt idx="24">
                  <c:v>31.8</c:v>
                </c:pt>
                <c:pt idx="25">
                  <c:v>32</c:v>
                </c:pt>
                <c:pt idx="26">
                  <c:v>32.1</c:v>
                </c:pt>
                <c:pt idx="27">
                  <c:v>32.200000000000003</c:v>
                </c:pt>
                <c:pt idx="28">
                  <c:v>31.9</c:v>
                </c:pt>
                <c:pt idx="29">
                  <c:v>32.4</c:v>
                </c:pt>
                <c:pt idx="30">
                  <c:v>32.700000000000003</c:v>
                </c:pt>
                <c:pt idx="31">
                  <c:v>33</c:v>
                </c:pt>
                <c:pt idx="32">
                  <c:v>33</c:v>
                </c:pt>
                <c:pt idx="33">
                  <c:v>32.4</c:v>
                </c:pt>
                <c:pt idx="34">
                  <c:v>32.9</c:v>
                </c:pt>
                <c:pt idx="35">
                  <c:v>33</c:v>
                </c:pt>
                <c:pt idx="36">
                  <c:v>33.200000000000003</c:v>
                </c:pt>
                <c:pt idx="37">
                  <c:v>33.5</c:v>
                </c:pt>
                <c:pt idx="38">
                  <c:v>33.5</c:v>
                </c:pt>
                <c:pt idx="39">
                  <c:v>33.299999999999997</c:v>
                </c:pt>
                <c:pt idx="40">
                  <c:v>33.200000000000003</c:v>
                </c:pt>
                <c:pt idx="41">
                  <c:v>32.700000000000003</c:v>
                </c:pt>
                <c:pt idx="42">
                  <c:v>32.4</c:v>
                </c:pt>
                <c:pt idx="43">
                  <c:v>32.5</c:v>
                </c:pt>
                <c:pt idx="44">
                  <c:v>32.5</c:v>
                </c:pt>
                <c:pt idx="45">
                  <c:v>32.700000000000003</c:v>
                </c:pt>
                <c:pt idx="46">
                  <c:v>31.6</c:v>
                </c:pt>
                <c:pt idx="47">
                  <c:v>31.6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34-4C40-9A28-3B614D546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998511"/>
        <c:axId val="1150000591"/>
      </c:scatterChart>
      <c:valAx>
        <c:axId val="114999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0000591"/>
        <c:crosses val="autoZero"/>
        <c:crossBetween val="midCat"/>
      </c:valAx>
      <c:valAx>
        <c:axId val="11500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999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'FP2'!$O$1</c:f>
              <c:strCache>
                <c:ptCount val="1"/>
                <c:pt idx="0">
                  <c:v>DELTA_TRACK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'FP2'!$B$2:$B$49</c:f>
              <c:numCache>
                <c:formatCode>[$-F400]h:mm:ss\ AM/PM</c:formatCode>
                <c:ptCount val="48"/>
                <c:pt idx="0">
                  <c:v>0.38611111111111113</c:v>
                </c:pt>
                <c:pt idx="1">
                  <c:v>0.38680555555555557</c:v>
                </c:pt>
                <c:pt idx="2">
                  <c:v>0.38750000000000001</c:v>
                </c:pt>
                <c:pt idx="3">
                  <c:v>0.38819444444444445</c:v>
                </c:pt>
                <c:pt idx="4">
                  <c:v>0.3888888888888889</c:v>
                </c:pt>
                <c:pt idx="5">
                  <c:v>0.38958333333333334</c:v>
                </c:pt>
                <c:pt idx="6">
                  <c:v>0.39027777777777778</c:v>
                </c:pt>
                <c:pt idx="7">
                  <c:v>0.39097222222222222</c:v>
                </c:pt>
                <c:pt idx="8">
                  <c:v>0.39166666666666666</c:v>
                </c:pt>
                <c:pt idx="9">
                  <c:v>0.3923611111111111</c:v>
                </c:pt>
                <c:pt idx="10">
                  <c:v>0.39305555555555555</c:v>
                </c:pt>
                <c:pt idx="11">
                  <c:v>0.39374999999999999</c:v>
                </c:pt>
                <c:pt idx="12">
                  <c:v>0.39444444444444443</c:v>
                </c:pt>
                <c:pt idx="13">
                  <c:v>0.39513888888888887</c:v>
                </c:pt>
                <c:pt idx="14">
                  <c:v>0.39583333333333331</c:v>
                </c:pt>
                <c:pt idx="15">
                  <c:v>0.39652777777777776</c:v>
                </c:pt>
                <c:pt idx="16">
                  <c:v>0.3972222222222222</c:v>
                </c:pt>
                <c:pt idx="17">
                  <c:v>0.39791666666666664</c:v>
                </c:pt>
                <c:pt idx="18">
                  <c:v>0.39861111111111114</c:v>
                </c:pt>
                <c:pt idx="19">
                  <c:v>0.39930555555555558</c:v>
                </c:pt>
                <c:pt idx="20">
                  <c:v>0.4</c:v>
                </c:pt>
                <c:pt idx="21">
                  <c:v>0.40069444444444446</c:v>
                </c:pt>
                <c:pt idx="22">
                  <c:v>0.40138888888888891</c:v>
                </c:pt>
                <c:pt idx="23">
                  <c:v>0.40208333333333335</c:v>
                </c:pt>
                <c:pt idx="24">
                  <c:v>0.40277777777777779</c:v>
                </c:pt>
                <c:pt idx="25">
                  <c:v>0.40347222222222223</c:v>
                </c:pt>
                <c:pt idx="26">
                  <c:v>0.40416666666666667</c:v>
                </c:pt>
                <c:pt idx="27">
                  <c:v>0.40486111111111112</c:v>
                </c:pt>
                <c:pt idx="28">
                  <c:v>0.40555555555555556</c:v>
                </c:pt>
                <c:pt idx="29">
                  <c:v>0.40625</c:v>
                </c:pt>
                <c:pt idx="30">
                  <c:v>0.40694444444444444</c:v>
                </c:pt>
                <c:pt idx="31">
                  <c:v>0.40763888888888888</c:v>
                </c:pt>
                <c:pt idx="32">
                  <c:v>0.40833333333333333</c:v>
                </c:pt>
                <c:pt idx="33">
                  <c:v>0.40902777777777777</c:v>
                </c:pt>
                <c:pt idx="34">
                  <c:v>0.40972222222222221</c:v>
                </c:pt>
                <c:pt idx="35">
                  <c:v>0.41041666666666665</c:v>
                </c:pt>
                <c:pt idx="36">
                  <c:v>0.41111111111111109</c:v>
                </c:pt>
                <c:pt idx="37">
                  <c:v>0.41180555555555554</c:v>
                </c:pt>
                <c:pt idx="38">
                  <c:v>0.41249999999999998</c:v>
                </c:pt>
                <c:pt idx="39">
                  <c:v>0.41319444444444442</c:v>
                </c:pt>
                <c:pt idx="40">
                  <c:v>0.41388888888888886</c:v>
                </c:pt>
                <c:pt idx="41">
                  <c:v>0.41458333333333336</c:v>
                </c:pt>
                <c:pt idx="42">
                  <c:v>0.4152777777777778</c:v>
                </c:pt>
                <c:pt idx="43">
                  <c:v>0.41597222222222224</c:v>
                </c:pt>
                <c:pt idx="44">
                  <c:v>0.41666666666666669</c:v>
                </c:pt>
                <c:pt idx="45">
                  <c:v>0.41736111111111113</c:v>
                </c:pt>
                <c:pt idx="46">
                  <c:v>0.41805555555555557</c:v>
                </c:pt>
                <c:pt idx="47">
                  <c:v>0.41875000000000001</c:v>
                </c:pt>
              </c:numCache>
            </c:numRef>
          </c:xVal>
          <c:yVal>
            <c:numRef>
              <c:f>'FP2'!$O$2:$O$49</c:f>
              <c:numCache>
                <c:formatCode>General</c:formatCode>
                <c:ptCount val="48"/>
                <c:pt idx="0">
                  <c:v>8.5</c:v>
                </c:pt>
                <c:pt idx="1">
                  <c:v>8.4999999999999964</c:v>
                </c:pt>
                <c:pt idx="2">
                  <c:v>8.1999999999999993</c:v>
                </c:pt>
                <c:pt idx="3">
                  <c:v>8.6999999999999957</c:v>
                </c:pt>
                <c:pt idx="4">
                  <c:v>8.8999999999999986</c:v>
                </c:pt>
                <c:pt idx="5">
                  <c:v>8.1999999999999993</c:v>
                </c:pt>
                <c:pt idx="6">
                  <c:v>7.4000000000000021</c:v>
                </c:pt>
                <c:pt idx="7">
                  <c:v>6.5999999999999979</c:v>
                </c:pt>
                <c:pt idx="8">
                  <c:v>6.1999999999999993</c:v>
                </c:pt>
                <c:pt idx="9">
                  <c:v>5.7999999999999972</c:v>
                </c:pt>
                <c:pt idx="10">
                  <c:v>4.8000000000000007</c:v>
                </c:pt>
                <c:pt idx="11">
                  <c:v>4.7999999999999972</c:v>
                </c:pt>
                <c:pt idx="12">
                  <c:v>4.5000000000000036</c:v>
                </c:pt>
                <c:pt idx="13">
                  <c:v>4.5000000000000036</c:v>
                </c:pt>
                <c:pt idx="14">
                  <c:v>4.6999999999999993</c:v>
                </c:pt>
                <c:pt idx="15">
                  <c:v>5.0000000000000036</c:v>
                </c:pt>
                <c:pt idx="16">
                  <c:v>5.4999999999999964</c:v>
                </c:pt>
                <c:pt idx="17">
                  <c:v>5.1000000000000014</c:v>
                </c:pt>
                <c:pt idx="18">
                  <c:v>5.4000000000000021</c:v>
                </c:pt>
                <c:pt idx="19">
                  <c:v>6</c:v>
                </c:pt>
                <c:pt idx="20">
                  <c:v>5.8999999999999986</c:v>
                </c:pt>
                <c:pt idx="21">
                  <c:v>5.9000000000000021</c:v>
                </c:pt>
                <c:pt idx="22">
                  <c:v>5.3000000000000007</c:v>
                </c:pt>
                <c:pt idx="23">
                  <c:v>4.6000000000000014</c:v>
                </c:pt>
                <c:pt idx="24">
                  <c:v>4.1999999999999993</c:v>
                </c:pt>
                <c:pt idx="25">
                  <c:v>3.3999999999999986</c:v>
                </c:pt>
                <c:pt idx="26">
                  <c:v>3.5</c:v>
                </c:pt>
                <c:pt idx="27">
                  <c:v>2.9000000000000021</c:v>
                </c:pt>
                <c:pt idx="28">
                  <c:v>2.1999999999999993</c:v>
                </c:pt>
                <c:pt idx="29">
                  <c:v>2.6999999999999993</c:v>
                </c:pt>
                <c:pt idx="30">
                  <c:v>3.0000000000000036</c:v>
                </c:pt>
                <c:pt idx="31">
                  <c:v>3.1999999999999993</c:v>
                </c:pt>
                <c:pt idx="32">
                  <c:v>3</c:v>
                </c:pt>
                <c:pt idx="33">
                  <c:v>2.2999999999999972</c:v>
                </c:pt>
                <c:pt idx="34">
                  <c:v>2.7999999999999972</c:v>
                </c:pt>
                <c:pt idx="35">
                  <c:v>2.8000000000000007</c:v>
                </c:pt>
                <c:pt idx="36">
                  <c:v>2.9000000000000021</c:v>
                </c:pt>
                <c:pt idx="37">
                  <c:v>3</c:v>
                </c:pt>
                <c:pt idx="38">
                  <c:v>2.8999999999999986</c:v>
                </c:pt>
                <c:pt idx="39">
                  <c:v>2.5999999999999979</c:v>
                </c:pt>
                <c:pt idx="40">
                  <c:v>2.0000000000000036</c:v>
                </c:pt>
                <c:pt idx="41">
                  <c:v>1.4000000000000021</c:v>
                </c:pt>
                <c:pt idx="42">
                  <c:v>0.89999999999999858</c:v>
                </c:pt>
                <c:pt idx="43">
                  <c:v>0.60000000000000142</c:v>
                </c:pt>
                <c:pt idx="44">
                  <c:v>0</c:v>
                </c:pt>
                <c:pt idx="45">
                  <c:v>0.20000000000000284</c:v>
                </c:pt>
                <c:pt idx="46">
                  <c:v>-0.39999999999999858</c:v>
                </c:pt>
                <c:pt idx="47">
                  <c:v>-0.39999999999999858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34-4C40-9A28-3B614D546BF3}"/>
            </c:ext>
          </c:extLst>
        </c:ser>
        <c:ser>
          <c:idx val="3"/>
          <c:order val="1"/>
          <c:tx>
            <c:strRef>
              <c:f>'FP2'!$D$1</c:f>
              <c:strCache>
                <c:ptCount val="1"/>
                <c:pt idx="0">
                  <c:v>Track Temperature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'FP2'!$B$2:$B$49</c:f>
              <c:numCache>
                <c:formatCode>[$-F400]h:mm:ss\ AM/PM</c:formatCode>
                <c:ptCount val="48"/>
                <c:pt idx="0">
                  <c:v>0.38611111111111113</c:v>
                </c:pt>
                <c:pt idx="1">
                  <c:v>0.38680555555555557</c:v>
                </c:pt>
                <c:pt idx="2">
                  <c:v>0.38750000000000001</c:v>
                </c:pt>
                <c:pt idx="3">
                  <c:v>0.38819444444444445</c:v>
                </c:pt>
                <c:pt idx="4">
                  <c:v>0.3888888888888889</c:v>
                </c:pt>
                <c:pt idx="5">
                  <c:v>0.38958333333333334</c:v>
                </c:pt>
                <c:pt idx="6">
                  <c:v>0.39027777777777778</c:v>
                </c:pt>
                <c:pt idx="7">
                  <c:v>0.39097222222222222</c:v>
                </c:pt>
                <c:pt idx="8">
                  <c:v>0.39166666666666666</c:v>
                </c:pt>
                <c:pt idx="9">
                  <c:v>0.3923611111111111</c:v>
                </c:pt>
                <c:pt idx="10">
                  <c:v>0.39305555555555555</c:v>
                </c:pt>
                <c:pt idx="11">
                  <c:v>0.39374999999999999</c:v>
                </c:pt>
                <c:pt idx="12">
                  <c:v>0.39444444444444443</c:v>
                </c:pt>
                <c:pt idx="13">
                  <c:v>0.39513888888888887</c:v>
                </c:pt>
                <c:pt idx="14">
                  <c:v>0.39583333333333331</c:v>
                </c:pt>
                <c:pt idx="15">
                  <c:v>0.39652777777777776</c:v>
                </c:pt>
                <c:pt idx="16">
                  <c:v>0.3972222222222222</c:v>
                </c:pt>
                <c:pt idx="17">
                  <c:v>0.39791666666666664</c:v>
                </c:pt>
                <c:pt idx="18">
                  <c:v>0.39861111111111114</c:v>
                </c:pt>
                <c:pt idx="19">
                  <c:v>0.39930555555555558</c:v>
                </c:pt>
                <c:pt idx="20">
                  <c:v>0.4</c:v>
                </c:pt>
                <c:pt idx="21">
                  <c:v>0.40069444444444446</c:v>
                </c:pt>
                <c:pt idx="22">
                  <c:v>0.40138888888888891</c:v>
                </c:pt>
                <c:pt idx="23">
                  <c:v>0.40208333333333335</c:v>
                </c:pt>
                <c:pt idx="24">
                  <c:v>0.40277777777777779</c:v>
                </c:pt>
                <c:pt idx="25">
                  <c:v>0.40347222222222223</c:v>
                </c:pt>
                <c:pt idx="26">
                  <c:v>0.40416666666666667</c:v>
                </c:pt>
                <c:pt idx="27">
                  <c:v>0.40486111111111112</c:v>
                </c:pt>
                <c:pt idx="28">
                  <c:v>0.40555555555555556</c:v>
                </c:pt>
                <c:pt idx="29">
                  <c:v>0.40625</c:v>
                </c:pt>
                <c:pt idx="30">
                  <c:v>0.40694444444444444</c:v>
                </c:pt>
                <c:pt idx="31">
                  <c:v>0.40763888888888888</c:v>
                </c:pt>
                <c:pt idx="32">
                  <c:v>0.40833333333333333</c:v>
                </c:pt>
                <c:pt idx="33">
                  <c:v>0.40902777777777777</c:v>
                </c:pt>
                <c:pt idx="34">
                  <c:v>0.40972222222222221</c:v>
                </c:pt>
                <c:pt idx="35">
                  <c:v>0.41041666666666665</c:v>
                </c:pt>
                <c:pt idx="36">
                  <c:v>0.41111111111111109</c:v>
                </c:pt>
                <c:pt idx="37">
                  <c:v>0.41180555555555554</c:v>
                </c:pt>
                <c:pt idx="38">
                  <c:v>0.41249999999999998</c:v>
                </c:pt>
                <c:pt idx="39">
                  <c:v>0.41319444444444442</c:v>
                </c:pt>
                <c:pt idx="40">
                  <c:v>0.41388888888888886</c:v>
                </c:pt>
                <c:pt idx="41">
                  <c:v>0.41458333333333336</c:v>
                </c:pt>
                <c:pt idx="42">
                  <c:v>0.4152777777777778</c:v>
                </c:pt>
                <c:pt idx="43">
                  <c:v>0.41597222222222224</c:v>
                </c:pt>
                <c:pt idx="44">
                  <c:v>0.41666666666666669</c:v>
                </c:pt>
                <c:pt idx="45">
                  <c:v>0.41736111111111113</c:v>
                </c:pt>
                <c:pt idx="46">
                  <c:v>0.41805555555555557</c:v>
                </c:pt>
                <c:pt idx="47">
                  <c:v>0.41875000000000001</c:v>
                </c:pt>
              </c:numCache>
            </c:numRef>
          </c:xVal>
          <c:yVal>
            <c:numRef>
              <c:f>'FP2'!$D$2:$D$49</c:f>
              <c:numCache>
                <c:formatCode>General</c:formatCode>
                <c:ptCount val="48"/>
                <c:pt idx="0">
                  <c:v>24.9</c:v>
                </c:pt>
                <c:pt idx="1">
                  <c:v>25.3</c:v>
                </c:pt>
                <c:pt idx="2">
                  <c:v>25.7</c:v>
                </c:pt>
                <c:pt idx="3">
                  <c:v>25.6</c:v>
                </c:pt>
                <c:pt idx="4">
                  <c:v>25.6</c:v>
                </c:pt>
                <c:pt idx="5">
                  <c:v>26.2</c:v>
                </c:pt>
                <c:pt idx="6">
                  <c:v>26.2</c:v>
                </c:pt>
                <c:pt idx="7">
                  <c:v>26.2</c:v>
                </c:pt>
                <c:pt idx="8">
                  <c:v>26.7</c:v>
                </c:pt>
                <c:pt idx="9">
                  <c:v>27</c:v>
                </c:pt>
                <c:pt idx="10">
                  <c:v>27.2</c:v>
                </c:pt>
                <c:pt idx="11">
                  <c:v>27.5</c:v>
                </c:pt>
                <c:pt idx="12">
                  <c:v>27.7</c:v>
                </c:pt>
                <c:pt idx="13">
                  <c:v>27.7</c:v>
                </c:pt>
                <c:pt idx="14">
                  <c:v>27.8</c:v>
                </c:pt>
                <c:pt idx="15">
                  <c:v>27.7</c:v>
                </c:pt>
                <c:pt idx="16">
                  <c:v>27.8</c:v>
                </c:pt>
                <c:pt idx="17">
                  <c:v>27.9</c:v>
                </c:pt>
                <c:pt idx="18">
                  <c:v>27.7</c:v>
                </c:pt>
                <c:pt idx="19">
                  <c:v>27.4</c:v>
                </c:pt>
                <c:pt idx="20">
                  <c:v>27.4</c:v>
                </c:pt>
                <c:pt idx="21">
                  <c:v>27.3</c:v>
                </c:pt>
                <c:pt idx="22">
                  <c:v>27.3</c:v>
                </c:pt>
                <c:pt idx="23">
                  <c:v>27.4</c:v>
                </c:pt>
                <c:pt idx="24">
                  <c:v>27.6</c:v>
                </c:pt>
                <c:pt idx="25">
                  <c:v>28.6</c:v>
                </c:pt>
                <c:pt idx="26">
                  <c:v>28.6</c:v>
                </c:pt>
                <c:pt idx="27">
                  <c:v>29.3</c:v>
                </c:pt>
                <c:pt idx="28">
                  <c:v>29.7</c:v>
                </c:pt>
                <c:pt idx="29">
                  <c:v>29.7</c:v>
                </c:pt>
                <c:pt idx="30">
                  <c:v>29.7</c:v>
                </c:pt>
                <c:pt idx="31">
                  <c:v>29.8</c:v>
                </c:pt>
                <c:pt idx="32">
                  <c:v>30</c:v>
                </c:pt>
                <c:pt idx="33">
                  <c:v>30.1</c:v>
                </c:pt>
                <c:pt idx="34">
                  <c:v>30.1</c:v>
                </c:pt>
                <c:pt idx="35">
                  <c:v>30.2</c:v>
                </c:pt>
                <c:pt idx="36">
                  <c:v>30.3</c:v>
                </c:pt>
                <c:pt idx="37">
                  <c:v>30.5</c:v>
                </c:pt>
                <c:pt idx="38">
                  <c:v>30.6</c:v>
                </c:pt>
                <c:pt idx="39">
                  <c:v>30.7</c:v>
                </c:pt>
                <c:pt idx="40">
                  <c:v>31.2</c:v>
                </c:pt>
                <c:pt idx="41">
                  <c:v>31.3</c:v>
                </c:pt>
                <c:pt idx="42">
                  <c:v>31.5</c:v>
                </c:pt>
                <c:pt idx="43">
                  <c:v>31.9</c:v>
                </c:pt>
                <c:pt idx="44">
                  <c:v>32.5</c:v>
                </c:pt>
                <c:pt idx="45">
                  <c:v>32.5</c:v>
                </c:pt>
                <c:pt idx="46">
                  <c:v>32</c:v>
                </c:pt>
                <c:pt idx="47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34-4C40-9A28-3B614D546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998511"/>
        <c:axId val="1150000591"/>
      </c:scatterChart>
      <c:valAx>
        <c:axId val="114999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0000591"/>
        <c:crosses val="autoZero"/>
        <c:crossBetween val="midCat"/>
      </c:valAx>
      <c:valAx>
        <c:axId val="11500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4999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'FP3'!$N$1</c:f>
              <c:strCache>
                <c:ptCount val="1"/>
                <c:pt idx="0">
                  <c:v>DELTA_AMB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'FP3'!$B$2:$B$66</c:f>
              <c:numCache>
                <c:formatCode>[$-F400]h:mm:ss\ AM/PM</c:formatCode>
                <c:ptCount val="65"/>
                <c:pt idx="0">
                  <c:v>0.58333333333333337</c:v>
                </c:pt>
                <c:pt idx="1">
                  <c:v>0.58402777777777781</c:v>
                </c:pt>
                <c:pt idx="2">
                  <c:v>0.58472222222222225</c:v>
                </c:pt>
                <c:pt idx="3">
                  <c:v>0.5854166666666667</c:v>
                </c:pt>
                <c:pt idx="4">
                  <c:v>0.58680555555555558</c:v>
                </c:pt>
                <c:pt idx="5">
                  <c:v>0.58819444444444446</c:v>
                </c:pt>
                <c:pt idx="6">
                  <c:v>0.58888888888888891</c:v>
                </c:pt>
                <c:pt idx="7">
                  <c:v>0.58958333333333335</c:v>
                </c:pt>
                <c:pt idx="8">
                  <c:v>0.59027777777777779</c:v>
                </c:pt>
                <c:pt idx="9">
                  <c:v>0.59097222222222223</c:v>
                </c:pt>
                <c:pt idx="10">
                  <c:v>0.59166666666666667</c:v>
                </c:pt>
                <c:pt idx="11">
                  <c:v>0.59236111111111112</c:v>
                </c:pt>
                <c:pt idx="12">
                  <c:v>0.59305555555555556</c:v>
                </c:pt>
                <c:pt idx="13">
                  <c:v>0.59375</c:v>
                </c:pt>
                <c:pt idx="14">
                  <c:v>0.59444444444444444</c:v>
                </c:pt>
                <c:pt idx="15">
                  <c:v>0.59513888888888888</c:v>
                </c:pt>
                <c:pt idx="16">
                  <c:v>0.59652777777777777</c:v>
                </c:pt>
                <c:pt idx="17">
                  <c:v>0.59722222222222221</c:v>
                </c:pt>
                <c:pt idx="18">
                  <c:v>0.59791666666666665</c:v>
                </c:pt>
                <c:pt idx="19">
                  <c:v>0.59861111111111109</c:v>
                </c:pt>
                <c:pt idx="20">
                  <c:v>0.59930555555555554</c:v>
                </c:pt>
                <c:pt idx="21">
                  <c:v>0.6</c:v>
                </c:pt>
                <c:pt idx="22">
                  <c:v>0.60069444444444442</c:v>
                </c:pt>
                <c:pt idx="23">
                  <c:v>0.60138888888888886</c:v>
                </c:pt>
                <c:pt idx="24">
                  <c:v>0.6020833333333333</c:v>
                </c:pt>
                <c:pt idx="25">
                  <c:v>0.60277777777777775</c:v>
                </c:pt>
                <c:pt idx="26">
                  <c:v>0.60347222222222219</c:v>
                </c:pt>
                <c:pt idx="27">
                  <c:v>0.60416666666666663</c:v>
                </c:pt>
                <c:pt idx="28">
                  <c:v>0.60486111111111107</c:v>
                </c:pt>
                <c:pt idx="29">
                  <c:v>0.60555555555555551</c:v>
                </c:pt>
                <c:pt idx="30">
                  <c:v>0.60624999999999996</c:v>
                </c:pt>
                <c:pt idx="31">
                  <c:v>0.60833333333333328</c:v>
                </c:pt>
                <c:pt idx="32">
                  <c:v>0.60902777777777772</c:v>
                </c:pt>
                <c:pt idx="33">
                  <c:v>0.60972222222222228</c:v>
                </c:pt>
                <c:pt idx="34">
                  <c:v>0.61041666666666672</c:v>
                </c:pt>
                <c:pt idx="35">
                  <c:v>0.61111111111111116</c:v>
                </c:pt>
                <c:pt idx="36">
                  <c:v>0.6118055555555556</c:v>
                </c:pt>
                <c:pt idx="37">
                  <c:v>0.61250000000000004</c:v>
                </c:pt>
                <c:pt idx="38">
                  <c:v>0.61319444444444449</c:v>
                </c:pt>
                <c:pt idx="39">
                  <c:v>0.61388888888888893</c:v>
                </c:pt>
                <c:pt idx="40">
                  <c:v>0.61458333333333337</c:v>
                </c:pt>
                <c:pt idx="41">
                  <c:v>0.61527777777777781</c:v>
                </c:pt>
                <c:pt idx="42">
                  <c:v>0.61597222222222225</c:v>
                </c:pt>
                <c:pt idx="43">
                  <c:v>0.6166666666666667</c:v>
                </c:pt>
                <c:pt idx="44">
                  <c:v>0.61736111111111114</c:v>
                </c:pt>
                <c:pt idx="45">
                  <c:v>0.61805555555555558</c:v>
                </c:pt>
                <c:pt idx="46">
                  <c:v>0.61875000000000002</c:v>
                </c:pt>
                <c:pt idx="47">
                  <c:v>0.61944444444444446</c:v>
                </c:pt>
                <c:pt idx="48">
                  <c:v>0.62013888888888891</c:v>
                </c:pt>
                <c:pt idx="49">
                  <c:v>0.62083333333333335</c:v>
                </c:pt>
                <c:pt idx="50">
                  <c:v>0.62152777777777779</c:v>
                </c:pt>
                <c:pt idx="51">
                  <c:v>0.62222222222222223</c:v>
                </c:pt>
                <c:pt idx="52">
                  <c:v>0.62291666666666667</c:v>
                </c:pt>
                <c:pt idx="53">
                  <c:v>0.62361111111111112</c:v>
                </c:pt>
                <c:pt idx="54">
                  <c:v>0.62430555555555556</c:v>
                </c:pt>
                <c:pt idx="55">
                  <c:v>0.625</c:v>
                </c:pt>
                <c:pt idx="56">
                  <c:v>0.62569444444444444</c:v>
                </c:pt>
                <c:pt idx="57">
                  <c:v>0.62638888888888888</c:v>
                </c:pt>
                <c:pt idx="58">
                  <c:v>0.62708333333333333</c:v>
                </c:pt>
                <c:pt idx="59">
                  <c:v>0.62847222222222221</c:v>
                </c:pt>
                <c:pt idx="60">
                  <c:v>0.62916666666666665</c:v>
                </c:pt>
                <c:pt idx="61">
                  <c:v>0.62986111111111109</c:v>
                </c:pt>
                <c:pt idx="62">
                  <c:v>0.63055555555555554</c:v>
                </c:pt>
                <c:pt idx="63">
                  <c:v>0.63124999999999998</c:v>
                </c:pt>
                <c:pt idx="64">
                  <c:v>0.63194444444444442</c:v>
                </c:pt>
              </c:numCache>
            </c:numRef>
          </c:xVal>
          <c:yVal>
            <c:numRef>
              <c:f>'FP3'!$N$2:$N$66</c:f>
              <c:numCache>
                <c:formatCode>General</c:formatCode>
                <c:ptCount val="65"/>
                <c:pt idx="0">
                  <c:v>2.3999999999999986</c:v>
                </c:pt>
                <c:pt idx="1">
                  <c:v>3.5000000000000036</c:v>
                </c:pt>
                <c:pt idx="2">
                  <c:v>5.1000000000000014</c:v>
                </c:pt>
                <c:pt idx="3">
                  <c:v>6</c:v>
                </c:pt>
                <c:pt idx="4">
                  <c:v>6.7000000000000028</c:v>
                </c:pt>
                <c:pt idx="5">
                  <c:v>7.1999999999999957</c:v>
                </c:pt>
                <c:pt idx="6">
                  <c:v>7.5</c:v>
                </c:pt>
                <c:pt idx="7">
                  <c:v>8.1999999999999957</c:v>
                </c:pt>
                <c:pt idx="8">
                  <c:v>8.3999999999999986</c:v>
                </c:pt>
                <c:pt idx="9">
                  <c:v>8.8999999999999986</c:v>
                </c:pt>
                <c:pt idx="10">
                  <c:v>8.8999999999999986</c:v>
                </c:pt>
                <c:pt idx="11">
                  <c:v>9</c:v>
                </c:pt>
                <c:pt idx="12">
                  <c:v>8.8999999999999986</c:v>
                </c:pt>
                <c:pt idx="13">
                  <c:v>6.5</c:v>
                </c:pt>
                <c:pt idx="14">
                  <c:v>6.3000000000000043</c:v>
                </c:pt>
                <c:pt idx="15">
                  <c:v>6.5</c:v>
                </c:pt>
                <c:pt idx="16">
                  <c:v>5.8999999999999986</c:v>
                </c:pt>
                <c:pt idx="17">
                  <c:v>5.7999999999999972</c:v>
                </c:pt>
                <c:pt idx="18">
                  <c:v>6.6000000000000014</c:v>
                </c:pt>
                <c:pt idx="19">
                  <c:v>6.8999999999999986</c:v>
                </c:pt>
                <c:pt idx="20">
                  <c:v>6.6000000000000014</c:v>
                </c:pt>
                <c:pt idx="21">
                  <c:v>6.7000000000000028</c:v>
                </c:pt>
                <c:pt idx="22">
                  <c:v>6.6000000000000014</c:v>
                </c:pt>
                <c:pt idx="23">
                  <c:v>6.5999999999999943</c:v>
                </c:pt>
                <c:pt idx="24">
                  <c:v>6.3000000000000043</c:v>
                </c:pt>
                <c:pt idx="25">
                  <c:v>6.5</c:v>
                </c:pt>
                <c:pt idx="26">
                  <c:v>6.6999999999999957</c:v>
                </c:pt>
                <c:pt idx="27">
                  <c:v>6.8000000000000043</c:v>
                </c:pt>
                <c:pt idx="28">
                  <c:v>7.4000000000000057</c:v>
                </c:pt>
                <c:pt idx="29">
                  <c:v>6.8000000000000043</c:v>
                </c:pt>
                <c:pt idx="30">
                  <c:v>6.5</c:v>
                </c:pt>
                <c:pt idx="31">
                  <c:v>6.1000000000000014</c:v>
                </c:pt>
                <c:pt idx="32">
                  <c:v>6.2000000000000028</c:v>
                </c:pt>
                <c:pt idx="33">
                  <c:v>8</c:v>
                </c:pt>
                <c:pt idx="34">
                  <c:v>9.2000000000000028</c:v>
                </c:pt>
                <c:pt idx="35">
                  <c:v>9.8999999999999986</c:v>
                </c:pt>
                <c:pt idx="36">
                  <c:v>9.8000000000000043</c:v>
                </c:pt>
                <c:pt idx="37">
                  <c:v>9.8999999999999986</c:v>
                </c:pt>
                <c:pt idx="38">
                  <c:v>10.300000000000004</c:v>
                </c:pt>
                <c:pt idx="39">
                  <c:v>10.700000000000003</c:v>
                </c:pt>
                <c:pt idx="40">
                  <c:v>10.899999999999999</c:v>
                </c:pt>
                <c:pt idx="41">
                  <c:v>11</c:v>
                </c:pt>
                <c:pt idx="42">
                  <c:v>10.899999999999999</c:v>
                </c:pt>
                <c:pt idx="43">
                  <c:v>11.100000000000001</c:v>
                </c:pt>
                <c:pt idx="44">
                  <c:v>10.800000000000004</c:v>
                </c:pt>
                <c:pt idx="45">
                  <c:v>10.699999999999996</c:v>
                </c:pt>
                <c:pt idx="46">
                  <c:v>10.799999999999997</c:v>
                </c:pt>
                <c:pt idx="47">
                  <c:v>10.700000000000003</c:v>
                </c:pt>
                <c:pt idx="48">
                  <c:v>10.5</c:v>
                </c:pt>
                <c:pt idx="49">
                  <c:v>10.600000000000001</c:v>
                </c:pt>
                <c:pt idx="50">
                  <c:v>10.5</c:v>
                </c:pt>
                <c:pt idx="51">
                  <c:v>10.200000000000003</c:v>
                </c:pt>
                <c:pt idx="52">
                  <c:v>10.199999999999996</c:v>
                </c:pt>
                <c:pt idx="53">
                  <c:v>10</c:v>
                </c:pt>
                <c:pt idx="54">
                  <c:v>10</c:v>
                </c:pt>
                <c:pt idx="55">
                  <c:v>8.6000000000000014</c:v>
                </c:pt>
                <c:pt idx="56">
                  <c:v>9.5</c:v>
                </c:pt>
                <c:pt idx="57">
                  <c:v>10</c:v>
                </c:pt>
                <c:pt idx="58">
                  <c:v>10.399999999999999</c:v>
                </c:pt>
                <c:pt idx="59">
                  <c:v>11.299999999999997</c:v>
                </c:pt>
                <c:pt idx="60">
                  <c:v>11</c:v>
                </c:pt>
                <c:pt idx="61">
                  <c:v>11.100000000000001</c:v>
                </c:pt>
                <c:pt idx="62">
                  <c:v>11.100000000000001</c:v>
                </c:pt>
                <c:pt idx="63">
                  <c:v>10.399999999999999</c:v>
                </c:pt>
                <c:pt idx="64">
                  <c:v>9.7999999999999972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99-4DA8-90B3-CB535C111475}"/>
            </c:ext>
          </c:extLst>
        </c:ser>
        <c:ser>
          <c:idx val="1"/>
          <c:order val="1"/>
          <c:tx>
            <c:strRef>
              <c:f>'FP3'!$C$1</c:f>
              <c:strCache>
                <c:ptCount val="1"/>
                <c:pt idx="0">
                  <c:v>Air Temperature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'FP3'!$B$2:$B$66</c:f>
              <c:numCache>
                <c:formatCode>[$-F400]h:mm:ss\ AM/PM</c:formatCode>
                <c:ptCount val="65"/>
                <c:pt idx="0">
                  <c:v>0.58333333333333337</c:v>
                </c:pt>
                <c:pt idx="1">
                  <c:v>0.58402777777777781</c:v>
                </c:pt>
                <c:pt idx="2">
                  <c:v>0.58472222222222225</c:v>
                </c:pt>
                <c:pt idx="3">
                  <c:v>0.5854166666666667</c:v>
                </c:pt>
                <c:pt idx="4">
                  <c:v>0.58680555555555558</c:v>
                </c:pt>
                <c:pt idx="5">
                  <c:v>0.58819444444444446</c:v>
                </c:pt>
                <c:pt idx="6">
                  <c:v>0.58888888888888891</c:v>
                </c:pt>
                <c:pt idx="7">
                  <c:v>0.58958333333333335</c:v>
                </c:pt>
                <c:pt idx="8">
                  <c:v>0.59027777777777779</c:v>
                </c:pt>
                <c:pt idx="9">
                  <c:v>0.59097222222222223</c:v>
                </c:pt>
                <c:pt idx="10">
                  <c:v>0.59166666666666667</c:v>
                </c:pt>
                <c:pt idx="11">
                  <c:v>0.59236111111111112</c:v>
                </c:pt>
                <c:pt idx="12">
                  <c:v>0.59305555555555556</c:v>
                </c:pt>
                <c:pt idx="13">
                  <c:v>0.59375</c:v>
                </c:pt>
                <c:pt idx="14">
                  <c:v>0.59444444444444444</c:v>
                </c:pt>
                <c:pt idx="15">
                  <c:v>0.59513888888888888</c:v>
                </c:pt>
                <c:pt idx="16">
                  <c:v>0.59652777777777777</c:v>
                </c:pt>
                <c:pt idx="17">
                  <c:v>0.59722222222222221</c:v>
                </c:pt>
                <c:pt idx="18">
                  <c:v>0.59791666666666665</c:v>
                </c:pt>
                <c:pt idx="19">
                  <c:v>0.59861111111111109</c:v>
                </c:pt>
                <c:pt idx="20">
                  <c:v>0.59930555555555554</c:v>
                </c:pt>
                <c:pt idx="21">
                  <c:v>0.6</c:v>
                </c:pt>
                <c:pt idx="22">
                  <c:v>0.60069444444444442</c:v>
                </c:pt>
                <c:pt idx="23">
                  <c:v>0.60138888888888886</c:v>
                </c:pt>
                <c:pt idx="24">
                  <c:v>0.6020833333333333</c:v>
                </c:pt>
                <c:pt idx="25">
                  <c:v>0.60277777777777775</c:v>
                </c:pt>
                <c:pt idx="26">
                  <c:v>0.60347222222222219</c:v>
                </c:pt>
                <c:pt idx="27">
                  <c:v>0.60416666666666663</c:v>
                </c:pt>
                <c:pt idx="28">
                  <c:v>0.60486111111111107</c:v>
                </c:pt>
                <c:pt idx="29">
                  <c:v>0.60555555555555551</c:v>
                </c:pt>
                <c:pt idx="30">
                  <c:v>0.60624999999999996</c:v>
                </c:pt>
                <c:pt idx="31">
                  <c:v>0.60833333333333328</c:v>
                </c:pt>
                <c:pt idx="32">
                  <c:v>0.60902777777777772</c:v>
                </c:pt>
                <c:pt idx="33">
                  <c:v>0.60972222222222228</c:v>
                </c:pt>
                <c:pt idx="34">
                  <c:v>0.61041666666666672</c:v>
                </c:pt>
                <c:pt idx="35">
                  <c:v>0.61111111111111116</c:v>
                </c:pt>
                <c:pt idx="36">
                  <c:v>0.6118055555555556</c:v>
                </c:pt>
                <c:pt idx="37">
                  <c:v>0.61250000000000004</c:v>
                </c:pt>
                <c:pt idx="38">
                  <c:v>0.61319444444444449</c:v>
                </c:pt>
                <c:pt idx="39">
                  <c:v>0.61388888888888893</c:v>
                </c:pt>
                <c:pt idx="40">
                  <c:v>0.61458333333333337</c:v>
                </c:pt>
                <c:pt idx="41">
                  <c:v>0.61527777777777781</c:v>
                </c:pt>
                <c:pt idx="42">
                  <c:v>0.61597222222222225</c:v>
                </c:pt>
                <c:pt idx="43">
                  <c:v>0.6166666666666667</c:v>
                </c:pt>
                <c:pt idx="44">
                  <c:v>0.61736111111111114</c:v>
                </c:pt>
                <c:pt idx="45">
                  <c:v>0.61805555555555558</c:v>
                </c:pt>
                <c:pt idx="46">
                  <c:v>0.61875000000000002</c:v>
                </c:pt>
                <c:pt idx="47">
                  <c:v>0.61944444444444446</c:v>
                </c:pt>
                <c:pt idx="48">
                  <c:v>0.62013888888888891</c:v>
                </c:pt>
                <c:pt idx="49">
                  <c:v>0.62083333333333335</c:v>
                </c:pt>
                <c:pt idx="50">
                  <c:v>0.62152777777777779</c:v>
                </c:pt>
                <c:pt idx="51">
                  <c:v>0.62222222222222223</c:v>
                </c:pt>
                <c:pt idx="52">
                  <c:v>0.62291666666666667</c:v>
                </c:pt>
                <c:pt idx="53">
                  <c:v>0.62361111111111112</c:v>
                </c:pt>
                <c:pt idx="54">
                  <c:v>0.62430555555555556</c:v>
                </c:pt>
                <c:pt idx="55">
                  <c:v>0.625</c:v>
                </c:pt>
                <c:pt idx="56">
                  <c:v>0.62569444444444444</c:v>
                </c:pt>
                <c:pt idx="57">
                  <c:v>0.62638888888888888</c:v>
                </c:pt>
                <c:pt idx="58">
                  <c:v>0.62708333333333333</c:v>
                </c:pt>
                <c:pt idx="59">
                  <c:v>0.62847222222222221</c:v>
                </c:pt>
                <c:pt idx="60">
                  <c:v>0.62916666666666665</c:v>
                </c:pt>
                <c:pt idx="61">
                  <c:v>0.62986111111111109</c:v>
                </c:pt>
                <c:pt idx="62">
                  <c:v>0.63055555555555554</c:v>
                </c:pt>
                <c:pt idx="63">
                  <c:v>0.63124999999999998</c:v>
                </c:pt>
                <c:pt idx="64">
                  <c:v>0.63194444444444442</c:v>
                </c:pt>
              </c:numCache>
            </c:numRef>
          </c:xVal>
          <c:yVal>
            <c:numRef>
              <c:f>'FP3'!$C$2:$C$66</c:f>
              <c:numCache>
                <c:formatCode>General</c:formatCode>
                <c:ptCount val="65"/>
                <c:pt idx="0">
                  <c:v>31.5</c:v>
                </c:pt>
                <c:pt idx="1">
                  <c:v>31.7</c:v>
                </c:pt>
                <c:pt idx="2">
                  <c:v>32</c:v>
                </c:pt>
                <c:pt idx="3">
                  <c:v>32</c:v>
                </c:pt>
                <c:pt idx="4">
                  <c:v>32.5</c:v>
                </c:pt>
                <c:pt idx="5">
                  <c:v>32.700000000000003</c:v>
                </c:pt>
                <c:pt idx="6">
                  <c:v>32.700000000000003</c:v>
                </c:pt>
                <c:pt idx="7">
                  <c:v>32.700000000000003</c:v>
                </c:pt>
                <c:pt idx="8">
                  <c:v>32.700000000000003</c:v>
                </c:pt>
                <c:pt idx="9">
                  <c:v>32.5</c:v>
                </c:pt>
                <c:pt idx="10">
                  <c:v>32.5</c:v>
                </c:pt>
                <c:pt idx="11">
                  <c:v>32.6</c:v>
                </c:pt>
                <c:pt idx="12">
                  <c:v>32.6</c:v>
                </c:pt>
                <c:pt idx="13">
                  <c:v>32.4</c:v>
                </c:pt>
                <c:pt idx="14">
                  <c:v>32.4</c:v>
                </c:pt>
                <c:pt idx="15">
                  <c:v>32.4</c:v>
                </c:pt>
                <c:pt idx="16">
                  <c:v>32.6</c:v>
                </c:pt>
                <c:pt idx="17">
                  <c:v>32.6</c:v>
                </c:pt>
                <c:pt idx="18">
                  <c:v>32.4</c:v>
                </c:pt>
                <c:pt idx="19">
                  <c:v>32.5</c:v>
                </c:pt>
                <c:pt idx="20">
                  <c:v>32.799999999999997</c:v>
                </c:pt>
                <c:pt idx="21">
                  <c:v>32.9</c:v>
                </c:pt>
                <c:pt idx="22">
                  <c:v>33</c:v>
                </c:pt>
                <c:pt idx="23">
                  <c:v>33.200000000000003</c:v>
                </c:pt>
                <c:pt idx="24">
                  <c:v>33.299999999999997</c:v>
                </c:pt>
                <c:pt idx="25">
                  <c:v>33.200000000000003</c:v>
                </c:pt>
                <c:pt idx="26">
                  <c:v>33.1</c:v>
                </c:pt>
                <c:pt idx="27">
                  <c:v>32.9</c:v>
                </c:pt>
                <c:pt idx="28">
                  <c:v>32.799999999999997</c:v>
                </c:pt>
                <c:pt idx="29">
                  <c:v>32.799999999999997</c:v>
                </c:pt>
                <c:pt idx="30">
                  <c:v>32.700000000000003</c:v>
                </c:pt>
                <c:pt idx="31">
                  <c:v>32.9</c:v>
                </c:pt>
                <c:pt idx="32">
                  <c:v>33</c:v>
                </c:pt>
                <c:pt idx="33">
                  <c:v>33</c:v>
                </c:pt>
                <c:pt idx="34">
                  <c:v>32.799999999999997</c:v>
                </c:pt>
                <c:pt idx="35">
                  <c:v>32.6</c:v>
                </c:pt>
                <c:pt idx="36">
                  <c:v>32.9</c:v>
                </c:pt>
                <c:pt idx="37">
                  <c:v>33</c:v>
                </c:pt>
                <c:pt idx="38">
                  <c:v>32.799999999999997</c:v>
                </c:pt>
                <c:pt idx="39">
                  <c:v>32.5</c:v>
                </c:pt>
                <c:pt idx="40">
                  <c:v>32.6</c:v>
                </c:pt>
                <c:pt idx="41">
                  <c:v>32.5</c:v>
                </c:pt>
                <c:pt idx="42">
                  <c:v>32.6</c:v>
                </c:pt>
                <c:pt idx="43">
                  <c:v>32.4</c:v>
                </c:pt>
                <c:pt idx="44">
                  <c:v>32.4</c:v>
                </c:pt>
                <c:pt idx="45">
                  <c:v>32.6</c:v>
                </c:pt>
                <c:pt idx="46">
                  <c:v>32.5</c:v>
                </c:pt>
                <c:pt idx="47">
                  <c:v>32.5</c:v>
                </c:pt>
                <c:pt idx="48">
                  <c:v>32.700000000000003</c:v>
                </c:pt>
                <c:pt idx="49">
                  <c:v>32.6</c:v>
                </c:pt>
                <c:pt idx="50">
                  <c:v>32.700000000000003</c:v>
                </c:pt>
                <c:pt idx="51">
                  <c:v>33</c:v>
                </c:pt>
                <c:pt idx="52">
                  <c:v>33.1</c:v>
                </c:pt>
                <c:pt idx="53">
                  <c:v>33.299999999999997</c:v>
                </c:pt>
                <c:pt idx="54">
                  <c:v>33.1</c:v>
                </c:pt>
                <c:pt idx="55">
                  <c:v>32.9</c:v>
                </c:pt>
                <c:pt idx="56">
                  <c:v>32.9</c:v>
                </c:pt>
                <c:pt idx="57">
                  <c:v>32.799999999999997</c:v>
                </c:pt>
                <c:pt idx="58">
                  <c:v>32.6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32.1</c:v>
                </c:pt>
                <c:pt idx="62">
                  <c:v>32</c:v>
                </c:pt>
                <c:pt idx="63">
                  <c:v>31.9</c:v>
                </c:pt>
                <c:pt idx="64">
                  <c:v>32.1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99-4DA8-90B3-CB535C111475}"/>
            </c:ext>
          </c:extLst>
        </c:ser>
        <c:ser>
          <c:idx val="2"/>
          <c:order val="2"/>
          <c:tx>
            <c:strRef>
              <c:f>'FP3'!$L$1</c:f>
              <c:strCache>
                <c:ptCount val="1"/>
                <c:pt idx="0">
                  <c:v>FIA_TCockpit[  ï¿]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'FP3'!$B$2:$B$66</c:f>
              <c:numCache>
                <c:formatCode>[$-F400]h:mm:ss\ AM/PM</c:formatCode>
                <c:ptCount val="65"/>
                <c:pt idx="0">
                  <c:v>0.58333333333333337</c:v>
                </c:pt>
                <c:pt idx="1">
                  <c:v>0.58402777777777781</c:v>
                </c:pt>
                <c:pt idx="2">
                  <c:v>0.58472222222222225</c:v>
                </c:pt>
                <c:pt idx="3">
                  <c:v>0.5854166666666667</c:v>
                </c:pt>
                <c:pt idx="4">
                  <c:v>0.58680555555555558</c:v>
                </c:pt>
                <c:pt idx="5">
                  <c:v>0.58819444444444446</c:v>
                </c:pt>
                <c:pt idx="6">
                  <c:v>0.58888888888888891</c:v>
                </c:pt>
                <c:pt idx="7">
                  <c:v>0.58958333333333335</c:v>
                </c:pt>
                <c:pt idx="8">
                  <c:v>0.59027777777777779</c:v>
                </c:pt>
                <c:pt idx="9">
                  <c:v>0.59097222222222223</c:v>
                </c:pt>
                <c:pt idx="10">
                  <c:v>0.59166666666666667</c:v>
                </c:pt>
                <c:pt idx="11">
                  <c:v>0.59236111111111112</c:v>
                </c:pt>
                <c:pt idx="12">
                  <c:v>0.59305555555555556</c:v>
                </c:pt>
                <c:pt idx="13">
                  <c:v>0.59375</c:v>
                </c:pt>
                <c:pt idx="14">
                  <c:v>0.59444444444444444</c:v>
                </c:pt>
                <c:pt idx="15">
                  <c:v>0.59513888888888888</c:v>
                </c:pt>
                <c:pt idx="16">
                  <c:v>0.59652777777777777</c:v>
                </c:pt>
                <c:pt idx="17">
                  <c:v>0.59722222222222221</c:v>
                </c:pt>
                <c:pt idx="18">
                  <c:v>0.59791666666666665</c:v>
                </c:pt>
                <c:pt idx="19">
                  <c:v>0.59861111111111109</c:v>
                </c:pt>
                <c:pt idx="20">
                  <c:v>0.59930555555555554</c:v>
                </c:pt>
                <c:pt idx="21">
                  <c:v>0.6</c:v>
                </c:pt>
                <c:pt idx="22">
                  <c:v>0.60069444444444442</c:v>
                </c:pt>
                <c:pt idx="23">
                  <c:v>0.60138888888888886</c:v>
                </c:pt>
                <c:pt idx="24">
                  <c:v>0.6020833333333333</c:v>
                </c:pt>
                <c:pt idx="25">
                  <c:v>0.60277777777777775</c:v>
                </c:pt>
                <c:pt idx="26">
                  <c:v>0.60347222222222219</c:v>
                </c:pt>
                <c:pt idx="27">
                  <c:v>0.60416666666666663</c:v>
                </c:pt>
                <c:pt idx="28">
                  <c:v>0.60486111111111107</c:v>
                </c:pt>
                <c:pt idx="29">
                  <c:v>0.60555555555555551</c:v>
                </c:pt>
                <c:pt idx="30">
                  <c:v>0.60624999999999996</c:v>
                </c:pt>
                <c:pt idx="31">
                  <c:v>0.60833333333333328</c:v>
                </c:pt>
                <c:pt idx="32">
                  <c:v>0.60902777777777772</c:v>
                </c:pt>
                <c:pt idx="33">
                  <c:v>0.60972222222222228</c:v>
                </c:pt>
                <c:pt idx="34">
                  <c:v>0.61041666666666672</c:v>
                </c:pt>
                <c:pt idx="35">
                  <c:v>0.61111111111111116</c:v>
                </c:pt>
                <c:pt idx="36">
                  <c:v>0.6118055555555556</c:v>
                </c:pt>
                <c:pt idx="37">
                  <c:v>0.61250000000000004</c:v>
                </c:pt>
                <c:pt idx="38">
                  <c:v>0.61319444444444449</c:v>
                </c:pt>
                <c:pt idx="39">
                  <c:v>0.61388888888888893</c:v>
                </c:pt>
                <c:pt idx="40">
                  <c:v>0.61458333333333337</c:v>
                </c:pt>
                <c:pt idx="41">
                  <c:v>0.61527777777777781</c:v>
                </c:pt>
                <c:pt idx="42">
                  <c:v>0.61597222222222225</c:v>
                </c:pt>
                <c:pt idx="43">
                  <c:v>0.6166666666666667</c:v>
                </c:pt>
                <c:pt idx="44">
                  <c:v>0.61736111111111114</c:v>
                </c:pt>
                <c:pt idx="45">
                  <c:v>0.61805555555555558</c:v>
                </c:pt>
                <c:pt idx="46">
                  <c:v>0.61875000000000002</c:v>
                </c:pt>
                <c:pt idx="47">
                  <c:v>0.61944444444444446</c:v>
                </c:pt>
                <c:pt idx="48">
                  <c:v>0.62013888888888891</c:v>
                </c:pt>
                <c:pt idx="49">
                  <c:v>0.62083333333333335</c:v>
                </c:pt>
                <c:pt idx="50">
                  <c:v>0.62152777777777779</c:v>
                </c:pt>
                <c:pt idx="51">
                  <c:v>0.62222222222222223</c:v>
                </c:pt>
                <c:pt idx="52">
                  <c:v>0.62291666666666667</c:v>
                </c:pt>
                <c:pt idx="53">
                  <c:v>0.62361111111111112</c:v>
                </c:pt>
                <c:pt idx="54">
                  <c:v>0.62430555555555556</c:v>
                </c:pt>
                <c:pt idx="55">
                  <c:v>0.625</c:v>
                </c:pt>
                <c:pt idx="56">
                  <c:v>0.62569444444444444</c:v>
                </c:pt>
                <c:pt idx="57">
                  <c:v>0.62638888888888888</c:v>
                </c:pt>
                <c:pt idx="58">
                  <c:v>0.62708333333333333</c:v>
                </c:pt>
                <c:pt idx="59">
                  <c:v>0.62847222222222221</c:v>
                </c:pt>
                <c:pt idx="60">
                  <c:v>0.62916666666666665</c:v>
                </c:pt>
                <c:pt idx="61">
                  <c:v>0.62986111111111109</c:v>
                </c:pt>
                <c:pt idx="62">
                  <c:v>0.63055555555555554</c:v>
                </c:pt>
                <c:pt idx="63">
                  <c:v>0.63124999999999998</c:v>
                </c:pt>
                <c:pt idx="64">
                  <c:v>0.63194444444444442</c:v>
                </c:pt>
              </c:numCache>
            </c:numRef>
          </c:xVal>
          <c:yVal>
            <c:numRef>
              <c:f>'FP3'!$L$2:$L$66</c:f>
              <c:numCache>
                <c:formatCode>General</c:formatCode>
                <c:ptCount val="65"/>
                <c:pt idx="0">
                  <c:v>33.9</c:v>
                </c:pt>
                <c:pt idx="1">
                  <c:v>35.200000000000003</c:v>
                </c:pt>
                <c:pt idx="2">
                  <c:v>37.1</c:v>
                </c:pt>
                <c:pt idx="3">
                  <c:v>38</c:v>
                </c:pt>
                <c:pt idx="4">
                  <c:v>39.200000000000003</c:v>
                </c:pt>
                <c:pt idx="5">
                  <c:v>39.9</c:v>
                </c:pt>
                <c:pt idx="6">
                  <c:v>40.200000000000003</c:v>
                </c:pt>
                <c:pt idx="7">
                  <c:v>40.9</c:v>
                </c:pt>
                <c:pt idx="8">
                  <c:v>41.1</c:v>
                </c:pt>
                <c:pt idx="9">
                  <c:v>41.4</c:v>
                </c:pt>
                <c:pt idx="10">
                  <c:v>41.4</c:v>
                </c:pt>
                <c:pt idx="11">
                  <c:v>41.6</c:v>
                </c:pt>
                <c:pt idx="12">
                  <c:v>41.5</c:v>
                </c:pt>
                <c:pt idx="13">
                  <c:v>38.9</c:v>
                </c:pt>
                <c:pt idx="14">
                  <c:v>38.700000000000003</c:v>
                </c:pt>
                <c:pt idx="15">
                  <c:v>38.9</c:v>
                </c:pt>
                <c:pt idx="16">
                  <c:v>38.5</c:v>
                </c:pt>
                <c:pt idx="17">
                  <c:v>38.4</c:v>
                </c:pt>
                <c:pt idx="18">
                  <c:v>39</c:v>
                </c:pt>
                <c:pt idx="19">
                  <c:v>39.4</c:v>
                </c:pt>
                <c:pt idx="20">
                  <c:v>39.4</c:v>
                </c:pt>
                <c:pt idx="21">
                  <c:v>39.6</c:v>
                </c:pt>
                <c:pt idx="22">
                  <c:v>39.6</c:v>
                </c:pt>
                <c:pt idx="23">
                  <c:v>39.799999999999997</c:v>
                </c:pt>
                <c:pt idx="24">
                  <c:v>39.6</c:v>
                </c:pt>
                <c:pt idx="25">
                  <c:v>39.700000000000003</c:v>
                </c:pt>
                <c:pt idx="26">
                  <c:v>39.799999999999997</c:v>
                </c:pt>
                <c:pt idx="27">
                  <c:v>39.700000000000003</c:v>
                </c:pt>
                <c:pt idx="28">
                  <c:v>40.200000000000003</c:v>
                </c:pt>
                <c:pt idx="29">
                  <c:v>39.6</c:v>
                </c:pt>
                <c:pt idx="30">
                  <c:v>39.200000000000003</c:v>
                </c:pt>
                <c:pt idx="31">
                  <c:v>39</c:v>
                </c:pt>
                <c:pt idx="32">
                  <c:v>39.200000000000003</c:v>
                </c:pt>
                <c:pt idx="33">
                  <c:v>41</c:v>
                </c:pt>
                <c:pt idx="34">
                  <c:v>42</c:v>
                </c:pt>
                <c:pt idx="35">
                  <c:v>42.5</c:v>
                </c:pt>
                <c:pt idx="36">
                  <c:v>42.7</c:v>
                </c:pt>
                <c:pt idx="37">
                  <c:v>42.9</c:v>
                </c:pt>
                <c:pt idx="38">
                  <c:v>43.1</c:v>
                </c:pt>
                <c:pt idx="39">
                  <c:v>43.2</c:v>
                </c:pt>
                <c:pt idx="40">
                  <c:v>43.5</c:v>
                </c:pt>
                <c:pt idx="41">
                  <c:v>43.5</c:v>
                </c:pt>
                <c:pt idx="42">
                  <c:v>43.5</c:v>
                </c:pt>
                <c:pt idx="43">
                  <c:v>43.5</c:v>
                </c:pt>
                <c:pt idx="44">
                  <c:v>43.2</c:v>
                </c:pt>
                <c:pt idx="45">
                  <c:v>43.3</c:v>
                </c:pt>
                <c:pt idx="46">
                  <c:v>43.3</c:v>
                </c:pt>
                <c:pt idx="47">
                  <c:v>43.2</c:v>
                </c:pt>
                <c:pt idx="48">
                  <c:v>43.2</c:v>
                </c:pt>
                <c:pt idx="49">
                  <c:v>43.2</c:v>
                </c:pt>
                <c:pt idx="50">
                  <c:v>43.2</c:v>
                </c:pt>
                <c:pt idx="51">
                  <c:v>43.2</c:v>
                </c:pt>
                <c:pt idx="52">
                  <c:v>43.3</c:v>
                </c:pt>
                <c:pt idx="53">
                  <c:v>43.3</c:v>
                </c:pt>
                <c:pt idx="54">
                  <c:v>43.1</c:v>
                </c:pt>
                <c:pt idx="55">
                  <c:v>41.5</c:v>
                </c:pt>
                <c:pt idx="56">
                  <c:v>42.4</c:v>
                </c:pt>
                <c:pt idx="57">
                  <c:v>42.8</c:v>
                </c:pt>
                <c:pt idx="58">
                  <c:v>43</c:v>
                </c:pt>
                <c:pt idx="59">
                  <c:v>43.5</c:v>
                </c:pt>
                <c:pt idx="60">
                  <c:v>43.3</c:v>
                </c:pt>
                <c:pt idx="61">
                  <c:v>43.2</c:v>
                </c:pt>
                <c:pt idx="62">
                  <c:v>43.1</c:v>
                </c:pt>
                <c:pt idx="63">
                  <c:v>42.3</c:v>
                </c:pt>
                <c:pt idx="64">
                  <c:v>41.9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99-4DA8-90B3-CB535C111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417759"/>
        <c:axId val="1023417343"/>
      </c:scatterChart>
      <c:valAx>
        <c:axId val="102341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3417343"/>
        <c:crosses val="autoZero"/>
        <c:crossBetween val="midCat"/>
      </c:valAx>
      <c:valAx>
        <c:axId val="10234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3417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'FP3'!$O$1</c:f>
              <c:strCache>
                <c:ptCount val="1"/>
                <c:pt idx="0">
                  <c:v>DELTA_TRACK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'FP3'!$B$2:$B$66</c:f>
              <c:numCache>
                <c:formatCode>[$-F400]h:mm:ss\ AM/PM</c:formatCode>
                <c:ptCount val="65"/>
                <c:pt idx="0">
                  <c:v>0.58333333333333337</c:v>
                </c:pt>
                <c:pt idx="1">
                  <c:v>0.58402777777777781</c:v>
                </c:pt>
                <c:pt idx="2">
                  <c:v>0.58472222222222225</c:v>
                </c:pt>
                <c:pt idx="3">
                  <c:v>0.5854166666666667</c:v>
                </c:pt>
                <c:pt idx="4">
                  <c:v>0.58680555555555558</c:v>
                </c:pt>
                <c:pt idx="5">
                  <c:v>0.58819444444444446</c:v>
                </c:pt>
                <c:pt idx="6">
                  <c:v>0.58888888888888891</c:v>
                </c:pt>
                <c:pt idx="7">
                  <c:v>0.58958333333333335</c:v>
                </c:pt>
                <c:pt idx="8">
                  <c:v>0.59027777777777779</c:v>
                </c:pt>
                <c:pt idx="9">
                  <c:v>0.59097222222222223</c:v>
                </c:pt>
                <c:pt idx="10">
                  <c:v>0.59166666666666667</c:v>
                </c:pt>
                <c:pt idx="11">
                  <c:v>0.59236111111111112</c:v>
                </c:pt>
                <c:pt idx="12">
                  <c:v>0.59305555555555556</c:v>
                </c:pt>
                <c:pt idx="13">
                  <c:v>0.59375</c:v>
                </c:pt>
                <c:pt idx="14">
                  <c:v>0.59444444444444444</c:v>
                </c:pt>
                <c:pt idx="15">
                  <c:v>0.59513888888888888</c:v>
                </c:pt>
                <c:pt idx="16">
                  <c:v>0.59652777777777777</c:v>
                </c:pt>
                <c:pt idx="17">
                  <c:v>0.59722222222222221</c:v>
                </c:pt>
                <c:pt idx="18">
                  <c:v>0.59791666666666665</c:v>
                </c:pt>
                <c:pt idx="19">
                  <c:v>0.59861111111111109</c:v>
                </c:pt>
                <c:pt idx="20">
                  <c:v>0.59930555555555554</c:v>
                </c:pt>
                <c:pt idx="21">
                  <c:v>0.6</c:v>
                </c:pt>
                <c:pt idx="22">
                  <c:v>0.60069444444444442</c:v>
                </c:pt>
                <c:pt idx="23">
                  <c:v>0.60138888888888886</c:v>
                </c:pt>
                <c:pt idx="24">
                  <c:v>0.6020833333333333</c:v>
                </c:pt>
                <c:pt idx="25">
                  <c:v>0.60277777777777775</c:v>
                </c:pt>
                <c:pt idx="26">
                  <c:v>0.60347222222222219</c:v>
                </c:pt>
                <c:pt idx="27">
                  <c:v>0.60416666666666663</c:v>
                </c:pt>
                <c:pt idx="28">
                  <c:v>0.60486111111111107</c:v>
                </c:pt>
                <c:pt idx="29">
                  <c:v>0.60555555555555551</c:v>
                </c:pt>
                <c:pt idx="30">
                  <c:v>0.60624999999999996</c:v>
                </c:pt>
                <c:pt idx="31">
                  <c:v>0.60833333333333328</c:v>
                </c:pt>
                <c:pt idx="32">
                  <c:v>0.60902777777777772</c:v>
                </c:pt>
                <c:pt idx="33">
                  <c:v>0.60972222222222228</c:v>
                </c:pt>
                <c:pt idx="34">
                  <c:v>0.61041666666666672</c:v>
                </c:pt>
                <c:pt idx="35">
                  <c:v>0.61111111111111116</c:v>
                </c:pt>
                <c:pt idx="36">
                  <c:v>0.6118055555555556</c:v>
                </c:pt>
                <c:pt idx="37">
                  <c:v>0.61250000000000004</c:v>
                </c:pt>
                <c:pt idx="38">
                  <c:v>0.61319444444444449</c:v>
                </c:pt>
                <c:pt idx="39">
                  <c:v>0.61388888888888893</c:v>
                </c:pt>
                <c:pt idx="40">
                  <c:v>0.61458333333333337</c:v>
                </c:pt>
                <c:pt idx="41">
                  <c:v>0.61527777777777781</c:v>
                </c:pt>
                <c:pt idx="42">
                  <c:v>0.61597222222222225</c:v>
                </c:pt>
                <c:pt idx="43">
                  <c:v>0.6166666666666667</c:v>
                </c:pt>
                <c:pt idx="44">
                  <c:v>0.61736111111111114</c:v>
                </c:pt>
                <c:pt idx="45">
                  <c:v>0.61805555555555558</c:v>
                </c:pt>
                <c:pt idx="46">
                  <c:v>0.61875000000000002</c:v>
                </c:pt>
                <c:pt idx="47">
                  <c:v>0.61944444444444446</c:v>
                </c:pt>
                <c:pt idx="48">
                  <c:v>0.62013888888888891</c:v>
                </c:pt>
                <c:pt idx="49">
                  <c:v>0.62083333333333335</c:v>
                </c:pt>
                <c:pt idx="50">
                  <c:v>0.62152777777777779</c:v>
                </c:pt>
                <c:pt idx="51">
                  <c:v>0.62222222222222223</c:v>
                </c:pt>
                <c:pt idx="52">
                  <c:v>0.62291666666666667</c:v>
                </c:pt>
                <c:pt idx="53">
                  <c:v>0.62361111111111112</c:v>
                </c:pt>
                <c:pt idx="54">
                  <c:v>0.62430555555555556</c:v>
                </c:pt>
                <c:pt idx="55">
                  <c:v>0.625</c:v>
                </c:pt>
                <c:pt idx="56">
                  <c:v>0.62569444444444444</c:v>
                </c:pt>
                <c:pt idx="57">
                  <c:v>0.62638888888888888</c:v>
                </c:pt>
                <c:pt idx="58">
                  <c:v>0.62708333333333333</c:v>
                </c:pt>
                <c:pt idx="59">
                  <c:v>0.62847222222222221</c:v>
                </c:pt>
                <c:pt idx="60">
                  <c:v>0.62916666666666665</c:v>
                </c:pt>
                <c:pt idx="61">
                  <c:v>0.62986111111111109</c:v>
                </c:pt>
                <c:pt idx="62">
                  <c:v>0.63055555555555554</c:v>
                </c:pt>
                <c:pt idx="63">
                  <c:v>0.63124999999999998</c:v>
                </c:pt>
                <c:pt idx="64">
                  <c:v>0.63194444444444442</c:v>
                </c:pt>
              </c:numCache>
            </c:numRef>
          </c:xVal>
          <c:yVal>
            <c:numRef>
              <c:f>'FP3'!$O$2:$O$66</c:f>
              <c:numCache>
                <c:formatCode>General</c:formatCode>
                <c:ptCount val="65"/>
                <c:pt idx="0">
                  <c:v>-12</c:v>
                </c:pt>
                <c:pt idx="1">
                  <c:v>-11.399999999999999</c:v>
                </c:pt>
                <c:pt idx="2">
                  <c:v>-10.799999999999997</c:v>
                </c:pt>
                <c:pt idx="3">
                  <c:v>-10.399999999999999</c:v>
                </c:pt>
                <c:pt idx="4">
                  <c:v>-9.1999999999999957</c:v>
                </c:pt>
                <c:pt idx="5">
                  <c:v>-8.8999999999999986</c:v>
                </c:pt>
                <c:pt idx="6">
                  <c:v>-8.8999999999999986</c:v>
                </c:pt>
                <c:pt idx="7">
                  <c:v>-8.5</c:v>
                </c:pt>
                <c:pt idx="8">
                  <c:v>-7.6999999999999957</c:v>
                </c:pt>
                <c:pt idx="9">
                  <c:v>-6.7000000000000028</c:v>
                </c:pt>
                <c:pt idx="10">
                  <c:v>-6.7000000000000028</c:v>
                </c:pt>
                <c:pt idx="11">
                  <c:v>-6.1999999999999957</c:v>
                </c:pt>
                <c:pt idx="12">
                  <c:v>-6.1000000000000014</c:v>
                </c:pt>
                <c:pt idx="13">
                  <c:v>-8.2000000000000028</c:v>
                </c:pt>
                <c:pt idx="14">
                  <c:v>-7.6999999999999957</c:v>
                </c:pt>
                <c:pt idx="15">
                  <c:v>-7.6000000000000014</c:v>
                </c:pt>
                <c:pt idx="16">
                  <c:v>-8.2000000000000028</c:v>
                </c:pt>
                <c:pt idx="17">
                  <c:v>-8.3000000000000043</c:v>
                </c:pt>
                <c:pt idx="18">
                  <c:v>-8.2000000000000028</c:v>
                </c:pt>
                <c:pt idx="19">
                  <c:v>-8.8000000000000043</c:v>
                </c:pt>
                <c:pt idx="20">
                  <c:v>-9.6000000000000014</c:v>
                </c:pt>
                <c:pt idx="21">
                  <c:v>-9.6999999999999957</c:v>
                </c:pt>
                <c:pt idx="22">
                  <c:v>-9.6999999999999957</c:v>
                </c:pt>
                <c:pt idx="23">
                  <c:v>-10</c:v>
                </c:pt>
                <c:pt idx="24">
                  <c:v>-10.199999999999996</c:v>
                </c:pt>
                <c:pt idx="25">
                  <c:v>-9.6999999999999957</c:v>
                </c:pt>
                <c:pt idx="26">
                  <c:v>-9.6000000000000014</c:v>
                </c:pt>
                <c:pt idx="27">
                  <c:v>-9.6999999999999957</c:v>
                </c:pt>
                <c:pt idx="28">
                  <c:v>-9.0999999999999943</c:v>
                </c:pt>
                <c:pt idx="29">
                  <c:v>-10.199999999999996</c:v>
                </c:pt>
                <c:pt idx="30">
                  <c:v>-10.899999999999999</c:v>
                </c:pt>
                <c:pt idx="31">
                  <c:v>-10.899999999999999</c:v>
                </c:pt>
                <c:pt idx="32">
                  <c:v>-10.699999999999996</c:v>
                </c:pt>
                <c:pt idx="33">
                  <c:v>-8.7000000000000028</c:v>
                </c:pt>
                <c:pt idx="34">
                  <c:v>-6</c:v>
                </c:pt>
                <c:pt idx="35">
                  <c:v>-5.2999999999999972</c:v>
                </c:pt>
                <c:pt idx="36">
                  <c:v>-4.6999999999999957</c:v>
                </c:pt>
                <c:pt idx="37">
                  <c:v>-4.3999999999999986</c:v>
                </c:pt>
                <c:pt idx="38">
                  <c:v>-3.5</c:v>
                </c:pt>
                <c:pt idx="39">
                  <c:v>-2.7999999999999972</c:v>
                </c:pt>
                <c:pt idx="40">
                  <c:v>-2.3999999999999986</c:v>
                </c:pt>
                <c:pt idx="41">
                  <c:v>-2.1000000000000014</c:v>
                </c:pt>
                <c:pt idx="42">
                  <c:v>-2.1000000000000014</c:v>
                </c:pt>
                <c:pt idx="43">
                  <c:v>-2.1000000000000014</c:v>
                </c:pt>
                <c:pt idx="44">
                  <c:v>-2.3999999999999986</c:v>
                </c:pt>
                <c:pt idx="45">
                  <c:v>-2.3000000000000043</c:v>
                </c:pt>
                <c:pt idx="46">
                  <c:v>-2.3000000000000043</c:v>
                </c:pt>
                <c:pt idx="47">
                  <c:v>-2.3999999999999986</c:v>
                </c:pt>
                <c:pt idx="48">
                  <c:v>-2.6999999999999957</c:v>
                </c:pt>
                <c:pt idx="49">
                  <c:v>-2.6999999999999957</c:v>
                </c:pt>
                <c:pt idx="50">
                  <c:v>-2.7999999999999972</c:v>
                </c:pt>
                <c:pt idx="51">
                  <c:v>-2.7999999999999972</c:v>
                </c:pt>
                <c:pt idx="52">
                  <c:v>-3</c:v>
                </c:pt>
                <c:pt idx="53">
                  <c:v>-2.8000000000000043</c:v>
                </c:pt>
                <c:pt idx="54">
                  <c:v>-2.7999999999999972</c:v>
                </c:pt>
                <c:pt idx="55">
                  <c:v>-4</c:v>
                </c:pt>
                <c:pt idx="56">
                  <c:v>-2.7000000000000028</c:v>
                </c:pt>
                <c:pt idx="57">
                  <c:v>-2</c:v>
                </c:pt>
                <c:pt idx="58">
                  <c:v>-1.6000000000000014</c:v>
                </c:pt>
                <c:pt idx="59">
                  <c:v>-0.79999999999999716</c:v>
                </c:pt>
                <c:pt idx="60">
                  <c:v>-1.1000000000000014</c:v>
                </c:pt>
                <c:pt idx="61">
                  <c:v>-1</c:v>
                </c:pt>
                <c:pt idx="62">
                  <c:v>-1.1000000000000014</c:v>
                </c:pt>
                <c:pt idx="63">
                  <c:v>-1.5</c:v>
                </c:pt>
                <c:pt idx="64">
                  <c:v>-1.8999999999999986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99-4DA8-90B3-CB535C111475}"/>
            </c:ext>
          </c:extLst>
        </c:ser>
        <c:ser>
          <c:idx val="1"/>
          <c:order val="1"/>
          <c:tx>
            <c:strRef>
              <c:f>'FP3'!$D$1</c:f>
              <c:strCache>
                <c:ptCount val="1"/>
                <c:pt idx="0">
                  <c:v>Track Temperature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'FP3'!$B$2:$B$66</c:f>
              <c:numCache>
                <c:formatCode>[$-F400]h:mm:ss\ AM/PM</c:formatCode>
                <c:ptCount val="65"/>
                <c:pt idx="0">
                  <c:v>0.58333333333333337</c:v>
                </c:pt>
                <c:pt idx="1">
                  <c:v>0.58402777777777781</c:v>
                </c:pt>
                <c:pt idx="2">
                  <c:v>0.58472222222222225</c:v>
                </c:pt>
                <c:pt idx="3">
                  <c:v>0.5854166666666667</c:v>
                </c:pt>
                <c:pt idx="4">
                  <c:v>0.58680555555555558</c:v>
                </c:pt>
                <c:pt idx="5">
                  <c:v>0.58819444444444446</c:v>
                </c:pt>
                <c:pt idx="6">
                  <c:v>0.58888888888888891</c:v>
                </c:pt>
                <c:pt idx="7">
                  <c:v>0.58958333333333335</c:v>
                </c:pt>
                <c:pt idx="8">
                  <c:v>0.59027777777777779</c:v>
                </c:pt>
                <c:pt idx="9">
                  <c:v>0.59097222222222223</c:v>
                </c:pt>
                <c:pt idx="10">
                  <c:v>0.59166666666666667</c:v>
                </c:pt>
                <c:pt idx="11">
                  <c:v>0.59236111111111112</c:v>
                </c:pt>
                <c:pt idx="12">
                  <c:v>0.59305555555555556</c:v>
                </c:pt>
                <c:pt idx="13">
                  <c:v>0.59375</c:v>
                </c:pt>
                <c:pt idx="14">
                  <c:v>0.59444444444444444</c:v>
                </c:pt>
                <c:pt idx="15">
                  <c:v>0.59513888888888888</c:v>
                </c:pt>
                <c:pt idx="16">
                  <c:v>0.59652777777777777</c:v>
                </c:pt>
                <c:pt idx="17">
                  <c:v>0.59722222222222221</c:v>
                </c:pt>
                <c:pt idx="18">
                  <c:v>0.59791666666666665</c:v>
                </c:pt>
                <c:pt idx="19">
                  <c:v>0.59861111111111109</c:v>
                </c:pt>
                <c:pt idx="20">
                  <c:v>0.59930555555555554</c:v>
                </c:pt>
                <c:pt idx="21">
                  <c:v>0.6</c:v>
                </c:pt>
                <c:pt idx="22">
                  <c:v>0.60069444444444442</c:v>
                </c:pt>
                <c:pt idx="23">
                  <c:v>0.60138888888888886</c:v>
                </c:pt>
                <c:pt idx="24">
                  <c:v>0.6020833333333333</c:v>
                </c:pt>
                <c:pt idx="25">
                  <c:v>0.60277777777777775</c:v>
                </c:pt>
                <c:pt idx="26">
                  <c:v>0.60347222222222219</c:v>
                </c:pt>
                <c:pt idx="27">
                  <c:v>0.60416666666666663</c:v>
                </c:pt>
                <c:pt idx="28">
                  <c:v>0.60486111111111107</c:v>
                </c:pt>
                <c:pt idx="29">
                  <c:v>0.60555555555555551</c:v>
                </c:pt>
                <c:pt idx="30">
                  <c:v>0.60624999999999996</c:v>
                </c:pt>
                <c:pt idx="31">
                  <c:v>0.60833333333333328</c:v>
                </c:pt>
                <c:pt idx="32">
                  <c:v>0.60902777777777772</c:v>
                </c:pt>
                <c:pt idx="33">
                  <c:v>0.60972222222222228</c:v>
                </c:pt>
                <c:pt idx="34">
                  <c:v>0.61041666666666672</c:v>
                </c:pt>
                <c:pt idx="35">
                  <c:v>0.61111111111111116</c:v>
                </c:pt>
                <c:pt idx="36">
                  <c:v>0.6118055555555556</c:v>
                </c:pt>
                <c:pt idx="37">
                  <c:v>0.61250000000000004</c:v>
                </c:pt>
                <c:pt idx="38">
                  <c:v>0.61319444444444449</c:v>
                </c:pt>
                <c:pt idx="39">
                  <c:v>0.61388888888888893</c:v>
                </c:pt>
                <c:pt idx="40">
                  <c:v>0.61458333333333337</c:v>
                </c:pt>
                <c:pt idx="41">
                  <c:v>0.61527777777777781</c:v>
                </c:pt>
                <c:pt idx="42">
                  <c:v>0.61597222222222225</c:v>
                </c:pt>
                <c:pt idx="43">
                  <c:v>0.6166666666666667</c:v>
                </c:pt>
                <c:pt idx="44">
                  <c:v>0.61736111111111114</c:v>
                </c:pt>
                <c:pt idx="45">
                  <c:v>0.61805555555555558</c:v>
                </c:pt>
                <c:pt idx="46">
                  <c:v>0.61875000000000002</c:v>
                </c:pt>
                <c:pt idx="47">
                  <c:v>0.61944444444444446</c:v>
                </c:pt>
                <c:pt idx="48">
                  <c:v>0.62013888888888891</c:v>
                </c:pt>
                <c:pt idx="49">
                  <c:v>0.62083333333333335</c:v>
                </c:pt>
                <c:pt idx="50">
                  <c:v>0.62152777777777779</c:v>
                </c:pt>
                <c:pt idx="51">
                  <c:v>0.62222222222222223</c:v>
                </c:pt>
                <c:pt idx="52">
                  <c:v>0.62291666666666667</c:v>
                </c:pt>
                <c:pt idx="53">
                  <c:v>0.62361111111111112</c:v>
                </c:pt>
                <c:pt idx="54">
                  <c:v>0.62430555555555556</c:v>
                </c:pt>
                <c:pt idx="55">
                  <c:v>0.625</c:v>
                </c:pt>
                <c:pt idx="56">
                  <c:v>0.62569444444444444</c:v>
                </c:pt>
                <c:pt idx="57">
                  <c:v>0.62638888888888888</c:v>
                </c:pt>
                <c:pt idx="58">
                  <c:v>0.62708333333333333</c:v>
                </c:pt>
                <c:pt idx="59">
                  <c:v>0.62847222222222221</c:v>
                </c:pt>
                <c:pt idx="60">
                  <c:v>0.62916666666666665</c:v>
                </c:pt>
                <c:pt idx="61">
                  <c:v>0.62986111111111109</c:v>
                </c:pt>
                <c:pt idx="62">
                  <c:v>0.63055555555555554</c:v>
                </c:pt>
                <c:pt idx="63">
                  <c:v>0.63124999999999998</c:v>
                </c:pt>
                <c:pt idx="64">
                  <c:v>0.63194444444444442</c:v>
                </c:pt>
              </c:numCache>
            </c:numRef>
          </c:xVal>
          <c:yVal>
            <c:numRef>
              <c:f>'FP3'!$D$2:$D$66</c:f>
              <c:numCache>
                <c:formatCode>General</c:formatCode>
                <c:ptCount val="65"/>
                <c:pt idx="0">
                  <c:v>45.9</c:v>
                </c:pt>
                <c:pt idx="1">
                  <c:v>46.6</c:v>
                </c:pt>
                <c:pt idx="2">
                  <c:v>47.9</c:v>
                </c:pt>
                <c:pt idx="3">
                  <c:v>48.4</c:v>
                </c:pt>
                <c:pt idx="4">
                  <c:v>48.4</c:v>
                </c:pt>
                <c:pt idx="5">
                  <c:v>48.8</c:v>
                </c:pt>
                <c:pt idx="6">
                  <c:v>49.1</c:v>
                </c:pt>
                <c:pt idx="7">
                  <c:v>49.4</c:v>
                </c:pt>
                <c:pt idx="8">
                  <c:v>48.8</c:v>
                </c:pt>
                <c:pt idx="9">
                  <c:v>48.1</c:v>
                </c:pt>
                <c:pt idx="10">
                  <c:v>48.1</c:v>
                </c:pt>
                <c:pt idx="11">
                  <c:v>47.8</c:v>
                </c:pt>
                <c:pt idx="12">
                  <c:v>47.6</c:v>
                </c:pt>
                <c:pt idx="13">
                  <c:v>47.1</c:v>
                </c:pt>
                <c:pt idx="14">
                  <c:v>46.4</c:v>
                </c:pt>
                <c:pt idx="15">
                  <c:v>46.5</c:v>
                </c:pt>
                <c:pt idx="16">
                  <c:v>46.7</c:v>
                </c:pt>
                <c:pt idx="17">
                  <c:v>46.7</c:v>
                </c:pt>
                <c:pt idx="18">
                  <c:v>47.2</c:v>
                </c:pt>
                <c:pt idx="19">
                  <c:v>48.2</c:v>
                </c:pt>
                <c:pt idx="20">
                  <c:v>49</c:v>
                </c:pt>
                <c:pt idx="21">
                  <c:v>49.3</c:v>
                </c:pt>
                <c:pt idx="22">
                  <c:v>49.3</c:v>
                </c:pt>
                <c:pt idx="23">
                  <c:v>49.8</c:v>
                </c:pt>
                <c:pt idx="24">
                  <c:v>49.8</c:v>
                </c:pt>
                <c:pt idx="25">
                  <c:v>49.4</c:v>
                </c:pt>
                <c:pt idx="26">
                  <c:v>49.4</c:v>
                </c:pt>
                <c:pt idx="27">
                  <c:v>49.4</c:v>
                </c:pt>
                <c:pt idx="28">
                  <c:v>49.3</c:v>
                </c:pt>
                <c:pt idx="29">
                  <c:v>49.8</c:v>
                </c:pt>
                <c:pt idx="30">
                  <c:v>50.1</c:v>
                </c:pt>
                <c:pt idx="31">
                  <c:v>49.9</c:v>
                </c:pt>
                <c:pt idx="32">
                  <c:v>49.9</c:v>
                </c:pt>
                <c:pt idx="33">
                  <c:v>49.7</c:v>
                </c:pt>
                <c:pt idx="34">
                  <c:v>48</c:v>
                </c:pt>
                <c:pt idx="35">
                  <c:v>47.8</c:v>
                </c:pt>
                <c:pt idx="36">
                  <c:v>47.4</c:v>
                </c:pt>
                <c:pt idx="37">
                  <c:v>47.3</c:v>
                </c:pt>
                <c:pt idx="38">
                  <c:v>46.6</c:v>
                </c:pt>
                <c:pt idx="39">
                  <c:v>46</c:v>
                </c:pt>
                <c:pt idx="40">
                  <c:v>45.9</c:v>
                </c:pt>
                <c:pt idx="41">
                  <c:v>45.6</c:v>
                </c:pt>
                <c:pt idx="42">
                  <c:v>45.6</c:v>
                </c:pt>
                <c:pt idx="43">
                  <c:v>45.6</c:v>
                </c:pt>
                <c:pt idx="44">
                  <c:v>45.6</c:v>
                </c:pt>
                <c:pt idx="45">
                  <c:v>45.6</c:v>
                </c:pt>
                <c:pt idx="46">
                  <c:v>45.6</c:v>
                </c:pt>
                <c:pt idx="47">
                  <c:v>45.6</c:v>
                </c:pt>
                <c:pt idx="48">
                  <c:v>45.9</c:v>
                </c:pt>
                <c:pt idx="49">
                  <c:v>45.9</c:v>
                </c:pt>
                <c:pt idx="50">
                  <c:v>46</c:v>
                </c:pt>
                <c:pt idx="51">
                  <c:v>46</c:v>
                </c:pt>
                <c:pt idx="52">
                  <c:v>46.3</c:v>
                </c:pt>
                <c:pt idx="53">
                  <c:v>46.1</c:v>
                </c:pt>
                <c:pt idx="54">
                  <c:v>45.9</c:v>
                </c:pt>
                <c:pt idx="55">
                  <c:v>45.5</c:v>
                </c:pt>
                <c:pt idx="56">
                  <c:v>45.1</c:v>
                </c:pt>
                <c:pt idx="57">
                  <c:v>44.8</c:v>
                </c:pt>
                <c:pt idx="58">
                  <c:v>44.6</c:v>
                </c:pt>
                <c:pt idx="59">
                  <c:v>44.3</c:v>
                </c:pt>
                <c:pt idx="60">
                  <c:v>44.4</c:v>
                </c:pt>
                <c:pt idx="61">
                  <c:v>44.2</c:v>
                </c:pt>
                <c:pt idx="62">
                  <c:v>44.2</c:v>
                </c:pt>
                <c:pt idx="63">
                  <c:v>43.8</c:v>
                </c:pt>
                <c:pt idx="64">
                  <c:v>43.8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99-4DA8-90B3-CB535C111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417759"/>
        <c:axId val="1023417343"/>
      </c:scatterChart>
      <c:valAx>
        <c:axId val="102341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3417343"/>
        <c:crosses val="autoZero"/>
        <c:crossBetween val="midCat"/>
      </c:valAx>
      <c:valAx>
        <c:axId val="102341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3417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Quali!$N$1</c:f>
              <c:strCache>
                <c:ptCount val="1"/>
                <c:pt idx="0">
                  <c:v>DELTA_AMB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Quali!$B$2:$B$21</c:f>
              <c:numCache>
                <c:formatCode>[$-F400]h:mm:ss\ AM/PM</c:formatCode>
                <c:ptCount val="20"/>
                <c:pt idx="0">
                  <c:v>0.76458333333333328</c:v>
                </c:pt>
                <c:pt idx="1">
                  <c:v>0.76527777777777772</c:v>
                </c:pt>
                <c:pt idx="2">
                  <c:v>0.76597222222222228</c:v>
                </c:pt>
                <c:pt idx="3">
                  <c:v>0.76666666666666672</c:v>
                </c:pt>
                <c:pt idx="4">
                  <c:v>0.76736111111111116</c:v>
                </c:pt>
                <c:pt idx="5">
                  <c:v>0.7680555555555556</c:v>
                </c:pt>
                <c:pt idx="6">
                  <c:v>0.76875000000000004</c:v>
                </c:pt>
                <c:pt idx="7">
                  <c:v>0.76944444444444449</c:v>
                </c:pt>
                <c:pt idx="8">
                  <c:v>0.77013888888888893</c:v>
                </c:pt>
                <c:pt idx="9">
                  <c:v>0.77083333333333337</c:v>
                </c:pt>
                <c:pt idx="10">
                  <c:v>0.77152777777777781</c:v>
                </c:pt>
                <c:pt idx="11">
                  <c:v>0.77222222222222225</c:v>
                </c:pt>
                <c:pt idx="12">
                  <c:v>0.7729166666666667</c:v>
                </c:pt>
                <c:pt idx="13">
                  <c:v>0.77361111111111114</c:v>
                </c:pt>
                <c:pt idx="14">
                  <c:v>0.77430555555555558</c:v>
                </c:pt>
                <c:pt idx="15">
                  <c:v>0.77500000000000002</c:v>
                </c:pt>
                <c:pt idx="16">
                  <c:v>0.77569444444444446</c:v>
                </c:pt>
                <c:pt idx="17">
                  <c:v>0.77638888888888891</c:v>
                </c:pt>
                <c:pt idx="18">
                  <c:v>0.77708333333333335</c:v>
                </c:pt>
                <c:pt idx="19">
                  <c:v>0.77777777777777779</c:v>
                </c:pt>
              </c:numCache>
            </c:numRef>
          </c:xVal>
          <c:yVal>
            <c:numRef>
              <c:f>Quali!$N$2:$N$21</c:f>
              <c:numCache>
                <c:formatCode>General</c:formatCode>
                <c:ptCount val="20"/>
                <c:pt idx="0">
                  <c:v>4.5</c:v>
                </c:pt>
                <c:pt idx="1">
                  <c:v>5.6000000000000014</c:v>
                </c:pt>
                <c:pt idx="2">
                  <c:v>5.7000000000000028</c:v>
                </c:pt>
                <c:pt idx="3">
                  <c:v>6.2000000000000028</c:v>
                </c:pt>
                <c:pt idx="4">
                  <c:v>5.8999999999999986</c:v>
                </c:pt>
                <c:pt idx="5">
                  <c:v>5.6999999999999993</c:v>
                </c:pt>
                <c:pt idx="6">
                  <c:v>5.6999999999999993</c:v>
                </c:pt>
                <c:pt idx="7">
                  <c:v>5.5999999999999979</c:v>
                </c:pt>
                <c:pt idx="8">
                  <c:v>5.3999999999999986</c:v>
                </c:pt>
                <c:pt idx="9">
                  <c:v>5.4000000000000021</c:v>
                </c:pt>
                <c:pt idx="10">
                  <c:v>5.3000000000000007</c:v>
                </c:pt>
                <c:pt idx="11">
                  <c:v>5.2999999999999972</c:v>
                </c:pt>
                <c:pt idx="12">
                  <c:v>5.1000000000000014</c:v>
                </c:pt>
                <c:pt idx="13">
                  <c:v>5.1000000000000014</c:v>
                </c:pt>
                <c:pt idx="14">
                  <c:v>5.1999999999999993</c:v>
                </c:pt>
                <c:pt idx="15">
                  <c:v>5.1999999999999993</c:v>
                </c:pt>
                <c:pt idx="16">
                  <c:v>5.5</c:v>
                </c:pt>
                <c:pt idx="17">
                  <c:v>5.8000000000000043</c:v>
                </c:pt>
                <c:pt idx="18">
                  <c:v>6.3999999999999986</c:v>
                </c:pt>
                <c:pt idx="19">
                  <c:v>6.3000000000000043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F-4160-8F0C-323993E3B809}"/>
            </c:ext>
          </c:extLst>
        </c:ser>
        <c:ser>
          <c:idx val="1"/>
          <c:order val="1"/>
          <c:tx>
            <c:strRef>
              <c:f>Quali!$C$1</c:f>
              <c:strCache>
                <c:ptCount val="1"/>
                <c:pt idx="0">
                  <c:v>Air Temperature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Quali!$B$2:$B$21</c:f>
              <c:numCache>
                <c:formatCode>[$-F400]h:mm:ss\ AM/PM</c:formatCode>
                <c:ptCount val="20"/>
                <c:pt idx="0">
                  <c:v>0.76458333333333328</c:v>
                </c:pt>
                <c:pt idx="1">
                  <c:v>0.76527777777777772</c:v>
                </c:pt>
                <c:pt idx="2">
                  <c:v>0.76597222222222228</c:v>
                </c:pt>
                <c:pt idx="3">
                  <c:v>0.76666666666666672</c:v>
                </c:pt>
                <c:pt idx="4">
                  <c:v>0.76736111111111116</c:v>
                </c:pt>
                <c:pt idx="5">
                  <c:v>0.7680555555555556</c:v>
                </c:pt>
                <c:pt idx="6">
                  <c:v>0.76875000000000004</c:v>
                </c:pt>
                <c:pt idx="7">
                  <c:v>0.76944444444444449</c:v>
                </c:pt>
                <c:pt idx="8">
                  <c:v>0.77013888888888893</c:v>
                </c:pt>
                <c:pt idx="9">
                  <c:v>0.77083333333333337</c:v>
                </c:pt>
                <c:pt idx="10">
                  <c:v>0.77152777777777781</c:v>
                </c:pt>
                <c:pt idx="11">
                  <c:v>0.77222222222222225</c:v>
                </c:pt>
                <c:pt idx="12">
                  <c:v>0.7729166666666667</c:v>
                </c:pt>
                <c:pt idx="13">
                  <c:v>0.77361111111111114</c:v>
                </c:pt>
                <c:pt idx="14">
                  <c:v>0.77430555555555558</c:v>
                </c:pt>
                <c:pt idx="15">
                  <c:v>0.77500000000000002</c:v>
                </c:pt>
                <c:pt idx="16">
                  <c:v>0.77569444444444446</c:v>
                </c:pt>
                <c:pt idx="17">
                  <c:v>0.77638888888888891</c:v>
                </c:pt>
                <c:pt idx="18">
                  <c:v>0.77708333333333335</c:v>
                </c:pt>
                <c:pt idx="19">
                  <c:v>0.77777777777777779</c:v>
                </c:pt>
              </c:numCache>
            </c:numRef>
          </c:xVal>
          <c:yVal>
            <c:numRef>
              <c:f>Quali!$C$2:$C$21</c:f>
              <c:numCache>
                <c:formatCode>General</c:formatCode>
                <c:ptCount val="20"/>
                <c:pt idx="0">
                  <c:v>31.4</c:v>
                </c:pt>
                <c:pt idx="1">
                  <c:v>31.4</c:v>
                </c:pt>
                <c:pt idx="2">
                  <c:v>31.4</c:v>
                </c:pt>
                <c:pt idx="3">
                  <c:v>31.4</c:v>
                </c:pt>
                <c:pt idx="4">
                  <c:v>31.4</c:v>
                </c:pt>
                <c:pt idx="5">
                  <c:v>31.3</c:v>
                </c:pt>
                <c:pt idx="6">
                  <c:v>31.3</c:v>
                </c:pt>
                <c:pt idx="7">
                  <c:v>31.3</c:v>
                </c:pt>
                <c:pt idx="8">
                  <c:v>31.4</c:v>
                </c:pt>
                <c:pt idx="9">
                  <c:v>31.2</c:v>
                </c:pt>
                <c:pt idx="10">
                  <c:v>31.2</c:v>
                </c:pt>
                <c:pt idx="11">
                  <c:v>31.1</c:v>
                </c:pt>
                <c:pt idx="12">
                  <c:v>31.1</c:v>
                </c:pt>
                <c:pt idx="13">
                  <c:v>31</c:v>
                </c:pt>
                <c:pt idx="14">
                  <c:v>30.8</c:v>
                </c:pt>
                <c:pt idx="15">
                  <c:v>30.8</c:v>
                </c:pt>
                <c:pt idx="16">
                  <c:v>30.6</c:v>
                </c:pt>
                <c:pt idx="17">
                  <c:v>30.4</c:v>
                </c:pt>
                <c:pt idx="18">
                  <c:v>30.4</c:v>
                </c:pt>
                <c:pt idx="19">
                  <c:v>30.4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DF-4160-8F0C-323993E3B809}"/>
            </c:ext>
          </c:extLst>
        </c:ser>
        <c:ser>
          <c:idx val="2"/>
          <c:order val="2"/>
          <c:tx>
            <c:strRef>
              <c:f>Quali!$J$1</c:f>
              <c:strCache>
                <c:ptCount val="1"/>
                <c:pt idx="0">
                  <c:v>FIA_TCockpit[  ï¿]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Quali!$B$2:$B$21</c:f>
              <c:numCache>
                <c:formatCode>[$-F400]h:mm:ss\ AM/PM</c:formatCode>
                <c:ptCount val="20"/>
                <c:pt idx="0">
                  <c:v>0.76458333333333328</c:v>
                </c:pt>
                <c:pt idx="1">
                  <c:v>0.76527777777777772</c:v>
                </c:pt>
                <c:pt idx="2">
                  <c:v>0.76597222222222228</c:v>
                </c:pt>
                <c:pt idx="3">
                  <c:v>0.76666666666666672</c:v>
                </c:pt>
                <c:pt idx="4">
                  <c:v>0.76736111111111116</c:v>
                </c:pt>
                <c:pt idx="5">
                  <c:v>0.7680555555555556</c:v>
                </c:pt>
                <c:pt idx="6">
                  <c:v>0.76875000000000004</c:v>
                </c:pt>
                <c:pt idx="7">
                  <c:v>0.76944444444444449</c:v>
                </c:pt>
                <c:pt idx="8">
                  <c:v>0.77013888888888893</c:v>
                </c:pt>
                <c:pt idx="9">
                  <c:v>0.77083333333333337</c:v>
                </c:pt>
                <c:pt idx="10">
                  <c:v>0.77152777777777781</c:v>
                </c:pt>
                <c:pt idx="11">
                  <c:v>0.77222222222222225</c:v>
                </c:pt>
                <c:pt idx="12">
                  <c:v>0.7729166666666667</c:v>
                </c:pt>
                <c:pt idx="13">
                  <c:v>0.77361111111111114</c:v>
                </c:pt>
                <c:pt idx="14">
                  <c:v>0.77430555555555558</c:v>
                </c:pt>
                <c:pt idx="15">
                  <c:v>0.77500000000000002</c:v>
                </c:pt>
                <c:pt idx="16">
                  <c:v>0.77569444444444446</c:v>
                </c:pt>
                <c:pt idx="17">
                  <c:v>0.77638888888888891</c:v>
                </c:pt>
                <c:pt idx="18">
                  <c:v>0.77708333333333335</c:v>
                </c:pt>
                <c:pt idx="19">
                  <c:v>0.77777777777777779</c:v>
                </c:pt>
              </c:numCache>
            </c:numRef>
          </c:xVal>
          <c:yVal>
            <c:numRef>
              <c:f>Quali!$J$2:$J$21</c:f>
              <c:numCache>
                <c:formatCode>General</c:formatCode>
                <c:ptCount val="20"/>
                <c:pt idx="0">
                  <c:v>35.9</c:v>
                </c:pt>
                <c:pt idx="1">
                  <c:v>37</c:v>
                </c:pt>
                <c:pt idx="2">
                  <c:v>37.1</c:v>
                </c:pt>
                <c:pt idx="3">
                  <c:v>37.6</c:v>
                </c:pt>
                <c:pt idx="4">
                  <c:v>37.299999999999997</c:v>
                </c:pt>
                <c:pt idx="5">
                  <c:v>37</c:v>
                </c:pt>
                <c:pt idx="6">
                  <c:v>37</c:v>
                </c:pt>
                <c:pt idx="7">
                  <c:v>36.9</c:v>
                </c:pt>
                <c:pt idx="8">
                  <c:v>36.799999999999997</c:v>
                </c:pt>
                <c:pt idx="9">
                  <c:v>36.6</c:v>
                </c:pt>
                <c:pt idx="10">
                  <c:v>36.5</c:v>
                </c:pt>
                <c:pt idx="11">
                  <c:v>36.4</c:v>
                </c:pt>
                <c:pt idx="12">
                  <c:v>36.200000000000003</c:v>
                </c:pt>
                <c:pt idx="13">
                  <c:v>36.1</c:v>
                </c:pt>
                <c:pt idx="14">
                  <c:v>36</c:v>
                </c:pt>
                <c:pt idx="15">
                  <c:v>36</c:v>
                </c:pt>
                <c:pt idx="16">
                  <c:v>36.1</c:v>
                </c:pt>
                <c:pt idx="17">
                  <c:v>36.200000000000003</c:v>
                </c:pt>
                <c:pt idx="18">
                  <c:v>36.799999999999997</c:v>
                </c:pt>
                <c:pt idx="19">
                  <c:v>36.700000000000003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DF-4160-8F0C-323993E3B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31663"/>
        <c:axId val="1156529167"/>
      </c:scatterChart>
      <c:valAx>
        <c:axId val="115653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6529167"/>
        <c:crosses val="autoZero"/>
        <c:crossBetween val="midCat"/>
      </c:valAx>
      <c:valAx>
        <c:axId val="11565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653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Quali!$O$1</c:f>
              <c:strCache>
                <c:ptCount val="1"/>
                <c:pt idx="0">
                  <c:v>DELTA_TRACK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Quali!$B$2:$B$21</c:f>
              <c:numCache>
                <c:formatCode>[$-F400]h:mm:ss\ AM/PM</c:formatCode>
                <c:ptCount val="20"/>
                <c:pt idx="0">
                  <c:v>0.76458333333333328</c:v>
                </c:pt>
                <c:pt idx="1">
                  <c:v>0.76527777777777772</c:v>
                </c:pt>
                <c:pt idx="2">
                  <c:v>0.76597222222222228</c:v>
                </c:pt>
                <c:pt idx="3">
                  <c:v>0.76666666666666672</c:v>
                </c:pt>
                <c:pt idx="4">
                  <c:v>0.76736111111111116</c:v>
                </c:pt>
                <c:pt idx="5">
                  <c:v>0.7680555555555556</c:v>
                </c:pt>
                <c:pt idx="6">
                  <c:v>0.76875000000000004</c:v>
                </c:pt>
                <c:pt idx="7">
                  <c:v>0.76944444444444449</c:v>
                </c:pt>
                <c:pt idx="8">
                  <c:v>0.77013888888888893</c:v>
                </c:pt>
                <c:pt idx="9">
                  <c:v>0.77083333333333337</c:v>
                </c:pt>
                <c:pt idx="10">
                  <c:v>0.77152777777777781</c:v>
                </c:pt>
                <c:pt idx="11">
                  <c:v>0.77222222222222225</c:v>
                </c:pt>
                <c:pt idx="12">
                  <c:v>0.7729166666666667</c:v>
                </c:pt>
                <c:pt idx="13">
                  <c:v>0.77361111111111114</c:v>
                </c:pt>
                <c:pt idx="14">
                  <c:v>0.77430555555555558</c:v>
                </c:pt>
                <c:pt idx="15">
                  <c:v>0.77500000000000002</c:v>
                </c:pt>
                <c:pt idx="16">
                  <c:v>0.77569444444444446</c:v>
                </c:pt>
                <c:pt idx="17">
                  <c:v>0.77638888888888891</c:v>
                </c:pt>
                <c:pt idx="18">
                  <c:v>0.77708333333333335</c:v>
                </c:pt>
                <c:pt idx="19">
                  <c:v>0.77777777777777779</c:v>
                </c:pt>
              </c:numCache>
            </c:numRef>
          </c:xVal>
          <c:yVal>
            <c:numRef>
              <c:f>Quali!$O$2:$O$21</c:f>
              <c:numCache>
                <c:formatCode>General</c:formatCode>
                <c:ptCount val="20"/>
                <c:pt idx="0">
                  <c:v>-2.3999999999999986</c:v>
                </c:pt>
                <c:pt idx="1">
                  <c:v>-1.5</c:v>
                </c:pt>
                <c:pt idx="2">
                  <c:v>-1.3999999999999986</c:v>
                </c:pt>
                <c:pt idx="3">
                  <c:v>-0.60000000000000142</c:v>
                </c:pt>
                <c:pt idx="4">
                  <c:v>-1.1000000000000014</c:v>
                </c:pt>
                <c:pt idx="5">
                  <c:v>-1.3999999999999986</c:v>
                </c:pt>
                <c:pt idx="6">
                  <c:v>-1.3999999999999986</c:v>
                </c:pt>
                <c:pt idx="7">
                  <c:v>-1.5</c:v>
                </c:pt>
                <c:pt idx="8">
                  <c:v>-1.6000000000000014</c:v>
                </c:pt>
                <c:pt idx="9">
                  <c:v>-1.3999999999999986</c:v>
                </c:pt>
                <c:pt idx="10">
                  <c:v>-1.5</c:v>
                </c:pt>
                <c:pt idx="11">
                  <c:v>-1.5</c:v>
                </c:pt>
                <c:pt idx="12">
                  <c:v>-1.5999999999999943</c:v>
                </c:pt>
                <c:pt idx="13">
                  <c:v>-1.5</c:v>
                </c:pt>
                <c:pt idx="14">
                  <c:v>-1.7000000000000028</c:v>
                </c:pt>
                <c:pt idx="15">
                  <c:v>-1.3999999999999986</c:v>
                </c:pt>
                <c:pt idx="16">
                  <c:v>-1.2999999999999972</c:v>
                </c:pt>
                <c:pt idx="17">
                  <c:v>-1.1999999999999957</c:v>
                </c:pt>
                <c:pt idx="18">
                  <c:v>-0.80000000000000426</c:v>
                </c:pt>
                <c:pt idx="19">
                  <c:v>-1.1999999999999957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F-4160-8F0C-323993E3B809}"/>
            </c:ext>
          </c:extLst>
        </c:ser>
        <c:ser>
          <c:idx val="1"/>
          <c:order val="1"/>
          <c:tx>
            <c:strRef>
              <c:f>Quali!$D$1</c:f>
              <c:strCache>
                <c:ptCount val="1"/>
                <c:pt idx="0">
                  <c:v>Track Temperature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Quali!$B$2:$B$21</c:f>
              <c:numCache>
                <c:formatCode>[$-F400]h:mm:ss\ AM/PM</c:formatCode>
                <c:ptCount val="20"/>
                <c:pt idx="0">
                  <c:v>0.76458333333333328</c:v>
                </c:pt>
                <c:pt idx="1">
                  <c:v>0.76527777777777772</c:v>
                </c:pt>
                <c:pt idx="2">
                  <c:v>0.76597222222222228</c:v>
                </c:pt>
                <c:pt idx="3">
                  <c:v>0.76666666666666672</c:v>
                </c:pt>
                <c:pt idx="4">
                  <c:v>0.76736111111111116</c:v>
                </c:pt>
                <c:pt idx="5">
                  <c:v>0.7680555555555556</c:v>
                </c:pt>
                <c:pt idx="6">
                  <c:v>0.76875000000000004</c:v>
                </c:pt>
                <c:pt idx="7">
                  <c:v>0.76944444444444449</c:v>
                </c:pt>
                <c:pt idx="8">
                  <c:v>0.77013888888888893</c:v>
                </c:pt>
                <c:pt idx="9">
                  <c:v>0.77083333333333337</c:v>
                </c:pt>
                <c:pt idx="10">
                  <c:v>0.77152777777777781</c:v>
                </c:pt>
                <c:pt idx="11">
                  <c:v>0.77222222222222225</c:v>
                </c:pt>
                <c:pt idx="12">
                  <c:v>0.7729166666666667</c:v>
                </c:pt>
                <c:pt idx="13">
                  <c:v>0.77361111111111114</c:v>
                </c:pt>
                <c:pt idx="14">
                  <c:v>0.77430555555555558</c:v>
                </c:pt>
                <c:pt idx="15">
                  <c:v>0.77500000000000002</c:v>
                </c:pt>
                <c:pt idx="16">
                  <c:v>0.77569444444444446</c:v>
                </c:pt>
                <c:pt idx="17">
                  <c:v>0.77638888888888891</c:v>
                </c:pt>
                <c:pt idx="18">
                  <c:v>0.77708333333333335</c:v>
                </c:pt>
                <c:pt idx="19">
                  <c:v>0.77777777777777779</c:v>
                </c:pt>
              </c:numCache>
            </c:numRef>
          </c:xVal>
          <c:yVal>
            <c:numRef>
              <c:f>Quali!$D$2:$D$21</c:f>
              <c:numCache>
                <c:formatCode>General</c:formatCode>
                <c:ptCount val="20"/>
                <c:pt idx="0">
                  <c:v>38.299999999999997</c:v>
                </c:pt>
                <c:pt idx="1">
                  <c:v>38.5</c:v>
                </c:pt>
                <c:pt idx="2">
                  <c:v>38.5</c:v>
                </c:pt>
                <c:pt idx="3">
                  <c:v>38.200000000000003</c:v>
                </c:pt>
                <c:pt idx="4">
                  <c:v>38.4</c:v>
                </c:pt>
                <c:pt idx="5">
                  <c:v>38.4</c:v>
                </c:pt>
                <c:pt idx="6">
                  <c:v>38.4</c:v>
                </c:pt>
                <c:pt idx="7">
                  <c:v>38.4</c:v>
                </c:pt>
                <c:pt idx="8">
                  <c:v>38.4</c:v>
                </c:pt>
                <c:pt idx="9">
                  <c:v>38</c:v>
                </c:pt>
                <c:pt idx="10">
                  <c:v>38</c:v>
                </c:pt>
                <c:pt idx="11">
                  <c:v>37.9</c:v>
                </c:pt>
                <c:pt idx="12">
                  <c:v>37.799999999999997</c:v>
                </c:pt>
                <c:pt idx="13">
                  <c:v>37.6</c:v>
                </c:pt>
                <c:pt idx="14">
                  <c:v>37.700000000000003</c:v>
                </c:pt>
                <c:pt idx="15">
                  <c:v>37.4</c:v>
                </c:pt>
                <c:pt idx="16">
                  <c:v>37.4</c:v>
                </c:pt>
                <c:pt idx="17">
                  <c:v>37.4</c:v>
                </c:pt>
                <c:pt idx="18">
                  <c:v>37.6</c:v>
                </c:pt>
                <c:pt idx="19">
                  <c:v>37.9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DF-4160-8F0C-323993E3B809}"/>
            </c:ext>
          </c:extLst>
        </c:ser>
        <c:ser>
          <c:idx val="2"/>
          <c:order val="2"/>
          <c:tx>
            <c:strRef>
              <c:f>Quali!$J$1</c:f>
              <c:strCache>
                <c:ptCount val="1"/>
                <c:pt idx="0">
                  <c:v>FIA_TCockpit[  ï¿]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Quali!$B$2:$B$21</c:f>
              <c:numCache>
                <c:formatCode>[$-F400]h:mm:ss\ AM/PM</c:formatCode>
                <c:ptCount val="20"/>
                <c:pt idx="0">
                  <c:v>0.76458333333333328</c:v>
                </c:pt>
                <c:pt idx="1">
                  <c:v>0.76527777777777772</c:v>
                </c:pt>
                <c:pt idx="2">
                  <c:v>0.76597222222222228</c:v>
                </c:pt>
                <c:pt idx="3">
                  <c:v>0.76666666666666672</c:v>
                </c:pt>
                <c:pt idx="4">
                  <c:v>0.76736111111111116</c:v>
                </c:pt>
                <c:pt idx="5">
                  <c:v>0.7680555555555556</c:v>
                </c:pt>
                <c:pt idx="6">
                  <c:v>0.76875000000000004</c:v>
                </c:pt>
                <c:pt idx="7">
                  <c:v>0.76944444444444449</c:v>
                </c:pt>
                <c:pt idx="8">
                  <c:v>0.77013888888888893</c:v>
                </c:pt>
                <c:pt idx="9">
                  <c:v>0.77083333333333337</c:v>
                </c:pt>
                <c:pt idx="10">
                  <c:v>0.77152777777777781</c:v>
                </c:pt>
                <c:pt idx="11">
                  <c:v>0.77222222222222225</c:v>
                </c:pt>
                <c:pt idx="12">
                  <c:v>0.7729166666666667</c:v>
                </c:pt>
                <c:pt idx="13">
                  <c:v>0.77361111111111114</c:v>
                </c:pt>
                <c:pt idx="14">
                  <c:v>0.77430555555555558</c:v>
                </c:pt>
                <c:pt idx="15">
                  <c:v>0.77500000000000002</c:v>
                </c:pt>
                <c:pt idx="16">
                  <c:v>0.77569444444444446</c:v>
                </c:pt>
                <c:pt idx="17">
                  <c:v>0.77638888888888891</c:v>
                </c:pt>
                <c:pt idx="18">
                  <c:v>0.77708333333333335</c:v>
                </c:pt>
                <c:pt idx="19">
                  <c:v>0.77777777777777779</c:v>
                </c:pt>
              </c:numCache>
            </c:numRef>
          </c:xVal>
          <c:yVal>
            <c:numRef>
              <c:f>Quali!$J$2:$J$21</c:f>
              <c:numCache>
                <c:formatCode>General</c:formatCode>
                <c:ptCount val="20"/>
                <c:pt idx="0">
                  <c:v>35.9</c:v>
                </c:pt>
                <c:pt idx="1">
                  <c:v>37</c:v>
                </c:pt>
                <c:pt idx="2">
                  <c:v>37.1</c:v>
                </c:pt>
                <c:pt idx="3">
                  <c:v>37.6</c:v>
                </c:pt>
                <c:pt idx="4">
                  <c:v>37.299999999999997</c:v>
                </c:pt>
                <c:pt idx="5">
                  <c:v>37</c:v>
                </c:pt>
                <c:pt idx="6">
                  <c:v>37</c:v>
                </c:pt>
                <c:pt idx="7">
                  <c:v>36.9</c:v>
                </c:pt>
                <c:pt idx="8">
                  <c:v>36.799999999999997</c:v>
                </c:pt>
                <c:pt idx="9">
                  <c:v>36.6</c:v>
                </c:pt>
                <c:pt idx="10">
                  <c:v>36.5</c:v>
                </c:pt>
                <c:pt idx="11">
                  <c:v>36.4</c:v>
                </c:pt>
                <c:pt idx="12">
                  <c:v>36.200000000000003</c:v>
                </c:pt>
                <c:pt idx="13">
                  <c:v>36.1</c:v>
                </c:pt>
                <c:pt idx="14">
                  <c:v>36</c:v>
                </c:pt>
                <c:pt idx="15">
                  <c:v>36</c:v>
                </c:pt>
                <c:pt idx="16">
                  <c:v>36.1</c:v>
                </c:pt>
                <c:pt idx="17">
                  <c:v>36.200000000000003</c:v>
                </c:pt>
                <c:pt idx="18">
                  <c:v>36.799999999999997</c:v>
                </c:pt>
                <c:pt idx="19">
                  <c:v>36.700000000000003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FDF-4160-8F0C-323993E3B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31663"/>
        <c:axId val="1156529167"/>
      </c:scatterChart>
      <c:valAx>
        <c:axId val="115653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6529167"/>
        <c:crosses val="autoZero"/>
        <c:crossBetween val="midCat"/>
      </c:valAx>
      <c:valAx>
        <c:axId val="11565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5653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591907</xdr:colOff>
      <xdr:row>1</xdr:row>
      <xdr:rowOff>16329</xdr:rowOff>
    </xdr:from>
    <xdr:to>
      <xdr:col>32</xdr:col>
      <xdr:colOff>108855</xdr:colOff>
      <xdr:row>34</xdr:row>
      <xdr:rowOff>53069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4298C-7C41-4EE4-A89D-F325D399C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20407</xdr:colOff>
      <xdr:row>34</xdr:row>
      <xdr:rowOff>50965</xdr:rowOff>
    </xdr:from>
    <xdr:to>
      <xdr:col>32</xdr:col>
      <xdr:colOff>143492</xdr:colOff>
      <xdr:row>67</xdr:row>
      <xdr:rowOff>87705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51E62C-E704-49D8-84AB-085FDD4C3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596671</xdr:colOff>
      <xdr:row>0</xdr:row>
      <xdr:rowOff>173489</xdr:rowOff>
    </xdr:from>
    <xdr:to>
      <xdr:col>32</xdr:col>
      <xdr:colOff>204106</xdr:colOff>
      <xdr:row>32</xdr:row>
      <xdr:rowOff>49083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AB62C6-1D57-48D7-845E-70232E8B6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11563</xdr:colOff>
      <xdr:row>32</xdr:row>
      <xdr:rowOff>159882</xdr:rowOff>
    </xdr:from>
    <xdr:to>
      <xdr:col>32</xdr:col>
      <xdr:colOff>231320</xdr:colOff>
      <xdr:row>64</xdr:row>
      <xdr:rowOff>49083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0DEABA-B50A-41D0-A227-38DBE123F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564695</xdr:colOff>
      <xdr:row>1</xdr:row>
      <xdr:rowOff>29934</xdr:rowOff>
    </xdr:from>
    <xdr:to>
      <xdr:col>34</xdr:col>
      <xdr:colOff>489857</xdr:colOff>
      <xdr:row>37</xdr:row>
      <xdr:rowOff>107495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B8697D-4E21-43C0-A78E-43E49EF72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10514</xdr:colOff>
      <xdr:row>38</xdr:row>
      <xdr:rowOff>12616</xdr:rowOff>
    </xdr:from>
    <xdr:to>
      <xdr:col>34</xdr:col>
      <xdr:colOff>541812</xdr:colOff>
      <xdr:row>74</xdr:row>
      <xdr:rowOff>90177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9D656A-F469-433E-A05B-2BBBDFCBE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118132</xdr:colOff>
      <xdr:row>0</xdr:row>
      <xdr:rowOff>69519</xdr:rowOff>
    </xdr:from>
    <xdr:to>
      <xdr:col>35</xdr:col>
      <xdr:colOff>524285</xdr:colOff>
      <xdr:row>38</xdr:row>
      <xdr:rowOff>35872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A7FA5-AA02-49AF-A3D8-609CD85F7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100814</xdr:colOff>
      <xdr:row>38</xdr:row>
      <xdr:rowOff>52201</xdr:rowOff>
    </xdr:from>
    <xdr:to>
      <xdr:col>35</xdr:col>
      <xdr:colOff>506967</xdr:colOff>
      <xdr:row>76</xdr:row>
      <xdr:rowOff>35872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5EEB85-82F7-41C7-A145-4B22A5B27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5EEBD8-FE79-4A4D-B26C-16EA10A76D3E}" autoFormatId="16" applyNumberFormats="0" applyBorderFormats="0" applyFontFormats="0" applyPatternFormats="0" applyAlignmentFormats="0" applyWidthHeightFormats="0">
  <queryTableRefresh nextId="10">
    <queryTableFields count="6">
      <queryTableField id="1" name="Time" tableColumnId="1"/>
      <queryTableField id="2" name="Air Temperature" tableColumnId="2"/>
      <queryTableField id="3" name="Track Temperature" tableColumnId="3"/>
      <queryTableField id="4" name="Humidity" tableColumnId="4"/>
      <queryTableField id="5" name="Pressure" tableColumnId="5"/>
      <queryTableField id="7" name="Wind Average Speed" tableColumnId="7"/>
    </queryTableFields>
    <queryTableDeletedFields count="3">
      <deletedField name="Wind Direction"/>
      <deletedField name="Gusts"/>
      <deletedField name="Rain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CA49502-BA74-4B49-9F0F-4C2E45B3BEAE}" autoFormatId="16" applyNumberFormats="0" applyBorderFormats="0" applyFontFormats="0" applyPatternFormats="0" applyAlignmentFormats="0" applyWidthHeightFormats="0">
  <queryTableRefresh nextId="11">
    <queryTableFields count="7">
      <queryTableField id="1" name="Date Time" tableColumnId="1"/>
      <queryTableField id="2" name="Time" tableColumnId="2"/>
      <queryTableField id="3" name="Air Temperature" tableColumnId="3"/>
      <queryTableField id="4" name="Track Temperature" tableColumnId="4"/>
      <queryTableField id="5" name="Humidity" tableColumnId="5"/>
      <queryTableField id="6" name="Pressure" tableColumnId="6"/>
      <queryTableField id="8" name="Wind Average Speed" tableColumnId="8"/>
    </queryTableFields>
    <queryTableDeletedFields count="3">
      <deletedField name="Wind Direction"/>
      <deletedField name="Gusts"/>
      <deletedField name="Rain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A47D85F-6164-46F7-851E-C2455941B6C5}" autoFormatId="16" applyNumberFormats="0" applyBorderFormats="0" applyFontFormats="0" applyPatternFormats="0" applyAlignmentFormats="0" applyWidthHeightFormats="0">
  <queryTableRefresh nextId="11">
    <queryTableFields count="7">
      <queryTableField id="1" name="Date Time" tableColumnId="1"/>
      <queryTableField id="2" name="Time" tableColumnId="2"/>
      <queryTableField id="3" name="Air Temperature" tableColumnId="3"/>
      <queryTableField id="4" name="Track Temperature" tableColumnId="4"/>
      <queryTableField id="5" name="Humidity" tableColumnId="5"/>
      <queryTableField id="6" name="Pressure" tableColumnId="6"/>
      <queryTableField id="8" name="Wind Average Speed" tableColumnId="8"/>
    </queryTableFields>
    <queryTableDeletedFields count="3">
      <deletedField name="Wind Direction"/>
      <deletedField name="Gusts"/>
      <deletedField name="Rain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EFE27DB2-79D2-46D4-B331-71C57FE1E9E6}" autoFormatId="16" applyNumberFormats="0" applyBorderFormats="0" applyFontFormats="0" applyPatternFormats="0" applyAlignmentFormats="0" applyWidthHeightFormats="0">
  <queryTableRefresh nextId="8">
    <queryTableFields count="5"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1"/>
      <deletedField name="Column2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77D125F-A74B-4BF3-A8FF-F2BE5CE63351}" autoFormatId="16" applyNumberFormats="0" applyBorderFormats="0" applyFontFormats="0" applyPatternFormats="0" applyAlignmentFormats="0" applyWidthHeightFormats="0">
  <queryTableRefresh nextId="11">
    <queryTableFields count="7">
      <queryTableField id="1" name="Date Time" tableColumnId="1"/>
      <queryTableField id="2" name="Time" tableColumnId="2"/>
      <queryTableField id="3" name="Air Temperature" tableColumnId="3"/>
      <queryTableField id="4" name="Track Temperature" tableColumnId="4"/>
      <queryTableField id="5" name="Humidity" tableColumnId="5"/>
      <queryTableField id="6" name="Pressure" tableColumnId="6"/>
      <queryTableField id="8" name="Wind Average Speed" tableColumnId="8"/>
    </queryTableFields>
    <queryTableDeletedFields count="3">
      <deletedField name="Wind Direction"/>
      <deletedField name="Gusts"/>
      <deletedField name="Rai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721B0B-757F-4A37-B2F0-0CC6C302AE88}" name="_20210716214800_weatherstation_1" displayName="_20210716214800_weatherstation_1" ref="A1:F170" tableType="queryTable" totalsRowShown="0">
  <autoFilter ref="A1:F170" xr:uid="{5A721B0B-757F-4A37-B2F0-0CC6C302AE88}"/>
  <tableColumns count="6">
    <tableColumn id="1" xr3:uid="{1AFD74E3-C161-4CBA-B48F-59B82D104764}" uniqueName="1" name="Time" queryTableFieldId="1" dataDxfId="7"/>
    <tableColumn id="2" xr3:uid="{27BA7467-A85A-46D8-B801-3AEDF2782730}" uniqueName="2" name="Air Temperature" queryTableFieldId="2"/>
    <tableColumn id="3" xr3:uid="{5A54D800-E066-4754-9AB7-9F1BD47DBBE2}" uniqueName="3" name="Track Temperature" queryTableFieldId="3"/>
    <tableColumn id="4" xr3:uid="{2970BED3-C674-4D40-9829-ED533904CB2E}" uniqueName="4" name="Humidity" queryTableFieldId="4"/>
    <tableColumn id="5" xr3:uid="{A89982B7-C881-4FCB-A39F-5E9B24E60171}" uniqueName="5" name="Pressure" queryTableFieldId="5"/>
    <tableColumn id="7" xr3:uid="{6BB7D1B8-C911-480C-BBB2-8908E7D31E5D}" uniqueName="7" name="Wind Average Speed" queryTableFieldId="7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CC998-E7D7-4AF6-95FB-0841D794CF0F}" name="_20210717210500_weatherstation_1" displayName="_20210717210500_weatherstation_1" ref="A1:G113" tableType="queryTable" totalsRowShown="0">
  <autoFilter ref="A1:G113" xr:uid="{F4ACC998-E7D7-4AF6-95FB-0841D794CF0F}"/>
  <tableColumns count="7">
    <tableColumn id="1" xr3:uid="{C7EE95BF-97A2-4A50-AEFA-A8D64ECC9533}" uniqueName="1" name="Date Time" queryTableFieldId="1" dataDxfId="11"/>
    <tableColumn id="2" xr3:uid="{4CAC8769-F271-4CB0-8D2B-518383111A7A}" uniqueName="2" name="Time" queryTableFieldId="2" dataDxfId="10"/>
    <tableColumn id="3" xr3:uid="{98C72B01-1529-4E83-939C-150AD32A9FD2}" uniqueName="3" name="Air Temperature" queryTableFieldId="3"/>
    <tableColumn id="4" xr3:uid="{2897C0A1-3335-4F3B-8868-15DEB86447EA}" uniqueName="4" name="Track Temperature" queryTableFieldId="4"/>
    <tableColumn id="5" xr3:uid="{97091599-ED1E-4244-B983-8E47D705B9B9}" uniqueName="5" name="Humidity" queryTableFieldId="5"/>
    <tableColumn id="6" xr3:uid="{642BB2C7-AD65-4956-80C4-48C599DD58EE}" uniqueName="6" name="Pressure" queryTableFieldId="6"/>
    <tableColumn id="8" xr3:uid="{3706C01B-0E5B-4539-8B74-D526B2F81DAD}" uniqueName="8" name="Wind Average Speed" queryTableFieldId="8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35643C-B8BC-4A22-95E2-DE62E727673B}" name="_20210717210500_weatherstation_1__1" displayName="_20210717210500_weatherstation_1__1" ref="A1:G88" tableType="queryTable" totalsRowShown="0">
  <autoFilter ref="A1:G88" xr:uid="{AE35643C-B8BC-4A22-95E2-DE62E727673B}"/>
  <tableColumns count="7">
    <tableColumn id="1" xr3:uid="{78AA4825-BAA7-473D-B1CC-3892890BA04E}" uniqueName="1" name="Date Time" queryTableFieldId="1" dataDxfId="9"/>
    <tableColumn id="2" xr3:uid="{325F28CA-0A49-4FC1-8370-F5A23702EB82}" uniqueName="2" name="Time" queryTableFieldId="2" dataDxfId="8"/>
    <tableColumn id="3" xr3:uid="{8B75F842-55A4-4A82-97DA-37D37C19B37C}" uniqueName="3" name="Air Temperature" queryTableFieldId="3"/>
    <tableColumn id="4" xr3:uid="{129EFEFC-3B1B-4D4F-9E54-92789B336BCD}" uniqueName="4" name="Track Temperature" queryTableFieldId="4"/>
    <tableColumn id="5" xr3:uid="{4A49E671-177A-4B0F-8B7C-EFE52F28EF22}" uniqueName="5" name="Humidity" queryTableFieldId="5"/>
    <tableColumn id="6" xr3:uid="{AAFFD3A5-EC02-4E4C-AF84-A24FCADE0ED2}" uniqueName="6" name="Pressure" queryTableFieldId="6"/>
    <tableColumn id="8" xr3:uid="{6CF0A9AD-BC08-4ACE-8933-7E58AFF94637}" uniqueName="8" name="Wind Average Speed" queryTableFieldId="8"/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667634-106B-493E-81B5-34E9DD32E430}" name="_709_Cockpit_data_Quali" displayName="_709_Cockpit_data_Quali" ref="A1:E22" tableType="queryTable" totalsRowShown="0">
  <autoFilter ref="A1:E22" xr:uid="{41667634-106B-493E-81B5-34E9DD32E430}"/>
  <tableColumns count="5">
    <tableColumn id="3" xr3:uid="{508B55ED-DC46-4E74-BDD6-123B2F8C1177}" uniqueName="3" name="Column3" queryTableFieldId="3" dataDxfId="4"/>
    <tableColumn id="4" xr3:uid="{51E01762-F005-44CC-AB41-3FF63FEB7D82}" uniqueName="4" name="Column4" queryTableFieldId="4" dataDxfId="3"/>
    <tableColumn id="5" xr3:uid="{240AD52F-5595-415E-A2F6-F2053805B489}" uniqueName="5" name="Column5" queryTableFieldId="5" dataDxfId="2"/>
    <tableColumn id="6" xr3:uid="{7149791A-C8EC-4A9D-9025-DA2657AB3093}" uniqueName="6" name="Column6" queryTableFieldId="6" dataDxfId="1"/>
    <tableColumn id="7" xr3:uid="{C281A5BA-DB67-4E58-A3FF-70B79FC8DA9D}" uniqueName="7" name="Column7" queryTableFieldId="7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E90F1C-965D-4CD5-912B-C96B64CF3B97}" name="_20210717210500_weatherstation_1__2" displayName="_20210717210500_weatherstation_1__2" ref="A1:G21" tableType="queryTable" totalsRowShown="0">
  <autoFilter ref="A1:G21" xr:uid="{42E90F1C-965D-4CD5-912B-C96B64CF3B97}"/>
  <tableColumns count="7">
    <tableColumn id="1" xr3:uid="{BA2D5512-9CD6-4F36-8710-4E60AFD0631C}" uniqueName="1" name="Date Time" queryTableFieldId="1" dataDxfId="6"/>
    <tableColumn id="2" xr3:uid="{FD1F5BDA-C59C-4775-9B0A-E9D683CBC200}" uniqueName="2" name="Time" queryTableFieldId="2" dataDxfId="5"/>
    <tableColumn id="3" xr3:uid="{C62E11FB-5A4A-4802-B7FF-0843CE2EFE87}" uniqueName="3" name="Air Temperature" queryTableFieldId="3"/>
    <tableColumn id="4" xr3:uid="{2844705A-27C9-4DFC-8016-69CD354F09AD}" uniqueName="4" name="Track Temperature" queryTableFieldId="4"/>
    <tableColumn id="5" xr3:uid="{CE8FFC99-DB21-44F7-B1FA-ADC66C2320AE}" uniqueName="5" name="Humidity" queryTableFieldId="5"/>
    <tableColumn id="6" xr3:uid="{ED4BA506-F890-4CD3-9139-2803855C7A8A}" uniqueName="6" name="Pressure" queryTableFieldId="6"/>
    <tableColumn id="8" xr3:uid="{FA8AFEA4-23B0-48EC-B7C3-55DD66C10F96}" uniqueName="8" name="Wind Average Speed" queryTableFieldId="8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464A-CF6D-4B9D-8A45-438F1844F5F5}">
  <dimension ref="A1:N170"/>
  <sheetViews>
    <sheetView zoomScale="55" zoomScaleNormal="55" workbookViewId="0">
      <selection activeCell="AN38" sqref="AN38"/>
    </sheetView>
  </sheetViews>
  <sheetFormatPr defaultRowHeight="15" x14ac:dyDescent="0.25"/>
  <cols>
    <col min="1" max="1" width="10.42578125" bestFit="1" customWidth="1"/>
    <col min="2" max="2" width="18" bestFit="1" customWidth="1"/>
    <col min="3" max="3" width="20.140625" bestFit="1" customWidth="1"/>
    <col min="4" max="4" width="11.42578125" bestFit="1" customWidth="1"/>
    <col min="5" max="5" width="11" bestFit="1" customWidth="1"/>
    <col min="6" max="6" width="22.140625" bestFit="1" customWidth="1"/>
    <col min="7" max="7" width="3.7109375" customWidth="1"/>
    <col min="8" max="8" width="15" bestFit="1" customWidth="1"/>
    <col min="9" max="9" width="16.28515625" bestFit="1" customWidth="1"/>
    <col min="10" max="10" width="18.5703125" bestFit="1" customWidth="1"/>
    <col min="11" max="11" width="16.42578125" bestFit="1" customWidth="1"/>
    <col min="12" max="12" width="16.140625" bestFit="1" customWidth="1"/>
    <col min="13" max="13" width="13.5703125" bestFit="1" customWidth="1"/>
    <col min="14" max="14" width="16.28515625" bestFit="1" customWidth="1"/>
  </cols>
  <sheetData>
    <row r="1" spans="1:14" ht="15.75" thickBot="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H1" s="5" t="s">
        <v>12</v>
      </c>
      <c r="I1" s="6" t="s">
        <v>13</v>
      </c>
      <c r="J1" s="6" t="s">
        <v>14</v>
      </c>
      <c r="K1" s="6" t="s">
        <v>15</v>
      </c>
      <c r="L1" s="13" t="s">
        <v>16</v>
      </c>
      <c r="M1" s="7" t="s">
        <v>176</v>
      </c>
      <c r="N1" s="8" t="s">
        <v>177</v>
      </c>
    </row>
    <row r="2" spans="1:14" x14ac:dyDescent="0.25">
      <c r="A2" s="2">
        <v>0.67708333333333337</v>
      </c>
      <c r="B2">
        <v>24.8</v>
      </c>
      <c r="C2">
        <v>44.9</v>
      </c>
      <c r="D2">
        <v>48</v>
      </c>
      <c r="E2">
        <v>992.5</v>
      </c>
      <c r="F2">
        <v>6.8</v>
      </c>
      <c r="H2" s="14">
        <v>1.4590000000000001</v>
      </c>
      <c r="I2" s="9">
        <v>32.799999999999997</v>
      </c>
      <c r="J2" s="9">
        <v>28.3</v>
      </c>
      <c r="K2" s="15">
        <v>16</v>
      </c>
      <c r="L2" s="16">
        <v>15</v>
      </c>
      <c r="M2">
        <f>I2-_20210716214800_weatherstation_1[[#This Row],[Air Temperature]]</f>
        <v>7.9999999999999964</v>
      </c>
      <c r="N2">
        <f>I2-_20210716214800_weatherstation_1[[#This Row],[Track Temperature]]</f>
        <v>-12.100000000000001</v>
      </c>
    </row>
    <row r="3" spans="1:14" x14ac:dyDescent="0.25">
      <c r="A3" s="2">
        <v>0.67777777777777781</v>
      </c>
      <c r="B3">
        <v>24.5</v>
      </c>
      <c r="C3">
        <v>44</v>
      </c>
      <c r="D3">
        <v>49</v>
      </c>
      <c r="E3">
        <v>992.4</v>
      </c>
      <c r="F3">
        <v>6.8</v>
      </c>
      <c r="H3" s="17">
        <v>0.84599999999999997</v>
      </c>
      <c r="I3" s="12">
        <v>32.5</v>
      </c>
      <c r="J3" s="12">
        <v>28.4</v>
      </c>
      <c r="K3" s="18">
        <v>16</v>
      </c>
      <c r="L3" s="19">
        <v>16</v>
      </c>
      <c r="M3">
        <f>I3-_20210716214800_weatherstation_1[[#This Row],[Air Temperature]]</f>
        <v>8</v>
      </c>
      <c r="N3">
        <f>I3-_20210716214800_weatherstation_1[[#This Row],[Track Temperature]]</f>
        <v>-11.5</v>
      </c>
    </row>
    <row r="4" spans="1:14" x14ac:dyDescent="0.25">
      <c r="A4" s="2">
        <v>0.67847222222222225</v>
      </c>
      <c r="B4">
        <v>24.3</v>
      </c>
      <c r="C4">
        <v>43.4</v>
      </c>
      <c r="D4">
        <v>49</v>
      </c>
      <c r="E4">
        <v>992.5</v>
      </c>
      <c r="F4">
        <v>4</v>
      </c>
      <c r="H4" s="14">
        <v>0.23300000000000001</v>
      </c>
      <c r="I4" s="9">
        <v>32.1</v>
      </c>
      <c r="J4" s="9">
        <v>28.6</v>
      </c>
      <c r="K4" s="15">
        <v>16</v>
      </c>
      <c r="L4" s="16">
        <v>17</v>
      </c>
      <c r="M4">
        <f>I4-_20210716214800_weatherstation_1[[#This Row],[Air Temperature]]</f>
        <v>7.8000000000000007</v>
      </c>
      <c r="N4">
        <f>I4-_20210716214800_weatherstation_1[[#This Row],[Track Temperature]]</f>
        <v>-11.299999999999997</v>
      </c>
    </row>
    <row r="5" spans="1:14" x14ac:dyDescent="0.25">
      <c r="A5" s="2">
        <v>0.6791666666666667</v>
      </c>
      <c r="B5">
        <v>24.4</v>
      </c>
      <c r="C5">
        <v>43.5</v>
      </c>
      <c r="D5">
        <v>48</v>
      </c>
      <c r="E5">
        <v>992.5</v>
      </c>
      <c r="F5">
        <v>6.8</v>
      </c>
      <c r="H5" s="17">
        <v>8.0969999999999995</v>
      </c>
      <c r="I5" s="12">
        <v>32.5</v>
      </c>
      <c r="J5" s="12">
        <v>27.7</v>
      </c>
      <c r="K5" s="18">
        <v>16</v>
      </c>
      <c r="L5" s="19">
        <v>17</v>
      </c>
      <c r="M5">
        <f>I5-_20210716214800_weatherstation_1[[#This Row],[Air Temperature]]</f>
        <v>8.1000000000000014</v>
      </c>
      <c r="N5">
        <f>I5-_20210716214800_weatherstation_1[[#This Row],[Track Temperature]]</f>
        <v>-11</v>
      </c>
    </row>
    <row r="6" spans="1:14" x14ac:dyDescent="0.25">
      <c r="A6" s="2">
        <v>0.67986111111111114</v>
      </c>
      <c r="B6">
        <v>24.3</v>
      </c>
      <c r="C6">
        <v>43.5</v>
      </c>
      <c r="D6">
        <v>49</v>
      </c>
      <c r="E6">
        <v>992.4</v>
      </c>
      <c r="F6">
        <v>6.1</v>
      </c>
      <c r="H6" s="14">
        <v>9.1850000000000005</v>
      </c>
      <c r="I6" s="9">
        <v>33.6</v>
      </c>
      <c r="J6" s="9">
        <v>24.3</v>
      </c>
      <c r="K6" s="15">
        <v>16</v>
      </c>
      <c r="L6" s="16">
        <v>18</v>
      </c>
      <c r="M6">
        <f>I6-_20210716214800_weatherstation_1[[#This Row],[Air Temperature]]</f>
        <v>9.3000000000000007</v>
      </c>
      <c r="N6">
        <f>I6-_20210716214800_weatherstation_1[[#This Row],[Track Temperature]]</f>
        <v>-9.8999999999999986</v>
      </c>
    </row>
    <row r="7" spans="1:14" x14ac:dyDescent="0.25">
      <c r="A7" s="2">
        <v>0.68055555555555558</v>
      </c>
      <c r="B7">
        <v>24.4</v>
      </c>
      <c r="C7">
        <v>43.5</v>
      </c>
      <c r="D7">
        <v>49</v>
      </c>
      <c r="E7">
        <v>992.5</v>
      </c>
      <c r="F7">
        <v>3.6</v>
      </c>
      <c r="H7" s="17">
        <v>8.548</v>
      </c>
      <c r="I7" s="12">
        <v>34.5</v>
      </c>
      <c r="J7" s="12">
        <v>25</v>
      </c>
      <c r="K7" s="18">
        <v>16</v>
      </c>
      <c r="L7" s="19">
        <v>19</v>
      </c>
      <c r="M7">
        <f>I7-_20210716214800_weatherstation_1[[#This Row],[Air Temperature]]</f>
        <v>10.100000000000001</v>
      </c>
      <c r="N7">
        <f>I7-_20210716214800_weatherstation_1[[#This Row],[Track Temperature]]</f>
        <v>-9</v>
      </c>
    </row>
    <row r="8" spans="1:14" x14ac:dyDescent="0.25">
      <c r="A8" s="2">
        <v>0.68125000000000002</v>
      </c>
      <c r="B8">
        <v>24.3</v>
      </c>
      <c r="C8">
        <v>43.4</v>
      </c>
      <c r="D8">
        <v>49</v>
      </c>
      <c r="E8">
        <v>992.5</v>
      </c>
      <c r="F8">
        <v>5</v>
      </c>
      <c r="H8" s="14">
        <v>6.0739999999999998</v>
      </c>
      <c r="I8" s="9">
        <v>33.4</v>
      </c>
      <c r="J8" s="9">
        <v>24.1</v>
      </c>
      <c r="K8" s="15">
        <v>16</v>
      </c>
      <c r="L8" s="16">
        <v>21</v>
      </c>
      <c r="M8">
        <f>I8-_20210716214800_weatherstation_1[[#This Row],[Air Temperature]]</f>
        <v>9.0999999999999979</v>
      </c>
      <c r="N8">
        <f>I8-_20210716214800_weatherstation_1[[#This Row],[Track Temperature]]</f>
        <v>-10</v>
      </c>
    </row>
    <row r="9" spans="1:14" x14ac:dyDescent="0.25">
      <c r="A9" s="2">
        <v>0.68194444444444446</v>
      </c>
      <c r="B9">
        <v>24</v>
      </c>
      <c r="C9">
        <v>42.7</v>
      </c>
      <c r="D9">
        <v>50</v>
      </c>
      <c r="E9">
        <v>992.5</v>
      </c>
      <c r="F9">
        <v>4.7</v>
      </c>
      <c r="H9" s="17">
        <v>0</v>
      </c>
      <c r="I9" s="12">
        <v>31.5</v>
      </c>
      <c r="J9" s="12">
        <v>24.5</v>
      </c>
      <c r="K9" s="18">
        <v>16</v>
      </c>
      <c r="L9" s="19">
        <v>23</v>
      </c>
      <c r="M9">
        <f>I9-_20210716214800_weatherstation_1[[#This Row],[Air Temperature]]</f>
        <v>7.5</v>
      </c>
      <c r="N9">
        <f>I9-_20210716214800_weatherstation_1[[#This Row],[Track Temperature]]</f>
        <v>-11.200000000000003</v>
      </c>
    </row>
    <row r="10" spans="1:14" x14ac:dyDescent="0.25">
      <c r="A10" s="2">
        <v>0.68263888888888891</v>
      </c>
      <c r="B10">
        <v>23.8</v>
      </c>
      <c r="C10">
        <v>42.7</v>
      </c>
      <c r="D10">
        <v>51</v>
      </c>
      <c r="E10">
        <v>992.4</v>
      </c>
      <c r="F10">
        <v>6.8</v>
      </c>
      <c r="H10" s="14">
        <v>8.0920000000000005</v>
      </c>
      <c r="I10" s="9">
        <v>31.8</v>
      </c>
      <c r="J10" s="9">
        <v>25</v>
      </c>
      <c r="K10" s="15">
        <v>16</v>
      </c>
      <c r="L10" s="16">
        <v>24</v>
      </c>
      <c r="M10">
        <f>I10-_20210716214800_weatherstation_1[[#This Row],[Air Temperature]]</f>
        <v>8</v>
      </c>
      <c r="N10">
        <f>I10-_20210716214800_weatherstation_1[[#This Row],[Track Temperature]]</f>
        <v>-10.900000000000002</v>
      </c>
    </row>
    <row r="11" spans="1:14" x14ac:dyDescent="0.25">
      <c r="A11" s="2">
        <v>0.68333333333333335</v>
      </c>
      <c r="B11">
        <v>23.6</v>
      </c>
      <c r="C11">
        <v>42.5</v>
      </c>
      <c r="D11">
        <v>52</v>
      </c>
      <c r="E11">
        <v>992.5</v>
      </c>
      <c r="F11">
        <v>2.2000000000000002</v>
      </c>
      <c r="H11" s="17">
        <v>8.4030000000000005</v>
      </c>
      <c r="I11" s="12">
        <v>31.8</v>
      </c>
      <c r="J11" s="12">
        <v>22.4</v>
      </c>
      <c r="K11" s="18">
        <v>16</v>
      </c>
      <c r="L11" s="19">
        <v>25</v>
      </c>
      <c r="M11">
        <f>I11-_20210716214800_weatherstation_1[[#This Row],[Air Temperature]]</f>
        <v>8.1999999999999993</v>
      </c>
      <c r="N11">
        <f>I11-_20210716214800_weatherstation_1[[#This Row],[Track Temperature]]</f>
        <v>-10.7</v>
      </c>
    </row>
    <row r="12" spans="1:14" x14ac:dyDescent="0.25">
      <c r="A12" s="2">
        <v>0.68402777777777779</v>
      </c>
      <c r="B12">
        <v>23.8</v>
      </c>
      <c r="C12">
        <v>42.9</v>
      </c>
      <c r="D12">
        <v>52</v>
      </c>
      <c r="E12">
        <v>992.4</v>
      </c>
      <c r="F12">
        <v>3.6</v>
      </c>
      <c r="H12" s="14">
        <v>8.7319999999999993</v>
      </c>
      <c r="I12" s="9">
        <v>31.5</v>
      </c>
      <c r="J12" s="9">
        <v>22</v>
      </c>
      <c r="K12" s="15">
        <v>16</v>
      </c>
      <c r="L12" s="16">
        <v>26</v>
      </c>
      <c r="M12">
        <f>I12-_20210716214800_weatherstation_1[[#This Row],[Air Temperature]]</f>
        <v>7.6999999999999993</v>
      </c>
      <c r="N12">
        <f>I12-_20210716214800_weatherstation_1[[#This Row],[Track Temperature]]</f>
        <v>-11.399999999999999</v>
      </c>
    </row>
    <row r="13" spans="1:14" x14ac:dyDescent="0.25">
      <c r="A13" s="2">
        <v>0.68680555555555556</v>
      </c>
      <c r="B13">
        <v>24.1</v>
      </c>
      <c r="C13">
        <v>42.6</v>
      </c>
      <c r="D13">
        <v>50</v>
      </c>
      <c r="E13">
        <v>992.3</v>
      </c>
      <c r="F13">
        <v>7.2</v>
      </c>
      <c r="H13" s="17">
        <v>9.2970000000000006</v>
      </c>
      <c r="I13" s="12">
        <v>31.4</v>
      </c>
      <c r="J13" s="12">
        <v>23.1</v>
      </c>
      <c r="K13" s="18">
        <v>16</v>
      </c>
      <c r="L13" s="19">
        <v>27</v>
      </c>
      <c r="M13">
        <f>I13-_20210716214800_weatherstation_1[[#This Row],[Air Temperature]]</f>
        <v>7.2999999999999972</v>
      </c>
      <c r="N13">
        <f>I13-_20210716214800_weatherstation_1[[#This Row],[Track Temperature]]</f>
        <v>-11.200000000000003</v>
      </c>
    </row>
    <row r="14" spans="1:14" x14ac:dyDescent="0.25">
      <c r="A14" s="2">
        <v>0.6875</v>
      </c>
      <c r="B14">
        <v>23.9</v>
      </c>
      <c r="C14">
        <v>42.4</v>
      </c>
      <c r="D14">
        <v>51</v>
      </c>
      <c r="E14">
        <v>992.3</v>
      </c>
      <c r="F14">
        <v>2.9</v>
      </c>
      <c r="H14" s="14">
        <v>3.6019999999999999</v>
      </c>
      <c r="I14" s="9">
        <v>30.5</v>
      </c>
      <c r="J14" s="9">
        <v>24.9</v>
      </c>
      <c r="K14" s="15">
        <v>16</v>
      </c>
      <c r="L14" s="16">
        <v>28</v>
      </c>
      <c r="M14">
        <f>I14-_20210716214800_weatherstation_1[[#This Row],[Air Temperature]]</f>
        <v>6.6000000000000014</v>
      </c>
      <c r="N14">
        <f>I14-_20210716214800_weatherstation_1[[#This Row],[Track Temperature]]</f>
        <v>-11.899999999999999</v>
      </c>
    </row>
    <row r="15" spans="1:14" x14ac:dyDescent="0.25">
      <c r="A15" s="2">
        <v>0.68819444444444444</v>
      </c>
      <c r="B15">
        <v>23.9</v>
      </c>
      <c r="C15">
        <v>42.6</v>
      </c>
      <c r="D15">
        <v>50</v>
      </c>
      <c r="E15">
        <v>992.2</v>
      </c>
      <c r="F15">
        <v>3.2</v>
      </c>
      <c r="H15" s="17">
        <v>8.9179999999999993</v>
      </c>
      <c r="I15" s="12">
        <v>30.5</v>
      </c>
      <c r="J15" s="12">
        <v>25.6</v>
      </c>
      <c r="K15" s="18">
        <v>16</v>
      </c>
      <c r="L15" s="19">
        <v>29</v>
      </c>
      <c r="M15">
        <f>I15-_20210716214800_weatherstation_1[[#This Row],[Air Temperature]]</f>
        <v>6.6000000000000014</v>
      </c>
      <c r="N15">
        <f>I15-_20210716214800_weatherstation_1[[#This Row],[Track Temperature]]</f>
        <v>-12.100000000000001</v>
      </c>
    </row>
    <row r="16" spans="1:14" x14ac:dyDescent="0.25">
      <c r="A16" s="2">
        <v>0.68888888888888888</v>
      </c>
      <c r="B16">
        <v>23.9</v>
      </c>
      <c r="C16">
        <v>42.4</v>
      </c>
      <c r="D16">
        <v>50</v>
      </c>
      <c r="E16">
        <v>992.2</v>
      </c>
      <c r="F16">
        <v>2.9</v>
      </c>
      <c r="H16" s="14">
        <v>8.7639999999999993</v>
      </c>
      <c r="I16" s="9">
        <v>31.6</v>
      </c>
      <c r="J16" s="9">
        <v>23.6</v>
      </c>
      <c r="K16" s="15">
        <v>16</v>
      </c>
      <c r="L16" s="16">
        <v>30</v>
      </c>
      <c r="M16">
        <f>I16-_20210716214800_weatherstation_1[[#This Row],[Air Temperature]]</f>
        <v>7.7000000000000028</v>
      </c>
      <c r="N16">
        <f>I16-_20210716214800_weatherstation_1[[#This Row],[Track Temperature]]</f>
        <v>-10.799999999999997</v>
      </c>
    </row>
    <row r="17" spans="1:14" x14ac:dyDescent="0.25">
      <c r="A17" s="2">
        <v>0.68958333333333333</v>
      </c>
      <c r="B17">
        <v>24</v>
      </c>
      <c r="C17">
        <v>42.4</v>
      </c>
      <c r="D17">
        <v>50</v>
      </c>
      <c r="E17">
        <v>992.3</v>
      </c>
      <c r="F17">
        <v>3.2</v>
      </c>
      <c r="H17" s="17">
        <v>9.4079999999999995</v>
      </c>
      <c r="I17" s="12">
        <v>31.9</v>
      </c>
      <c r="J17" s="12">
        <v>22.7</v>
      </c>
      <c r="K17" s="18">
        <v>16</v>
      </c>
      <c r="L17" s="19">
        <v>31</v>
      </c>
      <c r="M17">
        <f>I17-_20210716214800_weatherstation_1[[#This Row],[Air Temperature]]</f>
        <v>7.8999999999999986</v>
      </c>
      <c r="N17">
        <f>I17-_20210716214800_weatherstation_1[[#This Row],[Track Temperature]]</f>
        <v>-10.5</v>
      </c>
    </row>
    <row r="18" spans="1:14" x14ac:dyDescent="0.25">
      <c r="A18" s="2">
        <v>0.69027777777777777</v>
      </c>
      <c r="B18">
        <v>24</v>
      </c>
      <c r="C18">
        <v>42.2</v>
      </c>
      <c r="D18">
        <v>50</v>
      </c>
      <c r="E18">
        <v>992.2</v>
      </c>
      <c r="F18">
        <v>5</v>
      </c>
      <c r="H18" s="14">
        <v>8.3640000000000008</v>
      </c>
      <c r="I18" s="9">
        <v>31.7</v>
      </c>
      <c r="J18" s="9">
        <v>23.4</v>
      </c>
      <c r="K18" s="15">
        <v>16</v>
      </c>
      <c r="L18" s="16">
        <v>32</v>
      </c>
      <c r="M18">
        <f>I18-_20210716214800_weatherstation_1[[#This Row],[Air Temperature]]</f>
        <v>7.6999999999999993</v>
      </c>
      <c r="N18">
        <f>I18-_20210716214800_weatherstation_1[[#This Row],[Track Temperature]]</f>
        <v>-10.500000000000004</v>
      </c>
    </row>
    <row r="19" spans="1:14" x14ac:dyDescent="0.25">
      <c r="A19" s="2">
        <v>0.69097222222222221</v>
      </c>
      <c r="B19">
        <v>23.8</v>
      </c>
      <c r="C19">
        <v>42.2</v>
      </c>
      <c r="D19">
        <v>50</v>
      </c>
      <c r="E19">
        <v>992.2</v>
      </c>
      <c r="F19">
        <v>6.1</v>
      </c>
      <c r="H19" s="17">
        <v>6.298</v>
      </c>
      <c r="I19" s="12">
        <v>31.5</v>
      </c>
      <c r="J19" s="12">
        <v>24.1</v>
      </c>
      <c r="K19" s="18">
        <v>16</v>
      </c>
      <c r="L19" s="19">
        <v>33</v>
      </c>
      <c r="M19">
        <f>I19-_20210716214800_weatherstation_1[[#This Row],[Air Temperature]]</f>
        <v>7.6999999999999993</v>
      </c>
      <c r="N19">
        <f>I19-_20210716214800_weatherstation_1[[#This Row],[Track Temperature]]</f>
        <v>-10.700000000000003</v>
      </c>
    </row>
    <row r="20" spans="1:14" x14ac:dyDescent="0.25">
      <c r="A20" s="2">
        <v>0.69166666666666665</v>
      </c>
      <c r="B20">
        <v>23.5</v>
      </c>
      <c r="C20">
        <v>41.8</v>
      </c>
      <c r="D20">
        <v>52</v>
      </c>
      <c r="E20">
        <v>992.2</v>
      </c>
      <c r="F20">
        <v>4.7</v>
      </c>
      <c r="H20" s="14">
        <v>4.2309999999999999</v>
      </c>
      <c r="I20" s="9">
        <v>31.3</v>
      </c>
      <c r="J20" s="9">
        <v>24.7</v>
      </c>
      <c r="K20" s="15">
        <v>16</v>
      </c>
      <c r="L20" s="16">
        <v>34</v>
      </c>
      <c r="M20">
        <f>I20-_20210716214800_weatherstation_1[[#This Row],[Air Temperature]]</f>
        <v>7.8000000000000007</v>
      </c>
      <c r="N20">
        <f>I20-_20210716214800_weatherstation_1[[#This Row],[Track Temperature]]</f>
        <v>-10.499999999999996</v>
      </c>
    </row>
    <row r="21" spans="1:14" x14ac:dyDescent="0.25">
      <c r="A21" s="2">
        <v>0.69236111111111109</v>
      </c>
      <c r="B21">
        <v>23.3</v>
      </c>
      <c r="C21">
        <v>41.8</v>
      </c>
      <c r="D21">
        <v>53</v>
      </c>
      <c r="E21">
        <v>992.2</v>
      </c>
      <c r="F21">
        <v>5</v>
      </c>
      <c r="H21" s="17">
        <v>2.165</v>
      </c>
      <c r="I21" s="12">
        <v>31.1</v>
      </c>
      <c r="J21" s="12">
        <v>25.4</v>
      </c>
      <c r="K21" s="18">
        <v>16</v>
      </c>
      <c r="L21" s="19">
        <v>35</v>
      </c>
      <c r="M21">
        <f>I21-_20210716214800_weatherstation_1[[#This Row],[Air Temperature]]</f>
        <v>7.8000000000000007</v>
      </c>
      <c r="N21">
        <f>I21-_20210716214800_weatherstation_1[[#This Row],[Track Temperature]]</f>
        <v>-10.699999999999996</v>
      </c>
    </row>
    <row r="22" spans="1:14" x14ac:dyDescent="0.25">
      <c r="A22" s="2">
        <v>0.69305555555555554</v>
      </c>
      <c r="B22">
        <v>23.2</v>
      </c>
      <c r="C22">
        <v>42.1</v>
      </c>
      <c r="D22">
        <v>54</v>
      </c>
      <c r="E22">
        <v>992.2</v>
      </c>
      <c r="F22">
        <v>4</v>
      </c>
      <c r="H22" s="14">
        <v>9.9000000000000005E-2</v>
      </c>
      <c r="I22" s="9">
        <v>30.9</v>
      </c>
      <c r="J22" s="9">
        <v>26.1</v>
      </c>
      <c r="K22" s="15">
        <v>16</v>
      </c>
      <c r="L22" s="16">
        <v>36</v>
      </c>
      <c r="M22">
        <f>I22-_20210716214800_weatherstation_1[[#This Row],[Air Temperature]]</f>
        <v>7.6999999999999993</v>
      </c>
      <c r="N22">
        <f>I22-_20210716214800_weatherstation_1[[#This Row],[Track Temperature]]</f>
        <v>-11.200000000000003</v>
      </c>
    </row>
    <row r="23" spans="1:14" x14ac:dyDescent="0.25">
      <c r="A23" s="2">
        <v>0.69374999999999998</v>
      </c>
      <c r="B23">
        <v>23.4</v>
      </c>
      <c r="C23">
        <v>42.3</v>
      </c>
      <c r="D23">
        <v>53</v>
      </c>
      <c r="E23">
        <v>992.2</v>
      </c>
      <c r="F23">
        <v>1.4</v>
      </c>
      <c r="H23" s="17">
        <v>8.4770000000000003</v>
      </c>
      <c r="I23" s="12">
        <v>30.7</v>
      </c>
      <c r="J23" s="12">
        <v>26.1</v>
      </c>
      <c r="K23" s="18">
        <v>16</v>
      </c>
      <c r="L23" s="19">
        <v>37</v>
      </c>
      <c r="M23">
        <f>I23-_20210716214800_weatherstation_1[[#This Row],[Air Temperature]]</f>
        <v>7.3000000000000007</v>
      </c>
      <c r="N23">
        <f>I23-_20210716214800_weatherstation_1[[#This Row],[Track Temperature]]</f>
        <v>-11.599999999999998</v>
      </c>
    </row>
    <row r="24" spans="1:14" x14ac:dyDescent="0.25">
      <c r="A24" s="2">
        <v>0.69444444444444442</v>
      </c>
      <c r="B24">
        <v>23.5</v>
      </c>
      <c r="C24">
        <v>42.8</v>
      </c>
      <c r="D24">
        <v>53</v>
      </c>
      <c r="E24">
        <v>992.2</v>
      </c>
      <c r="F24">
        <v>4</v>
      </c>
      <c r="H24" s="14">
        <v>8.1300000000000008</v>
      </c>
      <c r="I24" s="9">
        <v>30.9</v>
      </c>
      <c r="J24" s="9">
        <v>26.5</v>
      </c>
      <c r="K24" s="15">
        <v>16</v>
      </c>
      <c r="L24" s="16">
        <v>38</v>
      </c>
      <c r="M24">
        <f>I24-_20210716214800_weatherstation_1[[#This Row],[Air Temperature]]</f>
        <v>7.3999999999999986</v>
      </c>
      <c r="N24">
        <f>I24-_20210716214800_weatherstation_1[[#This Row],[Track Temperature]]</f>
        <v>-11.899999999999999</v>
      </c>
    </row>
    <row r="25" spans="1:14" x14ac:dyDescent="0.25">
      <c r="A25" s="2">
        <v>0.69513888888888886</v>
      </c>
      <c r="B25">
        <v>23.4</v>
      </c>
      <c r="C25">
        <v>42.1</v>
      </c>
      <c r="D25">
        <v>53</v>
      </c>
      <c r="E25">
        <v>992.1</v>
      </c>
      <c r="F25">
        <v>3.2</v>
      </c>
      <c r="H25" s="17">
        <v>9.6910000000000007</v>
      </c>
      <c r="I25" s="12">
        <v>31.3</v>
      </c>
      <c r="J25" s="12">
        <v>22.9</v>
      </c>
      <c r="K25" s="18">
        <v>16</v>
      </c>
      <c r="L25" s="19">
        <v>39</v>
      </c>
      <c r="M25">
        <f>I25-_20210716214800_weatherstation_1[[#This Row],[Air Temperature]]</f>
        <v>7.9000000000000021</v>
      </c>
      <c r="N25">
        <f>I25-_20210716214800_weatherstation_1[[#This Row],[Track Temperature]]</f>
        <v>-10.8</v>
      </c>
    </row>
    <row r="26" spans="1:14" x14ac:dyDescent="0.25">
      <c r="A26" s="2">
        <v>0.6958333333333333</v>
      </c>
      <c r="B26">
        <v>23.4</v>
      </c>
      <c r="C26">
        <v>42.3</v>
      </c>
      <c r="D26">
        <v>53</v>
      </c>
      <c r="E26">
        <v>992.2</v>
      </c>
      <c r="F26">
        <v>6.1</v>
      </c>
      <c r="H26" s="14">
        <v>9.298</v>
      </c>
      <c r="I26" s="9">
        <v>31.4</v>
      </c>
      <c r="J26" s="9">
        <v>22.7</v>
      </c>
      <c r="K26" s="15">
        <v>16</v>
      </c>
      <c r="L26" s="16">
        <v>40</v>
      </c>
      <c r="M26">
        <f>I26-_20210716214800_weatherstation_1[[#This Row],[Air Temperature]]</f>
        <v>8</v>
      </c>
      <c r="N26">
        <f>I26-_20210716214800_weatherstation_1[[#This Row],[Track Temperature]]</f>
        <v>-10.899999999999999</v>
      </c>
    </row>
    <row r="27" spans="1:14" x14ac:dyDescent="0.25">
      <c r="A27" s="2">
        <v>0.69652777777777775</v>
      </c>
      <c r="B27">
        <v>23.4</v>
      </c>
      <c r="C27">
        <v>42</v>
      </c>
      <c r="D27">
        <v>54</v>
      </c>
      <c r="E27">
        <v>992.1</v>
      </c>
      <c r="F27">
        <v>4</v>
      </c>
      <c r="H27" s="17">
        <v>9.1950000000000003</v>
      </c>
      <c r="I27" s="12">
        <v>31.6</v>
      </c>
      <c r="J27" s="12">
        <v>23.1</v>
      </c>
      <c r="K27" s="18">
        <v>16</v>
      </c>
      <c r="L27" s="19">
        <v>41</v>
      </c>
      <c r="M27">
        <f>I27-_20210716214800_weatherstation_1[[#This Row],[Air Temperature]]</f>
        <v>8.2000000000000028</v>
      </c>
      <c r="N27">
        <f>I27-_20210716214800_weatherstation_1[[#This Row],[Track Temperature]]</f>
        <v>-10.399999999999999</v>
      </c>
    </row>
    <row r="28" spans="1:14" x14ac:dyDescent="0.25">
      <c r="A28" s="2">
        <v>0.69722222222222219</v>
      </c>
      <c r="B28">
        <v>23.3</v>
      </c>
      <c r="C28">
        <v>41.9</v>
      </c>
      <c r="D28">
        <v>54</v>
      </c>
      <c r="E28">
        <v>992.1</v>
      </c>
      <c r="F28">
        <v>3.6</v>
      </c>
      <c r="H28" s="14">
        <v>8.1679999999999993</v>
      </c>
      <c r="I28" s="9">
        <v>31.3</v>
      </c>
      <c r="J28" s="9">
        <v>23.6</v>
      </c>
      <c r="K28" s="15">
        <v>16</v>
      </c>
      <c r="L28" s="16">
        <v>40</v>
      </c>
      <c r="M28">
        <f>I28-_20210716214800_weatherstation_1[[#This Row],[Air Temperature]]</f>
        <v>8</v>
      </c>
      <c r="N28">
        <f>I28-_20210716214800_weatherstation_1[[#This Row],[Track Temperature]]</f>
        <v>-10.599999999999998</v>
      </c>
    </row>
    <row r="29" spans="1:14" x14ac:dyDescent="0.25">
      <c r="A29" s="2">
        <v>0.69791666666666663</v>
      </c>
      <c r="B29">
        <v>23.3</v>
      </c>
      <c r="C29">
        <v>41.8</v>
      </c>
      <c r="D29">
        <v>54</v>
      </c>
      <c r="E29">
        <v>992.1</v>
      </c>
      <c r="F29">
        <v>9.4</v>
      </c>
      <c r="H29" s="17">
        <v>7.8730000000000002</v>
      </c>
      <c r="I29" s="12">
        <v>31.2</v>
      </c>
      <c r="J29" s="12">
        <v>23.7</v>
      </c>
      <c r="K29" s="18">
        <v>16</v>
      </c>
      <c r="L29" s="19">
        <v>39</v>
      </c>
      <c r="M29">
        <f>I29-_20210716214800_weatherstation_1[[#This Row],[Air Temperature]]</f>
        <v>7.8999999999999986</v>
      </c>
      <c r="N29">
        <f>I29-_20210716214800_weatherstation_1[[#This Row],[Track Temperature]]</f>
        <v>-10.599999999999998</v>
      </c>
    </row>
    <row r="30" spans="1:14" x14ac:dyDescent="0.25">
      <c r="A30" s="2">
        <v>0.69861111111111107</v>
      </c>
      <c r="B30">
        <v>22.9</v>
      </c>
      <c r="C30">
        <v>41.4</v>
      </c>
      <c r="D30">
        <v>55</v>
      </c>
      <c r="E30">
        <v>992.1</v>
      </c>
      <c r="F30">
        <v>5.4</v>
      </c>
      <c r="H30" s="14">
        <v>7.5780000000000003</v>
      </c>
      <c r="I30" s="9">
        <v>31.2</v>
      </c>
      <c r="J30" s="9">
        <v>23.7</v>
      </c>
      <c r="K30" s="15">
        <v>16</v>
      </c>
      <c r="L30" s="16">
        <v>38</v>
      </c>
      <c r="M30">
        <f>I30-_20210716214800_weatherstation_1[[#This Row],[Air Temperature]]</f>
        <v>8.3000000000000007</v>
      </c>
      <c r="N30">
        <f>I30-_20210716214800_weatherstation_1[[#This Row],[Track Temperature]]</f>
        <v>-10.199999999999999</v>
      </c>
    </row>
    <row r="31" spans="1:14" x14ac:dyDescent="0.25">
      <c r="A31" s="2">
        <v>0.69930555555555551</v>
      </c>
      <c r="B31">
        <v>22.7</v>
      </c>
      <c r="C31">
        <v>41.1</v>
      </c>
      <c r="D31">
        <v>55</v>
      </c>
      <c r="E31">
        <v>992</v>
      </c>
      <c r="F31">
        <v>8.6</v>
      </c>
      <c r="H31" s="17">
        <v>7.2839999999999998</v>
      </c>
      <c r="I31" s="12">
        <v>31.1</v>
      </c>
      <c r="J31" s="12">
        <v>23.7</v>
      </c>
      <c r="K31" s="18">
        <v>16</v>
      </c>
      <c r="L31" s="19">
        <v>37</v>
      </c>
      <c r="M31">
        <f>I31-_20210716214800_weatherstation_1[[#This Row],[Air Temperature]]</f>
        <v>8.4000000000000021</v>
      </c>
      <c r="N31">
        <f>I31-_20210716214800_weatherstation_1[[#This Row],[Track Temperature]]</f>
        <v>-10</v>
      </c>
    </row>
    <row r="32" spans="1:14" x14ac:dyDescent="0.25">
      <c r="A32" s="2">
        <v>0.7</v>
      </c>
      <c r="B32">
        <v>22.6</v>
      </c>
      <c r="C32">
        <v>41.1</v>
      </c>
      <c r="D32">
        <v>56</v>
      </c>
      <c r="E32">
        <v>992</v>
      </c>
      <c r="F32">
        <v>4.7</v>
      </c>
      <c r="H32" s="14">
        <v>6.9889999999999999</v>
      </c>
      <c r="I32" s="9">
        <v>31.1</v>
      </c>
      <c r="J32" s="9">
        <v>23.8</v>
      </c>
      <c r="K32" s="15">
        <v>16</v>
      </c>
      <c r="L32" s="16">
        <v>36</v>
      </c>
      <c r="M32">
        <f>I32-_20210716214800_weatherstation_1[[#This Row],[Air Temperature]]</f>
        <v>8.5</v>
      </c>
      <c r="N32">
        <f>I32-_20210716214800_weatherstation_1[[#This Row],[Track Temperature]]</f>
        <v>-10</v>
      </c>
    </row>
    <row r="33" spans="1:14" x14ac:dyDescent="0.25">
      <c r="A33" s="2">
        <v>0.7006944444444444</v>
      </c>
      <c r="B33">
        <v>22.5</v>
      </c>
      <c r="C33">
        <v>41.1</v>
      </c>
      <c r="D33">
        <v>55</v>
      </c>
      <c r="E33">
        <v>991.9</v>
      </c>
      <c r="F33">
        <v>7.9</v>
      </c>
      <c r="H33" s="17">
        <v>6.694</v>
      </c>
      <c r="I33" s="12">
        <v>31</v>
      </c>
      <c r="J33" s="12">
        <v>23.8</v>
      </c>
      <c r="K33" s="18">
        <v>16</v>
      </c>
      <c r="L33" s="19">
        <v>35</v>
      </c>
      <c r="M33">
        <f>I33-_20210716214800_weatherstation_1[[#This Row],[Air Temperature]]</f>
        <v>8.5</v>
      </c>
      <c r="N33">
        <f>I33-_20210716214800_weatherstation_1[[#This Row],[Track Temperature]]</f>
        <v>-10.100000000000001</v>
      </c>
    </row>
    <row r="34" spans="1:14" x14ac:dyDescent="0.25">
      <c r="A34" s="2">
        <v>0.70208333333333328</v>
      </c>
      <c r="B34">
        <v>22.5</v>
      </c>
      <c r="C34">
        <v>40.4</v>
      </c>
      <c r="D34">
        <v>55</v>
      </c>
      <c r="E34">
        <v>992</v>
      </c>
      <c r="F34">
        <v>6.1</v>
      </c>
      <c r="H34" s="14">
        <v>6.4</v>
      </c>
      <c r="I34" s="9">
        <v>31</v>
      </c>
      <c r="J34" s="9">
        <v>23.9</v>
      </c>
      <c r="K34" s="15">
        <v>16</v>
      </c>
      <c r="L34" s="16">
        <v>34</v>
      </c>
      <c r="M34">
        <f>I34-_20210716214800_weatherstation_1[[#This Row],[Air Temperature]]</f>
        <v>8.5</v>
      </c>
      <c r="N34">
        <f>I34-_20210716214800_weatherstation_1[[#This Row],[Track Temperature]]</f>
        <v>-9.3999999999999986</v>
      </c>
    </row>
    <row r="35" spans="1:14" x14ac:dyDescent="0.25">
      <c r="A35" s="2">
        <v>0.70277777777777772</v>
      </c>
      <c r="B35">
        <v>22.5</v>
      </c>
      <c r="C35">
        <v>40.200000000000003</v>
      </c>
      <c r="D35">
        <v>56</v>
      </c>
      <c r="E35">
        <v>992</v>
      </c>
      <c r="F35">
        <v>5.4</v>
      </c>
      <c r="H35" s="17">
        <v>6.1050000000000004</v>
      </c>
      <c r="I35" s="12">
        <v>30.9</v>
      </c>
      <c r="J35" s="12">
        <v>23.9</v>
      </c>
      <c r="K35" s="18">
        <v>16</v>
      </c>
      <c r="L35" s="19">
        <v>33</v>
      </c>
      <c r="M35">
        <f>I35-_20210716214800_weatherstation_1[[#This Row],[Air Temperature]]</f>
        <v>8.3999999999999986</v>
      </c>
      <c r="N35">
        <f>I35-_20210716214800_weatherstation_1[[#This Row],[Track Temperature]]</f>
        <v>-9.3000000000000043</v>
      </c>
    </row>
    <row r="36" spans="1:14" x14ac:dyDescent="0.25">
      <c r="A36" s="2">
        <v>0.70347222222222228</v>
      </c>
      <c r="B36">
        <v>22.5</v>
      </c>
      <c r="C36">
        <v>40</v>
      </c>
      <c r="D36">
        <v>57</v>
      </c>
      <c r="E36">
        <v>991.9</v>
      </c>
      <c r="F36">
        <v>6.8</v>
      </c>
      <c r="H36" s="14">
        <v>5.8109999999999999</v>
      </c>
      <c r="I36" s="9">
        <v>30.9</v>
      </c>
      <c r="J36" s="9">
        <v>23.9</v>
      </c>
      <c r="K36" s="15">
        <v>16</v>
      </c>
      <c r="L36" s="16">
        <v>31</v>
      </c>
      <c r="M36">
        <f>I36-_20210716214800_weatherstation_1[[#This Row],[Air Temperature]]</f>
        <v>8.3999999999999986</v>
      </c>
      <c r="N36">
        <f>I36-_20210716214800_weatherstation_1[[#This Row],[Track Temperature]]</f>
        <v>-9.1000000000000014</v>
      </c>
    </row>
    <row r="37" spans="1:14" x14ac:dyDescent="0.25">
      <c r="A37" s="2">
        <v>0.70416666666666672</v>
      </c>
      <c r="B37">
        <v>22.3</v>
      </c>
      <c r="C37">
        <v>39.799999999999997</v>
      </c>
      <c r="D37">
        <v>56</v>
      </c>
      <c r="E37">
        <v>991.9</v>
      </c>
      <c r="F37">
        <v>7.9</v>
      </c>
      <c r="H37" s="17">
        <v>5.516</v>
      </c>
      <c r="I37" s="12">
        <v>30.9</v>
      </c>
      <c r="J37" s="12">
        <v>24</v>
      </c>
      <c r="K37" s="18">
        <v>16</v>
      </c>
      <c r="L37" s="19">
        <v>30</v>
      </c>
      <c r="M37">
        <f>I37-_20210716214800_weatherstation_1[[#This Row],[Air Temperature]]</f>
        <v>8.5999999999999979</v>
      </c>
      <c r="N37">
        <f>I37-_20210716214800_weatherstation_1[[#This Row],[Track Temperature]]</f>
        <v>-8.8999999999999986</v>
      </c>
    </row>
    <row r="38" spans="1:14" x14ac:dyDescent="0.25">
      <c r="A38" s="2">
        <v>0.70486111111111116</v>
      </c>
      <c r="B38">
        <v>22.1</v>
      </c>
      <c r="C38">
        <v>39.4</v>
      </c>
      <c r="D38">
        <v>57</v>
      </c>
      <c r="E38">
        <v>991.9</v>
      </c>
      <c r="F38">
        <v>7.2</v>
      </c>
      <c r="H38" s="14">
        <v>5.2210000000000001</v>
      </c>
      <c r="I38" s="9">
        <v>30.8</v>
      </c>
      <c r="J38" s="9">
        <v>24</v>
      </c>
      <c r="K38" s="15">
        <v>16</v>
      </c>
      <c r="L38" s="16">
        <v>29</v>
      </c>
      <c r="M38">
        <f>I38-_20210716214800_weatherstation_1[[#This Row],[Air Temperature]]</f>
        <v>8.6999999999999993</v>
      </c>
      <c r="N38">
        <f>I38-_20210716214800_weatherstation_1[[#This Row],[Track Temperature]]</f>
        <v>-8.5999999999999979</v>
      </c>
    </row>
    <row r="39" spans="1:14" x14ac:dyDescent="0.25">
      <c r="A39" s="2">
        <v>0.7055555555555556</v>
      </c>
      <c r="B39">
        <v>22.2</v>
      </c>
      <c r="C39">
        <v>39.4</v>
      </c>
      <c r="D39">
        <v>57</v>
      </c>
      <c r="E39">
        <v>992</v>
      </c>
      <c r="F39">
        <v>3.2</v>
      </c>
      <c r="H39" s="17">
        <v>4.9269999999999996</v>
      </c>
      <c r="I39" s="12">
        <v>30.8</v>
      </c>
      <c r="J39" s="12">
        <v>24.1</v>
      </c>
      <c r="K39" s="18">
        <v>16</v>
      </c>
      <c r="L39" s="19">
        <v>28</v>
      </c>
      <c r="M39">
        <f>I39-_20210716214800_weatherstation_1[[#This Row],[Air Temperature]]</f>
        <v>8.6000000000000014</v>
      </c>
      <c r="N39">
        <f>I39-_20210716214800_weatherstation_1[[#This Row],[Track Temperature]]</f>
        <v>-8.5999999999999979</v>
      </c>
    </row>
    <row r="40" spans="1:14" x14ac:dyDescent="0.25">
      <c r="A40" s="2">
        <v>0.70694444444444449</v>
      </c>
      <c r="B40">
        <v>22.3</v>
      </c>
      <c r="C40">
        <v>38.799999999999997</v>
      </c>
      <c r="D40">
        <v>58</v>
      </c>
      <c r="E40">
        <v>991.9</v>
      </c>
      <c r="F40">
        <v>2.5</v>
      </c>
      <c r="H40" s="14">
        <v>4.6319999999999997</v>
      </c>
      <c r="I40" s="9">
        <v>30.7</v>
      </c>
      <c r="J40" s="9">
        <v>24.1</v>
      </c>
      <c r="K40" s="15">
        <v>16</v>
      </c>
      <c r="L40" s="16">
        <v>27</v>
      </c>
      <c r="M40">
        <f>I40-_20210716214800_weatherstation_1[[#This Row],[Air Temperature]]</f>
        <v>8.3999999999999986</v>
      </c>
      <c r="N40">
        <f>I40-_20210716214800_weatherstation_1[[#This Row],[Track Temperature]]</f>
        <v>-8.0999999999999979</v>
      </c>
    </row>
    <row r="41" spans="1:14" x14ac:dyDescent="0.25">
      <c r="A41" s="2">
        <v>0.70763888888888893</v>
      </c>
      <c r="B41">
        <v>22.5</v>
      </c>
      <c r="C41">
        <v>38.700000000000003</v>
      </c>
      <c r="D41">
        <v>57</v>
      </c>
      <c r="E41">
        <v>991.8</v>
      </c>
      <c r="F41">
        <v>2.2000000000000002</v>
      </c>
      <c r="H41" s="17">
        <v>4.3380000000000001</v>
      </c>
      <c r="I41" s="12">
        <v>30.7</v>
      </c>
      <c r="J41" s="12">
        <v>24.1</v>
      </c>
      <c r="K41" s="18">
        <v>16</v>
      </c>
      <c r="L41" s="19">
        <v>26</v>
      </c>
      <c r="M41">
        <f>I41-_20210716214800_weatherstation_1[[#This Row],[Air Temperature]]</f>
        <v>8.1999999999999993</v>
      </c>
      <c r="N41">
        <f>I41-_20210716214800_weatherstation_1[[#This Row],[Track Temperature]]</f>
        <v>-8.0000000000000036</v>
      </c>
    </row>
    <row r="42" spans="1:14" x14ac:dyDescent="0.25">
      <c r="A42" s="2">
        <v>0.70833333333333337</v>
      </c>
      <c r="B42">
        <v>22.6</v>
      </c>
      <c r="C42">
        <v>38.700000000000003</v>
      </c>
      <c r="D42">
        <v>57</v>
      </c>
      <c r="E42">
        <v>991.8</v>
      </c>
      <c r="F42">
        <v>5</v>
      </c>
      <c r="H42" s="14">
        <v>4.0430000000000001</v>
      </c>
      <c r="I42" s="9">
        <v>30.6</v>
      </c>
      <c r="J42" s="9">
        <v>24.2</v>
      </c>
      <c r="K42" s="15">
        <v>17</v>
      </c>
      <c r="L42" s="16">
        <v>25</v>
      </c>
      <c r="M42">
        <f>I42-_20210716214800_weatherstation_1[[#This Row],[Air Temperature]]</f>
        <v>8</v>
      </c>
      <c r="N42">
        <f>I42-_20210716214800_weatherstation_1[[#This Row],[Track Temperature]]</f>
        <v>-8.1000000000000014</v>
      </c>
    </row>
    <row r="43" spans="1:14" x14ac:dyDescent="0.25">
      <c r="A43" s="2">
        <v>0.70902777777777781</v>
      </c>
      <c r="B43">
        <v>22.6</v>
      </c>
      <c r="C43">
        <v>38.1</v>
      </c>
      <c r="D43">
        <v>56</v>
      </c>
      <c r="E43">
        <v>991.8</v>
      </c>
      <c r="F43">
        <v>4.7</v>
      </c>
      <c r="H43" s="17">
        <v>3.7480000000000002</v>
      </c>
      <c r="I43" s="12">
        <v>30.6</v>
      </c>
      <c r="J43" s="12">
        <v>24.2</v>
      </c>
      <c r="K43" s="18">
        <v>17</v>
      </c>
      <c r="L43" s="19">
        <v>24</v>
      </c>
      <c r="M43">
        <f>I43-_20210716214800_weatherstation_1[[#This Row],[Air Temperature]]</f>
        <v>8</v>
      </c>
      <c r="N43">
        <f>I43-_20210716214800_weatherstation_1[[#This Row],[Track Temperature]]</f>
        <v>-7.5</v>
      </c>
    </row>
    <row r="44" spans="1:14" x14ac:dyDescent="0.25">
      <c r="A44" s="2">
        <v>0.70972222222222225</v>
      </c>
      <c r="B44">
        <v>22.5</v>
      </c>
      <c r="C44">
        <v>37.700000000000003</v>
      </c>
      <c r="D44">
        <v>57</v>
      </c>
      <c r="E44">
        <v>991.8</v>
      </c>
      <c r="F44">
        <v>6.1</v>
      </c>
      <c r="H44" s="14">
        <v>3.4540000000000002</v>
      </c>
      <c r="I44" s="9">
        <v>30.5</v>
      </c>
      <c r="J44" s="9">
        <v>24.2</v>
      </c>
      <c r="K44" s="15">
        <v>17</v>
      </c>
      <c r="L44" s="16">
        <v>23</v>
      </c>
      <c r="M44">
        <f>I44-_20210716214800_weatherstation_1[[#This Row],[Air Temperature]]</f>
        <v>8</v>
      </c>
      <c r="N44">
        <f>I44-_20210716214800_weatherstation_1[[#This Row],[Track Temperature]]</f>
        <v>-7.2000000000000028</v>
      </c>
    </row>
    <row r="45" spans="1:14" x14ac:dyDescent="0.25">
      <c r="A45" s="2">
        <v>0.7104166666666667</v>
      </c>
      <c r="B45">
        <v>22.4</v>
      </c>
      <c r="C45">
        <v>37.299999999999997</v>
      </c>
      <c r="D45">
        <v>57</v>
      </c>
      <c r="E45">
        <v>991.7</v>
      </c>
      <c r="F45">
        <v>5.8</v>
      </c>
      <c r="H45" s="17">
        <v>3.1589999999999998</v>
      </c>
      <c r="I45" s="12">
        <v>30.5</v>
      </c>
      <c r="J45" s="12">
        <v>24.3</v>
      </c>
      <c r="K45" s="18">
        <v>17</v>
      </c>
      <c r="L45" s="19">
        <v>22</v>
      </c>
      <c r="M45">
        <f>I45-_20210716214800_weatherstation_1[[#This Row],[Air Temperature]]</f>
        <v>8.1000000000000014</v>
      </c>
      <c r="N45">
        <f>I45-_20210716214800_weatherstation_1[[#This Row],[Track Temperature]]</f>
        <v>-6.7999999999999972</v>
      </c>
    </row>
    <row r="46" spans="1:14" x14ac:dyDescent="0.25">
      <c r="A46" s="2">
        <v>0.71111111111111114</v>
      </c>
      <c r="B46">
        <v>22.4</v>
      </c>
      <c r="C46">
        <v>37.1</v>
      </c>
      <c r="D46">
        <v>58</v>
      </c>
      <c r="E46">
        <v>991.8</v>
      </c>
      <c r="F46">
        <v>4.7</v>
      </c>
      <c r="H46" s="14">
        <v>2.8639999999999999</v>
      </c>
      <c r="I46" s="9">
        <v>30.4</v>
      </c>
      <c r="J46" s="9">
        <v>24.3</v>
      </c>
      <c r="K46" s="15">
        <v>17</v>
      </c>
      <c r="L46" s="16">
        <v>21</v>
      </c>
      <c r="M46">
        <f>I46-_20210716214800_weatherstation_1[[#This Row],[Air Temperature]]</f>
        <v>8</v>
      </c>
      <c r="N46">
        <f>I46-_20210716214800_weatherstation_1[[#This Row],[Track Temperature]]</f>
        <v>-6.7000000000000028</v>
      </c>
    </row>
    <row r="47" spans="1:14" x14ac:dyDescent="0.25">
      <c r="A47" s="2">
        <v>0.71180555555555558</v>
      </c>
      <c r="B47">
        <v>22.4</v>
      </c>
      <c r="C47">
        <v>37</v>
      </c>
      <c r="D47">
        <v>58</v>
      </c>
      <c r="E47">
        <v>991.8</v>
      </c>
      <c r="F47">
        <v>2.9</v>
      </c>
      <c r="H47" s="17">
        <v>2.57</v>
      </c>
      <c r="I47" s="12">
        <v>30.4</v>
      </c>
      <c r="J47" s="12">
        <v>24.4</v>
      </c>
      <c r="K47" s="18">
        <v>17</v>
      </c>
      <c r="L47" s="19">
        <v>19</v>
      </c>
      <c r="M47">
        <f>I47-_20210716214800_weatherstation_1[[#This Row],[Air Temperature]]</f>
        <v>8</v>
      </c>
      <c r="N47">
        <f>I47-_20210716214800_weatherstation_1[[#This Row],[Track Temperature]]</f>
        <v>-6.6000000000000014</v>
      </c>
    </row>
    <row r="48" spans="1:14" x14ac:dyDescent="0.25">
      <c r="A48" s="2">
        <v>0.71250000000000002</v>
      </c>
      <c r="B48">
        <v>22.5</v>
      </c>
      <c r="C48">
        <v>36.700000000000003</v>
      </c>
      <c r="D48">
        <v>58</v>
      </c>
      <c r="E48">
        <v>991.7</v>
      </c>
      <c r="F48">
        <v>2.9</v>
      </c>
      <c r="H48" s="14">
        <v>2.2749999999999999</v>
      </c>
      <c r="I48" s="9">
        <v>30.4</v>
      </c>
      <c r="J48" s="9">
        <v>24.4</v>
      </c>
      <c r="K48" s="15">
        <v>17</v>
      </c>
      <c r="L48" s="16">
        <v>18</v>
      </c>
      <c r="M48">
        <f>I48-_20210716214800_weatherstation_1[[#This Row],[Air Temperature]]</f>
        <v>7.8999999999999986</v>
      </c>
      <c r="N48">
        <f>I48-_20210716214800_weatherstation_1[[#This Row],[Track Temperature]]</f>
        <v>-6.3000000000000043</v>
      </c>
    </row>
    <row r="49" spans="1:14" x14ac:dyDescent="0.25">
      <c r="A49" s="2">
        <v>0.71319444444444446</v>
      </c>
      <c r="B49">
        <v>22.5</v>
      </c>
      <c r="C49">
        <v>36.299999999999997</v>
      </c>
      <c r="D49">
        <v>58</v>
      </c>
      <c r="E49">
        <v>991.7</v>
      </c>
      <c r="F49">
        <v>4.7</v>
      </c>
      <c r="H49" s="17">
        <v>1.9810000000000001</v>
      </c>
      <c r="I49" s="12">
        <v>30.3</v>
      </c>
      <c r="J49" s="12">
        <v>24.4</v>
      </c>
      <c r="K49" s="18">
        <v>17</v>
      </c>
      <c r="L49" s="19">
        <v>17</v>
      </c>
      <c r="M49">
        <f>I49-_20210716214800_weatherstation_1[[#This Row],[Air Temperature]]</f>
        <v>7.8000000000000007</v>
      </c>
      <c r="N49">
        <f>I49-_20210716214800_weatherstation_1[[#This Row],[Track Temperature]]</f>
        <v>-5.9999999999999964</v>
      </c>
    </row>
    <row r="50" spans="1:14" x14ac:dyDescent="0.25">
      <c r="A50" s="2">
        <v>0.71388888888888891</v>
      </c>
      <c r="B50">
        <v>22.5</v>
      </c>
      <c r="C50">
        <v>36.299999999999997</v>
      </c>
      <c r="D50">
        <v>58</v>
      </c>
      <c r="E50">
        <v>991.7</v>
      </c>
      <c r="F50">
        <v>3.2</v>
      </c>
      <c r="H50" s="14">
        <v>1.6859999999999999</v>
      </c>
      <c r="I50" s="9">
        <v>30.3</v>
      </c>
      <c r="J50" s="9">
        <v>24.5</v>
      </c>
      <c r="K50" s="15">
        <v>17</v>
      </c>
      <c r="L50" s="16">
        <v>16</v>
      </c>
      <c r="M50">
        <f>I50-_20210716214800_weatherstation_1[[#This Row],[Air Temperature]]</f>
        <v>7.8000000000000007</v>
      </c>
      <c r="N50">
        <f>I50-_20210716214800_weatherstation_1[[#This Row],[Track Temperature]]</f>
        <v>-5.9999999999999964</v>
      </c>
    </row>
    <row r="51" spans="1:14" x14ac:dyDescent="0.25">
      <c r="A51" s="2">
        <v>0.71458333333333335</v>
      </c>
      <c r="B51">
        <v>22.5</v>
      </c>
      <c r="C51">
        <v>36.299999999999997</v>
      </c>
      <c r="D51">
        <v>57</v>
      </c>
      <c r="E51">
        <v>991.6</v>
      </c>
      <c r="F51">
        <v>5.8</v>
      </c>
      <c r="H51" s="17">
        <v>1.391</v>
      </c>
      <c r="I51" s="12">
        <v>30.2</v>
      </c>
      <c r="J51" s="12">
        <v>24.5</v>
      </c>
      <c r="K51" s="18">
        <v>17</v>
      </c>
      <c r="L51" s="19">
        <v>15</v>
      </c>
      <c r="M51">
        <f>I51-_20210716214800_weatherstation_1[[#This Row],[Air Temperature]]</f>
        <v>7.6999999999999993</v>
      </c>
      <c r="N51">
        <f>I51-_20210716214800_weatherstation_1[[#This Row],[Track Temperature]]</f>
        <v>-6.0999999999999979</v>
      </c>
    </row>
    <row r="52" spans="1:14" x14ac:dyDescent="0.25">
      <c r="A52" s="2">
        <v>0.71527777777777779</v>
      </c>
      <c r="B52">
        <v>22.4</v>
      </c>
      <c r="C52">
        <v>36.299999999999997</v>
      </c>
      <c r="D52">
        <v>60</v>
      </c>
      <c r="E52">
        <v>991.6</v>
      </c>
      <c r="F52">
        <v>3.6</v>
      </c>
      <c r="H52" s="14">
        <v>1.097</v>
      </c>
      <c r="I52" s="9">
        <v>30.2</v>
      </c>
      <c r="J52" s="9">
        <v>24.6</v>
      </c>
      <c r="K52" s="15">
        <v>17</v>
      </c>
      <c r="L52" s="16">
        <v>14</v>
      </c>
      <c r="M52">
        <f>I52-_20210716214800_weatherstation_1[[#This Row],[Air Temperature]]</f>
        <v>7.8000000000000007</v>
      </c>
      <c r="N52">
        <f>I52-_20210716214800_weatherstation_1[[#This Row],[Track Temperature]]</f>
        <v>-6.0999999999999979</v>
      </c>
    </row>
    <row r="53" spans="1:14" x14ac:dyDescent="0.25">
      <c r="A53" s="2">
        <v>0.71597222222222223</v>
      </c>
      <c r="B53">
        <v>22.4</v>
      </c>
      <c r="C53">
        <v>36.299999999999997</v>
      </c>
      <c r="D53">
        <v>59</v>
      </c>
      <c r="E53">
        <v>991.6</v>
      </c>
      <c r="F53">
        <v>2.5</v>
      </c>
      <c r="H53" s="17">
        <v>0.80200000000000005</v>
      </c>
      <c r="I53" s="12">
        <v>30.1</v>
      </c>
      <c r="J53" s="12">
        <v>24.6</v>
      </c>
      <c r="K53" s="18">
        <v>17</v>
      </c>
      <c r="L53" s="19">
        <v>13</v>
      </c>
      <c r="M53">
        <f>I53-_20210716214800_weatherstation_1[[#This Row],[Air Temperature]]</f>
        <v>7.7000000000000028</v>
      </c>
      <c r="N53">
        <f>I53-_20210716214800_weatherstation_1[[#This Row],[Track Temperature]]</f>
        <v>-6.1999999999999957</v>
      </c>
    </row>
    <row r="54" spans="1:14" x14ac:dyDescent="0.25">
      <c r="A54" s="2">
        <v>0.71666666666666667</v>
      </c>
      <c r="B54">
        <v>22.4</v>
      </c>
      <c r="C54">
        <v>36.299999999999997</v>
      </c>
      <c r="D54">
        <v>58</v>
      </c>
      <c r="E54">
        <v>991.5</v>
      </c>
      <c r="F54">
        <v>2.2000000000000002</v>
      </c>
      <c r="H54" s="14">
        <v>0.50700000000000001</v>
      </c>
      <c r="I54" s="9">
        <v>30.1</v>
      </c>
      <c r="J54" s="9">
        <v>24.6</v>
      </c>
      <c r="K54" s="15">
        <v>17</v>
      </c>
      <c r="L54" s="16">
        <v>12</v>
      </c>
      <c r="M54">
        <f>I54-_20210716214800_weatherstation_1[[#This Row],[Air Temperature]]</f>
        <v>7.7000000000000028</v>
      </c>
      <c r="N54">
        <f>I54-_20210716214800_weatherstation_1[[#This Row],[Track Temperature]]</f>
        <v>-6.1999999999999957</v>
      </c>
    </row>
    <row r="55" spans="1:14" x14ac:dyDescent="0.25">
      <c r="A55" s="2">
        <v>0.71736111111111112</v>
      </c>
      <c r="B55">
        <v>22.5</v>
      </c>
      <c r="C55">
        <v>36.299999999999997</v>
      </c>
      <c r="D55">
        <v>58</v>
      </c>
      <c r="E55">
        <v>991.6</v>
      </c>
      <c r="F55">
        <v>1.8</v>
      </c>
      <c r="H55" s="17">
        <v>0.21299999999999999</v>
      </c>
      <c r="I55" s="12">
        <v>30</v>
      </c>
      <c r="J55" s="12">
        <v>24.7</v>
      </c>
      <c r="K55" s="18">
        <v>17</v>
      </c>
      <c r="L55" s="19">
        <v>11</v>
      </c>
      <c r="M55">
        <f>I55-_20210716214800_weatherstation_1[[#This Row],[Air Temperature]]</f>
        <v>7.5</v>
      </c>
      <c r="N55">
        <f>I55-_20210716214800_weatherstation_1[[#This Row],[Track Temperature]]</f>
        <v>-6.2999999999999972</v>
      </c>
    </row>
    <row r="56" spans="1:14" x14ac:dyDescent="0.25">
      <c r="A56" s="2">
        <v>0.71805555555555556</v>
      </c>
      <c r="B56">
        <v>22.7</v>
      </c>
      <c r="C56">
        <v>36.6</v>
      </c>
      <c r="D56">
        <v>56</v>
      </c>
      <c r="E56">
        <v>991.7</v>
      </c>
      <c r="F56">
        <v>3.6</v>
      </c>
      <c r="H56" s="14">
        <v>0</v>
      </c>
      <c r="I56" s="9">
        <v>29.9</v>
      </c>
      <c r="J56" s="9">
        <v>24.7</v>
      </c>
      <c r="K56" s="15">
        <v>17</v>
      </c>
      <c r="L56" s="16">
        <v>10</v>
      </c>
      <c r="M56">
        <f>I56-_20210716214800_weatherstation_1[[#This Row],[Air Temperature]]</f>
        <v>7.1999999999999993</v>
      </c>
      <c r="N56">
        <f>I56-_20210716214800_weatherstation_1[[#This Row],[Track Temperature]]</f>
        <v>-6.7000000000000028</v>
      </c>
    </row>
    <row r="57" spans="1:14" x14ac:dyDescent="0.25">
      <c r="A57" s="2">
        <v>0.71875</v>
      </c>
      <c r="B57">
        <v>22.6</v>
      </c>
      <c r="C57">
        <v>36.6</v>
      </c>
      <c r="D57">
        <v>57</v>
      </c>
      <c r="E57">
        <v>991.7</v>
      </c>
      <c r="F57">
        <v>4</v>
      </c>
      <c r="H57" s="17">
        <v>9.0709999999999997</v>
      </c>
      <c r="I57" s="12">
        <v>30.5</v>
      </c>
      <c r="J57" s="12">
        <v>23</v>
      </c>
      <c r="K57" s="18">
        <v>17</v>
      </c>
      <c r="L57" s="19">
        <v>11</v>
      </c>
      <c r="M57">
        <f>I57-_20210716214800_weatherstation_1[[#This Row],[Air Temperature]]</f>
        <v>7.8999999999999986</v>
      </c>
      <c r="N57">
        <f>I57-_20210716214800_weatherstation_1[[#This Row],[Track Temperature]]</f>
        <v>-6.1000000000000014</v>
      </c>
    </row>
    <row r="58" spans="1:14" x14ac:dyDescent="0.25">
      <c r="A58" s="2">
        <v>0.71944444444444444</v>
      </c>
      <c r="B58">
        <v>22.6</v>
      </c>
      <c r="C58">
        <v>36.200000000000003</v>
      </c>
      <c r="D58">
        <v>57</v>
      </c>
      <c r="E58">
        <v>991.6</v>
      </c>
      <c r="F58">
        <v>1.8</v>
      </c>
      <c r="H58" s="14">
        <v>9.2629999999999999</v>
      </c>
      <c r="I58" s="9">
        <v>31.1</v>
      </c>
      <c r="J58" s="9">
        <v>22.6</v>
      </c>
      <c r="K58" s="15">
        <v>17</v>
      </c>
      <c r="L58" s="16">
        <v>12</v>
      </c>
      <c r="M58">
        <f>I58-_20210716214800_weatherstation_1[[#This Row],[Air Temperature]]</f>
        <v>8.5</v>
      </c>
      <c r="N58">
        <f>I58-_20210716214800_weatherstation_1[[#This Row],[Track Temperature]]</f>
        <v>-5.1000000000000014</v>
      </c>
    </row>
    <row r="59" spans="1:14" x14ac:dyDescent="0.25">
      <c r="A59" s="2">
        <v>0.72013888888888888</v>
      </c>
      <c r="B59">
        <v>22.6</v>
      </c>
      <c r="C59">
        <v>36.200000000000003</v>
      </c>
      <c r="D59">
        <v>58</v>
      </c>
      <c r="E59">
        <v>991.7</v>
      </c>
      <c r="F59">
        <v>2.9</v>
      </c>
      <c r="H59" s="17">
        <v>7.76</v>
      </c>
      <c r="I59" s="12">
        <v>31.8</v>
      </c>
      <c r="J59" s="12">
        <v>23</v>
      </c>
      <c r="K59" s="18">
        <v>17</v>
      </c>
      <c r="L59" s="19">
        <v>13</v>
      </c>
      <c r="M59">
        <f>I59-_20210716214800_weatherstation_1[[#This Row],[Air Temperature]]</f>
        <v>9.1999999999999993</v>
      </c>
      <c r="N59">
        <f>I59-_20210716214800_weatherstation_1[[#This Row],[Track Temperature]]</f>
        <v>-4.4000000000000021</v>
      </c>
    </row>
    <row r="60" spans="1:14" x14ac:dyDescent="0.25">
      <c r="A60" s="2">
        <v>0.72083333333333333</v>
      </c>
      <c r="B60">
        <v>22.6</v>
      </c>
      <c r="C60">
        <v>36.200000000000003</v>
      </c>
      <c r="D60">
        <v>58</v>
      </c>
      <c r="E60">
        <v>991.8</v>
      </c>
      <c r="F60">
        <v>2.5</v>
      </c>
      <c r="H60" s="14">
        <v>9.343</v>
      </c>
      <c r="I60" s="9">
        <v>32</v>
      </c>
      <c r="J60" s="9">
        <v>22.7</v>
      </c>
      <c r="K60" s="15">
        <v>17</v>
      </c>
      <c r="L60" s="16">
        <v>14</v>
      </c>
      <c r="M60">
        <f>I60-_20210716214800_weatherstation_1[[#This Row],[Air Temperature]]</f>
        <v>9.3999999999999986</v>
      </c>
      <c r="N60">
        <f>I60-_20210716214800_weatherstation_1[[#This Row],[Track Temperature]]</f>
        <v>-4.2000000000000028</v>
      </c>
    </row>
    <row r="61" spans="1:14" x14ac:dyDescent="0.25">
      <c r="A61" s="2">
        <v>0.72152777777777777</v>
      </c>
      <c r="B61">
        <v>22.8</v>
      </c>
      <c r="C61">
        <v>36.200000000000003</v>
      </c>
      <c r="D61">
        <v>59</v>
      </c>
      <c r="E61">
        <v>991.7</v>
      </c>
      <c r="F61">
        <v>4.3</v>
      </c>
      <c r="H61" s="17">
        <v>9.2309999999999999</v>
      </c>
      <c r="I61" s="12">
        <v>32.200000000000003</v>
      </c>
      <c r="J61" s="12">
        <v>23</v>
      </c>
      <c r="K61" s="18">
        <v>17</v>
      </c>
      <c r="L61" s="19">
        <v>15</v>
      </c>
      <c r="M61">
        <f>I61-_20210716214800_weatherstation_1[[#This Row],[Air Temperature]]</f>
        <v>9.4000000000000021</v>
      </c>
      <c r="N61">
        <f>I61-_20210716214800_weatherstation_1[[#This Row],[Track Temperature]]</f>
        <v>-4</v>
      </c>
    </row>
    <row r="62" spans="1:14" x14ac:dyDescent="0.25">
      <c r="A62" s="2">
        <v>0.72291666666666665</v>
      </c>
      <c r="B62">
        <v>22.7</v>
      </c>
      <c r="C62">
        <v>36.1</v>
      </c>
      <c r="D62">
        <v>58</v>
      </c>
      <c r="E62">
        <v>991.8</v>
      </c>
      <c r="F62">
        <v>3.6</v>
      </c>
      <c r="H62" s="14">
        <v>7.9889999999999999</v>
      </c>
      <c r="I62" s="9">
        <v>32.799999999999997</v>
      </c>
      <c r="J62" s="9">
        <v>23.7</v>
      </c>
      <c r="K62" s="15">
        <v>17</v>
      </c>
      <c r="L62" s="16">
        <v>16</v>
      </c>
      <c r="M62">
        <f>I62-_20210716214800_weatherstation_1[[#This Row],[Air Temperature]]</f>
        <v>10.099999999999998</v>
      </c>
      <c r="N62">
        <f>I62-_20210716214800_weatherstation_1[[#This Row],[Track Temperature]]</f>
        <v>-3.3000000000000043</v>
      </c>
    </row>
    <row r="63" spans="1:14" x14ac:dyDescent="0.25">
      <c r="A63" s="2">
        <v>0.72361111111111109</v>
      </c>
      <c r="B63">
        <v>22.5</v>
      </c>
      <c r="C63">
        <v>36.1</v>
      </c>
      <c r="D63">
        <v>59</v>
      </c>
      <c r="E63">
        <v>991.8</v>
      </c>
      <c r="F63">
        <v>5.4</v>
      </c>
      <c r="H63" s="17">
        <v>8.8680000000000003</v>
      </c>
      <c r="I63" s="12">
        <v>32.700000000000003</v>
      </c>
      <c r="J63" s="12">
        <v>23</v>
      </c>
      <c r="K63" s="18">
        <v>17</v>
      </c>
      <c r="L63" s="19">
        <v>17</v>
      </c>
      <c r="M63">
        <f>I63-_20210716214800_weatherstation_1[[#This Row],[Air Temperature]]</f>
        <v>10.200000000000003</v>
      </c>
      <c r="N63">
        <f>I63-_20210716214800_weatherstation_1[[#This Row],[Track Temperature]]</f>
        <v>-3.3999999999999986</v>
      </c>
    </row>
    <row r="64" spans="1:14" x14ac:dyDescent="0.25">
      <c r="A64" s="2">
        <v>0.72430555555555554</v>
      </c>
      <c r="B64">
        <v>22.4</v>
      </c>
      <c r="C64">
        <v>36</v>
      </c>
      <c r="D64">
        <v>59</v>
      </c>
      <c r="E64">
        <v>991.9</v>
      </c>
      <c r="F64">
        <v>5</v>
      </c>
      <c r="H64" s="14">
        <v>8.4610000000000003</v>
      </c>
      <c r="I64" s="9">
        <v>32.1</v>
      </c>
      <c r="J64" s="9">
        <v>23</v>
      </c>
      <c r="K64" s="15">
        <v>17</v>
      </c>
      <c r="L64" s="16">
        <v>18</v>
      </c>
      <c r="M64">
        <f>I64-_20210716214800_weatherstation_1[[#This Row],[Air Temperature]]</f>
        <v>9.7000000000000028</v>
      </c>
      <c r="N64">
        <f>I64-_20210716214800_weatherstation_1[[#This Row],[Track Temperature]]</f>
        <v>-3.8999999999999986</v>
      </c>
    </row>
    <row r="65" spans="1:12" x14ac:dyDescent="0.25">
      <c r="A65" s="2"/>
      <c r="H65" s="20"/>
      <c r="I65" s="20"/>
      <c r="J65" s="20"/>
      <c r="K65" s="21"/>
      <c r="L65" s="20"/>
    </row>
    <row r="66" spans="1:12" x14ac:dyDescent="0.25">
      <c r="A66" s="2">
        <v>0.72499999999999998</v>
      </c>
      <c r="B66">
        <v>22.3</v>
      </c>
      <c r="C66">
        <v>35.9</v>
      </c>
      <c r="D66">
        <v>59</v>
      </c>
      <c r="E66">
        <v>991.9</v>
      </c>
      <c r="F66">
        <v>4</v>
      </c>
    </row>
    <row r="67" spans="1:12" x14ac:dyDescent="0.25">
      <c r="A67" s="2">
        <v>0.72569444444444442</v>
      </c>
      <c r="B67">
        <v>22.1</v>
      </c>
      <c r="C67">
        <v>35.9</v>
      </c>
      <c r="D67">
        <v>59</v>
      </c>
      <c r="E67">
        <v>991.8</v>
      </c>
      <c r="F67">
        <v>7.2</v>
      </c>
    </row>
    <row r="68" spans="1:12" x14ac:dyDescent="0.25">
      <c r="A68" s="2">
        <v>0.72638888888888886</v>
      </c>
      <c r="B68">
        <v>22.1</v>
      </c>
      <c r="C68">
        <v>35.799999999999997</v>
      </c>
      <c r="D68">
        <v>59</v>
      </c>
      <c r="E68">
        <v>991.9</v>
      </c>
      <c r="F68">
        <v>5</v>
      </c>
    </row>
    <row r="69" spans="1:12" x14ac:dyDescent="0.25">
      <c r="A69" s="2">
        <v>0.7270833333333333</v>
      </c>
      <c r="B69">
        <v>22.1</v>
      </c>
      <c r="C69">
        <v>35.799999999999997</v>
      </c>
      <c r="D69">
        <v>59</v>
      </c>
      <c r="E69">
        <v>991.9</v>
      </c>
      <c r="F69">
        <v>5.8</v>
      </c>
    </row>
    <row r="70" spans="1:12" x14ac:dyDescent="0.25">
      <c r="A70" s="2">
        <v>0.72777777777777775</v>
      </c>
      <c r="B70">
        <v>22.1</v>
      </c>
      <c r="C70">
        <v>35.9</v>
      </c>
      <c r="D70">
        <v>58</v>
      </c>
      <c r="E70">
        <v>991.8</v>
      </c>
      <c r="F70">
        <v>4.3</v>
      </c>
    </row>
    <row r="71" spans="1:12" x14ac:dyDescent="0.25">
      <c r="A71" s="2">
        <v>0.72847222222222219</v>
      </c>
      <c r="B71">
        <v>22.2</v>
      </c>
      <c r="C71">
        <v>36</v>
      </c>
      <c r="D71">
        <v>58</v>
      </c>
      <c r="E71">
        <v>991.9</v>
      </c>
      <c r="F71">
        <v>4.3</v>
      </c>
    </row>
    <row r="72" spans="1:12" x14ac:dyDescent="0.25">
      <c r="A72" s="2">
        <v>0.72916666666666663</v>
      </c>
      <c r="B72">
        <v>22.2</v>
      </c>
      <c r="C72">
        <v>36</v>
      </c>
      <c r="D72">
        <v>57</v>
      </c>
      <c r="E72">
        <v>991.9</v>
      </c>
      <c r="F72">
        <v>4.3</v>
      </c>
    </row>
    <row r="73" spans="1:12" x14ac:dyDescent="0.25">
      <c r="A73" s="2">
        <v>0.72986111111111107</v>
      </c>
      <c r="B73">
        <v>22.4</v>
      </c>
      <c r="C73">
        <v>36</v>
      </c>
      <c r="D73">
        <v>57</v>
      </c>
      <c r="E73">
        <v>991.8</v>
      </c>
      <c r="F73">
        <v>3.2</v>
      </c>
    </row>
    <row r="74" spans="1:12" x14ac:dyDescent="0.25">
      <c r="A74" s="2">
        <v>0.73055555555555551</v>
      </c>
      <c r="B74">
        <v>22.4</v>
      </c>
      <c r="C74">
        <v>35.9</v>
      </c>
      <c r="D74">
        <v>56</v>
      </c>
      <c r="E74">
        <v>991.8</v>
      </c>
      <c r="F74">
        <v>3.6</v>
      </c>
    </row>
    <row r="75" spans="1:12" x14ac:dyDescent="0.25">
      <c r="A75" s="2">
        <v>0.73124999999999996</v>
      </c>
      <c r="B75">
        <v>22.4</v>
      </c>
      <c r="C75">
        <v>35.700000000000003</v>
      </c>
      <c r="D75">
        <v>56</v>
      </c>
      <c r="E75">
        <v>991.8</v>
      </c>
      <c r="F75">
        <v>3.2</v>
      </c>
    </row>
    <row r="76" spans="1:12" x14ac:dyDescent="0.25">
      <c r="A76" s="2">
        <v>0.7319444444444444</v>
      </c>
      <c r="B76">
        <v>22.5</v>
      </c>
      <c r="C76">
        <v>35.700000000000003</v>
      </c>
      <c r="D76">
        <v>56</v>
      </c>
      <c r="E76">
        <v>991.8</v>
      </c>
      <c r="F76">
        <v>3.2</v>
      </c>
    </row>
    <row r="77" spans="1:12" x14ac:dyDescent="0.25">
      <c r="A77" s="2">
        <v>0.73263888888888884</v>
      </c>
      <c r="B77">
        <v>22.3</v>
      </c>
      <c r="C77">
        <v>35.700000000000003</v>
      </c>
      <c r="D77">
        <v>57</v>
      </c>
      <c r="E77">
        <v>991.8</v>
      </c>
      <c r="F77">
        <v>4.7</v>
      </c>
    </row>
    <row r="78" spans="1:12" x14ac:dyDescent="0.25">
      <c r="A78" s="2">
        <v>0.73333333333333328</v>
      </c>
      <c r="B78">
        <v>22.2</v>
      </c>
      <c r="C78">
        <v>35.700000000000003</v>
      </c>
      <c r="D78">
        <v>57</v>
      </c>
      <c r="E78">
        <v>991.8</v>
      </c>
      <c r="F78">
        <v>4.7</v>
      </c>
    </row>
    <row r="79" spans="1:12" x14ac:dyDescent="0.25">
      <c r="A79" s="2">
        <v>0.73402777777777772</v>
      </c>
      <c r="B79">
        <v>22.2</v>
      </c>
      <c r="C79">
        <v>35.700000000000003</v>
      </c>
      <c r="D79">
        <v>57</v>
      </c>
      <c r="E79">
        <v>991.8</v>
      </c>
      <c r="F79">
        <v>5</v>
      </c>
    </row>
    <row r="80" spans="1:12" x14ac:dyDescent="0.25">
      <c r="A80" s="2">
        <v>0.73472222222222228</v>
      </c>
      <c r="B80">
        <v>22.2</v>
      </c>
      <c r="C80">
        <v>35.700000000000003</v>
      </c>
      <c r="D80">
        <v>57</v>
      </c>
      <c r="E80">
        <v>991.8</v>
      </c>
      <c r="F80">
        <v>4.3</v>
      </c>
    </row>
    <row r="81" spans="1:6" x14ac:dyDescent="0.25">
      <c r="A81" s="2">
        <v>0.73541666666666672</v>
      </c>
      <c r="B81">
        <v>22.4</v>
      </c>
      <c r="C81">
        <v>35.700000000000003</v>
      </c>
      <c r="D81">
        <v>56</v>
      </c>
      <c r="E81">
        <v>991.9</v>
      </c>
      <c r="F81">
        <v>5</v>
      </c>
    </row>
    <row r="82" spans="1:6" x14ac:dyDescent="0.25">
      <c r="A82" s="2">
        <v>0.73611111111111116</v>
      </c>
      <c r="B82">
        <v>22.4</v>
      </c>
      <c r="C82">
        <v>35.6</v>
      </c>
      <c r="D82">
        <v>56</v>
      </c>
      <c r="E82">
        <v>991.9</v>
      </c>
      <c r="F82">
        <v>4.3</v>
      </c>
    </row>
    <row r="83" spans="1:6" x14ac:dyDescent="0.25">
      <c r="A83" s="2">
        <v>0.7368055555555556</v>
      </c>
      <c r="B83">
        <v>22.4</v>
      </c>
      <c r="C83">
        <v>35.5</v>
      </c>
      <c r="D83">
        <v>57</v>
      </c>
      <c r="E83">
        <v>991.9</v>
      </c>
      <c r="F83">
        <v>5</v>
      </c>
    </row>
    <row r="84" spans="1:6" x14ac:dyDescent="0.25">
      <c r="A84" s="2">
        <v>0.73750000000000004</v>
      </c>
      <c r="B84">
        <v>22.2</v>
      </c>
      <c r="C84">
        <v>35.799999999999997</v>
      </c>
      <c r="D84">
        <v>56</v>
      </c>
      <c r="E84">
        <v>992</v>
      </c>
      <c r="F84">
        <v>5.4</v>
      </c>
    </row>
    <row r="85" spans="1:6" x14ac:dyDescent="0.25">
      <c r="A85" s="2">
        <v>0.73819444444444449</v>
      </c>
      <c r="B85">
        <v>22.1</v>
      </c>
      <c r="C85">
        <v>35.799999999999997</v>
      </c>
      <c r="D85">
        <v>57</v>
      </c>
      <c r="E85">
        <v>992</v>
      </c>
      <c r="F85">
        <v>6.5</v>
      </c>
    </row>
    <row r="86" spans="1:6" x14ac:dyDescent="0.25">
      <c r="A86" s="2">
        <v>0.73888888888888893</v>
      </c>
      <c r="B86">
        <v>22.2</v>
      </c>
      <c r="C86">
        <v>35.799999999999997</v>
      </c>
      <c r="D86">
        <v>58</v>
      </c>
      <c r="E86">
        <v>992.2</v>
      </c>
      <c r="F86">
        <v>3.2</v>
      </c>
    </row>
    <row r="87" spans="1:6" x14ac:dyDescent="0.25">
      <c r="A87" s="2">
        <v>0.73958333333333337</v>
      </c>
      <c r="B87">
        <v>22.4</v>
      </c>
      <c r="C87">
        <v>35.799999999999997</v>
      </c>
      <c r="D87">
        <v>57</v>
      </c>
      <c r="E87">
        <v>992.1</v>
      </c>
      <c r="F87">
        <v>7.6</v>
      </c>
    </row>
    <row r="88" spans="1:6" x14ac:dyDescent="0.25">
      <c r="A88" s="2">
        <v>0.74097222222222225</v>
      </c>
      <c r="B88">
        <v>22.2</v>
      </c>
      <c r="C88">
        <v>35.700000000000003</v>
      </c>
      <c r="D88">
        <v>58</v>
      </c>
      <c r="E88">
        <v>992.2</v>
      </c>
      <c r="F88">
        <v>6.5</v>
      </c>
    </row>
    <row r="89" spans="1:6" x14ac:dyDescent="0.25">
      <c r="A89" s="2">
        <v>0.7416666666666667</v>
      </c>
      <c r="B89">
        <v>22.1</v>
      </c>
      <c r="C89">
        <v>35.5</v>
      </c>
      <c r="D89">
        <v>58</v>
      </c>
      <c r="E89">
        <v>992.2</v>
      </c>
      <c r="F89">
        <v>6.1</v>
      </c>
    </row>
    <row r="90" spans="1:6" x14ac:dyDescent="0.25">
      <c r="A90" s="2">
        <v>0.74236111111111114</v>
      </c>
      <c r="B90">
        <v>22</v>
      </c>
      <c r="C90">
        <v>35.4</v>
      </c>
      <c r="D90">
        <v>58</v>
      </c>
      <c r="E90">
        <v>992.2</v>
      </c>
      <c r="F90">
        <v>4.3</v>
      </c>
    </row>
    <row r="91" spans="1:6" x14ac:dyDescent="0.25">
      <c r="A91" s="2">
        <v>0.74305555555555558</v>
      </c>
      <c r="B91">
        <v>22.1</v>
      </c>
      <c r="C91">
        <v>35.4</v>
      </c>
      <c r="D91">
        <v>58</v>
      </c>
      <c r="E91">
        <v>992.2</v>
      </c>
      <c r="F91">
        <v>2.5</v>
      </c>
    </row>
    <row r="92" spans="1:6" x14ac:dyDescent="0.25">
      <c r="A92" s="2">
        <v>0.74375000000000002</v>
      </c>
      <c r="B92">
        <v>22.2</v>
      </c>
      <c r="C92">
        <v>35.4</v>
      </c>
      <c r="D92">
        <v>58</v>
      </c>
      <c r="E92">
        <v>992.2</v>
      </c>
      <c r="F92">
        <v>2.9</v>
      </c>
    </row>
    <row r="93" spans="1:6" x14ac:dyDescent="0.25">
      <c r="A93" s="2">
        <v>0.74444444444444446</v>
      </c>
      <c r="B93">
        <v>22.3</v>
      </c>
      <c r="C93">
        <v>35.4</v>
      </c>
      <c r="D93">
        <v>58</v>
      </c>
      <c r="E93">
        <v>992.2</v>
      </c>
      <c r="F93">
        <v>4.3</v>
      </c>
    </row>
    <row r="94" spans="1:6" x14ac:dyDescent="0.25">
      <c r="A94" s="2">
        <v>0.74513888888888891</v>
      </c>
      <c r="B94">
        <v>22.3</v>
      </c>
      <c r="C94">
        <v>35.299999999999997</v>
      </c>
      <c r="D94">
        <v>58</v>
      </c>
      <c r="E94">
        <v>992.3</v>
      </c>
      <c r="F94">
        <v>4.3</v>
      </c>
    </row>
    <row r="95" spans="1:6" x14ac:dyDescent="0.25">
      <c r="A95" s="2">
        <v>0.74583333333333335</v>
      </c>
      <c r="B95">
        <v>22.3</v>
      </c>
      <c r="C95">
        <v>35.299999999999997</v>
      </c>
      <c r="D95">
        <v>58</v>
      </c>
      <c r="E95">
        <v>992.3</v>
      </c>
      <c r="F95">
        <v>6.8</v>
      </c>
    </row>
    <row r="96" spans="1:6" x14ac:dyDescent="0.25">
      <c r="A96" s="2">
        <v>0.74652777777777779</v>
      </c>
      <c r="B96">
        <v>22.3</v>
      </c>
      <c r="C96">
        <v>35.299999999999997</v>
      </c>
      <c r="D96">
        <v>58</v>
      </c>
      <c r="E96">
        <v>992.3</v>
      </c>
      <c r="F96">
        <v>3.6</v>
      </c>
    </row>
    <row r="97" spans="1:6" x14ac:dyDescent="0.25">
      <c r="A97" s="2">
        <v>0.74722222222222223</v>
      </c>
      <c r="B97">
        <v>22.3</v>
      </c>
      <c r="C97">
        <v>35.299999999999997</v>
      </c>
      <c r="D97">
        <v>58</v>
      </c>
      <c r="E97">
        <v>992.1</v>
      </c>
      <c r="F97">
        <v>2.9</v>
      </c>
    </row>
    <row r="98" spans="1:6" x14ac:dyDescent="0.25">
      <c r="A98" s="2">
        <v>0.74791666666666667</v>
      </c>
      <c r="B98">
        <v>22.4</v>
      </c>
      <c r="C98">
        <v>35.200000000000003</v>
      </c>
      <c r="D98">
        <v>58</v>
      </c>
      <c r="E98">
        <v>992.1</v>
      </c>
      <c r="F98">
        <v>2.2000000000000002</v>
      </c>
    </row>
    <row r="99" spans="1:6" x14ac:dyDescent="0.25">
      <c r="A99" s="2">
        <v>0.74861111111111112</v>
      </c>
      <c r="B99">
        <v>22.5</v>
      </c>
      <c r="C99">
        <v>35.200000000000003</v>
      </c>
      <c r="D99">
        <v>58</v>
      </c>
      <c r="E99">
        <v>992.1</v>
      </c>
      <c r="F99">
        <v>1.8</v>
      </c>
    </row>
    <row r="100" spans="1:6" x14ac:dyDescent="0.25">
      <c r="A100" s="2">
        <v>0.74930555555555556</v>
      </c>
      <c r="B100">
        <v>22.5</v>
      </c>
      <c r="C100">
        <v>35.299999999999997</v>
      </c>
      <c r="D100">
        <v>58</v>
      </c>
      <c r="E100">
        <v>992</v>
      </c>
      <c r="F100">
        <v>4</v>
      </c>
    </row>
    <row r="101" spans="1:6" x14ac:dyDescent="0.25">
      <c r="A101" s="2">
        <v>0.75</v>
      </c>
      <c r="B101">
        <v>22.5</v>
      </c>
      <c r="C101">
        <v>35.4</v>
      </c>
      <c r="D101">
        <v>58</v>
      </c>
      <c r="E101">
        <v>992.1</v>
      </c>
      <c r="F101">
        <v>3.2</v>
      </c>
    </row>
    <row r="102" spans="1:6" x14ac:dyDescent="0.25">
      <c r="A102" s="2">
        <v>0.75069444444444444</v>
      </c>
      <c r="B102">
        <v>22.5</v>
      </c>
      <c r="C102">
        <v>35.4</v>
      </c>
      <c r="D102">
        <v>58</v>
      </c>
      <c r="E102">
        <v>992.1</v>
      </c>
      <c r="F102">
        <v>3.6</v>
      </c>
    </row>
    <row r="103" spans="1:6" x14ac:dyDescent="0.25">
      <c r="A103" s="2">
        <v>0.75138888888888888</v>
      </c>
      <c r="B103">
        <v>22.5</v>
      </c>
      <c r="C103">
        <v>35.5</v>
      </c>
      <c r="D103">
        <v>59</v>
      </c>
      <c r="E103">
        <v>992.2</v>
      </c>
      <c r="F103">
        <v>5</v>
      </c>
    </row>
    <row r="104" spans="1:6" x14ac:dyDescent="0.25">
      <c r="A104" s="2">
        <v>0.75208333333333333</v>
      </c>
      <c r="B104">
        <v>22.6</v>
      </c>
      <c r="C104">
        <v>35.5</v>
      </c>
      <c r="D104">
        <v>58</v>
      </c>
      <c r="E104">
        <v>992.3</v>
      </c>
      <c r="F104">
        <v>3.6</v>
      </c>
    </row>
    <row r="105" spans="1:6" x14ac:dyDescent="0.25">
      <c r="A105" s="2">
        <v>0.75277777777777777</v>
      </c>
      <c r="B105">
        <v>22.6</v>
      </c>
      <c r="C105">
        <v>35.4</v>
      </c>
      <c r="D105">
        <v>58</v>
      </c>
      <c r="E105">
        <v>992.2</v>
      </c>
      <c r="F105">
        <v>2.2000000000000002</v>
      </c>
    </row>
    <row r="106" spans="1:6" x14ac:dyDescent="0.25">
      <c r="A106" s="2">
        <v>0.75347222222222221</v>
      </c>
      <c r="B106">
        <v>22.7</v>
      </c>
      <c r="C106">
        <v>35.4</v>
      </c>
      <c r="D106">
        <v>58</v>
      </c>
      <c r="E106">
        <v>992.2</v>
      </c>
      <c r="F106">
        <v>2.9</v>
      </c>
    </row>
    <row r="107" spans="1:6" x14ac:dyDescent="0.25">
      <c r="A107" s="2">
        <v>0.75416666666666665</v>
      </c>
      <c r="B107">
        <v>22.6</v>
      </c>
      <c r="C107">
        <v>35.200000000000003</v>
      </c>
      <c r="D107">
        <v>59</v>
      </c>
      <c r="E107">
        <v>992.2</v>
      </c>
      <c r="F107">
        <v>5</v>
      </c>
    </row>
    <row r="108" spans="1:6" x14ac:dyDescent="0.25">
      <c r="A108" s="2">
        <v>0.75486111111111109</v>
      </c>
      <c r="B108">
        <v>22.5</v>
      </c>
      <c r="C108">
        <v>35.1</v>
      </c>
      <c r="D108">
        <v>59</v>
      </c>
      <c r="E108">
        <v>992.2</v>
      </c>
      <c r="F108">
        <v>5</v>
      </c>
    </row>
    <row r="109" spans="1:6" x14ac:dyDescent="0.25">
      <c r="A109" s="2">
        <v>0.75555555555555554</v>
      </c>
      <c r="B109">
        <v>22.5</v>
      </c>
      <c r="C109">
        <v>35.200000000000003</v>
      </c>
      <c r="D109">
        <v>59</v>
      </c>
      <c r="E109">
        <v>992.2</v>
      </c>
      <c r="F109">
        <v>1.8</v>
      </c>
    </row>
    <row r="110" spans="1:6" x14ac:dyDescent="0.25">
      <c r="A110" s="2">
        <v>0.75624999999999998</v>
      </c>
      <c r="B110">
        <v>22.6</v>
      </c>
      <c r="C110">
        <v>35.1</v>
      </c>
      <c r="D110">
        <v>59</v>
      </c>
      <c r="E110">
        <v>992.3</v>
      </c>
      <c r="F110">
        <v>1.8</v>
      </c>
    </row>
    <row r="111" spans="1:6" x14ac:dyDescent="0.25">
      <c r="A111" s="2">
        <v>0.75694444444444442</v>
      </c>
      <c r="B111">
        <v>22.7</v>
      </c>
      <c r="C111">
        <v>35.1</v>
      </c>
      <c r="D111">
        <v>59</v>
      </c>
      <c r="E111">
        <v>992.3</v>
      </c>
      <c r="F111">
        <v>2.9</v>
      </c>
    </row>
    <row r="112" spans="1:6" x14ac:dyDescent="0.25">
      <c r="A112" s="2">
        <v>0.75763888888888886</v>
      </c>
      <c r="B112">
        <v>22.9</v>
      </c>
      <c r="C112">
        <v>35.1</v>
      </c>
      <c r="D112">
        <v>58</v>
      </c>
      <c r="E112">
        <v>992.3</v>
      </c>
      <c r="F112">
        <v>0</v>
      </c>
    </row>
    <row r="113" spans="1:6" x14ac:dyDescent="0.25">
      <c r="A113" s="2">
        <v>0.7583333333333333</v>
      </c>
      <c r="B113">
        <v>23</v>
      </c>
      <c r="C113">
        <v>35.299999999999997</v>
      </c>
      <c r="D113">
        <v>58</v>
      </c>
      <c r="E113">
        <v>992.4</v>
      </c>
      <c r="F113">
        <v>3.2</v>
      </c>
    </row>
    <row r="114" spans="1:6" x14ac:dyDescent="0.25">
      <c r="A114" s="2">
        <v>0.75902777777777775</v>
      </c>
      <c r="B114">
        <v>23</v>
      </c>
      <c r="C114">
        <v>35.4</v>
      </c>
      <c r="D114">
        <v>57</v>
      </c>
      <c r="E114">
        <v>992.4</v>
      </c>
      <c r="F114">
        <v>2.5</v>
      </c>
    </row>
    <row r="115" spans="1:6" x14ac:dyDescent="0.25">
      <c r="A115" s="2">
        <v>0.75972222222222219</v>
      </c>
      <c r="B115">
        <v>23.2</v>
      </c>
      <c r="C115">
        <v>35.5</v>
      </c>
      <c r="D115">
        <v>58</v>
      </c>
      <c r="E115">
        <v>992.3</v>
      </c>
      <c r="F115">
        <v>3.2</v>
      </c>
    </row>
    <row r="116" spans="1:6" x14ac:dyDescent="0.25">
      <c r="A116" s="2">
        <v>0.76041666666666663</v>
      </c>
      <c r="B116">
        <v>23.1</v>
      </c>
      <c r="C116">
        <v>35.700000000000003</v>
      </c>
      <c r="D116">
        <v>57</v>
      </c>
      <c r="E116">
        <v>992.3</v>
      </c>
      <c r="F116">
        <v>2.5</v>
      </c>
    </row>
    <row r="117" spans="1:6" x14ac:dyDescent="0.25">
      <c r="A117" s="2">
        <v>0.76111111111111107</v>
      </c>
      <c r="B117">
        <v>23.1</v>
      </c>
      <c r="C117">
        <v>35.6</v>
      </c>
      <c r="D117">
        <v>58</v>
      </c>
      <c r="E117">
        <v>992.3</v>
      </c>
      <c r="F117">
        <v>4.3</v>
      </c>
    </row>
    <row r="118" spans="1:6" x14ac:dyDescent="0.25">
      <c r="A118" s="2">
        <v>0.76180555555555551</v>
      </c>
      <c r="B118">
        <v>22.9</v>
      </c>
      <c r="C118">
        <v>35.4</v>
      </c>
      <c r="D118">
        <v>58</v>
      </c>
      <c r="E118">
        <v>992.4</v>
      </c>
      <c r="F118">
        <v>2.2000000000000002</v>
      </c>
    </row>
    <row r="119" spans="1:6" x14ac:dyDescent="0.25">
      <c r="A119" s="2">
        <v>0.76249999999999996</v>
      </c>
      <c r="B119">
        <v>22.9</v>
      </c>
      <c r="C119">
        <v>35.299999999999997</v>
      </c>
      <c r="D119">
        <v>58</v>
      </c>
      <c r="E119">
        <v>992.4</v>
      </c>
      <c r="F119">
        <v>2.2000000000000002</v>
      </c>
    </row>
    <row r="120" spans="1:6" x14ac:dyDescent="0.25">
      <c r="A120" s="2">
        <v>0.76388888888888884</v>
      </c>
      <c r="B120">
        <v>23</v>
      </c>
      <c r="C120">
        <v>35.4</v>
      </c>
      <c r="D120">
        <v>58</v>
      </c>
      <c r="E120">
        <v>992.4</v>
      </c>
      <c r="F120">
        <v>3.2</v>
      </c>
    </row>
    <row r="121" spans="1:6" x14ac:dyDescent="0.25">
      <c r="A121" s="2">
        <v>0.76458333333333328</v>
      </c>
      <c r="B121">
        <v>22.9</v>
      </c>
      <c r="C121">
        <v>35.4</v>
      </c>
      <c r="D121">
        <v>58</v>
      </c>
      <c r="E121">
        <v>992.3</v>
      </c>
      <c r="F121">
        <v>2.5</v>
      </c>
    </row>
    <row r="122" spans="1:6" x14ac:dyDescent="0.25">
      <c r="A122" s="2">
        <v>0.76527777777777772</v>
      </c>
      <c r="B122">
        <v>23</v>
      </c>
      <c r="C122">
        <v>35.200000000000003</v>
      </c>
      <c r="D122">
        <v>58</v>
      </c>
      <c r="E122">
        <v>992.4</v>
      </c>
      <c r="F122">
        <v>2.5</v>
      </c>
    </row>
    <row r="123" spans="1:6" x14ac:dyDescent="0.25">
      <c r="A123" s="2">
        <v>0.76597222222222228</v>
      </c>
      <c r="B123">
        <v>23</v>
      </c>
      <c r="C123">
        <v>35.4</v>
      </c>
      <c r="D123">
        <v>58</v>
      </c>
      <c r="E123">
        <v>992.3</v>
      </c>
      <c r="F123">
        <v>2.2000000000000002</v>
      </c>
    </row>
    <row r="124" spans="1:6" x14ac:dyDescent="0.25">
      <c r="A124" s="2">
        <v>0.76666666666666672</v>
      </c>
      <c r="B124">
        <v>23.1</v>
      </c>
      <c r="C124">
        <v>35.4</v>
      </c>
      <c r="D124">
        <v>58</v>
      </c>
      <c r="E124">
        <v>992.3</v>
      </c>
      <c r="F124">
        <v>1.8</v>
      </c>
    </row>
    <row r="125" spans="1:6" x14ac:dyDescent="0.25">
      <c r="A125" s="2">
        <v>0.76736111111111116</v>
      </c>
      <c r="B125">
        <v>23.2</v>
      </c>
      <c r="C125">
        <v>35.5</v>
      </c>
      <c r="D125">
        <v>57</v>
      </c>
      <c r="E125">
        <v>992.4</v>
      </c>
      <c r="F125">
        <v>2.2000000000000002</v>
      </c>
    </row>
    <row r="126" spans="1:6" x14ac:dyDescent="0.25">
      <c r="A126" s="2">
        <v>0.7680555555555556</v>
      </c>
      <c r="B126">
        <v>23.3</v>
      </c>
      <c r="C126">
        <v>35.6</v>
      </c>
      <c r="D126">
        <v>58</v>
      </c>
      <c r="E126">
        <v>992.2</v>
      </c>
      <c r="F126">
        <v>3.6</v>
      </c>
    </row>
    <row r="127" spans="1:6" x14ac:dyDescent="0.25">
      <c r="A127" s="2">
        <v>0.76875000000000004</v>
      </c>
      <c r="B127">
        <v>23.3</v>
      </c>
      <c r="C127">
        <v>36</v>
      </c>
      <c r="D127">
        <v>58</v>
      </c>
      <c r="E127">
        <v>992.3</v>
      </c>
      <c r="F127">
        <v>4.3</v>
      </c>
    </row>
    <row r="128" spans="1:6" x14ac:dyDescent="0.25">
      <c r="A128" s="2">
        <v>0.76944444444444449</v>
      </c>
      <c r="B128">
        <v>23.4</v>
      </c>
      <c r="C128">
        <v>36.1</v>
      </c>
      <c r="D128">
        <v>57</v>
      </c>
      <c r="E128">
        <v>992.3</v>
      </c>
      <c r="F128">
        <v>1.8</v>
      </c>
    </row>
    <row r="129" spans="1:6" x14ac:dyDescent="0.25">
      <c r="A129" s="2">
        <v>0.77013888888888893</v>
      </c>
      <c r="B129">
        <v>23.5</v>
      </c>
      <c r="C129">
        <v>36</v>
      </c>
      <c r="D129">
        <v>57</v>
      </c>
      <c r="E129">
        <v>992.3</v>
      </c>
      <c r="F129">
        <v>2.9</v>
      </c>
    </row>
    <row r="130" spans="1:6" x14ac:dyDescent="0.25">
      <c r="A130" s="2">
        <v>0.77083333333333337</v>
      </c>
      <c r="B130">
        <v>23.5</v>
      </c>
      <c r="C130">
        <v>36</v>
      </c>
      <c r="D130">
        <v>58</v>
      </c>
      <c r="E130">
        <v>992.2</v>
      </c>
      <c r="F130">
        <v>2.5</v>
      </c>
    </row>
    <row r="131" spans="1:6" x14ac:dyDescent="0.25">
      <c r="A131" s="2">
        <v>0.77152777777777781</v>
      </c>
      <c r="B131">
        <v>23.5</v>
      </c>
      <c r="C131">
        <v>36.1</v>
      </c>
      <c r="D131">
        <v>57</v>
      </c>
      <c r="E131">
        <v>992.3</v>
      </c>
      <c r="F131">
        <v>2.9</v>
      </c>
    </row>
    <row r="132" spans="1:6" x14ac:dyDescent="0.25">
      <c r="A132" s="2">
        <v>0.77222222222222225</v>
      </c>
      <c r="B132">
        <v>23.5</v>
      </c>
      <c r="C132">
        <v>35.9</v>
      </c>
      <c r="D132">
        <v>58</v>
      </c>
      <c r="E132">
        <v>992.3</v>
      </c>
      <c r="F132">
        <v>2.2000000000000002</v>
      </c>
    </row>
    <row r="133" spans="1:6" x14ac:dyDescent="0.25">
      <c r="A133" s="2">
        <v>0.7729166666666667</v>
      </c>
      <c r="B133">
        <v>23.6</v>
      </c>
      <c r="C133">
        <v>35.9</v>
      </c>
      <c r="D133">
        <v>58</v>
      </c>
      <c r="E133">
        <v>992.3</v>
      </c>
      <c r="F133">
        <v>3.6</v>
      </c>
    </row>
    <row r="134" spans="1:6" x14ac:dyDescent="0.25">
      <c r="A134" s="2">
        <v>0.77361111111111114</v>
      </c>
      <c r="B134">
        <v>23.7</v>
      </c>
      <c r="C134">
        <v>35.9</v>
      </c>
      <c r="D134">
        <v>57</v>
      </c>
      <c r="E134">
        <v>992.3</v>
      </c>
      <c r="F134">
        <v>0</v>
      </c>
    </row>
    <row r="135" spans="1:6" x14ac:dyDescent="0.25">
      <c r="A135" s="2">
        <v>0.77430555555555558</v>
      </c>
      <c r="B135">
        <v>23.8</v>
      </c>
      <c r="C135">
        <v>36</v>
      </c>
      <c r="D135">
        <v>57</v>
      </c>
      <c r="E135">
        <v>992.3</v>
      </c>
      <c r="F135">
        <v>1.4</v>
      </c>
    </row>
    <row r="136" spans="1:6" x14ac:dyDescent="0.25">
      <c r="A136" s="2">
        <v>0.77500000000000002</v>
      </c>
      <c r="B136">
        <v>23.8</v>
      </c>
      <c r="C136">
        <v>36</v>
      </c>
      <c r="D136">
        <v>57</v>
      </c>
      <c r="E136">
        <v>992.3</v>
      </c>
      <c r="F136">
        <v>3.2</v>
      </c>
    </row>
    <row r="137" spans="1:6" x14ac:dyDescent="0.25">
      <c r="A137" s="2">
        <v>0.77569444444444446</v>
      </c>
      <c r="B137">
        <v>23.7</v>
      </c>
      <c r="C137">
        <v>36</v>
      </c>
      <c r="D137">
        <v>57</v>
      </c>
      <c r="E137">
        <v>992.2</v>
      </c>
      <c r="F137">
        <v>1.8</v>
      </c>
    </row>
    <row r="138" spans="1:6" x14ac:dyDescent="0.25">
      <c r="A138" s="2">
        <v>0.77638888888888891</v>
      </c>
      <c r="B138">
        <v>23.9</v>
      </c>
      <c r="C138">
        <v>35.9</v>
      </c>
      <c r="D138">
        <v>57</v>
      </c>
      <c r="E138">
        <v>992.2</v>
      </c>
      <c r="F138">
        <v>0</v>
      </c>
    </row>
    <row r="139" spans="1:6" x14ac:dyDescent="0.25">
      <c r="A139" s="2">
        <v>0.77708333333333335</v>
      </c>
      <c r="B139">
        <v>24</v>
      </c>
      <c r="C139">
        <v>35.9</v>
      </c>
      <c r="D139">
        <v>57</v>
      </c>
      <c r="E139">
        <v>992.4</v>
      </c>
      <c r="F139">
        <v>1.1000000000000001</v>
      </c>
    </row>
    <row r="140" spans="1:6" x14ac:dyDescent="0.25">
      <c r="A140" s="2">
        <v>0.77777777777777779</v>
      </c>
      <c r="B140">
        <v>24</v>
      </c>
      <c r="C140">
        <v>36</v>
      </c>
      <c r="D140">
        <v>57</v>
      </c>
      <c r="E140">
        <v>992.3</v>
      </c>
      <c r="F140">
        <v>2.5</v>
      </c>
    </row>
    <row r="141" spans="1:6" x14ac:dyDescent="0.25">
      <c r="A141" s="2">
        <v>0.77847222222222223</v>
      </c>
      <c r="B141">
        <v>23.9</v>
      </c>
      <c r="C141">
        <v>35.4</v>
      </c>
      <c r="D141">
        <v>57</v>
      </c>
      <c r="E141">
        <v>992.4</v>
      </c>
      <c r="F141">
        <v>1.8</v>
      </c>
    </row>
    <row r="142" spans="1:6" x14ac:dyDescent="0.25">
      <c r="A142" s="2">
        <v>0.77916666666666667</v>
      </c>
      <c r="B142">
        <v>23.9</v>
      </c>
      <c r="C142">
        <v>35.200000000000003</v>
      </c>
      <c r="D142">
        <v>57</v>
      </c>
      <c r="E142">
        <v>992.5</v>
      </c>
      <c r="F142">
        <v>2.9</v>
      </c>
    </row>
    <row r="143" spans="1:6" x14ac:dyDescent="0.25">
      <c r="A143" s="2">
        <v>0.77986111111111112</v>
      </c>
      <c r="B143">
        <v>23.9</v>
      </c>
      <c r="C143">
        <v>35.6</v>
      </c>
      <c r="D143">
        <v>57</v>
      </c>
      <c r="E143">
        <v>992.5</v>
      </c>
      <c r="F143">
        <v>1.8</v>
      </c>
    </row>
    <row r="144" spans="1:6" x14ac:dyDescent="0.25">
      <c r="A144" s="2">
        <v>0.78055555555555556</v>
      </c>
      <c r="B144">
        <v>24</v>
      </c>
      <c r="C144">
        <v>35.1</v>
      </c>
      <c r="D144">
        <v>56</v>
      </c>
      <c r="E144">
        <v>992.5</v>
      </c>
      <c r="F144">
        <v>0</v>
      </c>
    </row>
    <row r="145" spans="1:6" x14ac:dyDescent="0.25">
      <c r="A145" s="2">
        <v>0.78125</v>
      </c>
      <c r="B145">
        <v>24.1</v>
      </c>
      <c r="C145">
        <v>35.700000000000003</v>
      </c>
      <c r="D145">
        <v>57</v>
      </c>
      <c r="E145">
        <v>992.4</v>
      </c>
      <c r="F145">
        <v>2.2000000000000002</v>
      </c>
    </row>
    <row r="146" spans="1:6" x14ac:dyDescent="0.25">
      <c r="A146" s="2">
        <v>0.78194444444444444</v>
      </c>
      <c r="B146">
        <v>24.1</v>
      </c>
      <c r="C146">
        <v>35.700000000000003</v>
      </c>
      <c r="D146">
        <v>56</v>
      </c>
      <c r="E146">
        <v>992.5</v>
      </c>
      <c r="F146">
        <v>1.4</v>
      </c>
    </row>
    <row r="147" spans="1:6" x14ac:dyDescent="0.25">
      <c r="A147" s="2">
        <v>0.78263888888888888</v>
      </c>
      <c r="B147">
        <v>24</v>
      </c>
      <c r="C147">
        <v>35.700000000000003</v>
      </c>
      <c r="D147">
        <v>56</v>
      </c>
      <c r="E147">
        <v>992.5</v>
      </c>
      <c r="F147">
        <v>1.4</v>
      </c>
    </row>
    <row r="148" spans="1:6" x14ac:dyDescent="0.25">
      <c r="A148" s="2">
        <v>0.78333333333333333</v>
      </c>
      <c r="B148">
        <v>23.9</v>
      </c>
      <c r="C148">
        <v>35.200000000000003</v>
      </c>
      <c r="D148">
        <v>57</v>
      </c>
      <c r="E148">
        <v>992.5</v>
      </c>
      <c r="F148">
        <v>2.9</v>
      </c>
    </row>
    <row r="149" spans="1:6" x14ac:dyDescent="0.25">
      <c r="A149" s="2">
        <v>0.78402777777777777</v>
      </c>
      <c r="B149">
        <v>23.9</v>
      </c>
      <c r="C149">
        <v>35.200000000000003</v>
      </c>
      <c r="D149">
        <v>57</v>
      </c>
      <c r="E149">
        <v>992.5</v>
      </c>
      <c r="F149">
        <v>3.2</v>
      </c>
    </row>
    <row r="150" spans="1:6" x14ac:dyDescent="0.25">
      <c r="A150" s="2">
        <v>0.78472222222222221</v>
      </c>
      <c r="B150">
        <v>23.7</v>
      </c>
      <c r="C150">
        <v>34.9</v>
      </c>
      <c r="D150">
        <v>58</v>
      </c>
      <c r="E150">
        <v>992.5</v>
      </c>
      <c r="F150">
        <v>1.8</v>
      </c>
    </row>
    <row r="151" spans="1:6" x14ac:dyDescent="0.25">
      <c r="A151" s="2">
        <v>0.78541666666666665</v>
      </c>
      <c r="B151">
        <v>23.8</v>
      </c>
      <c r="C151">
        <v>34.9</v>
      </c>
      <c r="D151">
        <v>58</v>
      </c>
      <c r="E151">
        <v>992.6</v>
      </c>
      <c r="F151">
        <v>1.8</v>
      </c>
    </row>
    <row r="152" spans="1:6" x14ac:dyDescent="0.25">
      <c r="A152" s="2">
        <v>0.78611111111111109</v>
      </c>
      <c r="B152">
        <v>24</v>
      </c>
      <c r="C152">
        <v>35.200000000000003</v>
      </c>
      <c r="D152">
        <v>58</v>
      </c>
      <c r="E152">
        <v>992.5</v>
      </c>
      <c r="F152">
        <v>2.5</v>
      </c>
    </row>
    <row r="153" spans="1:6" x14ac:dyDescent="0.25">
      <c r="A153" s="2">
        <v>0.78680555555555554</v>
      </c>
      <c r="B153">
        <v>24</v>
      </c>
      <c r="C153">
        <v>35.200000000000003</v>
      </c>
      <c r="D153">
        <v>57</v>
      </c>
      <c r="E153">
        <v>992.6</v>
      </c>
      <c r="F153">
        <v>1.1000000000000001</v>
      </c>
    </row>
    <row r="154" spans="1:6" x14ac:dyDescent="0.25">
      <c r="A154" s="2">
        <v>0.78749999999999998</v>
      </c>
      <c r="B154">
        <v>24.2</v>
      </c>
      <c r="C154">
        <v>35.200000000000003</v>
      </c>
      <c r="D154">
        <v>56</v>
      </c>
      <c r="E154">
        <v>992.6</v>
      </c>
      <c r="F154">
        <v>1.8</v>
      </c>
    </row>
    <row r="155" spans="1:6" x14ac:dyDescent="0.25">
      <c r="A155" s="2">
        <v>0.78819444444444442</v>
      </c>
      <c r="B155">
        <v>24.1</v>
      </c>
      <c r="C155">
        <v>35.200000000000003</v>
      </c>
      <c r="D155">
        <v>57</v>
      </c>
      <c r="E155">
        <v>992.6</v>
      </c>
      <c r="F155">
        <v>1.8</v>
      </c>
    </row>
    <row r="156" spans="1:6" x14ac:dyDescent="0.25">
      <c r="A156" s="2">
        <v>0.78888888888888886</v>
      </c>
      <c r="B156">
        <v>24</v>
      </c>
      <c r="C156">
        <v>35.1</v>
      </c>
      <c r="D156">
        <v>60</v>
      </c>
      <c r="E156">
        <v>992.5</v>
      </c>
      <c r="F156">
        <v>1.1000000000000001</v>
      </c>
    </row>
    <row r="157" spans="1:6" x14ac:dyDescent="0.25">
      <c r="A157" s="2">
        <v>0.7895833333333333</v>
      </c>
      <c r="B157">
        <v>23.9</v>
      </c>
      <c r="C157">
        <v>35.1</v>
      </c>
      <c r="D157">
        <v>59</v>
      </c>
      <c r="E157">
        <v>992.6</v>
      </c>
      <c r="F157">
        <v>2.5</v>
      </c>
    </row>
    <row r="158" spans="1:6" x14ac:dyDescent="0.25">
      <c r="A158" s="2">
        <v>0.79027777777777775</v>
      </c>
      <c r="B158">
        <v>23.8</v>
      </c>
      <c r="C158">
        <v>34.6</v>
      </c>
      <c r="D158">
        <v>59</v>
      </c>
      <c r="E158">
        <v>992.7</v>
      </c>
      <c r="F158">
        <v>2.2000000000000002</v>
      </c>
    </row>
    <row r="159" spans="1:6" x14ac:dyDescent="0.25">
      <c r="A159" s="2">
        <v>0.79097222222222219</v>
      </c>
      <c r="B159">
        <v>23.8</v>
      </c>
      <c r="C159">
        <v>34.6</v>
      </c>
      <c r="D159">
        <v>63</v>
      </c>
      <c r="E159">
        <v>992.6</v>
      </c>
      <c r="F159">
        <v>1.4</v>
      </c>
    </row>
    <row r="160" spans="1:6" x14ac:dyDescent="0.25">
      <c r="A160" s="2">
        <v>0.79166666666666663</v>
      </c>
      <c r="B160">
        <v>23.8</v>
      </c>
      <c r="C160">
        <v>34.6</v>
      </c>
      <c r="D160">
        <v>59</v>
      </c>
      <c r="E160">
        <v>992.7</v>
      </c>
      <c r="F160">
        <v>3.2</v>
      </c>
    </row>
    <row r="161" spans="1:6" x14ac:dyDescent="0.25">
      <c r="A161" s="2">
        <v>0.79236111111111107</v>
      </c>
      <c r="B161">
        <v>23.8</v>
      </c>
      <c r="C161">
        <v>34.799999999999997</v>
      </c>
      <c r="D161">
        <v>58</v>
      </c>
      <c r="E161">
        <v>992.6</v>
      </c>
      <c r="F161">
        <v>2.9</v>
      </c>
    </row>
    <row r="162" spans="1:6" x14ac:dyDescent="0.25">
      <c r="A162" s="2">
        <v>0.79305555555555551</v>
      </c>
      <c r="B162">
        <v>23.7</v>
      </c>
      <c r="C162">
        <v>34.799999999999997</v>
      </c>
      <c r="D162">
        <v>59</v>
      </c>
      <c r="E162">
        <v>992.6</v>
      </c>
      <c r="F162">
        <v>0</v>
      </c>
    </row>
    <row r="163" spans="1:6" x14ac:dyDescent="0.25">
      <c r="A163" s="2">
        <v>0.79374999999999996</v>
      </c>
      <c r="B163">
        <v>23.7</v>
      </c>
      <c r="C163">
        <v>34.5</v>
      </c>
      <c r="D163">
        <v>58</v>
      </c>
      <c r="E163">
        <v>992.7</v>
      </c>
      <c r="F163">
        <v>0</v>
      </c>
    </row>
    <row r="164" spans="1:6" x14ac:dyDescent="0.25">
      <c r="A164" s="2">
        <v>0.7944444444444444</v>
      </c>
      <c r="B164">
        <v>23.7</v>
      </c>
      <c r="C164">
        <v>34.299999999999997</v>
      </c>
      <c r="D164">
        <v>60</v>
      </c>
      <c r="E164">
        <v>992.7</v>
      </c>
      <c r="F164">
        <v>1.8</v>
      </c>
    </row>
    <row r="165" spans="1:6" x14ac:dyDescent="0.25">
      <c r="A165" s="2">
        <v>0.79513888888888884</v>
      </c>
      <c r="B165">
        <v>23.8</v>
      </c>
      <c r="C165">
        <v>34.299999999999997</v>
      </c>
      <c r="D165">
        <v>63</v>
      </c>
      <c r="E165">
        <v>992.7</v>
      </c>
      <c r="F165">
        <v>3.2</v>
      </c>
    </row>
    <row r="166" spans="1:6" x14ac:dyDescent="0.25">
      <c r="A166" s="2">
        <v>0.79583333333333328</v>
      </c>
      <c r="B166">
        <v>23.7</v>
      </c>
      <c r="C166">
        <v>34.200000000000003</v>
      </c>
      <c r="D166">
        <v>61</v>
      </c>
      <c r="E166">
        <v>992.7</v>
      </c>
      <c r="F166">
        <v>1.1000000000000001</v>
      </c>
    </row>
    <row r="167" spans="1:6" x14ac:dyDescent="0.25">
      <c r="A167" s="2">
        <v>0.79652777777777772</v>
      </c>
      <c r="B167">
        <v>23.7</v>
      </c>
      <c r="C167">
        <v>33.799999999999997</v>
      </c>
      <c r="D167">
        <v>61</v>
      </c>
      <c r="E167">
        <v>992.7</v>
      </c>
      <c r="F167">
        <v>1.8</v>
      </c>
    </row>
    <row r="168" spans="1:6" x14ac:dyDescent="0.25">
      <c r="A168" s="2">
        <v>0.79722222222222228</v>
      </c>
      <c r="B168">
        <v>23.6</v>
      </c>
      <c r="C168">
        <v>33.700000000000003</v>
      </c>
      <c r="D168">
        <v>61</v>
      </c>
      <c r="E168">
        <v>992.7</v>
      </c>
      <c r="F168">
        <v>2.2000000000000002</v>
      </c>
    </row>
    <row r="169" spans="1:6" x14ac:dyDescent="0.25">
      <c r="A169" s="2">
        <v>0.79791666666666672</v>
      </c>
      <c r="B169">
        <v>23.6</v>
      </c>
      <c r="C169">
        <v>33.5</v>
      </c>
      <c r="D169">
        <v>61</v>
      </c>
      <c r="E169">
        <v>992.8</v>
      </c>
      <c r="F169">
        <v>2.5</v>
      </c>
    </row>
    <row r="170" spans="1:6" x14ac:dyDescent="0.25">
      <c r="A170" s="2">
        <v>0.79861111111111116</v>
      </c>
      <c r="B170">
        <v>23.5</v>
      </c>
      <c r="C170">
        <v>33.4</v>
      </c>
      <c r="D170">
        <v>60</v>
      </c>
      <c r="E170">
        <v>992.8</v>
      </c>
      <c r="F170">
        <v>2.2000000000000002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502E-523D-41D2-BC31-4A6C8998460A}">
  <dimension ref="A1:O113"/>
  <sheetViews>
    <sheetView topLeftCell="F1" zoomScale="70" zoomScaleNormal="70" workbookViewId="0">
      <selection activeCell="N1" sqref="N1:O2"/>
    </sheetView>
  </sheetViews>
  <sheetFormatPr defaultRowHeight="15" x14ac:dyDescent="0.25"/>
  <cols>
    <col min="1" max="1" width="14.85546875" bestFit="1" customWidth="1"/>
    <col min="2" max="2" width="13" bestFit="1" customWidth="1"/>
    <col min="3" max="3" width="18" bestFit="1" customWidth="1"/>
    <col min="4" max="4" width="20.140625" bestFit="1" customWidth="1"/>
    <col min="5" max="5" width="11.42578125" bestFit="1" customWidth="1"/>
    <col min="6" max="6" width="11" bestFit="1" customWidth="1"/>
    <col min="7" max="7" width="22.140625" customWidth="1"/>
    <col min="8" max="8" width="2.85546875" customWidth="1"/>
    <col min="9" max="9" width="16.42578125" bestFit="1" customWidth="1"/>
    <col min="10" max="10" width="16.140625" bestFit="1" customWidth="1"/>
    <col min="11" max="11" width="15" bestFit="1" customWidth="1"/>
    <col min="12" max="12" width="16.28515625" style="11" bestFit="1" customWidth="1"/>
    <col min="13" max="13" width="18.5703125" bestFit="1" customWidth="1"/>
    <col min="14" max="14" width="13.5703125" bestFit="1" customWidth="1"/>
    <col min="15" max="15" width="16.28515625" bestFit="1" customWidth="1"/>
  </cols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6" t="s">
        <v>15</v>
      </c>
      <c r="J1" s="6" t="s">
        <v>16</v>
      </c>
      <c r="K1" s="6" t="s">
        <v>12</v>
      </c>
      <c r="L1" s="9" t="s">
        <v>13</v>
      </c>
      <c r="M1" s="6" t="s">
        <v>14</v>
      </c>
      <c r="N1" s="7" t="s">
        <v>176</v>
      </c>
      <c r="O1" s="8" t="s">
        <v>177</v>
      </c>
    </row>
    <row r="2" spans="1:15" x14ac:dyDescent="0.25">
      <c r="A2" s="1">
        <v>44394.386111111111</v>
      </c>
      <c r="B2" s="2">
        <v>0.38611111111111113</v>
      </c>
      <c r="C2">
        <v>23.4</v>
      </c>
      <c r="D2">
        <v>24.9</v>
      </c>
      <c r="E2">
        <v>61</v>
      </c>
      <c r="F2">
        <v>991.6</v>
      </c>
      <c r="G2">
        <v>3.2</v>
      </c>
      <c r="I2" t="s">
        <v>78</v>
      </c>
      <c r="J2" t="s">
        <v>98</v>
      </c>
      <c r="K2" t="s">
        <v>97</v>
      </c>
      <c r="L2" s="10">
        <v>33.4</v>
      </c>
      <c r="M2" t="s">
        <v>60</v>
      </c>
      <c r="N2">
        <f>L2-_20210717210500_weatherstation_1[[#This Row],[Air Temperature]]</f>
        <v>10</v>
      </c>
      <c r="O2">
        <f>L2-_20210717210500_weatherstation_1[[#This Row],[Track Temperature]]</f>
        <v>8.5</v>
      </c>
    </row>
    <row r="3" spans="1:15" x14ac:dyDescent="0.25">
      <c r="A3" s="1">
        <v>44394.386805555558</v>
      </c>
      <c r="B3" s="2">
        <v>0.38680555555555557</v>
      </c>
      <c r="C3">
        <v>23.4</v>
      </c>
      <c r="D3">
        <v>25.3</v>
      </c>
      <c r="E3">
        <v>62</v>
      </c>
      <c r="F3">
        <v>991.6</v>
      </c>
      <c r="G3">
        <v>4</v>
      </c>
      <c r="I3" t="s">
        <v>78</v>
      </c>
      <c r="J3" t="s">
        <v>100</v>
      </c>
      <c r="K3" t="s">
        <v>99</v>
      </c>
      <c r="L3" s="10">
        <v>33.799999999999997</v>
      </c>
      <c r="M3" t="s">
        <v>30</v>
      </c>
      <c r="N3">
        <f>L3-_20210717210500_weatherstation_1[[#This Row],[Air Temperature]]</f>
        <v>10.399999999999999</v>
      </c>
      <c r="O3">
        <f>L3-_20210717210500_weatherstation_1[[#This Row],[Track Temperature]]</f>
        <v>8.4999999999999964</v>
      </c>
    </row>
    <row r="4" spans="1:15" x14ac:dyDescent="0.25">
      <c r="A4" s="1">
        <v>44394.387499999997</v>
      </c>
      <c r="B4" s="2">
        <v>0.38750000000000001</v>
      </c>
      <c r="C4">
        <v>23.4</v>
      </c>
      <c r="D4">
        <v>25.7</v>
      </c>
      <c r="E4">
        <v>62</v>
      </c>
      <c r="F4">
        <v>991.6</v>
      </c>
      <c r="G4">
        <v>4.7</v>
      </c>
      <c r="I4" t="s">
        <v>78</v>
      </c>
      <c r="J4" t="s">
        <v>102</v>
      </c>
      <c r="K4" t="s">
        <v>101</v>
      </c>
      <c r="L4" s="10">
        <v>33.9</v>
      </c>
      <c r="M4" t="s">
        <v>33</v>
      </c>
      <c r="N4">
        <f>L4-_20210717210500_weatherstation_1[[#This Row],[Air Temperature]]</f>
        <v>10.5</v>
      </c>
      <c r="O4">
        <f>L4-_20210717210500_weatherstation_1[[#This Row],[Track Temperature]]</f>
        <v>8.1999999999999993</v>
      </c>
    </row>
    <row r="5" spans="1:15" x14ac:dyDescent="0.25">
      <c r="A5" s="1">
        <v>44394.388194444444</v>
      </c>
      <c r="B5" s="2">
        <v>0.38819444444444445</v>
      </c>
      <c r="C5">
        <v>23.3</v>
      </c>
      <c r="D5">
        <v>25.6</v>
      </c>
      <c r="E5">
        <v>61</v>
      </c>
      <c r="F5">
        <v>991.7</v>
      </c>
      <c r="G5">
        <v>3.2</v>
      </c>
      <c r="I5" t="s">
        <v>78</v>
      </c>
      <c r="J5" t="s">
        <v>105</v>
      </c>
      <c r="K5" t="s">
        <v>103</v>
      </c>
      <c r="L5" s="10">
        <v>34.299999999999997</v>
      </c>
      <c r="M5" t="s">
        <v>22</v>
      </c>
      <c r="N5">
        <f>L5-_20210717210500_weatherstation_1[[#This Row],[Air Temperature]]</f>
        <v>10.999999999999996</v>
      </c>
      <c r="O5">
        <f>L5-_20210717210500_weatherstation_1[[#This Row],[Track Temperature]]</f>
        <v>8.6999999999999957</v>
      </c>
    </row>
    <row r="6" spans="1:15" x14ac:dyDescent="0.25">
      <c r="A6" s="1">
        <v>44394.388888888891</v>
      </c>
      <c r="B6" s="2">
        <v>0.3888888888888889</v>
      </c>
      <c r="C6">
        <v>23.3</v>
      </c>
      <c r="D6">
        <v>25.6</v>
      </c>
      <c r="E6">
        <v>62</v>
      </c>
      <c r="F6">
        <v>991.7</v>
      </c>
      <c r="G6">
        <v>2.2000000000000002</v>
      </c>
      <c r="I6" t="s">
        <v>78</v>
      </c>
      <c r="J6" t="s">
        <v>109</v>
      </c>
      <c r="K6" t="s">
        <v>106</v>
      </c>
      <c r="L6" s="10">
        <v>34.5</v>
      </c>
      <c r="M6" t="s">
        <v>108</v>
      </c>
      <c r="N6">
        <f>L6-_20210717210500_weatherstation_1[[#This Row],[Air Temperature]]</f>
        <v>11.2</v>
      </c>
      <c r="O6">
        <f>L6-_20210717210500_weatherstation_1[[#This Row],[Track Temperature]]</f>
        <v>8.8999999999999986</v>
      </c>
    </row>
    <row r="7" spans="1:15" x14ac:dyDescent="0.25">
      <c r="A7" s="1">
        <v>44394.38958333333</v>
      </c>
      <c r="B7" s="2">
        <v>0.38958333333333334</v>
      </c>
      <c r="C7">
        <v>23.3</v>
      </c>
      <c r="D7">
        <v>26.2</v>
      </c>
      <c r="E7">
        <v>62</v>
      </c>
      <c r="F7">
        <v>991.7</v>
      </c>
      <c r="G7">
        <v>1.8</v>
      </c>
      <c r="I7" t="s">
        <v>78</v>
      </c>
      <c r="J7" t="s">
        <v>111</v>
      </c>
      <c r="K7" t="s">
        <v>110</v>
      </c>
      <c r="L7" s="10">
        <v>34.4</v>
      </c>
      <c r="M7" t="s">
        <v>108</v>
      </c>
      <c r="N7">
        <f>L7-_20210717210500_weatherstation_1[[#This Row],[Air Temperature]]</f>
        <v>11.099999999999998</v>
      </c>
      <c r="O7">
        <f>L7-_20210717210500_weatherstation_1[[#This Row],[Track Temperature]]</f>
        <v>8.1999999999999993</v>
      </c>
    </row>
    <row r="8" spans="1:15" x14ac:dyDescent="0.25">
      <c r="A8" s="1">
        <v>44394.390277777777</v>
      </c>
      <c r="B8" s="2">
        <v>0.39027777777777778</v>
      </c>
      <c r="C8">
        <v>23.3</v>
      </c>
      <c r="D8">
        <v>26.2</v>
      </c>
      <c r="E8">
        <v>62</v>
      </c>
      <c r="F8">
        <v>991.8</v>
      </c>
      <c r="G8">
        <v>2.5</v>
      </c>
      <c r="I8" t="s">
        <v>78</v>
      </c>
      <c r="J8" t="s">
        <v>113</v>
      </c>
      <c r="K8" t="s">
        <v>112</v>
      </c>
      <c r="L8" s="10">
        <v>33.6</v>
      </c>
      <c r="M8" t="s">
        <v>30</v>
      </c>
      <c r="N8">
        <f>L8-_20210717210500_weatherstation_1[[#This Row],[Air Temperature]]</f>
        <v>10.3</v>
      </c>
      <c r="O8">
        <f>L8-_20210717210500_weatherstation_1[[#This Row],[Track Temperature]]</f>
        <v>7.4000000000000021</v>
      </c>
    </row>
    <row r="9" spans="1:15" x14ac:dyDescent="0.25">
      <c r="A9" s="1">
        <v>44394.390972222223</v>
      </c>
      <c r="B9" s="2">
        <v>0.39097222222222222</v>
      </c>
      <c r="C9">
        <v>23.3</v>
      </c>
      <c r="D9">
        <v>26.2</v>
      </c>
      <c r="E9">
        <v>62</v>
      </c>
      <c r="F9">
        <v>991.8</v>
      </c>
      <c r="G9">
        <v>3.2</v>
      </c>
      <c r="I9" t="s">
        <v>78</v>
      </c>
      <c r="J9" t="s">
        <v>117</v>
      </c>
      <c r="K9" t="s">
        <v>114</v>
      </c>
      <c r="L9" s="10">
        <v>32.799999999999997</v>
      </c>
      <c r="M9" t="s">
        <v>116</v>
      </c>
      <c r="N9">
        <f>L9-_20210717210500_weatherstation_1[[#This Row],[Air Temperature]]</f>
        <v>9.4999999999999964</v>
      </c>
      <c r="O9">
        <f>L9-_20210717210500_weatherstation_1[[#This Row],[Track Temperature]]</f>
        <v>6.5999999999999979</v>
      </c>
    </row>
    <row r="10" spans="1:15" x14ac:dyDescent="0.25">
      <c r="A10" s="1">
        <v>44394.39166666667</v>
      </c>
      <c r="B10" s="2">
        <v>0.39166666666666666</v>
      </c>
      <c r="C10">
        <v>23.5</v>
      </c>
      <c r="D10">
        <v>26.7</v>
      </c>
      <c r="E10">
        <v>61</v>
      </c>
      <c r="F10">
        <v>991.7</v>
      </c>
      <c r="G10">
        <v>2.2000000000000002</v>
      </c>
      <c r="I10" t="s">
        <v>78</v>
      </c>
      <c r="J10" t="s">
        <v>120</v>
      </c>
      <c r="K10" t="s">
        <v>118</v>
      </c>
      <c r="L10" s="10">
        <v>32.9</v>
      </c>
      <c r="M10" t="s">
        <v>119</v>
      </c>
      <c r="N10">
        <f>L10-_20210717210500_weatherstation_1[[#This Row],[Air Temperature]]</f>
        <v>9.3999999999999986</v>
      </c>
      <c r="O10">
        <f>L10-_20210717210500_weatherstation_1[[#This Row],[Track Temperature]]</f>
        <v>6.1999999999999993</v>
      </c>
    </row>
    <row r="11" spans="1:15" x14ac:dyDescent="0.25">
      <c r="A11" s="1">
        <v>44394.392361111109</v>
      </c>
      <c r="B11" s="2">
        <v>0.3923611111111111</v>
      </c>
      <c r="C11">
        <v>23.6</v>
      </c>
      <c r="D11">
        <v>27</v>
      </c>
      <c r="E11">
        <v>61</v>
      </c>
      <c r="F11">
        <v>991.7</v>
      </c>
      <c r="G11">
        <v>3.6</v>
      </c>
      <c r="I11" t="s">
        <v>78</v>
      </c>
      <c r="J11" t="s">
        <v>123</v>
      </c>
      <c r="K11" t="s">
        <v>121</v>
      </c>
      <c r="L11" s="10">
        <v>32.799999999999997</v>
      </c>
      <c r="M11" t="s">
        <v>122</v>
      </c>
      <c r="N11">
        <f>L11-_20210717210500_weatherstation_1[[#This Row],[Air Temperature]]</f>
        <v>9.1999999999999957</v>
      </c>
      <c r="O11">
        <f>L11-_20210717210500_weatherstation_1[[#This Row],[Track Temperature]]</f>
        <v>5.7999999999999972</v>
      </c>
    </row>
    <row r="12" spans="1:15" x14ac:dyDescent="0.25">
      <c r="A12" s="1">
        <v>44394.393055555556</v>
      </c>
      <c r="B12" s="2">
        <v>0.39305555555555555</v>
      </c>
      <c r="C12">
        <v>23.6</v>
      </c>
      <c r="D12">
        <v>27.2</v>
      </c>
      <c r="E12">
        <v>61</v>
      </c>
      <c r="F12">
        <v>991.7</v>
      </c>
      <c r="G12">
        <v>3.2</v>
      </c>
      <c r="I12" t="s">
        <v>78</v>
      </c>
      <c r="J12" t="s">
        <v>125</v>
      </c>
      <c r="K12" t="s">
        <v>124</v>
      </c>
      <c r="L12" s="10">
        <v>32</v>
      </c>
      <c r="M12" t="s">
        <v>51</v>
      </c>
      <c r="N12">
        <f>L12-_20210717210500_weatherstation_1[[#This Row],[Air Temperature]]</f>
        <v>8.3999999999999986</v>
      </c>
      <c r="O12">
        <f>L12-_20210717210500_weatherstation_1[[#This Row],[Track Temperature]]</f>
        <v>4.8000000000000007</v>
      </c>
    </row>
    <row r="13" spans="1:15" x14ac:dyDescent="0.25">
      <c r="A13" s="1">
        <v>44394.393750000003</v>
      </c>
      <c r="B13" s="2">
        <v>0.39374999999999999</v>
      </c>
      <c r="C13">
        <v>23.6</v>
      </c>
      <c r="D13">
        <v>27.5</v>
      </c>
      <c r="E13">
        <v>61</v>
      </c>
      <c r="F13">
        <v>991.7</v>
      </c>
      <c r="G13">
        <v>1.4</v>
      </c>
      <c r="I13" t="s">
        <v>78</v>
      </c>
      <c r="J13" t="s">
        <v>128</v>
      </c>
      <c r="K13" t="s">
        <v>126</v>
      </c>
      <c r="L13" s="10">
        <v>32.299999999999997</v>
      </c>
      <c r="M13" t="s">
        <v>92</v>
      </c>
      <c r="N13">
        <f>L13-_20210717210500_weatherstation_1[[#This Row],[Air Temperature]]</f>
        <v>8.6999999999999957</v>
      </c>
      <c r="O13">
        <f>L13-_20210717210500_weatherstation_1[[#This Row],[Track Temperature]]</f>
        <v>4.7999999999999972</v>
      </c>
    </row>
    <row r="14" spans="1:15" x14ac:dyDescent="0.25">
      <c r="A14" s="1">
        <v>44394.394444444442</v>
      </c>
      <c r="B14" s="2">
        <v>0.39444444444444443</v>
      </c>
      <c r="C14">
        <v>23.7</v>
      </c>
      <c r="D14">
        <v>27.7</v>
      </c>
      <c r="E14">
        <v>61</v>
      </c>
      <c r="F14">
        <v>991.7</v>
      </c>
      <c r="G14">
        <v>4</v>
      </c>
      <c r="I14" t="s">
        <v>78</v>
      </c>
      <c r="J14" t="s">
        <v>130</v>
      </c>
      <c r="K14" t="s">
        <v>129</v>
      </c>
      <c r="L14" s="10">
        <v>32.200000000000003</v>
      </c>
      <c r="M14" t="s">
        <v>51</v>
      </c>
      <c r="N14">
        <f>L14-_20210717210500_weatherstation_1[[#This Row],[Air Temperature]]</f>
        <v>8.5000000000000036</v>
      </c>
      <c r="O14">
        <f>L14-_20210717210500_weatherstation_1[[#This Row],[Track Temperature]]</f>
        <v>4.5000000000000036</v>
      </c>
    </row>
    <row r="15" spans="1:15" x14ac:dyDescent="0.25">
      <c r="A15" s="1">
        <v>44394.395138888889</v>
      </c>
      <c r="B15" s="2">
        <v>0.39513888888888887</v>
      </c>
      <c r="C15">
        <v>23.8</v>
      </c>
      <c r="D15">
        <v>27.7</v>
      </c>
      <c r="E15">
        <v>60</v>
      </c>
      <c r="F15">
        <v>991.7</v>
      </c>
      <c r="G15">
        <v>4.7</v>
      </c>
      <c r="I15" t="s">
        <v>78</v>
      </c>
      <c r="J15" t="s">
        <v>132</v>
      </c>
      <c r="K15" t="s">
        <v>131</v>
      </c>
      <c r="L15" s="10">
        <v>32.200000000000003</v>
      </c>
      <c r="M15" t="s">
        <v>33</v>
      </c>
      <c r="N15">
        <f>L15-_20210717210500_weatherstation_1[[#This Row],[Air Temperature]]</f>
        <v>8.4000000000000021</v>
      </c>
      <c r="O15">
        <f>L15-_20210717210500_weatherstation_1[[#This Row],[Track Temperature]]</f>
        <v>4.5000000000000036</v>
      </c>
    </row>
    <row r="16" spans="1:15" x14ac:dyDescent="0.25">
      <c r="A16" s="1">
        <v>44394.395833333336</v>
      </c>
      <c r="B16" s="2">
        <v>0.39583333333333331</v>
      </c>
      <c r="C16">
        <v>23.6</v>
      </c>
      <c r="D16">
        <v>27.8</v>
      </c>
      <c r="E16">
        <v>60</v>
      </c>
      <c r="F16">
        <v>991.7</v>
      </c>
      <c r="G16">
        <v>6.1</v>
      </c>
      <c r="I16" t="s">
        <v>78</v>
      </c>
      <c r="J16" t="s">
        <v>20</v>
      </c>
      <c r="K16" t="s">
        <v>133</v>
      </c>
      <c r="L16" s="10">
        <v>32.5</v>
      </c>
      <c r="M16" t="s">
        <v>92</v>
      </c>
      <c r="N16">
        <f>L16-_20210717210500_weatherstation_1[[#This Row],[Air Temperature]]</f>
        <v>8.8999999999999986</v>
      </c>
      <c r="O16">
        <f>L16-_20210717210500_weatherstation_1[[#This Row],[Track Temperature]]</f>
        <v>4.6999999999999993</v>
      </c>
    </row>
    <row r="17" spans="1:15" x14ac:dyDescent="0.25">
      <c r="A17" s="1">
        <v>44394.396527777775</v>
      </c>
      <c r="B17" s="2">
        <v>0.39652777777777776</v>
      </c>
      <c r="C17">
        <v>23.5</v>
      </c>
      <c r="D17">
        <v>27.7</v>
      </c>
      <c r="E17">
        <v>62</v>
      </c>
      <c r="F17">
        <v>991.7</v>
      </c>
      <c r="G17">
        <v>5</v>
      </c>
      <c r="I17" t="s">
        <v>78</v>
      </c>
      <c r="J17" t="s">
        <v>24</v>
      </c>
      <c r="K17" t="s">
        <v>134</v>
      </c>
      <c r="L17" s="10">
        <v>32.700000000000003</v>
      </c>
      <c r="M17" t="s">
        <v>136</v>
      </c>
      <c r="N17">
        <f>L17-_20210717210500_weatherstation_1[[#This Row],[Air Temperature]]</f>
        <v>9.2000000000000028</v>
      </c>
      <c r="O17">
        <f>L17-_20210717210500_weatherstation_1[[#This Row],[Track Temperature]]</f>
        <v>5.0000000000000036</v>
      </c>
    </row>
    <row r="18" spans="1:15" x14ac:dyDescent="0.25">
      <c r="A18" s="1">
        <v>44394.397222222222</v>
      </c>
      <c r="B18" s="2">
        <v>0.3972222222222222</v>
      </c>
      <c r="C18">
        <v>23.5</v>
      </c>
      <c r="D18">
        <v>27.8</v>
      </c>
      <c r="E18">
        <v>61</v>
      </c>
      <c r="F18">
        <v>991.7</v>
      </c>
      <c r="G18">
        <v>4.7</v>
      </c>
      <c r="I18" t="s">
        <v>78</v>
      </c>
      <c r="J18" t="s">
        <v>25</v>
      </c>
      <c r="K18" t="s">
        <v>137</v>
      </c>
      <c r="L18" s="10">
        <v>33.299999999999997</v>
      </c>
      <c r="M18" t="s">
        <v>138</v>
      </c>
      <c r="N18">
        <f>L18-_20210717210500_weatherstation_1[[#This Row],[Air Temperature]]</f>
        <v>9.7999999999999972</v>
      </c>
      <c r="O18">
        <f>L18-_20210717210500_weatherstation_1[[#This Row],[Track Temperature]]</f>
        <v>5.4999999999999964</v>
      </c>
    </row>
    <row r="19" spans="1:15" x14ac:dyDescent="0.25">
      <c r="A19" s="1">
        <v>44394.397916666669</v>
      </c>
      <c r="B19" s="2">
        <v>0.39791666666666664</v>
      </c>
      <c r="C19">
        <v>23.4</v>
      </c>
      <c r="D19">
        <v>27.9</v>
      </c>
      <c r="E19">
        <v>62</v>
      </c>
      <c r="F19">
        <v>991.7</v>
      </c>
      <c r="G19">
        <v>2.9</v>
      </c>
      <c r="I19" t="s">
        <v>78</v>
      </c>
      <c r="J19" t="s">
        <v>27</v>
      </c>
      <c r="K19" t="s">
        <v>28</v>
      </c>
      <c r="L19" s="10">
        <v>33</v>
      </c>
      <c r="M19" t="s">
        <v>140</v>
      </c>
      <c r="N19">
        <f>L19-_20210717210500_weatherstation_1[[#This Row],[Air Temperature]]</f>
        <v>9.6000000000000014</v>
      </c>
      <c r="O19">
        <f>L19-_20210717210500_weatherstation_1[[#This Row],[Track Temperature]]</f>
        <v>5.1000000000000014</v>
      </c>
    </row>
    <row r="20" spans="1:15" x14ac:dyDescent="0.25">
      <c r="A20" s="1">
        <v>44394.398611111108</v>
      </c>
      <c r="B20" s="2">
        <v>0.39861111111111114</v>
      </c>
      <c r="C20">
        <v>23.3</v>
      </c>
      <c r="D20">
        <v>27.7</v>
      </c>
      <c r="E20">
        <v>61</v>
      </c>
      <c r="F20">
        <v>991.7</v>
      </c>
      <c r="G20">
        <v>4.7</v>
      </c>
      <c r="I20" t="s">
        <v>78</v>
      </c>
      <c r="J20" t="s">
        <v>29</v>
      </c>
      <c r="K20" t="s">
        <v>141</v>
      </c>
      <c r="L20" s="10">
        <v>33.1</v>
      </c>
      <c r="M20" t="s">
        <v>23</v>
      </c>
      <c r="N20">
        <f>L20-_20210717210500_weatherstation_1[[#This Row],[Air Temperature]]</f>
        <v>9.8000000000000007</v>
      </c>
      <c r="O20">
        <f>L20-_20210717210500_weatherstation_1[[#This Row],[Track Temperature]]</f>
        <v>5.4000000000000021</v>
      </c>
    </row>
    <row r="21" spans="1:15" x14ac:dyDescent="0.25">
      <c r="A21" s="1">
        <v>44394.399305555555</v>
      </c>
      <c r="B21" s="2">
        <v>0.39930555555555558</v>
      </c>
      <c r="C21">
        <v>23.3</v>
      </c>
      <c r="D21">
        <v>27.4</v>
      </c>
      <c r="E21">
        <v>62</v>
      </c>
      <c r="F21">
        <v>991.8</v>
      </c>
      <c r="G21">
        <v>3.2</v>
      </c>
      <c r="I21" t="s">
        <v>78</v>
      </c>
      <c r="J21" t="s">
        <v>31</v>
      </c>
      <c r="K21" t="s">
        <v>142</v>
      </c>
      <c r="L21" s="10">
        <v>33.4</v>
      </c>
      <c r="M21" t="s">
        <v>48</v>
      </c>
      <c r="N21">
        <f>L21-_20210717210500_weatherstation_1[[#This Row],[Air Temperature]]</f>
        <v>10.099999999999998</v>
      </c>
      <c r="O21">
        <f>L21-_20210717210500_weatherstation_1[[#This Row],[Track Temperature]]</f>
        <v>6</v>
      </c>
    </row>
    <row r="22" spans="1:15" x14ac:dyDescent="0.25">
      <c r="A22" s="1">
        <v>44394.400000000001</v>
      </c>
      <c r="B22" s="2">
        <v>0.4</v>
      </c>
      <c r="C22">
        <v>23.3</v>
      </c>
      <c r="D22">
        <v>27.4</v>
      </c>
      <c r="E22">
        <v>62</v>
      </c>
      <c r="F22">
        <v>991.7</v>
      </c>
      <c r="G22">
        <v>5</v>
      </c>
      <c r="I22" t="s">
        <v>78</v>
      </c>
      <c r="J22" t="s">
        <v>34</v>
      </c>
      <c r="K22" t="s">
        <v>143</v>
      </c>
      <c r="L22" s="10">
        <v>33.299999999999997</v>
      </c>
      <c r="M22" t="s">
        <v>144</v>
      </c>
      <c r="N22">
        <f>L22-_20210717210500_weatherstation_1[[#This Row],[Air Temperature]]</f>
        <v>9.9999999999999964</v>
      </c>
      <c r="O22">
        <f>L22-_20210717210500_weatherstation_1[[#This Row],[Track Temperature]]</f>
        <v>5.8999999999999986</v>
      </c>
    </row>
    <row r="23" spans="1:15" x14ac:dyDescent="0.25">
      <c r="A23" s="1">
        <v>44394.400694444441</v>
      </c>
      <c r="B23" s="2">
        <v>0.40069444444444446</v>
      </c>
      <c r="C23">
        <v>23.3</v>
      </c>
      <c r="D23">
        <v>27.3</v>
      </c>
      <c r="E23">
        <v>61</v>
      </c>
      <c r="F23">
        <v>991.7</v>
      </c>
      <c r="G23">
        <v>5.8</v>
      </c>
      <c r="I23" t="s">
        <v>78</v>
      </c>
      <c r="J23" t="s">
        <v>35</v>
      </c>
      <c r="K23" t="s">
        <v>145</v>
      </c>
      <c r="L23" s="10">
        <v>33.200000000000003</v>
      </c>
      <c r="M23" t="s">
        <v>108</v>
      </c>
      <c r="N23">
        <f>L23-_20210717210500_weatherstation_1[[#This Row],[Air Temperature]]</f>
        <v>9.9000000000000021</v>
      </c>
      <c r="O23">
        <f>L23-_20210717210500_weatherstation_1[[#This Row],[Track Temperature]]</f>
        <v>5.9000000000000021</v>
      </c>
    </row>
    <row r="24" spans="1:15" x14ac:dyDescent="0.25">
      <c r="A24" s="1">
        <v>44394.401388888888</v>
      </c>
      <c r="B24" s="2">
        <v>0.40138888888888891</v>
      </c>
      <c r="C24">
        <v>23.3</v>
      </c>
      <c r="D24">
        <v>27.3</v>
      </c>
      <c r="E24">
        <v>61</v>
      </c>
      <c r="F24">
        <v>991.7</v>
      </c>
      <c r="G24">
        <v>2.9</v>
      </c>
      <c r="I24" t="s">
        <v>78</v>
      </c>
      <c r="J24" t="s">
        <v>36</v>
      </c>
      <c r="K24" t="s">
        <v>146</v>
      </c>
      <c r="L24" s="10">
        <v>32.6</v>
      </c>
      <c r="M24" t="s">
        <v>60</v>
      </c>
      <c r="N24">
        <f>L24-_20210717210500_weatherstation_1[[#This Row],[Air Temperature]]</f>
        <v>9.3000000000000007</v>
      </c>
      <c r="O24">
        <f>L24-_20210717210500_weatherstation_1[[#This Row],[Track Temperature]]</f>
        <v>5.3000000000000007</v>
      </c>
    </row>
    <row r="25" spans="1:15" x14ac:dyDescent="0.25">
      <c r="A25" s="1">
        <v>44394.402083333334</v>
      </c>
      <c r="B25" s="2">
        <v>0.40208333333333335</v>
      </c>
      <c r="C25">
        <v>23.3</v>
      </c>
      <c r="D25">
        <v>27.4</v>
      </c>
      <c r="E25">
        <v>62</v>
      </c>
      <c r="F25">
        <v>991.7</v>
      </c>
      <c r="G25">
        <v>7.2</v>
      </c>
      <c r="I25" t="s">
        <v>78</v>
      </c>
      <c r="J25" t="s">
        <v>37</v>
      </c>
      <c r="K25" t="s">
        <v>147</v>
      </c>
      <c r="L25" s="10">
        <v>32</v>
      </c>
      <c r="M25" t="s">
        <v>92</v>
      </c>
      <c r="N25">
        <f>L25-_20210717210500_weatherstation_1[[#This Row],[Air Temperature]]</f>
        <v>8.6999999999999993</v>
      </c>
      <c r="O25">
        <f>L25-_20210717210500_weatherstation_1[[#This Row],[Track Temperature]]</f>
        <v>4.6000000000000014</v>
      </c>
    </row>
    <row r="26" spans="1:15" x14ac:dyDescent="0.25">
      <c r="A26" s="1">
        <v>44394.402777777781</v>
      </c>
      <c r="B26" s="2">
        <v>0.40277777777777779</v>
      </c>
      <c r="C26">
        <v>23.2</v>
      </c>
      <c r="D26">
        <v>27.6</v>
      </c>
      <c r="E26">
        <v>62</v>
      </c>
      <c r="F26">
        <v>991.7</v>
      </c>
      <c r="G26">
        <v>6.1</v>
      </c>
      <c r="I26" t="s">
        <v>78</v>
      </c>
      <c r="J26" t="s">
        <v>39</v>
      </c>
      <c r="K26" t="s">
        <v>148</v>
      </c>
      <c r="L26" s="10">
        <v>31.8</v>
      </c>
      <c r="M26" t="s">
        <v>46</v>
      </c>
      <c r="N26">
        <f>L26-_20210717210500_weatherstation_1[[#This Row],[Air Temperature]]</f>
        <v>8.6000000000000014</v>
      </c>
      <c r="O26">
        <f>L26-_20210717210500_weatherstation_1[[#This Row],[Track Temperature]]</f>
        <v>4.1999999999999993</v>
      </c>
    </row>
    <row r="27" spans="1:15" x14ac:dyDescent="0.25">
      <c r="A27" s="1">
        <v>44394.40347222222</v>
      </c>
      <c r="B27" s="2">
        <v>0.40347222222222223</v>
      </c>
      <c r="C27">
        <v>23.3</v>
      </c>
      <c r="D27">
        <v>28.6</v>
      </c>
      <c r="E27">
        <v>62</v>
      </c>
      <c r="F27">
        <v>991.7</v>
      </c>
      <c r="G27">
        <v>6.1</v>
      </c>
      <c r="I27" t="s">
        <v>78</v>
      </c>
      <c r="J27" t="s">
        <v>40</v>
      </c>
      <c r="K27" t="s">
        <v>149</v>
      </c>
      <c r="L27" s="10">
        <v>32</v>
      </c>
      <c r="M27" t="s">
        <v>150</v>
      </c>
      <c r="N27">
        <f>L27-_20210717210500_weatherstation_1[[#This Row],[Air Temperature]]</f>
        <v>8.6999999999999993</v>
      </c>
      <c r="O27">
        <f>L27-_20210717210500_weatherstation_1[[#This Row],[Track Temperature]]</f>
        <v>3.3999999999999986</v>
      </c>
    </row>
    <row r="28" spans="1:15" x14ac:dyDescent="0.25">
      <c r="A28" s="1">
        <v>44394.404166666667</v>
      </c>
      <c r="B28" s="2">
        <v>0.40416666666666667</v>
      </c>
      <c r="C28">
        <v>23.5</v>
      </c>
      <c r="D28">
        <v>28.6</v>
      </c>
      <c r="E28">
        <v>61</v>
      </c>
      <c r="F28">
        <v>991.7</v>
      </c>
      <c r="G28">
        <v>6.1</v>
      </c>
      <c r="I28" t="s">
        <v>78</v>
      </c>
      <c r="J28" t="s">
        <v>41</v>
      </c>
      <c r="K28" t="s">
        <v>151</v>
      </c>
      <c r="L28" s="10">
        <v>32.1</v>
      </c>
      <c r="M28" t="s">
        <v>48</v>
      </c>
      <c r="N28">
        <f>L28-_20210717210500_weatherstation_1[[#This Row],[Air Temperature]]</f>
        <v>8.6000000000000014</v>
      </c>
      <c r="O28">
        <f>L28-_20210717210500_weatherstation_1[[#This Row],[Track Temperature]]</f>
        <v>3.5</v>
      </c>
    </row>
    <row r="29" spans="1:15" x14ac:dyDescent="0.25">
      <c r="A29" s="1">
        <v>44394.404861111114</v>
      </c>
      <c r="B29" s="2">
        <v>0.40486111111111112</v>
      </c>
      <c r="C29">
        <v>23.5</v>
      </c>
      <c r="D29">
        <v>29.3</v>
      </c>
      <c r="E29">
        <v>60</v>
      </c>
      <c r="F29">
        <v>991.7</v>
      </c>
      <c r="G29">
        <v>5.8</v>
      </c>
      <c r="I29" t="s">
        <v>78</v>
      </c>
      <c r="J29" t="s">
        <v>42</v>
      </c>
      <c r="K29" t="s">
        <v>152</v>
      </c>
      <c r="L29" s="10">
        <v>32.200000000000003</v>
      </c>
      <c r="M29" t="s">
        <v>73</v>
      </c>
      <c r="N29">
        <f>L29-_20210717210500_weatherstation_1[[#This Row],[Air Temperature]]</f>
        <v>8.7000000000000028</v>
      </c>
      <c r="O29">
        <f>L29-_20210717210500_weatherstation_1[[#This Row],[Track Temperature]]</f>
        <v>2.9000000000000021</v>
      </c>
    </row>
    <row r="30" spans="1:15" x14ac:dyDescent="0.25">
      <c r="A30" s="1">
        <v>44394.405555555553</v>
      </c>
      <c r="B30" s="2">
        <v>0.40555555555555556</v>
      </c>
      <c r="C30">
        <v>23.6</v>
      </c>
      <c r="D30">
        <v>29.7</v>
      </c>
      <c r="E30">
        <v>61</v>
      </c>
      <c r="F30">
        <v>991.7</v>
      </c>
      <c r="G30">
        <v>6.1</v>
      </c>
      <c r="I30" t="s">
        <v>78</v>
      </c>
      <c r="J30" t="s">
        <v>44</v>
      </c>
      <c r="K30" t="s">
        <v>153</v>
      </c>
      <c r="L30" s="10">
        <v>31.9</v>
      </c>
      <c r="M30" t="s">
        <v>92</v>
      </c>
      <c r="N30">
        <f>L30-_20210717210500_weatherstation_1[[#This Row],[Air Temperature]]</f>
        <v>8.2999999999999972</v>
      </c>
      <c r="O30">
        <f>L30-_20210717210500_weatherstation_1[[#This Row],[Track Temperature]]</f>
        <v>2.1999999999999993</v>
      </c>
    </row>
    <row r="31" spans="1:15" x14ac:dyDescent="0.25">
      <c r="A31" s="1">
        <v>44394.40625</v>
      </c>
      <c r="B31" s="2">
        <v>0.40625</v>
      </c>
      <c r="C31">
        <v>23.8</v>
      </c>
      <c r="D31">
        <v>29.7</v>
      </c>
      <c r="E31">
        <v>59</v>
      </c>
      <c r="F31">
        <v>991.7</v>
      </c>
      <c r="G31">
        <v>6.8</v>
      </c>
      <c r="I31" t="s">
        <v>78</v>
      </c>
      <c r="J31" t="s">
        <v>47</v>
      </c>
      <c r="K31" t="s">
        <v>154</v>
      </c>
      <c r="L31" s="10">
        <v>32.4</v>
      </c>
      <c r="M31" t="s">
        <v>144</v>
      </c>
      <c r="N31">
        <f>L31-_20210717210500_weatherstation_1[[#This Row],[Air Temperature]]</f>
        <v>8.5999999999999979</v>
      </c>
      <c r="O31">
        <f>L31-_20210717210500_weatherstation_1[[#This Row],[Track Temperature]]</f>
        <v>2.6999999999999993</v>
      </c>
    </row>
    <row r="32" spans="1:15" x14ac:dyDescent="0.25">
      <c r="A32" s="1">
        <v>44394.406944444447</v>
      </c>
      <c r="B32" s="2">
        <v>0.40694444444444444</v>
      </c>
      <c r="C32">
        <v>23.7</v>
      </c>
      <c r="D32">
        <v>29.7</v>
      </c>
      <c r="E32">
        <v>60</v>
      </c>
      <c r="F32">
        <v>991.7</v>
      </c>
      <c r="G32">
        <v>6.5</v>
      </c>
      <c r="I32" t="s">
        <v>78</v>
      </c>
      <c r="J32" t="s">
        <v>49</v>
      </c>
      <c r="K32" t="s">
        <v>155</v>
      </c>
      <c r="L32" s="10">
        <v>32.700000000000003</v>
      </c>
      <c r="M32" t="s">
        <v>156</v>
      </c>
      <c r="N32">
        <f>L32-_20210717210500_weatherstation_1[[#This Row],[Air Temperature]]</f>
        <v>9.0000000000000036</v>
      </c>
      <c r="O32">
        <f>L32-_20210717210500_weatherstation_1[[#This Row],[Track Temperature]]</f>
        <v>3.0000000000000036</v>
      </c>
    </row>
    <row r="33" spans="1:15" x14ac:dyDescent="0.25">
      <c r="A33" s="1">
        <v>44394.407638888886</v>
      </c>
      <c r="B33" s="2">
        <v>0.40763888888888888</v>
      </c>
      <c r="C33">
        <v>23.6</v>
      </c>
      <c r="D33">
        <v>29.8</v>
      </c>
      <c r="E33">
        <v>60</v>
      </c>
      <c r="F33">
        <v>991.7</v>
      </c>
      <c r="G33">
        <v>4.3</v>
      </c>
      <c r="I33" t="s">
        <v>78</v>
      </c>
      <c r="J33" t="s">
        <v>50</v>
      </c>
      <c r="K33" t="s">
        <v>157</v>
      </c>
      <c r="L33" s="10">
        <v>33</v>
      </c>
      <c r="M33" t="s">
        <v>158</v>
      </c>
      <c r="N33">
        <f>L33-_20210717210500_weatherstation_1[[#This Row],[Air Temperature]]</f>
        <v>9.3999999999999986</v>
      </c>
      <c r="O33">
        <f>L33-_20210717210500_weatherstation_1[[#This Row],[Track Temperature]]</f>
        <v>3.1999999999999993</v>
      </c>
    </row>
    <row r="34" spans="1:15" x14ac:dyDescent="0.25">
      <c r="A34" s="1">
        <v>44394.408333333333</v>
      </c>
      <c r="B34" s="2">
        <v>0.40833333333333333</v>
      </c>
      <c r="C34">
        <v>23.7</v>
      </c>
      <c r="D34">
        <v>30</v>
      </c>
      <c r="E34">
        <v>61</v>
      </c>
      <c r="F34">
        <v>991.6</v>
      </c>
      <c r="G34">
        <v>5</v>
      </c>
      <c r="I34" t="s">
        <v>78</v>
      </c>
      <c r="J34" t="s">
        <v>52</v>
      </c>
      <c r="K34" t="s">
        <v>159</v>
      </c>
      <c r="L34" s="10">
        <v>33</v>
      </c>
      <c r="M34" t="s">
        <v>48</v>
      </c>
      <c r="N34">
        <f>L34-_20210717210500_weatherstation_1[[#This Row],[Air Temperature]]</f>
        <v>9.3000000000000007</v>
      </c>
      <c r="O34">
        <f>L34-_20210717210500_weatherstation_1[[#This Row],[Track Temperature]]</f>
        <v>3</v>
      </c>
    </row>
    <row r="35" spans="1:15" x14ac:dyDescent="0.25">
      <c r="A35" s="1">
        <v>44394.40902777778</v>
      </c>
      <c r="B35" s="2">
        <v>0.40902777777777777</v>
      </c>
      <c r="C35">
        <v>23.7</v>
      </c>
      <c r="D35">
        <v>30.1</v>
      </c>
      <c r="E35">
        <v>60</v>
      </c>
      <c r="F35">
        <v>991.6</v>
      </c>
      <c r="G35">
        <v>4.3</v>
      </c>
      <c r="I35" t="s">
        <v>78</v>
      </c>
      <c r="J35" t="s">
        <v>54</v>
      </c>
      <c r="K35" t="s">
        <v>160</v>
      </c>
      <c r="L35" s="10">
        <v>32.4</v>
      </c>
      <c r="M35" t="s">
        <v>22</v>
      </c>
      <c r="N35">
        <f>L35-_20210717210500_weatherstation_1[[#This Row],[Air Temperature]]</f>
        <v>8.6999999999999993</v>
      </c>
      <c r="O35">
        <f>L35-_20210717210500_weatherstation_1[[#This Row],[Track Temperature]]</f>
        <v>2.2999999999999972</v>
      </c>
    </row>
    <row r="36" spans="1:15" x14ac:dyDescent="0.25">
      <c r="A36" s="1">
        <v>44394.409722222219</v>
      </c>
      <c r="B36" s="2">
        <v>0.40972222222222221</v>
      </c>
      <c r="C36">
        <v>23.6</v>
      </c>
      <c r="D36">
        <v>30.1</v>
      </c>
      <c r="E36">
        <v>60</v>
      </c>
      <c r="F36">
        <v>991.6</v>
      </c>
      <c r="G36">
        <v>2.9</v>
      </c>
      <c r="I36" t="s">
        <v>78</v>
      </c>
      <c r="J36" t="s">
        <v>56</v>
      </c>
      <c r="K36" t="s">
        <v>161</v>
      </c>
      <c r="L36" s="10">
        <v>32.9</v>
      </c>
      <c r="M36" t="s">
        <v>43</v>
      </c>
      <c r="N36">
        <f>L36-_20210717210500_weatherstation_1[[#This Row],[Air Temperature]]</f>
        <v>9.2999999999999972</v>
      </c>
      <c r="O36">
        <f>L36-_20210717210500_weatherstation_1[[#This Row],[Track Temperature]]</f>
        <v>2.7999999999999972</v>
      </c>
    </row>
    <row r="37" spans="1:15" x14ac:dyDescent="0.25">
      <c r="A37" s="1">
        <v>44394.410416666666</v>
      </c>
      <c r="B37" s="2">
        <v>0.41041666666666665</v>
      </c>
      <c r="C37">
        <v>23.6</v>
      </c>
      <c r="D37">
        <v>30.2</v>
      </c>
      <c r="E37">
        <v>61</v>
      </c>
      <c r="F37">
        <v>991.6</v>
      </c>
      <c r="G37">
        <v>4</v>
      </c>
      <c r="I37" t="s">
        <v>78</v>
      </c>
      <c r="J37" t="s">
        <v>58</v>
      </c>
      <c r="K37" t="s">
        <v>162</v>
      </c>
      <c r="L37" s="10">
        <v>33</v>
      </c>
      <c r="M37" t="s">
        <v>46</v>
      </c>
      <c r="N37">
        <f>L37-_20210717210500_weatherstation_1[[#This Row],[Air Temperature]]</f>
        <v>9.3999999999999986</v>
      </c>
      <c r="O37">
        <f>L37-_20210717210500_weatherstation_1[[#This Row],[Track Temperature]]</f>
        <v>2.8000000000000007</v>
      </c>
    </row>
    <row r="38" spans="1:15" x14ac:dyDescent="0.25">
      <c r="A38" s="1">
        <v>44394.411111111112</v>
      </c>
      <c r="B38" s="2">
        <v>0.41111111111111109</v>
      </c>
      <c r="C38">
        <v>23.8</v>
      </c>
      <c r="D38">
        <v>30.3</v>
      </c>
      <c r="E38">
        <v>60</v>
      </c>
      <c r="F38">
        <v>991.7</v>
      </c>
      <c r="G38">
        <v>3.2</v>
      </c>
      <c r="I38" t="s">
        <v>78</v>
      </c>
      <c r="J38" t="s">
        <v>61</v>
      </c>
      <c r="K38" t="s">
        <v>163</v>
      </c>
      <c r="L38" s="10">
        <v>33.200000000000003</v>
      </c>
      <c r="M38" t="s">
        <v>46</v>
      </c>
      <c r="N38">
        <f>L38-_20210717210500_weatherstation_1[[#This Row],[Air Temperature]]</f>
        <v>9.4000000000000021</v>
      </c>
      <c r="O38">
        <f>L38-_20210717210500_weatherstation_1[[#This Row],[Track Temperature]]</f>
        <v>2.9000000000000021</v>
      </c>
    </row>
    <row r="39" spans="1:15" x14ac:dyDescent="0.25">
      <c r="A39" s="1">
        <v>44394.411805555559</v>
      </c>
      <c r="B39" s="2">
        <v>0.41180555555555554</v>
      </c>
      <c r="C39">
        <v>23.8</v>
      </c>
      <c r="D39">
        <v>30.5</v>
      </c>
      <c r="E39">
        <v>60</v>
      </c>
      <c r="F39">
        <v>991.6</v>
      </c>
      <c r="G39">
        <v>2.5</v>
      </c>
      <c r="I39" t="s">
        <v>78</v>
      </c>
      <c r="J39" t="s">
        <v>63</v>
      </c>
      <c r="K39" t="s">
        <v>134</v>
      </c>
      <c r="L39" s="10">
        <v>33.5</v>
      </c>
      <c r="M39" t="s">
        <v>164</v>
      </c>
      <c r="N39">
        <f>L39-_20210717210500_weatherstation_1[[#This Row],[Air Temperature]]</f>
        <v>9.6999999999999993</v>
      </c>
      <c r="O39">
        <f>L39-_20210717210500_weatherstation_1[[#This Row],[Track Temperature]]</f>
        <v>3</v>
      </c>
    </row>
    <row r="40" spans="1:15" x14ac:dyDescent="0.25">
      <c r="A40" s="1">
        <v>44394.412499999999</v>
      </c>
      <c r="B40" s="2">
        <v>0.41249999999999998</v>
      </c>
      <c r="C40">
        <v>24</v>
      </c>
      <c r="D40">
        <v>30.6</v>
      </c>
      <c r="E40">
        <v>60</v>
      </c>
      <c r="F40">
        <v>991.6</v>
      </c>
      <c r="G40">
        <v>4</v>
      </c>
      <c r="I40" t="s">
        <v>78</v>
      </c>
      <c r="J40" t="s">
        <v>65</v>
      </c>
      <c r="K40" t="s">
        <v>165</v>
      </c>
      <c r="L40" s="10">
        <v>33.5</v>
      </c>
      <c r="M40" t="s">
        <v>166</v>
      </c>
      <c r="N40">
        <f>L40-_20210717210500_weatherstation_1[[#This Row],[Air Temperature]]</f>
        <v>9.5</v>
      </c>
      <c r="O40">
        <f>L40-_20210717210500_weatherstation_1[[#This Row],[Track Temperature]]</f>
        <v>2.8999999999999986</v>
      </c>
    </row>
    <row r="41" spans="1:15" x14ac:dyDescent="0.25">
      <c r="A41" s="1">
        <v>44394.413194444445</v>
      </c>
      <c r="B41" s="2">
        <v>0.41319444444444442</v>
      </c>
      <c r="C41">
        <v>24.1</v>
      </c>
      <c r="D41">
        <v>30.7</v>
      </c>
      <c r="E41">
        <v>60</v>
      </c>
      <c r="F41">
        <v>991.5</v>
      </c>
      <c r="G41">
        <v>4.3</v>
      </c>
      <c r="I41" t="s">
        <v>78</v>
      </c>
      <c r="J41" t="s">
        <v>67</v>
      </c>
      <c r="K41" t="s">
        <v>167</v>
      </c>
      <c r="L41" s="10">
        <v>33.299999999999997</v>
      </c>
      <c r="M41" t="s">
        <v>168</v>
      </c>
      <c r="N41">
        <f>L41-_20210717210500_weatherstation_1[[#This Row],[Air Temperature]]</f>
        <v>9.1999999999999957</v>
      </c>
      <c r="O41">
        <f>L41-_20210717210500_weatherstation_1[[#This Row],[Track Temperature]]</f>
        <v>2.5999999999999979</v>
      </c>
    </row>
    <row r="42" spans="1:15" x14ac:dyDescent="0.25">
      <c r="A42" s="1">
        <v>44394.413888888892</v>
      </c>
      <c r="B42" s="2">
        <v>0.41388888888888886</v>
      </c>
      <c r="C42">
        <v>24.1</v>
      </c>
      <c r="D42">
        <v>31.2</v>
      </c>
      <c r="E42">
        <v>59</v>
      </c>
      <c r="F42">
        <v>991.6</v>
      </c>
      <c r="G42">
        <v>6.5</v>
      </c>
      <c r="I42" t="s">
        <v>78</v>
      </c>
      <c r="J42" t="s">
        <v>70</v>
      </c>
      <c r="K42" t="s">
        <v>169</v>
      </c>
      <c r="L42" s="10">
        <v>33.200000000000003</v>
      </c>
      <c r="M42" t="s">
        <v>116</v>
      </c>
      <c r="N42">
        <f>L42-_20210717210500_weatherstation_1[[#This Row],[Air Temperature]]</f>
        <v>9.1000000000000014</v>
      </c>
      <c r="O42">
        <f>L42-_20210717210500_weatherstation_1[[#This Row],[Track Temperature]]</f>
        <v>2.0000000000000036</v>
      </c>
    </row>
    <row r="43" spans="1:15" x14ac:dyDescent="0.25">
      <c r="A43" s="1">
        <v>44394.414583333331</v>
      </c>
      <c r="B43" s="2">
        <v>0.41458333333333336</v>
      </c>
      <c r="C43">
        <v>24.3</v>
      </c>
      <c r="D43">
        <v>31.3</v>
      </c>
      <c r="E43">
        <v>57</v>
      </c>
      <c r="F43">
        <v>991.5</v>
      </c>
      <c r="G43">
        <v>6.5</v>
      </c>
      <c r="I43" t="s">
        <v>78</v>
      </c>
      <c r="J43" t="s">
        <v>72</v>
      </c>
      <c r="K43" t="s">
        <v>170</v>
      </c>
      <c r="L43" s="10">
        <v>32.700000000000003</v>
      </c>
      <c r="M43" t="s">
        <v>69</v>
      </c>
      <c r="N43">
        <f>L43-_20210717210500_weatherstation_1[[#This Row],[Air Temperature]]</f>
        <v>8.4000000000000021</v>
      </c>
      <c r="O43">
        <f>L43-_20210717210500_weatherstation_1[[#This Row],[Track Temperature]]</f>
        <v>1.4000000000000021</v>
      </c>
    </row>
    <row r="44" spans="1:15" x14ac:dyDescent="0.25">
      <c r="A44" s="1">
        <v>44394.415277777778</v>
      </c>
      <c r="B44" s="2">
        <v>0.4152777777777778</v>
      </c>
      <c r="C44">
        <v>24.5</v>
      </c>
      <c r="D44">
        <v>31.5</v>
      </c>
      <c r="E44">
        <v>56</v>
      </c>
      <c r="F44">
        <v>991.5</v>
      </c>
      <c r="G44">
        <v>2.9</v>
      </c>
      <c r="I44" t="s">
        <v>78</v>
      </c>
      <c r="J44" t="s">
        <v>74</v>
      </c>
      <c r="K44" t="s">
        <v>171</v>
      </c>
      <c r="L44" s="10">
        <v>32.4</v>
      </c>
      <c r="M44" t="s">
        <v>136</v>
      </c>
      <c r="N44">
        <f>L44-_20210717210500_weatherstation_1[[#This Row],[Air Temperature]]</f>
        <v>7.8999999999999986</v>
      </c>
      <c r="O44">
        <f>L44-_20210717210500_weatherstation_1[[#This Row],[Track Temperature]]</f>
        <v>0.89999999999999858</v>
      </c>
    </row>
    <row r="45" spans="1:15" x14ac:dyDescent="0.25">
      <c r="A45" s="1">
        <v>44394.415972222225</v>
      </c>
      <c r="B45" s="2">
        <v>0.41597222222222224</v>
      </c>
      <c r="C45">
        <v>24.7</v>
      </c>
      <c r="D45">
        <v>31.9</v>
      </c>
      <c r="E45">
        <v>56</v>
      </c>
      <c r="F45">
        <v>991.5</v>
      </c>
      <c r="G45">
        <v>0</v>
      </c>
      <c r="I45" t="s">
        <v>78</v>
      </c>
      <c r="J45" t="s">
        <v>76</v>
      </c>
      <c r="K45" t="s">
        <v>172</v>
      </c>
      <c r="L45" s="10">
        <v>32.5</v>
      </c>
      <c r="M45" t="s">
        <v>136</v>
      </c>
      <c r="N45">
        <f>L45-_20210717210500_weatherstation_1[[#This Row],[Air Temperature]]</f>
        <v>7.8000000000000007</v>
      </c>
      <c r="O45">
        <f>L45-_20210717210500_weatherstation_1[[#This Row],[Track Temperature]]</f>
        <v>0.60000000000000142</v>
      </c>
    </row>
    <row r="46" spans="1:15" x14ac:dyDescent="0.25">
      <c r="A46" s="1">
        <v>44394.416666666664</v>
      </c>
      <c r="B46" s="2">
        <v>0.41666666666666669</v>
      </c>
      <c r="C46">
        <v>25.1</v>
      </c>
      <c r="D46">
        <v>32.5</v>
      </c>
      <c r="E46">
        <v>56</v>
      </c>
      <c r="F46">
        <v>991.6</v>
      </c>
      <c r="G46">
        <v>4.7</v>
      </c>
      <c r="I46" t="s">
        <v>87</v>
      </c>
      <c r="J46" t="s">
        <v>17</v>
      </c>
      <c r="K46" t="s">
        <v>173</v>
      </c>
      <c r="L46" s="10">
        <v>32.5</v>
      </c>
      <c r="M46" t="s">
        <v>138</v>
      </c>
      <c r="N46">
        <f>L46-_20210717210500_weatherstation_1[[#This Row],[Air Temperature]]</f>
        <v>7.3999999999999986</v>
      </c>
      <c r="O46">
        <f>L46-_20210717210500_weatherstation_1[[#This Row],[Track Temperature]]</f>
        <v>0</v>
      </c>
    </row>
    <row r="47" spans="1:15" x14ac:dyDescent="0.25">
      <c r="A47" s="1">
        <v>44394.417361111111</v>
      </c>
      <c r="B47" s="2">
        <v>0.41736111111111113</v>
      </c>
      <c r="C47">
        <v>25.2</v>
      </c>
      <c r="D47">
        <v>32.5</v>
      </c>
      <c r="E47">
        <v>55</v>
      </c>
      <c r="F47">
        <v>991.6</v>
      </c>
      <c r="G47">
        <v>6.5</v>
      </c>
      <c r="I47" t="s">
        <v>87</v>
      </c>
      <c r="J47" t="s">
        <v>21</v>
      </c>
      <c r="K47" t="s">
        <v>174</v>
      </c>
      <c r="L47" s="10">
        <v>32.700000000000003</v>
      </c>
      <c r="M47" t="s">
        <v>150</v>
      </c>
      <c r="N47">
        <f>L47-_20210717210500_weatherstation_1[[#This Row],[Air Temperature]]</f>
        <v>7.5000000000000036</v>
      </c>
      <c r="O47">
        <f>L47-_20210717210500_weatherstation_1[[#This Row],[Track Temperature]]</f>
        <v>0.20000000000000284</v>
      </c>
    </row>
    <row r="48" spans="1:15" x14ac:dyDescent="0.25">
      <c r="A48" s="1">
        <v>44394.418055555558</v>
      </c>
      <c r="B48" s="2">
        <v>0.41805555555555557</v>
      </c>
      <c r="C48">
        <v>25</v>
      </c>
      <c r="D48">
        <v>32</v>
      </c>
      <c r="E48">
        <v>54</v>
      </c>
      <c r="F48">
        <v>991.7</v>
      </c>
      <c r="G48">
        <v>6.5</v>
      </c>
      <c r="I48" t="s">
        <v>87</v>
      </c>
      <c r="J48" t="s">
        <v>80</v>
      </c>
      <c r="K48" t="s">
        <v>94</v>
      </c>
      <c r="L48" s="10">
        <v>31.6</v>
      </c>
      <c r="M48" t="s">
        <v>92</v>
      </c>
      <c r="N48">
        <f>L48-_20210717210500_weatherstation_1[[#This Row],[Air Temperature]]</f>
        <v>6.6000000000000014</v>
      </c>
      <c r="O48">
        <f>L48-_20210717210500_weatherstation_1[[#This Row],[Track Temperature]]</f>
        <v>-0.39999999999999858</v>
      </c>
    </row>
    <row r="49" spans="1:15" x14ac:dyDescent="0.25">
      <c r="A49" s="1">
        <v>44394.418749999997</v>
      </c>
      <c r="B49" s="2">
        <v>0.41875000000000001</v>
      </c>
      <c r="C49">
        <v>24.8</v>
      </c>
      <c r="D49">
        <v>32</v>
      </c>
      <c r="E49">
        <v>55</v>
      </c>
      <c r="F49">
        <v>991.5</v>
      </c>
      <c r="G49">
        <v>4</v>
      </c>
      <c r="I49" t="s">
        <v>87</v>
      </c>
      <c r="J49" t="s">
        <v>81</v>
      </c>
      <c r="K49" t="s">
        <v>175</v>
      </c>
      <c r="L49" s="10">
        <v>31.6</v>
      </c>
      <c r="M49" t="s">
        <v>48</v>
      </c>
      <c r="N49">
        <f>L49-_20210717210500_weatherstation_1[[#This Row],[Air Temperature]]</f>
        <v>6.8000000000000007</v>
      </c>
      <c r="O49">
        <f>L49-_20210717210500_weatherstation_1[[#This Row],[Track Temperature]]</f>
        <v>-0.39999999999999858</v>
      </c>
    </row>
    <row r="50" spans="1:15" x14ac:dyDescent="0.25">
      <c r="A50" s="1">
        <v>44394.419444444444</v>
      </c>
      <c r="B50" s="2">
        <v>0.41944444444444445</v>
      </c>
      <c r="C50">
        <v>24.6</v>
      </c>
      <c r="D50">
        <v>30.7</v>
      </c>
      <c r="E50">
        <v>56</v>
      </c>
      <c r="F50">
        <v>991.6</v>
      </c>
      <c r="G50">
        <v>1.8</v>
      </c>
    </row>
    <row r="51" spans="1:15" x14ac:dyDescent="0.25">
      <c r="A51" s="1">
        <v>44394.420138888891</v>
      </c>
      <c r="B51" s="2">
        <v>0.4201388888888889</v>
      </c>
      <c r="C51">
        <v>24.8</v>
      </c>
      <c r="D51">
        <v>30.7</v>
      </c>
      <c r="E51">
        <v>56</v>
      </c>
      <c r="F51">
        <v>991.6</v>
      </c>
      <c r="G51">
        <v>4.7</v>
      </c>
    </row>
    <row r="52" spans="1:15" x14ac:dyDescent="0.25">
      <c r="A52" s="1">
        <v>44394.42083333333</v>
      </c>
      <c r="B52" s="2">
        <v>0.42083333333333334</v>
      </c>
      <c r="C52">
        <v>24.8</v>
      </c>
      <c r="D52">
        <v>30.2</v>
      </c>
      <c r="E52">
        <v>56</v>
      </c>
      <c r="F52">
        <v>991.6</v>
      </c>
      <c r="G52">
        <v>2.9</v>
      </c>
    </row>
    <row r="53" spans="1:15" x14ac:dyDescent="0.25">
      <c r="A53" s="1">
        <v>44394.421527777777</v>
      </c>
      <c r="B53" s="2">
        <v>0.42152777777777778</v>
      </c>
      <c r="C53">
        <v>24.6</v>
      </c>
      <c r="D53">
        <v>30</v>
      </c>
      <c r="E53">
        <v>56</v>
      </c>
      <c r="F53">
        <v>991.6</v>
      </c>
      <c r="G53">
        <v>3.2</v>
      </c>
    </row>
    <row r="54" spans="1:15" x14ac:dyDescent="0.25">
      <c r="A54" s="1">
        <v>44394.422222222223</v>
      </c>
      <c r="B54" s="2">
        <v>0.42222222222222222</v>
      </c>
      <c r="C54">
        <v>24.8</v>
      </c>
      <c r="D54">
        <v>29.7</v>
      </c>
      <c r="E54">
        <v>56</v>
      </c>
      <c r="F54">
        <v>991.6</v>
      </c>
      <c r="G54">
        <v>2.2000000000000002</v>
      </c>
    </row>
    <row r="55" spans="1:15" x14ac:dyDescent="0.25">
      <c r="A55" s="1">
        <v>44394.42291666667</v>
      </c>
      <c r="B55" s="2">
        <v>0.42291666666666666</v>
      </c>
      <c r="C55">
        <v>24.7</v>
      </c>
      <c r="D55">
        <v>29.7</v>
      </c>
      <c r="E55">
        <v>56</v>
      </c>
      <c r="F55">
        <v>991.6</v>
      </c>
      <c r="G55">
        <v>3.6</v>
      </c>
    </row>
    <row r="56" spans="1:15" x14ac:dyDescent="0.25">
      <c r="A56" s="1">
        <v>44394.423611111109</v>
      </c>
      <c r="B56" s="2">
        <v>0.4236111111111111</v>
      </c>
      <c r="C56">
        <v>24.5</v>
      </c>
      <c r="D56">
        <v>29.3</v>
      </c>
      <c r="E56">
        <v>57</v>
      </c>
      <c r="F56">
        <v>991.6</v>
      </c>
      <c r="G56">
        <v>3.6</v>
      </c>
    </row>
    <row r="57" spans="1:15" x14ac:dyDescent="0.25">
      <c r="A57" s="1">
        <v>44394.424305555556</v>
      </c>
      <c r="B57" s="2">
        <v>0.42430555555555555</v>
      </c>
      <c r="C57">
        <v>24.5</v>
      </c>
      <c r="D57">
        <v>29.1</v>
      </c>
      <c r="E57">
        <v>58</v>
      </c>
      <c r="F57">
        <v>991.5</v>
      </c>
      <c r="G57">
        <v>3.2</v>
      </c>
    </row>
    <row r="58" spans="1:15" x14ac:dyDescent="0.25">
      <c r="A58" s="1">
        <v>44394.425000000003</v>
      </c>
      <c r="B58" s="2">
        <v>0.42499999999999999</v>
      </c>
      <c r="C58">
        <v>24.3</v>
      </c>
      <c r="D58">
        <v>29.4</v>
      </c>
      <c r="E58">
        <v>58</v>
      </c>
      <c r="F58">
        <v>991.6</v>
      </c>
      <c r="G58">
        <v>4</v>
      </c>
    </row>
    <row r="59" spans="1:15" x14ac:dyDescent="0.25">
      <c r="A59" s="1">
        <v>44394.425694444442</v>
      </c>
      <c r="B59" s="2">
        <v>0.42569444444444443</v>
      </c>
      <c r="C59">
        <v>24.3</v>
      </c>
      <c r="D59">
        <v>28.8</v>
      </c>
      <c r="E59">
        <v>58</v>
      </c>
      <c r="F59">
        <v>991.6</v>
      </c>
      <c r="G59">
        <v>3.6</v>
      </c>
    </row>
    <row r="60" spans="1:15" x14ac:dyDescent="0.25">
      <c r="A60" s="1">
        <v>44394.426388888889</v>
      </c>
      <c r="B60" s="2">
        <v>0.42638888888888887</v>
      </c>
      <c r="C60">
        <v>24.3</v>
      </c>
      <c r="D60">
        <v>29.2</v>
      </c>
      <c r="E60">
        <v>58</v>
      </c>
      <c r="F60">
        <v>991.7</v>
      </c>
      <c r="G60">
        <v>4.7</v>
      </c>
    </row>
    <row r="61" spans="1:15" x14ac:dyDescent="0.25">
      <c r="A61" s="1">
        <v>44394.427083333336</v>
      </c>
      <c r="B61" s="2">
        <v>0.42708333333333331</v>
      </c>
      <c r="C61">
        <v>24.2</v>
      </c>
      <c r="D61">
        <v>29.2</v>
      </c>
      <c r="E61">
        <v>58</v>
      </c>
      <c r="F61">
        <v>991.7</v>
      </c>
      <c r="G61">
        <v>4.3</v>
      </c>
    </row>
    <row r="62" spans="1:15" x14ac:dyDescent="0.25">
      <c r="A62" s="1">
        <v>44394.427777777775</v>
      </c>
      <c r="B62" s="2">
        <v>0.42777777777777776</v>
      </c>
      <c r="C62">
        <v>24.3</v>
      </c>
      <c r="D62">
        <v>29.8</v>
      </c>
      <c r="E62">
        <v>58</v>
      </c>
      <c r="F62">
        <v>991.7</v>
      </c>
      <c r="G62">
        <v>5.8</v>
      </c>
    </row>
    <row r="63" spans="1:15" x14ac:dyDescent="0.25">
      <c r="A63" s="1">
        <v>44394.428472222222</v>
      </c>
      <c r="B63" s="2">
        <v>0.4284722222222222</v>
      </c>
      <c r="C63">
        <v>24.4</v>
      </c>
      <c r="D63">
        <v>30.6</v>
      </c>
      <c r="E63">
        <v>58</v>
      </c>
      <c r="F63">
        <v>991.7</v>
      </c>
      <c r="G63">
        <v>5.4</v>
      </c>
    </row>
    <row r="64" spans="1:15" x14ac:dyDescent="0.25">
      <c r="A64" s="1">
        <v>44394.429166666669</v>
      </c>
      <c r="B64" s="2">
        <v>0.42916666666666664</v>
      </c>
      <c r="C64">
        <v>24.4</v>
      </c>
      <c r="D64">
        <v>31.5</v>
      </c>
      <c r="E64">
        <v>58</v>
      </c>
      <c r="F64">
        <v>991.6</v>
      </c>
      <c r="G64">
        <v>5</v>
      </c>
    </row>
    <row r="65" spans="1:7" x14ac:dyDescent="0.25">
      <c r="A65" s="1">
        <v>44394.429861111108</v>
      </c>
      <c r="B65" s="2">
        <v>0.42986111111111114</v>
      </c>
      <c r="C65">
        <v>24.5</v>
      </c>
      <c r="D65">
        <v>32.5</v>
      </c>
      <c r="E65">
        <v>57</v>
      </c>
      <c r="F65">
        <v>991.7</v>
      </c>
      <c r="G65">
        <v>4.7</v>
      </c>
    </row>
    <row r="66" spans="1:7" x14ac:dyDescent="0.25">
      <c r="A66" s="1">
        <v>44394.430555555555</v>
      </c>
      <c r="B66" s="2">
        <v>0.43055555555555558</v>
      </c>
      <c r="C66">
        <v>24.5</v>
      </c>
      <c r="D66">
        <v>32.6</v>
      </c>
      <c r="E66">
        <v>58</v>
      </c>
      <c r="F66">
        <v>991.7</v>
      </c>
      <c r="G66">
        <v>3.2</v>
      </c>
    </row>
    <row r="67" spans="1:7" x14ac:dyDescent="0.25">
      <c r="A67" s="1">
        <v>44394.431250000001</v>
      </c>
      <c r="B67" s="2">
        <v>0.43125000000000002</v>
      </c>
      <c r="C67">
        <v>24.6</v>
      </c>
      <c r="D67">
        <v>32.5</v>
      </c>
      <c r="E67">
        <v>57</v>
      </c>
      <c r="F67">
        <v>991.8</v>
      </c>
      <c r="G67">
        <v>4</v>
      </c>
    </row>
    <row r="68" spans="1:7" x14ac:dyDescent="0.25">
      <c r="A68" s="1">
        <v>44394.431944444441</v>
      </c>
      <c r="B68" s="2">
        <v>0.43194444444444446</v>
      </c>
      <c r="C68">
        <v>24.5</v>
      </c>
      <c r="D68">
        <v>32</v>
      </c>
      <c r="E68">
        <v>56</v>
      </c>
      <c r="F68">
        <v>991.8</v>
      </c>
      <c r="G68">
        <v>6.1</v>
      </c>
    </row>
    <row r="69" spans="1:7" x14ac:dyDescent="0.25">
      <c r="A69" s="1">
        <v>44394.432638888888</v>
      </c>
      <c r="B69" s="2">
        <v>0.43263888888888891</v>
      </c>
      <c r="C69">
        <v>24.5</v>
      </c>
      <c r="D69">
        <v>32</v>
      </c>
      <c r="E69">
        <v>57</v>
      </c>
      <c r="F69">
        <v>991.8</v>
      </c>
      <c r="G69">
        <v>2.5</v>
      </c>
    </row>
    <row r="70" spans="1:7" x14ac:dyDescent="0.25">
      <c r="A70" s="1">
        <v>44394.433333333334</v>
      </c>
      <c r="B70" s="2">
        <v>0.43333333333333335</v>
      </c>
      <c r="C70">
        <v>24.5</v>
      </c>
      <c r="D70">
        <v>31.7</v>
      </c>
      <c r="E70">
        <v>57</v>
      </c>
      <c r="F70">
        <v>991.7</v>
      </c>
      <c r="G70">
        <v>5.8</v>
      </c>
    </row>
    <row r="71" spans="1:7" x14ac:dyDescent="0.25">
      <c r="A71" s="1">
        <v>44394.434027777781</v>
      </c>
      <c r="B71" s="2">
        <v>0.43402777777777779</v>
      </c>
      <c r="C71">
        <v>24.4</v>
      </c>
      <c r="D71">
        <v>31.7</v>
      </c>
      <c r="E71">
        <v>56</v>
      </c>
      <c r="F71">
        <v>991.8</v>
      </c>
      <c r="G71">
        <v>4</v>
      </c>
    </row>
    <row r="72" spans="1:7" x14ac:dyDescent="0.25">
      <c r="A72" s="1">
        <v>44394.43472222222</v>
      </c>
      <c r="B72" s="2">
        <v>0.43472222222222223</v>
      </c>
      <c r="C72">
        <v>24.4</v>
      </c>
      <c r="D72">
        <v>31.9</v>
      </c>
      <c r="E72">
        <v>56</v>
      </c>
      <c r="F72">
        <v>991.7</v>
      </c>
      <c r="G72">
        <v>4.3</v>
      </c>
    </row>
    <row r="73" spans="1:7" x14ac:dyDescent="0.25">
      <c r="A73" s="1">
        <v>44394.435416666667</v>
      </c>
      <c r="B73" s="2">
        <v>0.43541666666666667</v>
      </c>
      <c r="C73">
        <v>24.6</v>
      </c>
      <c r="D73">
        <v>31.9</v>
      </c>
      <c r="E73">
        <v>56</v>
      </c>
      <c r="F73">
        <v>991.7</v>
      </c>
      <c r="G73">
        <v>4.3</v>
      </c>
    </row>
    <row r="74" spans="1:7" x14ac:dyDescent="0.25">
      <c r="A74" s="1">
        <v>44394.436111111114</v>
      </c>
      <c r="B74" s="2">
        <v>0.43611111111111112</v>
      </c>
      <c r="C74">
        <v>24.6</v>
      </c>
      <c r="D74">
        <v>32</v>
      </c>
      <c r="E74">
        <v>57</v>
      </c>
      <c r="F74">
        <v>991.6</v>
      </c>
      <c r="G74">
        <v>5.4</v>
      </c>
    </row>
    <row r="75" spans="1:7" x14ac:dyDescent="0.25">
      <c r="A75" s="1">
        <v>44394.436805555553</v>
      </c>
      <c r="B75" s="2">
        <v>0.43680555555555556</v>
      </c>
      <c r="C75">
        <v>24.6</v>
      </c>
      <c r="D75">
        <v>32</v>
      </c>
      <c r="E75">
        <v>57</v>
      </c>
      <c r="F75">
        <v>991.7</v>
      </c>
      <c r="G75">
        <v>5</v>
      </c>
    </row>
    <row r="76" spans="1:7" x14ac:dyDescent="0.25">
      <c r="A76" s="1">
        <v>44394.4375</v>
      </c>
      <c r="B76" s="2">
        <v>0.4375</v>
      </c>
      <c r="C76">
        <v>24.6</v>
      </c>
      <c r="D76">
        <v>32.5</v>
      </c>
      <c r="E76">
        <v>57</v>
      </c>
      <c r="F76">
        <v>991.7</v>
      </c>
      <c r="G76">
        <v>5</v>
      </c>
    </row>
    <row r="77" spans="1:7" x14ac:dyDescent="0.25">
      <c r="A77" s="1">
        <v>44394.438194444447</v>
      </c>
      <c r="B77" s="2">
        <v>0.43819444444444444</v>
      </c>
      <c r="C77">
        <v>24.7</v>
      </c>
      <c r="D77">
        <v>32.299999999999997</v>
      </c>
      <c r="E77">
        <v>57</v>
      </c>
      <c r="F77">
        <v>991.7</v>
      </c>
      <c r="G77">
        <v>4</v>
      </c>
    </row>
    <row r="78" spans="1:7" x14ac:dyDescent="0.25">
      <c r="A78" s="1">
        <v>44394.438888888886</v>
      </c>
      <c r="B78" s="2">
        <v>0.43888888888888888</v>
      </c>
      <c r="C78">
        <v>24.9</v>
      </c>
      <c r="D78">
        <v>32.299999999999997</v>
      </c>
      <c r="E78">
        <v>58</v>
      </c>
      <c r="F78">
        <v>991.7</v>
      </c>
      <c r="G78">
        <v>3.6</v>
      </c>
    </row>
    <row r="79" spans="1:7" x14ac:dyDescent="0.25">
      <c r="A79" s="1">
        <v>44394.439583333333</v>
      </c>
      <c r="B79" s="2">
        <v>0.43958333333333333</v>
      </c>
      <c r="C79">
        <v>24.8</v>
      </c>
      <c r="D79">
        <v>33.299999999999997</v>
      </c>
      <c r="E79">
        <v>56</v>
      </c>
      <c r="F79">
        <v>991.7</v>
      </c>
      <c r="G79">
        <v>5</v>
      </c>
    </row>
    <row r="80" spans="1:7" x14ac:dyDescent="0.25">
      <c r="A80" s="1">
        <v>44394.44027777778</v>
      </c>
      <c r="B80" s="2">
        <v>0.44027777777777777</v>
      </c>
      <c r="C80">
        <v>24.6</v>
      </c>
      <c r="D80">
        <v>33.5</v>
      </c>
      <c r="E80">
        <v>56</v>
      </c>
      <c r="F80">
        <v>991.6</v>
      </c>
      <c r="G80">
        <v>1.4</v>
      </c>
    </row>
    <row r="81" spans="1:7" x14ac:dyDescent="0.25">
      <c r="A81" s="1">
        <v>44394.440972222219</v>
      </c>
      <c r="B81" s="2">
        <v>0.44097222222222221</v>
      </c>
      <c r="C81">
        <v>24.6</v>
      </c>
      <c r="D81">
        <v>33.4</v>
      </c>
      <c r="E81">
        <v>57</v>
      </c>
      <c r="F81">
        <v>991.6</v>
      </c>
      <c r="G81">
        <v>4</v>
      </c>
    </row>
    <row r="82" spans="1:7" x14ac:dyDescent="0.25">
      <c r="A82" s="1">
        <v>44394.441666666666</v>
      </c>
      <c r="B82" s="2">
        <v>0.44166666666666665</v>
      </c>
      <c r="C82">
        <v>24.7</v>
      </c>
      <c r="D82">
        <v>33.299999999999997</v>
      </c>
      <c r="E82">
        <v>56</v>
      </c>
      <c r="F82">
        <v>991.7</v>
      </c>
      <c r="G82">
        <v>3.6</v>
      </c>
    </row>
    <row r="83" spans="1:7" x14ac:dyDescent="0.25">
      <c r="A83" s="1">
        <v>44394.442361111112</v>
      </c>
      <c r="B83" s="2">
        <v>0.44236111111111109</v>
      </c>
      <c r="C83">
        <v>24.8</v>
      </c>
      <c r="D83">
        <v>33.299999999999997</v>
      </c>
      <c r="E83">
        <v>57</v>
      </c>
      <c r="F83">
        <v>991.5</v>
      </c>
      <c r="G83">
        <v>4.3</v>
      </c>
    </row>
    <row r="84" spans="1:7" x14ac:dyDescent="0.25">
      <c r="A84" s="1">
        <v>44394.443055555559</v>
      </c>
      <c r="B84" s="2">
        <v>0.44305555555555554</v>
      </c>
      <c r="C84">
        <v>24.8</v>
      </c>
      <c r="D84">
        <v>33.299999999999997</v>
      </c>
      <c r="E84">
        <v>57</v>
      </c>
      <c r="F84">
        <v>991.7</v>
      </c>
      <c r="G84">
        <v>5.8</v>
      </c>
    </row>
    <row r="85" spans="1:7" x14ac:dyDescent="0.25">
      <c r="A85" s="1">
        <v>44394.443749999999</v>
      </c>
      <c r="B85" s="2">
        <v>0.44374999999999998</v>
      </c>
      <c r="C85">
        <v>24.8</v>
      </c>
      <c r="D85">
        <v>33</v>
      </c>
      <c r="E85">
        <v>57</v>
      </c>
      <c r="F85">
        <v>991.6</v>
      </c>
      <c r="G85">
        <v>4</v>
      </c>
    </row>
    <row r="86" spans="1:7" x14ac:dyDescent="0.25">
      <c r="A86" s="1">
        <v>44394.444444444445</v>
      </c>
      <c r="B86" s="2">
        <v>0.44444444444444442</v>
      </c>
      <c r="C86">
        <v>24.8</v>
      </c>
      <c r="D86">
        <v>32.799999999999997</v>
      </c>
      <c r="E86">
        <v>57</v>
      </c>
      <c r="F86">
        <v>991.6</v>
      </c>
      <c r="G86">
        <v>5.8</v>
      </c>
    </row>
    <row r="87" spans="1:7" x14ac:dyDescent="0.25">
      <c r="A87" s="1">
        <v>44394.445138888892</v>
      </c>
      <c r="B87" s="2">
        <v>0.44513888888888886</v>
      </c>
      <c r="C87">
        <v>24.9</v>
      </c>
      <c r="D87">
        <v>32.799999999999997</v>
      </c>
      <c r="E87">
        <v>57</v>
      </c>
      <c r="F87">
        <v>991.6</v>
      </c>
      <c r="G87">
        <v>6.1</v>
      </c>
    </row>
    <row r="88" spans="1:7" x14ac:dyDescent="0.25">
      <c r="A88" s="1">
        <v>44394.445833333331</v>
      </c>
      <c r="B88" s="2">
        <v>0.44583333333333336</v>
      </c>
      <c r="C88">
        <v>24.9</v>
      </c>
      <c r="D88">
        <v>33.1</v>
      </c>
      <c r="E88">
        <v>57</v>
      </c>
      <c r="F88">
        <v>991.6</v>
      </c>
      <c r="G88">
        <v>5.4</v>
      </c>
    </row>
    <row r="89" spans="1:7" x14ac:dyDescent="0.25">
      <c r="A89" s="1">
        <v>44394.446527777778</v>
      </c>
      <c r="B89" s="2">
        <v>0.4465277777777778</v>
      </c>
      <c r="C89">
        <v>24.8</v>
      </c>
      <c r="D89">
        <v>33.6</v>
      </c>
      <c r="E89">
        <v>56</v>
      </c>
      <c r="F89">
        <v>991.6</v>
      </c>
      <c r="G89">
        <v>4.3</v>
      </c>
    </row>
    <row r="90" spans="1:7" x14ac:dyDescent="0.25">
      <c r="A90" s="1">
        <v>44394.447222222225</v>
      </c>
      <c r="B90" s="2">
        <v>0.44722222222222224</v>
      </c>
      <c r="C90">
        <v>24.9</v>
      </c>
      <c r="D90">
        <v>33.700000000000003</v>
      </c>
      <c r="E90">
        <v>57</v>
      </c>
      <c r="F90">
        <v>991.6</v>
      </c>
      <c r="G90">
        <v>5</v>
      </c>
    </row>
    <row r="91" spans="1:7" x14ac:dyDescent="0.25">
      <c r="A91" s="1">
        <v>44394.447916666664</v>
      </c>
      <c r="B91" s="2">
        <v>0.44791666666666669</v>
      </c>
      <c r="C91">
        <v>24.9</v>
      </c>
      <c r="D91">
        <v>34.1</v>
      </c>
      <c r="E91">
        <v>56</v>
      </c>
      <c r="F91">
        <v>991.6</v>
      </c>
      <c r="G91">
        <v>4.3</v>
      </c>
    </row>
    <row r="92" spans="1:7" x14ac:dyDescent="0.25">
      <c r="A92" s="1">
        <v>44394.448611111111</v>
      </c>
      <c r="B92" s="2">
        <v>0.44861111111111113</v>
      </c>
      <c r="C92">
        <v>25</v>
      </c>
      <c r="D92">
        <v>34.1</v>
      </c>
      <c r="E92">
        <v>56</v>
      </c>
      <c r="F92">
        <v>991.5</v>
      </c>
      <c r="G92">
        <v>1.8</v>
      </c>
    </row>
    <row r="93" spans="1:7" x14ac:dyDescent="0.25">
      <c r="A93" s="1">
        <v>44394.449305555558</v>
      </c>
      <c r="B93" s="2">
        <v>0.44930555555555557</v>
      </c>
      <c r="C93">
        <v>25.1</v>
      </c>
      <c r="D93">
        <v>34</v>
      </c>
      <c r="E93">
        <v>56</v>
      </c>
      <c r="F93">
        <v>991.6</v>
      </c>
      <c r="G93">
        <v>1.4</v>
      </c>
    </row>
    <row r="94" spans="1:7" x14ac:dyDescent="0.25">
      <c r="A94" s="1">
        <v>44394.45</v>
      </c>
      <c r="B94" s="2">
        <v>0.45</v>
      </c>
      <c r="C94">
        <v>25.2</v>
      </c>
      <c r="D94">
        <v>34</v>
      </c>
      <c r="E94">
        <v>55</v>
      </c>
      <c r="F94">
        <v>991.5</v>
      </c>
      <c r="G94">
        <v>3.2</v>
      </c>
    </row>
    <row r="95" spans="1:7" x14ac:dyDescent="0.25">
      <c r="A95" s="1">
        <v>44394.450694444444</v>
      </c>
      <c r="B95" s="2">
        <v>0.45069444444444445</v>
      </c>
      <c r="C95">
        <v>25.3</v>
      </c>
      <c r="D95">
        <v>34</v>
      </c>
      <c r="E95">
        <v>56</v>
      </c>
      <c r="F95">
        <v>991.5</v>
      </c>
      <c r="G95">
        <v>3.6</v>
      </c>
    </row>
    <row r="96" spans="1:7" x14ac:dyDescent="0.25">
      <c r="A96" s="1">
        <v>44394.451388888891</v>
      </c>
      <c r="B96" s="2">
        <v>0.4513888888888889</v>
      </c>
      <c r="C96">
        <v>25.3</v>
      </c>
      <c r="D96">
        <v>34.299999999999997</v>
      </c>
      <c r="E96">
        <v>56</v>
      </c>
      <c r="F96">
        <v>991.5</v>
      </c>
      <c r="G96">
        <v>3.6</v>
      </c>
    </row>
    <row r="97" spans="1:7" x14ac:dyDescent="0.25">
      <c r="A97" s="1">
        <v>44394.45208333333</v>
      </c>
      <c r="B97" s="2">
        <v>0.45208333333333334</v>
      </c>
      <c r="C97">
        <v>25.3</v>
      </c>
      <c r="D97">
        <v>34.299999999999997</v>
      </c>
      <c r="E97">
        <v>55</v>
      </c>
      <c r="F97">
        <v>991.5</v>
      </c>
      <c r="G97">
        <v>3.6</v>
      </c>
    </row>
    <row r="98" spans="1:7" x14ac:dyDescent="0.25">
      <c r="A98" s="1">
        <v>44394.452777777777</v>
      </c>
      <c r="B98" s="2">
        <v>0.45277777777777778</v>
      </c>
      <c r="C98">
        <v>25.3</v>
      </c>
      <c r="D98">
        <v>35.1</v>
      </c>
      <c r="E98">
        <v>55</v>
      </c>
      <c r="F98">
        <v>991.6</v>
      </c>
      <c r="G98">
        <v>2.2000000000000002</v>
      </c>
    </row>
    <row r="99" spans="1:7" x14ac:dyDescent="0.25">
      <c r="A99" s="1">
        <v>44394.453472222223</v>
      </c>
      <c r="B99" s="2">
        <v>0.45347222222222222</v>
      </c>
      <c r="C99">
        <v>25.4</v>
      </c>
      <c r="D99">
        <v>35.1</v>
      </c>
      <c r="E99">
        <v>54</v>
      </c>
      <c r="F99">
        <v>991.4</v>
      </c>
      <c r="G99">
        <v>3.6</v>
      </c>
    </row>
    <row r="100" spans="1:7" x14ac:dyDescent="0.25">
      <c r="A100" s="1">
        <v>44394.45416666667</v>
      </c>
      <c r="B100" s="2">
        <v>0.45416666666666666</v>
      </c>
      <c r="C100">
        <v>25.6</v>
      </c>
      <c r="D100">
        <v>36</v>
      </c>
      <c r="E100">
        <v>54</v>
      </c>
      <c r="F100">
        <v>991.5</v>
      </c>
      <c r="G100">
        <v>3.6</v>
      </c>
    </row>
    <row r="101" spans="1:7" x14ac:dyDescent="0.25">
      <c r="A101" s="1">
        <v>44394.454861111109</v>
      </c>
      <c r="B101" s="2">
        <v>0.4548611111111111</v>
      </c>
      <c r="C101">
        <v>25.8</v>
      </c>
      <c r="D101">
        <v>36.9</v>
      </c>
      <c r="E101">
        <v>53</v>
      </c>
      <c r="F101">
        <v>991.5</v>
      </c>
      <c r="G101">
        <v>4.7</v>
      </c>
    </row>
    <row r="102" spans="1:7" x14ac:dyDescent="0.25">
      <c r="A102" s="1">
        <v>44394.455555555556</v>
      </c>
      <c r="B102" s="2">
        <v>0.45555555555555555</v>
      </c>
      <c r="C102">
        <v>26</v>
      </c>
      <c r="D102">
        <v>37.1</v>
      </c>
      <c r="E102">
        <v>52</v>
      </c>
      <c r="F102">
        <v>991.5</v>
      </c>
      <c r="G102">
        <v>4.3</v>
      </c>
    </row>
    <row r="103" spans="1:7" x14ac:dyDescent="0.25">
      <c r="A103" s="1">
        <v>44394.456250000003</v>
      </c>
      <c r="B103" s="2">
        <v>0.45624999999999999</v>
      </c>
      <c r="C103">
        <v>26</v>
      </c>
      <c r="D103">
        <v>37.200000000000003</v>
      </c>
      <c r="E103">
        <v>53</v>
      </c>
      <c r="F103">
        <v>991.5</v>
      </c>
      <c r="G103">
        <v>5.8</v>
      </c>
    </row>
    <row r="104" spans="1:7" x14ac:dyDescent="0.25">
      <c r="A104" s="1">
        <v>44394.456944444442</v>
      </c>
      <c r="B104" s="2">
        <v>0.45694444444444443</v>
      </c>
      <c r="C104">
        <v>26.3</v>
      </c>
      <c r="D104">
        <v>37.700000000000003</v>
      </c>
      <c r="E104">
        <v>52</v>
      </c>
      <c r="F104">
        <v>991.4</v>
      </c>
      <c r="G104">
        <v>4</v>
      </c>
    </row>
    <row r="105" spans="1:7" x14ac:dyDescent="0.25">
      <c r="A105" s="1">
        <v>44394.457638888889</v>
      </c>
      <c r="B105" s="2">
        <v>0.45763888888888887</v>
      </c>
      <c r="C105">
        <v>26.6</v>
      </c>
      <c r="D105">
        <v>37.9</v>
      </c>
      <c r="E105">
        <v>52</v>
      </c>
      <c r="F105">
        <v>991.4</v>
      </c>
      <c r="G105">
        <v>5</v>
      </c>
    </row>
    <row r="106" spans="1:7" x14ac:dyDescent="0.25">
      <c r="A106" s="1">
        <v>44394.458333333336</v>
      </c>
      <c r="B106" s="2">
        <v>0.45833333333333331</v>
      </c>
      <c r="C106">
        <v>26.5</v>
      </c>
      <c r="D106">
        <v>37.700000000000003</v>
      </c>
      <c r="E106">
        <v>51</v>
      </c>
      <c r="F106">
        <v>991.6</v>
      </c>
      <c r="G106">
        <v>1.4</v>
      </c>
    </row>
    <row r="107" spans="1:7" x14ac:dyDescent="0.25">
      <c r="A107" s="1">
        <v>44394.459027777775</v>
      </c>
      <c r="B107" s="2">
        <v>0.45902777777777776</v>
      </c>
      <c r="C107">
        <v>26.5</v>
      </c>
      <c r="D107">
        <v>37.700000000000003</v>
      </c>
      <c r="E107">
        <v>51</v>
      </c>
      <c r="F107">
        <v>991.4</v>
      </c>
      <c r="G107">
        <v>2.5</v>
      </c>
    </row>
    <row r="108" spans="1:7" x14ac:dyDescent="0.25">
      <c r="A108" s="1">
        <v>44394.459722222222</v>
      </c>
      <c r="B108" s="2">
        <v>0.4597222222222222</v>
      </c>
      <c r="C108">
        <v>26.6</v>
      </c>
      <c r="D108">
        <v>37.700000000000003</v>
      </c>
      <c r="E108">
        <v>51</v>
      </c>
      <c r="F108">
        <v>991.5</v>
      </c>
      <c r="G108">
        <v>3.6</v>
      </c>
    </row>
    <row r="109" spans="1:7" x14ac:dyDescent="0.25">
      <c r="A109" s="1">
        <v>44394.460416666669</v>
      </c>
      <c r="B109" s="2">
        <v>0.46041666666666664</v>
      </c>
      <c r="C109">
        <v>26.7</v>
      </c>
      <c r="D109">
        <v>37.4</v>
      </c>
      <c r="E109">
        <v>52</v>
      </c>
      <c r="F109">
        <v>991.6</v>
      </c>
      <c r="G109">
        <v>4</v>
      </c>
    </row>
    <row r="110" spans="1:7" x14ac:dyDescent="0.25">
      <c r="A110" s="1">
        <v>44394.461111111108</v>
      </c>
      <c r="B110" s="2">
        <v>0.46111111111111114</v>
      </c>
      <c r="C110">
        <v>26.6</v>
      </c>
      <c r="D110">
        <v>37.299999999999997</v>
      </c>
      <c r="E110">
        <v>51</v>
      </c>
      <c r="F110">
        <v>991.6</v>
      </c>
      <c r="G110">
        <v>4.3</v>
      </c>
    </row>
    <row r="111" spans="1:7" x14ac:dyDescent="0.25">
      <c r="A111" s="1">
        <v>44394.461805555555</v>
      </c>
      <c r="B111" s="2">
        <v>0.46180555555555558</v>
      </c>
      <c r="C111">
        <v>26.6</v>
      </c>
      <c r="D111">
        <v>37.4</v>
      </c>
      <c r="E111">
        <v>51</v>
      </c>
      <c r="F111">
        <v>991.6</v>
      </c>
      <c r="G111">
        <v>5</v>
      </c>
    </row>
    <row r="112" spans="1:7" x14ac:dyDescent="0.25">
      <c r="A112" s="1">
        <v>44394.462500000001</v>
      </c>
      <c r="B112" s="2">
        <v>0.46250000000000002</v>
      </c>
      <c r="C112">
        <v>26.5</v>
      </c>
      <c r="D112">
        <v>38</v>
      </c>
      <c r="E112">
        <v>51</v>
      </c>
      <c r="F112">
        <v>991.6</v>
      </c>
      <c r="G112">
        <v>6.5</v>
      </c>
    </row>
    <row r="113" spans="1:7" x14ac:dyDescent="0.25">
      <c r="A113" s="1">
        <v>44394.463194444441</v>
      </c>
      <c r="B113" s="2">
        <v>0.46319444444444446</v>
      </c>
      <c r="C113">
        <v>26.6</v>
      </c>
      <c r="D113">
        <v>38.200000000000003</v>
      </c>
      <c r="E113">
        <v>50</v>
      </c>
      <c r="F113">
        <v>991.5</v>
      </c>
      <c r="G113">
        <v>4.3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DE78-B23F-4646-9E6C-2C89F0B54817}">
  <dimension ref="A1:O88"/>
  <sheetViews>
    <sheetView zoomScale="55" zoomScaleNormal="55" workbookViewId="0">
      <selection activeCell="N1" sqref="N1:O1"/>
    </sheetView>
  </sheetViews>
  <sheetFormatPr defaultRowHeight="15" x14ac:dyDescent="0.25"/>
  <cols>
    <col min="1" max="1" width="14.85546875" bestFit="1" customWidth="1"/>
    <col min="2" max="2" width="10.42578125" bestFit="1" customWidth="1"/>
    <col min="3" max="3" width="18" bestFit="1" customWidth="1"/>
    <col min="4" max="4" width="20.140625" bestFit="1" customWidth="1"/>
    <col min="5" max="5" width="11.42578125" bestFit="1" customWidth="1"/>
    <col min="6" max="6" width="11" bestFit="1" customWidth="1"/>
    <col min="7" max="7" width="22.140625" bestFit="1" customWidth="1"/>
    <col min="8" max="8" width="3.7109375" customWidth="1"/>
    <col min="9" max="9" width="16.42578125" bestFit="1" customWidth="1"/>
    <col min="10" max="10" width="16.140625" bestFit="1" customWidth="1"/>
    <col min="11" max="11" width="15" bestFit="1" customWidth="1"/>
    <col min="12" max="12" width="16.28515625" bestFit="1" customWidth="1"/>
    <col min="13" max="13" width="18.5703125" bestFit="1" customWidth="1"/>
    <col min="14" max="14" width="13.5703125" bestFit="1" customWidth="1"/>
    <col min="15" max="15" width="16.28515625" bestFit="1" customWidth="1"/>
  </cols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6" t="s">
        <v>15</v>
      </c>
      <c r="J1" s="6" t="s">
        <v>16</v>
      </c>
      <c r="K1" s="6" t="s">
        <v>12</v>
      </c>
      <c r="L1" s="6" t="s">
        <v>13</v>
      </c>
      <c r="M1" s="6" t="s">
        <v>14</v>
      </c>
      <c r="N1" s="7" t="s">
        <v>176</v>
      </c>
      <c r="O1" s="8" t="s">
        <v>177</v>
      </c>
    </row>
    <row r="2" spans="1:15" x14ac:dyDescent="0.25">
      <c r="A2" s="1">
        <v>44394.583333333336</v>
      </c>
      <c r="B2" s="2">
        <v>0.58333333333333337</v>
      </c>
      <c r="C2">
        <v>31.5</v>
      </c>
      <c r="D2">
        <v>45.9</v>
      </c>
      <c r="E2">
        <v>29</v>
      </c>
      <c r="F2">
        <v>990.2</v>
      </c>
      <c r="G2">
        <v>2.2000000000000002</v>
      </c>
      <c r="I2" s="4" t="s">
        <v>95</v>
      </c>
      <c r="J2" s="4" t="s">
        <v>17</v>
      </c>
      <c r="K2" s="4" t="s">
        <v>178</v>
      </c>
      <c r="L2" s="12">
        <v>33.9</v>
      </c>
      <c r="M2" s="4" t="s">
        <v>66</v>
      </c>
      <c r="N2">
        <f>L2-_20210717210500_weatherstation_1__1[[#This Row],[Air Temperature]]</f>
        <v>2.3999999999999986</v>
      </c>
      <c r="O2">
        <f>L2-_20210717210500_weatherstation_1__1[[#This Row],[Track Temperature]]</f>
        <v>-12</v>
      </c>
    </row>
    <row r="3" spans="1:15" x14ac:dyDescent="0.25">
      <c r="A3" s="1">
        <v>44394.584027777775</v>
      </c>
      <c r="B3" s="2">
        <v>0.58402777777777781</v>
      </c>
      <c r="C3">
        <v>31.7</v>
      </c>
      <c r="D3">
        <v>46.6</v>
      </c>
      <c r="E3">
        <v>31</v>
      </c>
      <c r="F3">
        <v>990.2</v>
      </c>
      <c r="G3">
        <v>2.5</v>
      </c>
      <c r="I3" s="6" t="s">
        <v>95</v>
      </c>
      <c r="J3" s="6" t="s">
        <v>21</v>
      </c>
      <c r="K3" s="6" t="s">
        <v>179</v>
      </c>
      <c r="L3" s="9">
        <v>35.200000000000003</v>
      </c>
      <c r="M3" s="6" t="s">
        <v>53</v>
      </c>
      <c r="N3">
        <f>L3-_20210717210500_weatherstation_1__1[[#This Row],[Air Temperature]]</f>
        <v>3.5000000000000036</v>
      </c>
      <c r="O3">
        <f>L3-_20210717210500_weatherstation_1__1[[#This Row],[Track Temperature]]</f>
        <v>-11.399999999999999</v>
      </c>
    </row>
    <row r="4" spans="1:15" x14ac:dyDescent="0.25">
      <c r="A4" s="1">
        <v>44394.584722222222</v>
      </c>
      <c r="B4" s="2">
        <v>0.58472222222222225</v>
      </c>
      <c r="C4">
        <v>32</v>
      </c>
      <c r="D4">
        <v>47.9</v>
      </c>
      <c r="E4">
        <v>31</v>
      </c>
      <c r="F4">
        <v>990.3</v>
      </c>
      <c r="G4">
        <v>5</v>
      </c>
      <c r="I4" s="4" t="s">
        <v>95</v>
      </c>
      <c r="J4" s="4" t="s">
        <v>80</v>
      </c>
      <c r="K4" s="4" t="s">
        <v>181</v>
      </c>
      <c r="L4" s="12">
        <v>37.1</v>
      </c>
      <c r="M4" s="4" t="s">
        <v>75</v>
      </c>
      <c r="N4">
        <f>L4-_20210717210500_weatherstation_1__1[[#This Row],[Air Temperature]]</f>
        <v>5.1000000000000014</v>
      </c>
      <c r="O4">
        <f>L4-_20210717210500_weatherstation_1__1[[#This Row],[Track Temperature]]</f>
        <v>-10.799999999999997</v>
      </c>
    </row>
    <row r="5" spans="1:15" x14ac:dyDescent="0.25">
      <c r="A5" s="1">
        <v>44394.585416666669</v>
      </c>
      <c r="B5" s="2">
        <v>0.5854166666666667</v>
      </c>
      <c r="C5">
        <v>32</v>
      </c>
      <c r="D5">
        <v>48.4</v>
      </c>
      <c r="E5">
        <v>29</v>
      </c>
      <c r="F5">
        <v>990.3</v>
      </c>
      <c r="G5">
        <v>2.9</v>
      </c>
      <c r="I5" s="6" t="s">
        <v>95</v>
      </c>
      <c r="J5" s="6" t="s">
        <v>81</v>
      </c>
      <c r="K5" s="6" t="s">
        <v>183</v>
      </c>
      <c r="L5" s="9">
        <v>38</v>
      </c>
      <c r="M5" s="6" t="s">
        <v>104</v>
      </c>
      <c r="N5">
        <f>L5-_20210717210500_weatherstation_1__1[[#This Row],[Air Temperature]]</f>
        <v>6</v>
      </c>
      <c r="O5">
        <f>L5-_20210717210500_weatherstation_1__1[[#This Row],[Track Temperature]]</f>
        <v>-10.399999999999999</v>
      </c>
    </row>
    <row r="6" spans="1:15" x14ac:dyDescent="0.25">
      <c r="A6" s="1">
        <v>44394.586805555555</v>
      </c>
      <c r="B6" s="2">
        <v>0.58680555555555558</v>
      </c>
      <c r="C6">
        <v>32.5</v>
      </c>
      <c r="D6">
        <v>48.4</v>
      </c>
      <c r="E6">
        <v>26</v>
      </c>
      <c r="F6">
        <v>990.2</v>
      </c>
      <c r="G6">
        <v>5</v>
      </c>
      <c r="I6" s="4" t="s">
        <v>95</v>
      </c>
      <c r="J6" s="4" t="s">
        <v>82</v>
      </c>
      <c r="K6" s="4" t="s">
        <v>184</v>
      </c>
      <c r="L6" s="12">
        <v>39.200000000000003</v>
      </c>
      <c r="M6" s="4" t="s">
        <v>185</v>
      </c>
      <c r="N6">
        <f>L6-_20210717210500_weatherstation_1__1[[#This Row],[Air Temperature]]</f>
        <v>6.7000000000000028</v>
      </c>
      <c r="O6">
        <f>L6-_20210717210500_weatherstation_1__1[[#This Row],[Track Temperature]]</f>
        <v>-9.1999999999999957</v>
      </c>
    </row>
    <row r="7" spans="1:15" x14ac:dyDescent="0.25">
      <c r="A7" s="1">
        <v>44394.588194444441</v>
      </c>
      <c r="B7" s="2">
        <v>0.58819444444444446</v>
      </c>
      <c r="C7">
        <v>32.700000000000003</v>
      </c>
      <c r="D7">
        <v>48.8</v>
      </c>
      <c r="E7">
        <v>26</v>
      </c>
      <c r="F7">
        <v>990.1</v>
      </c>
      <c r="G7">
        <v>7.6</v>
      </c>
      <c r="I7" s="6" t="s">
        <v>95</v>
      </c>
      <c r="J7" s="6" t="s">
        <v>83</v>
      </c>
      <c r="K7" s="6" t="s">
        <v>186</v>
      </c>
      <c r="L7" s="9">
        <v>39.9</v>
      </c>
      <c r="M7" s="6" t="s">
        <v>71</v>
      </c>
      <c r="N7">
        <f>L7-_20210717210500_weatherstation_1__1[[#This Row],[Air Temperature]]</f>
        <v>7.1999999999999957</v>
      </c>
      <c r="O7">
        <f>L7-_20210717210500_weatherstation_1__1[[#This Row],[Track Temperature]]</f>
        <v>-8.8999999999999986</v>
      </c>
    </row>
    <row r="8" spans="1:15" x14ac:dyDescent="0.25">
      <c r="A8" s="1">
        <v>44394.588888888888</v>
      </c>
      <c r="B8" s="2">
        <v>0.58888888888888891</v>
      </c>
      <c r="C8">
        <v>32.700000000000003</v>
      </c>
      <c r="D8">
        <v>49.1</v>
      </c>
      <c r="E8">
        <v>25</v>
      </c>
      <c r="F8">
        <v>990.1</v>
      </c>
      <c r="G8">
        <v>3.2</v>
      </c>
      <c r="I8" s="4" t="s">
        <v>95</v>
      </c>
      <c r="J8" s="4" t="s">
        <v>84</v>
      </c>
      <c r="K8" s="4" t="s">
        <v>187</v>
      </c>
      <c r="L8" s="12">
        <v>40.200000000000003</v>
      </c>
      <c r="M8" s="4" t="s">
        <v>86</v>
      </c>
      <c r="N8">
        <f>L8-_20210717210500_weatherstation_1__1[[#This Row],[Air Temperature]]</f>
        <v>7.5</v>
      </c>
      <c r="O8">
        <f>L8-_20210717210500_weatherstation_1__1[[#This Row],[Track Temperature]]</f>
        <v>-8.8999999999999986</v>
      </c>
    </row>
    <row r="9" spans="1:15" x14ac:dyDescent="0.25">
      <c r="A9" s="1">
        <v>44394.589583333334</v>
      </c>
      <c r="B9" s="2">
        <v>0.58958333333333335</v>
      </c>
      <c r="C9">
        <v>32.700000000000003</v>
      </c>
      <c r="D9">
        <v>49.4</v>
      </c>
      <c r="E9">
        <v>25</v>
      </c>
      <c r="F9">
        <v>990.1</v>
      </c>
      <c r="G9">
        <v>3.6</v>
      </c>
      <c r="I9" s="6" t="s">
        <v>95</v>
      </c>
      <c r="J9" s="6" t="s">
        <v>85</v>
      </c>
      <c r="K9" s="6" t="s">
        <v>188</v>
      </c>
      <c r="L9" s="9">
        <v>40.9</v>
      </c>
      <c r="M9" s="6" t="s">
        <v>107</v>
      </c>
      <c r="N9">
        <f>L9-_20210717210500_weatherstation_1__1[[#This Row],[Air Temperature]]</f>
        <v>8.1999999999999957</v>
      </c>
      <c r="O9">
        <f>L9-_20210717210500_weatherstation_1__1[[#This Row],[Track Temperature]]</f>
        <v>-8.5</v>
      </c>
    </row>
    <row r="10" spans="1:15" x14ac:dyDescent="0.25">
      <c r="A10" s="1">
        <v>44394.590277777781</v>
      </c>
      <c r="B10" s="2">
        <v>0.59027777777777779</v>
      </c>
      <c r="C10">
        <v>32.700000000000003</v>
      </c>
      <c r="D10">
        <v>48.8</v>
      </c>
      <c r="E10">
        <v>26</v>
      </c>
      <c r="F10">
        <v>990.2</v>
      </c>
      <c r="G10">
        <v>4.7</v>
      </c>
      <c r="I10" s="4" t="s">
        <v>95</v>
      </c>
      <c r="J10" s="4" t="s">
        <v>19</v>
      </c>
      <c r="K10" s="4" t="s">
        <v>189</v>
      </c>
      <c r="L10" s="12">
        <v>41.1</v>
      </c>
      <c r="M10" s="4" t="s">
        <v>66</v>
      </c>
      <c r="N10">
        <f>L10-_20210717210500_weatherstation_1__1[[#This Row],[Air Temperature]]</f>
        <v>8.3999999999999986</v>
      </c>
      <c r="O10">
        <f>L10-_20210717210500_weatherstation_1__1[[#This Row],[Track Temperature]]</f>
        <v>-7.6999999999999957</v>
      </c>
    </row>
    <row r="11" spans="1:15" x14ac:dyDescent="0.25">
      <c r="A11" s="1">
        <v>44394.59097222222</v>
      </c>
      <c r="B11" s="2">
        <v>0.59097222222222223</v>
      </c>
      <c r="C11">
        <v>32.5</v>
      </c>
      <c r="D11">
        <v>48.1</v>
      </c>
      <c r="E11">
        <v>25</v>
      </c>
      <c r="F11">
        <v>990</v>
      </c>
      <c r="G11">
        <v>4.3</v>
      </c>
      <c r="I11" s="6" t="s">
        <v>95</v>
      </c>
      <c r="J11" s="6" t="s">
        <v>78</v>
      </c>
      <c r="K11" s="6" t="s">
        <v>190</v>
      </c>
      <c r="L11" s="9">
        <v>41.4</v>
      </c>
      <c r="M11" s="6" t="s">
        <v>62</v>
      </c>
      <c r="N11">
        <f>L11-_20210717210500_weatherstation_1__1[[#This Row],[Air Temperature]]</f>
        <v>8.8999999999999986</v>
      </c>
      <c r="O11">
        <f>L11-_20210717210500_weatherstation_1__1[[#This Row],[Track Temperature]]</f>
        <v>-6.7000000000000028</v>
      </c>
    </row>
    <row r="12" spans="1:15" x14ac:dyDescent="0.25">
      <c r="A12" s="1">
        <v>44394.591666666667</v>
      </c>
      <c r="B12" s="2">
        <v>0.59166666666666667</v>
      </c>
      <c r="C12">
        <v>32.5</v>
      </c>
      <c r="D12">
        <v>48.1</v>
      </c>
      <c r="E12">
        <v>26</v>
      </c>
      <c r="F12">
        <v>990.1</v>
      </c>
      <c r="G12">
        <v>4.3</v>
      </c>
      <c r="I12" s="4" t="s">
        <v>95</v>
      </c>
      <c r="J12" s="4" t="s">
        <v>87</v>
      </c>
      <c r="K12" s="4" t="s">
        <v>191</v>
      </c>
      <c r="L12" s="12">
        <v>41.4</v>
      </c>
      <c r="M12" s="4" t="s">
        <v>107</v>
      </c>
      <c r="N12">
        <f>L12-_20210717210500_weatherstation_1__1[[#This Row],[Air Temperature]]</f>
        <v>8.8999999999999986</v>
      </c>
      <c r="O12">
        <f>L12-_20210717210500_weatherstation_1__1[[#This Row],[Track Temperature]]</f>
        <v>-6.7000000000000028</v>
      </c>
    </row>
    <row r="13" spans="1:15" x14ac:dyDescent="0.25">
      <c r="A13" s="1">
        <v>44394.592361111114</v>
      </c>
      <c r="B13" s="2">
        <v>0.59236111111111112</v>
      </c>
      <c r="C13">
        <v>32.6</v>
      </c>
      <c r="D13">
        <v>47.8</v>
      </c>
      <c r="E13">
        <v>28</v>
      </c>
      <c r="F13">
        <v>990.1</v>
      </c>
      <c r="G13">
        <v>6.5</v>
      </c>
      <c r="I13" s="6" t="s">
        <v>95</v>
      </c>
      <c r="J13" s="6" t="s">
        <v>89</v>
      </c>
      <c r="K13" s="6" t="s">
        <v>192</v>
      </c>
      <c r="L13" s="9">
        <v>41.6</v>
      </c>
      <c r="M13" s="6" t="s">
        <v>107</v>
      </c>
      <c r="N13">
        <f>L13-_20210717210500_weatherstation_1__1[[#This Row],[Air Temperature]]</f>
        <v>9</v>
      </c>
      <c r="O13">
        <f>L13-_20210717210500_weatherstation_1__1[[#This Row],[Track Temperature]]</f>
        <v>-6.1999999999999957</v>
      </c>
    </row>
    <row r="14" spans="1:15" x14ac:dyDescent="0.25">
      <c r="A14" s="1">
        <v>44394.593055555553</v>
      </c>
      <c r="B14" s="2">
        <v>0.59305555555555556</v>
      </c>
      <c r="C14">
        <v>32.6</v>
      </c>
      <c r="D14">
        <v>47.6</v>
      </c>
      <c r="E14">
        <v>28</v>
      </c>
      <c r="F14">
        <v>990.2</v>
      </c>
      <c r="G14">
        <v>5.4</v>
      </c>
      <c r="I14" s="4" t="s">
        <v>95</v>
      </c>
      <c r="J14" s="4" t="s">
        <v>91</v>
      </c>
      <c r="K14" s="4" t="s">
        <v>193</v>
      </c>
      <c r="L14" s="12">
        <v>41.5</v>
      </c>
      <c r="M14" s="4" t="s">
        <v>90</v>
      </c>
      <c r="N14">
        <f>L14-_20210717210500_weatherstation_1__1[[#This Row],[Air Temperature]]</f>
        <v>8.8999999999999986</v>
      </c>
      <c r="O14">
        <f>L14-_20210717210500_weatherstation_1__1[[#This Row],[Track Temperature]]</f>
        <v>-6.1000000000000014</v>
      </c>
    </row>
    <row r="15" spans="1:15" x14ac:dyDescent="0.25">
      <c r="A15" s="1">
        <v>44394.59375</v>
      </c>
      <c r="B15" s="2">
        <v>0.59375</v>
      </c>
      <c r="C15">
        <v>32.4</v>
      </c>
      <c r="D15">
        <v>47.1</v>
      </c>
      <c r="E15">
        <v>27</v>
      </c>
      <c r="F15">
        <v>990.2</v>
      </c>
      <c r="G15">
        <v>2.2000000000000002</v>
      </c>
      <c r="I15" s="6" t="s">
        <v>95</v>
      </c>
      <c r="J15" s="6" t="s">
        <v>93</v>
      </c>
      <c r="K15" s="6" t="s">
        <v>194</v>
      </c>
      <c r="L15" s="9">
        <v>38.9</v>
      </c>
      <c r="M15" s="6" t="s">
        <v>75</v>
      </c>
      <c r="N15">
        <f>L15-_20210717210500_weatherstation_1__1[[#This Row],[Air Temperature]]</f>
        <v>6.5</v>
      </c>
      <c r="O15">
        <f>L15-_20210717210500_weatherstation_1__1[[#This Row],[Track Temperature]]</f>
        <v>-8.2000000000000028</v>
      </c>
    </row>
    <row r="16" spans="1:15" x14ac:dyDescent="0.25">
      <c r="A16" s="1">
        <v>44394.594444444447</v>
      </c>
      <c r="B16" s="2">
        <v>0.59444444444444444</v>
      </c>
      <c r="C16">
        <v>32.4</v>
      </c>
      <c r="D16">
        <v>46.4</v>
      </c>
      <c r="E16">
        <v>27</v>
      </c>
      <c r="F16">
        <v>990.1</v>
      </c>
      <c r="G16">
        <v>2.5</v>
      </c>
      <c r="I16" s="4" t="s">
        <v>95</v>
      </c>
      <c r="J16" s="4" t="s">
        <v>95</v>
      </c>
      <c r="K16" s="4" t="s">
        <v>18</v>
      </c>
      <c r="L16" s="12">
        <v>38.700000000000003</v>
      </c>
      <c r="M16" s="4" t="s">
        <v>68</v>
      </c>
      <c r="N16">
        <f>L16-_20210717210500_weatherstation_1__1[[#This Row],[Air Temperature]]</f>
        <v>6.3000000000000043</v>
      </c>
      <c r="O16">
        <f>L16-_20210717210500_weatherstation_1__1[[#This Row],[Track Temperature]]</f>
        <v>-7.6999999999999957</v>
      </c>
    </row>
    <row r="17" spans="1:15" x14ac:dyDescent="0.25">
      <c r="A17" s="1">
        <v>44394.595138888886</v>
      </c>
      <c r="B17" s="2">
        <v>0.59513888888888888</v>
      </c>
      <c r="C17">
        <v>32.4</v>
      </c>
      <c r="D17">
        <v>46.5</v>
      </c>
      <c r="E17">
        <v>27</v>
      </c>
      <c r="F17">
        <v>990</v>
      </c>
      <c r="G17">
        <v>2.9</v>
      </c>
      <c r="I17" s="6" t="s">
        <v>95</v>
      </c>
      <c r="J17" s="6" t="s">
        <v>96</v>
      </c>
      <c r="K17" s="6" t="s">
        <v>18</v>
      </c>
      <c r="L17" s="9">
        <v>38.9</v>
      </c>
      <c r="M17" s="6" t="s">
        <v>180</v>
      </c>
      <c r="N17">
        <f>L17-_20210717210500_weatherstation_1__1[[#This Row],[Air Temperature]]</f>
        <v>6.5</v>
      </c>
      <c r="O17">
        <f>L17-_20210717210500_weatherstation_1__1[[#This Row],[Track Temperature]]</f>
        <v>-7.6000000000000014</v>
      </c>
    </row>
    <row r="18" spans="1:15" x14ac:dyDescent="0.25">
      <c r="A18" s="1">
        <v>44394.59652777778</v>
      </c>
      <c r="B18" s="2">
        <v>0.59652777777777777</v>
      </c>
      <c r="C18">
        <v>32.6</v>
      </c>
      <c r="D18">
        <v>46.7</v>
      </c>
      <c r="E18">
        <v>27</v>
      </c>
      <c r="F18">
        <v>990.1</v>
      </c>
      <c r="G18">
        <v>6.8</v>
      </c>
      <c r="I18" s="4" t="s">
        <v>95</v>
      </c>
      <c r="J18" s="4" t="s">
        <v>98</v>
      </c>
      <c r="K18" s="4" t="s">
        <v>195</v>
      </c>
      <c r="L18" s="12">
        <v>38.5</v>
      </c>
      <c r="M18" s="4" t="s">
        <v>90</v>
      </c>
      <c r="N18">
        <f>L18-_20210717210500_weatherstation_1__1[[#This Row],[Air Temperature]]</f>
        <v>5.8999999999999986</v>
      </c>
      <c r="O18">
        <f>L18-_20210717210500_weatherstation_1__1[[#This Row],[Track Temperature]]</f>
        <v>-8.2000000000000028</v>
      </c>
    </row>
    <row r="19" spans="1:15" x14ac:dyDescent="0.25">
      <c r="A19" s="1">
        <v>44394.597222222219</v>
      </c>
      <c r="B19" s="2">
        <v>0.59722222222222221</v>
      </c>
      <c r="C19">
        <v>32.6</v>
      </c>
      <c r="D19">
        <v>46.7</v>
      </c>
      <c r="E19">
        <v>28</v>
      </c>
      <c r="F19">
        <v>990.1</v>
      </c>
      <c r="G19">
        <v>5.4</v>
      </c>
      <c r="I19" s="6" t="s">
        <v>95</v>
      </c>
      <c r="J19" s="6" t="s">
        <v>100</v>
      </c>
      <c r="K19" s="6" t="s">
        <v>196</v>
      </c>
      <c r="L19" s="9">
        <v>38.4</v>
      </c>
      <c r="M19" s="6" t="s">
        <v>139</v>
      </c>
      <c r="N19">
        <f>L19-_20210717210500_weatherstation_1__1[[#This Row],[Air Temperature]]</f>
        <v>5.7999999999999972</v>
      </c>
      <c r="O19">
        <f>L19-_20210717210500_weatherstation_1__1[[#This Row],[Track Temperature]]</f>
        <v>-8.3000000000000043</v>
      </c>
    </row>
    <row r="20" spans="1:15" x14ac:dyDescent="0.25">
      <c r="A20" s="1">
        <v>44394.597916666666</v>
      </c>
      <c r="B20" s="2">
        <v>0.59791666666666665</v>
      </c>
      <c r="C20">
        <v>32.4</v>
      </c>
      <c r="D20">
        <v>47.2</v>
      </c>
      <c r="E20">
        <v>28</v>
      </c>
      <c r="F20">
        <v>990.1</v>
      </c>
      <c r="G20">
        <v>1.4</v>
      </c>
      <c r="I20" s="4" t="s">
        <v>95</v>
      </c>
      <c r="J20" s="4" t="s">
        <v>102</v>
      </c>
      <c r="K20" s="4" t="s">
        <v>197</v>
      </c>
      <c r="L20" s="12">
        <v>39</v>
      </c>
      <c r="M20" s="4" t="s">
        <v>66</v>
      </c>
      <c r="N20">
        <f>L20-_20210717210500_weatherstation_1__1[[#This Row],[Air Temperature]]</f>
        <v>6.6000000000000014</v>
      </c>
      <c r="O20">
        <f>L20-_20210717210500_weatherstation_1__1[[#This Row],[Track Temperature]]</f>
        <v>-8.2000000000000028</v>
      </c>
    </row>
    <row r="21" spans="1:15" x14ac:dyDescent="0.25">
      <c r="A21" s="1">
        <v>44394.598611111112</v>
      </c>
      <c r="B21" s="2">
        <v>0.59861111111111109</v>
      </c>
      <c r="C21">
        <v>32.5</v>
      </c>
      <c r="D21">
        <v>48.2</v>
      </c>
      <c r="E21">
        <v>29</v>
      </c>
      <c r="F21">
        <v>990.1</v>
      </c>
      <c r="G21">
        <v>2.9</v>
      </c>
      <c r="I21" s="6" t="s">
        <v>95</v>
      </c>
      <c r="J21" s="6" t="s">
        <v>105</v>
      </c>
      <c r="K21" s="6" t="s">
        <v>198</v>
      </c>
      <c r="L21" s="9">
        <v>39.4</v>
      </c>
      <c r="M21" s="6" t="s">
        <v>180</v>
      </c>
      <c r="N21">
        <f>L21-_20210717210500_weatherstation_1__1[[#This Row],[Air Temperature]]</f>
        <v>6.8999999999999986</v>
      </c>
      <c r="O21">
        <f>L21-_20210717210500_weatherstation_1__1[[#This Row],[Track Temperature]]</f>
        <v>-8.8000000000000043</v>
      </c>
    </row>
    <row r="22" spans="1:15" x14ac:dyDescent="0.25">
      <c r="A22" s="1">
        <v>44394.599305555559</v>
      </c>
      <c r="B22" s="2">
        <v>0.59930555555555554</v>
      </c>
      <c r="C22">
        <v>32.799999999999997</v>
      </c>
      <c r="D22">
        <v>49</v>
      </c>
      <c r="E22">
        <v>27</v>
      </c>
      <c r="F22">
        <v>990.1</v>
      </c>
      <c r="G22">
        <v>2.9</v>
      </c>
      <c r="I22" s="4" t="s">
        <v>95</v>
      </c>
      <c r="J22" s="4" t="s">
        <v>109</v>
      </c>
      <c r="K22" s="4" t="s">
        <v>199</v>
      </c>
      <c r="L22" s="12">
        <v>39.4</v>
      </c>
      <c r="M22" s="4" t="s">
        <v>59</v>
      </c>
      <c r="N22">
        <f>L22-_20210717210500_weatherstation_1__1[[#This Row],[Air Temperature]]</f>
        <v>6.6000000000000014</v>
      </c>
      <c r="O22">
        <f>L22-_20210717210500_weatherstation_1__1[[#This Row],[Track Temperature]]</f>
        <v>-9.6000000000000014</v>
      </c>
    </row>
    <row r="23" spans="1:15" x14ac:dyDescent="0.25">
      <c r="A23" s="1">
        <v>44394.6</v>
      </c>
      <c r="B23" s="2">
        <v>0.6</v>
      </c>
      <c r="C23">
        <v>32.9</v>
      </c>
      <c r="D23">
        <v>49.3</v>
      </c>
      <c r="E23">
        <v>27</v>
      </c>
      <c r="F23">
        <v>990.1</v>
      </c>
      <c r="G23">
        <v>3.2</v>
      </c>
      <c r="I23" s="6" t="s">
        <v>95</v>
      </c>
      <c r="J23" s="6" t="s">
        <v>111</v>
      </c>
      <c r="K23" s="6" t="s">
        <v>200</v>
      </c>
      <c r="L23" s="9">
        <v>39.6</v>
      </c>
      <c r="M23" s="6" t="s">
        <v>75</v>
      </c>
      <c r="N23">
        <f>L23-_20210717210500_weatherstation_1__1[[#This Row],[Air Temperature]]</f>
        <v>6.7000000000000028</v>
      </c>
      <c r="O23">
        <f>L23-_20210717210500_weatherstation_1__1[[#This Row],[Track Temperature]]</f>
        <v>-9.6999999999999957</v>
      </c>
    </row>
    <row r="24" spans="1:15" x14ac:dyDescent="0.25">
      <c r="A24" s="1">
        <v>44394.600694444445</v>
      </c>
      <c r="B24" s="2">
        <v>0.60069444444444442</v>
      </c>
      <c r="C24">
        <v>33</v>
      </c>
      <c r="D24">
        <v>49.3</v>
      </c>
      <c r="E24">
        <v>28</v>
      </c>
      <c r="F24">
        <v>990.1</v>
      </c>
      <c r="G24">
        <v>3.6</v>
      </c>
      <c r="I24" s="4" t="s">
        <v>95</v>
      </c>
      <c r="J24" s="4" t="s">
        <v>113</v>
      </c>
      <c r="K24" s="4" t="s">
        <v>201</v>
      </c>
      <c r="L24" s="12">
        <v>39.6</v>
      </c>
      <c r="M24" s="4" t="s">
        <v>104</v>
      </c>
      <c r="N24">
        <f>L24-_20210717210500_weatherstation_1__1[[#This Row],[Air Temperature]]</f>
        <v>6.6000000000000014</v>
      </c>
      <c r="O24">
        <f>L24-_20210717210500_weatherstation_1__1[[#This Row],[Track Temperature]]</f>
        <v>-9.6999999999999957</v>
      </c>
    </row>
    <row r="25" spans="1:15" x14ac:dyDescent="0.25">
      <c r="A25" s="1">
        <v>44394.601388888892</v>
      </c>
      <c r="B25" s="2">
        <v>0.60138888888888886</v>
      </c>
      <c r="C25">
        <v>33.200000000000003</v>
      </c>
      <c r="D25">
        <v>49.8</v>
      </c>
      <c r="E25">
        <v>29</v>
      </c>
      <c r="F25">
        <v>990.1</v>
      </c>
      <c r="G25">
        <v>2.9</v>
      </c>
      <c r="I25" s="6" t="s">
        <v>95</v>
      </c>
      <c r="J25" s="6" t="s">
        <v>117</v>
      </c>
      <c r="K25" s="6" t="s">
        <v>202</v>
      </c>
      <c r="L25" s="9">
        <v>39.799999999999997</v>
      </c>
      <c r="M25" s="6" t="s">
        <v>107</v>
      </c>
      <c r="N25">
        <f>L25-_20210717210500_weatherstation_1__1[[#This Row],[Air Temperature]]</f>
        <v>6.5999999999999943</v>
      </c>
      <c r="O25">
        <f>L25-_20210717210500_weatherstation_1__1[[#This Row],[Track Temperature]]</f>
        <v>-10</v>
      </c>
    </row>
    <row r="26" spans="1:15" x14ac:dyDescent="0.25">
      <c r="A26" s="1">
        <v>44394.602083333331</v>
      </c>
      <c r="B26" s="2">
        <v>0.6020833333333333</v>
      </c>
      <c r="C26">
        <v>33.299999999999997</v>
      </c>
      <c r="D26">
        <v>49.8</v>
      </c>
      <c r="E26">
        <v>26</v>
      </c>
      <c r="F26">
        <v>990.1</v>
      </c>
      <c r="G26">
        <v>7.9</v>
      </c>
      <c r="I26" s="4" t="s">
        <v>95</v>
      </c>
      <c r="J26" s="4" t="s">
        <v>120</v>
      </c>
      <c r="K26" s="4" t="s">
        <v>203</v>
      </c>
      <c r="L26" s="12">
        <v>39.6</v>
      </c>
      <c r="M26" s="4" t="s">
        <v>66</v>
      </c>
      <c r="N26">
        <f>L26-_20210717210500_weatherstation_1__1[[#This Row],[Air Temperature]]</f>
        <v>6.3000000000000043</v>
      </c>
      <c r="O26">
        <f>L26-_20210717210500_weatherstation_1__1[[#This Row],[Track Temperature]]</f>
        <v>-10.199999999999996</v>
      </c>
    </row>
    <row r="27" spans="1:15" x14ac:dyDescent="0.25">
      <c r="A27" s="1">
        <v>44394.602777777778</v>
      </c>
      <c r="B27" s="2">
        <v>0.60277777777777775</v>
      </c>
      <c r="C27">
        <v>33.200000000000003</v>
      </c>
      <c r="D27">
        <v>49.4</v>
      </c>
      <c r="E27">
        <v>27</v>
      </c>
      <c r="F27">
        <v>990.1</v>
      </c>
      <c r="G27">
        <v>6.1</v>
      </c>
      <c r="I27" s="6" t="s">
        <v>95</v>
      </c>
      <c r="J27" s="6" t="s">
        <v>123</v>
      </c>
      <c r="K27" s="6" t="s">
        <v>204</v>
      </c>
      <c r="L27" s="9">
        <v>39.700000000000003</v>
      </c>
      <c r="M27" s="6" t="s">
        <v>104</v>
      </c>
      <c r="N27">
        <f>L27-_20210717210500_weatherstation_1__1[[#This Row],[Air Temperature]]</f>
        <v>6.5</v>
      </c>
      <c r="O27">
        <f>L27-_20210717210500_weatherstation_1__1[[#This Row],[Track Temperature]]</f>
        <v>-9.6999999999999957</v>
      </c>
    </row>
    <row r="28" spans="1:15" x14ac:dyDescent="0.25">
      <c r="A28" s="1">
        <v>44394.603472222225</v>
      </c>
      <c r="B28" s="2">
        <v>0.60347222222222219</v>
      </c>
      <c r="C28">
        <v>33.1</v>
      </c>
      <c r="D28">
        <v>49.4</v>
      </c>
      <c r="E28">
        <v>26</v>
      </c>
      <c r="F28">
        <v>990</v>
      </c>
      <c r="G28">
        <v>5.8</v>
      </c>
      <c r="I28" s="4" t="s">
        <v>95</v>
      </c>
      <c r="J28" s="4" t="s">
        <v>125</v>
      </c>
      <c r="K28" s="4" t="s">
        <v>205</v>
      </c>
      <c r="L28" s="12">
        <v>39.799999999999997</v>
      </c>
      <c r="M28" s="4" t="s">
        <v>62</v>
      </c>
      <c r="N28">
        <f>L28-_20210717210500_weatherstation_1__1[[#This Row],[Air Temperature]]</f>
        <v>6.6999999999999957</v>
      </c>
      <c r="O28">
        <f>L28-_20210717210500_weatherstation_1__1[[#This Row],[Track Temperature]]</f>
        <v>-9.6000000000000014</v>
      </c>
    </row>
    <row r="29" spans="1:15" x14ac:dyDescent="0.25">
      <c r="A29" s="1">
        <v>44394.604166666664</v>
      </c>
      <c r="B29" s="2">
        <v>0.60416666666666663</v>
      </c>
      <c r="C29">
        <v>32.9</v>
      </c>
      <c r="D29">
        <v>49.4</v>
      </c>
      <c r="E29">
        <v>26</v>
      </c>
      <c r="F29">
        <v>990</v>
      </c>
      <c r="G29">
        <v>4.3</v>
      </c>
      <c r="I29" s="6" t="s">
        <v>95</v>
      </c>
      <c r="J29" s="6" t="s">
        <v>128</v>
      </c>
      <c r="K29" s="6" t="s">
        <v>206</v>
      </c>
      <c r="L29" s="9">
        <v>39.700000000000003</v>
      </c>
      <c r="M29" s="6" t="s">
        <v>62</v>
      </c>
      <c r="N29">
        <f>L29-_20210717210500_weatherstation_1__1[[#This Row],[Air Temperature]]</f>
        <v>6.8000000000000043</v>
      </c>
      <c r="O29">
        <f>L29-_20210717210500_weatherstation_1__1[[#This Row],[Track Temperature]]</f>
        <v>-9.6999999999999957</v>
      </c>
    </row>
    <row r="30" spans="1:15" x14ac:dyDescent="0.25">
      <c r="A30" s="1">
        <v>44394.604861111111</v>
      </c>
      <c r="B30" s="2">
        <v>0.60486111111111107</v>
      </c>
      <c r="C30">
        <v>32.799999999999997</v>
      </c>
      <c r="D30">
        <v>49.3</v>
      </c>
      <c r="E30">
        <v>25</v>
      </c>
      <c r="F30">
        <v>990.1</v>
      </c>
      <c r="G30">
        <v>5</v>
      </c>
      <c r="I30" s="4" t="s">
        <v>95</v>
      </c>
      <c r="J30" s="4" t="s">
        <v>130</v>
      </c>
      <c r="K30" s="4" t="s">
        <v>207</v>
      </c>
      <c r="L30" s="12">
        <v>40.200000000000003</v>
      </c>
      <c r="M30" s="4" t="s">
        <v>208</v>
      </c>
      <c r="N30">
        <f>L30-_20210717210500_weatherstation_1__1[[#This Row],[Air Temperature]]</f>
        <v>7.4000000000000057</v>
      </c>
      <c r="O30">
        <f>L30-_20210717210500_weatherstation_1__1[[#This Row],[Track Temperature]]</f>
        <v>-9.0999999999999943</v>
      </c>
    </row>
    <row r="31" spans="1:15" x14ac:dyDescent="0.25">
      <c r="A31" s="1">
        <v>44394.605555555558</v>
      </c>
      <c r="B31" s="2">
        <v>0.60555555555555551</v>
      </c>
      <c r="C31">
        <v>32.799999999999997</v>
      </c>
      <c r="D31">
        <v>49.8</v>
      </c>
      <c r="E31">
        <v>26</v>
      </c>
      <c r="F31">
        <v>990.1</v>
      </c>
      <c r="G31">
        <v>4</v>
      </c>
      <c r="I31" s="6" t="s">
        <v>95</v>
      </c>
      <c r="J31" s="6" t="s">
        <v>132</v>
      </c>
      <c r="K31" s="6" t="s">
        <v>174</v>
      </c>
      <c r="L31" s="9">
        <v>39.6</v>
      </c>
      <c r="M31" s="6" t="s">
        <v>86</v>
      </c>
      <c r="N31">
        <f>L31-_20210717210500_weatherstation_1__1[[#This Row],[Air Temperature]]</f>
        <v>6.8000000000000043</v>
      </c>
      <c r="O31">
        <f>L31-_20210717210500_weatherstation_1__1[[#This Row],[Track Temperature]]</f>
        <v>-10.199999999999996</v>
      </c>
    </row>
    <row r="32" spans="1:15" x14ac:dyDescent="0.25">
      <c r="A32" s="1">
        <v>44394.606249999997</v>
      </c>
      <c r="B32" s="2">
        <v>0.60624999999999996</v>
      </c>
      <c r="C32">
        <v>32.700000000000003</v>
      </c>
      <c r="D32">
        <v>50.1</v>
      </c>
      <c r="E32">
        <v>25</v>
      </c>
      <c r="F32">
        <v>990</v>
      </c>
      <c r="G32">
        <v>4.3</v>
      </c>
      <c r="I32" s="4" t="s">
        <v>95</v>
      </c>
      <c r="J32" s="4" t="s">
        <v>20</v>
      </c>
      <c r="K32" s="4" t="s">
        <v>209</v>
      </c>
      <c r="L32" s="12">
        <v>39.200000000000003</v>
      </c>
      <c r="M32" s="4" t="s">
        <v>66</v>
      </c>
      <c r="N32">
        <f>L32-_20210717210500_weatherstation_1__1[[#This Row],[Air Temperature]]</f>
        <v>6.5</v>
      </c>
      <c r="O32">
        <f>L32-_20210717210500_weatherstation_1__1[[#This Row],[Track Temperature]]</f>
        <v>-10.899999999999999</v>
      </c>
    </row>
    <row r="33" spans="1:15" x14ac:dyDescent="0.25">
      <c r="A33" s="1">
        <v>44394.60833333333</v>
      </c>
      <c r="B33" s="2">
        <v>0.60833333333333328</v>
      </c>
      <c r="C33">
        <v>32.9</v>
      </c>
      <c r="D33">
        <v>49.9</v>
      </c>
      <c r="E33">
        <v>26</v>
      </c>
      <c r="F33">
        <v>990.1</v>
      </c>
      <c r="G33">
        <v>6.1</v>
      </c>
      <c r="I33" s="6" t="s">
        <v>95</v>
      </c>
      <c r="J33" s="6" t="s">
        <v>24</v>
      </c>
      <c r="K33" s="6" t="s">
        <v>210</v>
      </c>
      <c r="L33" s="9">
        <v>39</v>
      </c>
      <c r="M33" s="6" t="s">
        <v>211</v>
      </c>
      <c r="N33">
        <f>L33-_20210717210500_weatherstation_1__1[[#This Row],[Air Temperature]]</f>
        <v>6.1000000000000014</v>
      </c>
      <c r="O33">
        <f>L33-_20210717210500_weatherstation_1__1[[#This Row],[Track Temperature]]</f>
        <v>-10.899999999999999</v>
      </c>
    </row>
    <row r="34" spans="1:15" x14ac:dyDescent="0.25">
      <c r="A34" s="1">
        <v>44394.609027777777</v>
      </c>
      <c r="B34" s="2">
        <v>0.60902777777777772</v>
      </c>
      <c r="C34">
        <v>33</v>
      </c>
      <c r="D34">
        <v>49.9</v>
      </c>
      <c r="E34">
        <v>24</v>
      </c>
      <c r="F34">
        <v>990</v>
      </c>
      <c r="G34">
        <v>7.9</v>
      </c>
      <c r="I34" s="4" t="s">
        <v>95</v>
      </c>
      <c r="J34" s="4" t="s">
        <v>25</v>
      </c>
      <c r="K34" s="4" t="s">
        <v>212</v>
      </c>
      <c r="L34" s="12">
        <v>39.200000000000003</v>
      </c>
      <c r="M34" s="4" t="s">
        <v>213</v>
      </c>
      <c r="N34">
        <f>L34-_20210717210500_weatherstation_1__1[[#This Row],[Air Temperature]]</f>
        <v>6.2000000000000028</v>
      </c>
      <c r="O34">
        <f>L34-_20210717210500_weatherstation_1__1[[#This Row],[Track Temperature]]</f>
        <v>-10.699999999999996</v>
      </c>
    </row>
    <row r="35" spans="1:15" x14ac:dyDescent="0.25">
      <c r="A35" s="1">
        <v>44394.609722222223</v>
      </c>
      <c r="B35" s="2">
        <v>0.60972222222222228</v>
      </c>
      <c r="C35">
        <v>33</v>
      </c>
      <c r="D35">
        <v>49.7</v>
      </c>
      <c r="E35">
        <v>24</v>
      </c>
      <c r="F35">
        <v>990</v>
      </c>
      <c r="G35">
        <v>6.5</v>
      </c>
      <c r="I35" s="6" t="s">
        <v>95</v>
      </c>
      <c r="J35" s="6" t="s">
        <v>27</v>
      </c>
      <c r="K35" s="6" t="s">
        <v>214</v>
      </c>
      <c r="L35" s="9">
        <v>41</v>
      </c>
      <c r="M35" s="6" t="s">
        <v>107</v>
      </c>
      <c r="N35">
        <f>L35-_20210717210500_weatherstation_1__1[[#This Row],[Air Temperature]]</f>
        <v>8</v>
      </c>
      <c r="O35">
        <f>L35-_20210717210500_weatherstation_1__1[[#This Row],[Track Temperature]]</f>
        <v>-8.7000000000000028</v>
      </c>
    </row>
    <row r="36" spans="1:15" x14ac:dyDescent="0.25">
      <c r="A36" s="1">
        <v>44394.61041666667</v>
      </c>
      <c r="B36" s="2">
        <v>0.61041666666666672</v>
      </c>
      <c r="C36">
        <v>32.799999999999997</v>
      </c>
      <c r="D36">
        <v>48</v>
      </c>
      <c r="E36">
        <v>24</v>
      </c>
      <c r="F36">
        <v>990</v>
      </c>
      <c r="G36">
        <v>6.8</v>
      </c>
      <c r="I36" s="4" t="s">
        <v>95</v>
      </c>
      <c r="J36" s="4" t="s">
        <v>29</v>
      </c>
      <c r="K36" s="4" t="s">
        <v>215</v>
      </c>
      <c r="L36" s="12">
        <v>42</v>
      </c>
      <c r="M36" s="4" t="s">
        <v>71</v>
      </c>
      <c r="N36">
        <f>L36-_20210717210500_weatherstation_1__1[[#This Row],[Air Temperature]]</f>
        <v>9.2000000000000028</v>
      </c>
      <c r="O36">
        <f>L36-_20210717210500_weatherstation_1__1[[#This Row],[Track Temperature]]</f>
        <v>-6</v>
      </c>
    </row>
    <row r="37" spans="1:15" x14ac:dyDescent="0.25">
      <c r="A37" s="1">
        <v>44394.611111111109</v>
      </c>
      <c r="B37" s="2">
        <v>0.61111111111111116</v>
      </c>
      <c r="C37">
        <v>32.6</v>
      </c>
      <c r="D37">
        <v>47.8</v>
      </c>
      <c r="E37">
        <v>25</v>
      </c>
      <c r="F37">
        <v>990</v>
      </c>
      <c r="G37">
        <v>6.8</v>
      </c>
      <c r="I37" s="6" t="s">
        <v>95</v>
      </c>
      <c r="J37" s="6" t="s">
        <v>31</v>
      </c>
      <c r="K37" s="6" t="s">
        <v>216</v>
      </c>
      <c r="L37" s="9">
        <v>42.5</v>
      </c>
      <c r="M37" s="6" t="s">
        <v>55</v>
      </c>
      <c r="N37">
        <f>L37-_20210717210500_weatherstation_1__1[[#This Row],[Air Temperature]]</f>
        <v>9.8999999999999986</v>
      </c>
      <c r="O37">
        <f>L37-_20210717210500_weatherstation_1__1[[#This Row],[Track Temperature]]</f>
        <v>-5.2999999999999972</v>
      </c>
    </row>
    <row r="38" spans="1:15" x14ac:dyDescent="0.25">
      <c r="A38" s="1">
        <v>44394.611805555556</v>
      </c>
      <c r="B38" s="2">
        <v>0.6118055555555556</v>
      </c>
      <c r="C38">
        <v>32.9</v>
      </c>
      <c r="D38">
        <v>47.4</v>
      </c>
      <c r="E38">
        <v>25</v>
      </c>
      <c r="F38">
        <v>990.1</v>
      </c>
      <c r="G38">
        <v>7.6</v>
      </c>
      <c r="I38" s="4" t="s">
        <v>95</v>
      </c>
      <c r="J38" s="4" t="s">
        <v>34</v>
      </c>
      <c r="K38" s="4" t="s">
        <v>217</v>
      </c>
      <c r="L38" s="12">
        <v>42.7</v>
      </c>
      <c r="M38" s="4" t="s">
        <v>86</v>
      </c>
      <c r="N38">
        <f>L38-_20210717210500_weatherstation_1__1[[#This Row],[Air Temperature]]</f>
        <v>9.8000000000000043</v>
      </c>
      <c r="O38">
        <f>L38-_20210717210500_weatherstation_1__1[[#This Row],[Track Temperature]]</f>
        <v>-4.6999999999999957</v>
      </c>
    </row>
    <row r="39" spans="1:15" x14ac:dyDescent="0.25">
      <c r="A39" s="1">
        <v>44394.612500000003</v>
      </c>
      <c r="B39" s="2">
        <v>0.61250000000000004</v>
      </c>
      <c r="C39">
        <v>33</v>
      </c>
      <c r="D39">
        <v>47.3</v>
      </c>
      <c r="E39">
        <v>26</v>
      </c>
      <c r="F39">
        <v>990</v>
      </c>
      <c r="G39">
        <v>2.5</v>
      </c>
      <c r="I39" s="6" t="s">
        <v>95</v>
      </c>
      <c r="J39" s="6" t="s">
        <v>35</v>
      </c>
      <c r="K39" s="6" t="s">
        <v>218</v>
      </c>
      <c r="L39" s="9">
        <v>42.9</v>
      </c>
      <c r="M39" s="6" t="s">
        <v>77</v>
      </c>
      <c r="N39">
        <f>L39-_20210717210500_weatherstation_1__1[[#This Row],[Air Temperature]]</f>
        <v>9.8999999999999986</v>
      </c>
      <c r="O39">
        <f>L39-_20210717210500_weatherstation_1__1[[#This Row],[Track Temperature]]</f>
        <v>-4.3999999999999986</v>
      </c>
    </row>
    <row r="40" spans="1:15" x14ac:dyDescent="0.25">
      <c r="A40" s="1">
        <v>44394.613194444442</v>
      </c>
      <c r="B40" s="2">
        <v>0.61319444444444449</v>
      </c>
      <c r="C40">
        <v>32.799999999999997</v>
      </c>
      <c r="D40">
        <v>46.6</v>
      </c>
      <c r="E40">
        <v>26</v>
      </c>
      <c r="F40">
        <v>989.9</v>
      </c>
      <c r="G40">
        <v>7.2</v>
      </c>
      <c r="I40" s="4" t="s">
        <v>95</v>
      </c>
      <c r="J40" s="4" t="s">
        <v>36</v>
      </c>
      <c r="K40" s="4" t="s">
        <v>219</v>
      </c>
      <c r="L40" s="12">
        <v>43.1</v>
      </c>
      <c r="M40" s="4" t="s">
        <v>71</v>
      </c>
      <c r="N40">
        <f>L40-_20210717210500_weatherstation_1__1[[#This Row],[Air Temperature]]</f>
        <v>10.300000000000004</v>
      </c>
      <c r="O40">
        <f>L40-_20210717210500_weatherstation_1__1[[#This Row],[Track Temperature]]</f>
        <v>-3.5</v>
      </c>
    </row>
    <row r="41" spans="1:15" x14ac:dyDescent="0.25">
      <c r="A41" s="1">
        <v>44394.613888888889</v>
      </c>
      <c r="B41" s="2">
        <v>0.61388888888888893</v>
      </c>
      <c r="C41">
        <v>32.5</v>
      </c>
      <c r="D41">
        <v>46</v>
      </c>
      <c r="E41">
        <v>26</v>
      </c>
      <c r="F41">
        <v>990</v>
      </c>
      <c r="G41">
        <v>2.5</v>
      </c>
      <c r="I41" s="6" t="s">
        <v>95</v>
      </c>
      <c r="J41" s="6" t="s">
        <v>37</v>
      </c>
      <c r="K41" s="6" t="s">
        <v>220</v>
      </c>
      <c r="L41" s="9">
        <v>43.2</v>
      </c>
      <c r="M41" s="6" t="s">
        <v>68</v>
      </c>
      <c r="N41">
        <f>L41-_20210717210500_weatherstation_1__1[[#This Row],[Air Temperature]]</f>
        <v>10.700000000000003</v>
      </c>
      <c r="O41">
        <f>L41-_20210717210500_weatherstation_1__1[[#This Row],[Track Temperature]]</f>
        <v>-2.7999999999999972</v>
      </c>
    </row>
    <row r="42" spans="1:15" x14ac:dyDescent="0.25">
      <c r="A42" s="1">
        <v>44394.614583333336</v>
      </c>
      <c r="B42" s="2">
        <v>0.61458333333333337</v>
      </c>
      <c r="C42">
        <v>32.6</v>
      </c>
      <c r="D42">
        <v>45.9</v>
      </c>
      <c r="E42">
        <v>26</v>
      </c>
      <c r="F42">
        <v>990</v>
      </c>
      <c r="G42">
        <v>3.6</v>
      </c>
      <c r="I42" s="4" t="s">
        <v>95</v>
      </c>
      <c r="J42" s="4" t="s">
        <v>39</v>
      </c>
      <c r="K42" s="4" t="s">
        <v>221</v>
      </c>
      <c r="L42" s="12">
        <v>43.5</v>
      </c>
      <c r="M42" s="4" t="s">
        <v>180</v>
      </c>
      <c r="N42">
        <f>L42-_20210717210500_weatherstation_1__1[[#This Row],[Air Temperature]]</f>
        <v>10.899999999999999</v>
      </c>
      <c r="O42">
        <f>L42-_20210717210500_weatherstation_1__1[[#This Row],[Track Temperature]]</f>
        <v>-2.3999999999999986</v>
      </c>
    </row>
    <row r="43" spans="1:15" x14ac:dyDescent="0.25">
      <c r="A43" s="1">
        <v>44394.615277777775</v>
      </c>
      <c r="B43" s="2">
        <v>0.61527777777777781</v>
      </c>
      <c r="C43">
        <v>32.5</v>
      </c>
      <c r="D43">
        <v>45.6</v>
      </c>
      <c r="E43">
        <v>27</v>
      </c>
      <c r="F43">
        <v>989.9</v>
      </c>
      <c r="G43">
        <v>2.5</v>
      </c>
      <c r="I43" s="6" t="s">
        <v>95</v>
      </c>
      <c r="J43" s="6" t="s">
        <v>40</v>
      </c>
      <c r="K43" s="6" t="s">
        <v>222</v>
      </c>
      <c r="L43" s="9">
        <v>43.5</v>
      </c>
      <c r="M43" s="6" t="s">
        <v>104</v>
      </c>
      <c r="N43">
        <f>L43-_20210717210500_weatherstation_1__1[[#This Row],[Air Temperature]]</f>
        <v>11</v>
      </c>
      <c r="O43">
        <f>L43-_20210717210500_weatherstation_1__1[[#This Row],[Track Temperature]]</f>
        <v>-2.1000000000000014</v>
      </c>
    </row>
    <row r="44" spans="1:15" x14ac:dyDescent="0.25">
      <c r="A44" s="1">
        <v>44394.615972222222</v>
      </c>
      <c r="B44" s="2">
        <v>0.61597222222222225</v>
      </c>
      <c r="C44">
        <v>32.6</v>
      </c>
      <c r="D44">
        <v>45.6</v>
      </c>
      <c r="E44">
        <v>27</v>
      </c>
      <c r="F44">
        <v>989.9</v>
      </c>
      <c r="G44">
        <v>4</v>
      </c>
      <c r="I44" s="4" t="s">
        <v>95</v>
      </c>
      <c r="J44" s="4" t="s">
        <v>41</v>
      </c>
      <c r="K44" s="4" t="s">
        <v>223</v>
      </c>
      <c r="L44" s="12">
        <v>43.5</v>
      </c>
      <c r="M44" s="4" t="s">
        <v>57</v>
      </c>
      <c r="N44">
        <f>L44-_20210717210500_weatherstation_1__1[[#This Row],[Air Temperature]]</f>
        <v>10.899999999999999</v>
      </c>
      <c r="O44">
        <f>L44-_20210717210500_weatherstation_1__1[[#This Row],[Track Temperature]]</f>
        <v>-2.1000000000000014</v>
      </c>
    </row>
    <row r="45" spans="1:15" x14ac:dyDescent="0.25">
      <c r="A45" s="1">
        <v>44394.616666666669</v>
      </c>
      <c r="B45" s="2">
        <v>0.6166666666666667</v>
      </c>
      <c r="C45">
        <v>32.4</v>
      </c>
      <c r="D45">
        <v>45.6</v>
      </c>
      <c r="E45">
        <v>25</v>
      </c>
      <c r="F45">
        <v>990</v>
      </c>
      <c r="G45">
        <v>4</v>
      </c>
      <c r="I45" s="6" t="s">
        <v>95</v>
      </c>
      <c r="J45" s="6" t="s">
        <v>42</v>
      </c>
      <c r="K45" s="6" t="s">
        <v>224</v>
      </c>
      <c r="L45" s="9">
        <v>43.5</v>
      </c>
      <c r="M45" s="6" t="s">
        <v>62</v>
      </c>
      <c r="N45">
        <f>L45-_20210717210500_weatherstation_1__1[[#This Row],[Air Temperature]]</f>
        <v>11.100000000000001</v>
      </c>
      <c r="O45">
        <f>L45-_20210717210500_weatherstation_1__1[[#This Row],[Track Temperature]]</f>
        <v>-2.1000000000000014</v>
      </c>
    </row>
    <row r="46" spans="1:15" x14ac:dyDescent="0.25">
      <c r="A46" s="1">
        <v>44394.617361111108</v>
      </c>
      <c r="B46" s="2">
        <v>0.61736111111111114</v>
      </c>
      <c r="C46">
        <v>32.4</v>
      </c>
      <c r="D46">
        <v>45.6</v>
      </c>
      <c r="E46">
        <v>25</v>
      </c>
      <c r="F46">
        <v>990</v>
      </c>
      <c r="G46">
        <v>2.9</v>
      </c>
      <c r="I46" s="4" t="s">
        <v>95</v>
      </c>
      <c r="J46" s="4" t="s">
        <v>44</v>
      </c>
      <c r="K46" s="4" t="s">
        <v>225</v>
      </c>
      <c r="L46" s="12">
        <v>43.2</v>
      </c>
      <c r="M46" s="4" t="s">
        <v>77</v>
      </c>
      <c r="N46">
        <f>L46-_20210717210500_weatherstation_1__1[[#This Row],[Air Temperature]]</f>
        <v>10.800000000000004</v>
      </c>
      <c r="O46">
        <f>L46-_20210717210500_weatherstation_1__1[[#This Row],[Track Temperature]]</f>
        <v>-2.3999999999999986</v>
      </c>
    </row>
    <row r="47" spans="1:15" x14ac:dyDescent="0.25">
      <c r="A47" s="1">
        <v>44394.618055555555</v>
      </c>
      <c r="B47" s="2">
        <v>0.61805555555555558</v>
      </c>
      <c r="C47">
        <v>32.6</v>
      </c>
      <c r="D47">
        <v>45.6</v>
      </c>
      <c r="E47">
        <v>25</v>
      </c>
      <c r="F47">
        <v>989.9</v>
      </c>
      <c r="G47">
        <v>3.2</v>
      </c>
      <c r="I47" s="6" t="s">
        <v>95</v>
      </c>
      <c r="J47" s="6" t="s">
        <v>47</v>
      </c>
      <c r="K47" s="6" t="s">
        <v>226</v>
      </c>
      <c r="L47" s="9">
        <v>43.3</v>
      </c>
      <c r="M47" s="6" t="s">
        <v>115</v>
      </c>
      <c r="N47">
        <f>L47-_20210717210500_weatherstation_1__1[[#This Row],[Air Temperature]]</f>
        <v>10.699999999999996</v>
      </c>
      <c r="O47">
        <f>L47-_20210717210500_weatherstation_1__1[[#This Row],[Track Temperature]]</f>
        <v>-2.3000000000000043</v>
      </c>
    </row>
    <row r="48" spans="1:15" x14ac:dyDescent="0.25">
      <c r="A48" s="1">
        <v>44394.618750000001</v>
      </c>
      <c r="B48" s="2">
        <v>0.61875000000000002</v>
      </c>
      <c r="C48">
        <v>32.5</v>
      </c>
      <c r="D48">
        <v>45.6</v>
      </c>
      <c r="E48">
        <v>26</v>
      </c>
      <c r="F48">
        <v>989.8</v>
      </c>
      <c r="G48">
        <v>4</v>
      </c>
      <c r="I48" s="4" t="s">
        <v>95</v>
      </c>
      <c r="J48" s="4" t="s">
        <v>49</v>
      </c>
      <c r="K48" s="4" t="s">
        <v>227</v>
      </c>
      <c r="L48" s="12">
        <v>43.3</v>
      </c>
      <c r="M48" s="4" t="s">
        <v>75</v>
      </c>
      <c r="N48">
        <f>L48-_20210717210500_weatherstation_1__1[[#This Row],[Air Temperature]]</f>
        <v>10.799999999999997</v>
      </c>
      <c r="O48">
        <f>L48-_20210717210500_weatherstation_1__1[[#This Row],[Track Temperature]]</f>
        <v>-2.3000000000000043</v>
      </c>
    </row>
    <row r="49" spans="1:15" x14ac:dyDescent="0.25">
      <c r="A49" s="1">
        <v>44394.619444444441</v>
      </c>
      <c r="B49" s="2">
        <v>0.61944444444444446</v>
      </c>
      <c r="C49">
        <v>32.5</v>
      </c>
      <c r="D49">
        <v>45.6</v>
      </c>
      <c r="E49">
        <v>26</v>
      </c>
      <c r="F49">
        <v>990</v>
      </c>
      <c r="G49">
        <v>4.7</v>
      </c>
      <c r="I49" s="6" t="s">
        <v>95</v>
      </c>
      <c r="J49" s="6" t="s">
        <v>50</v>
      </c>
      <c r="K49" s="6" t="s">
        <v>228</v>
      </c>
      <c r="L49" s="9">
        <v>43.2</v>
      </c>
      <c r="M49" s="6" t="s">
        <v>88</v>
      </c>
      <c r="N49">
        <f>L49-_20210717210500_weatherstation_1__1[[#This Row],[Air Temperature]]</f>
        <v>10.700000000000003</v>
      </c>
      <c r="O49">
        <f>L49-_20210717210500_weatherstation_1__1[[#This Row],[Track Temperature]]</f>
        <v>-2.3999999999999986</v>
      </c>
    </row>
    <row r="50" spans="1:15" x14ac:dyDescent="0.25">
      <c r="A50" s="1">
        <v>44394.620138888888</v>
      </c>
      <c r="B50" s="2">
        <v>0.62013888888888891</v>
      </c>
      <c r="C50">
        <v>32.700000000000003</v>
      </c>
      <c r="D50">
        <v>45.9</v>
      </c>
      <c r="E50">
        <v>26</v>
      </c>
      <c r="F50">
        <v>989.9</v>
      </c>
      <c r="G50">
        <v>4.3</v>
      </c>
      <c r="I50" s="4" t="s">
        <v>95</v>
      </c>
      <c r="J50" s="4" t="s">
        <v>52</v>
      </c>
      <c r="K50" s="4" t="s">
        <v>229</v>
      </c>
      <c r="L50" s="12">
        <v>43.2</v>
      </c>
      <c r="M50" s="4" t="s">
        <v>57</v>
      </c>
      <c r="N50">
        <f>L50-_20210717210500_weatherstation_1__1[[#This Row],[Air Temperature]]</f>
        <v>10.5</v>
      </c>
      <c r="O50">
        <f>L50-_20210717210500_weatherstation_1__1[[#This Row],[Track Temperature]]</f>
        <v>-2.6999999999999957</v>
      </c>
    </row>
    <row r="51" spans="1:15" x14ac:dyDescent="0.25">
      <c r="A51" s="1">
        <v>44394.620833333334</v>
      </c>
      <c r="B51" s="2">
        <v>0.62083333333333335</v>
      </c>
      <c r="C51">
        <v>32.6</v>
      </c>
      <c r="D51">
        <v>45.9</v>
      </c>
      <c r="E51">
        <v>25</v>
      </c>
      <c r="F51">
        <v>989.9</v>
      </c>
      <c r="G51">
        <v>2.5</v>
      </c>
      <c r="I51" s="6" t="s">
        <v>95</v>
      </c>
      <c r="J51" s="6" t="s">
        <v>54</v>
      </c>
      <c r="K51" s="6" t="s">
        <v>230</v>
      </c>
      <c r="L51" s="9">
        <v>43.2</v>
      </c>
      <c r="M51" s="6" t="s">
        <v>90</v>
      </c>
      <c r="N51">
        <f>L51-_20210717210500_weatherstation_1__1[[#This Row],[Air Temperature]]</f>
        <v>10.600000000000001</v>
      </c>
      <c r="O51">
        <f>L51-_20210717210500_weatherstation_1__1[[#This Row],[Track Temperature]]</f>
        <v>-2.6999999999999957</v>
      </c>
    </row>
    <row r="52" spans="1:15" x14ac:dyDescent="0.25">
      <c r="A52" s="1">
        <v>44394.621527777781</v>
      </c>
      <c r="B52" s="2">
        <v>0.62152777777777779</v>
      </c>
      <c r="C52">
        <v>32.700000000000003</v>
      </c>
      <c r="D52">
        <v>46</v>
      </c>
      <c r="E52">
        <v>25</v>
      </c>
      <c r="F52">
        <v>989.9</v>
      </c>
      <c r="G52">
        <v>2.9</v>
      </c>
      <c r="I52" s="4" t="s">
        <v>95</v>
      </c>
      <c r="J52" s="4" t="s">
        <v>56</v>
      </c>
      <c r="K52" s="4" t="s">
        <v>231</v>
      </c>
      <c r="L52" s="12">
        <v>43.2</v>
      </c>
      <c r="M52" s="4" t="s">
        <v>135</v>
      </c>
      <c r="N52">
        <f>L52-_20210717210500_weatherstation_1__1[[#This Row],[Air Temperature]]</f>
        <v>10.5</v>
      </c>
      <c r="O52">
        <f>L52-_20210717210500_weatherstation_1__1[[#This Row],[Track Temperature]]</f>
        <v>-2.7999999999999972</v>
      </c>
    </row>
    <row r="53" spans="1:15" x14ac:dyDescent="0.25">
      <c r="A53" s="1">
        <v>44394.62222222222</v>
      </c>
      <c r="B53" s="2">
        <v>0.62222222222222223</v>
      </c>
      <c r="C53">
        <v>33</v>
      </c>
      <c r="D53">
        <v>46</v>
      </c>
      <c r="E53">
        <v>26</v>
      </c>
      <c r="F53">
        <v>989.9</v>
      </c>
      <c r="G53">
        <v>4.3</v>
      </c>
      <c r="I53" s="6" t="s">
        <v>95</v>
      </c>
      <c r="J53" s="6" t="s">
        <v>58</v>
      </c>
      <c r="K53" s="6" t="s">
        <v>232</v>
      </c>
      <c r="L53" s="9">
        <v>43.2</v>
      </c>
      <c r="M53" s="6" t="s">
        <v>59</v>
      </c>
      <c r="N53">
        <f>L53-_20210717210500_weatherstation_1__1[[#This Row],[Air Temperature]]</f>
        <v>10.200000000000003</v>
      </c>
      <c r="O53">
        <f>L53-_20210717210500_weatherstation_1__1[[#This Row],[Track Temperature]]</f>
        <v>-2.7999999999999972</v>
      </c>
    </row>
    <row r="54" spans="1:15" x14ac:dyDescent="0.25">
      <c r="A54" s="1">
        <v>44394.622916666667</v>
      </c>
      <c r="B54" s="2">
        <v>0.62291666666666667</v>
      </c>
      <c r="C54">
        <v>33.1</v>
      </c>
      <c r="D54">
        <v>46.3</v>
      </c>
      <c r="E54">
        <v>26</v>
      </c>
      <c r="F54">
        <v>989.9</v>
      </c>
      <c r="G54">
        <v>4.7</v>
      </c>
      <c r="I54" s="4" t="s">
        <v>95</v>
      </c>
      <c r="J54" s="4" t="s">
        <v>61</v>
      </c>
      <c r="K54" s="4" t="s">
        <v>233</v>
      </c>
      <c r="L54" s="12">
        <v>43.3</v>
      </c>
      <c r="M54" s="4" t="s">
        <v>57</v>
      </c>
      <c r="N54">
        <f>L54-_20210717210500_weatherstation_1__1[[#This Row],[Air Temperature]]</f>
        <v>10.199999999999996</v>
      </c>
      <c r="O54">
        <f>L54-_20210717210500_weatherstation_1__1[[#This Row],[Track Temperature]]</f>
        <v>-3</v>
      </c>
    </row>
    <row r="55" spans="1:15" x14ac:dyDescent="0.25">
      <c r="A55" s="1">
        <v>44394.623611111114</v>
      </c>
      <c r="B55" s="2">
        <v>0.62361111111111112</v>
      </c>
      <c r="C55">
        <v>33.299999999999997</v>
      </c>
      <c r="D55">
        <v>46.1</v>
      </c>
      <c r="E55">
        <v>26</v>
      </c>
      <c r="F55">
        <v>989.8</v>
      </c>
      <c r="G55">
        <v>3.2</v>
      </c>
      <c r="I55" s="6" t="s">
        <v>95</v>
      </c>
      <c r="J55" s="6" t="s">
        <v>63</v>
      </c>
      <c r="K55" s="6" t="s">
        <v>38</v>
      </c>
      <c r="L55" s="9">
        <v>43.3</v>
      </c>
      <c r="M55" s="6" t="s">
        <v>57</v>
      </c>
      <c r="N55">
        <f>L55-_20210717210500_weatherstation_1__1[[#This Row],[Air Temperature]]</f>
        <v>10</v>
      </c>
      <c r="O55">
        <f>L55-_20210717210500_weatherstation_1__1[[#This Row],[Track Temperature]]</f>
        <v>-2.8000000000000043</v>
      </c>
    </row>
    <row r="56" spans="1:15" x14ac:dyDescent="0.25">
      <c r="A56" s="1">
        <v>44394.624305555553</v>
      </c>
      <c r="B56" s="2">
        <v>0.62430555555555556</v>
      </c>
      <c r="C56">
        <v>33.1</v>
      </c>
      <c r="D56">
        <v>45.9</v>
      </c>
      <c r="E56">
        <v>25</v>
      </c>
      <c r="F56">
        <v>989.9</v>
      </c>
      <c r="G56">
        <v>5.4</v>
      </c>
      <c r="I56" s="4" t="s">
        <v>95</v>
      </c>
      <c r="J56" s="4" t="s">
        <v>65</v>
      </c>
      <c r="K56" s="4" t="s">
        <v>234</v>
      </c>
      <c r="L56" s="12">
        <v>43.1</v>
      </c>
      <c r="M56" s="4" t="s">
        <v>55</v>
      </c>
      <c r="N56">
        <f>L56-_20210717210500_weatherstation_1__1[[#This Row],[Air Temperature]]</f>
        <v>10</v>
      </c>
      <c r="O56">
        <f>L56-_20210717210500_weatherstation_1__1[[#This Row],[Track Temperature]]</f>
        <v>-2.7999999999999972</v>
      </c>
    </row>
    <row r="57" spans="1:15" x14ac:dyDescent="0.25">
      <c r="A57" s="1">
        <v>44394.625</v>
      </c>
      <c r="B57" s="2">
        <v>0.625</v>
      </c>
      <c r="C57">
        <v>32.9</v>
      </c>
      <c r="D57">
        <v>45.5</v>
      </c>
      <c r="E57">
        <v>25</v>
      </c>
      <c r="F57">
        <v>989.9</v>
      </c>
      <c r="G57">
        <v>6.5</v>
      </c>
      <c r="I57" s="6" t="s">
        <v>95</v>
      </c>
      <c r="J57" s="6" t="s">
        <v>67</v>
      </c>
      <c r="K57" s="6" t="s">
        <v>235</v>
      </c>
      <c r="L57" s="9">
        <v>41.5</v>
      </c>
      <c r="M57" s="6" t="s">
        <v>236</v>
      </c>
      <c r="N57">
        <f>L57-_20210717210500_weatherstation_1__1[[#This Row],[Air Temperature]]</f>
        <v>8.6000000000000014</v>
      </c>
      <c r="O57">
        <f>L57-_20210717210500_weatherstation_1__1[[#This Row],[Track Temperature]]</f>
        <v>-4</v>
      </c>
    </row>
    <row r="58" spans="1:15" x14ac:dyDescent="0.25">
      <c r="A58" s="1">
        <v>44394.625694444447</v>
      </c>
      <c r="B58" s="2">
        <v>0.62569444444444444</v>
      </c>
      <c r="C58">
        <v>32.9</v>
      </c>
      <c r="D58">
        <v>45.1</v>
      </c>
      <c r="E58">
        <v>26</v>
      </c>
      <c r="F58">
        <v>990</v>
      </c>
      <c r="G58">
        <v>3.2</v>
      </c>
      <c r="I58" s="4" t="s">
        <v>95</v>
      </c>
      <c r="J58" s="4" t="s">
        <v>70</v>
      </c>
      <c r="K58" s="4" t="s">
        <v>237</v>
      </c>
      <c r="L58" s="12">
        <v>42.4</v>
      </c>
      <c r="M58" s="4" t="s">
        <v>71</v>
      </c>
      <c r="N58">
        <f>L58-_20210717210500_weatherstation_1__1[[#This Row],[Air Temperature]]</f>
        <v>9.5</v>
      </c>
      <c r="O58">
        <f>L58-_20210717210500_weatherstation_1__1[[#This Row],[Track Temperature]]</f>
        <v>-2.7000000000000028</v>
      </c>
    </row>
    <row r="59" spans="1:15" x14ac:dyDescent="0.25">
      <c r="A59" s="1">
        <v>44394.626388888886</v>
      </c>
      <c r="B59" s="2">
        <v>0.62638888888888888</v>
      </c>
      <c r="C59">
        <v>32.799999999999997</v>
      </c>
      <c r="D59">
        <v>44.8</v>
      </c>
      <c r="E59">
        <v>26</v>
      </c>
      <c r="F59">
        <v>990</v>
      </c>
      <c r="G59">
        <v>3.6</v>
      </c>
      <c r="I59" s="6" t="s">
        <v>95</v>
      </c>
      <c r="J59" s="6" t="s">
        <v>72</v>
      </c>
      <c r="K59" s="6" t="s">
        <v>191</v>
      </c>
      <c r="L59" s="9">
        <v>42.8</v>
      </c>
      <c r="M59" s="6" t="s">
        <v>185</v>
      </c>
      <c r="N59">
        <f>L59-_20210717210500_weatherstation_1__1[[#This Row],[Air Temperature]]</f>
        <v>10</v>
      </c>
      <c r="O59">
        <f>L59-_20210717210500_weatherstation_1__1[[#This Row],[Track Temperature]]</f>
        <v>-2</v>
      </c>
    </row>
    <row r="60" spans="1:15" x14ac:dyDescent="0.25">
      <c r="A60" s="1">
        <v>44394.627083333333</v>
      </c>
      <c r="B60" s="2">
        <v>0.62708333333333333</v>
      </c>
      <c r="C60">
        <v>32.6</v>
      </c>
      <c r="D60">
        <v>44.6</v>
      </c>
      <c r="E60">
        <v>26</v>
      </c>
      <c r="F60">
        <v>990</v>
      </c>
      <c r="G60">
        <v>4.3</v>
      </c>
      <c r="I60" s="4" t="s">
        <v>95</v>
      </c>
      <c r="J60" s="4" t="s">
        <v>74</v>
      </c>
      <c r="K60" s="4" t="s">
        <v>239</v>
      </c>
      <c r="L60" s="12">
        <v>43</v>
      </c>
      <c r="M60" s="4" t="s">
        <v>75</v>
      </c>
      <c r="N60">
        <f>L60-_20210717210500_weatherstation_1__1[[#This Row],[Air Temperature]]</f>
        <v>10.399999999999999</v>
      </c>
      <c r="O60">
        <f>L60-_20210717210500_weatherstation_1__1[[#This Row],[Track Temperature]]</f>
        <v>-1.6000000000000014</v>
      </c>
    </row>
    <row r="61" spans="1:15" x14ac:dyDescent="0.25">
      <c r="A61" s="1">
        <v>44394.628472222219</v>
      </c>
      <c r="B61" s="2">
        <v>0.62847222222222221</v>
      </c>
      <c r="C61">
        <v>32.200000000000003</v>
      </c>
      <c r="D61">
        <v>44.3</v>
      </c>
      <c r="E61">
        <v>27</v>
      </c>
      <c r="F61">
        <v>990</v>
      </c>
      <c r="G61">
        <v>5.8</v>
      </c>
      <c r="I61" s="6" t="s">
        <v>95</v>
      </c>
      <c r="J61" s="6" t="s">
        <v>76</v>
      </c>
      <c r="K61" s="6" t="s">
        <v>240</v>
      </c>
      <c r="L61" s="9">
        <v>43.5</v>
      </c>
      <c r="M61" s="6" t="s">
        <v>71</v>
      </c>
      <c r="N61">
        <f>L61-_20210717210500_weatherstation_1__1[[#This Row],[Air Temperature]]</f>
        <v>11.299999999999997</v>
      </c>
      <c r="O61">
        <f>L61-_20210717210500_weatherstation_1__1[[#This Row],[Track Temperature]]</f>
        <v>-0.79999999999999716</v>
      </c>
    </row>
    <row r="62" spans="1:15" x14ac:dyDescent="0.25">
      <c r="A62" s="1">
        <v>44394.629166666666</v>
      </c>
      <c r="B62" s="2">
        <v>0.62916666666666665</v>
      </c>
      <c r="C62">
        <v>32.299999999999997</v>
      </c>
      <c r="D62">
        <v>44.4</v>
      </c>
      <c r="E62">
        <v>26</v>
      </c>
      <c r="F62">
        <v>989.9</v>
      </c>
      <c r="G62">
        <v>5</v>
      </c>
      <c r="I62" s="4" t="s">
        <v>96</v>
      </c>
      <c r="J62" s="4" t="s">
        <v>17</v>
      </c>
      <c r="K62" s="4" t="s">
        <v>241</v>
      </c>
      <c r="L62" s="12">
        <v>43.3</v>
      </c>
      <c r="M62" s="4" t="s">
        <v>59</v>
      </c>
      <c r="N62">
        <f>L62-_20210717210500_weatherstation_1__1[[#This Row],[Air Temperature]]</f>
        <v>11</v>
      </c>
      <c r="O62">
        <f>L62-_20210717210500_weatherstation_1__1[[#This Row],[Track Temperature]]</f>
        <v>-1.1000000000000014</v>
      </c>
    </row>
    <row r="63" spans="1:15" x14ac:dyDescent="0.25">
      <c r="A63" s="1">
        <v>44394.629861111112</v>
      </c>
      <c r="B63" s="2">
        <v>0.62986111111111109</v>
      </c>
      <c r="C63">
        <v>32.1</v>
      </c>
      <c r="D63">
        <v>44.2</v>
      </c>
      <c r="E63">
        <v>26</v>
      </c>
      <c r="F63">
        <v>990</v>
      </c>
      <c r="G63">
        <v>4</v>
      </c>
      <c r="I63" s="6" t="s">
        <v>96</v>
      </c>
      <c r="J63" s="6" t="s">
        <v>21</v>
      </c>
      <c r="K63" s="6" t="s">
        <v>174</v>
      </c>
      <c r="L63" s="9">
        <v>43.2</v>
      </c>
      <c r="M63" s="6" t="s">
        <v>104</v>
      </c>
      <c r="N63">
        <f>L63-_20210717210500_weatherstation_1__1[[#This Row],[Air Temperature]]</f>
        <v>11.100000000000001</v>
      </c>
      <c r="O63">
        <f>L63-_20210717210500_weatherstation_1__1[[#This Row],[Track Temperature]]</f>
        <v>-1</v>
      </c>
    </row>
    <row r="64" spans="1:15" x14ac:dyDescent="0.25">
      <c r="A64" s="1">
        <v>44394.630555555559</v>
      </c>
      <c r="B64" s="2">
        <v>0.63055555555555554</v>
      </c>
      <c r="C64">
        <v>32</v>
      </c>
      <c r="D64">
        <v>44.2</v>
      </c>
      <c r="E64">
        <v>26</v>
      </c>
      <c r="F64">
        <v>990.1</v>
      </c>
      <c r="G64">
        <v>5</v>
      </c>
      <c r="I64" s="4" t="s">
        <v>96</v>
      </c>
      <c r="J64" s="4" t="s">
        <v>80</v>
      </c>
      <c r="K64" s="4" t="s">
        <v>64</v>
      </c>
      <c r="L64" s="12">
        <v>43.1</v>
      </c>
      <c r="M64" s="4" t="s">
        <v>88</v>
      </c>
      <c r="N64">
        <f>L64-_20210717210500_weatherstation_1__1[[#This Row],[Air Temperature]]</f>
        <v>11.100000000000001</v>
      </c>
      <c r="O64">
        <f>L64-_20210717210500_weatherstation_1__1[[#This Row],[Track Temperature]]</f>
        <v>-1.1000000000000014</v>
      </c>
    </row>
    <row r="65" spans="1:15" x14ac:dyDescent="0.25">
      <c r="A65" s="1">
        <v>44394.631249999999</v>
      </c>
      <c r="B65" s="2">
        <v>0.63124999999999998</v>
      </c>
      <c r="C65">
        <v>31.9</v>
      </c>
      <c r="D65">
        <v>43.8</v>
      </c>
      <c r="E65">
        <v>27</v>
      </c>
      <c r="F65">
        <v>990</v>
      </c>
      <c r="G65">
        <v>3.2</v>
      </c>
      <c r="I65" s="6" t="s">
        <v>96</v>
      </c>
      <c r="J65" s="6" t="s">
        <v>81</v>
      </c>
      <c r="K65" s="6" t="s">
        <v>242</v>
      </c>
      <c r="L65" s="9">
        <v>42.3</v>
      </c>
      <c r="M65" s="6" t="s">
        <v>77</v>
      </c>
      <c r="N65">
        <f>L65-_20210717210500_weatherstation_1__1[[#This Row],[Air Temperature]]</f>
        <v>10.399999999999999</v>
      </c>
      <c r="O65">
        <f>L65-_20210717210500_weatherstation_1__1[[#This Row],[Track Temperature]]</f>
        <v>-1.5</v>
      </c>
    </row>
    <row r="66" spans="1:15" x14ac:dyDescent="0.25">
      <c r="A66" s="1">
        <v>44394.631944444445</v>
      </c>
      <c r="B66" s="2">
        <v>0.63194444444444442</v>
      </c>
      <c r="C66">
        <v>32.1</v>
      </c>
      <c r="D66">
        <v>43.8</v>
      </c>
      <c r="E66">
        <v>27</v>
      </c>
      <c r="F66">
        <v>990.1</v>
      </c>
      <c r="G66">
        <v>5.4</v>
      </c>
      <c r="I66" s="4" t="s">
        <v>96</v>
      </c>
      <c r="J66" s="4" t="s">
        <v>82</v>
      </c>
      <c r="K66" s="4" t="s">
        <v>18</v>
      </c>
      <c r="L66" s="12">
        <v>41.9</v>
      </c>
      <c r="M66" s="4" t="s">
        <v>68</v>
      </c>
      <c r="N66">
        <f>L66-_20210717210500_weatherstation_1__1[[#This Row],[Air Temperature]]</f>
        <v>9.7999999999999972</v>
      </c>
      <c r="O66">
        <f>L66-_20210717210500_weatherstation_1__1[[#This Row],[Track Temperature]]</f>
        <v>-1.8999999999999986</v>
      </c>
    </row>
    <row r="67" spans="1:15" x14ac:dyDescent="0.25">
      <c r="A67" s="1">
        <v>44394.632638888892</v>
      </c>
      <c r="B67" s="2">
        <v>0.63263888888888886</v>
      </c>
      <c r="C67">
        <v>32.1</v>
      </c>
      <c r="D67">
        <v>43.9</v>
      </c>
      <c r="E67">
        <v>27</v>
      </c>
      <c r="F67">
        <v>990</v>
      </c>
      <c r="G67">
        <v>2.2000000000000002</v>
      </c>
    </row>
    <row r="68" spans="1:15" x14ac:dyDescent="0.25">
      <c r="A68" s="1">
        <v>44394.633333333331</v>
      </c>
      <c r="B68" s="2">
        <v>0.6333333333333333</v>
      </c>
      <c r="C68">
        <v>32.299999999999997</v>
      </c>
      <c r="D68">
        <v>44.3</v>
      </c>
      <c r="E68">
        <v>27</v>
      </c>
      <c r="F68">
        <v>989.9</v>
      </c>
      <c r="G68">
        <v>3.2</v>
      </c>
    </row>
    <row r="69" spans="1:15" x14ac:dyDescent="0.25">
      <c r="A69" s="1">
        <v>44394.634027777778</v>
      </c>
      <c r="B69" s="2">
        <v>0.63402777777777775</v>
      </c>
      <c r="C69">
        <v>32.299999999999997</v>
      </c>
      <c r="D69">
        <v>44.3</v>
      </c>
      <c r="E69">
        <v>27</v>
      </c>
      <c r="F69">
        <v>989.9</v>
      </c>
      <c r="G69">
        <v>3.2</v>
      </c>
    </row>
    <row r="70" spans="1:15" x14ac:dyDescent="0.25">
      <c r="A70" s="1">
        <v>44394.634722222225</v>
      </c>
      <c r="B70" s="2">
        <v>0.63472222222222219</v>
      </c>
      <c r="C70">
        <v>32.299999999999997</v>
      </c>
      <c r="D70">
        <v>44.7</v>
      </c>
      <c r="E70">
        <v>27</v>
      </c>
      <c r="F70">
        <v>989.9</v>
      </c>
      <c r="G70">
        <v>5.8</v>
      </c>
    </row>
    <row r="71" spans="1:15" x14ac:dyDescent="0.25">
      <c r="A71" s="1">
        <v>44394.635416666664</v>
      </c>
      <c r="B71" s="2">
        <v>0.63541666666666663</v>
      </c>
      <c r="C71">
        <v>32.4</v>
      </c>
      <c r="D71">
        <v>44.7</v>
      </c>
      <c r="E71">
        <v>26</v>
      </c>
      <c r="F71">
        <v>989.8</v>
      </c>
      <c r="G71">
        <v>3.6</v>
      </c>
    </row>
    <row r="72" spans="1:15" x14ac:dyDescent="0.25">
      <c r="A72" s="1">
        <v>44394.637499999997</v>
      </c>
      <c r="B72" s="2">
        <v>0.63749999999999996</v>
      </c>
      <c r="C72">
        <v>32.299999999999997</v>
      </c>
      <c r="D72">
        <v>44.4</v>
      </c>
      <c r="E72">
        <v>26</v>
      </c>
      <c r="F72">
        <v>990</v>
      </c>
      <c r="G72">
        <v>5</v>
      </c>
    </row>
    <row r="73" spans="1:15" x14ac:dyDescent="0.25">
      <c r="A73" s="1">
        <v>44394.638194444444</v>
      </c>
      <c r="B73" s="2">
        <v>0.6381944444444444</v>
      </c>
      <c r="C73">
        <v>32.4</v>
      </c>
      <c r="D73">
        <v>45</v>
      </c>
      <c r="E73">
        <v>27</v>
      </c>
      <c r="F73">
        <v>989.9</v>
      </c>
      <c r="G73">
        <v>3.6</v>
      </c>
    </row>
    <row r="74" spans="1:15" x14ac:dyDescent="0.25">
      <c r="A74" s="1">
        <v>44394.638888888891</v>
      </c>
      <c r="B74" s="2">
        <v>0.63888888888888884</v>
      </c>
      <c r="C74">
        <v>32.5</v>
      </c>
      <c r="D74">
        <v>45</v>
      </c>
      <c r="E74">
        <v>27</v>
      </c>
      <c r="F74">
        <v>989.8</v>
      </c>
      <c r="G74">
        <v>4.3</v>
      </c>
    </row>
    <row r="75" spans="1:15" x14ac:dyDescent="0.25">
      <c r="A75" s="1">
        <v>44394.63958333333</v>
      </c>
      <c r="B75" s="2">
        <v>0.63958333333333328</v>
      </c>
      <c r="C75">
        <v>32.5</v>
      </c>
      <c r="D75">
        <v>45</v>
      </c>
      <c r="E75">
        <v>28</v>
      </c>
      <c r="F75">
        <v>990</v>
      </c>
      <c r="G75">
        <v>4.7</v>
      </c>
    </row>
    <row r="76" spans="1:15" x14ac:dyDescent="0.25">
      <c r="A76" s="1">
        <v>44394.640277777777</v>
      </c>
      <c r="B76" s="2">
        <v>0.64027777777777772</v>
      </c>
      <c r="C76">
        <v>32.4</v>
      </c>
      <c r="D76">
        <v>44.9</v>
      </c>
      <c r="E76">
        <v>27</v>
      </c>
      <c r="F76">
        <v>989.9</v>
      </c>
      <c r="G76">
        <v>6.1</v>
      </c>
    </row>
    <row r="77" spans="1:15" x14ac:dyDescent="0.25">
      <c r="A77" s="1">
        <v>44394.640972222223</v>
      </c>
      <c r="B77" s="2">
        <v>0.64097222222222228</v>
      </c>
      <c r="C77">
        <v>32.299999999999997</v>
      </c>
      <c r="D77">
        <v>44.5</v>
      </c>
      <c r="E77">
        <v>26</v>
      </c>
      <c r="F77">
        <v>990</v>
      </c>
      <c r="G77">
        <v>6.1</v>
      </c>
    </row>
    <row r="78" spans="1:15" x14ac:dyDescent="0.25">
      <c r="A78" s="1">
        <v>44394.64166666667</v>
      </c>
      <c r="B78" s="2">
        <v>0.64166666666666672</v>
      </c>
      <c r="C78">
        <v>32.299999999999997</v>
      </c>
      <c r="D78">
        <v>44.3</v>
      </c>
      <c r="E78">
        <v>29</v>
      </c>
      <c r="F78">
        <v>989.9</v>
      </c>
      <c r="G78">
        <v>5</v>
      </c>
    </row>
    <row r="79" spans="1:15" x14ac:dyDescent="0.25">
      <c r="A79" s="1">
        <v>44394.642361111109</v>
      </c>
      <c r="B79" s="2">
        <v>0.64236111111111116</v>
      </c>
      <c r="C79">
        <v>32.299999999999997</v>
      </c>
      <c r="D79">
        <v>44.5</v>
      </c>
      <c r="E79">
        <v>27</v>
      </c>
      <c r="F79">
        <v>989.9</v>
      </c>
      <c r="G79">
        <v>5.4</v>
      </c>
    </row>
    <row r="80" spans="1:15" x14ac:dyDescent="0.25">
      <c r="A80" s="1">
        <v>44394.643055555556</v>
      </c>
      <c r="B80" s="2">
        <v>0.6430555555555556</v>
      </c>
      <c r="C80">
        <v>32.4</v>
      </c>
      <c r="D80">
        <v>44.3</v>
      </c>
      <c r="E80">
        <v>27</v>
      </c>
      <c r="F80">
        <v>989.9</v>
      </c>
      <c r="G80">
        <v>3.6</v>
      </c>
    </row>
    <row r="81" spans="1:7" x14ac:dyDescent="0.25">
      <c r="A81" s="1">
        <v>44394.643750000003</v>
      </c>
      <c r="B81" s="2">
        <v>0.64375000000000004</v>
      </c>
      <c r="C81">
        <v>32.299999999999997</v>
      </c>
      <c r="D81">
        <v>44.3</v>
      </c>
      <c r="E81">
        <v>26</v>
      </c>
      <c r="F81">
        <v>989.9</v>
      </c>
      <c r="G81">
        <v>7.9</v>
      </c>
    </row>
    <row r="82" spans="1:7" x14ac:dyDescent="0.25">
      <c r="A82" s="1">
        <v>44394.644444444442</v>
      </c>
      <c r="B82" s="2">
        <v>0.64444444444444449</v>
      </c>
      <c r="C82">
        <v>32.200000000000003</v>
      </c>
      <c r="D82">
        <v>43.7</v>
      </c>
      <c r="E82">
        <v>27</v>
      </c>
      <c r="F82">
        <v>989.9</v>
      </c>
      <c r="G82">
        <v>5</v>
      </c>
    </row>
    <row r="83" spans="1:7" x14ac:dyDescent="0.25">
      <c r="A83" s="1">
        <v>44394.645138888889</v>
      </c>
      <c r="B83" s="2">
        <v>0.64513888888888893</v>
      </c>
      <c r="C83">
        <v>32.299999999999997</v>
      </c>
      <c r="D83">
        <v>43.7</v>
      </c>
      <c r="E83">
        <v>26</v>
      </c>
      <c r="F83">
        <v>989.8</v>
      </c>
      <c r="G83">
        <v>3.2</v>
      </c>
    </row>
    <row r="84" spans="1:7" x14ac:dyDescent="0.25">
      <c r="A84" s="1">
        <v>44394.645833333336</v>
      </c>
      <c r="B84" s="2">
        <v>0.64583333333333337</v>
      </c>
      <c r="C84">
        <v>32.200000000000003</v>
      </c>
      <c r="D84">
        <v>43.4</v>
      </c>
      <c r="E84">
        <v>27</v>
      </c>
      <c r="F84">
        <v>989.9</v>
      </c>
      <c r="G84">
        <v>2.5</v>
      </c>
    </row>
    <row r="85" spans="1:7" x14ac:dyDescent="0.25">
      <c r="A85" s="1">
        <v>44394.646527777775</v>
      </c>
      <c r="B85" s="2">
        <v>0.64652777777777781</v>
      </c>
      <c r="C85">
        <v>32.200000000000003</v>
      </c>
      <c r="D85">
        <v>43.3</v>
      </c>
      <c r="E85">
        <v>28</v>
      </c>
      <c r="F85">
        <v>989.9</v>
      </c>
      <c r="G85">
        <v>2.9</v>
      </c>
    </row>
    <row r="86" spans="1:7" x14ac:dyDescent="0.25">
      <c r="A86" s="1">
        <v>44394.647222222222</v>
      </c>
      <c r="B86" s="2">
        <v>0.64722222222222225</v>
      </c>
      <c r="C86">
        <v>32.299999999999997</v>
      </c>
      <c r="D86">
        <v>43.4</v>
      </c>
      <c r="E86">
        <v>27</v>
      </c>
      <c r="F86">
        <v>989.9</v>
      </c>
      <c r="G86">
        <v>4</v>
      </c>
    </row>
    <row r="87" spans="1:7" x14ac:dyDescent="0.25">
      <c r="A87" s="1">
        <v>44394.647916666669</v>
      </c>
      <c r="B87" s="2">
        <v>0.6479166666666667</v>
      </c>
      <c r="C87">
        <v>32.4</v>
      </c>
      <c r="D87">
        <v>43.7</v>
      </c>
      <c r="E87">
        <v>27</v>
      </c>
      <c r="F87">
        <v>990</v>
      </c>
      <c r="G87">
        <v>4.7</v>
      </c>
    </row>
    <row r="88" spans="1:7" x14ac:dyDescent="0.25">
      <c r="A88" s="1">
        <v>44394.648611111108</v>
      </c>
      <c r="B88" s="2">
        <v>0.64861111111111114</v>
      </c>
      <c r="C88">
        <v>32.4</v>
      </c>
      <c r="D88">
        <v>43.7</v>
      </c>
      <c r="E88">
        <v>27</v>
      </c>
      <c r="F88">
        <v>990</v>
      </c>
      <c r="G88">
        <v>4.7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53A1-C254-4CAA-856D-C870120BCEFB}">
  <dimension ref="A1:E22"/>
  <sheetViews>
    <sheetView zoomScale="70" zoomScaleNormal="70" workbookViewId="0">
      <selection activeCell="C25" sqref="C25"/>
    </sheetView>
  </sheetViews>
  <sheetFormatPr defaultRowHeight="15" x14ac:dyDescent="0.25"/>
  <cols>
    <col min="1" max="1" width="81.140625" bestFit="1" customWidth="1"/>
    <col min="2" max="2" width="17" bestFit="1" customWidth="1"/>
    <col min="3" max="3" width="18.5703125" bestFit="1" customWidth="1"/>
    <col min="4" max="4" width="16.42578125" bestFit="1" customWidth="1"/>
    <col min="5" max="5" width="16.140625" bestFit="1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</row>
    <row r="3" spans="1:5" x14ac:dyDescent="0.25">
      <c r="A3" s="3" t="s">
        <v>256</v>
      </c>
      <c r="B3" s="3" t="s">
        <v>238</v>
      </c>
      <c r="C3" s="3" t="s">
        <v>88</v>
      </c>
      <c r="D3" s="3" t="s">
        <v>102</v>
      </c>
      <c r="E3" s="3" t="s">
        <v>109</v>
      </c>
    </row>
    <row r="4" spans="1:5" x14ac:dyDescent="0.25">
      <c r="A4" s="3" t="s">
        <v>257</v>
      </c>
      <c r="B4" s="3" t="s">
        <v>248</v>
      </c>
      <c r="C4" s="3" t="s">
        <v>135</v>
      </c>
      <c r="D4" s="3" t="s">
        <v>102</v>
      </c>
      <c r="E4" s="3" t="s">
        <v>109</v>
      </c>
    </row>
    <row r="5" spans="1:5" x14ac:dyDescent="0.25">
      <c r="A5" s="3" t="s">
        <v>258</v>
      </c>
      <c r="B5" s="3" t="s">
        <v>259</v>
      </c>
      <c r="C5" s="3" t="s">
        <v>243</v>
      </c>
      <c r="D5" s="3" t="s">
        <v>102</v>
      </c>
      <c r="E5" s="3" t="s">
        <v>111</v>
      </c>
    </row>
    <row r="6" spans="1:5" x14ac:dyDescent="0.25">
      <c r="A6" s="3" t="s">
        <v>260</v>
      </c>
      <c r="B6" s="3" t="s">
        <v>255</v>
      </c>
      <c r="C6" s="3" t="s">
        <v>45</v>
      </c>
      <c r="D6" s="3" t="s">
        <v>102</v>
      </c>
      <c r="E6" s="3" t="s">
        <v>113</v>
      </c>
    </row>
    <row r="7" spans="1:5" x14ac:dyDescent="0.25">
      <c r="A7" s="3" t="s">
        <v>261</v>
      </c>
      <c r="B7" s="3" t="s">
        <v>182</v>
      </c>
      <c r="C7" s="3" t="s">
        <v>244</v>
      </c>
      <c r="D7" s="3" t="s">
        <v>102</v>
      </c>
      <c r="E7" s="3" t="s">
        <v>117</v>
      </c>
    </row>
    <row r="8" spans="1:5" x14ac:dyDescent="0.25">
      <c r="A8" s="3" t="s">
        <v>262</v>
      </c>
      <c r="B8" s="3" t="s">
        <v>252</v>
      </c>
      <c r="C8" s="3" t="s">
        <v>246</v>
      </c>
      <c r="D8" s="3" t="s">
        <v>102</v>
      </c>
      <c r="E8" s="3" t="s">
        <v>120</v>
      </c>
    </row>
    <row r="9" spans="1:5" x14ac:dyDescent="0.25">
      <c r="A9" s="3" t="s">
        <v>263</v>
      </c>
      <c r="B9" s="3" t="s">
        <v>264</v>
      </c>
      <c r="C9" s="3" t="s">
        <v>245</v>
      </c>
      <c r="D9" s="3" t="s">
        <v>102</v>
      </c>
      <c r="E9" s="3" t="s">
        <v>123</v>
      </c>
    </row>
    <row r="10" spans="1:5" x14ac:dyDescent="0.25">
      <c r="A10" s="3" t="s">
        <v>265</v>
      </c>
      <c r="B10" s="3" t="s">
        <v>255</v>
      </c>
      <c r="C10" s="3" t="s">
        <v>247</v>
      </c>
      <c r="D10" s="3" t="s">
        <v>102</v>
      </c>
      <c r="E10" s="3" t="s">
        <v>128</v>
      </c>
    </row>
    <row r="11" spans="1:5" x14ac:dyDescent="0.25">
      <c r="A11" s="3" t="s">
        <v>266</v>
      </c>
      <c r="B11" s="3" t="s">
        <v>267</v>
      </c>
      <c r="C11" s="3" t="s">
        <v>79</v>
      </c>
      <c r="D11" s="3" t="s">
        <v>102</v>
      </c>
      <c r="E11" s="3" t="s">
        <v>130</v>
      </c>
    </row>
    <row r="12" spans="1:5" x14ac:dyDescent="0.25">
      <c r="A12" s="3" t="s">
        <v>268</v>
      </c>
      <c r="B12" s="3" t="s">
        <v>249</v>
      </c>
      <c r="C12" s="3" t="s">
        <v>32</v>
      </c>
      <c r="D12" s="3" t="s">
        <v>102</v>
      </c>
      <c r="E12" s="3" t="s">
        <v>132</v>
      </c>
    </row>
    <row r="13" spans="1:5" x14ac:dyDescent="0.25">
      <c r="A13" s="3" t="s">
        <v>269</v>
      </c>
      <c r="B13" s="3" t="s">
        <v>251</v>
      </c>
      <c r="C13" s="3" t="s">
        <v>127</v>
      </c>
      <c r="D13" s="3" t="s">
        <v>102</v>
      </c>
      <c r="E13" s="3" t="s">
        <v>20</v>
      </c>
    </row>
    <row r="14" spans="1:5" x14ac:dyDescent="0.25">
      <c r="A14" s="3" t="s">
        <v>270</v>
      </c>
      <c r="B14" s="3" t="s">
        <v>250</v>
      </c>
      <c r="C14" s="3" t="s">
        <v>115</v>
      </c>
      <c r="D14" s="3" t="s">
        <v>102</v>
      </c>
      <c r="E14" s="3" t="s">
        <v>24</v>
      </c>
    </row>
    <row r="15" spans="1:5" x14ac:dyDescent="0.25">
      <c r="A15" s="3" t="s">
        <v>271</v>
      </c>
      <c r="B15" s="3" t="s">
        <v>272</v>
      </c>
      <c r="C15" s="3" t="s">
        <v>53</v>
      </c>
      <c r="D15" s="3" t="s">
        <v>102</v>
      </c>
      <c r="E15" s="3" t="s">
        <v>25</v>
      </c>
    </row>
    <row r="16" spans="1:5" x14ac:dyDescent="0.25">
      <c r="A16" s="3" t="s">
        <v>273</v>
      </c>
      <c r="B16" s="3" t="s">
        <v>253</v>
      </c>
      <c r="C16" s="3" t="s">
        <v>57</v>
      </c>
      <c r="D16" s="3" t="s">
        <v>102</v>
      </c>
      <c r="E16" s="3" t="s">
        <v>27</v>
      </c>
    </row>
    <row r="17" spans="1:5" x14ac:dyDescent="0.25">
      <c r="A17" s="3" t="s">
        <v>274</v>
      </c>
      <c r="B17" s="3" t="s">
        <v>211</v>
      </c>
      <c r="C17" s="3" t="s">
        <v>66</v>
      </c>
      <c r="D17" s="3" t="s">
        <v>102</v>
      </c>
      <c r="E17" s="3" t="s">
        <v>29</v>
      </c>
    </row>
    <row r="18" spans="1:5" x14ac:dyDescent="0.25">
      <c r="A18" s="3" t="s">
        <v>275</v>
      </c>
      <c r="B18" s="3" t="s">
        <v>254</v>
      </c>
      <c r="C18" s="3" t="s">
        <v>236</v>
      </c>
      <c r="D18" s="3" t="s">
        <v>102</v>
      </c>
      <c r="E18" s="3" t="s">
        <v>34</v>
      </c>
    </row>
    <row r="19" spans="1:5" x14ac:dyDescent="0.25">
      <c r="A19" s="3" t="s">
        <v>276</v>
      </c>
      <c r="B19" s="3" t="s">
        <v>211</v>
      </c>
      <c r="C19" s="3" t="s">
        <v>139</v>
      </c>
      <c r="D19" s="3" t="s">
        <v>102</v>
      </c>
      <c r="E19" s="3" t="s">
        <v>35</v>
      </c>
    </row>
    <row r="20" spans="1:5" x14ac:dyDescent="0.25">
      <c r="A20" s="3" t="s">
        <v>165</v>
      </c>
      <c r="B20" s="3" t="s">
        <v>253</v>
      </c>
      <c r="C20" s="3" t="s">
        <v>79</v>
      </c>
      <c r="D20" s="3" t="s">
        <v>102</v>
      </c>
      <c r="E20" s="3" t="s">
        <v>36</v>
      </c>
    </row>
    <row r="21" spans="1:5" x14ac:dyDescent="0.25">
      <c r="A21" s="3" t="s">
        <v>277</v>
      </c>
      <c r="B21" s="3" t="s">
        <v>249</v>
      </c>
      <c r="C21" s="3" t="s">
        <v>26</v>
      </c>
      <c r="D21" s="3" t="s">
        <v>102</v>
      </c>
      <c r="E21" s="3" t="s">
        <v>37</v>
      </c>
    </row>
    <row r="22" spans="1:5" x14ac:dyDescent="0.25">
      <c r="A22" s="3" t="s">
        <v>278</v>
      </c>
      <c r="B22" s="3" t="s">
        <v>279</v>
      </c>
      <c r="C22" s="3" t="s">
        <v>245</v>
      </c>
      <c r="D22" s="3" t="s">
        <v>102</v>
      </c>
      <c r="E22" s="3" t="s">
        <v>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82C8-6C79-4E9D-AFF5-DBA6CC00CD24}">
  <dimension ref="A1:O21"/>
  <sheetViews>
    <sheetView tabSelected="1" zoomScale="55" zoomScaleNormal="55" workbookViewId="0">
      <selection activeCell="O31" sqref="O31"/>
    </sheetView>
  </sheetViews>
  <sheetFormatPr defaultRowHeight="15" x14ac:dyDescent="0.25"/>
  <cols>
    <col min="1" max="1" width="14.85546875" bestFit="1" customWidth="1"/>
    <col min="2" max="2" width="10.42578125" bestFit="1" customWidth="1"/>
    <col min="3" max="3" width="18" bestFit="1" customWidth="1"/>
    <col min="4" max="4" width="20.140625" bestFit="1" customWidth="1"/>
    <col min="5" max="5" width="11.42578125" bestFit="1" customWidth="1"/>
    <col min="6" max="6" width="11" bestFit="1" customWidth="1"/>
    <col min="7" max="7" width="22.140625" bestFit="1" customWidth="1"/>
    <col min="8" max="8" width="3.7109375" customWidth="1"/>
    <col min="9" max="9" width="15.42578125" style="25" bestFit="1" customWidth="1"/>
    <col min="10" max="10" width="16.5703125" style="25" bestFit="1" customWidth="1"/>
    <col min="11" max="11" width="18.85546875" style="25" bestFit="1" customWidth="1"/>
    <col min="12" max="12" width="16.7109375" style="25" bestFit="1" customWidth="1"/>
    <col min="13" max="13" width="16.5703125" style="25" bestFit="1" customWidth="1"/>
    <col min="14" max="14" width="13.5703125" bestFit="1" customWidth="1"/>
    <col min="15" max="15" width="16.28515625" bestFit="1" customWidth="1"/>
  </cols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2" t="s">
        <v>12</v>
      </c>
      <c r="J1" s="23" t="s">
        <v>13</v>
      </c>
      <c r="K1" s="23" t="s">
        <v>14</v>
      </c>
      <c r="L1" s="23" t="s">
        <v>15</v>
      </c>
      <c r="M1" s="24" t="s">
        <v>16</v>
      </c>
      <c r="N1" s="7" t="s">
        <v>176</v>
      </c>
      <c r="O1" s="8" t="s">
        <v>177</v>
      </c>
    </row>
    <row r="2" spans="1:15" x14ac:dyDescent="0.25">
      <c r="A2" s="1">
        <v>44394.76458333333</v>
      </c>
      <c r="B2" s="2">
        <v>0.76458333333333328</v>
      </c>
      <c r="C2">
        <v>31.4</v>
      </c>
      <c r="D2">
        <v>38.299999999999997</v>
      </c>
      <c r="E2">
        <v>44</v>
      </c>
      <c r="F2">
        <v>989.6</v>
      </c>
      <c r="G2">
        <v>2.2000000000000002</v>
      </c>
      <c r="I2" s="17">
        <v>8.5150000000000006</v>
      </c>
      <c r="J2" s="12">
        <v>35.9</v>
      </c>
      <c r="K2" s="12">
        <v>29.9</v>
      </c>
      <c r="L2" s="12">
        <v>18</v>
      </c>
      <c r="M2" s="19">
        <v>21</v>
      </c>
      <c r="N2">
        <f>J2-_20210717210500_weatherstation_1__2[[#This Row],[Air Temperature]]</f>
        <v>4.5</v>
      </c>
      <c r="O2">
        <f>J2-_20210717210500_weatherstation_1__2[[#This Row],[Track Temperature]]</f>
        <v>-2.3999999999999986</v>
      </c>
    </row>
    <row r="3" spans="1:15" x14ac:dyDescent="0.25">
      <c r="A3" s="1">
        <v>44394.765277777777</v>
      </c>
      <c r="B3" s="2">
        <v>0.76527777777777772</v>
      </c>
      <c r="C3">
        <v>31.4</v>
      </c>
      <c r="D3">
        <v>38.5</v>
      </c>
      <c r="E3">
        <v>44</v>
      </c>
      <c r="F3">
        <v>989.5</v>
      </c>
      <c r="G3">
        <v>2.2000000000000002</v>
      </c>
      <c r="I3" s="14">
        <v>8.4960000000000004</v>
      </c>
      <c r="J3" s="9">
        <v>37</v>
      </c>
      <c r="K3" s="9">
        <v>30.9</v>
      </c>
      <c r="L3" s="9">
        <v>18</v>
      </c>
      <c r="M3" s="16">
        <v>22</v>
      </c>
      <c r="N3">
        <f>J3-_20210717210500_weatherstation_1__2[[#This Row],[Air Temperature]]</f>
        <v>5.6000000000000014</v>
      </c>
      <c r="O3">
        <f>J3-_20210717210500_weatherstation_1__2[[#This Row],[Track Temperature]]</f>
        <v>-1.5</v>
      </c>
    </row>
    <row r="4" spans="1:15" x14ac:dyDescent="0.25">
      <c r="A4" s="1">
        <v>44394.765972222223</v>
      </c>
      <c r="B4" s="2">
        <v>0.76597222222222228</v>
      </c>
      <c r="C4">
        <v>31.4</v>
      </c>
      <c r="D4">
        <v>38.5</v>
      </c>
      <c r="E4">
        <v>45</v>
      </c>
      <c r="F4">
        <v>989.6</v>
      </c>
      <c r="G4">
        <v>1.8</v>
      </c>
      <c r="I4" s="17">
        <v>8.093</v>
      </c>
      <c r="J4" s="12">
        <v>37.1</v>
      </c>
      <c r="K4" s="12">
        <v>29.8</v>
      </c>
      <c r="L4" s="12">
        <v>18</v>
      </c>
      <c r="M4" s="19">
        <v>23</v>
      </c>
      <c r="N4">
        <f>J4-_20210717210500_weatherstation_1__2[[#This Row],[Air Temperature]]</f>
        <v>5.7000000000000028</v>
      </c>
      <c r="O4">
        <f>J4-_20210717210500_weatherstation_1__2[[#This Row],[Track Temperature]]</f>
        <v>-1.3999999999999986</v>
      </c>
    </row>
    <row r="5" spans="1:15" x14ac:dyDescent="0.25">
      <c r="A5" s="1">
        <v>44394.76666666667</v>
      </c>
      <c r="B5" s="2">
        <v>0.76666666666666672</v>
      </c>
      <c r="C5">
        <v>31.4</v>
      </c>
      <c r="D5">
        <v>38.200000000000003</v>
      </c>
      <c r="E5">
        <v>46</v>
      </c>
      <c r="F5">
        <v>989.6</v>
      </c>
      <c r="G5">
        <v>1.4</v>
      </c>
      <c r="I5" s="14">
        <v>9.48</v>
      </c>
      <c r="J5" s="9">
        <v>37.6</v>
      </c>
      <c r="K5" s="9">
        <v>30.4</v>
      </c>
      <c r="L5" s="9">
        <v>18</v>
      </c>
      <c r="M5" s="16">
        <v>24</v>
      </c>
      <c r="N5">
        <f>J5-_20210717210500_weatherstation_1__2[[#This Row],[Air Temperature]]</f>
        <v>6.2000000000000028</v>
      </c>
      <c r="O5">
        <f>J5-_20210717210500_weatherstation_1__2[[#This Row],[Track Temperature]]</f>
        <v>-0.60000000000000142</v>
      </c>
    </row>
    <row r="6" spans="1:15" x14ac:dyDescent="0.25">
      <c r="A6" s="1">
        <v>44394.767361111109</v>
      </c>
      <c r="B6" s="2">
        <v>0.76736111111111116</v>
      </c>
      <c r="C6">
        <v>31.4</v>
      </c>
      <c r="D6">
        <v>38.4</v>
      </c>
      <c r="E6">
        <v>46</v>
      </c>
      <c r="F6">
        <v>989.6</v>
      </c>
      <c r="G6">
        <v>4</v>
      </c>
      <c r="I6" s="17">
        <v>9.5879999999999992</v>
      </c>
      <c r="J6" s="12">
        <v>37.299999999999997</v>
      </c>
      <c r="K6" s="12">
        <v>30</v>
      </c>
      <c r="L6" s="12">
        <v>18</v>
      </c>
      <c r="M6" s="19">
        <v>25</v>
      </c>
      <c r="N6">
        <f>J6-_20210717210500_weatherstation_1__2[[#This Row],[Air Temperature]]</f>
        <v>5.8999999999999986</v>
      </c>
      <c r="O6">
        <f>J6-_20210717210500_weatherstation_1__2[[#This Row],[Track Temperature]]</f>
        <v>-1.1000000000000014</v>
      </c>
    </row>
    <row r="7" spans="1:15" x14ac:dyDescent="0.25">
      <c r="A7" s="1">
        <v>44394.768055555556</v>
      </c>
      <c r="B7" s="2">
        <v>0.7680555555555556</v>
      </c>
      <c r="C7">
        <v>31.3</v>
      </c>
      <c r="D7">
        <v>38.4</v>
      </c>
      <c r="E7">
        <v>47</v>
      </c>
      <c r="F7">
        <v>989.6</v>
      </c>
      <c r="G7">
        <v>5</v>
      </c>
      <c r="I7" s="14">
        <v>7.9509999999999996</v>
      </c>
      <c r="J7" s="9">
        <v>37</v>
      </c>
      <c r="K7" s="9">
        <v>30.8</v>
      </c>
      <c r="L7" s="9">
        <v>18</v>
      </c>
      <c r="M7" s="16">
        <v>26</v>
      </c>
      <c r="N7">
        <f>J7-_20210717210500_weatherstation_1__2[[#This Row],[Air Temperature]]</f>
        <v>5.6999999999999993</v>
      </c>
      <c r="O7">
        <f>J7-_20210717210500_weatherstation_1__2[[#This Row],[Track Temperature]]</f>
        <v>-1.3999999999999986</v>
      </c>
    </row>
    <row r="8" spans="1:15" x14ac:dyDescent="0.25">
      <c r="A8" s="1">
        <v>44394.768750000003</v>
      </c>
      <c r="B8" s="2">
        <v>0.76875000000000004</v>
      </c>
      <c r="C8">
        <v>31.3</v>
      </c>
      <c r="D8">
        <v>38.4</v>
      </c>
      <c r="E8">
        <v>47</v>
      </c>
      <c r="F8">
        <v>989.6</v>
      </c>
      <c r="G8">
        <v>2.5</v>
      </c>
      <c r="I8" s="14">
        <v>7.9509999999999996</v>
      </c>
      <c r="J8" s="9">
        <v>37</v>
      </c>
      <c r="K8" s="9">
        <v>30.8</v>
      </c>
      <c r="L8" s="9">
        <v>18</v>
      </c>
      <c r="M8" s="16">
        <v>27</v>
      </c>
      <c r="N8">
        <f>J8-_20210717210500_weatherstation_1__2[[#This Row],[Air Temperature]]</f>
        <v>5.6999999999999993</v>
      </c>
      <c r="O8">
        <f>J8-_20210717210500_weatherstation_1__2[[#This Row],[Track Temperature]]</f>
        <v>-1.3999999999999986</v>
      </c>
    </row>
    <row r="9" spans="1:15" x14ac:dyDescent="0.25">
      <c r="A9" s="1">
        <v>44394.769444444442</v>
      </c>
      <c r="B9" s="2">
        <v>0.76944444444444449</v>
      </c>
      <c r="C9">
        <v>31.3</v>
      </c>
      <c r="D9">
        <v>38.4</v>
      </c>
      <c r="E9">
        <v>47</v>
      </c>
      <c r="F9">
        <v>989.7</v>
      </c>
      <c r="G9">
        <v>2.9</v>
      </c>
      <c r="I9" s="17">
        <v>7.0039999999999996</v>
      </c>
      <c r="J9" s="12">
        <v>36.9</v>
      </c>
      <c r="K9" s="12">
        <v>31.3</v>
      </c>
      <c r="L9" s="12">
        <v>18</v>
      </c>
      <c r="M9" s="19">
        <v>28</v>
      </c>
      <c r="N9">
        <f>J9-_20210717210500_weatherstation_1__2[[#This Row],[Air Temperature]]</f>
        <v>5.5999999999999979</v>
      </c>
      <c r="O9">
        <f>J9-_20210717210500_weatherstation_1__2[[#This Row],[Track Temperature]]</f>
        <v>-1.5</v>
      </c>
    </row>
    <row r="10" spans="1:15" x14ac:dyDescent="0.25">
      <c r="A10" s="1">
        <v>44394.770138888889</v>
      </c>
      <c r="B10" s="2">
        <v>0.77013888888888893</v>
      </c>
      <c r="C10">
        <v>31.4</v>
      </c>
      <c r="D10">
        <v>38.4</v>
      </c>
      <c r="E10">
        <v>47</v>
      </c>
      <c r="F10">
        <v>989.7</v>
      </c>
      <c r="G10">
        <v>1.8</v>
      </c>
      <c r="I10" s="14">
        <v>6.0570000000000004</v>
      </c>
      <c r="J10" s="9">
        <v>36.799999999999997</v>
      </c>
      <c r="K10" s="9">
        <v>31.8</v>
      </c>
      <c r="L10" s="9">
        <v>18</v>
      </c>
      <c r="M10" s="16">
        <v>29</v>
      </c>
      <c r="N10">
        <f>J10-_20210717210500_weatherstation_1__2[[#This Row],[Air Temperature]]</f>
        <v>5.3999999999999986</v>
      </c>
      <c r="O10">
        <f>J10-_20210717210500_weatherstation_1__2[[#This Row],[Track Temperature]]</f>
        <v>-1.6000000000000014</v>
      </c>
    </row>
    <row r="11" spans="1:15" x14ac:dyDescent="0.25">
      <c r="A11" s="1">
        <v>44394.770833333336</v>
      </c>
      <c r="B11" s="2">
        <v>0.77083333333333337</v>
      </c>
      <c r="C11">
        <v>31.2</v>
      </c>
      <c r="D11">
        <v>38</v>
      </c>
      <c r="E11">
        <v>48</v>
      </c>
      <c r="F11">
        <v>989.7</v>
      </c>
      <c r="G11">
        <v>2.2000000000000002</v>
      </c>
      <c r="I11" s="17">
        <v>5.1109999999999998</v>
      </c>
      <c r="J11" s="12">
        <v>36.6</v>
      </c>
      <c r="K11" s="12">
        <v>32.299999999999997</v>
      </c>
      <c r="L11" s="12">
        <v>18</v>
      </c>
      <c r="M11" s="19">
        <v>30</v>
      </c>
      <c r="N11">
        <f>J11-_20210717210500_weatherstation_1__2[[#This Row],[Air Temperature]]</f>
        <v>5.4000000000000021</v>
      </c>
      <c r="O11">
        <f>J11-_20210717210500_weatherstation_1__2[[#This Row],[Track Temperature]]</f>
        <v>-1.3999999999999986</v>
      </c>
    </row>
    <row r="12" spans="1:15" x14ac:dyDescent="0.25">
      <c r="A12" s="1">
        <v>44394.771527777775</v>
      </c>
      <c r="B12" s="2">
        <v>0.77152777777777781</v>
      </c>
      <c r="C12">
        <v>31.2</v>
      </c>
      <c r="D12">
        <v>38</v>
      </c>
      <c r="E12">
        <v>48</v>
      </c>
      <c r="F12">
        <v>989.7</v>
      </c>
      <c r="G12">
        <v>2.9</v>
      </c>
      <c r="I12" s="14">
        <v>4.1639999999999997</v>
      </c>
      <c r="J12" s="9">
        <v>36.5</v>
      </c>
      <c r="K12" s="9">
        <v>32.799999999999997</v>
      </c>
      <c r="L12" s="9">
        <v>18</v>
      </c>
      <c r="M12" s="16">
        <v>31</v>
      </c>
      <c r="N12">
        <f>J12-_20210717210500_weatherstation_1__2[[#This Row],[Air Temperature]]</f>
        <v>5.3000000000000007</v>
      </c>
      <c r="O12">
        <f>J12-_20210717210500_weatherstation_1__2[[#This Row],[Track Temperature]]</f>
        <v>-1.5</v>
      </c>
    </row>
    <row r="13" spans="1:15" x14ac:dyDescent="0.25">
      <c r="A13" s="1">
        <v>44394.772222222222</v>
      </c>
      <c r="B13" s="2">
        <v>0.77222222222222225</v>
      </c>
      <c r="C13">
        <v>31.1</v>
      </c>
      <c r="D13">
        <v>37.9</v>
      </c>
      <c r="E13">
        <v>49</v>
      </c>
      <c r="F13">
        <v>989.8</v>
      </c>
      <c r="G13">
        <v>1.1000000000000001</v>
      </c>
      <c r="I13" s="17">
        <v>3.218</v>
      </c>
      <c r="J13" s="12">
        <v>36.4</v>
      </c>
      <c r="K13" s="12">
        <v>33.200000000000003</v>
      </c>
      <c r="L13" s="12">
        <v>18</v>
      </c>
      <c r="M13" s="19">
        <v>32</v>
      </c>
      <c r="N13">
        <f>J13-_20210717210500_weatherstation_1__2[[#This Row],[Air Temperature]]</f>
        <v>5.2999999999999972</v>
      </c>
      <c r="O13">
        <f>J13-_20210717210500_weatherstation_1__2[[#This Row],[Track Temperature]]</f>
        <v>-1.5</v>
      </c>
    </row>
    <row r="14" spans="1:15" x14ac:dyDescent="0.25">
      <c r="A14" s="1">
        <v>44394.772916666669</v>
      </c>
      <c r="B14" s="2">
        <v>0.7729166666666667</v>
      </c>
      <c r="C14">
        <v>31.1</v>
      </c>
      <c r="D14">
        <v>37.799999999999997</v>
      </c>
      <c r="E14">
        <v>49</v>
      </c>
      <c r="F14">
        <v>989.8</v>
      </c>
      <c r="G14">
        <v>2.9</v>
      </c>
      <c r="I14" s="14">
        <v>2.2709999999999999</v>
      </c>
      <c r="J14" s="9">
        <v>36.200000000000003</v>
      </c>
      <c r="K14" s="9">
        <v>33.700000000000003</v>
      </c>
      <c r="L14" s="9">
        <v>18</v>
      </c>
      <c r="M14" s="16">
        <v>33</v>
      </c>
      <c r="N14">
        <f>J14-_20210717210500_weatherstation_1__2[[#This Row],[Air Temperature]]</f>
        <v>5.1000000000000014</v>
      </c>
      <c r="O14">
        <f>J14-_20210717210500_weatherstation_1__2[[#This Row],[Track Temperature]]</f>
        <v>-1.5999999999999943</v>
      </c>
    </row>
    <row r="15" spans="1:15" x14ac:dyDescent="0.25">
      <c r="A15" s="1">
        <v>44394.773611111108</v>
      </c>
      <c r="B15" s="2">
        <v>0.77361111111111114</v>
      </c>
      <c r="C15">
        <v>31</v>
      </c>
      <c r="D15">
        <v>37.6</v>
      </c>
      <c r="E15">
        <v>49</v>
      </c>
      <c r="F15">
        <v>989.8</v>
      </c>
      <c r="G15">
        <v>4</v>
      </c>
      <c r="I15" s="17">
        <v>1.3240000000000001</v>
      </c>
      <c r="J15" s="12">
        <v>36.1</v>
      </c>
      <c r="K15" s="12">
        <v>34.200000000000003</v>
      </c>
      <c r="L15" s="12">
        <v>18</v>
      </c>
      <c r="M15" s="19">
        <v>34</v>
      </c>
      <c r="N15">
        <f>J15-_20210717210500_weatherstation_1__2[[#This Row],[Air Temperature]]</f>
        <v>5.1000000000000014</v>
      </c>
      <c r="O15">
        <f>J15-_20210717210500_weatherstation_1__2[[#This Row],[Track Temperature]]</f>
        <v>-1.5</v>
      </c>
    </row>
    <row r="16" spans="1:15" x14ac:dyDescent="0.25">
      <c r="A16" s="1">
        <v>44394.774305555555</v>
      </c>
      <c r="B16" s="2">
        <v>0.77430555555555558</v>
      </c>
      <c r="C16">
        <v>30.8</v>
      </c>
      <c r="D16">
        <v>37.700000000000003</v>
      </c>
      <c r="E16">
        <v>49</v>
      </c>
      <c r="F16">
        <v>989.8</v>
      </c>
      <c r="G16">
        <v>3.6</v>
      </c>
      <c r="I16" s="14">
        <v>0.378</v>
      </c>
      <c r="J16" s="9">
        <v>36</v>
      </c>
      <c r="K16" s="9">
        <v>34.700000000000003</v>
      </c>
      <c r="L16" s="9">
        <v>18</v>
      </c>
      <c r="M16" s="16">
        <v>35</v>
      </c>
      <c r="N16">
        <f>J16-_20210717210500_weatherstation_1__2[[#This Row],[Air Temperature]]</f>
        <v>5.1999999999999993</v>
      </c>
      <c r="O16">
        <f>J16-_20210717210500_weatherstation_1__2[[#This Row],[Track Temperature]]</f>
        <v>-1.7000000000000028</v>
      </c>
    </row>
    <row r="17" spans="1:15" x14ac:dyDescent="0.25">
      <c r="A17" s="1">
        <v>44394.775000000001</v>
      </c>
      <c r="B17" s="2">
        <v>0.77500000000000002</v>
      </c>
      <c r="C17">
        <v>30.8</v>
      </c>
      <c r="D17">
        <v>37.4</v>
      </c>
      <c r="E17">
        <v>50</v>
      </c>
      <c r="F17">
        <v>989.8</v>
      </c>
      <c r="G17">
        <v>4.3</v>
      </c>
      <c r="I17" s="14">
        <v>0.378</v>
      </c>
      <c r="J17" s="9">
        <v>36</v>
      </c>
      <c r="K17" s="9">
        <v>34.700000000000003</v>
      </c>
      <c r="L17" s="9">
        <v>18</v>
      </c>
      <c r="M17" s="16">
        <v>36</v>
      </c>
      <c r="N17">
        <f>J17-_20210717210500_weatherstation_1__2[[#This Row],[Air Temperature]]</f>
        <v>5.1999999999999993</v>
      </c>
      <c r="O17">
        <f>J17-_20210717210500_weatherstation_1__2[[#This Row],[Track Temperature]]</f>
        <v>-1.3999999999999986</v>
      </c>
    </row>
    <row r="18" spans="1:15" x14ac:dyDescent="0.25">
      <c r="A18" s="1">
        <v>44394.775694444441</v>
      </c>
      <c r="B18" s="2">
        <v>0.77569444444444446</v>
      </c>
      <c r="C18">
        <v>30.6</v>
      </c>
      <c r="D18">
        <v>37.4</v>
      </c>
      <c r="E18">
        <v>50</v>
      </c>
      <c r="F18">
        <v>989.8</v>
      </c>
      <c r="G18">
        <v>4.7</v>
      </c>
      <c r="I18" s="17">
        <v>7.7880000000000003</v>
      </c>
      <c r="J18" s="12">
        <v>36.1</v>
      </c>
      <c r="K18" s="12">
        <v>33</v>
      </c>
      <c r="L18" s="12">
        <v>18</v>
      </c>
      <c r="M18" s="19">
        <v>37</v>
      </c>
      <c r="N18">
        <f>J18-_20210717210500_weatherstation_1__2[[#This Row],[Air Temperature]]</f>
        <v>5.5</v>
      </c>
      <c r="O18">
        <f>J18-_20210717210500_weatherstation_1__2[[#This Row],[Track Temperature]]</f>
        <v>-1.2999999999999972</v>
      </c>
    </row>
    <row r="19" spans="1:15" x14ac:dyDescent="0.25">
      <c r="A19" s="1">
        <v>44394.776388888888</v>
      </c>
      <c r="B19" s="2">
        <v>0.77638888888888891</v>
      </c>
      <c r="C19">
        <v>30.4</v>
      </c>
      <c r="D19">
        <v>37.4</v>
      </c>
      <c r="E19">
        <v>50</v>
      </c>
      <c r="F19">
        <v>989.8</v>
      </c>
      <c r="G19">
        <v>4.7</v>
      </c>
      <c r="I19" s="14">
        <v>7.8470000000000004</v>
      </c>
      <c r="J19" s="9">
        <v>36.200000000000003</v>
      </c>
      <c r="K19" s="9">
        <v>31.3</v>
      </c>
      <c r="L19" s="9">
        <v>18</v>
      </c>
      <c r="M19" s="16">
        <v>38</v>
      </c>
      <c r="N19">
        <f>J19-_20210717210500_weatherstation_1__2[[#This Row],[Air Temperature]]</f>
        <v>5.8000000000000043</v>
      </c>
      <c r="O19">
        <f>J19-_20210717210500_weatherstation_1__2[[#This Row],[Track Temperature]]</f>
        <v>-1.1999999999999957</v>
      </c>
    </row>
    <row r="20" spans="1:15" x14ac:dyDescent="0.25">
      <c r="A20" s="1">
        <v>44394.777083333334</v>
      </c>
      <c r="B20" s="2">
        <v>0.77708333333333335</v>
      </c>
      <c r="C20">
        <v>30.4</v>
      </c>
      <c r="D20">
        <v>37.6</v>
      </c>
      <c r="E20">
        <v>50</v>
      </c>
      <c r="F20">
        <v>989.8</v>
      </c>
      <c r="G20">
        <v>4</v>
      </c>
      <c r="I20" s="17">
        <v>6.6630000000000003</v>
      </c>
      <c r="J20" s="12">
        <v>36.799999999999997</v>
      </c>
      <c r="K20" s="12">
        <v>29.7</v>
      </c>
      <c r="L20" s="12">
        <v>18</v>
      </c>
      <c r="M20" s="19">
        <v>39</v>
      </c>
      <c r="N20">
        <f>J20-_20210717210500_weatherstation_1__2[[#This Row],[Air Temperature]]</f>
        <v>6.3999999999999986</v>
      </c>
      <c r="O20">
        <f>J20-_20210717210500_weatherstation_1__2[[#This Row],[Track Temperature]]</f>
        <v>-0.80000000000000426</v>
      </c>
    </row>
    <row r="21" spans="1:15" x14ac:dyDescent="0.25">
      <c r="A21" s="1">
        <v>44394.777777777781</v>
      </c>
      <c r="B21" s="2">
        <v>0.77777777777777779</v>
      </c>
      <c r="C21">
        <v>30.4</v>
      </c>
      <c r="D21">
        <v>37.9</v>
      </c>
      <c r="E21">
        <v>51</v>
      </c>
      <c r="F21">
        <v>989.8</v>
      </c>
      <c r="G21">
        <v>3.2</v>
      </c>
      <c r="I21" s="14">
        <v>8.4369999999999994</v>
      </c>
      <c r="J21" s="9">
        <v>36.700000000000003</v>
      </c>
      <c r="K21" s="9">
        <v>30</v>
      </c>
      <c r="L21" s="9">
        <v>18</v>
      </c>
      <c r="M21" s="16">
        <v>40</v>
      </c>
      <c r="N21">
        <f>J21-_20210717210500_weatherstation_1__2[[#This Row],[Air Temperature]]</f>
        <v>6.3000000000000043</v>
      </c>
      <c r="O21">
        <f>J21-_20210717210500_weatherstation_1__2[[#This Row],[Track Temperature]]</f>
        <v>-1.1999999999999957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410A-3DD4-4144-958D-B3D8755DFB1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E38D65-3E09-4037-A48B-83BAB1F3CD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FP1</vt:lpstr>
      <vt:lpstr>FP2</vt:lpstr>
      <vt:lpstr>FP3</vt:lpstr>
      <vt:lpstr>709_Cockpit_data_Quali</vt:lpstr>
      <vt:lpstr>Quali</vt:lpstr>
      <vt:lpstr>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2015-06-05T18:17:20Z</dcterms:created>
  <dcterms:modified xsi:type="dcterms:W3CDTF">2021-07-17T21:14:11Z</dcterms:modified>
</cp:coreProperties>
</file>