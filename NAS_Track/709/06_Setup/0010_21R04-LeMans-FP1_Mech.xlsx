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\\10.10.105.50\scg007c_data\Car02\06_Setup\"/>
    </mc:Choice>
  </mc:AlternateContent>
  <xr:revisionPtr revIDLastSave="0" documentId="13_ncr:1_{3CD00D85-C4E7-4B88-8588-9100B0B09F85}" xr6:coauthVersionLast="47" xr6:coauthVersionMax="47" xr10:uidLastSave="{00000000-0000-0000-0000-000000000000}"/>
  <bookViews>
    <workbookView xWindow="-1215" yWindow="-15015" windowWidth="21600" windowHeight="11385" xr2:uid="{00000000-000D-0000-FFFF-FFFF00000000}"/>
  </bookViews>
  <sheets>
    <sheet name="709" sheetId="1" r:id="rId1"/>
  </sheets>
  <definedNames>
    <definedName name="_xlnm.Print_Area" localSheetId="0">'709'!$A$1:$U$67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5" i="1" l="1"/>
  <c r="R44" i="1"/>
  <c r="C46" i="1"/>
  <c r="C44" i="1" s="1"/>
  <c r="C17" i="1"/>
  <c r="C15" i="1" s="1"/>
  <c r="R9" i="1" l="1"/>
  <c r="R38" i="1"/>
</calcChain>
</file>

<file path=xl/sharedStrings.xml><?xml version="1.0" encoding="utf-8"?>
<sst xmlns="http://schemas.openxmlformats.org/spreadsheetml/2006/main" count="172" uniqueCount="104">
  <si>
    <t>SETUP SHEET</t>
  </si>
  <si>
    <t>Drivers</t>
  </si>
  <si>
    <t>RaceEng</t>
  </si>
  <si>
    <t>Circuit</t>
  </si>
  <si>
    <t>Chassis #</t>
  </si>
  <si>
    <t>Engine #</t>
  </si>
  <si>
    <t>Gearbox #</t>
  </si>
  <si>
    <t>Session</t>
  </si>
  <si>
    <t>Date</t>
  </si>
  <si>
    <t>Spring [lbs/inch]</t>
  </si>
  <si>
    <t>Spacer [mm]</t>
  </si>
  <si>
    <t>Damper</t>
  </si>
  <si>
    <t>LS (in)</t>
  </si>
  <si>
    <t>HS (out)</t>
  </si>
  <si>
    <t>BUMP</t>
  </si>
  <si>
    <t>REBOUND</t>
  </si>
  <si>
    <t>Bumpstop</t>
  </si>
  <si>
    <t>Packer(solid+split)</t>
  </si>
  <si>
    <t>Camber [°]</t>
  </si>
  <si>
    <t>Camber Shim [mm]</t>
  </si>
  <si>
    <r>
      <rPr>
        <b/>
        <sz val="8"/>
        <color theme="1"/>
        <rFont val="Calibri"/>
        <family val="2"/>
        <scheme val="minor"/>
      </rPr>
      <t>Toe (Out)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</si>
  <si>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RH Axle [mm]</t>
  </si>
  <si>
    <t>Splitter [°]</t>
  </si>
  <si>
    <t>Front Anti-roll Bar</t>
  </si>
  <si>
    <t>Blades position</t>
  </si>
  <si>
    <t>Soft (Green)</t>
  </si>
  <si>
    <t>Rear Anti-roll Bar</t>
  </si>
  <si>
    <t>Droplink position</t>
  </si>
  <si>
    <t>Hard (BLUE)</t>
  </si>
  <si>
    <t>Fuel IN [kg]</t>
  </si>
  <si>
    <t>3rd Element</t>
  </si>
  <si>
    <t>Stack</t>
  </si>
  <si>
    <t>9 Hz</t>
  </si>
  <si>
    <t xml:space="preserve">    Notes:</t>
  </si>
  <si>
    <t>1st</t>
  </si>
  <si>
    <t>2nd</t>
  </si>
  <si>
    <t>3rd</t>
  </si>
  <si>
    <t>4th</t>
  </si>
  <si>
    <t>5th</t>
  </si>
  <si>
    <t>6th</t>
  </si>
  <si>
    <t>7th</t>
  </si>
  <si>
    <t>Final Drive</t>
  </si>
  <si>
    <t>Gear ratio</t>
  </si>
  <si>
    <t>Speed</t>
  </si>
  <si>
    <t>Diff</t>
  </si>
  <si>
    <t>Drive</t>
  </si>
  <si>
    <t>Coast</t>
  </si>
  <si>
    <t>Friction faces</t>
  </si>
  <si>
    <t>Preload [Nm]</t>
  </si>
  <si>
    <t>Ballast [kg]</t>
  </si>
  <si>
    <t>BoP Weight [kg]</t>
  </si>
  <si>
    <t>Fuel [kg]</t>
  </si>
  <si>
    <r>
      <t xml:space="preserve">Weight </t>
    </r>
    <r>
      <rPr>
        <b/>
        <sz val="8"/>
        <color theme="1"/>
        <rFont val="Calibri"/>
        <family val="2"/>
        <scheme val="minor"/>
      </rPr>
      <t>with</t>
    </r>
    <r>
      <rPr>
        <sz val="8"/>
        <color theme="1"/>
        <rFont val="Calibri"/>
        <family val="2"/>
        <scheme val="minor"/>
      </rPr>
      <t xml:space="preserve"> Fuel [kg]</t>
    </r>
  </si>
  <si>
    <t>Driver Weight [kg]</t>
  </si>
  <si>
    <t>Final Weight</t>
  </si>
  <si>
    <t>Scales</t>
  </si>
  <si>
    <t>Weight [kg]</t>
  </si>
  <si>
    <t>Cross</t>
  </si>
  <si>
    <t>Master cylinder</t>
  </si>
  <si>
    <t>Front</t>
  </si>
  <si>
    <t>Rear</t>
  </si>
  <si>
    <t>Balance</t>
  </si>
  <si>
    <t>Splitter turns</t>
  </si>
  <si>
    <t>0 from lowest</t>
  </si>
  <si>
    <t>Droop GAP</t>
  </si>
  <si>
    <t>FP1</t>
  </si>
  <si>
    <t>Le Mans</t>
  </si>
  <si>
    <t>400.200.950</t>
  </si>
  <si>
    <t>Droop GAP [mm]</t>
  </si>
  <si>
    <t>Push. Shim [mm]</t>
  </si>
  <si>
    <t>Camber shim</t>
  </si>
  <si>
    <t>FL</t>
  </si>
  <si>
    <t>FR</t>
  </si>
  <si>
    <t>Turns from soft</t>
  </si>
  <si>
    <t>RL</t>
  </si>
  <si>
    <t>RR</t>
  </si>
  <si>
    <t>Preload [bar]</t>
  </si>
  <si>
    <t>Rear ballast [kg]</t>
  </si>
  <si>
    <t>Front ballast [kg]</t>
  </si>
  <si>
    <t>Driver ballast [kg]</t>
  </si>
  <si>
    <t>01262S-70</t>
  </si>
  <si>
    <t>01262S-80</t>
  </si>
  <si>
    <t>8 Hz</t>
  </si>
  <si>
    <r>
      <rPr>
        <b/>
        <sz val="8"/>
        <color theme="1"/>
        <rFont val="Calibri"/>
        <family val="2"/>
        <scheme val="minor"/>
      </rPr>
      <t>Toe Shim</t>
    </r>
    <r>
      <rPr>
        <sz val="8"/>
        <color theme="1"/>
        <rFont val="Calibri"/>
        <family val="2"/>
        <scheme val="minor"/>
      </rPr>
      <t xml:space="preserve"> </t>
    </r>
    <r>
      <rPr>
        <b/>
        <sz val="8"/>
        <color theme="1"/>
        <rFont val="Calibri"/>
        <family val="2"/>
        <scheme val="minor"/>
      </rPr>
      <t>[mm]</t>
    </r>
  </si>
  <si>
    <t>47.3 mm</t>
  </si>
  <si>
    <t>Toe Shim</t>
  </si>
  <si>
    <t>Shaft Free Length</t>
  </si>
  <si>
    <t>Shaft Free L.</t>
  </si>
  <si>
    <t>233 mm</t>
  </si>
  <si>
    <t>Ramps Angle [°]</t>
  </si>
  <si>
    <t>P21-02</t>
  </si>
  <si>
    <t>1324 002</t>
  </si>
  <si>
    <t>Westbrook, Dumas,Briscoe</t>
  </si>
  <si>
    <t>Christophe Boittin</t>
  </si>
  <si>
    <t>|</t>
  </si>
  <si>
    <t>Long</t>
  </si>
  <si>
    <t>2.1+613</t>
  </si>
  <si>
    <t>500.200.1200</t>
  </si>
  <si>
    <t>18/8/21</t>
  </si>
  <si>
    <t>Full Hard</t>
  </si>
  <si>
    <t>49,1 mm</t>
  </si>
  <si>
    <t>Soft(out)</t>
  </si>
  <si>
    <t>8.1+357</t>
  </si>
  <si>
    <t>8.0+357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</si>
</sst>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0070C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8"/>
      <color rgb="FF00B050"/>
      <name val="Calibri"/>
      <family val="2"/>
      <scheme val="minor"/>
    </font>
    <font>
      <b/>
      <sz val="7.5"/>
      <color theme="1"/>
      <name val="Calibri"/>
      <family val="2"/>
      <scheme val="minor"/>
    </font>
    <font>
      <b/>
      <sz val="8"/>
      <color rgb="FF3F3F76"/>
      <name val="Calibri"/>
      <family val="2"/>
      <scheme val="minor"/>
    </font>
    <font>
      <b/>
      <sz val="7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7.5"/>
      <color theme="1"/>
      <name val="Calibri"/>
      <family val="2"/>
      <scheme val="minor"/>
    </font>
    <font>
      <sz val="8"/>
      <color rgb="FF3F3F76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name val="Calibri"/>
      <family val="2"/>
      <scheme val="minor"/>
    </font>
    <font>
      <sz val="4.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9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ouble">
        <color indexed="64"/>
      </right>
      <top style="dash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/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n">
        <color rgb="FF7F7F7F"/>
      </left>
      <right/>
      <top style="medium">
        <color auto="1"/>
      </top>
      <bottom style="thin">
        <color rgb="FF7F7F7F"/>
      </bottom>
      <diagonal/>
    </border>
    <border>
      <left/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/>
      <bottom style="medium">
        <color indexed="64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medium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2" borderId="18" applyNumberFormat="0" applyAlignment="0" applyProtection="0"/>
  </cellStyleXfs>
  <cellXfs count="23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9" fillId="2" borderId="67" xfId="1" applyFont="1" applyBorder="1" applyAlignment="1">
      <alignment horizontal="center" vertical="center"/>
    </xf>
    <xf numFmtId="0" fontId="1" fillId="17" borderId="6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6" xfId="0" applyFont="1" applyFill="1" applyBorder="1" applyAlignment="1">
      <alignment horizontal="center" vertical="center"/>
    </xf>
    <xf numFmtId="0" fontId="1" fillId="12" borderId="11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1" fillId="19" borderId="27" xfId="0" applyFont="1" applyFill="1" applyBorder="1" applyAlignment="1">
      <alignment horizontal="center" vertical="center"/>
    </xf>
    <xf numFmtId="0" fontId="11" fillId="14" borderId="27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1" fillId="19" borderId="54" xfId="0" applyFont="1" applyFill="1" applyBorder="1" applyAlignment="1">
      <alignment horizontal="center" vertical="center"/>
    </xf>
    <xf numFmtId="0" fontId="11" fillId="14" borderId="54" xfId="0" applyFont="1" applyFill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9" fontId="1" fillId="0" borderId="81" xfId="0" applyNumberFormat="1" applyFont="1" applyBorder="1" applyAlignment="1">
      <alignment horizontal="center" vertical="center"/>
    </xf>
    <xf numFmtId="14" fontId="1" fillId="0" borderId="13" xfId="0" quotePrefix="1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0" fontId="1" fillId="0" borderId="59" xfId="0" quotePrefix="1" applyFont="1" applyBorder="1" applyAlignment="1">
      <alignment vertical="center"/>
    </xf>
    <xf numFmtId="0" fontId="1" fillId="0" borderId="60" xfId="0" applyFont="1" applyBorder="1" applyAlignment="1">
      <alignment vertical="center"/>
    </xf>
    <xf numFmtId="0" fontId="1" fillId="0" borderId="6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3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6" fillId="4" borderId="26" xfId="0" applyFont="1" applyFill="1" applyBorder="1" applyAlignment="1">
      <alignment horizontal="center" vertical="center"/>
    </xf>
    <xf numFmtId="0" fontId="8" fillId="9" borderId="27" xfId="0" applyFont="1" applyFill="1" applyBorder="1" applyAlignment="1">
      <alignment horizontal="center" vertical="center"/>
    </xf>
    <xf numFmtId="0" fontId="8" fillId="9" borderId="8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164" fontId="1" fillId="3" borderId="15" xfId="0" applyNumberFormat="1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3" borderId="34" xfId="0" applyNumberFormat="1" applyFont="1" applyFill="1" applyBorder="1" applyAlignment="1">
      <alignment vertical="center"/>
    </xf>
    <xf numFmtId="0" fontId="1" fillId="3" borderId="15" xfId="0" applyFont="1" applyFill="1" applyBorder="1" applyAlignment="1">
      <alignment vertical="center"/>
    </xf>
    <xf numFmtId="0" fontId="1" fillId="0" borderId="47" xfId="0" applyFont="1" applyBorder="1" applyAlignment="1">
      <alignment vertical="center"/>
    </xf>
    <xf numFmtId="0" fontId="1" fillId="3" borderId="89" xfId="0" applyFont="1" applyFill="1" applyBorder="1" applyAlignment="1">
      <alignment vertical="center"/>
    </xf>
    <xf numFmtId="0" fontId="1" fillId="3" borderId="86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0" fontId="2" fillId="13" borderId="90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92" xfId="0" applyFont="1" applyFill="1" applyBorder="1" applyAlignment="1">
      <alignment horizontal="center" vertical="center"/>
    </xf>
    <xf numFmtId="0" fontId="1" fillId="0" borderId="56" xfId="0" applyFont="1" applyFill="1" applyBorder="1" applyAlignment="1">
      <alignment horizontal="center" vertical="center"/>
    </xf>
    <xf numFmtId="0" fontId="1" fillId="0" borderId="54" xfId="0" applyFont="1" applyFill="1" applyBorder="1" applyAlignment="1">
      <alignment horizontal="center" vertical="center"/>
    </xf>
    <xf numFmtId="0" fontId="1" fillId="0" borderId="57" xfId="0" applyFont="1" applyFill="1" applyBorder="1" applyAlignment="1">
      <alignment horizontal="center" vertical="center"/>
    </xf>
    <xf numFmtId="164" fontId="1" fillId="0" borderId="47" xfId="0" applyNumberFormat="1" applyFont="1" applyBorder="1" applyAlignment="1">
      <alignment horizontal="center" vertical="center"/>
    </xf>
    <xf numFmtId="0" fontId="11" fillId="19" borderId="12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13" fillId="2" borderId="46" xfId="1" applyFont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164" fontId="14" fillId="0" borderId="14" xfId="0" applyNumberFormat="1" applyFont="1" applyBorder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91" xfId="0" applyFont="1" applyBorder="1" applyAlignment="1">
      <alignment vertical="center"/>
    </xf>
    <xf numFmtId="0" fontId="2" fillId="5" borderId="46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8" fillId="7" borderId="28" xfId="0" applyFont="1" applyFill="1" applyBorder="1" applyAlignment="1">
      <alignment horizontal="center" vertical="center"/>
    </xf>
    <xf numFmtId="0" fontId="2" fillId="0" borderId="9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1" fillId="10" borderId="12" xfId="0" applyFont="1" applyFill="1" applyBorder="1" applyAlignment="1">
      <alignment horizontal="left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0" fontId="1" fillId="10" borderId="17" xfId="0" applyFont="1" applyFill="1" applyBorder="1" applyAlignment="1">
      <alignment horizontal="left" vertical="center"/>
    </xf>
    <xf numFmtId="0" fontId="2" fillId="0" borderId="66" xfId="0" applyFont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1" fillId="0" borderId="9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13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0" fontId="2" fillId="16" borderId="31" xfId="0" applyFont="1" applyFill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2" borderId="38" xfId="0" applyFont="1" applyFill="1" applyBorder="1" applyAlignment="1">
      <alignment horizontal="center" vertical="center"/>
    </xf>
    <xf numFmtId="0" fontId="4" fillId="12" borderId="39" xfId="0" applyFont="1" applyFill="1" applyBorder="1" applyAlignment="1">
      <alignment horizontal="center" vertical="center"/>
    </xf>
    <xf numFmtId="0" fontId="4" fillId="12" borderId="40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2" fillId="0" borderId="65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11" borderId="16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12" fillId="8" borderId="11" xfId="0" applyFont="1" applyFill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3" borderId="57" xfId="0" applyFont="1" applyFill="1" applyBorder="1" applyAlignment="1">
      <alignment horizontal="center" vertical="center"/>
    </xf>
    <xf numFmtId="0" fontId="1" fillId="3" borderId="58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87" xfId="0" applyFont="1" applyBorder="1" applyAlignment="1">
      <alignment horizontal="center" vertical="center"/>
    </xf>
    <xf numFmtId="0" fontId="1" fillId="0" borderId="95" xfId="0" applyFont="1" applyBorder="1" applyAlignment="1">
      <alignment horizontal="center" vertical="center"/>
    </xf>
    <xf numFmtId="0" fontId="1" fillId="3" borderId="95" xfId="0" applyFont="1" applyFill="1" applyBorder="1" applyAlignment="1">
      <alignment horizontal="center" vertical="center"/>
    </xf>
    <xf numFmtId="0" fontId="1" fillId="3" borderId="50" xfId="0" applyFont="1" applyFill="1" applyBorder="1" applyAlignment="1">
      <alignment horizontal="center" vertical="center"/>
    </xf>
    <xf numFmtId="0" fontId="3" fillId="2" borderId="78" xfId="1" applyBorder="1" applyAlignment="1">
      <alignment horizontal="center" vertical="center"/>
    </xf>
    <xf numFmtId="0" fontId="3" fillId="2" borderId="79" xfId="1" applyBorder="1" applyAlignment="1">
      <alignment horizontal="center" vertical="center"/>
    </xf>
    <xf numFmtId="0" fontId="2" fillId="18" borderId="35" xfId="0" applyFont="1" applyFill="1" applyBorder="1" applyAlignment="1">
      <alignment horizontal="center" vertical="center"/>
    </xf>
    <xf numFmtId="0" fontId="2" fillId="18" borderId="36" xfId="0" applyFont="1" applyFill="1" applyBorder="1" applyAlignment="1">
      <alignment horizontal="center" vertical="center"/>
    </xf>
    <xf numFmtId="0" fontId="2" fillId="18" borderId="51" xfId="0" applyFont="1" applyFill="1" applyBorder="1" applyAlignment="1">
      <alignment horizontal="center" vertical="center"/>
    </xf>
    <xf numFmtId="0" fontId="2" fillId="11" borderId="80" xfId="0" applyFont="1" applyFill="1" applyBorder="1" applyAlignment="1">
      <alignment horizontal="center" vertical="center"/>
    </xf>
    <xf numFmtId="0" fontId="2" fillId="11" borderId="93" xfId="0" applyFont="1" applyFill="1" applyBorder="1" applyAlignment="1">
      <alignment horizontal="center" vertical="center"/>
    </xf>
    <xf numFmtId="0" fontId="8" fillId="8" borderId="80" xfId="0" applyFont="1" applyFill="1" applyBorder="1" applyAlignment="1">
      <alignment horizontal="center" vertical="center"/>
    </xf>
    <xf numFmtId="0" fontId="8" fillId="8" borderId="64" xfId="0" applyFont="1" applyFill="1" applyBorder="1" applyAlignment="1">
      <alignment horizontal="center" vertical="center"/>
    </xf>
    <xf numFmtId="0" fontId="3" fillId="2" borderId="75" xfId="1" applyBorder="1" applyAlignment="1">
      <alignment horizontal="center" vertical="center"/>
    </xf>
    <xf numFmtId="0" fontId="3" fillId="2" borderId="76" xfId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" fillId="0" borderId="81" xfId="0" applyFont="1" applyBorder="1" applyAlignment="1">
      <alignment horizontal="center" vertical="center"/>
    </xf>
    <xf numFmtId="0" fontId="1" fillId="0" borderId="8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3" fillId="2" borderId="73" xfId="1" applyBorder="1" applyAlignment="1">
      <alignment horizontal="center" vertical="center"/>
    </xf>
    <xf numFmtId="0" fontId="3" fillId="2" borderId="74" xfId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 vertical="center"/>
    </xf>
    <xf numFmtId="0" fontId="1" fillId="10" borderId="10" xfId="0" applyFont="1" applyFill="1" applyBorder="1" applyAlignment="1">
      <alignment horizontal="left" vertical="center"/>
    </xf>
    <xf numFmtId="0" fontId="1" fillId="10" borderId="16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1" fillId="0" borderId="80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2" fontId="14" fillId="0" borderId="14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4" fillId="0" borderId="94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9" fontId="14" fillId="0" borderId="63" xfId="0" applyNumberFormat="1" applyFont="1" applyBorder="1" applyAlignment="1">
      <alignment horizontal="center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  <color rgb="FF66FF33"/>
      <color rgb="FFCCFF33"/>
      <color rgb="FFCC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microsoft.com/office/2007/relationships/hdphoto" Target="../media/hdphoto1.wdp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35151</xdr:colOff>
      <xdr:row>1</xdr:row>
      <xdr:rowOff>18587</xdr:rowOff>
    </xdr:from>
    <xdr:to>
      <xdr:col>3</xdr:col>
      <xdr:colOff>199794</xdr:colOff>
      <xdr:row>3</xdr:row>
      <xdr:rowOff>1248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A3E564-9432-4235-AEF2-C4A2C34BC9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95"/>
        <a:stretch/>
      </xdr:blipFill>
      <xdr:spPr>
        <a:xfrm>
          <a:off x="95022" y="40358"/>
          <a:ext cx="1329415" cy="220526"/>
        </a:xfrm>
        <a:prstGeom prst="rect">
          <a:avLst/>
        </a:prstGeom>
      </xdr:spPr>
    </xdr:pic>
    <xdr:clientData/>
  </xdr:twoCellAnchor>
  <xdr:twoCellAnchor editAs="oneCell">
    <xdr:from>
      <xdr:col>17</xdr:col>
      <xdr:colOff>329714</xdr:colOff>
      <xdr:row>1</xdr:row>
      <xdr:rowOff>23174</xdr:rowOff>
    </xdr:from>
    <xdr:to>
      <xdr:col>19</xdr:col>
      <xdr:colOff>433401</xdr:colOff>
      <xdr:row>1</xdr:row>
      <xdr:rowOff>188553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ECA0DC7-972D-4319-87A9-7FC37BAA26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28" t="8672" r="492" b="2132"/>
        <a:stretch/>
      </xdr:blipFill>
      <xdr:spPr>
        <a:xfrm>
          <a:off x="5268060" y="45155"/>
          <a:ext cx="865687" cy="165379"/>
        </a:xfrm>
        <a:prstGeom prst="rect">
          <a:avLst/>
        </a:prstGeom>
      </xdr:spPr>
    </xdr:pic>
    <xdr:clientData/>
  </xdr:twoCellAnchor>
  <xdr:twoCellAnchor editAs="oneCell">
    <xdr:from>
      <xdr:col>26</xdr:col>
      <xdr:colOff>244020</xdr:colOff>
      <xdr:row>13</xdr:row>
      <xdr:rowOff>23932</xdr:rowOff>
    </xdr:from>
    <xdr:to>
      <xdr:col>29</xdr:col>
      <xdr:colOff>87923</xdr:colOff>
      <xdr:row>39</xdr:row>
      <xdr:rowOff>139211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CE2DE-0B71-4532-BB43-DFCCD566F7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3462" t="755" r="3464" b="1584"/>
        <a:stretch/>
      </xdr:blipFill>
      <xdr:spPr>
        <a:xfrm>
          <a:off x="9827635" y="1709124"/>
          <a:ext cx="1668307" cy="4079145"/>
        </a:xfrm>
        <a:prstGeom prst="rect">
          <a:avLst/>
        </a:prstGeom>
      </xdr:spPr>
    </xdr:pic>
    <xdr:clientData/>
  </xdr:twoCellAnchor>
  <xdr:twoCellAnchor editAs="oneCell">
    <xdr:from>
      <xdr:col>1</xdr:col>
      <xdr:colOff>566860</xdr:colOff>
      <xdr:row>2</xdr:row>
      <xdr:rowOff>36633</xdr:rowOff>
    </xdr:from>
    <xdr:to>
      <xdr:col>2</xdr:col>
      <xdr:colOff>143751</xdr:colOff>
      <xdr:row>6</xdr:row>
      <xdr:rowOff>25352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FC955-E131-4DC5-951C-81FAFCC0972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9881" t="2973" r="40176" b="33007"/>
        <a:stretch/>
      </xdr:blipFill>
      <xdr:spPr>
        <a:xfrm>
          <a:off x="625475" y="256441"/>
          <a:ext cx="360872" cy="486949"/>
        </a:xfrm>
        <a:prstGeom prst="rect">
          <a:avLst/>
        </a:prstGeom>
      </xdr:spPr>
    </xdr:pic>
    <xdr:clientData/>
  </xdr:twoCellAnchor>
  <xdr:twoCellAnchor editAs="oneCell">
    <xdr:from>
      <xdr:col>8</xdr:col>
      <xdr:colOff>64185</xdr:colOff>
      <xdr:row>18</xdr:row>
      <xdr:rowOff>65943</xdr:rowOff>
    </xdr:from>
    <xdr:to>
      <xdr:col>12</xdr:col>
      <xdr:colOff>176320</xdr:colOff>
      <xdr:row>41</xdr:row>
      <xdr:rowOff>117882</xdr:rowOff>
    </xdr:to>
    <xdr:pic>
      <xdr:nvPicPr>
        <xdr:cNvPr id="51" name="Picture 50" descr="Diagram, engineering drawing&#10;&#10;Description automatically generated">
          <a:extLst>
            <a:ext uri="{FF2B5EF4-FFF2-40B4-BE49-F238E27FC236}">
              <a16:creationId xmlns:a16="http://schemas.microsoft.com/office/drawing/2014/main" id="{52704191-1DE2-461E-BDE3-A1D5393F66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artisticPaintStrokes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9504" t="23721" r="5983" b="27655"/>
        <a:stretch/>
      </xdr:blipFill>
      <xdr:spPr>
        <a:xfrm rot="5400000">
          <a:off x="1490062" y="3563758"/>
          <a:ext cx="3554208" cy="1438308"/>
        </a:xfrm>
        <a:prstGeom prst="rect">
          <a:avLst/>
        </a:prstGeom>
      </xdr:spPr>
    </xdr:pic>
    <xdr:clientData/>
  </xdr:twoCellAnchor>
  <xdr:oneCellAnchor>
    <xdr:from>
      <xdr:col>14</xdr:col>
      <xdr:colOff>234461</xdr:colOff>
      <xdr:row>58</xdr:row>
      <xdr:rowOff>7326</xdr:rowOff>
    </xdr:from>
    <xdr:ext cx="2117480" cy="514949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ED01935-BA06-49F2-A968-B4B93207F4AC}"/>
            </a:ext>
          </a:extLst>
        </xdr:cNvPr>
        <xdr:cNvSpPr txBox="1"/>
      </xdr:nvSpPr>
      <xdr:spPr>
        <a:xfrm>
          <a:off x="4352192" y="8609134"/>
          <a:ext cx="2117480" cy="5149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it-IT" sz="900"/>
            <a:t>- </a:t>
          </a:r>
          <a:r>
            <a:rPr lang="it-IT" sz="900">
              <a:solidFill>
                <a:srgbClr val="FF0000"/>
              </a:solidFill>
            </a:rPr>
            <a:t>Complete</a:t>
          </a:r>
          <a:r>
            <a:rPr lang="it-IT" sz="900" baseline="0"/>
            <a:t> "Weight [kg]" section during car measurement.</a:t>
          </a:r>
        </a:p>
        <a:p>
          <a:r>
            <a:rPr lang="it-IT" sz="900" baseline="0"/>
            <a:t>- Ballast: Front | Rear </a:t>
          </a:r>
        </a:p>
      </xdr:txBody>
    </xdr:sp>
    <xdr:clientData/>
  </xdr:oneCellAnchor>
  <xdr:twoCellAnchor>
    <xdr:from>
      <xdr:col>15</xdr:col>
      <xdr:colOff>156951</xdr:colOff>
      <xdr:row>53</xdr:row>
      <xdr:rowOff>60156</xdr:rowOff>
    </xdr:from>
    <xdr:to>
      <xdr:col>18</xdr:col>
      <xdr:colOff>302331</xdr:colOff>
      <xdr:row>56</xdr:row>
      <xdr:rowOff>85219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5E381D3C-6494-4D1B-B958-A381015F4728}"/>
            </a:ext>
          </a:extLst>
        </xdr:cNvPr>
        <xdr:cNvGrpSpPr/>
      </xdr:nvGrpSpPr>
      <xdr:grpSpPr>
        <a:xfrm>
          <a:off x="4655682" y="7863329"/>
          <a:ext cx="965995" cy="486659"/>
          <a:chOff x="4496804" y="6211301"/>
          <a:chExt cx="962525" cy="476247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01DEE14C-DA3A-48C1-BD5C-A56F1D58EE0B}"/>
              </a:ext>
            </a:extLst>
          </xdr:cNvPr>
          <xdr:cNvSpPr/>
        </xdr:nvSpPr>
        <xdr:spPr>
          <a:xfrm>
            <a:off x="4496804" y="6211301"/>
            <a:ext cx="962525" cy="476247"/>
          </a:xfrm>
          <a:prstGeom prst="rect">
            <a:avLst/>
          </a:prstGeom>
          <a:solidFill>
            <a:srgbClr val="FFFF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it-IT" sz="1100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D6A5F512-B2A8-4DAC-BDB4-4F4B3D889BFD}"/>
              </a:ext>
            </a:extLst>
          </xdr:cNvPr>
          <xdr:cNvCxnSpPr>
            <a:stCxn id="25" idx="1"/>
            <a:endCxn id="25" idx="3"/>
          </xdr:cNvCxnSpPr>
        </xdr:nvCxnSpPr>
        <xdr:spPr>
          <a:xfrm>
            <a:off x="4496804" y="6449425"/>
            <a:ext cx="962525" cy="0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Straight Connector 26">
            <a:extLst>
              <a:ext uri="{FF2B5EF4-FFF2-40B4-BE49-F238E27FC236}">
                <a16:creationId xmlns:a16="http://schemas.microsoft.com/office/drawing/2014/main" id="{A8C07445-B430-4D7A-A153-1C4DCC72A3A1}"/>
              </a:ext>
            </a:extLst>
          </xdr:cNvPr>
          <xdr:cNvCxnSpPr>
            <a:stCxn id="25" idx="2"/>
            <a:endCxn id="25" idx="0"/>
          </xdr:cNvCxnSpPr>
        </xdr:nvCxnSpPr>
        <xdr:spPr>
          <a:xfrm flipV="1">
            <a:off x="4978067" y="6211301"/>
            <a:ext cx="0" cy="476247"/>
          </a:xfrm>
          <a:prstGeom prst="line">
            <a:avLst/>
          </a:prstGeom>
          <a:ln w="1270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67490</xdr:colOff>
      <xdr:row>54</xdr:row>
      <xdr:rowOff>73268</xdr:rowOff>
    </xdr:from>
    <xdr:to>
      <xdr:col>19</xdr:col>
      <xdr:colOff>705964</xdr:colOff>
      <xdr:row>55</xdr:row>
      <xdr:rowOff>150010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2F22C38F-CF4D-4664-9AA1-64C7502C8DAB}"/>
            </a:ext>
          </a:extLst>
        </xdr:cNvPr>
        <xdr:cNvGrpSpPr/>
      </xdr:nvGrpSpPr>
      <xdr:grpSpPr>
        <a:xfrm>
          <a:off x="5767836" y="8030306"/>
          <a:ext cx="638474" cy="230608"/>
          <a:chOff x="5634794" y="6276474"/>
          <a:chExt cx="638474" cy="365961"/>
        </a:xfrm>
      </xdr:grpSpPr>
      <xdr:cxnSp macro="">
        <xdr:nvCxnSpPr>
          <xdr:cNvPr id="29" name="Straight Arrow Connector 28">
            <a:extLst>
              <a:ext uri="{FF2B5EF4-FFF2-40B4-BE49-F238E27FC236}">
                <a16:creationId xmlns:a16="http://schemas.microsoft.com/office/drawing/2014/main" id="{CEDAE92E-5A68-44E9-B004-625F8438391B}"/>
              </a:ext>
            </a:extLst>
          </xdr:cNvPr>
          <xdr:cNvCxnSpPr/>
        </xdr:nvCxnSpPr>
        <xdr:spPr>
          <a:xfrm flipV="1">
            <a:off x="5634794" y="6286500"/>
            <a:ext cx="638474" cy="350926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Straight Arrow Connector 29">
            <a:extLst>
              <a:ext uri="{FF2B5EF4-FFF2-40B4-BE49-F238E27FC236}">
                <a16:creationId xmlns:a16="http://schemas.microsoft.com/office/drawing/2014/main" id="{9C42DA01-CF11-4951-BACF-3DDEFB5C5C34}"/>
              </a:ext>
            </a:extLst>
          </xdr:cNvPr>
          <xdr:cNvCxnSpPr/>
        </xdr:nvCxnSpPr>
        <xdr:spPr>
          <a:xfrm flipH="1" flipV="1">
            <a:off x="5649830" y="6276474"/>
            <a:ext cx="606591" cy="365961"/>
          </a:xfrm>
          <a:prstGeom prst="straightConnector1">
            <a:avLst/>
          </a:prstGeom>
          <a:ln>
            <a:solidFill>
              <a:srgbClr val="C0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U67"/>
  <sheetViews>
    <sheetView showGridLines="0" tabSelected="1" zoomScale="130" zoomScaleNormal="130" workbookViewId="0">
      <selection activeCell="D30" sqref="D30"/>
    </sheetView>
  </sheetViews>
  <sheetFormatPr defaultRowHeight="11.25" x14ac:dyDescent="0.25"/>
  <cols>
    <col min="1" max="1" width="0.85546875" style="1" customWidth="1"/>
    <col min="2" max="2" width="11.7109375" style="1" customWidth="1"/>
    <col min="3" max="4" width="5.7109375" style="1" customWidth="1"/>
    <col min="5" max="5" width="0.85546875" style="1" customWidth="1"/>
    <col min="6" max="7" width="5.7109375" style="1" customWidth="1"/>
    <col min="8" max="8" width="0.85546875" style="1" customWidth="1"/>
    <col min="9" max="9" width="8.7109375" style="1" customWidth="1"/>
    <col min="10" max="13" width="3.7109375" style="1" customWidth="1"/>
    <col min="14" max="14" width="0.85546875" style="1" customWidth="1"/>
    <col min="15" max="16" width="5.7109375" style="1" customWidth="1"/>
    <col min="17" max="17" width="0.85546875" style="1" customWidth="1"/>
    <col min="18" max="18" width="5.7109375" style="1" customWidth="1"/>
    <col min="19" max="19" width="5.7109375" style="2" customWidth="1"/>
    <col min="20" max="20" width="11.7109375" style="1" customWidth="1"/>
    <col min="21" max="21" width="0.85546875" style="1" customWidth="1"/>
    <col min="22" max="16384" width="9.140625" style="1"/>
  </cols>
  <sheetData>
    <row r="1" spans="2:20" ht="2.1" customHeight="1" thickBot="1" x14ac:dyDescent="0.3">
      <c r="B1" s="2"/>
      <c r="C1" s="2"/>
      <c r="D1" s="2"/>
    </row>
    <row r="2" spans="2:20" ht="15.95" customHeight="1" thickTop="1" thickBot="1" x14ac:dyDescent="0.3">
      <c r="B2" s="25"/>
      <c r="C2" s="26"/>
      <c r="D2" s="26"/>
      <c r="E2" s="26"/>
      <c r="F2" s="26"/>
      <c r="G2" s="26"/>
      <c r="H2" s="27"/>
      <c r="I2" s="149" t="s">
        <v>0</v>
      </c>
      <c r="J2" s="150"/>
      <c r="K2" s="150"/>
      <c r="L2" s="150"/>
      <c r="M2" s="151"/>
      <c r="N2" s="25"/>
      <c r="O2" s="26"/>
      <c r="P2" s="26"/>
      <c r="Q2" s="26"/>
      <c r="R2" s="26"/>
      <c r="S2" s="26"/>
      <c r="T2" s="27"/>
    </row>
    <row r="3" spans="2:20" ht="3" customHeight="1" thickTop="1" thickBot="1" x14ac:dyDescent="0.3">
      <c r="B3" s="45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8"/>
    </row>
    <row r="4" spans="2:20" ht="12" customHeight="1" x14ac:dyDescent="0.25">
      <c r="B4" s="36"/>
      <c r="C4" s="39"/>
      <c r="D4" s="39"/>
      <c r="E4" s="39"/>
      <c r="F4" s="7" t="s">
        <v>7</v>
      </c>
      <c r="G4" s="11" t="s">
        <v>65</v>
      </c>
      <c r="H4" s="39"/>
      <c r="I4" s="7" t="s">
        <v>4</v>
      </c>
      <c r="J4" s="152">
        <v>709</v>
      </c>
      <c r="K4" s="152"/>
      <c r="L4" s="152"/>
      <c r="M4" s="144"/>
      <c r="N4" s="39"/>
      <c r="O4" s="39"/>
      <c r="P4" s="7" t="s">
        <v>1</v>
      </c>
      <c r="Q4" s="221" t="s">
        <v>92</v>
      </c>
      <c r="R4" s="221"/>
      <c r="S4" s="222"/>
      <c r="T4" s="40"/>
    </row>
    <row r="5" spans="2:20" ht="12" customHeight="1" thickBot="1" x14ac:dyDescent="0.3">
      <c r="B5" s="36"/>
      <c r="C5" s="39"/>
      <c r="D5" s="39"/>
      <c r="E5" s="39"/>
      <c r="F5" s="8" t="s">
        <v>8</v>
      </c>
      <c r="G5" s="78" t="s">
        <v>98</v>
      </c>
      <c r="H5" s="39"/>
      <c r="I5" s="8" t="s">
        <v>5</v>
      </c>
      <c r="J5" s="153" t="s">
        <v>90</v>
      </c>
      <c r="K5" s="153"/>
      <c r="L5" s="153"/>
      <c r="M5" s="154"/>
      <c r="N5" s="39"/>
      <c r="O5" s="39"/>
      <c r="P5" s="9" t="s">
        <v>2</v>
      </c>
      <c r="Q5" s="155" t="s">
        <v>93</v>
      </c>
      <c r="R5" s="155"/>
      <c r="S5" s="156"/>
      <c r="T5" s="40"/>
    </row>
    <row r="6" spans="2:20" ht="12" customHeight="1" thickBot="1" x14ac:dyDescent="0.3">
      <c r="B6" s="36"/>
      <c r="C6" s="39"/>
      <c r="D6" s="39"/>
      <c r="E6" s="39"/>
      <c r="F6" s="9" t="s">
        <v>3</v>
      </c>
      <c r="G6" s="15" t="s">
        <v>66</v>
      </c>
      <c r="H6" s="39"/>
      <c r="I6" s="9" t="s">
        <v>6</v>
      </c>
      <c r="J6" s="155" t="s">
        <v>91</v>
      </c>
      <c r="K6" s="155"/>
      <c r="L6" s="155"/>
      <c r="M6" s="156"/>
      <c r="N6" s="39"/>
      <c r="O6" s="44"/>
      <c r="P6" s="39"/>
      <c r="Q6" s="39"/>
      <c r="R6" s="39"/>
      <c r="S6" s="39"/>
      <c r="T6" s="40"/>
    </row>
    <row r="7" spans="2:20" ht="3" customHeight="1" thickBot="1" x14ac:dyDescent="0.3">
      <c r="B7" s="4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2"/>
    </row>
    <row r="8" spans="2:20" ht="12.75" thickTop="1" thickBot="1" x14ac:dyDescent="0.3"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10"/>
    </row>
    <row r="9" spans="2:20" ht="12" customHeight="1" x14ac:dyDescent="0.25">
      <c r="B9" s="19" t="s">
        <v>9</v>
      </c>
      <c r="C9" s="152" t="s">
        <v>67</v>
      </c>
      <c r="D9" s="144"/>
      <c r="E9" s="2"/>
      <c r="F9" s="143" t="s">
        <v>18</v>
      </c>
      <c r="G9" s="158"/>
      <c r="H9" s="2"/>
      <c r="I9" s="116" t="s">
        <v>62</v>
      </c>
      <c r="J9" s="177" t="s">
        <v>63</v>
      </c>
      <c r="K9" s="178"/>
      <c r="L9" s="179"/>
      <c r="M9" s="2"/>
      <c r="N9" s="2"/>
      <c r="O9" s="143" t="s">
        <v>18</v>
      </c>
      <c r="P9" s="158"/>
      <c r="Q9" s="2"/>
      <c r="R9" s="157" t="str">
        <f>C9</f>
        <v>400.200.950</v>
      </c>
      <c r="S9" s="152"/>
      <c r="T9" s="28" t="s">
        <v>9</v>
      </c>
    </row>
    <row r="10" spans="2:20" ht="12" customHeight="1" thickBot="1" x14ac:dyDescent="0.3">
      <c r="B10" s="23" t="s">
        <v>10</v>
      </c>
      <c r="C10" s="98">
        <v>41</v>
      </c>
      <c r="D10" s="100"/>
      <c r="E10" s="2"/>
      <c r="F10" s="24">
        <v>-2.8</v>
      </c>
      <c r="G10" s="95"/>
      <c r="H10" s="2"/>
      <c r="I10" s="24" t="s">
        <v>22</v>
      </c>
      <c r="J10" s="182">
        <v>0</v>
      </c>
      <c r="K10" s="183"/>
      <c r="L10" s="180"/>
      <c r="M10" s="181"/>
      <c r="N10" s="2"/>
      <c r="O10" s="24">
        <v>-2.6</v>
      </c>
      <c r="P10" s="95"/>
      <c r="Q10" s="2"/>
      <c r="R10" s="102"/>
      <c r="S10" s="103"/>
      <c r="T10" s="29" t="s">
        <v>10</v>
      </c>
    </row>
    <row r="11" spans="2:20" ht="12" customHeight="1" x14ac:dyDescent="0.25">
      <c r="B11" s="34" t="s">
        <v>11</v>
      </c>
      <c r="C11" s="67" t="s">
        <v>12</v>
      </c>
      <c r="D11" s="68" t="s">
        <v>13</v>
      </c>
      <c r="E11" s="2"/>
      <c r="F11" s="159" t="s">
        <v>19</v>
      </c>
      <c r="G11" s="160"/>
      <c r="H11" s="2"/>
      <c r="N11" s="2"/>
      <c r="O11" s="159" t="s">
        <v>19</v>
      </c>
      <c r="P11" s="160"/>
      <c r="Q11" s="2"/>
      <c r="R11" s="106" t="s">
        <v>12</v>
      </c>
      <c r="S11" s="68" t="s">
        <v>13</v>
      </c>
      <c r="T11" s="35" t="s">
        <v>11</v>
      </c>
    </row>
    <row r="12" spans="2:20" ht="12" customHeight="1" thickBot="1" x14ac:dyDescent="0.3">
      <c r="B12" s="62" t="s">
        <v>14</v>
      </c>
      <c r="C12" s="12">
        <v>10</v>
      </c>
      <c r="D12" s="13">
        <v>10</v>
      </c>
      <c r="E12" s="2"/>
      <c r="F12" s="24">
        <v>6.5</v>
      </c>
      <c r="G12" s="95"/>
      <c r="H12" s="2"/>
      <c r="I12" s="2"/>
      <c r="J12" s="2"/>
      <c r="K12" s="2"/>
      <c r="L12" s="2"/>
      <c r="M12" s="2"/>
      <c r="N12" s="2"/>
      <c r="O12" s="24">
        <v>7.5</v>
      </c>
      <c r="P12" s="95"/>
      <c r="Q12" s="2"/>
      <c r="R12" s="33">
        <v>10</v>
      </c>
      <c r="S12" s="64">
        <v>10</v>
      </c>
      <c r="T12" s="65" t="s">
        <v>14</v>
      </c>
    </row>
    <row r="13" spans="2:20" ht="12" customHeight="1" x14ac:dyDescent="0.25">
      <c r="B13" s="63" t="s">
        <v>15</v>
      </c>
      <c r="C13" s="12">
        <v>10</v>
      </c>
      <c r="D13" s="13">
        <v>14</v>
      </c>
      <c r="E13" s="2"/>
      <c r="F13" s="157" t="s">
        <v>20</v>
      </c>
      <c r="G13" s="144"/>
      <c r="H13" s="2"/>
      <c r="I13" s="117" t="s">
        <v>30</v>
      </c>
      <c r="J13" s="174" t="s">
        <v>31</v>
      </c>
      <c r="K13" s="174"/>
      <c r="L13" s="175" t="s">
        <v>64</v>
      </c>
      <c r="M13" s="176"/>
      <c r="N13" s="2"/>
      <c r="O13" s="157" t="s">
        <v>20</v>
      </c>
      <c r="P13" s="144"/>
      <c r="Q13" s="2"/>
      <c r="R13" s="33">
        <v>10</v>
      </c>
      <c r="S13" s="64">
        <v>14</v>
      </c>
      <c r="T13" s="66" t="s">
        <v>15</v>
      </c>
    </row>
    <row r="14" spans="2:20" ht="12" customHeight="1" thickBot="1" x14ac:dyDescent="0.3">
      <c r="B14" s="20" t="s">
        <v>16</v>
      </c>
      <c r="C14" s="153" t="s">
        <v>80</v>
      </c>
      <c r="D14" s="154"/>
      <c r="E14" s="2"/>
      <c r="F14" s="120">
        <v>1</v>
      </c>
      <c r="G14" s="96"/>
      <c r="H14" s="2"/>
      <c r="I14" s="122"/>
      <c r="J14" s="136" t="s">
        <v>32</v>
      </c>
      <c r="K14" s="136"/>
      <c r="L14" s="136" t="s">
        <v>84</v>
      </c>
      <c r="M14" s="137"/>
      <c r="N14" s="2"/>
      <c r="O14" s="120">
        <v>1</v>
      </c>
      <c r="P14" s="96"/>
      <c r="Q14" s="2"/>
      <c r="R14" s="184" t="s">
        <v>80</v>
      </c>
      <c r="S14" s="164"/>
      <c r="T14" s="30" t="s">
        <v>16</v>
      </c>
    </row>
    <row r="15" spans="2:20" ht="12" customHeight="1" thickBot="1" x14ac:dyDescent="0.3">
      <c r="B15" s="21" t="s">
        <v>17</v>
      </c>
      <c r="C15" s="74">
        <f>C16-15.1-C17</f>
        <v>26.150000000000013</v>
      </c>
      <c r="D15" s="99"/>
      <c r="E15" s="2"/>
      <c r="F15" s="157" t="s">
        <v>83</v>
      </c>
      <c r="G15" s="144"/>
      <c r="H15" s="2"/>
      <c r="I15" s="124" t="s">
        <v>87</v>
      </c>
      <c r="J15" s="185">
        <v>172.5</v>
      </c>
      <c r="K15" s="185"/>
      <c r="L15" s="186"/>
      <c r="M15" s="187"/>
      <c r="N15" s="2"/>
      <c r="O15" s="157" t="s">
        <v>83</v>
      </c>
      <c r="P15" s="144"/>
      <c r="Q15" s="2"/>
      <c r="R15" s="33">
        <f>R16-15.1-R17</f>
        <v>26.150000000000013</v>
      </c>
      <c r="S15" s="105"/>
      <c r="T15" s="31" t="s">
        <v>17</v>
      </c>
    </row>
    <row r="16" spans="2:20" ht="12" customHeight="1" thickBot="1" x14ac:dyDescent="0.3">
      <c r="B16" s="21" t="s">
        <v>86</v>
      </c>
      <c r="C16" s="74">
        <v>87.4</v>
      </c>
      <c r="D16" s="99"/>
      <c r="E16" s="2"/>
      <c r="F16" s="223">
        <v>-0.34</v>
      </c>
      <c r="G16" s="96"/>
      <c r="H16" s="2"/>
      <c r="I16" s="123"/>
      <c r="J16" s="138" t="s">
        <v>12</v>
      </c>
      <c r="K16" s="138"/>
      <c r="L16" s="139" t="s">
        <v>13</v>
      </c>
      <c r="M16" s="140"/>
      <c r="N16" s="2"/>
      <c r="O16" s="223">
        <v>-0.28000000000000003</v>
      </c>
      <c r="P16" s="96"/>
      <c r="Q16" s="2"/>
      <c r="R16" s="33">
        <v>87.4</v>
      </c>
      <c r="S16" s="105"/>
      <c r="T16" s="31" t="s">
        <v>86</v>
      </c>
    </row>
    <row r="17" spans="2:20" ht="12" customHeight="1" thickBot="1" x14ac:dyDescent="0.3">
      <c r="B17" s="22" t="s">
        <v>68</v>
      </c>
      <c r="C17" s="72">
        <f>26+23.9-3.75</f>
        <v>46.15</v>
      </c>
      <c r="D17" s="101"/>
      <c r="E17" s="2"/>
      <c r="F17" s="166" t="s">
        <v>69</v>
      </c>
      <c r="G17" s="167"/>
      <c r="H17" s="2"/>
      <c r="I17" s="113" t="s">
        <v>14</v>
      </c>
      <c r="J17" s="163">
        <v>7</v>
      </c>
      <c r="K17" s="164"/>
      <c r="L17" s="163">
        <v>8</v>
      </c>
      <c r="M17" s="165"/>
      <c r="N17" s="2"/>
      <c r="O17" s="166" t="s">
        <v>69</v>
      </c>
      <c r="P17" s="167"/>
      <c r="Q17" s="2"/>
      <c r="R17" s="24">
        <v>46.15</v>
      </c>
      <c r="S17" s="104"/>
      <c r="T17" s="32" t="s">
        <v>68</v>
      </c>
    </row>
    <row r="18" spans="2:20" ht="12" customHeight="1" thickBot="1" x14ac:dyDescent="0.3">
      <c r="B18" s="6"/>
      <c r="C18" s="2"/>
      <c r="D18" s="2"/>
      <c r="E18" s="2"/>
      <c r="F18" s="226" t="s">
        <v>96</v>
      </c>
      <c r="G18" s="97"/>
      <c r="H18" s="2"/>
      <c r="I18" s="114" t="s">
        <v>15</v>
      </c>
      <c r="J18" s="200">
        <v>11</v>
      </c>
      <c r="K18" s="201"/>
      <c r="L18" s="200">
        <v>10</v>
      </c>
      <c r="M18" s="210"/>
      <c r="N18" s="2"/>
      <c r="O18" s="226" t="s">
        <v>96</v>
      </c>
      <c r="P18" s="97"/>
      <c r="Q18" s="2"/>
      <c r="R18" s="2"/>
      <c r="T18" s="5"/>
    </row>
    <row r="19" spans="2:20" ht="12" customHeight="1" thickBot="1" x14ac:dyDescent="0.3">
      <c r="B19" s="6"/>
      <c r="C19" s="2"/>
      <c r="D19" s="2"/>
      <c r="E19" s="2"/>
      <c r="F19" s="161" t="s">
        <v>21</v>
      </c>
      <c r="G19" s="162"/>
      <c r="H19" s="2"/>
      <c r="I19" s="2"/>
      <c r="J19" s="2"/>
      <c r="K19" s="2"/>
      <c r="L19" s="2"/>
      <c r="M19" s="2"/>
      <c r="N19" s="2"/>
      <c r="O19" s="161" t="s">
        <v>21</v>
      </c>
      <c r="P19" s="162"/>
      <c r="Q19" s="2"/>
      <c r="R19" s="2"/>
      <c r="T19" s="5"/>
    </row>
    <row r="20" spans="2:20" ht="12" customHeight="1" thickBot="1" x14ac:dyDescent="0.3">
      <c r="B20" s="92" t="s">
        <v>23</v>
      </c>
      <c r="C20" s="168" t="s">
        <v>25</v>
      </c>
      <c r="D20" s="169"/>
      <c r="E20" s="2"/>
      <c r="F20" s="118">
        <v>64.5</v>
      </c>
      <c r="G20" s="119"/>
      <c r="H20" s="2"/>
      <c r="I20" s="2"/>
      <c r="J20" s="2"/>
      <c r="K20" s="2"/>
      <c r="L20" s="2"/>
      <c r="M20" s="2"/>
      <c r="N20" s="2"/>
      <c r="O20" s="118">
        <v>64.5</v>
      </c>
      <c r="P20" s="119"/>
      <c r="Q20" s="2"/>
      <c r="R20" s="173"/>
      <c r="S20" s="173"/>
      <c r="T20" s="59"/>
    </row>
    <row r="21" spans="2:20" ht="12" customHeight="1" thickBot="1" x14ac:dyDescent="0.3">
      <c r="B21" s="93" t="s">
        <v>24</v>
      </c>
      <c r="C21" s="224" t="s">
        <v>99</v>
      </c>
      <c r="D21" s="225" t="s">
        <v>99</v>
      </c>
      <c r="E21" s="17"/>
      <c r="F21" s="118">
        <v>253</v>
      </c>
      <c r="G21" s="119"/>
      <c r="H21" s="2"/>
      <c r="I21" s="2"/>
      <c r="J21" s="2"/>
      <c r="K21" s="2"/>
      <c r="L21" s="2"/>
      <c r="M21" s="2"/>
      <c r="N21" s="2"/>
      <c r="O21" s="118">
        <v>253</v>
      </c>
      <c r="P21" s="119"/>
      <c r="Q21" s="2"/>
      <c r="R21" s="2"/>
      <c r="T21" s="5"/>
    </row>
    <row r="22" spans="2:20" ht="12" customHeight="1" thickBot="1" x14ac:dyDescent="0.3">
      <c r="B22" s="94" t="s">
        <v>73</v>
      </c>
      <c r="C22" s="90">
        <v>5</v>
      </c>
      <c r="D22" s="91">
        <v>5</v>
      </c>
      <c r="E22" s="17"/>
      <c r="F22" s="17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T22" s="5"/>
    </row>
    <row r="23" spans="2:20" ht="12" customHeight="1" thickBot="1" x14ac:dyDescent="0.3">
      <c r="B23" s="6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13" t="s">
        <v>29</v>
      </c>
      <c r="S23" s="214"/>
      <c r="T23" s="109">
        <v>0</v>
      </c>
    </row>
    <row r="24" spans="2:20" ht="12" customHeight="1" x14ac:dyDescent="0.25">
      <c r="B24" s="134" t="s">
        <v>58</v>
      </c>
      <c r="C24" s="76" t="s">
        <v>59</v>
      </c>
      <c r="D24" s="76" t="s">
        <v>60</v>
      </c>
      <c r="E24" s="172" t="s">
        <v>61</v>
      </c>
      <c r="F24" s="167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130" t="s">
        <v>78</v>
      </c>
      <c r="S24" s="131"/>
      <c r="T24" s="110"/>
    </row>
    <row r="25" spans="2:20" ht="12" customHeight="1" thickBot="1" x14ac:dyDescent="0.3">
      <c r="B25" s="135"/>
      <c r="C25" s="16">
        <v>16.8</v>
      </c>
      <c r="D25" s="16">
        <v>19.100000000000001</v>
      </c>
      <c r="E25" s="77">
        <v>0.62</v>
      </c>
      <c r="F25" s="233">
        <v>0.59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130" t="s">
        <v>77</v>
      </c>
      <c r="S25" s="131"/>
      <c r="T25" s="110"/>
    </row>
    <row r="26" spans="2:20" ht="12" customHeight="1" thickBot="1" x14ac:dyDescent="0.3">
      <c r="B26" s="6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32" t="s">
        <v>79</v>
      </c>
      <c r="S26" s="133"/>
      <c r="T26" s="111">
        <v>75</v>
      </c>
    </row>
    <row r="27" spans="2:20" ht="12" customHeight="1" x14ac:dyDescent="0.25">
      <c r="B27" s="6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T27" s="5"/>
    </row>
    <row r="28" spans="2:20" x14ac:dyDescent="0.25">
      <c r="B28" s="6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T28" s="5"/>
    </row>
    <row r="29" spans="2:20" x14ac:dyDescent="0.25">
      <c r="B29" s="6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T29" s="5"/>
    </row>
    <row r="30" spans="2:20" x14ac:dyDescent="0.25">
      <c r="B30" s="6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T30" s="5"/>
    </row>
    <row r="31" spans="2:20" x14ac:dyDescent="0.25">
      <c r="B31" s="6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T31" s="5"/>
    </row>
    <row r="32" spans="2:20" x14ac:dyDescent="0.25">
      <c r="B32" s="6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T32" s="5"/>
    </row>
    <row r="33" spans="2:20" ht="12" thickBot="1" x14ac:dyDescent="0.3">
      <c r="B33" s="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T33" s="5"/>
    </row>
    <row r="34" spans="2:20" ht="12" customHeight="1" x14ac:dyDescent="0.25">
      <c r="B34" s="126" t="s">
        <v>26</v>
      </c>
      <c r="C34" s="211" t="s">
        <v>28</v>
      </c>
      <c r="D34" s="212"/>
      <c r="E34" s="2"/>
      <c r="F34" s="166" t="s">
        <v>18</v>
      </c>
      <c r="G34" s="167"/>
      <c r="H34" s="2"/>
      <c r="I34" s="2"/>
      <c r="J34" s="2"/>
      <c r="K34" s="2"/>
      <c r="L34" s="2"/>
      <c r="M34" s="2"/>
      <c r="N34" s="2"/>
      <c r="O34" s="166" t="s">
        <v>18</v>
      </c>
      <c r="P34" s="167"/>
      <c r="Q34" s="2"/>
      <c r="R34" s="2"/>
      <c r="T34" s="5"/>
    </row>
    <row r="35" spans="2:20" ht="12" thickBot="1" x14ac:dyDescent="0.3">
      <c r="B35" s="127" t="s">
        <v>27</v>
      </c>
      <c r="C35" s="227" t="s">
        <v>101</v>
      </c>
      <c r="D35" s="228" t="s">
        <v>101</v>
      </c>
      <c r="E35" s="2"/>
      <c r="F35" s="24">
        <v>-2.4</v>
      </c>
      <c r="G35" s="95"/>
      <c r="H35" s="2"/>
      <c r="I35" s="2"/>
      <c r="J35" s="2"/>
      <c r="K35" s="2"/>
      <c r="L35" s="2"/>
      <c r="M35" s="2"/>
      <c r="N35" s="2"/>
      <c r="O35" s="24">
        <v>-2.2000000000000002</v>
      </c>
      <c r="P35" s="95"/>
      <c r="Q35" s="2"/>
      <c r="R35" s="2"/>
      <c r="T35" s="5"/>
    </row>
    <row r="36" spans="2:20" ht="12" customHeight="1" x14ac:dyDescent="0.25">
      <c r="B36" s="61"/>
      <c r="E36" s="2"/>
      <c r="F36" s="170" t="s">
        <v>19</v>
      </c>
      <c r="G36" s="171"/>
      <c r="H36" s="2"/>
      <c r="I36" s="2"/>
      <c r="J36" s="2"/>
      <c r="K36" s="2"/>
      <c r="L36" s="2"/>
      <c r="M36" s="2"/>
      <c r="N36" s="2"/>
      <c r="O36" s="170" t="s">
        <v>19</v>
      </c>
      <c r="P36" s="171"/>
      <c r="Q36" s="2"/>
      <c r="R36" s="2"/>
      <c r="T36" s="5"/>
    </row>
    <row r="37" spans="2:20" ht="12" customHeight="1" thickBot="1" x14ac:dyDescent="0.3">
      <c r="B37" s="6"/>
      <c r="C37" s="2"/>
      <c r="D37" s="2"/>
      <c r="E37" s="2"/>
      <c r="F37" s="79">
        <v>4.9000000000000004</v>
      </c>
      <c r="G37" s="95"/>
      <c r="H37" s="2"/>
      <c r="I37" s="2"/>
      <c r="J37" s="2"/>
      <c r="K37" s="2"/>
      <c r="L37" s="2"/>
      <c r="M37" s="2"/>
      <c r="N37" s="2"/>
      <c r="O37" s="79">
        <v>5.8</v>
      </c>
      <c r="P37" s="95"/>
      <c r="Q37" s="2"/>
      <c r="R37" s="2"/>
      <c r="T37" s="5"/>
    </row>
    <row r="38" spans="2:20" ht="12" customHeight="1" x14ac:dyDescent="0.25">
      <c r="B38" s="19" t="s">
        <v>9</v>
      </c>
      <c r="C38" s="219" t="s">
        <v>97</v>
      </c>
      <c r="D38" s="142"/>
      <c r="E38" s="2"/>
      <c r="F38" s="141" t="s">
        <v>20</v>
      </c>
      <c r="G38" s="142"/>
      <c r="H38" s="2"/>
      <c r="I38" s="2"/>
      <c r="J38" s="2"/>
      <c r="K38" s="2"/>
      <c r="L38" s="2"/>
      <c r="M38" s="2"/>
      <c r="N38" s="2"/>
      <c r="O38" s="141" t="s">
        <v>20</v>
      </c>
      <c r="P38" s="142"/>
      <c r="Q38" s="2"/>
      <c r="R38" s="141" t="str">
        <f>C38</f>
        <v>500.200.1200</v>
      </c>
      <c r="S38" s="218"/>
      <c r="T38" s="28" t="s">
        <v>9</v>
      </c>
    </row>
    <row r="39" spans="2:20" ht="12" customHeight="1" thickBot="1" x14ac:dyDescent="0.3">
      <c r="B39" s="23" t="s">
        <v>10</v>
      </c>
      <c r="C39" s="98">
        <v>50.3</v>
      </c>
      <c r="D39" s="100"/>
      <c r="E39" s="2"/>
      <c r="F39" s="121">
        <v>-1</v>
      </c>
      <c r="G39" s="96"/>
      <c r="H39" s="2"/>
      <c r="I39" s="2"/>
      <c r="J39" s="2"/>
      <c r="K39" s="2"/>
      <c r="L39" s="2"/>
      <c r="M39" s="2"/>
      <c r="N39" s="2"/>
      <c r="O39" s="121">
        <v>-1</v>
      </c>
      <c r="P39" s="96"/>
      <c r="Q39" s="2"/>
      <c r="R39" s="112">
        <v>50.3</v>
      </c>
      <c r="S39" s="103"/>
      <c r="T39" s="29" t="s">
        <v>10</v>
      </c>
    </row>
    <row r="40" spans="2:20" ht="12" customHeight="1" x14ac:dyDescent="0.25">
      <c r="B40" s="34" t="s">
        <v>11</v>
      </c>
      <c r="C40" s="67" t="s">
        <v>12</v>
      </c>
      <c r="D40" s="68" t="s">
        <v>13</v>
      </c>
      <c r="E40" s="2"/>
      <c r="F40" s="141" t="s">
        <v>83</v>
      </c>
      <c r="G40" s="142"/>
      <c r="H40" s="2"/>
      <c r="I40" s="2"/>
      <c r="J40" s="2"/>
      <c r="K40" s="2"/>
      <c r="L40" s="2"/>
      <c r="M40" s="2"/>
      <c r="N40" s="2"/>
      <c r="O40" s="141" t="s">
        <v>83</v>
      </c>
      <c r="P40" s="142"/>
      <c r="Q40" s="2"/>
      <c r="R40" s="106" t="s">
        <v>12</v>
      </c>
      <c r="S40" s="68" t="s">
        <v>13</v>
      </c>
      <c r="T40" s="35" t="s">
        <v>11</v>
      </c>
    </row>
    <row r="41" spans="2:20" ht="12" customHeight="1" thickBot="1" x14ac:dyDescent="0.3">
      <c r="B41" s="62" t="s">
        <v>14</v>
      </c>
      <c r="C41" s="74">
        <v>9</v>
      </c>
      <c r="D41" s="75">
        <v>5</v>
      </c>
      <c r="E41" s="2"/>
      <c r="F41" s="121">
        <v>12.6</v>
      </c>
      <c r="G41" s="96"/>
      <c r="H41" s="2"/>
      <c r="I41" s="2"/>
      <c r="J41" s="2"/>
      <c r="K41" s="2"/>
      <c r="L41" s="2"/>
      <c r="M41" s="2"/>
      <c r="N41" s="2"/>
      <c r="O41" s="121">
        <v>13.4</v>
      </c>
      <c r="P41" s="96"/>
      <c r="Q41" s="2"/>
      <c r="R41" s="33">
        <v>9</v>
      </c>
      <c r="S41" s="115">
        <v>5</v>
      </c>
      <c r="T41" s="65" t="s">
        <v>14</v>
      </c>
    </row>
    <row r="42" spans="2:20" ht="12" customHeight="1" x14ac:dyDescent="0.25">
      <c r="B42" s="63" t="s">
        <v>15</v>
      </c>
      <c r="C42" s="74">
        <v>5</v>
      </c>
      <c r="D42" s="75">
        <v>9</v>
      </c>
      <c r="E42" s="2"/>
      <c r="F42" s="143" t="s">
        <v>69</v>
      </c>
      <c r="G42" s="144"/>
      <c r="H42" s="2"/>
      <c r="I42" s="2"/>
      <c r="J42" s="2"/>
      <c r="K42" s="2"/>
      <c r="L42" s="2"/>
      <c r="M42" s="2"/>
      <c r="N42" s="2"/>
      <c r="O42" s="166" t="s">
        <v>69</v>
      </c>
      <c r="P42" s="167"/>
      <c r="Q42" s="2"/>
      <c r="R42" s="33">
        <v>5</v>
      </c>
      <c r="S42" s="115">
        <v>9</v>
      </c>
      <c r="T42" s="66" t="s">
        <v>15</v>
      </c>
    </row>
    <row r="43" spans="2:20" ht="12" customHeight="1" thickBot="1" x14ac:dyDescent="0.3">
      <c r="B43" s="20" t="s">
        <v>16</v>
      </c>
      <c r="C43" s="163" t="s">
        <v>81</v>
      </c>
      <c r="D43" s="165"/>
      <c r="E43" s="2"/>
      <c r="F43" s="226" t="s">
        <v>102</v>
      </c>
      <c r="G43" s="97"/>
      <c r="H43" s="2"/>
      <c r="I43" s="2"/>
      <c r="J43" s="2"/>
      <c r="K43" s="2"/>
      <c r="L43" s="2"/>
      <c r="M43" s="2"/>
      <c r="N43" s="2"/>
      <c r="O43" s="226" t="s">
        <v>103</v>
      </c>
      <c r="P43" s="97"/>
      <c r="Q43" s="2"/>
      <c r="R43" s="184" t="s">
        <v>81</v>
      </c>
      <c r="S43" s="164"/>
      <c r="T43" s="30" t="s">
        <v>16</v>
      </c>
    </row>
    <row r="44" spans="2:20" ht="12" customHeight="1" thickBot="1" x14ac:dyDescent="0.3">
      <c r="B44" s="21" t="s">
        <v>17</v>
      </c>
      <c r="C44" s="74">
        <f>C45-15.1-C46</f>
        <v>30.100000000000009</v>
      </c>
      <c r="D44" s="99"/>
      <c r="E44" s="2"/>
      <c r="F44" s="220" t="s">
        <v>21</v>
      </c>
      <c r="G44" s="179"/>
      <c r="H44" s="2"/>
      <c r="I44" s="117" t="s">
        <v>30</v>
      </c>
      <c r="J44" s="193" t="s">
        <v>31</v>
      </c>
      <c r="K44" s="194"/>
      <c r="L44" s="195" t="s">
        <v>64</v>
      </c>
      <c r="M44" s="196"/>
      <c r="N44" s="2"/>
      <c r="O44" s="161" t="s">
        <v>21</v>
      </c>
      <c r="P44" s="162"/>
      <c r="Q44" s="2"/>
      <c r="R44" s="33">
        <f>R45-15.1-R46</f>
        <v>30.100000000000009</v>
      </c>
      <c r="S44" s="105"/>
      <c r="T44" s="31" t="s">
        <v>17</v>
      </c>
    </row>
    <row r="45" spans="2:20" ht="12" customHeight="1" thickBot="1" x14ac:dyDescent="0.3">
      <c r="B45" s="21" t="s">
        <v>86</v>
      </c>
      <c r="C45" s="74">
        <v>96.4</v>
      </c>
      <c r="D45" s="99"/>
      <c r="E45" s="2"/>
      <c r="F45" s="118">
        <v>88.2</v>
      </c>
      <c r="G45" s="119"/>
      <c r="H45" s="2"/>
      <c r="I45" s="122"/>
      <c r="J45" s="136" t="s">
        <v>82</v>
      </c>
      <c r="K45" s="136"/>
      <c r="L45" s="229" t="s">
        <v>100</v>
      </c>
      <c r="M45" s="230"/>
      <c r="N45" s="2"/>
      <c r="O45" s="118">
        <v>88.2</v>
      </c>
      <c r="P45" s="119"/>
      <c r="Q45" s="2"/>
      <c r="R45" s="33">
        <v>96.4</v>
      </c>
      <c r="S45" s="105"/>
      <c r="T45" s="31" t="s">
        <v>86</v>
      </c>
    </row>
    <row r="46" spans="2:20" ht="12" customHeight="1" thickBot="1" x14ac:dyDescent="0.3">
      <c r="B46" s="22" t="s">
        <v>68</v>
      </c>
      <c r="C46" s="72">
        <f>37+23.9-9.7</f>
        <v>51.2</v>
      </c>
      <c r="D46" s="101"/>
      <c r="E46" s="2"/>
      <c r="F46" s="118">
        <v>297.2</v>
      </c>
      <c r="G46" s="119"/>
      <c r="H46" s="2"/>
      <c r="I46" s="124" t="s">
        <v>87</v>
      </c>
      <c r="J46" s="185" t="s">
        <v>88</v>
      </c>
      <c r="K46" s="185"/>
      <c r="L46" s="186"/>
      <c r="M46" s="187"/>
      <c r="N46" s="2"/>
      <c r="O46" s="118">
        <v>297.2</v>
      </c>
      <c r="P46" s="119"/>
      <c r="Q46" s="2"/>
      <c r="R46" s="24">
        <v>51.2</v>
      </c>
      <c r="S46" s="104"/>
      <c r="T46" s="32" t="s">
        <v>68</v>
      </c>
    </row>
    <row r="47" spans="2:20" ht="12" customHeight="1" thickBot="1" x14ac:dyDescent="0.3">
      <c r="B47" s="6"/>
      <c r="C47" s="2"/>
      <c r="D47" s="2"/>
      <c r="E47" s="2"/>
      <c r="F47"/>
      <c r="G47"/>
      <c r="H47" s="2"/>
      <c r="I47" s="123"/>
      <c r="J47" s="138" t="s">
        <v>12</v>
      </c>
      <c r="K47" s="138"/>
      <c r="L47" s="139" t="s">
        <v>13</v>
      </c>
      <c r="M47" s="140"/>
      <c r="N47" s="2"/>
      <c r="Q47" s="2"/>
      <c r="R47" s="2"/>
      <c r="T47" s="5"/>
    </row>
    <row r="48" spans="2:20" ht="12" customHeight="1" thickBot="1" x14ac:dyDescent="0.3">
      <c r="B48" s="46" t="s">
        <v>42</v>
      </c>
      <c r="C48" s="47" t="s">
        <v>95</v>
      </c>
      <c r="D48" s="48" t="s">
        <v>43</v>
      </c>
      <c r="E48" s="2"/>
      <c r="F48" s="147" t="s">
        <v>44</v>
      </c>
      <c r="G48" s="148"/>
      <c r="H48" s="2"/>
      <c r="I48" s="113" t="s">
        <v>14</v>
      </c>
      <c r="J48" s="163">
        <v>11</v>
      </c>
      <c r="K48" s="164"/>
      <c r="L48" s="231">
        <v>16</v>
      </c>
      <c r="M48" s="232"/>
      <c r="N48" s="2"/>
      <c r="O48" s="55"/>
      <c r="P48" s="55"/>
      <c r="Q48" s="2"/>
      <c r="R48" s="2"/>
      <c r="T48" s="5"/>
    </row>
    <row r="49" spans="2:21" ht="12" thickBot="1" x14ac:dyDescent="0.3">
      <c r="B49" s="53" t="s">
        <v>34</v>
      </c>
      <c r="C49" s="50">
        <v>2.8460000000000001</v>
      </c>
      <c r="D49" s="51">
        <v>114</v>
      </c>
      <c r="E49" s="2"/>
      <c r="F49" s="145" t="s">
        <v>89</v>
      </c>
      <c r="G49" s="146"/>
      <c r="H49" s="2"/>
      <c r="I49" s="114" t="s">
        <v>15</v>
      </c>
      <c r="J49" s="200">
        <v>5</v>
      </c>
      <c r="K49" s="201"/>
      <c r="L49" s="200">
        <v>10</v>
      </c>
      <c r="M49" s="210"/>
      <c r="N49" s="2"/>
      <c r="O49" s="2"/>
      <c r="P49" s="2"/>
      <c r="Q49" s="2"/>
      <c r="R49" s="2"/>
      <c r="T49" s="5"/>
    </row>
    <row r="50" spans="2:21" ht="12" customHeight="1" thickBot="1" x14ac:dyDescent="0.3">
      <c r="B50" s="20" t="s">
        <v>35</v>
      </c>
      <c r="C50" s="49">
        <v>2.2000000000000002</v>
      </c>
      <c r="D50" s="52">
        <v>148</v>
      </c>
      <c r="E50" s="2"/>
      <c r="F50" s="8" t="s">
        <v>45</v>
      </c>
      <c r="G50" s="56" t="s">
        <v>46</v>
      </c>
      <c r="H50" s="2"/>
      <c r="I50" s="2"/>
      <c r="T50" s="60"/>
    </row>
    <row r="51" spans="2:21" ht="12" customHeight="1" thickBot="1" x14ac:dyDescent="0.3">
      <c r="B51" s="20" t="s">
        <v>36</v>
      </c>
      <c r="C51" s="49">
        <v>1.8</v>
      </c>
      <c r="D51" s="52">
        <v>181</v>
      </c>
      <c r="E51" s="2"/>
      <c r="F51" s="18">
        <v>35</v>
      </c>
      <c r="G51" s="13">
        <v>25</v>
      </c>
      <c r="H51" s="2"/>
      <c r="I51" s="2"/>
      <c r="J51" s="71"/>
      <c r="K51" s="71"/>
      <c r="L51" s="71"/>
      <c r="M51" s="190" t="s">
        <v>56</v>
      </c>
      <c r="N51" s="191"/>
      <c r="O51" s="191"/>
      <c r="P51" s="191"/>
      <c r="Q51" s="191"/>
      <c r="R51" s="191"/>
      <c r="S51" s="191"/>
      <c r="T51" s="192"/>
    </row>
    <row r="52" spans="2:21" ht="12" customHeight="1" x14ac:dyDescent="0.25">
      <c r="B52" s="20" t="s">
        <v>37</v>
      </c>
      <c r="C52" s="49">
        <v>1.474</v>
      </c>
      <c r="D52" s="52">
        <v>221</v>
      </c>
      <c r="E52" s="2"/>
      <c r="F52" s="145" t="s">
        <v>47</v>
      </c>
      <c r="G52" s="146"/>
      <c r="H52" s="2"/>
      <c r="I52" s="2"/>
      <c r="J52" s="215" t="s">
        <v>50</v>
      </c>
      <c r="K52" s="216"/>
      <c r="L52" s="216"/>
      <c r="M52" s="217"/>
      <c r="N52" s="208"/>
      <c r="O52" s="209"/>
      <c r="P52" s="57"/>
      <c r="Q52" s="70"/>
      <c r="R52" s="70"/>
      <c r="S52" s="71"/>
      <c r="T52" s="73"/>
    </row>
    <row r="53" spans="2:21" ht="12" customHeight="1" x14ac:dyDescent="0.25">
      <c r="B53" s="20" t="s">
        <v>38</v>
      </c>
      <c r="C53" s="49">
        <v>1.238</v>
      </c>
      <c r="D53" s="52">
        <v>263</v>
      </c>
      <c r="E53" s="2"/>
      <c r="F53" s="184">
        <v>12</v>
      </c>
      <c r="G53" s="165"/>
      <c r="H53" s="2"/>
      <c r="I53" s="2"/>
      <c r="J53" s="205" t="s">
        <v>49</v>
      </c>
      <c r="K53" s="206"/>
      <c r="L53" s="206"/>
      <c r="M53" s="207"/>
      <c r="N53" s="197"/>
      <c r="O53" s="198"/>
      <c r="P53" s="197"/>
      <c r="Q53" s="198"/>
      <c r="R53" s="199" t="s">
        <v>55</v>
      </c>
      <c r="S53" s="199"/>
      <c r="T53" s="58" t="s">
        <v>57</v>
      </c>
    </row>
    <row r="54" spans="2:21" ht="12" customHeight="1" x14ac:dyDescent="0.25">
      <c r="B54" s="20" t="s">
        <v>39</v>
      </c>
      <c r="C54" s="49">
        <v>1.087</v>
      </c>
      <c r="D54" s="52">
        <v>300</v>
      </c>
      <c r="E54" s="2"/>
      <c r="F54" s="145" t="s">
        <v>76</v>
      </c>
      <c r="G54" s="146"/>
      <c r="H54" s="2"/>
      <c r="I54" s="2"/>
      <c r="J54" s="205" t="s">
        <v>51</v>
      </c>
      <c r="K54" s="206"/>
      <c r="L54" s="206"/>
      <c r="M54" s="207"/>
      <c r="N54" s="197"/>
      <c r="O54" s="198"/>
      <c r="P54" s="71"/>
      <c r="Q54" s="71"/>
      <c r="R54" s="71"/>
      <c r="S54" s="71"/>
      <c r="T54" s="125" t="s">
        <v>94</v>
      </c>
    </row>
    <row r="55" spans="2:21" ht="12" customHeight="1" x14ac:dyDescent="0.25">
      <c r="B55" s="20" t="s">
        <v>40</v>
      </c>
      <c r="C55" s="49">
        <v>0.95799999999999996</v>
      </c>
      <c r="D55" s="52">
        <v>340</v>
      </c>
      <c r="E55" s="2"/>
      <c r="F55" s="33">
        <v>6</v>
      </c>
      <c r="G55" s="108"/>
      <c r="H55" s="2"/>
      <c r="I55" s="2"/>
      <c r="J55" s="205" t="s">
        <v>52</v>
      </c>
      <c r="K55" s="206"/>
      <c r="L55" s="206"/>
      <c r="M55" s="207"/>
      <c r="N55" s="197"/>
      <c r="O55" s="198"/>
      <c r="P55" s="71"/>
      <c r="Q55" s="71"/>
      <c r="R55" s="71"/>
      <c r="S55" s="71"/>
      <c r="T55" s="5"/>
    </row>
    <row r="56" spans="2:21" ht="12" customHeight="1" thickBot="1" x14ac:dyDescent="0.3">
      <c r="B56" s="54" t="s">
        <v>41</v>
      </c>
      <c r="C56" s="14">
        <v>3.02</v>
      </c>
      <c r="D56" s="15"/>
      <c r="E56" s="2"/>
      <c r="F56" s="128" t="s">
        <v>48</v>
      </c>
      <c r="G56" s="129"/>
      <c r="H56" s="2"/>
      <c r="I56" s="2"/>
      <c r="J56" s="205" t="s">
        <v>53</v>
      </c>
      <c r="K56" s="206"/>
      <c r="L56" s="206"/>
      <c r="M56" s="207"/>
      <c r="N56" s="197"/>
      <c r="O56" s="198"/>
      <c r="P56" s="71"/>
      <c r="Q56" s="71"/>
      <c r="R56" s="71"/>
      <c r="S56" s="71"/>
      <c r="T56" s="5"/>
    </row>
    <row r="57" spans="2:21" ht="12" customHeight="1" thickBot="1" x14ac:dyDescent="0.3">
      <c r="B57" s="61"/>
      <c r="F57" s="24">
        <v>100</v>
      </c>
      <c r="G57" s="107"/>
      <c r="J57" s="202" t="s">
        <v>54</v>
      </c>
      <c r="K57" s="203"/>
      <c r="L57" s="203"/>
      <c r="M57" s="204"/>
      <c r="N57" s="188"/>
      <c r="O57" s="189"/>
      <c r="P57" s="69"/>
      <c r="Q57" s="69"/>
      <c r="R57" s="69"/>
      <c r="S57" s="69"/>
      <c r="T57" s="60"/>
    </row>
    <row r="58" spans="2:21" x14ac:dyDescent="0.25">
      <c r="B58" s="6"/>
      <c r="C58" s="2"/>
      <c r="D58" s="2"/>
      <c r="E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T58" s="5"/>
    </row>
    <row r="59" spans="2:21" x14ac:dyDescent="0.25">
      <c r="B59" s="80" t="s">
        <v>33</v>
      </c>
      <c r="C59" s="81" t="s">
        <v>71</v>
      </c>
      <c r="D59" s="81"/>
      <c r="E59" s="81"/>
      <c r="F59" s="81" t="s">
        <v>72</v>
      </c>
      <c r="G59" s="81"/>
      <c r="H59" s="81"/>
      <c r="I59" s="81" t="s">
        <v>74</v>
      </c>
      <c r="J59" s="81"/>
      <c r="K59" s="81" t="s">
        <v>75</v>
      </c>
      <c r="L59" s="81"/>
      <c r="M59" s="81"/>
      <c r="N59" s="81"/>
      <c r="O59" s="81"/>
      <c r="P59" s="81"/>
      <c r="Q59" s="81"/>
      <c r="R59" s="81"/>
      <c r="S59" s="81"/>
      <c r="T59" s="82"/>
      <c r="U59" s="2"/>
    </row>
    <row r="60" spans="2:21" x14ac:dyDescent="0.25">
      <c r="B60" s="83" t="s">
        <v>70</v>
      </c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5"/>
      <c r="U60" s="2"/>
    </row>
    <row r="61" spans="2:21" x14ac:dyDescent="0.25">
      <c r="B61" s="83" t="s">
        <v>85</v>
      </c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5"/>
    </row>
    <row r="62" spans="2:21" x14ac:dyDescent="0.25">
      <c r="B62" s="83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5"/>
    </row>
    <row r="63" spans="2:21" x14ac:dyDescent="0.25">
      <c r="B63" s="83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6"/>
      <c r="T63" s="85"/>
    </row>
    <row r="64" spans="2:21" x14ac:dyDescent="0.25">
      <c r="B64" s="83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5"/>
    </row>
    <row r="65" spans="2:20" x14ac:dyDescent="0.25">
      <c r="B65" s="83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5"/>
    </row>
    <row r="66" spans="2:20" ht="12" thickBot="1" x14ac:dyDescent="0.3">
      <c r="B66" s="87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9"/>
    </row>
    <row r="67" spans="2:20" ht="2.1" customHeight="1" thickTop="1" x14ac:dyDescent="0.25"/>
  </sheetData>
  <mergeCells count="95">
    <mergeCell ref="R23:S23"/>
    <mergeCell ref="J52:M52"/>
    <mergeCell ref="J53:M53"/>
    <mergeCell ref="F53:G53"/>
    <mergeCell ref="C43:D43"/>
    <mergeCell ref="R38:S38"/>
    <mergeCell ref="C38:D38"/>
    <mergeCell ref="F44:G44"/>
    <mergeCell ref="L48:M48"/>
    <mergeCell ref="J49:K49"/>
    <mergeCell ref="L49:M49"/>
    <mergeCell ref="O34:P34"/>
    <mergeCell ref="O42:P42"/>
    <mergeCell ref="O44:P44"/>
    <mergeCell ref="L44:M44"/>
    <mergeCell ref="P53:Q53"/>
    <mergeCell ref="R53:S53"/>
    <mergeCell ref="L46:M46"/>
    <mergeCell ref="N52:O52"/>
    <mergeCell ref="N53:O53"/>
    <mergeCell ref="N57:O57"/>
    <mergeCell ref="M51:T51"/>
    <mergeCell ref="R43:S43"/>
    <mergeCell ref="J48:K48"/>
    <mergeCell ref="J44:K44"/>
    <mergeCell ref="J46:K46"/>
    <mergeCell ref="J57:M57"/>
    <mergeCell ref="J56:M56"/>
    <mergeCell ref="N54:O54"/>
    <mergeCell ref="N55:O55"/>
    <mergeCell ref="N56:O56"/>
    <mergeCell ref="J54:M54"/>
    <mergeCell ref="J55:M55"/>
    <mergeCell ref="Q4:S4"/>
    <mergeCell ref="Q5:S5"/>
    <mergeCell ref="R20:S20"/>
    <mergeCell ref="J13:K13"/>
    <mergeCell ref="L13:M13"/>
    <mergeCell ref="J14:K14"/>
    <mergeCell ref="L14:M14"/>
    <mergeCell ref="J9:L9"/>
    <mergeCell ref="L10:M10"/>
    <mergeCell ref="J10:K10"/>
    <mergeCell ref="O19:P19"/>
    <mergeCell ref="O15:P15"/>
    <mergeCell ref="R9:S9"/>
    <mergeCell ref="R14:S14"/>
    <mergeCell ref="O9:P9"/>
    <mergeCell ref="O11:P11"/>
    <mergeCell ref="O17:P17"/>
    <mergeCell ref="F38:G38"/>
    <mergeCell ref="C20:D20"/>
    <mergeCell ref="F36:G36"/>
    <mergeCell ref="E24:F24"/>
    <mergeCell ref="O38:P38"/>
    <mergeCell ref="O36:P36"/>
    <mergeCell ref="F34:G34"/>
    <mergeCell ref="J18:K18"/>
    <mergeCell ref="L18:M18"/>
    <mergeCell ref="C34:D34"/>
    <mergeCell ref="F15:G15"/>
    <mergeCell ref="F19:G19"/>
    <mergeCell ref="J16:K16"/>
    <mergeCell ref="L16:M16"/>
    <mergeCell ref="J17:K17"/>
    <mergeCell ref="L17:M17"/>
    <mergeCell ref="F17:G17"/>
    <mergeCell ref="J15:K15"/>
    <mergeCell ref="L15:M15"/>
    <mergeCell ref="O13:P13"/>
    <mergeCell ref="C14:D14"/>
    <mergeCell ref="F9:G9"/>
    <mergeCell ref="F11:G11"/>
    <mergeCell ref="F13:G13"/>
    <mergeCell ref="I2:M2"/>
    <mergeCell ref="J4:M4"/>
    <mergeCell ref="J5:M5"/>
    <mergeCell ref="J6:M6"/>
    <mergeCell ref="C9:D9"/>
    <mergeCell ref="F56:G56"/>
    <mergeCell ref="R24:S24"/>
    <mergeCell ref="R26:S26"/>
    <mergeCell ref="R25:S25"/>
    <mergeCell ref="B24:B25"/>
    <mergeCell ref="J45:K45"/>
    <mergeCell ref="L45:M45"/>
    <mergeCell ref="J47:K47"/>
    <mergeCell ref="L47:M47"/>
    <mergeCell ref="O40:P40"/>
    <mergeCell ref="F40:G40"/>
    <mergeCell ref="F42:G42"/>
    <mergeCell ref="F54:G54"/>
    <mergeCell ref="F49:G49"/>
    <mergeCell ref="F52:G52"/>
    <mergeCell ref="F48:G48"/>
  </mergeCells>
  <phoneticPr fontId="15" type="noConversion"/>
  <printOptions horizontalCentered="1" verticalCentered="1"/>
  <pageMargins left="0.25" right="0.25" top="0.1" bottom="0.1" header="0.1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709</vt:lpstr>
      <vt:lpstr>'709'!Print_Area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Matteo.Paganini</dc:creator>
  <cp:lastModifiedBy>Matteo.Paganini</cp:lastModifiedBy>
  <cp:lastPrinted>2021-08-18T07:36:03Z</cp:lastPrinted>
  <dcterms:created xsi:type="dcterms:W3CDTF">2015-06-05T18:17:20Z</dcterms:created>
  <dcterms:modified xsi:type="dcterms:W3CDTF">2021-08-18T07:36:09Z</dcterms:modified>
</cp:coreProperties>
</file>