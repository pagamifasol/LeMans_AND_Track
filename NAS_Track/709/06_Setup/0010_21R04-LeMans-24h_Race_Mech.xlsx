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DF6B61E3-3211-4C48-B324-A8770C3ADE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09" sheetId="1" r:id="rId1"/>
  </sheets>
  <definedNames>
    <definedName name="_xlnm.Print_Area" localSheetId="0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1" l="1"/>
  <c r="C17" i="1"/>
  <c r="R9" i="1" l="1"/>
  <c r="R38" i="1"/>
</calcChain>
</file>

<file path=xl/sharedStrings.xml><?xml version="1.0" encoding="utf-8"?>
<sst xmlns="http://schemas.openxmlformats.org/spreadsheetml/2006/main" count="168" uniqueCount="100">
  <si>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</si>
  <si>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</si>
  <si>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</si>
  <si>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</si>
  <si>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</si>
  <si>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</si>
  <si>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</si>
  <si>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</si>
  <si>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</si>
  <si>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</si>
  <si>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</si>
  <si>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</si>
  <si>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</si>
  <si>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</si>
  <si>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</si>
  <si>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</si>
  <si>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</si>
  <si>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</si>
  <si>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</si>
  <si>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</si>
  <si>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</si>
  <si>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</si>
  <si>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</si>
  <si>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</si>
  <si>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</si>
  <si>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</si>
  <si>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</si>
  <si>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</si>
  <si>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</si>
  <si>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</si>
  <si>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</si>
  <si>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</si>
  <si>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</si>
  <si>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</si>
  <si>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</si>
  <si>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</si>
  <si>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</si>
  <si>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</si>
  <si>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</si>
  <si>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</si>
  <si>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</si>
  <si>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</si>
  <si>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</si>
  <si>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</si>
  <si>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</si>
  <si>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</si>
  <si>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</si>
  <si>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</si>
  <si>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</si>
  <si>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</si>
  <si>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</si>
  <si>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</si>
  <si>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</si>
  <si>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</si>
  <si>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</si>
  <si>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</si>
  <si>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</si>
  <si>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</si>
  <si>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</si>
  <si>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</si>
  <si>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</si>
  <si>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</si>
  <si>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</si>
  <si>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</si>
  <si>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</si>
  <si>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</si>
  <si>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</si>
  <si>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</si>
  <si>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</si>
  <si>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</si>
  <si>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</si>
  <si>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</si>
  <si>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</si>
  <si>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</si>
  <si>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</si>
  <si>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</si>
  <si>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</si>
  <si>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</si>
  <si>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</si>
  <si>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</si>
  <si>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</si>
  <si>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</si>
  <si>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Toe Shim</t>
  </si>
  <si>
    <t>Shaft Free Length</t>
  </si>
  <si>
    <t>Shaft Free L.</t>
  </si>
  <si>
    <t>233 mm</t>
  </si>
  <si>
    <t>Ramps Angle [°]</t>
  </si>
  <si>
    <t>Westbrook, Dumas,Briscoe</t>
  </si>
  <si>
    <t>Christophe Boittin</t>
  </si>
  <si>
    <t>|</t>
  </si>
  <si>
    <t>Long</t>
  </si>
  <si>
    <t>Middle</t>
  </si>
  <si>
    <t>Brown</t>
  </si>
  <si>
    <t>500.200.1350</t>
  </si>
  <si>
    <t>6.9 + 357</t>
  </si>
  <si>
    <t>4.8+613</t>
  </si>
  <si>
    <t>24h Race</t>
  </si>
  <si>
    <t>20/8/21</t>
  </si>
  <si>
    <t>47.3 mm</t>
  </si>
  <si>
    <t>42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</si>
</sst>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4"/>
      <name val="Calibri"/>
      <family val="2"/>
      <scheme val="minor"/>
    </font>
    <font>
      <b/>
      <sz val="8"/>
      <color theme="7" tint="-0.499984740745262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8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0" fillId="19" borderId="27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0" fillId="19" borderId="54" xfId="0" applyFont="1" applyFill="1" applyBorder="1" applyAlignment="1">
      <alignment horizontal="center" vertical="center"/>
    </xf>
    <xf numFmtId="0" fontId="10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2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9" fontId="12" fillId="0" borderId="63" xfId="0" applyNumberFormat="1" applyFont="1" applyBorder="1" applyAlignment="1">
      <alignment horizontal="center" vertical="center"/>
    </xf>
    <xf numFmtId="164" fontId="1" fillId="0" borderId="47" xfId="0" applyNumberFormat="1" applyFont="1" applyBorder="1" applyAlignment="1">
      <alignment vertical="center"/>
    </xf>
    <xf numFmtId="2" fontId="12" fillId="0" borderId="14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7" fillId="0" borderId="80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22" xfId="0" quotePrefix="1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quotePrefix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0" fontId="7" fillId="8" borderId="80" xfId="0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horizontal="center" vertical="center"/>
    </xf>
    <xf numFmtId="0" fontId="19" fillId="20" borderId="24" xfId="0" quotePrefix="1" applyFont="1" applyFill="1" applyBorder="1" applyAlignment="1">
      <alignment horizontal="center" vertical="center"/>
    </xf>
    <xf numFmtId="0" fontId="19" fillId="20" borderId="24" xfId="0" applyFont="1" applyFill="1" applyBorder="1" applyAlignment="1">
      <alignment horizontal="center" vertical="center"/>
    </xf>
    <xf numFmtId="0" fontId="20" fillId="20" borderId="24" xfId="0" quotePrefix="1" applyFont="1" applyFill="1" applyBorder="1" applyAlignment="1">
      <alignment horizontal="center" vertical="center"/>
    </xf>
    <xf numFmtId="0" fontId="19" fillId="20" borderId="46" xfId="1" applyFont="1" applyFill="1" applyBorder="1" applyAlignment="1">
      <alignment horizontal="center" vertical="center"/>
    </xf>
    <xf numFmtId="164" fontId="19" fillId="20" borderId="46" xfId="1" applyNumberFormat="1" applyFont="1" applyFill="1" applyBorder="1" applyAlignment="1">
      <alignment horizontal="center" vertical="center"/>
    </xf>
    <xf numFmtId="0" fontId="2" fillId="20" borderId="94" xfId="0" applyFont="1" applyFill="1" applyBorder="1" applyAlignment="1">
      <alignment horizontal="center" vertical="center"/>
    </xf>
    <xf numFmtId="0" fontId="2" fillId="20" borderId="25" xfId="0" applyFont="1" applyFill="1" applyBorder="1" applyAlignment="1">
      <alignment horizontal="center" vertical="center"/>
    </xf>
    <xf numFmtId="0" fontId="19" fillId="20" borderId="94" xfId="0" applyFont="1" applyFill="1" applyBorder="1" applyAlignment="1">
      <alignment horizontal="center" vertical="center"/>
    </xf>
    <xf numFmtId="0" fontId="19" fillId="20" borderId="25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66FF66"/>
      <color rgb="FFFFCCFF"/>
      <color rgb="FFCC99FF"/>
      <color rgb="FF66FF33"/>
      <color rgb="FFCCFF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>
      <selection activeCell="L46" sqref="L46:M46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4"/>
      <c r="C2" s="25"/>
      <c r="D2" s="25"/>
      <c r="E2" s="25"/>
      <c r="F2" s="25"/>
      <c r="G2" s="25"/>
      <c r="H2" s="26"/>
      <c r="I2" s="153" t="s">
        <v>0</v>
      </c>
      <c r="J2" s="154"/>
      <c r="K2" s="154"/>
      <c r="L2" s="154"/>
      <c r="M2" s="155"/>
      <c r="N2" s="24"/>
      <c r="O2" s="25"/>
      <c r="P2" s="25"/>
      <c r="Q2" s="25"/>
      <c r="R2" s="25"/>
      <c r="S2" s="25"/>
      <c r="T2" s="26"/>
    </row>
    <row r="3" spans="2:20" ht="3" customHeight="1" thickTop="1" thickBot="1" x14ac:dyDescent="0.3">
      <c r="B3" s="4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7"/>
    </row>
    <row r="4" spans="2:20" ht="12" customHeight="1" x14ac:dyDescent="0.25">
      <c r="B4" s="35"/>
      <c r="C4" s="38"/>
      <c r="D4" s="38"/>
      <c r="E4" s="38"/>
      <c r="F4" s="7" t="s">
        <v>7</v>
      </c>
      <c r="G4" s="132" t="s">
        <v>96</v>
      </c>
      <c r="H4" s="38"/>
      <c r="I4" s="7" t="s">
        <v>4</v>
      </c>
      <c r="J4" s="156">
        <v>709</v>
      </c>
      <c r="K4" s="156"/>
      <c r="L4" s="156"/>
      <c r="M4" s="148"/>
      <c r="N4" s="38"/>
      <c r="O4" s="38"/>
      <c r="P4" s="7" t="s">
        <v>1</v>
      </c>
      <c r="Q4" s="185" t="s">
        <v>87</v>
      </c>
      <c r="R4" s="185"/>
      <c r="S4" s="186"/>
      <c r="T4" s="39"/>
    </row>
    <row r="5" spans="2:20" ht="12" customHeight="1" thickBot="1" x14ac:dyDescent="0.3">
      <c r="B5" s="35"/>
      <c r="C5" s="38"/>
      <c r="D5" s="38"/>
      <c r="E5" s="38"/>
      <c r="F5" s="8" t="s">
        <v>8</v>
      </c>
      <c r="G5" s="77" t="s">
        <v>97</v>
      </c>
      <c r="H5" s="38"/>
      <c r="I5" s="8" t="s">
        <v>5</v>
      </c>
      <c r="J5" s="157"/>
      <c r="K5" s="157"/>
      <c r="L5" s="157"/>
      <c r="M5" s="158"/>
      <c r="N5" s="38"/>
      <c r="O5" s="38"/>
      <c r="P5" s="9" t="s">
        <v>2</v>
      </c>
      <c r="Q5" s="159" t="s">
        <v>88</v>
      </c>
      <c r="R5" s="159"/>
      <c r="S5" s="160"/>
      <c r="T5" s="39"/>
    </row>
    <row r="6" spans="2:20" ht="12" customHeight="1" thickBot="1" x14ac:dyDescent="0.3">
      <c r="B6" s="35"/>
      <c r="C6" s="38"/>
      <c r="D6" s="38"/>
      <c r="E6" s="38"/>
      <c r="F6" s="9" t="s">
        <v>3</v>
      </c>
      <c r="G6" s="14" t="s">
        <v>64</v>
      </c>
      <c r="H6" s="38"/>
      <c r="I6" s="9" t="s">
        <v>6</v>
      </c>
      <c r="J6" s="159"/>
      <c r="K6" s="159"/>
      <c r="L6" s="159"/>
      <c r="M6" s="160"/>
      <c r="N6" s="38"/>
      <c r="O6" s="43"/>
      <c r="P6" s="38"/>
      <c r="Q6" s="38"/>
      <c r="R6" s="38"/>
      <c r="S6" s="38"/>
      <c r="T6" s="39"/>
    </row>
    <row r="7" spans="2:20" ht="3" customHeight="1" thickBot="1" x14ac:dyDescent="0.3">
      <c r="B7" s="42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1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8" t="s">
        <v>9</v>
      </c>
      <c r="C9" s="156" t="s">
        <v>65</v>
      </c>
      <c r="D9" s="148"/>
      <c r="E9" s="2"/>
      <c r="F9" s="147" t="s">
        <v>18</v>
      </c>
      <c r="G9" s="162"/>
      <c r="H9" s="2"/>
      <c r="I9" s="114" t="s">
        <v>61</v>
      </c>
      <c r="J9" s="191" t="s">
        <v>62</v>
      </c>
      <c r="K9" s="192"/>
      <c r="L9" s="193"/>
      <c r="M9" s="2"/>
      <c r="N9" s="2"/>
      <c r="O9" s="147" t="s">
        <v>18</v>
      </c>
      <c r="P9" s="162"/>
      <c r="Q9" s="2"/>
      <c r="R9" s="161" t="str">
        <f>C9</f>
        <v>400.200.950</v>
      </c>
      <c r="S9" s="156"/>
      <c r="T9" s="27" t="s">
        <v>9</v>
      </c>
    </row>
    <row r="10" spans="2:20" ht="12" customHeight="1" thickBot="1" x14ac:dyDescent="0.3">
      <c r="B10" s="22" t="s">
        <v>10</v>
      </c>
      <c r="C10" s="97">
        <v>41</v>
      </c>
      <c r="D10" s="99"/>
      <c r="E10" s="2"/>
      <c r="F10" s="23">
        <v>-2.7</v>
      </c>
      <c r="G10" s="94"/>
      <c r="H10" s="2"/>
      <c r="I10" s="23" t="s">
        <v>22</v>
      </c>
      <c r="J10" s="196">
        <v>0</v>
      </c>
      <c r="K10" s="197"/>
      <c r="L10" s="194"/>
      <c r="M10" s="195"/>
      <c r="N10" s="2"/>
      <c r="O10" s="23">
        <v>-2.5</v>
      </c>
      <c r="P10" s="94"/>
      <c r="Q10" s="2"/>
      <c r="R10" s="127">
        <v>41</v>
      </c>
      <c r="S10" s="101"/>
      <c r="T10" s="28" t="s">
        <v>10</v>
      </c>
    </row>
    <row r="11" spans="2:20" ht="12" customHeight="1" x14ac:dyDescent="0.25">
      <c r="B11" s="33" t="s">
        <v>11</v>
      </c>
      <c r="C11" s="66" t="s">
        <v>12</v>
      </c>
      <c r="D11" s="67" t="s">
        <v>13</v>
      </c>
      <c r="E11" s="2"/>
      <c r="F11" s="163" t="s">
        <v>19</v>
      </c>
      <c r="G11" s="164"/>
      <c r="H11" s="2"/>
      <c r="N11" s="2"/>
      <c r="O11" s="163" t="s">
        <v>19</v>
      </c>
      <c r="P11" s="164"/>
      <c r="Q11" s="2"/>
      <c r="R11" s="104" t="s">
        <v>12</v>
      </c>
      <c r="S11" s="67" t="s">
        <v>13</v>
      </c>
      <c r="T11" s="34" t="s">
        <v>11</v>
      </c>
    </row>
    <row r="12" spans="2:20" ht="12" customHeight="1" thickBot="1" x14ac:dyDescent="0.3">
      <c r="B12" s="61" t="s">
        <v>14</v>
      </c>
      <c r="C12" s="11">
        <v>10</v>
      </c>
      <c r="D12" s="12">
        <v>10</v>
      </c>
      <c r="E12" s="2"/>
      <c r="F12" s="23">
        <v>6.82</v>
      </c>
      <c r="G12" s="94"/>
      <c r="H12" s="2"/>
      <c r="I12" s="2"/>
      <c r="J12" s="2"/>
      <c r="K12" s="2"/>
      <c r="L12" s="2"/>
      <c r="M12" s="2"/>
      <c r="N12" s="2"/>
      <c r="O12" s="23">
        <v>8.1</v>
      </c>
      <c r="P12" s="94"/>
      <c r="Q12" s="2"/>
      <c r="R12" s="32">
        <v>10</v>
      </c>
      <c r="S12" s="63">
        <v>10</v>
      </c>
      <c r="T12" s="64" t="s">
        <v>14</v>
      </c>
    </row>
    <row r="13" spans="2:20" ht="12" customHeight="1" x14ac:dyDescent="0.25">
      <c r="B13" s="62" t="s">
        <v>15</v>
      </c>
      <c r="C13" s="11">
        <v>1</v>
      </c>
      <c r="D13" s="12">
        <v>16</v>
      </c>
      <c r="E13" s="2"/>
      <c r="F13" s="161" t="s">
        <v>20</v>
      </c>
      <c r="G13" s="148"/>
      <c r="H13" s="2"/>
      <c r="I13" s="115" t="s">
        <v>29</v>
      </c>
      <c r="J13" s="188" t="s">
        <v>30</v>
      </c>
      <c r="K13" s="188"/>
      <c r="L13" s="189" t="s">
        <v>63</v>
      </c>
      <c r="M13" s="190"/>
      <c r="N13" s="2"/>
      <c r="O13" s="161" t="s">
        <v>20</v>
      </c>
      <c r="P13" s="148"/>
      <c r="Q13" s="2"/>
      <c r="R13" s="32">
        <v>1</v>
      </c>
      <c r="S13" s="63">
        <v>16</v>
      </c>
      <c r="T13" s="65" t="s">
        <v>15</v>
      </c>
    </row>
    <row r="14" spans="2:20" ht="12" customHeight="1" thickBot="1" x14ac:dyDescent="0.3">
      <c r="B14" s="19" t="s">
        <v>16</v>
      </c>
      <c r="C14" s="157" t="s">
        <v>78</v>
      </c>
      <c r="D14" s="158"/>
      <c r="E14" s="2"/>
      <c r="F14" s="117">
        <v>2</v>
      </c>
      <c r="G14" s="95"/>
      <c r="H14" s="2"/>
      <c r="I14" s="118"/>
      <c r="J14" s="141" t="s">
        <v>31</v>
      </c>
      <c r="K14" s="141"/>
      <c r="L14" s="236" t="s">
        <v>98</v>
      </c>
      <c r="M14" s="237"/>
      <c r="N14" s="2"/>
      <c r="O14" s="117">
        <v>2</v>
      </c>
      <c r="P14" s="95"/>
      <c r="Q14" s="2"/>
      <c r="R14" s="198" t="s">
        <v>78</v>
      </c>
      <c r="S14" s="168"/>
      <c r="T14" s="29" t="s">
        <v>16</v>
      </c>
    </row>
    <row r="15" spans="2:20" ht="12" customHeight="1" thickBot="1" x14ac:dyDescent="0.3">
      <c r="B15" s="20" t="s">
        <v>17</v>
      </c>
      <c r="C15" s="73">
        <v>26.3</v>
      </c>
      <c r="D15" s="98"/>
      <c r="E15" s="2"/>
      <c r="F15" s="161" t="s">
        <v>81</v>
      </c>
      <c r="G15" s="148"/>
      <c r="H15" s="2"/>
      <c r="I15" s="120" t="s">
        <v>84</v>
      </c>
      <c r="J15" s="172">
        <v>172.5</v>
      </c>
      <c r="K15" s="172"/>
      <c r="L15" s="173"/>
      <c r="M15" s="174"/>
      <c r="N15" s="2"/>
      <c r="O15" s="161" t="s">
        <v>81</v>
      </c>
      <c r="P15" s="148"/>
      <c r="Q15" s="2"/>
      <c r="R15" s="32">
        <v>26.3</v>
      </c>
      <c r="S15" s="103"/>
      <c r="T15" s="30" t="s">
        <v>17</v>
      </c>
    </row>
    <row r="16" spans="2:20" ht="12" customHeight="1" thickBot="1" x14ac:dyDescent="0.3">
      <c r="B16" s="20" t="s">
        <v>83</v>
      </c>
      <c r="C16" s="73">
        <v>87.4</v>
      </c>
      <c r="D16" s="98"/>
      <c r="E16" s="2"/>
      <c r="F16" s="128">
        <v>14.35</v>
      </c>
      <c r="G16" s="95"/>
      <c r="H16" s="2"/>
      <c r="I16" s="119"/>
      <c r="J16" s="142" t="s">
        <v>12</v>
      </c>
      <c r="K16" s="142"/>
      <c r="L16" s="143" t="s">
        <v>13</v>
      </c>
      <c r="M16" s="144"/>
      <c r="N16" s="2"/>
      <c r="O16" s="128">
        <v>12.62</v>
      </c>
      <c r="P16" s="95"/>
      <c r="Q16" s="2"/>
      <c r="R16" s="32">
        <v>87.4</v>
      </c>
      <c r="S16" s="103"/>
      <c r="T16" s="30" t="s">
        <v>83</v>
      </c>
    </row>
    <row r="17" spans="2:20" ht="12" customHeight="1" thickBot="1" x14ac:dyDescent="0.3">
      <c r="B17" s="21" t="s">
        <v>66</v>
      </c>
      <c r="C17" s="71">
        <f>26+23.9-3.75</f>
        <v>46.15</v>
      </c>
      <c r="D17" s="100"/>
      <c r="E17" s="2"/>
      <c r="F17" s="170" t="s">
        <v>67</v>
      </c>
      <c r="G17" s="171"/>
      <c r="H17" s="2"/>
      <c r="I17" s="111" t="s">
        <v>14</v>
      </c>
      <c r="J17" s="167">
        <v>7</v>
      </c>
      <c r="K17" s="168"/>
      <c r="L17" s="167">
        <v>8</v>
      </c>
      <c r="M17" s="169"/>
      <c r="N17" s="2"/>
      <c r="O17" s="170" t="s">
        <v>67</v>
      </c>
      <c r="P17" s="171"/>
      <c r="Q17" s="2"/>
      <c r="R17" s="23">
        <v>46.15</v>
      </c>
      <c r="S17" s="102"/>
      <c r="T17" s="31" t="s">
        <v>66</v>
      </c>
    </row>
    <row r="18" spans="2:20" ht="12" customHeight="1" thickBot="1" x14ac:dyDescent="0.3">
      <c r="B18" s="6"/>
      <c r="C18" s="2"/>
      <c r="D18" s="2"/>
      <c r="E18" s="2"/>
      <c r="F18" s="231" t="s">
        <v>95</v>
      </c>
      <c r="G18" s="96"/>
      <c r="H18" s="2"/>
      <c r="I18" s="112" t="s">
        <v>15</v>
      </c>
      <c r="J18" s="180">
        <v>11</v>
      </c>
      <c r="K18" s="181"/>
      <c r="L18" s="180">
        <v>10</v>
      </c>
      <c r="M18" s="182"/>
      <c r="N18" s="2"/>
      <c r="O18" s="232" t="s">
        <v>95</v>
      </c>
      <c r="P18" s="96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65" t="s">
        <v>21</v>
      </c>
      <c r="G19" s="166"/>
      <c r="H19" s="2"/>
      <c r="I19" s="2"/>
      <c r="J19" s="2"/>
      <c r="K19" s="2"/>
      <c r="L19" s="2"/>
      <c r="M19" s="2"/>
      <c r="N19" s="2"/>
      <c r="O19" s="165" t="s">
        <v>21</v>
      </c>
      <c r="P19" s="166"/>
      <c r="Q19" s="2"/>
      <c r="R19" s="2"/>
      <c r="T19" s="5"/>
    </row>
    <row r="20" spans="2:20" ht="12" customHeight="1" thickBot="1" x14ac:dyDescent="0.3">
      <c r="B20" s="91" t="s">
        <v>23</v>
      </c>
      <c r="C20" s="175" t="s">
        <v>25</v>
      </c>
      <c r="D20" s="176"/>
      <c r="E20" s="2"/>
      <c r="F20" s="234">
        <v>68.5</v>
      </c>
      <c r="G20" s="116"/>
      <c r="H20" s="2"/>
      <c r="I20" s="2"/>
      <c r="J20" s="2"/>
      <c r="K20" s="2"/>
      <c r="L20" s="2"/>
      <c r="M20" s="2"/>
      <c r="N20" s="2"/>
      <c r="O20" s="234">
        <v>68.5</v>
      </c>
      <c r="P20" s="116"/>
      <c r="Q20" s="2"/>
      <c r="R20" s="187"/>
      <c r="S20" s="187"/>
      <c r="T20" s="58"/>
    </row>
    <row r="21" spans="2:20" ht="12" customHeight="1" thickBot="1" x14ac:dyDescent="0.3">
      <c r="B21" s="92" t="s">
        <v>24</v>
      </c>
      <c r="C21" s="129"/>
      <c r="D21" s="130"/>
      <c r="E21" s="16"/>
      <c r="F21" s="235">
        <v>249</v>
      </c>
      <c r="G21" s="116"/>
      <c r="H21" s="2"/>
      <c r="I21" s="2"/>
      <c r="J21" s="2"/>
      <c r="K21" s="2"/>
      <c r="L21" s="2"/>
      <c r="M21" s="2"/>
      <c r="N21" s="2"/>
      <c r="O21" s="235">
        <v>249</v>
      </c>
      <c r="P21" s="116"/>
      <c r="Q21" s="2"/>
      <c r="R21" s="2"/>
      <c r="T21" s="5"/>
    </row>
    <row r="22" spans="2:20" ht="12" customHeight="1" thickBot="1" x14ac:dyDescent="0.3">
      <c r="B22" s="93" t="s">
        <v>71</v>
      </c>
      <c r="C22" s="89">
        <v>4</v>
      </c>
      <c r="D22" s="90">
        <v>4</v>
      </c>
      <c r="E22" s="16"/>
      <c r="F22" s="1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14" t="s">
        <v>28</v>
      </c>
      <c r="S23" s="215"/>
      <c r="T23" s="107">
        <v>0</v>
      </c>
    </row>
    <row r="24" spans="2:20" ht="12" customHeight="1" x14ac:dyDescent="0.25">
      <c r="B24" s="139" t="s">
        <v>57</v>
      </c>
      <c r="C24" s="75" t="s">
        <v>58</v>
      </c>
      <c r="D24" s="75" t="s">
        <v>59</v>
      </c>
      <c r="E24" s="179" t="s">
        <v>60</v>
      </c>
      <c r="F24" s="17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35" t="s">
        <v>76</v>
      </c>
      <c r="S24" s="136"/>
      <c r="T24" s="108"/>
    </row>
    <row r="25" spans="2:20" ht="12" customHeight="1" thickBot="1" x14ac:dyDescent="0.3">
      <c r="B25" s="140"/>
      <c r="C25" s="15">
        <v>16.8</v>
      </c>
      <c r="D25" s="15">
        <v>19.100000000000001</v>
      </c>
      <c r="E25" s="76">
        <v>0.62</v>
      </c>
      <c r="F25" s="126">
        <v>0.59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35" t="s">
        <v>75</v>
      </c>
      <c r="S25" s="136"/>
      <c r="T25" s="108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37" t="s">
        <v>77</v>
      </c>
      <c r="S26" s="138"/>
      <c r="T26" s="109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2" t="s">
        <v>26</v>
      </c>
      <c r="C34" s="183" t="s">
        <v>92</v>
      </c>
      <c r="D34" s="184"/>
      <c r="E34" s="2"/>
      <c r="F34" s="170" t="s">
        <v>18</v>
      </c>
      <c r="G34" s="171"/>
      <c r="H34" s="2"/>
      <c r="I34" s="2"/>
      <c r="J34" s="2"/>
      <c r="K34" s="2"/>
      <c r="L34" s="2"/>
      <c r="M34" s="2"/>
      <c r="N34" s="2"/>
      <c r="O34" s="170" t="s">
        <v>18</v>
      </c>
      <c r="P34" s="171"/>
      <c r="Q34" s="2"/>
      <c r="R34" s="2"/>
      <c r="T34" s="5"/>
    </row>
    <row r="35" spans="2:20" ht="12" thickBot="1" x14ac:dyDescent="0.3">
      <c r="B35" s="123" t="s">
        <v>27</v>
      </c>
      <c r="C35" s="124" t="s">
        <v>91</v>
      </c>
      <c r="D35" s="125" t="s">
        <v>91</v>
      </c>
      <c r="E35" s="2"/>
      <c r="F35" s="23">
        <v>-2.2000000000000002</v>
      </c>
      <c r="G35" s="94"/>
      <c r="H35" s="2"/>
      <c r="I35" s="2"/>
      <c r="J35" s="2"/>
      <c r="K35" s="2"/>
      <c r="L35" s="2"/>
      <c r="M35" s="2"/>
      <c r="N35" s="2"/>
      <c r="O35" s="23">
        <v>-2.1</v>
      </c>
      <c r="P35" s="94"/>
      <c r="Q35" s="2"/>
      <c r="R35" s="2"/>
      <c r="T35" s="5"/>
    </row>
    <row r="36" spans="2:20" ht="12" customHeight="1" x14ac:dyDescent="0.25">
      <c r="B36" s="60"/>
      <c r="E36" s="2"/>
      <c r="F36" s="177" t="s">
        <v>19</v>
      </c>
      <c r="G36" s="178"/>
      <c r="H36" s="2"/>
      <c r="I36" s="2"/>
      <c r="J36" s="2"/>
      <c r="K36" s="2"/>
      <c r="L36" s="2"/>
      <c r="M36" s="2"/>
      <c r="N36" s="2"/>
      <c r="O36" s="177" t="s">
        <v>19</v>
      </c>
      <c r="P36" s="178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8">
        <v>5.0999999999999996</v>
      </c>
      <c r="G37" s="94"/>
      <c r="H37" s="2"/>
      <c r="I37" s="2"/>
      <c r="J37" s="2"/>
      <c r="K37" s="2"/>
      <c r="L37" s="2"/>
      <c r="M37" s="2"/>
      <c r="N37" s="2"/>
      <c r="O37" s="78">
        <v>5.4</v>
      </c>
      <c r="P37" s="94"/>
      <c r="Q37" s="2"/>
      <c r="R37" s="2"/>
      <c r="T37" s="5"/>
    </row>
    <row r="38" spans="2:20" ht="12" customHeight="1" x14ac:dyDescent="0.25">
      <c r="B38" s="18" t="s">
        <v>9</v>
      </c>
      <c r="C38" s="225" t="s">
        <v>93</v>
      </c>
      <c r="D38" s="146"/>
      <c r="E38" s="2"/>
      <c r="F38" s="145" t="s">
        <v>20</v>
      </c>
      <c r="G38" s="146"/>
      <c r="H38" s="2"/>
      <c r="I38" s="2"/>
      <c r="J38" s="2"/>
      <c r="K38" s="2"/>
      <c r="L38" s="2"/>
      <c r="M38" s="2"/>
      <c r="N38" s="2"/>
      <c r="O38" s="145" t="s">
        <v>20</v>
      </c>
      <c r="P38" s="146"/>
      <c r="Q38" s="2"/>
      <c r="R38" s="145" t="str">
        <f>C38</f>
        <v>500.200.1350</v>
      </c>
      <c r="S38" s="224"/>
      <c r="T38" s="27" t="s">
        <v>9</v>
      </c>
    </row>
    <row r="39" spans="2:20" ht="12" customHeight="1" thickBot="1" x14ac:dyDescent="0.3">
      <c r="B39" s="22" t="s">
        <v>10</v>
      </c>
      <c r="C39" s="97">
        <v>44.9</v>
      </c>
      <c r="D39" s="99"/>
      <c r="E39" s="2"/>
      <c r="F39" s="117">
        <v>-1</v>
      </c>
      <c r="G39" s="95"/>
      <c r="H39" s="2"/>
      <c r="I39" s="2"/>
      <c r="J39" s="2"/>
      <c r="K39" s="2"/>
      <c r="L39" s="2"/>
      <c r="M39" s="2"/>
      <c r="N39" s="2"/>
      <c r="O39" s="117">
        <v>-1</v>
      </c>
      <c r="P39" s="95"/>
      <c r="Q39" s="2"/>
      <c r="R39" s="110">
        <v>44.9</v>
      </c>
      <c r="S39" s="101"/>
      <c r="T39" s="28" t="s">
        <v>10</v>
      </c>
    </row>
    <row r="40" spans="2:20" ht="12" customHeight="1" x14ac:dyDescent="0.25">
      <c r="B40" s="33" t="s">
        <v>11</v>
      </c>
      <c r="C40" s="66" t="s">
        <v>12</v>
      </c>
      <c r="D40" s="67" t="s">
        <v>13</v>
      </c>
      <c r="E40" s="2"/>
      <c r="F40" s="145" t="s">
        <v>81</v>
      </c>
      <c r="G40" s="146"/>
      <c r="H40" s="2"/>
      <c r="I40" s="2"/>
      <c r="J40" s="2"/>
      <c r="K40" s="2"/>
      <c r="L40" s="2"/>
      <c r="M40" s="2"/>
      <c r="N40" s="2"/>
      <c r="O40" s="145" t="s">
        <v>81</v>
      </c>
      <c r="P40" s="146"/>
      <c r="Q40" s="2"/>
      <c r="R40" s="104" t="s">
        <v>12</v>
      </c>
      <c r="S40" s="67" t="s">
        <v>13</v>
      </c>
      <c r="T40" s="34" t="s">
        <v>11</v>
      </c>
    </row>
    <row r="41" spans="2:20" ht="12" customHeight="1" thickBot="1" x14ac:dyDescent="0.3">
      <c r="B41" s="61" t="s">
        <v>14</v>
      </c>
      <c r="C41" s="73">
        <v>9</v>
      </c>
      <c r="D41" s="74">
        <v>5</v>
      </c>
      <c r="E41" s="2"/>
      <c r="F41" s="131">
        <v>13.37</v>
      </c>
      <c r="G41" s="95"/>
      <c r="H41" s="2"/>
      <c r="I41" s="2"/>
      <c r="J41" s="2"/>
      <c r="K41" s="2"/>
      <c r="L41" s="2"/>
      <c r="M41" s="2"/>
      <c r="N41" s="2"/>
      <c r="O41" s="131">
        <v>13.13</v>
      </c>
      <c r="P41" s="95"/>
      <c r="Q41" s="2"/>
      <c r="R41" s="32">
        <v>9</v>
      </c>
      <c r="S41" s="113">
        <v>5</v>
      </c>
      <c r="T41" s="64" t="s">
        <v>14</v>
      </c>
    </row>
    <row r="42" spans="2:20" ht="12" customHeight="1" x14ac:dyDescent="0.25">
      <c r="B42" s="62" t="s">
        <v>15</v>
      </c>
      <c r="C42" s="73">
        <v>5</v>
      </c>
      <c r="D42" s="74">
        <v>14</v>
      </c>
      <c r="E42" s="2"/>
      <c r="F42" s="147" t="s">
        <v>67</v>
      </c>
      <c r="G42" s="148"/>
      <c r="H42" s="2"/>
      <c r="I42" s="2"/>
      <c r="J42" s="2"/>
      <c r="K42" s="2"/>
      <c r="L42" s="2"/>
      <c r="M42" s="2"/>
      <c r="N42" s="2"/>
      <c r="O42" s="170" t="s">
        <v>67</v>
      </c>
      <c r="P42" s="171"/>
      <c r="Q42" s="2"/>
      <c r="R42" s="32">
        <v>5</v>
      </c>
      <c r="S42" s="113">
        <v>14</v>
      </c>
      <c r="T42" s="65" t="s">
        <v>15</v>
      </c>
    </row>
    <row r="43" spans="2:20" ht="12" customHeight="1" thickBot="1" x14ac:dyDescent="0.3">
      <c r="B43" s="19" t="s">
        <v>16</v>
      </c>
      <c r="C43" s="167" t="s">
        <v>79</v>
      </c>
      <c r="D43" s="169"/>
      <c r="E43" s="2"/>
      <c r="F43" s="233" t="s">
        <v>94</v>
      </c>
      <c r="G43" s="96"/>
      <c r="H43" s="2"/>
      <c r="I43" s="2"/>
      <c r="J43" s="2"/>
      <c r="K43" s="2"/>
      <c r="L43" s="202"/>
      <c r="M43" s="203"/>
      <c r="N43" s="2"/>
      <c r="O43" s="233" t="s">
        <v>94</v>
      </c>
      <c r="P43" s="96"/>
      <c r="Q43" s="2"/>
      <c r="R43" s="198" t="s">
        <v>79</v>
      </c>
      <c r="S43" s="168"/>
      <c r="T43" s="29" t="s">
        <v>16</v>
      </c>
    </row>
    <row r="44" spans="2:20" ht="12" customHeight="1" thickBot="1" x14ac:dyDescent="0.3">
      <c r="B44" s="20" t="s">
        <v>17</v>
      </c>
      <c r="C44" s="73">
        <v>30.6</v>
      </c>
      <c r="D44" s="98"/>
      <c r="E44" s="2"/>
      <c r="F44" s="226" t="s">
        <v>21</v>
      </c>
      <c r="G44" s="193"/>
      <c r="H44" s="2"/>
      <c r="I44" s="115" t="s">
        <v>29</v>
      </c>
      <c r="J44" s="219" t="s">
        <v>30</v>
      </c>
      <c r="K44" s="220"/>
      <c r="L44" s="229" t="s">
        <v>63</v>
      </c>
      <c r="M44" s="230"/>
      <c r="N44" s="2"/>
      <c r="O44" s="165" t="s">
        <v>21</v>
      </c>
      <c r="P44" s="166"/>
      <c r="Q44" s="2"/>
      <c r="R44" s="32">
        <v>30.6</v>
      </c>
      <c r="S44" s="103"/>
      <c r="T44" s="30" t="s">
        <v>17</v>
      </c>
    </row>
    <row r="45" spans="2:20" ht="12" customHeight="1" thickBot="1" x14ac:dyDescent="0.3">
      <c r="B45" s="20" t="s">
        <v>83</v>
      </c>
      <c r="C45" s="73">
        <v>96.4</v>
      </c>
      <c r="D45" s="98"/>
      <c r="E45" s="2"/>
      <c r="F45" s="234">
        <v>89</v>
      </c>
      <c r="G45" s="116"/>
      <c r="H45" s="2"/>
      <c r="I45" s="118"/>
      <c r="J45" s="141" t="s">
        <v>80</v>
      </c>
      <c r="K45" s="141"/>
      <c r="L45" s="238" t="s">
        <v>99</v>
      </c>
      <c r="M45" s="239"/>
      <c r="N45" s="2"/>
      <c r="O45" s="234">
        <v>89</v>
      </c>
      <c r="P45" s="116"/>
      <c r="Q45" s="2"/>
      <c r="R45" s="32">
        <v>96.4</v>
      </c>
      <c r="S45" s="103"/>
      <c r="T45" s="30" t="s">
        <v>83</v>
      </c>
    </row>
    <row r="46" spans="2:20" ht="12" customHeight="1" thickBot="1" x14ac:dyDescent="0.3">
      <c r="B46" s="21" t="s">
        <v>66</v>
      </c>
      <c r="C46" s="71">
        <f>37+23.9-9.7</f>
        <v>51.2</v>
      </c>
      <c r="D46" s="100"/>
      <c r="E46" s="2"/>
      <c r="F46" s="235">
        <v>296.39999999999998</v>
      </c>
      <c r="G46" s="116"/>
      <c r="H46" s="2"/>
      <c r="I46" s="120" t="s">
        <v>84</v>
      </c>
      <c r="J46" s="172" t="s">
        <v>85</v>
      </c>
      <c r="K46" s="172"/>
      <c r="L46" s="173"/>
      <c r="M46" s="174"/>
      <c r="N46" s="2"/>
      <c r="O46" s="235">
        <v>296.39999999999998</v>
      </c>
      <c r="P46" s="116"/>
      <c r="Q46" s="2"/>
      <c r="R46" s="23">
        <v>51.2</v>
      </c>
      <c r="S46" s="102"/>
      <c r="T46" s="31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19"/>
      <c r="J47" s="142" t="s">
        <v>12</v>
      </c>
      <c r="K47" s="142"/>
      <c r="L47" s="143" t="s">
        <v>13</v>
      </c>
      <c r="M47" s="144"/>
      <c r="N47" s="2"/>
      <c r="Q47" s="2"/>
      <c r="R47" s="2"/>
      <c r="T47" s="5"/>
    </row>
    <row r="48" spans="2:20" ht="12" customHeight="1" thickBot="1" x14ac:dyDescent="0.3">
      <c r="B48" s="45" t="s">
        <v>41</v>
      </c>
      <c r="C48" s="46" t="s">
        <v>90</v>
      </c>
      <c r="D48" s="47" t="s">
        <v>42</v>
      </c>
      <c r="E48" s="2"/>
      <c r="F48" s="151" t="s">
        <v>43</v>
      </c>
      <c r="G48" s="152"/>
      <c r="H48" s="2"/>
      <c r="I48" s="111" t="s">
        <v>14</v>
      </c>
      <c r="J48" s="167">
        <v>11</v>
      </c>
      <c r="K48" s="168"/>
      <c r="L48" s="227">
        <v>10</v>
      </c>
      <c r="M48" s="228"/>
      <c r="N48" s="2"/>
      <c r="O48" s="54"/>
      <c r="P48" s="54"/>
      <c r="Q48" s="2"/>
      <c r="R48" s="2"/>
      <c r="T48" s="5"/>
    </row>
    <row r="49" spans="2:21" ht="12" thickBot="1" x14ac:dyDescent="0.3">
      <c r="B49" s="52" t="s">
        <v>33</v>
      </c>
      <c r="C49" s="49">
        <v>2.8460000000000001</v>
      </c>
      <c r="D49" s="50">
        <v>114</v>
      </c>
      <c r="E49" s="2"/>
      <c r="F49" s="149" t="s">
        <v>86</v>
      </c>
      <c r="G49" s="150"/>
      <c r="H49" s="2"/>
      <c r="I49" s="112" t="s">
        <v>15</v>
      </c>
      <c r="J49" s="180">
        <v>5</v>
      </c>
      <c r="K49" s="181"/>
      <c r="L49" s="180">
        <v>10</v>
      </c>
      <c r="M49" s="182"/>
      <c r="N49" s="2"/>
      <c r="O49" s="2"/>
      <c r="P49" s="2"/>
      <c r="Q49" s="2"/>
      <c r="R49" s="2"/>
      <c r="T49" s="5"/>
    </row>
    <row r="50" spans="2:21" ht="12" customHeight="1" thickBot="1" x14ac:dyDescent="0.3">
      <c r="B50" s="19" t="s">
        <v>34</v>
      </c>
      <c r="C50" s="48">
        <v>2.2000000000000002</v>
      </c>
      <c r="D50" s="51">
        <v>148</v>
      </c>
      <c r="E50" s="2"/>
      <c r="F50" s="8" t="s">
        <v>44</v>
      </c>
      <c r="G50" s="55" t="s">
        <v>45</v>
      </c>
      <c r="H50" s="2"/>
      <c r="I50" s="2"/>
      <c r="T50" s="59"/>
    </row>
    <row r="51" spans="2:21" ht="12" customHeight="1" thickBot="1" x14ac:dyDescent="0.3">
      <c r="B51" s="19" t="s">
        <v>35</v>
      </c>
      <c r="C51" s="48">
        <v>1.8</v>
      </c>
      <c r="D51" s="51">
        <v>181</v>
      </c>
      <c r="E51" s="2"/>
      <c r="F51" s="17">
        <v>35</v>
      </c>
      <c r="G51" s="12">
        <v>25</v>
      </c>
      <c r="H51" s="2"/>
      <c r="I51" s="2"/>
      <c r="J51" s="70"/>
      <c r="K51" s="70"/>
      <c r="L51" s="70"/>
      <c r="M51" s="211" t="s">
        <v>55</v>
      </c>
      <c r="N51" s="212"/>
      <c r="O51" s="212"/>
      <c r="P51" s="212"/>
      <c r="Q51" s="212"/>
      <c r="R51" s="212"/>
      <c r="S51" s="212"/>
      <c r="T51" s="213"/>
    </row>
    <row r="52" spans="2:21" ht="12" customHeight="1" x14ac:dyDescent="0.25">
      <c r="B52" s="19" t="s">
        <v>36</v>
      </c>
      <c r="C52" s="48">
        <v>1.474</v>
      </c>
      <c r="D52" s="51">
        <v>221</v>
      </c>
      <c r="E52" s="2"/>
      <c r="F52" s="149" t="s">
        <v>46</v>
      </c>
      <c r="G52" s="150"/>
      <c r="H52" s="2"/>
      <c r="I52" s="2"/>
      <c r="J52" s="216" t="s">
        <v>49</v>
      </c>
      <c r="K52" s="217"/>
      <c r="L52" s="217"/>
      <c r="M52" s="218"/>
      <c r="N52" s="205"/>
      <c r="O52" s="206"/>
      <c r="P52" s="56"/>
      <c r="Q52" s="69"/>
      <c r="R52" s="69"/>
      <c r="S52" s="70"/>
      <c r="T52" s="72"/>
    </row>
    <row r="53" spans="2:21" ht="12" customHeight="1" x14ac:dyDescent="0.25">
      <c r="B53" s="19" t="s">
        <v>37</v>
      </c>
      <c r="C53" s="48">
        <v>1.238</v>
      </c>
      <c r="D53" s="51">
        <v>263</v>
      </c>
      <c r="E53" s="2"/>
      <c r="F53" s="198">
        <v>12</v>
      </c>
      <c r="G53" s="169"/>
      <c r="H53" s="2"/>
      <c r="I53" s="2"/>
      <c r="J53" s="199" t="s">
        <v>48</v>
      </c>
      <c r="K53" s="200"/>
      <c r="L53" s="200"/>
      <c r="M53" s="201"/>
      <c r="N53" s="207"/>
      <c r="O53" s="208"/>
      <c r="P53" s="207"/>
      <c r="Q53" s="208"/>
      <c r="R53" s="204" t="s">
        <v>54</v>
      </c>
      <c r="S53" s="204"/>
      <c r="T53" s="57" t="s">
        <v>56</v>
      </c>
    </row>
    <row r="54" spans="2:21" ht="12" customHeight="1" x14ac:dyDescent="0.25">
      <c r="B54" s="19" t="s">
        <v>38</v>
      </c>
      <c r="C54" s="48">
        <v>1.087</v>
      </c>
      <c r="D54" s="51">
        <v>300</v>
      </c>
      <c r="E54" s="2"/>
      <c r="F54" s="149" t="s">
        <v>74</v>
      </c>
      <c r="G54" s="150"/>
      <c r="H54" s="2"/>
      <c r="I54" s="2"/>
      <c r="J54" s="199" t="s">
        <v>50</v>
      </c>
      <c r="K54" s="200"/>
      <c r="L54" s="200"/>
      <c r="M54" s="201"/>
      <c r="N54" s="207"/>
      <c r="O54" s="208"/>
      <c r="P54" s="70"/>
      <c r="Q54" s="70"/>
      <c r="R54" s="70"/>
      <c r="S54" s="70"/>
      <c r="T54" s="121" t="s">
        <v>89</v>
      </c>
    </row>
    <row r="55" spans="2:21" ht="12" customHeight="1" x14ac:dyDescent="0.25">
      <c r="B55" s="19" t="s">
        <v>39</v>
      </c>
      <c r="C55" s="48">
        <v>0.95799999999999996</v>
      </c>
      <c r="D55" s="51">
        <v>340</v>
      </c>
      <c r="E55" s="2"/>
      <c r="F55" s="32">
        <v>6</v>
      </c>
      <c r="G55" s="106"/>
      <c r="H55" s="2"/>
      <c r="I55" s="2"/>
      <c r="J55" s="199" t="s">
        <v>51</v>
      </c>
      <c r="K55" s="200"/>
      <c r="L55" s="200"/>
      <c r="M55" s="201"/>
      <c r="N55" s="207"/>
      <c r="O55" s="208"/>
      <c r="P55" s="70"/>
      <c r="Q55" s="70"/>
      <c r="R55" s="70"/>
      <c r="S55" s="70"/>
      <c r="T55" s="5"/>
    </row>
    <row r="56" spans="2:21" ht="12" customHeight="1" thickBot="1" x14ac:dyDescent="0.3">
      <c r="B56" s="53" t="s">
        <v>40</v>
      </c>
      <c r="C56" s="13">
        <v>3.02</v>
      </c>
      <c r="D56" s="14"/>
      <c r="E56" s="2"/>
      <c r="F56" s="133" t="s">
        <v>47</v>
      </c>
      <c r="G56" s="134"/>
      <c r="H56" s="2"/>
      <c r="I56" s="2"/>
      <c r="J56" s="199" t="s">
        <v>52</v>
      </c>
      <c r="K56" s="200"/>
      <c r="L56" s="200"/>
      <c r="M56" s="201"/>
      <c r="N56" s="207"/>
      <c r="O56" s="208"/>
      <c r="P56" s="70"/>
      <c r="Q56" s="70"/>
      <c r="R56" s="70"/>
      <c r="S56" s="70"/>
      <c r="T56" s="5"/>
    </row>
    <row r="57" spans="2:21" ht="12" customHeight="1" thickBot="1" x14ac:dyDescent="0.3">
      <c r="B57" s="60"/>
      <c r="F57" s="23">
        <v>100</v>
      </c>
      <c r="G57" s="105"/>
      <c r="J57" s="221" t="s">
        <v>53</v>
      </c>
      <c r="K57" s="222"/>
      <c r="L57" s="222"/>
      <c r="M57" s="223"/>
      <c r="N57" s="209"/>
      <c r="O57" s="210"/>
      <c r="P57" s="68"/>
      <c r="Q57" s="68"/>
      <c r="R57" s="68"/>
      <c r="S57" s="68"/>
      <c r="T57" s="59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79" t="s">
        <v>32</v>
      </c>
      <c r="C59" s="80" t="s">
        <v>69</v>
      </c>
      <c r="D59" s="80"/>
      <c r="E59" s="80"/>
      <c r="F59" s="80" t="s">
        <v>70</v>
      </c>
      <c r="G59" s="80"/>
      <c r="H59" s="80"/>
      <c r="I59" s="80" t="s">
        <v>72</v>
      </c>
      <c r="J59" s="80"/>
      <c r="K59" s="80" t="s">
        <v>73</v>
      </c>
      <c r="L59" s="80"/>
      <c r="M59" s="80"/>
      <c r="N59" s="80"/>
      <c r="O59" s="80"/>
      <c r="P59" s="80"/>
      <c r="Q59" s="80"/>
      <c r="R59" s="80"/>
      <c r="S59" s="80"/>
      <c r="T59" s="81"/>
      <c r="U59" s="2"/>
    </row>
    <row r="60" spans="2:21" x14ac:dyDescent="0.25">
      <c r="B60" s="82" t="s">
        <v>68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2"/>
    </row>
    <row r="61" spans="2:21" x14ac:dyDescent="0.25">
      <c r="B61" s="82" t="s">
        <v>82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/>
    </row>
    <row r="62" spans="2:21" x14ac:dyDescent="0.2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</row>
    <row r="63" spans="2:21" x14ac:dyDescent="0.25">
      <c r="B63" s="82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5"/>
      <c r="T63" s="84"/>
    </row>
    <row r="64" spans="2:21" x14ac:dyDescent="0.25">
      <c r="B64" s="82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4"/>
    </row>
    <row r="65" spans="2:20" x14ac:dyDescent="0.25">
      <c r="B65" s="82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4"/>
    </row>
    <row r="66" spans="2:20" ht="12" thickBot="1" x14ac:dyDescent="0.3"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8"/>
    </row>
    <row r="67" spans="2:20" ht="2.1" customHeight="1" thickTop="1" x14ac:dyDescent="0.25"/>
  </sheetData>
  <mergeCells count="96">
    <mergeCell ref="F53:G53"/>
    <mergeCell ref="C43:D43"/>
    <mergeCell ref="R38:S38"/>
    <mergeCell ref="C38:D38"/>
    <mergeCell ref="F44:G44"/>
    <mergeCell ref="L48:M48"/>
    <mergeCell ref="J49:K49"/>
    <mergeCell ref="L49:M49"/>
    <mergeCell ref="O42:P42"/>
    <mergeCell ref="O44:P44"/>
    <mergeCell ref="L44:M44"/>
    <mergeCell ref="P53:Q53"/>
    <mergeCell ref="N57:O57"/>
    <mergeCell ref="M51:T51"/>
    <mergeCell ref="R23:S23"/>
    <mergeCell ref="J52:M52"/>
    <mergeCell ref="J53:M53"/>
    <mergeCell ref="O34:P34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L43:M43"/>
    <mergeCell ref="R53:S53"/>
    <mergeCell ref="L46:M46"/>
    <mergeCell ref="N52:O52"/>
    <mergeCell ref="N53:O53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3:P13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2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709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2021-08-20T16:19:59Z</cp:lastPrinted>
  <dcterms:created xsi:type="dcterms:W3CDTF">2015-06-05T18:17:20Z</dcterms:created>
  <dcterms:modified xsi:type="dcterms:W3CDTF">2021-08-20T16:43:26Z</dcterms:modified>
</cp:coreProperties>
</file>