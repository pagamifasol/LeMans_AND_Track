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7_Report\"/>
    </mc:Choice>
  </mc:AlternateContent>
  <xr:revisionPtr revIDLastSave="0" documentId="13_ncr:1_{25CE5E1A-5D41-4594-BF76-FC90E25DD4C4}" xr6:coauthVersionLast="47" xr6:coauthVersionMax="47" xr10:uidLastSave="{00000000-0000-0000-0000-000000000000}"/>
  <bookViews>
    <workbookView xWindow="-120" yWindow="-120" windowWidth="29040" windowHeight="15840" xr2:uid="{8D06FC03-E2C8-42AD-B9F1-3F47497531EC}"/>
  </bookViews>
  <sheets>
    <sheet name="708_Set3" sheetId="11" r:id="rId1"/>
    <sheet name="709_Set3" sheetId="12" r:id="rId2"/>
    <sheet name="708" sheetId="1" r:id="rId3"/>
    <sheet name="708_Set2" sheetId="10" r:id="rId4"/>
    <sheet name="Temperatures_708" sheetId="3" r:id="rId5"/>
    <sheet name="709" sheetId="2" r:id="rId6"/>
    <sheet name="709_Set2" sheetId="9" r:id="rId7"/>
    <sheet name="709 Test day LVDT" sheetId="5" r:id="rId8"/>
    <sheet name="709_FP1_LVDT" sheetId="6" r:id="rId9"/>
    <sheet name="709_QLY_LVDT" sheetId="7" r:id="rId10"/>
    <sheet name="709_FP2_LVDT" sheetId="8" r:id="rId11"/>
    <sheet name="Pad LVDTs 709" sheetId="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1" l="1"/>
  <c r="G36" i="11"/>
  <c r="M36" i="11" s="1"/>
  <c r="E35" i="11"/>
  <c r="G35" i="11"/>
  <c r="S35" i="11" s="1"/>
  <c r="E34" i="11"/>
  <c r="G34" i="11"/>
  <c r="S34" i="11" s="1"/>
  <c r="E33" i="11"/>
  <c r="R33" i="11"/>
  <c r="G33" i="11"/>
  <c r="S33" i="11" s="1"/>
  <c r="R24" i="12"/>
  <c r="S24" i="12"/>
  <c r="E23" i="12"/>
  <c r="F23" i="12"/>
  <c r="G23" i="12"/>
  <c r="E24" i="12"/>
  <c r="F24" i="12"/>
  <c r="H25" i="12" s="1"/>
  <c r="J25" i="12" s="1"/>
  <c r="G24" i="12"/>
  <c r="I24" i="12" s="1"/>
  <c r="K24" i="12" s="1"/>
  <c r="R34" i="11"/>
  <c r="R35" i="11"/>
  <c r="R36" i="11"/>
  <c r="R37" i="11"/>
  <c r="R38" i="11"/>
  <c r="S38" i="11"/>
  <c r="R39" i="11"/>
  <c r="R40" i="11"/>
  <c r="S40" i="11"/>
  <c r="R41" i="11"/>
  <c r="S41" i="11"/>
  <c r="R42" i="11"/>
  <c r="S42" i="11"/>
  <c r="R43" i="11"/>
  <c r="S43" i="11"/>
  <c r="R44" i="11"/>
  <c r="S44" i="11"/>
  <c r="R45" i="11"/>
  <c r="S45" i="11"/>
  <c r="R46" i="11"/>
  <c r="S46" i="11"/>
  <c r="R47" i="11"/>
  <c r="S47" i="11"/>
  <c r="R48" i="11"/>
  <c r="S48" i="11"/>
  <c r="R49" i="11"/>
  <c r="S49" i="11"/>
  <c r="R50" i="11"/>
  <c r="S50" i="11"/>
  <c r="R51" i="11"/>
  <c r="S51" i="11"/>
  <c r="R52" i="11"/>
  <c r="S52" i="11"/>
  <c r="R53" i="11"/>
  <c r="S53" i="11"/>
  <c r="R54" i="11"/>
  <c r="S54" i="11"/>
  <c r="R32" i="11"/>
  <c r="G32" i="11"/>
  <c r="S32" i="11" s="1"/>
  <c r="R31" i="11"/>
  <c r="S31" i="11"/>
  <c r="E31" i="11"/>
  <c r="G31" i="11"/>
  <c r="M29" i="11"/>
  <c r="M30" i="11"/>
  <c r="S30" i="11"/>
  <c r="E30" i="11"/>
  <c r="R30" i="11"/>
  <c r="G30" i="11"/>
  <c r="R29" i="11"/>
  <c r="S29" i="11"/>
  <c r="E29" i="11"/>
  <c r="G29" i="11"/>
  <c r="R28" i="11"/>
  <c r="S28" i="11"/>
  <c r="E28" i="11"/>
  <c r="G28" i="11"/>
  <c r="R23" i="12"/>
  <c r="S23" i="12"/>
  <c r="I23" i="12"/>
  <c r="F28" i="11"/>
  <c r="R22" i="12"/>
  <c r="S22" i="12"/>
  <c r="E22" i="12"/>
  <c r="F22" i="12"/>
  <c r="G22" i="12"/>
  <c r="G27" i="11"/>
  <c r="F27" i="11"/>
  <c r="R26" i="11"/>
  <c r="P26" i="11"/>
  <c r="E26" i="11"/>
  <c r="F26" i="11"/>
  <c r="G26" i="11"/>
  <c r="R25" i="11"/>
  <c r="P25" i="11"/>
  <c r="G25" i="11"/>
  <c r="F25" i="11"/>
  <c r="P24" i="11"/>
  <c r="L24" i="11"/>
  <c r="P23" i="11"/>
  <c r="R24" i="11"/>
  <c r="R21" i="11"/>
  <c r="R22" i="11"/>
  <c r="R23" i="11"/>
  <c r="E24" i="11"/>
  <c r="F24" i="11"/>
  <c r="G24" i="11"/>
  <c r="S24" i="11" s="1"/>
  <c r="F21" i="12"/>
  <c r="R21" i="12" s="1"/>
  <c r="G21" i="12"/>
  <c r="S21" i="12" s="1"/>
  <c r="E21" i="12"/>
  <c r="I22" i="12"/>
  <c r="K22" i="12" s="1"/>
  <c r="F15" i="11"/>
  <c r="F16" i="11"/>
  <c r="F17" i="11"/>
  <c r="F18" i="11"/>
  <c r="F19" i="11"/>
  <c r="F20" i="11"/>
  <c r="E23" i="11"/>
  <c r="F23" i="11"/>
  <c r="G23" i="11"/>
  <c r="P22" i="11"/>
  <c r="F22" i="11"/>
  <c r="G22" i="11"/>
  <c r="R20" i="12"/>
  <c r="S20" i="12"/>
  <c r="E19" i="12"/>
  <c r="F19" i="12"/>
  <c r="G19" i="12"/>
  <c r="S19" i="12" s="1"/>
  <c r="E20" i="12"/>
  <c r="F20" i="12"/>
  <c r="G20" i="12"/>
  <c r="F21" i="11"/>
  <c r="G21" i="11"/>
  <c r="R19" i="12"/>
  <c r="R18" i="12"/>
  <c r="S18" i="12"/>
  <c r="F17" i="12"/>
  <c r="G17" i="12"/>
  <c r="I18" i="12" s="1"/>
  <c r="F18" i="12"/>
  <c r="G18" i="12"/>
  <c r="E17" i="12"/>
  <c r="E18" i="12"/>
  <c r="E18" i="11"/>
  <c r="E19" i="11"/>
  <c r="E20" i="11"/>
  <c r="G20" i="11"/>
  <c r="G19" i="11"/>
  <c r="G18" i="11"/>
  <c r="M18" i="11" s="1"/>
  <c r="R13" i="12"/>
  <c r="S13" i="12"/>
  <c r="R14" i="12"/>
  <c r="S14" i="12"/>
  <c r="R15" i="12"/>
  <c r="S15" i="12"/>
  <c r="R16" i="12"/>
  <c r="S16" i="12"/>
  <c r="R17" i="12"/>
  <c r="S17" i="12"/>
  <c r="S12" i="12"/>
  <c r="R12" i="12"/>
  <c r="E17" i="11"/>
  <c r="G17" i="11"/>
  <c r="G16" i="11"/>
  <c r="E15" i="11"/>
  <c r="G15" i="11"/>
  <c r="S15" i="11" s="1"/>
  <c r="F10" i="12"/>
  <c r="G10" i="12"/>
  <c r="F11" i="12"/>
  <c r="G11" i="12"/>
  <c r="F12" i="12"/>
  <c r="G12" i="12"/>
  <c r="F13" i="12"/>
  <c r="G13" i="12"/>
  <c r="F14" i="12"/>
  <c r="G14" i="12"/>
  <c r="F15" i="12"/>
  <c r="L15" i="12" s="1"/>
  <c r="P15" i="12" s="1"/>
  <c r="G15" i="12"/>
  <c r="F16" i="12"/>
  <c r="G16" i="12"/>
  <c r="G9" i="12"/>
  <c r="F9" i="12"/>
  <c r="F10" i="11"/>
  <c r="F11" i="11"/>
  <c r="F12" i="11"/>
  <c r="F13" i="11"/>
  <c r="F14" i="11"/>
  <c r="F9" i="11"/>
  <c r="H9" i="11" s="1"/>
  <c r="G10" i="11"/>
  <c r="G11" i="11"/>
  <c r="S14" i="11" s="1"/>
  <c r="G12" i="11"/>
  <c r="G13" i="11"/>
  <c r="G14" i="11"/>
  <c r="G9" i="11"/>
  <c r="E16" i="12"/>
  <c r="E13" i="11"/>
  <c r="H17" i="12"/>
  <c r="J17" i="12" s="1"/>
  <c r="E12" i="11"/>
  <c r="E15" i="12"/>
  <c r="E14" i="12"/>
  <c r="E13" i="12"/>
  <c r="E12" i="12"/>
  <c r="E10" i="12"/>
  <c r="E11" i="12"/>
  <c r="E10" i="11"/>
  <c r="E11" i="11"/>
  <c r="I54" i="12"/>
  <c r="K54" i="12" s="1"/>
  <c r="H54" i="12"/>
  <c r="J54" i="12" s="1"/>
  <c r="J53" i="12"/>
  <c r="I53" i="12"/>
  <c r="K53" i="12" s="1"/>
  <c r="H53" i="12"/>
  <c r="I52" i="12"/>
  <c r="K52" i="12" s="1"/>
  <c r="H52" i="12"/>
  <c r="J52" i="12" s="1"/>
  <c r="I51" i="12"/>
  <c r="K51" i="12" s="1"/>
  <c r="H51" i="12"/>
  <c r="J51" i="12" s="1"/>
  <c r="I50" i="12"/>
  <c r="K50" i="12" s="1"/>
  <c r="H50" i="12"/>
  <c r="J50" i="12" s="1"/>
  <c r="I49" i="12"/>
  <c r="K49" i="12" s="1"/>
  <c r="H49" i="12"/>
  <c r="J49" i="12" s="1"/>
  <c r="I48" i="12"/>
  <c r="K48" i="12" s="1"/>
  <c r="H48" i="12"/>
  <c r="J48" i="12" s="1"/>
  <c r="J47" i="12"/>
  <c r="I47" i="12"/>
  <c r="K47" i="12" s="1"/>
  <c r="H47" i="12"/>
  <c r="I46" i="12"/>
  <c r="K46" i="12" s="1"/>
  <c r="H46" i="12"/>
  <c r="J46" i="12" s="1"/>
  <c r="I45" i="12"/>
  <c r="K45" i="12" s="1"/>
  <c r="H45" i="12"/>
  <c r="J45" i="12" s="1"/>
  <c r="I44" i="12"/>
  <c r="K44" i="12" s="1"/>
  <c r="H44" i="12"/>
  <c r="J44" i="12" s="1"/>
  <c r="I43" i="12"/>
  <c r="K43" i="12" s="1"/>
  <c r="H43" i="12"/>
  <c r="J43" i="12" s="1"/>
  <c r="I42" i="12"/>
  <c r="K42" i="12" s="1"/>
  <c r="H42" i="12"/>
  <c r="J42" i="12" s="1"/>
  <c r="I41" i="12"/>
  <c r="K41" i="12" s="1"/>
  <c r="H41" i="12"/>
  <c r="J41" i="12" s="1"/>
  <c r="I40" i="12"/>
  <c r="K40" i="12" s="1"/>
  <c r="H40" i="12"/>
  <c r="J40" i="12" s="1"/>
  <c r="K39" i="12"/>
  <c r="J39" i="12"/>
  <c r="I39" i="12"/>
  <c r="H39" i="12"/>
  <c r="I38" i="12"/>
  <c r="K38" i="12" s="1"/>
  <c r="H38" i="12"/>
  <c r="J38" i="12" s="1"/>
  <c r="J37" i="12"/>
  <c r="I37" i="12"/>
  <c r="K37" i="12" s="1"/>
  <c r="H37" i="12"/>
  <c r="I36" i="12"/>
  <c r="K36" i="12" s="1"/>
  <c r="H36" i="12"/>
  <c r="J36" i="12" s="1"/>
  <c r="I35" i="12"/>
  <c r="K35" i="12" s="1"/>
  <c r="H35" i="12"/>
  <c r="J35" i="12" s="1"/>
  <c r="I34" i="12"/>
  <c r="K34" i="12" s="1"/>
  <c r="H34" i="12"/>
  <c r="J34" i="12" s="1"/>
  <c r="I33" i="12"/>
  <c r="K33" i="12" s="1"/>
  <c r="H33" i="12"/>
  <c r="J33" i="12" s="1"/>
  <c r="I32" i="12"/>
  <c r="K32" i="12" s="1"/>
  <c r="H32" i="12"/>
  <c r="J32" i="12" s="1"/>
  <c r="J31" i="12"/>
  <c r="I31" i="12"/>
  <c r="K31" i="12" s="1"/>
  <c r="H31" i="12"/>
  <c r="I30" i="12"/>
  <c r="K30" i="12" s="1"/>
  <c r="H30" i="12"/>
  <c r="J30" i="12" s="1"/>
  <c r="I29" i="12"/>
  <c r="K29" i="12" s="1"/>
  <c r="H29" i="12"/>
  <c r="J29" i="12" s="1"/>
  <c r="I28" i="12"/>
  <c r="K28" i="12" s="1"/>
  <c r="H28" i="12"/>
  <c r="J28" i="12" s="1"/>
  <c r="I27" i="12"/>
  <c r="K27" i="12" s="1"/>
  <c r="H27" i="12"/>
  <c r="J27" i="12" s="1"/>
  <c r="I26" i="12"/>
  <c r="K26" i="12" s="1"/>
  <c r="H26" i="12"/>
  <c r="J26" i="12" s="1"/>
  <c r="I25" i="12"/>
  <c r="K25" i="12" s="1"/>
  <c r="H23" i="12"/>
  <c r="H22" i="12"/>
  <c r="J22" i="12" s="1"/>
  <c r="H9" i="12"/>
  <c r="L9" i="12"/>
  <c r="P9" i="12" s="1"/>
  <c r="I8" i="12"/>
  <c r="K8" i="12" s="1"/>
  <c r="H8" i="12"/>
  <c r="J8" i="12" s="1"/>
  <c r="D8" i="12"/>
  <c r="M8" i="12" s="1"/>
  <c r="L7" i="12"/>
  <c r="I7" i="12"/>
  <c r="K7" i="12" s="1"/>
  <c r="H7" i="12"/>
  <c r="J7" i="12" s="1"/>
  <c r="D7" i="12"/>
  <c r="M7" i="12" s="1"/>
  <c r="D7" i="11"/>
  <c r="D8" i="11" s="1"/>
  <c r="E9" i="11" s="1"/>
  <c r="I8" i="11"/>
  <c r="K8" i="11" s="1"/>
  <c r="H8" i="11"/>
  <c r="J8" i="11" s="1"/>
  <c r="I7" i="11"/>
  <c r="K7" i="11" s="1"/>
  <c r="H7" i="11"/>
  <c r="J7" i="11" s="1"/>
  <c r="G28" i="10"/>
  <c r="F28" i="10"/>
  <c r="M25" i="10"/>
  <c r="L25" i="10"/>
  <c r="K25" i="10"/>
  <c r="I25" i="10"/>
  <c r="H25" i="10"/>
  <c r="J25" i="10" s="1"/>
  <c r="M24" i="10"/>
  <c r="L24" i="10"/>
  <c r="K24" i="10"/>
  <c r="I24" i="10"/>
  <c r="H24" i="10"/>
  <c r="J24" i="10" s="1"/>
  <c r="I23" i="10"/>
  <c r="K23" i="10" s="1"/>
  <c r="H23" i="10"/>
  <c r="J23" i="10" s="1"/>
  <c r="J22" i="10"/>
  <c r="I22" i="10"/>
  <c r="K22" i="10" s="1"/>
  <c r="H22" i="10"/>
  <c r="I21" i="10"/>
  <c r="K21" i="10" s="1"/>
  <c r="H21" i="10"/>
  <c r="J21" i="10" s="1"/>
  <c r="I20" i="10"/>
  <c r="K20" i="10" s="1"/>
  <c r="H20" i="10"/>
  <c r="J20" i="10" s="1"/>
  <c r="I19" i="10"/>
  <c r="K19" i="10" s="1"/>
  <c r="H19" i="10"/>
  <c r="J19" i="10" s="1"/>
  <c r="I18" i="10"/>
  <c r="K18" i="10" s="1"/>
  <c r="H18" i="10"/>
  <c r="J18" i="10" s="1"/>
  <c r="K17" i="10"/>
  <c r="I17" i="10"/>
  <c r="H17" i="10"/>
  <c r="J17" i="10" s="1"/>
  <c r="J16" i="10"/>
  <c r="I16" i="10"/>
  <c r="K16" i="10" s="1"/>
  <c r="H16" i="10"/>
  <c r="K15" i="10"/>
  <c r="I15" i="10"/>
  <c r="H15" i="10"/>
  <c r="J15" i="10" s="1"/>
  <c r="I14" i="10"/>
  <c r="K14" i="10" s="1"/>
  <c r="H14" i="10"/>
  <c r="J14" i="10" s="1"/>
  <c r="I13" i="10"/>
  <c r="K13" i="10" s="1"/>
  <c r="H13" i="10"/>
  <c r="J13" i="10" s="1"/>
  <c r="I12" i="10"/>
  <c r="K12" i="10" s="1"/>
  <c r="H12" i="10"/>
  <c r="J12" i="10" s="1"/>
  <c r="K11" i="10"/>
  <c r="I11" i="10"/>
  <c r="H11" i="10"/>
  <c r="J11" i="10" s="1"/>
  <c r="I10" i="10"/>
  <c r="K10" i="10" s="1"/>
  <c r="H10" i="10"/>
  <c r="J10" i="10" s="1"/>
  <c r="J9" i="10"/>
  <c r="I9" i="10"/>
  <c r="K9" i="10" s="1"/>
  <c r="H9" i="10"/>
  <c r="I8" i="10"/>
  <c r="K8" i="10" s="1"/>
  <c r="H8" i="10"/>
  <c r="J8" i="10" s="1"/>
  <c r="I7" i="10"/>
  <c r="K7" i="10" s="1"/>
  <c r="H7" i="10"/>
  <c r="J7" i="10" s="1"/>
  <c r="D7" i="10"/>
  <c r="D23" i="1"/>
  <c r="G28" i="9"/>
  <c r="F28" i="9"/>
  <c r="Q25" i="9"/>
  <c r="P25" i="9"/>
  <c r="O25" i="9"/>
  <c r="U25" i="9" s="1"/>
  <c r="N25" i="9"/>
  <c r="T25" i="9" s="1"/>
  <c r="K25" i="9"/>
  <c r="I25" i="9"/>
  <c r="H25" i="9"/>
  <c r="J25" i="9" s="1"/>
  <c r="U24" i="9"/>
  <c r="T24" i="9"/>
  <c r="S24" i="9"/>
  <c r="R24" i="9"/>
  <c r="Q24" i="9"/>
  <c r="P24" i="9"/>
  <c r="O24" i="9"/>
  <c r="N24" i="9"/>
  <c r="I24" i="9"/>
  <c r="K24" i="9" s="1"/>
  <c r="H24" i="9"/>
  <c r="J24" i="9" s="1"/>
  <c r="Q23" i="9"/>
  <c r="P23" i="9"/>
  <c r="O23" i="9"/>
  <c r="U23" i="9" s="1"/>
  <c r="N23" i="9"/>
  <c r="T23" i="9" s="1"/>
  <c r="K23" i="9"/>
  <c r="I23" i="9"/>
  <c r="H23" i="9"/>
  <c r="J23" i="9" s="1"/>
  <c r="U22" i="9"/>
  <c r="T22" i="9"/>
  <c r="S22" i="9"/>
  <c r="R22" i="9"/>
  <c r="Q22" i="9"/>
  <c r="P22" i="9"/>
  <c r="O22" i="9"/>
  <c r="N22" i="9"/>
  <c r="I22" i="9"/>
  <c r="K22" i="9" s="1"/>
  <c r="H22" i="9"/>
  <c r="J22" i="9" s="1"/>
  <c r="Q21" i="9"/>
  <c r="P21" i="9"/>
  <c r="O21" i="9"/>
  <c r="U21" i="9" s="1"/>
  <c r="N21" i="9"/>
  <c r="T21" i="9" s="1"/>
  <c r="K21" i="9"/>
  <c r="I21" i="9"/>
  <c r="H21" i="9"/>
  <c r="J21" i="9" s="1"/>
  <c r="U20" i="9"/>
  <c r="T20" i="9"/>
  <c r="S20" i="9"/>
  <c r="R20" i="9"/>
  <c r="Q20" i="9"/>
  <c r="P20" i="9"/>
  <c r="O20" i="9"/>
  <c r="N20" i="9"/>
  <c r="I20" i="9"/>
  <c r="K20" i="9" s="1"/>
  <c r="H20" i="9"/>
  <c r="J20" i="9" s="1"/>
  <c r="Q19" i="9"/>
  <c r="P19" i="9"/>
  <c r="O19" i="9"/>
  <c r="N19" i="9"/>
  <c r="I19" i="9"/>
  <c r="K19" i="9" s="1"/>
  <c r="H19" i="9"/>
  <c r="J19" i="9" s="1"/>
  <c r="Q18" i="9"/>
  <c r="P18" i="9"/>
  <c r="O18" i="9"/>
  <c r="S18" i="9" s="1"/>
  <c r="N18" i="9"/>
  <c r="R18" i="9" s="1"/>
  <c r="I18" i="9"/>
  <c r="K18" i="9" s="1"/>
  <c r="H18" i="9"/>
  <c r="J18" i="9" s="1"/>
  <c r="Q17" i="9"/>
  <c r="P17" i="9"/>
  <c r="O17" i="9"/>
  <c r="N17" i="9"/>
  <c r="I17" i="9"/>
  <c r="K17" i="9" s="1"/>
  <c r="H17" i="9"/>
  <c r="J17" i="9" s="1"/>
  <c r="Q16" i="9"/>
  <c r="P16" i="9"/>
  <c r="O16" i="9"/>
  <c r="S16" i="9" s="1"/>
  <c r="N16" i="9"/>
  <c r="K16" i="9"/>
  <c r="J16" i="9"/>
  <c r="I16" i="9"/>
  <c r="H16" i="9"/>
  <c r="Q15" i="9"/>
  <c r="P15" i="9"/>
  <c r="O15" i="9"/>
  <c r="S15" i="9" s="1"/>
  <c r="N15" i="9"/>
  <c r="R15" i="9" s="1"/>
  <c r="I15" i="9"/>
  <c r="K15" i="9" s="1"/>
  <c r="H15" i="9"/>
  <c r="Q14" i="9"/>
  <c r="P14" i="9"/>
  <c r="O14" i="9"/>
  <c r="N14" i="9"/>
  <c r="I14" i="9"/>
  <c r="K14" i="9" s="1"/>
  <c r="H14" i="9"/>
  <c r="J14" i="9" s="1"/>
  <c r="Q13" i="9"/>
  <c r="P13" i="9"/>
  <c r="O13" i="9"/>
  <c r="S13" i="9" s="1"/>
  <c r="N13" i="9"/>
  <c r="R13" i="9" s="1"/>
  <c r="I13" i="9"/>
  <c r="K13" i="9" s="1"/>
  <c r="H13" i="9"/>
  <c r="J13" i="9" s="1"/>
  <c r="Q12" i="9"/>
  <c r="S12" i="9" s="1"/>
  <c r="P12" i="9"/>
  <c r="O12" i="9"/>
  <c r="N12" i="9"/>
  <c r="R12" i="9" s="1"/>
  <c r="I12" i="9"/>
  <c r="K12" i="9" s="1"/>
  <c r="H12" i="9"/>
  <c r="J12" i="9" s="1"/>
  <c r="Q11" i="9"/>
  <c r="P11" i="9"/>
  <c r="O11" i="9"/>
  <c r="N11" i="9"/>
  <c r="I11" i="9"/>
  <c r="K11" i="9" s="1"/>
  <c r="H11" i="9"/>
  <c r="J11" i="9" s="1"/>
  <c r="S10" i="9"/>
  <c r="Q10" i="9"/>
  <c r="P10" i="9"/>
  <c r="O10" i="9"/>
  <c r="N10" i="9"/>
  <c r="R10" i="9" s="1"/>
  <c r="I10" i="9"/>
  <c r="K10" i="9" s="1"/>
  <c r="H10" i="9"/>
  <c r="J10" i="9" s="1"/>
  <c r="Q9" i="9"/>
  <c r="S9" i="9" s="1"/>
  <c r="P9" i="9"/>
  <c r="R9" i="9" s="1"/>
  <c r="O9" i="9"/>
  <c r="N9" i="9"/>
  <c r="I9" i="9"/>
  <c r="K9" i="9" s="1"/>
  <c r="H9" i="9"/>
  <c r="J9" i="9" s="1"/>
  <c r="Q8" i="9"/>
  <c r="P8" i="9"/>
  <c r="O8" i="9"/>
  <c r="S8" i="9" s="1"/>
  <c r="N8" i="9"/>
  <c r="I8" i="9"/>
  <c r="K8" i="9" s="1"/>
  <c r="H8" i="9"/>
  <c r="J8" i="9" s="1"/>
  <c r="Q7" i="9"/>
  <c r="P7" i="9"/>
  <c r="O7" i="9"/>
  <c r="N7" i="9"/>
  <c r="I7" i="9"/>
  <c r="K7" i="9" s="1"/>
  <c r="H7" i="9"/>
  <c r="J7" i="9" s="1"/>
  <c r="D7" i="9"/>
  <c r="Q6" i="9"/>
  <c r="P6" i="9"/>
  <c r="O6" i="9"/>
  <c r="N6" i="9"/>
  <c r="D22" i="1"/>
  <c r="Q19" i="2"/>
  <c r="P19" i="2"/>
  <c r="I19" i="8"/>
  <c r="J19" i="8"/>
  <c r="I20" i="8"/>
  <c r="J20" i="8"/>
  <c r="I21" i="8"/>
  <c r="J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Q17" i="2"/>
  <c r="P17" i="2"/>
  <c r="R17" i="2" s="1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P16" i="2"/>
  <c r="R16" i="2" s="1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J3" i="6"/>
  <c r="I3" i="6"/>
  <c r="P15" i="2"/>
  <c r="R15" i="2" s="1"/>
  <c r="D19" i="2"/>
  <c r="U19" i="2" s="1"/>
  <c r="D21" i="1"/>
  <c r="D20" i="1"/>
  <c r="L20" i="1" s="1"/>
  <c r="D18" i="2"/>
  <c r="N19" i="2"/>
  <c r="O19" i="2"/>
  <c r="N20" i="2"/>
  <c r="O20" i="2"/>
  <c r="U20" i="2" s="1"/>
  <c r="N21" i="2"/>
  <c r="O21" i="2"/>
  <c r="N22" i="2"/>
  <c r="R22" i="2" s="1"/>
  <c r="O22" i="2"/>
  <c r="S22" i="2" s="1"/>
  <c r="N23" i="2"/>
  <c r="T23" i="2" s="1"/>
  <c r="O23" i="2"/>
  <c r="N24" i="2"/>
  <c r="O24" i="2"/>
  <c r="U24" i="2" s="1"/>
  <c r="N25" i="2"/>
  <c r="O25" i="2"/>
  <c r="P18" i="2"/>
  <c r="R18" i="2" s="1"/>
  <c r="Q18" i="2"/>
  <c r="S18" i="2" s="1"/>
  <c r="T18" i="2"/>
  <c r="U18" i="2"/>
  <c r="P20" i="2"/>
  <c r="Q20" i="2"/>
  <c r="R20" i="2"/>
  <c r="S20" i="2"/>
  <c r="T20" i="2"/>
  <c r="P21" i="2"/>
  <c r="R21" i="2" s="1"/>
  <c r="Q21" i="2"/>
  <c r="S21" i="2" s="1"/>
  <c r="T21" i="2"/>
  <c r="U21" i="2"/>
  <c r="P22" i="2"/>
  <c r="Q22" i="2"/>
  <c r="T22" i="2"/>
  <c r="U22" i="2"/>
  <c r="P23" i="2"/>
  <c r="R23" i="2" s="1"/>
  <c r="Q23" i="2"/>
  <c r="S23" i="2" s="1"/>
  <c r="U23" i="2"/>
  <c r="P24" i="2"/>
  <c r="Q24" i="2"/>
  <c r="R24" i="2"/>
  <c r="S24" i="2"/>
  <c r="T24" i="2"/>
  <c r="P25" i="2"/>
  <c r="R25" i="2" s="1"/>
  <c r="Q25" i="2"/>
  <c r="S25" i="2" s="1"/>
  <c r="T25" i="2"/>
  <c r="U25" i="2"/>
  <c r="O18" i="2"/>
  <c r="N18" i="2"/>
  <c r="T17" i="2"/>
  <c r="D17" i="2"/>
  <c r="D19" i="1"/>
  <c r="L19" i="1" s="1"/>
  <c r="O17" i="2"/>
  <c r="N17" i="2"/>
  <c r="U8" i="2"/>
  <c r="U9" i="2"/>
  <c r="U10" i="2"/>
  <c r="U11" i="2"/>
  <c r="U12" i="2"/>
  <c r="U13" i="2"/>
  <c r="U14" i="2"/>
  <c r="U15" i="2"/>
  <c r="U16" i="2"/>
  <c r="U7" i="2"/>
  <c r="T8" i="2"/>
  <c r="T9" i="2"/>
  <c r="T10" i="2"/>
  <c r="T11" i="2"/>
  <c r="T12" i="2"/>
  <c r="T13" i="2"/>
  <c r="T14" i="2"/>
  <c r="T15" i="2"/>
  <c r="T16" i="2"/>
  <c r="T7" i="2"/>
  <c r="D16" i="2"/>
  <c r="Q16" i="2"/>
  <c r="S16" i="2"/>
  <c r="L18" i="1"/>
  <c r="M18" i="1"/>
  <c r="L21" i="1"/>
  <c r="M21" i="1"/>
  <c r="L22" i="1"/>
  <c r="M22" i="1"/>
  <c r="L23" i="1"/>
  <c r="M23" i="1"/>
  <c r="L24" i="1"/>
  <c r="M24" i="1"/>
  <c r="L25" i="1"/>
  <c r="M25" i="1"/>
  <c r="D18" i="1"/>
  <c r="O16" i="2"/>
  <c r="N16" i="2"/>
  <c r="L16" i="1"/>
  <c r="M16" i="1"/>
  <c r="L17" i="1"/>
  <c r="M17" i="1"/>
  <c r="D17" i="1"/>
  <c r="D15" i="2"/>
  <c r="Q15" i="2"/>
  <c r="S15" i="2" s="1"/>
  <c r="O15" i="2"/>
  <c r="N15" i="2"/>
  <c r="D16" i="1"/>
  <c r="H7" i="1"/>
  <c r="M7" i="1"/>
  <c r="M8" i="1"/>
  <c r="M9" i="1"/>
  <c r="M10" i="1"/>
  <c r="M11" i="1"/>
  <c r="M12" i="1"/>
  <c r="M13" i="1"/>
  <c r="M14" i="1"/>
  <c r="M15" i="1"/>
  <c r="L8" i="1"/>
  <c r="L9" i="1"/>
  <c r="L10" i="1"/>
  <c r="L11" i="1"/>
  <c r="L12" i="1"/>
  <c r="L13" i="1"/>
  <c r="L14" i="1"/>
  <c r="L15" i="1"/>
  <c r="L7" i="1"/>
  <c r="G5" i="5"/>
  <c r="G6" i="5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F5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G4" i="5"/>
  <c r="F4" i="5"/>
  <c r="G3" i="5"/>
  <c r="F3" i="5"/>
  <c r="S8" i="2"/>
  <c r="S9" i="2"/>
  <c r="S10" i="2"/>
  <c r="S11" i="2"/>
  <c r="S12" i="2"/>
  <c r="S13" i="2"/>
  <c r="S14" i="2"/>
  <c r="S7" i="2"/>
  <c r="R7" i="2"/>
  <c r="R8" i="2"/>
  <c r="R9" i="2"/>
  <c r="R10" i="2"/>
  <c r="R11" i="2"/>
  <c r="R12" i="2"/>
  <c r="R13" i="2"/>
  <c r="R14" i="2"/>
  <c r="O7" i="2"/>
  <c r="O8" i="2"/>
  <c r="O9" i="2"/>
  <c r="O10" i="2"/>
  <c r="O11" i="2"/>
  <c r="O12" i="2"/>
  <c r="O13" i="2"/>
  <c r="O14" i="2"/>
  <c r="O6" i="2"/>
  <c r="N7" i="2"/>
  <c r="N8" i="2"/>
  <c r="N9" i="2"/>
  <c r="N10" i="2"/>
  <c r="N11" i="2"/>
  <c r="N12" i="2"/>
  <c r="N13" i="2"/>
  <c r="N14" i="2"/>
  <c r="N6" i="2"/>
  <c r="Q7" i="2"/>
  <c r="Q8" i="2"/>
  <c r="Q9" i="2"/>
  <c r="Q10" i="2"/>
  <c r="Q11" i="2"/>
  <c r="Q12" i="2"/>
  <c r="Q13" i="2"/>
  <c r="Q14" i="2"/>
  <c r="Q6" i="2"/>
  <c r="P6" i="2"/>
  <c r="P8" i="2"/>
  <c r="P9" i="2"/>
  <c r="P10" i="2"/>
  <c r="P11" i="2"/>
  <c r="P12" i="2"/>
  <c r="P13" i="2"/>
  <c r="P14" i="2"/>
  <c r="P7" i="2"/>
  <c r="M7" i="3"/>
  <c r="N7" i="3"/>
  <c r="O7" i="3"/>
  <c r="P7" i="3"/>
  <c r="Q7" i="3"/>
  <c r="L7" i="3"/>
  <c r="G30" i="2"/>
  <c r="F29" i="2"/>
  <c r="G28" i="2"/>
  <c r="F28" i="2"/>
  <c r="G30" i="1"/>
  <c r="F30" i="1"/>
  <c r="F29" i="1"/>
  <c r="G28" i="1"/>
  <c r="F28" i="1"/>
  <c r="K3" i="2"/>
  <c r="J3" i="2"/>
  <c r="K3" i="1"/>
  <c r="J3" i="1"/>
  <c r="D11" i="1"/>
  <c r="D12" i="1" s="1"/>
  <c r="D13" i="1" s="1"/>
  <c r="D14" i="1" s="1"/>
  <c r="D15" i="1" s="1"/>
  <c r="K25" i="2"/>
  <c r="I25" i="2"/>
  <c r="H25" i="2"/>
  <c r="J25" i="2" s="1"/>
  <c r="I24" i="2"/>
  <c r="K24" i="2" s="1"/>
  <c r="H24" i="2"/>
  <c r="J24" i="2" s="1"/>
  <c r="K23" i="2"/>
  <c r="I23" i="2"/>
  <c r="H23" i="2"/>
  <c r="J23" i="2" s="1"/>
  <c r="I22" i="2"/>
  <c r="K22" i="2" s="1"/>
  <c r="H22" i="2"/>
  <c r="J22" i="2" s="1"/>
  <c r="K21" i="2"/>
  <c r="I21" i="2"/>
  <c r="H21" i="2"/>
  <c r="J21" i="2" s="1"/>
  <c r="I20" i="2"/>
  <c r="K20" i="2" s="1"/>
  <c r="H20" i="2"/>
  <c r="J20" i="2" s="1"/>
  <c r="I19" i="2"/>
  <c r="K19" i="2" s="1"/>
  <c r="H19" i="2"/>
  <c r="J19" i="2" s="1"/>
  <c r="I18" i="2"/>
  <c r="K18" i="2" s="1"/>
  <c r="H18" i="2"/>
  <c r="J18" i="2" s="1"/>
  <c r="I17" i="2"/>
  <c r="K17" i="2" s="1"/>
  <c r="H17" i="2"/>
  <c r="J17" i="2" s="1"/>
  <c r="I16" i="2"/>
  <c r="K16" i="2" s="1"/>
  <c r="H16" i="2"/>
  <c r="J16" i="2" s="1"/>
  <c r="I15" i="2"/>
  <c r="K15" i="2" s="1"/>
  <c r="H15" i="2"/>
  <c r="J15" i="2" s="1"/>
  <c r="I14" i="2"/>
  <c r="K14" i="2" s="1"/>
  <c r="H14" i="2"/>
  <c r="J14" i="2" s="1"/>
  <c r="I13" i="2"/>
  <c r="K13" i="2" s="1"/>
  <c r="H13" i="2"/>
  <c r="J13" i="2" s="1"/>
  <c r="I12" i="2"/>
  <c r="K12" i="2" s="1"/>
  <c r="H12" i="2"/>
  <c r="J12" i="2" s="1"/>
  <c r="I11" i="2"/>
  <c r="K11" i="2" s="1"/>
  <c r="H11" i="2"/>
  <c r="J11" i="2" s="1"/>
  <c r="I10" i="2"/>
  <c r="K10" i="2" s="1"/>
  <c r="H10" i="2"/>
  <c r="J10" i="2" s="1"/>
  <c r="I9" i="2"/>
  <c r="K9" i="2" s="1"/>
  <c r="H9" i="2"/>
  <c r="J9" i="2" s="1"/>
  <c r="I8" i="2"/>
  <c r="K8" i="2" s="1"/>
  <c r="H8" i="2"/>
  <c r="J8" i="2" s="1"/>
  <c r="I7" i="2"/>
  <c r="K7" i="2" s="1"/>
  <c r="H7" i="2"/>
  <c r="J7" i="2" s="1"/>
  <c r="D7" i="2"/>
  <c r="D8" i="2" s="1"/>
  <c r="D9" i="2" s="1"/>
  <c r="D10" i="2" s="1"/>
  <c r="D11" i="2" s="1"/>
  <c r="D12" i="2" s="1"/>
  <c r="D13" i="2" s="1"/>
  <c r="D14" i="2" s="1"/>
  <c r="K8" i="1"/>
  <c r="K9" i="1"/>
  <c r="K10" i="1"/>
  <c r="K25" i="1"/>
  <c r="K7" i="1"/>
  <c r="J8" i="1"/>
  <c r="J9" i="1"/>
  <c r="J10" i="1"/>
  <c r="J24" i="1"/>
  <c r="J25" i="1"/>
  <c r="J7" i="1"/>
  <c r="I8" i="1"/>
  <c r="I9" i="1"/>
  <c r="I10" i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I7" i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H25" i="1"/>
  <c r="H8" i="1"/>
  <c r="H9" i="1"/>
  <c r="H10" i="1"/>
  <c r="D7" i="1"/>
  <c r="D8" i="1" s="1"/>
  <c r="D9" i="1" s="1"/>
  <c r="D10" i="1" s="1"/>
  <c r="S39" i="11" l="1"/>
  <c r="S36" i="11"/>
  <c r="S37" i="11"/>
  <c r="H24" i="12"/>
  <c r="J24" i="12" s="1"/>
  <c r="J23" i="12"/>
  <c r="K23" i="12"/>
  <c r="S16" i="11"/>
  <c r="S12" i="11"/>
  <c r="S25" i="11"/>
  <c r="S26" i="11"/>
  <c r="S23" i="11"/>
  <c r="S18" i="11"/>
  <c r="S17" i="11"/>
  <c r="S19" i="11"/>
  <c r="I10" i="11"/>
  <c r="K10" i="11" s="1"/>
  <c r="S13" i="11"/>
  <c r="S20" i="11"/>
  <c r="I21" i="12"/>
  <c r="K21" i="12" s="1"/>
  <c r="H21" i="12"/>
  <c r="J21" i="12" s="1"/>
  <c r="H20" i="12"/>
  <c r="H19" i="12"/>
  <c r="J19" i="12" s="1"/>
  <c r="I19" i="12"/>
  <c r="J20" i="12"/>
  <c r="I20" i="12"/>
  <c r="K20" i="12" s="1"/>
  <c r="K19" i="12"/>
  <c r="H18" i="12"/>
  <c r="J18" i="12" s="1"/>
  <c r="K18" i="12"/>
  <c r="L8" i="12"/>
  <c r="E9" i="12"/>
  <c r="J9" i="12"/>
  <c r="M7" i="11"/>
  <c r="I17" i="12"/>
  <c r="K17" i="12" s="1"/>
  <c r="I9" i="12"/>
  <c r="K9" i="12" s="1"/>
  <c r="I10" i="12"/>
  <c r="K10" i="12" s="1"/>
  <c r="H12" i="12"/>
  <c r="J12" i="12" s="1"/>
  <c r="H16" i="12"/>
  <c r="J16" i="12" s="1"/>
  <c r="H11" i="12"/>
  <c r="J11" i="12" s="1"/>
  <c r="J9" i="11"/>
  <c r="H10" i="12"/>
  <c r="J10" i="12" s="1"/>
  <c r="M9" i="12"/>
  <c r="Q9" i="12" s="1"/>
  <c r="M11" i="12"/>
  <c r="Q11" i="12" s="1"/>
  <c r="I9" i="11"/>
  <c r="K9" i="11" s="1"/>
  <c r="L9" i="11"/>
  <c r="P9" i="11" s="1"/>
  <c r="M8" i="11"/>
  <c r="L8" i="11"/>
  <c r="L7" i="11"/>
  <c r="M8" i="10"/>
  <c r="L8" i="10"/>
  <c r="J3" i="10"/>
  <c r="K3" i="10"/>
  <c r="L7" i="10"/>
  <c r="M7" i="10"/>
  <c r="T7" i="9"/>
  <c r="U7" i="9"/>
  <c r="S7" i="9"/>
  <c r="R7" i="9"/>
  <c r="J3" i="9"/>
  <c r="K3" i="9"/>
  <c r="R17" i="9"/>
  <c r="S17" i="9"/>
  <c r="R14" i="9"/>
  <c r="H28" i="9"/>
  <c r="H29" i="9" s="1"/>
  <c r="T8" i="9"/>
  <c r="U8" i="9"/>
  <c r="J15" i="9"/>
  <c r="I28" i="9"/>
  <c r="I29" i="9" s="1"/>
  <c r="S14" i="9"/>
  <c r="R21" i="9"/>
  <c r="R8" i="9"/>
  <c r="S11" i="9"/>
  <c r="R16" i="9"/>
  <c r="S19" i="9"/>
  <c r="S21" i="9"/>
  <c r="S23" i="9"/>
  <c r="S25" i="9"/>
  <c r="R11" i="9"/>
  <c r="R19" i="9"/>
  <c r="R23" i="9"/>
  <c r="R25" i="9"/>
  <c r="T19" i="2"/>
  <c r="S19" i="2"/>
  <c r="M20" i="1"/>
  <c r="R19" i="2"/>
  <c r="U17" i="2"/>
  <c r="S17" i="2"/>
  <c r="M19" i="1"/>
  <c r="I28" i="2"/>
  <c r="I29" i="2" s="1"/>
  <c r="H28" i="2"/>
  <c r="H29" i="2" s="1"/>
  <c r="F30" i="2"/>
  <c r="H10" i="11" l="1"/>
  <c r="J10" i="11" s="1"/>
  <c r="H12" i="11"/>
  <c r="J12" i="11" s="1"/>
  <c r="H11" i="11"/>
  <c r="J11" i="11" s="1"/>
  <c r="I12" i="11"/>
  <c r="K12" i="11" s="1"/>
  <c r="I11" i="11"/>
  <c r="K11" i="11" s="1"/>
  <c r="I12" i="12"/>
  <c r="K12" i="12" s="1"/>
  <c r="I11" i="12"/>
  <c r="K11" i="12" s="1"/>
  <c r="H14" i="12"/>
  <c r="J14" i="12" s="1"/>
  <c r="H13" i="12"/>
  <c r="J13" i="12" s="1"/>
  <c r="H15" i="12"/>
  <c r="J15" i="12" s="1"/>
  <c r="L10" i="12"/>
  <c r="P10" i="12" s="1"/>
  <c r="M10" i="12"/>
  <c r="Q10" i="12" s="1"/>
  <c r="L11" i="12"/>
  <c r="P11" i="12" s="1"/>
  <c r="H14" i="11"/>
  <c r="I14" i="11"/>
  <c r="H13" i="11"/>
  <c r="J13" i="11" s="1"/>
  <c r="I13" i="11"/>
  <c r="K13" i="11" s="1"/>
  <c r="M9" i="11"/>
  <c r="Q9" i="11" s="1"/>
  <c r="M10" i="11"/>
  <c r="Q10" i="11" s="1"/>
  <c r="M12" i="12"/>
  <c r="Q12" i="12" s="1"/>
  <c r="L12" i="12"/>
  <c r="P12" i="12" s="1"/>
  <c r="L10" i="11"/>
  <c r="P10" i="11" s="1"/>
  <c r="L9" i="10"/>
  <c r="M9" i="10"/>
  <c r="T9" i="9"/>
  <c r="U9" i="9"/>
  <c r="J3" i="12" l="1"/>
  <c r="I13" i="12"/>
  <c r="K13" i="12" s="1"/>
  <c r="I14" i="12"/>
  <c r="K14" i="12" s="1"/>
  <c r="I15" i="11"/>
  <c r="K15" i="11" s="1"/>
  <c r="H15" i="11"/>
  <c r="J15" i="11" s="1"/>
  <c r="L13" i="12"/>
  <c r="P13" i="12" s="1"/>
  <c r="M13" i="12"/>
  <c r="Q13" i="12" s="1"/>
  <c r="M10" i="10"/>
  <c r="L10" i="10"/>
  <c r="U10" i="9"/>
  <c r="T10" i="9"/>
  <c r="I16" i="12" l="1"/>
  <c r="K16" i="12" s="1"/>
  <c r="I15" i="12"/>
  <c r="K15" i="12" s="1"/>
  <c r="K3" i="12" s="1"/>
  <c r="L11" i="11"/>
  <c r="P11" i="11" s="1"/>
  <c r="M11" i="11"/>
  <c r="Q11" i="11" s="1"/>
  <c r="M14" i="12"/>
  <c r="Q14" i="12" s="1"/>
  <c r="L14" i="12"/>
  <c r="P14" i="12" s="1"/>
  <c r="M12" i="11"/>
  <c r="Q12" i="11" s="1"/>
  <c r="L12" i="11"/>
  <c r="P12" i="11" s="1"/>
  <c r="M11" i="10"/>
  <c r="L11" i="10"/>
  <c r="U11" i="9"/>
  <c r="T11" i="9"/>
  <c r="H16" i="11" l="1"/>
  <c r="I17" i="11"/>
  <c r="K17" i="11" s="1"/>
  <c r="I16" i="11"/>
  <c r="M15" i="12"/>
  <c r="Q15" i="12" s="1"/>
  <c r="M13" i="11"/>
  <c r="Q13" i="11" s="1"/>
  <c r="L13" i="11"/>
  <c r="P13" i="11" s="1"/>
  <c r="M12" i="10"/>
  <c r="L12" i="10"/>
  <c r="U12" i="9"/>
  <c r="T12" i="9"/>
  <c r="I18" i="11" l="1"/>
  <c r="K18" i="11" s="1"/>
  <c r="H18" i="11"/>
  <c r="J18" i="11" s="1"/>
  <c r="H17" i="11"/>
  <c r="J17" i="11" s="1"/>
  <c r="M16" i="12"/>
  <c r="Q16" i="12" s="1"/>
  <c r="L16" i="12"/>
  <c r="P16" i="12" s="1"/>
  <c r="L13" i="10"/>
  <c r="M13" i="10"/>
  <c r="U13" i="9"/>
  <c r="T13" i="9"/>
  <c r="M17" i="12" l="1"/>
  <c r="Q17" i="12" s="1"/>
  <c r="L17" i="12"/>
  <c r="P17" i="12" s="1"/>
  <c r="M14" i="10"/>
  <c r="L14" i="10"/>
  <c r="F29" i="9"/>
  <c r="T14" i="9"/>
  <c r="U14" i="9"/>
  <c r="H20" i="11" l="1"/>
  <c r="J20" i="11" s="1"/>
  <c r="I19" i="11"/>
  <c r="K19" i="11" s="1"/>
  <c r="H19" i="11"/>
  <c r="J19" i="11" s="1"/>
  <c r="M18" i="12"/>
  <c r="Q18" i="12" s="1"/>
  <c r="L18" i="12"/>
  <c r="P18" i="12" s="1"/>
  <c r="M15" i="10"/>
  <c r="F29" i="10"/>
  <c r="L15" i="10"/>
  <c r="T15" i="9"/>
  <c r="U15" i="9"/>
  <c r="G30" i="9"/>
  <c r="F30" i="9"/>
  <c r="I20" i="11" l="1"/>
  <c r="K20" i="11" s="1"/>
  <c r="M19" i="12"/>
  <c r="Q19" i="12" s="1"/>
  <c r="L19" i="12"/>
  <c r="P19" i="12" s="1"/>
  <c r="G30" i="10"/>
  <c r="F30" i="10"/>
  <c r="M16" i="10"/>
  <c r="L16" i="10"/>
  <c r="U16" i="9"/>
  <c r="T16" i="9"/>
  <c r="H22" i="11" l="1"/>
  <c r="I22" i="11"/>
  <c r="H21" i="11"/>
  <c r="I21" i="11"/>
  <c r="M20" i="12"/>
  <c r="Q20" i="12" s="1"/>
  <c r="L20" i="12"/>
  <c r="P20" i="12" s="1"/>
  <c r="M17" i="10"/>
  <c r="L17" i="10"/>
  <c r="T17" i="9"/>
  <c r="U17" i="9"/>
  <c r="I23" i="11" l="1"/>
  <c r="K23" i="11" s="1"/>
  <c r="H23" i="11"/>
  <c r="J23" i="11" s="1"/>
  <c r="L21" i="12"/>
  <c r="P21" i="12" s="1"/>
  <c r="M21" i="12"/>
  <c r="Q21" i="12" s="1"/>
  <c r="M18" i="10"/>
  <c r="L18" i="10"/>
  <c r="U18" i="9"/>
  <c r="T18" i="9"/>
  <c r="H24" i="11" l="1"/>
  <c r="J24" i="11" s="1"/>
  <c r="M22" i="12"/>
  <c r="Q22" i="12" s="1"/>
  <c r="L22" i="12"/>
  <c r="P22" i="12" s="1"/>
  <c r="M19" i="10"/>
  <c r="L19" i="10"/>
  <c r="U19" i="9"/>
  <c r="T19" i="9"/>
  <c r="I25" i="11" l="1"/>
  <c r="I24" i="11"/>
  <c r="K24" i="11" s="1"/>
  <c r="L23" i="12"/>
  <c r="P23" i="12" s="1"/>
  <c r="M23" i="12"/>
  <c r="Q23" i="12" s="1"/>
  <c r="M20" i="10"/>
  <c r="L20" i="10"/>
  <c r="H25" i="11" l="1"/>
  <c r="I26" i="11"/>
  <c r="K26" i="11" s="1"/>
  <c r="D25" i="12"/>
  <c r="L24" i="12"/>
  <c r="P24" i="12" s="1"/>
  <c r="M24" i="12"/>
  <c r="Q24" i="12" s="1"/>
  <c r="L21" i="10"/>
  <c r="M21" i="10"/>
  <c r="H26" i="11" l="1"/>
  <c r="J26" i="11" s="1"/>
  <c r="D26" i="12"/>
  <c r="M25" i="12"/>
  <c r="Q25" i="12" s="1"/>
  <c r="L25" i="12"/>
  <c r="P25" i="12" s="1"/>
  <c r="M22" i="10"/>
  <c r="L22" i="10"/>
  <c r="H28" i="11" l="1"/>
  <c r="J28" i="11" s="1"/>
  <c r="H27" i="11"/>
  <c r="I27" i="11"/>
  <c r="D27" i="12"/>
  <c r="M26" i="12"/>
  <c r="Q26" i="12" s="1"/>
  <c r="L26" i="12"/>
  <c r="P26" i="12" s="1"/>
  <c r="M23" i="10"/>
  <c r="L23" i="10"/>
  <c r="I28" i="11" l="1"/>
  <c r="K28" i="11" s="1"/>
  <c r="D28" i="12"/>
  <c r="M27" i="12"/>
  <c r="Q27" i="12" s="1"/>
  <c r="L27" i="12"/>
  <c r="P27" i="12" s="1"/>
  <c r="I30" i="11" l="1"/>
  <c r="K30" i="11" s="1"/>
  <c r="I29" i="11"/>
  <c r="K29" i="11" s="1"/>
  <c r="H30" i="11"/>
  <c r="J30" i="11" s="1"/>
  <c r="H29" i="11"/>
  <c r="J29" i="11" s="1"/>
  <c r="D29" i="12"/>
  <c r="M28" i="12"/>
  <c r="Q28" i="12" s="1"/>
  <c r="L28" i="12"/>
  <c r="P28" i="12" s="1"/>
  <c r="H31" i="11" l="1"/>
  <c r="J31" i="11" s="1"/>
  <c r="L29" i="12"/>
  <c r="P29" i="12" s="1"/>
  <c r="D30" i="12"/>
  <c r="M29" i="12"/>
  <c r="Q29" i="12" s="1"/>
  <c r="I31" i="11" l="1"/>
  <c r="K31" i="11" s="1"/>
  <c r="M30" i="12"/>
  <c r="Q30" i="12" s="1"/>
  <c r="L30" i="12"/>
  <c r="P30" i="12" s="1"/>
  <c r="D31" i="12"/>
  <c r="H32" i="11" l="1"/>
  <c r="I32" i="11"/>
  <c r="D32" i="12"/>
  <c r="L31" i="12"/>
  <c r="P31" i="12" s="1"/>
  <c r="M31" i="12"/>
  <c r="Q31" i="12" s="1"/>
  <c r="I34" i="11" l="1"/>
  <c r="H34" i="11"/>
  <c r="I33" i="11"/>
  <c r="H33" i="11"/>
  <c r="D33" i="12"/>
  <c r="L32" i="12"/>
  <c r="P32" i="12" s="1"/>
  <c r="M32" i="12"/>
  <c r="Q32" i="12" s="1"/>
  <c r="H35" i="11" l="1"/>
  <c r="I35" i="11"/>
  <c r="M33" i="12"/>
  <c r="Q33" i="12" s="1"/>
  <c r="L33" i="12"/>
  <c r="P33" i="12" s="1"/>
  <c r="D34" i="12"/>
  <c r="I36" i="11" l="1"/>
  <c r="D35" i="12"/>
  <c r="M34" i="12"/>
  <c r="Q34" i="12" s="1"/>
  <c r="L34" i="12"/>
  <c r="P34" i="12" s="1"/>
  <c r="H36" i="11" l="1"/>
  <c r="D36" i="12"/>
  <c r="M35" i="12"/>
  <c r="Q35" i="12" s="1"/>
  <c r="L35" i="12"/>
  <c r="P35" i="12" s="1"/>
  <c r="I38" i="11" l="1"/>
  <c r="K38" i="11" s="1"/>
  <c r="I37" i="11"/>
  <c r="H38" i="11"/>
  <c r="J38" i="11" s="1"/>
  <c r="H37" i="11"/>
  <c r="D37" i="12"/>
  <c r="M36" i="12"/>
  <c r="Q36" i="12" s="1"/>
  <c r="L36" i="12"/>
  <c r="P36" i="12" s="1"/>
  <c r="H39" i="11" l="1"/>
  <c r="J39" i="11" s="1"/>
  <c r="L37" i="12"/>
  <c r="P37" i="12" s="1"/>
  <c r="D38" i="12"/>
  <c r="M37" i="12"/>
  <c r="Q37" i="12" s="1"/>
  <c r="I39" i="11" l="1"/>
  <c r="K39" i="11" s="1"/>
  <c r="M38" i="12"/>
  <c r="Q38" i="12" s="1"/>
  <c r="L38" i="12"/>
  <c r="P38" i="12" s="1"/>
  <c r="D39" i="12"/>
  <c r="H41" i="11" l="1"/>
  <c r="J41" i="11" s="1"/>
  <c r="H40" i="11"/>
  <c r="J40" i="11" s="1"/>
  <c r="I41" i="11"/>
  <c r="K41" i="11" s="1"/>
  <c r="I40" i="11"/>
  <c r="K40" i="11" s="1"/>
  <c r="D40" i="12"/>
  <c r="M39" i="12"/>
  <c r="Q39" i="12" s="1"/>
  <c r="L39" i="12"/>
  <c r="P39" i="12" s="1"/>
  <c r="H42" i="11" l="1"/>
  <c r="J42" i="11" s="1"/>
  <c r="D41" i="12"/>
  <c r="L40" i="12"/>
  <c r="P40" i="12" s="1"/>
  <c r="M40" i="12"/>
  <c r="Q40" i="12" s="1"/>
  <c r="I42" i="11" l="1"/>
  <c r="K42" i="11" s="1"/>
  <c r="D42" i="12"/>
  <c r="M41" i="12"/>
  <c r="Q41" i="12" s="1"/>
  <c r="L41" i="12"/>
  <c r="P41" i="12" s="1"/>
  <c r="H43" i="11" l="1"/>
  <c r="J43" i="11" s="1"/>
  <c r="I43" i="11"/>
  <c r="K43" i="11" s="1"/>
  <c r="D43" i="12"/>
  <c r="M42" i="12"/>
  <c r="Q42" i="12" s="1"/>
  <c r="L42" i="12"/>
  <c r="P42" i="12" s="1"/>
  <c r="I45" i="11" l="1"/>
  <c r="K45" i="11" s="1"/>
  <c r="H45" i="11"/>
  <c r="J45" i="11" s="1"/>
  <c r="H44" i="11"/>
  <c r="J44" i="11" s="1"/>
  <c r="I44" i="11"/>
  <c r="K44" i="11" s="1"/>
  <c r="D44" i="12"/>
  <c r="M43" i="12"/>
  <c r="Q43" i="12" s="1"/>
  <c r="L43" i="12"/>
  <c r="P43" i="12" s="1"/>
  <c r="H46" i="11" l="1"/>
  <c r="J46" i="11" s="1"/>
  <c r="I46" i="11"/>
  <c r="K46" i="11" s="1"/>
  <c r="D45" i="12"/>
  <c r="M44" i="12"/>
  <c r="Q44" i="12" s="1"/>
  <c r="L44" i="12"/>
  <c r="P44" i="12" s="1"/>
  <c r="I47" i="11" l="1"/>
  <c r="K47" i="11" s="1"/>
  <c r="H47" i="11"/>
  <c r="J47" i="11" s="1"/>
  <c r="L45" i="12"/>
  <c r="P45" i="12" s="1"/>
  <c r="D46" i="12"/>
  <c r="M45" i="12"/>
  <c r="Q45" i="12" s="1"/>
  <c r="M46" i="12" l="1"/>
  <c r="Q46" i="12" s="1"/>
  <c r="L46" i="12"/>
  <c r="P46" i="12" s="1"/>
  <c r="D47" i="12"/>
  <c r="H48" i="11" l="1"/>
  <c r="J48" i="11" s="1"/>
  <c r="I48" i="11"/>
  <c r="K48" i="11" s="1"/>
  <c r="D48" i="12"/>
  <c r="L47" i="12"/>
  <c r="P47" i="12" s="1"/>
  <c r="M47" i="12"/>
  <c r="Q47" i="12" s="1"/>
  <c r="I50" i="11" l="1"/>
  <c r="K50" i="11" s="1"/>
  <c r="I49" i="11"/>
  <c r="K49" i="11" s="1"/>
  <c r="H49" i="11"/>
  <c r="J49" i="11" s="1"/>
  <c r="D49" i="12"/>
  <c r="L48" i="12"/>
  <c r="P48" i="12" s="1"/>
  <c r="M48" i="12"/>
  <c r="Q48" i="12" s="1"/>
  <c r="H50" i="11" l="1"/>
  <c r="J50" i="11" s="1"/>
  <c r="I51" i="11"/>
  <c r="K51" i="11" s="1"/>
  <c r="D50" i="12"/>
  <c r="M49" i="12"/>
  <c r="Q49" i="12" s="1"/>
  <c r="L49" i="12"/>
  <c r="P49" i="12" s="1"/>
  <c r="H52" i="11" l="1"/>
  <c r="J52" i="11" s="1"/>
  <c r="H51" i="11"/>
  <c r="J51" i="11" s="1"/>
  <c r="D51" i="12"/>
  <c r="M50" i="12"/>
  <c r="Q50" i="12" s="1"/>
  <c r="L50" i="12"/>
  <c r="P50" i="12" s="1"/>
  <c r="I52" i="11" l="1"/>
  <c r="K52" i="11" s="1"/>
  <c r="D52" i="12"/>
  <c r="M51" i="12"/>
  <c r="Q51" i="12" s="1"/>
  <c r="L51" i="12"/>
  <c r="P51" i="12" s="1"/>
  <c r="I54" i="11" l="1"/>
  <c r="K54" i="11" s="1"/>
  <c r="H54" i="11"/>
  <c r="J54" i="11" s="1"/>
  <c r="H53" i="11"/>
  <c r="J53" i="11" s="1"/>
  <c r="I53" i="11"/>
  <c r="K53" i="11" s="1"/>
  <c r="D53" i="12"/>
  <c r="M52" i="12"/>
  <c r="Q52" i="12" s="1"/>
  <c r="L52" i="12"/>
  <c r="P52" i="12" s="1"/>
  <c r="L53" i="12" l="1"/>
  <c r="P53" i="12" s="1"/>
  <c r="D54" i="12"/>
  <c r="M53" i="12"/>
  <c r="Q53" i="12" s="1"/>
  <c r="M54" i="12" l="1"/>
  <c r="Q54" i="12" s="1"/>
  <c r="L54" i="12"/>
  <c r="P54" i="12" s="1"/>
  <c r="M15" i="11"/>
  <c r="Q15" i="11" s="1"/>
  <c r="L15" i="11"/>
  <c r="M14" i="11"/>
  <c r="Q14" i="11" s="1"/>
  <c r="E14" i="11"/>
  <c r="K14" i="11" s="1"/>
  <c r="K3" i="11" s="1"/>
  <c r="L14" i="11"/>
  <c r="J14" i="11" l="1"/>
  <c r="J3" i="11" s="1"/>
  <c r="L17" i="11"/>
  <c r="M17" i="11"/>
  <c r="Q17" i="11" s="1"/>
  <c r="L16" i="11"/>
  <c r="E16" i="11"/>
  <c r="K16" i="11" s="1"/>
  <c r="M16" i="11"/>
  <c r="Q16" i="11" s="1"/>
  <c r="M19" i="11" l="1"/>
  <c r="Q19" i="11" s="1"/>
  <c r="L19" i="11"/>
  <c r="Q18" i="11"/>
  <c r="L18" i="11"/>
  <c r="J16" i="11"/>
  <c r="M20" i="11" l="1"/>
  <c r="Q20" i="11" s="1"/>
  <c r="L20" i="11"/>
  <c r="K21" i="11"/>
  <c r="L21" i="11"/>
  <c r="P21" i="11" s="1"/>
  <c r="M21" i="11"/>
  <c r="Q21" i="11" s="1"/>
  <c r="E21" i="11"/>
  <c r="J21" i="11" s="1"/>
  <c r="S21" i="11"/>
  <c r="M22" i="11"/>
  <c r="Q22" i="11" s="1"/>
  <c r="M23" i="11"/>
  <c r="Q23" i="11" s="1"/>
  <c r="L23" i="11"/>
  <c r="M24" i="11"/>
  <c r="Q24" i="11" s="1"/>
  <c r="L22" i="11"/>
  <c r="S22" i="11"/>
  <c r="E22" i="11"/>
  <c r="K22" i="11" s="1"/>
  <c r="J22" i="11" l="1"/>
  <c r="L26" i="11"/>
  <c r="J25" i="11"/>
  <c r="K25" i="11"/>
  <c r="L25" i="11"/>
  <c r="E25" i="11"/>
  <c r="M25" i="11"/>
  <c r="Q25" i="11" s="1"/>
  <c r="M26" i="11" l="1"/>
  <c r="Q26" i="11" s="1"/>
  <c r="M28" i="11"/>
  <c r="Q28" i="11" s="1"/>
  <c r="L29" i="11"/>
  <c r="P29" i="11" s="1"/>
  <c r="L27" i="11"/>
  <c r="P27" i="11" s="1"/>
  <c r="M27" i="11"/>
  <c r="Q27" i="11" s="1"/>
  <c r="S27" i="11"/>
  <c r="E27" i="11"/>
  <c r="K27" i="11" s="1"/>
  <c r="R27" i="11"/>
  <c r="L28" i="11" l="1"/>
  <c r="P28" i="11" s="1"/>
  <c r="J27" i="11"/>
  <c r="Q29" i="11"/>
  <c r="Q30" i="11" l="1"/>
  <c r="L30" i="11"/>
  <c r="P30" i="11" s="1"/>
  <c r="M31" i="11" l="1"/>
  <c r="Q31" i="11" s="1"/>
  <c r="L31" i="11"/>
  <c r="P31" i="11" s="1"/>
  <c r="L54" i="11"/>
  <c r="P54" i="11" s="1"/>
  <c r="M54" i="11"/>
  <c r="Q54" i="11" s="1"/>
  <c r="M53" i="11"/>
  <c r="Q53" i="11" s="1"/>
  <c r="L53" i="11"/>
  <c r="P53" i="11" s="1"/>
  <c r="M52" i="11"/>
  <c r="Q52" i="11" s="1"/>
  <c r="L52" i="11"/>
  <c r="P52" i="11" s="1"/>
  <c r="M51" i="11"/>
  <c r="Q51" i="11" s="1"/>
  <c r="L51" i="11"/>
  <c r="P51" i="11" s="1"/>
  <c r="P50" i="11"/>
  <c r="L50" i="11"/>
  <c r="M50" i="11"/>
  <c r="Q50" i="11" s="1"/>
  <c r="M49" i="11"/>
  <c r="Q49" i="11" s="1"/>
  <c r="L49" i="11"/>
  <c r="P49" i="11" s="1"/>
  <c r="P48" i="11"/>
  <c r="L48" i="11"/>
  <c r="M48" i="11"/>
  <c r="Q48" i="11" s="1"/>
  <c r="L47" i="11"/>
  <c r="P47" i="11" s="1"/>
  <c r="M47" i="11"/>
  <c r="Q47" i="11" s="1"/>
  <c r="Q46" i="11"/>
  <c r="M46" i="11"/>
  <c r="L46" i="11"/>
  <c r="P46" i="11" s="1"/>
  <c r="M45" i="11"/>
  <c r="Q45" i="11" s="1"/>
  <c r="L45" i="11"/>
  <c r="P45" i="11" s="1"/>
  <c r="Q44" i="11"/>
  <c r="M44" i="11"/>
  <c r="L44" i="11"/>
  <c r="P44" i="11" s="1"/>
  <c r="L43" i="11"/>
  <c r="P43" i="11" s="1"/>
  <c r="M43" i="11"/>
  <c r="Q43" i="11" s="1"/>
  <c r="P42" i="11"/>
  <c r="L42" i="11"/>
  <c r="M42" i="11"/>
  <c r="Q42" i="11" s="1"/>
  <c r="M41" i="11"/>
  <c r="Q41" i="11" s="1"/>
  <c r="L41" i="11"/>
  <c r="P41" i="11" s="1"/>
  <c r="Q40" i="11"/>
  <c r="M40" i="11"/>
  <c r="L40" i="11"/>
  <c r="P40" i="11" s="1"/>
  <c r="L39" i="11"/>
  <c r="P39" i="11" s="1"/>
  <c r="M39" i="11"/>
  <c r="Q39" i="11" s="1"/>
  <c r="P38" i="11"/>
  <c r="L38" i="11"/>
  <c r="M38" i="11"/>
  <c r="Q38" i="11" s="1"/>
  <c r="J37" i="11"/>
  <c r="J36" i="11"/>
  <c r="J35" i="11"/>
  <c r="K35" i="11"/>
  <c r="K34" i="11"/>
  <c r="J34" i="11"/>
  <c r="J33" i="11"/>
  <c r="K33" i="11"/>
  <c r="M32" i="11"/>
  <c r="Q32" i="11" s="1"/>
  <c r="L32" i="11"/>
  <c r="P32" i="11" s="1"/>
  <c r="L37" i="11"/>
  <c r="P37" i="11" s="1"/>
  <c r="M37" i="11"/>
  <c r="Q37" i="11" s="1"/>
  <c r="P34" i="11"/>
  <c r="L34" i="11"/>
  <c r="M34" i="11"/>
  <c r="Q34" i="11" s="1"/>
  <c r="L36" i="11"/>
  <c r="P36" i="11" s="1"/>
  <c r="Q36" i="11"/>
  <c r="M33" i="11"/>
  <c r="Q33" i="11" s="1"/>
  <c r="L33" i="11"/>
  <c r="P33" i="11" s="1"/>
  <c r="L35" i="11"/>
  <c r="P35" i="11" s="1"/>
  <c r="E32" i="11"/>
  <c r="J32" i="11" s="1"/>
  <c r="M35" i="11"/>
  <c r="Q35" i="11" s="1"/>
  <c r="K32" i="11" l="1"/>
  <c r="K37" i="11"/>
  <c r="K36" i="11"/>
</calcChain>
</file>

<file path=xl/sharedStrings.xml><?xml version="1.0" encoding="utf-8"?>
<sst xmlns="http://schemas.openxmlformats.org/spreadsheetml/2006/main" count="881" uniqueCount="163">
  <si>
    <t>FL</t>
  </si>
  <si>
    <t>FR</t>
  </si>
  <si>
    <t>Laps</t>
  </si>
  <si>
    <t>Time</t>
  </si>
  <si>
    <t>Laps tot</t>
  </si>
  <si>
    <t>Outing</t>
  </si>
  <si>
    <t>New disc</t>
  </si>
  <si>
    <t>Outer face wear</t>
  </si>
  <si>
    <t>#708</t>
  </si>
  <si>
    <t>DFL</t>
  </si>
  <si>
    <t>DFR</t>
  </si>
  <si>
    <t>DFR/lap</t>
  </si>
  <si>
    <t>DFL/lap</t>
  </si>
  <si>
    <t>#709</t>
  </si>
  <si>
    <t>Evaluate</t>
  </si>
  <si>
    <t>Lap</t>
  </si>
  <si>
    <t>Laptime</t>
  </si>
  <si>
    <t>Fuel</t>
  </si>
  <si>
    <t>Min tdisk_fl</t>
  </si>
  <si>
    <t>Max tdisk_fl</t>
  </si>
  <si>
    <t>Ave tdisk_fl</t>
  </si>
  <si>
    <t>Min tdisk_fr</t>
  </si>
  <si>
    <t>Max tdisk_fr</t>
  </si>
  <si>
    <t>Ave tdisk_fr</t>
  </si>
  <si>
    <t>20210815_--------_LEM_24H_Test_007008_0--_--------</t>
  </si>
  <si>
    <t>#8</t>
  </si>
  <si>
    <t>03:29.22 *</t>
  </si>
  <si>
    <t>y</t>
  </si>
  <si>
    <t>#1</t>
  </si>
  <si>
    <t>88:15.35 &gt;</t>
  </si>
  <si>
    <t>20:15.90 &gt;</t>
  </si>
  <si>
    <t>#2</t>
  </si>
  <si>
    <t>#3</t>
  </si>
  <si>
    <t>#4</t>
  </si>
  <si>
    <t>#5</t>
  </si>
  <si>
    <t>03:58.45 &gt;</t>
  </si>
  <si>
    <t>06:14.03 &gt;</t>
  </si>
  <si>
    <t>04:45.80 &gt;</t>
  </si>
  <si>
    <t>n</t>
  </si>
  <si>
    <t>00:54.50 &gt;</t>
  </si>
  <si>
    <t>03:49.85 &gt;</t>
  </si>
  <si>
    <t>19:10.44 &gt;</t>
  </si>
  <si>
    <t>05:29.69 &gt;</t>
  </si>
  <si>
    <t>22:00.94 &gt;</t>
  </si>
  <si>
    <t>#6</t>
  </si>
  <si>
    <t>04:42.99 &gt;</t>
  </si>
  <si>
    <t>09:34.29 &gt;</t>
  </si>
  <si>
    <t>04:00.29 &gt;</t>
  </si>
  <si>
    <t>05:01.90 &gt;</t>
  </si>
  <si>
    <t>04:04.29 &gt;</t>
  </si>
  <si>
    <t>10:47.05 &gt;</t>
  </si>
  <si>
    <t>06:34.55 &gt;</t>
  </si>
  <si>
    <t>21:13.15 &gt;</t>
  </si>
  <si>
    <t>03:59.54 &gt;</t>
  </si>
  <si>
    <t>05:06.81 &gt;</t>
  </si>
  <si>
    <t>#7</t>
  </si>
  <si>
    <t>03:58.64 &gt;</t>
  </si>
  <si>
    <t>05:00.37 &gt;</t>
  </si>
  <si>
    <t>#9</t>
  </si>
  <si>
    <t>#10</t>
  </si>
  <si>
    <t>#11</t>
  </si>
  <si>
    <t>#12</t>
  </si>
  <si>
    <t>04:05.33 &gt;</t>
  </si>
  <si>
    <t>24:36.62 &gt;</t>
  </si>
  <si>
    <t>06:20.21 &gt;</t>
  </si>
  <si>
    <t>00:37.54 &gt;</t>
  </si>
  <si>
    <t>04:00.90 &gt;</t>
  </si>
  <si>
    <t>Max Team_xBrakePadFLIB</t>
  </si>
  <si>
    <t>Max Team_xBrakePadFRIB</t>
  </si>
  <si>
    <t>20210815_--------_LEM_24H_Test_007009_0--_--------</t>
  </si>
  <si>
    <t>n.a.</t>
  </si>
  <si>
    <t>22:35.43 &gt;</t>
  </si>
  <si>
    <t>04:29.43 &gt;</t>
  </si>
  <si>
    <t>03:51.34 &gt;</t>
  </si>
  <si>
    <t>12:56.23 &gt;</t>
  </si>
  <si>
    <t>04:05.49 &gt;</t>
  </si>
  <si>
    <t>31:21.94 &gt;</t>
  </si>
  <si>
    <t>05:01.70 &gt;</t>
  </si>
  <si>
    <t>03:50.66 &gt;</t>
  </si>
  <si>
    <t>26:37.18 &gt;</t>
  </si>
  <si>
    <t>04:14.93 &gt;</t>
  </si>
  <si>
    <t>18:26.84 &gt;</t>
  </si>
  <si>
    <t>04:01.10 &gt;</t>
  </si>
  <si>
    <t>46:55.67 &gt;</t>
  </si>
  <si>
    <t>04:50.02 &gt;</t>
  </si>
  <si>
    <t>06:41.34 &gt;</t>
  </si>
  <si>
    <t>04:19.96 &gt;</t>
  </si>
  <si>
    <t>06:28.26 &gt;</t>
  </si>
  <si>
    <t>08:00.89 &gt;</t>
  </si>
  <si>
    <t>04:00.14 &gt;</t>
  </si>
  <si>
    <t>04:05.75 &gt;</t>
  </si>
  <si>
    <t>13:35.90 &gt;</t>
  </si>
  <si>
    <t>03:43.44 &gt;</t>
  </si>
  <si>
    <t>10:28.20 &gt;</t>
  </si>
  <si>
    <t>04:05.52 &gt;</t>
  </si>
  <si>
    <t>20:16.56 &gt;</t>
  </si>
  <si>
    <t>03:59.36 &gt;</t>
  </si>
  <si>
    <t>08:28.84 &gt;</t>
  </si>
  <si>
    <t>11:12.63 &gt;</t>
  </si>
  <si>
    <t>04:03.57 &gt;</t>
  </si>
  <si>
    <t>FL LVDT</t>
  </si>
  <si>
    <t>FR LVDT</t>
  </si>
  <si>
    <t>Disk wear FL</t>
  </si>
  <si>
    <t>Disk wear FR</t>
  </si>
  <si>
    <t>LVDT disp FL</t>
  </si>
  <si>
    <t>LVDT disp FR</t>
  </si>
  <si>
    <t>Disk/LVDT FL</t>
  </si>
  <si>
    <t>Disk/LVDT FR</t>
  </si>
  <si>
    <t>Wear/Lap FL</t>
  </si>
  <si>
    <t>Wear/Lap FR</t>
  </si>
  <si>
    <t>Lap-Diff Brk_Wear_FL</t>
  </si>
  <si>
    <t>Lap-Diff Brk_Wear_FR</t>
  </si>
  <si>
    <t>Wear/lap</t>
  </si>
  <si>
    <t>FP1</t>
  </si>
  <si>
    <t>Measurement #</t>
  </si>
  <si>
    <t>20210818_1-------_LEM_24H_FP1_007009_00-_03-3----</t>
  </si>
  <si>
    <t>03:57.50 &gt;</t>
  </si>
  <si>
    <t>04:49.78 &gt;</t>
  </si>
  <si>
    <t>04:00.51 &gt;</t>
  </si>
  <si>
    <t>06:55.79 &gt;</t>
  </si>
  <si>
    <t>03:30.16 *</t>
  </si>
  <si>
    <t>04:06.29 &gt;</t>
  </si>
  <si>
    <t>04:13.64 &gt;</t>
  </si>
  <si>
    <t>04:10.76 &gt;</t>
  </si>
  <si>
    <t>24:47.10 &gt;</t>
  </si>
  <si>
    <t>07:06.32 &gt;</t>
  </si>
  <si>
    <t>06:04.69 &gt;</t>
  </si>
  <si>
    <t>04:00.93 &gt;</t>
  </si>
  <si>
    <t>20210818_1-------_LEM_24H_QLY_007009_00-_--------</t>
  </si>
  <si>
    <t>10:31.98 &gt;</t>
  </si>
  <si>
    <t>21:41.60 &gt;</t>
  </si>
  <si>
    <t>04:39.58 &gt;</t>
  </si>
  <si>
    <t>00:29.06 &gt;</t>
  </si>
  <si>
    <t>04:02.15 &gt;</t>
  </si>
  <si>
    <t>06:19.06 &gt;</t>
  </si>
  <si>
    <t>03:29.35 *</t>
  </si>
  <si>
    <t>04:07.16 &gt;</t>
  </si>
  <si>
    <t>20210818_2-------_LEM_24H_FP2_007009_00-_0-------</t>
  </si>
  <si>
    <t>04:11.22 &gt;</t>
  </si>
  <si>
    <t>14:47.44 &gt;</t>
  </si>
  <si>
    <t>04:06.26 &gt;</t>
  </si>
  <si>
    <t>05:05.09 &gt;</t>
  </si>
  <si>
    <t>04:15.93 &gt;</t>
  </si>
  <si>
    <t>04:58.74 &gt;</t>
  </si>
  <si>
    <t>08:15.36 &gt;</t>
  </si>
  <si>
    <t>06:16.96 &gt;</t>
  </si>
  <si>
    <t>03:31.09 *</t>
  </si>
  <si>
    <t>04:07.13 &gt;</t>
  </si>
  <si>
    <t>04:47.15 &gt;</t>
  </si>
  <si>
    <t>04:12.87 &gt;</t>
  </si>
  <si>
    <t>04:51.17 &gt;</t>
  </si>
  <si>
    <t>07:42.07 &gt;</t>
  </si>
  <si>
    <t>FP3</t>
  </si>
  <si>
    <t>Hyperpole</t>
  </si>
  <si>
    <t>Hyper + 1/2 FP4</t>
  </si>
  <si>
    <t>FP4</t>
  </si>
  <si>
    <t>Warmup</t>
  </si>
  <si>
    <t>Total wear / laps</t>
  </si>
  <si>
    <t>LVDT</t>
  </si>
  <si>
    <t>Race start</t>
  </si>
  <si>
    <t>Disk/LVDT</t>
  </si>
  <si>
    <t>Predicted laps</t>
  </si>
  <si>
    <t>Predicted Adaptive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</si>
</sst>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20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47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1" fontId="0" fillId="0" borderId="0" xfId="0" applyNumberFormat="1"/>
    <xf numFmtId="0" fontId="2" fillId="5" borderId="2" xfId="0" applyFont="1" applyFill="1" applyBorder="1" applyAlignment="1">
      <alignment horizontal="center" vertical="center" wrapText="1"/>
    </xf>
    <xf numFmtId="47" fontId="4" fillId="0" borderId="2" xfId="0" applyNumberFormat="1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2" fontId="0" fillId="0" borderId="1" xfId="0" applyNumberFormat="1" applyFont="1" applyBorder="1" applyAlignment="1">
      <alignment horizontal="left"/>
    </xf>
    <xf numFmtId="47" fontId="3" fillId="5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165" fontId="0" fillId="0" borderId="0" xfId="0" applyNumberForma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6" xfId="0" applyFont="1" applyFill="1" applyBorder="1" applyAlignment="1">
      <alignment horizontal="right" vertical="center" wrapText="1"/>
    </xf>
    <xf numFmtId="0" fontId="2" fillId="0" borderId="7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165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" fontId="0" fillId="0" borderId="1" xfId="0" applyNumberForma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165" fontId="0" fillId="6" borderId="1" xfId="0" applyNumberFormat="1" applyFill="1" applyBorder="1" applyAlignment="1">
      <alignment horizontal="left"/>
    </xf>
    <xf numFmtId="2" fontId="0" fillId="6" borderId="1" xfId="0" applyNumberFormat="1" applyFill="1" applyBorder="1" applyAlignment="1">
      <alignment horizontal="left"/>
    </xf>
    <xf numFmtId="165" fontId="0" fillId="7" borderId="1" xfId="0" applyNumberFormat="1" applyFill="1" applyBorder="1" applyAlignment="1">
      <alignment horizontal="left"/>
    </xf>
    <xf numFmtId="164" fontId="0" fillId="8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'708_Set3'!$F$5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'708_Set3'!$D$6:$D$25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17</c:v>
                </c:pt>
                <c:pt idx="6">
                  <c:v>45</c:v>
                </c:pt>
                <c:pt idx="7">
                  <c:v>51</c:v>
                </c:pt>
                <c:pt idx="8">
                  <c:v>65</c:v>
                </c:pt>
                <c:pt idx="9">
                  <c:v>75</c:v>
                </c:pt>
                <c:pt idx="10">
                  <c:v>79</c:v>
                </c:pt>
                <c:pt idx="11">
                  <c:v>102</c:v>
                </c:pt>
                <c:pt idx="12">
                  <c:v>108</c:v>
                </c:pt>
                <c:pt idx="13">
                  <c:v>120</c:v>
                </c:pt>
                <c:pt idx="14">
                  <c:v>125</c:v>
                </c:pt>
                <c:pt idx="15">
                  <c:v>137</c:v>
                </c:pt>
                <c:pt idx="16">
                  <c:v>145</c:v>
                </c:pt>
                <c:pt idx="17">
                  <c:v>152</c:v>
                </c:pt>
                <c:pt idx="18">
                  <c:v>171</c:v>
                </c:pt>
                <c:pt idx="19">
                  <c:v>176</c:v>
                </c:pt>
              </c:numCache>
            </c:numRef>
          </c:xVal>
          <c:yVal>
            <c:numRef>
              <c:f>'708_Set3'!$F$6:$F$25</c:f>
              <c:numCache>
                <c:formatCode>0.00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5.6</c:v>
                </c:pt>
                <c:pt idx="3">
                  <c:v>5.5452499999999993</c:v>
                </c:pt>
                <c:pt idx="4">
                  <c:v>5.2167499999999993</c:v>
                </c:pt>
                <c:pt idx="5">
                  <c:v>5.1072499999999996</c:v>
                </c:pt>
                <c:pt idx="6">
                  <c:v>4.6144999999999996</c:v>
                </c:pt>
                <c:pt idx="7">
                  <c:v>4.5597499999999993</c:v>
                </c:pt>
                <c:pt idx="8">
                  <c:v>5.8007499999999999</c:v>
                </c:pt>
                <c:pt idx="9">
                  <c:v>5.8007499999999999</c:v>
                </c:pt>
                <c:pt idx="10">
                  <c:v>5.8007499999999999</c:v>
                </c:pt>
                <c:pt idx="11">
                  <c:v>5.8007499999999999</c:v>
                </c:pt>
                <c:pt idx="12">
                  <c:v>5.8007499999999999</c:v>
                </c:pt>
                <c:pt idx="13">
                  <c:v>5.8007499999999999</c:v>
                </c:pt>
                <c:pt idx="14">
                  <c:v>5.8007499999999999</c:v>
                </c:pt>
                <c:pt idx="15">
                  <c:v>3.6289999999999996</c:v>
                </c:pt>
                <c:pt idx="16">
                  <c:v>3.4647499999999996</c:v>
                </c:pt>
                <c:pt idx="17">
                  <c:v>3.3552499999999994</c:v>
                </c:pt>
                <c:pt idx="18">
                  <c:v>3.3552499999999994</c:v>
                </c:pt>
                <c:pt idx="19">
                  <c:v>3.3552499999999994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F-44B2-BD73-BD4EB990212D}"/>
            </c:ext>
          </c:extLst>
        </c:ser>
        <c:ser>
          <c:idx val="1"/>
          <c:order val="1"/>
          <c:tx>
            <c:strRef>
              <c:f>'708_Set3'!$G$5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'708_Set3'!$D$6:$D$25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17</c:v>
                </c:pt>
                <c:pt idx="6">
                  <c:v>45</c:v>
                </c:pt>
                <c:pt idx="7">
                  <c:v>51</c:v>
                </c:pt>
                <c:pt idx="8">
                  <c:v>65</c:v>
                </c:pt>
                <c:pt idx="9">
                  <c:v>75</c:v>
                </c:pt>
                <c:pt idx="10">
                  <c:v>79</c:v>
                </c:pt>
                <c:pt idx="11">
                  <c:v>102</c:v>
                </c:pt>
                <c:pt idx="12">
                  <c:v>108</c:v>
                </c:pt>
                <c:pt idx="13">
                  <c:v>120</c:v>
                </c:pt>
                <c:pt idx="14">
                  <c:v>125</c:v>
                </c:pt>
                <c:pt idx="15">
                  <c:v>137</c:v>
                </c:pt>
                <c:pt idx="16">
                  <c:v>145</c:v>
                </c:pt>
                <c:pt idx="17">
                  <c:v>152</c:v>
                </c:pt>
                <c:pt idx="18">
                  <c:v>171</c:v>
                </c:pt>
                <c:pt idx="19">
                  <c:v>176</c:v>
                </c:pt>
              </c:numCache>
            </c:numRef>
          </c:xVal>
          <c:yVal>
            <c:numRef>
              <c:f>'708_Set3'!$G$6:$G$25</c:f>
              <c:numCache>
                <c:formatCode>0.00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5.6</c:v>
                </c:pt>
                <c:pt idx="3">
                  <c:v>5.6</c:v>
                </c:pt>
                <c:pt idx="4">
                  <c:v>5.3262499999999999</c:v>
                </c:pt>
                <c:pt idx="5">
                  <c:v>5.1072499999999996</c:v>
                </c:pt>
                <c:pt idx="6">
                  <c:v>4.5597499999999993</c:v>
                </c:pt>
                <c:pt idx="7">
                  <c:v>4.5049999999999999</c:v>
                </c:pt>
                <c:pt idx="8">
                  <c:v>4.3407499999999999</c:v>
                </c:pt>
                <c:pt idx="9">
                  <c:v>4.2859999999999996</c:v>
                </c:pt>
                <c:pt idx="10">
                  <c:v>4.2312499999999993</c:v>
                </c:pt>
                <c:pt idx="11">
                  <c:v>4.0122499999999999</c:v>
                </c:pt>
                <c:pt idx="12">
                  <c:v>3.9027499999999993</c:v>
                </c:pt>
                <c:pt idx="13">
                  <c:v>3.8479999999999994</c:v>
                </c:pt>
                <c:pt idx="14">
                  <c:v>3.7932499999999996</c:v>
                </c:pt>
                <c:pt idx="15">
                  <c:v>3.6289999999999996</c:v>
                </c:pt>
                <c:pt idx="16">
                  <c:v>3.5742499999999993</c:v>
                </c:pt>
                <c:pt idx="17">
                  <c:v>3.5194999999999999</c:v>
                </c:pt>
                <c:pt idx="18">
                  <c:v>3.3552499999999994</c:v>
                </c:pt>
                <c:pt idx="19">
                  <c:v>3.3004999999999995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7F-44B2-BD73-BD4EB9902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'708_Set3'!$H$5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'708_Set3'!$D$6:$D$25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17</c:v>
                </c:pt>
                <c:pt idx="6">
                  <c:v>45</c:v>
                </c:pt>
                <c:pt idx="7">
                  <c:v>51</c:v>
                </c:pt>
                <c:pt idx="8">
                  <c:v>65</c:v>
                </c:pt>
                <c:pt idx="9">
                  <c:v>75</c:v>
                </c:pt>
                <c:pt idx="10">
                  <c:v>79</c:v>
                </c:pt>
                <c:pt idx="11">
                  <c:v>102</c:v>
                </c:pt>
                <c:pt idx="12">
                  <c:v>108</c:v>
                </c:pt>
                <c:pt idx="13">
                  <c:v>120</c:v>
                </c:pt>
                <c:pt idx="14">
                  <c:v>125</c:v>
                </c:pt>
                <c:pt idx="15">
                  <c:v>137</c:v>
                </c:pt>
                <c:pt idx="16">
                  <c:v>145</c:v>
                </c:pt>
                <c:pt idx="17">
                  <c:v>152</c:v>
                </c:pt>
                <c:pt idx="18">
                  <c:v>171</c:v>
                </c:pt>
                <c:pt idx="19">
                  <c:v>176</c:v>
                </c:pt>
              </c:numCache>
            </c:numRef>
          </c:xVal>
          <c:yVal>
            <c:numRef>
              <c:f>'708_Set3'!$H$6:$H$25</c:f>
              <c:numCache>
                <c:formatCode>0.00</c:formatCode>
                <c:ptCount val="20"/>
                <c:pt idx="1">
                  <c:v>0</c:v>
                </c:pt>
                <c:pt idx="2">
                  <c:v>0.40000000000000036</c:v>
                </c:pt>
                <c:pt idx="3">
                  <c:v>5.4750000000000298E-2</c:v>
                </c:pt>
                <c:pt idx="4">
                  <c:v>0.32850000000000001</c:v>
                </c:pt>
                <c:pt idx="5">
                  <c:v>0.10949999999999971</c:v>
                </c:pt>
                <c:pt idx="6">
                  <c:v>0.49275000000000002</c:v>
                </c:pt>
                <c:pt idx="7">
                  <c:v>5.4750000000000298E-2</c:v>
                </c:pt>
                <c:pt idx="8">
                  <c:v>-1.2410000000000005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2.1717500000000003</c:v>
                </c:pt>
                <c:pt idx="16">
                  <c:v>0.16425000000000001</c:v>
                </c:pt>
                <c:pt idx="17">
                  <c:v>0.10950000000000015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F-49C4-9468-F0B7F6415DE6}"/>
            </c:ext>
          </c:extLst>
        </c:ser>
        <c:ser>
          <c:idx val="1"/>
          <c:order val="1"/>
          <c:tx>
            <c:strRef>
              <c:f>'708_Set3'!$I$5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'708_Set3'!$D$6:$D$25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17</c:v>
                </c:pt>
                <c:pt idx="6">
                  <c:v>45</c:v>
                </c:pt>
                <c:pt idx="7">
                  <c:v>51</c:v>
                </c:pt>
                <c:pt idx="8">
                  <c:v>65</c:v>
                </c:pt>
                <c:pt idx="9">
                  <c:v>75</c:v>
                </c:pt>
                <c:pt idx="10">
                  <c:v>79</c:v>
                </c:pt>
                <c:pt idx="11">
                  <c:v>102</c:v>
                </c:pt>
                <c:pt idx="12">
                  <c:v>108</c:v>
                </c:pt>
                <c:pt idx="13">
                  <c:v>120</c:v>
                </c:pt>
                <c:pt idx="14">
                  <c:v>125</c:v>
                </c:pt>
                <c:pt idx="15">
                  <c:v>137</c:v>
                </c:pt>
                <c:pt idx="16">
                  <c:v>145</c:v>
                </c:pt>
                <c:pt idx="17">
                  <c:v>152</c:v>
                </c:pt>
                <c:pt idx="18">
                  <c:v>171</c:v>
                </c:pt>
                <c:pt idx="19">
                  <c:v>176</c:v>
                </c:pt>
              </c:numCache>
            </c:numRef>
          </c:xVal>
          <c:yVal>
            <c:numRef>
              <c:f>'708_Set3'!$I$6:$I$25</c:f>
              <c:numCache>
                <c:formatCode>0.00</c:formatCode>
                <c:ptCount val="20"/>
                <c:pt idx="1">
                  <c:v>0</c:v>
                </c:pt>
                <c:pt idx="2">
                  <c:v>0.40000000000000036</c:v>
                </c:pt>
                <c:pt idx="3">
                  <c:v>0</c:v>
                </c:pt>
                <c:pt idx="4">
                  <c:v>0.27374999999999972</c:v>
                </c:pt>
                <c:pt idx="5">
                  <c:v>0.21900000000000031</c:v>
                </c:pt>
                <c:pt idx="6">
                  <c:v>0.54750000000000032</c:v>
                </c:pt>
                <c:pt idx="7">
                  <c:v>5.474999999999941E-2</c:v>
                </c:pt>
                <c:pt idx="8">
                  <c:v>0.16425000000000001</c:v>
                </c:pt>
                <c:pt idx="9">
                  <c:v>5.4750000000000298E-2</c:v>
                </c:pt>
                <c:pt idx="10">
                  <c:v>5.4750000000000298E-2</c:v>
                </c:pt>
                <c:pt idx="11">
                  <c:v>0.21899999999999942</c:v>
                </c:pt>
                <c:pt idx="12">
                  <c:v>0.1095000000000006</c:v>
                </c:pt>
                <c:pt idx="13">
                  <c:v>5.4749999999999854E-2</c:v>
                </c:pt>
                <c:pt idx="14">
                  <c:v>5.4749999999999854E-2</c:v>
                </c:pt>
                <c:pt idx="15">
                  <c:v>0.16425000000000001</c:v>
                </c:pt>
                <c:pt idx="16">
                  <c:v>5.4750000000000298E-2</c:v>
                </c:pt>
                <c:pt idx="17">
                  <c:v>5.474999999999941E-2</c:v>
                </c:pt>
                <c:pt idx="18">
                  <c:v>0.16425000000000045</c:v>
                </c:pt>
                <c:pt idx="19">
                  <c:v>5.4749999999999854E-2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DF-49C4-9468-F0B7F6415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 VS Lap #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'708_Set3'!$J$5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'708_Set3'!$D$7:$D$25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13</c:v>
                </c:pt>
                <c:pt idx="4">
                  <c:v>17</c:v>
                </c:pt>
                <c:pt idx="5">
                  <c:v>45</c:v>
                </c:pt>
                <c:pt idx="6">
                  <c:v>51</c:v>
                </c:pt>
                <c:pt idx="7">
                  <c:v>65</c:v>
                </c:pt>
                <c:pt idx="8">
                  <c:v>75</c:v>
                </c:pt>
                <c:pt idx="9">
                  <c:v>79</c:v>
                </c:pt>
                <c:pt idx="10">
                  <c:v>102</c:v>
                </c:pt>
                <c:pt idx="11">
                  <c:v>108</c:v>
                </c:pt>
                <c:pt idx="12">
                  <c:v>120</c:v>
                </c:pt>
                <c:pt idx="13">
                  <c:v>125</c:v>
                </c:pt>
                <c:pt idx="14">
                  <c:v>137</c:v>
                </c:pt>
                <c:pt idx="15">
                  <c:v>145</c:v>
                </c:pt>
                <c:pt idx="16">
                  <c:v>152</c:v>
                </c:pt>
                <c:pt idx="17">
                  <c:v>171</c:v>
                </c:pt>
                <c:pt idx="18">
                  <c:v>176</c:v>
                </c:pt>
              </c:numCache>
            </c:numRef>
          </c:xVal>
          <c:yVal>
            <c:numRef>
              <c:f>'708_Set3'!$J$7:$J$25</c:f>
              <c:numCache>
                <c:formatCode>0.000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9.1250000000000497E-3</c:v>
                </c:pt>
                <c:pt idx="3">
                  <c:v>4.6928571428571431E-2</c:v>
                </c:pt>
                <c:pt idx="4">
                  <c:v>2.7374999999999927E-2</c:v>
                </c:pt>
                <c:pt idx="5">
                  <c:v>1.7598214285714286E-2</c:v>
                </c:pt>
                <c:pt idx="6">
                  <c:v>9.1250000000000497E-3</c:v>
                </c:pt>
                <c:pt idx="7">
                  <c:v>-8.8642857142857176E-2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0.18097916666666669</c:v>
                </c:pt>
                <c:pt idx="15">
                  <c:v>2.0531250000000001E-2</c:v>
                </c:pt>
                <c:pt idx="16">
                  <c:v>1.5642857142857163E-2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B-45E8-8DAC-5287FB1AE33B}"/>
            </c:ext>
          </c:extLst>
        </c:ser>
        <c:ser>
          <c:idx val="1"/>
          <c:order val="1"/>
          <c:tx>
            <c:strRef>
              <c:f>'708_Set3'!$K$5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'708_Set3'!$D$7:$D$54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13</c:v>
                </c:pt>
                <c:pt idx="4">
                  <c:v>17</c:v>
                </c:pt>
                <c:pt idx="5">
                  <c:v>45</c:v>
                </c:pt>
                <c:pt idx="6">
                  <c:v>51</c:v>
                </c:pt>
                <c:pt idx="7">
                  <c:v>65</c:v>
                </c:pt>
                <c:pt idx="8">
                  <c:v>75</c:v>
                </c:pt>
                <c:pt idx="9">
                  <c:v>79</c:v>
                </c:pt>
                <c:pt idx="10">
                  <c:v>102</c:v>
                </c:pt>
                <c:pt idx="11">
                  <c:v>108</c:v>
                </c:pt>
                <c:pt idx="12">
                  <c:v>120</c:v>
                </c:pt>
                <c:pt idx="13">
                  <c:v>125</c:v>
                </c:pt>
                <c:pt idx="14">
                  <c:v>137</c:v>
                </c:pt>
                <c:pt idx="15">
                  <c:v>145</c:v>
                </c:pt>
                <c:pt idx="16">
                  <c:v>152</c:v>
                </c:pt>
                <c:pt idx="17">
                  <c:v>171</c:v>
                </c:pt>
                <c:pt idx="18">
                  <c:v>176</c:v>
                </c:pt>
                <c:pt idx="19">
                  <c:v>192</c:v>
                </c:pt>
                <c:pt idx="20">
                  <c:v>211</c:v>
                </c:pt>
                <c:pt idx="21">
                  <c:v>233</c:v>
                </c:pt>
                <c:pt idx="22">
                  <c:v>249</c:v>
                </c:pt>
                <c:pt idx="23">
                  <c:v>254</c:v>
                </c:pt>
                <c:pt idx="24">
                  <c:v>260</c:v>
                </c:pt>
                <c:pt idx="25">
                  <c:v>270</c:v>
                </c:pt>
                <c:pt idx="26">
                  <c:v>298</c:v>
                </c:pt>
                <c:pt idx="27">
                  <c:v>324</c:v>
                </c:pt>
                <c:pt idx="28">
                  <c:v>332</c:v>
                </c:pt>
                <c:pt idx="29">
                  <c:v>353</c:v>
                </c:pt>
              </c:numCache>
            </c:numRef>
          </c:xVal>
          <c:yVal>
            <c:numRef>
              <c:f>'708_Set3'!$K$7:$K$54</c:f>
              <c:numCache>
                <c:formatCode>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3.910714285714282E-2</c:v>
                </c:pt>
                <c:pt idx="4">
                  <c:v>5.4750000000000076E-2</c:v>
                </c:pt>
                <c:pt idx="5">
                  <c:v>1.9553571428571441E-2</c:v>
                </c:pt>
                <c:pt idx="6">
                  <c:v>9.1249999999999023E-3</c:v>
                </c:pt>
                <c:pt idx="7">
                  <c:v>1.1732142857142858E-2</c:v>
                </c:pt>
                <c:pt idx="8">
                  <c:v>5.4750000000000302E-3</c:v>
                </c:pt>
                <c:pt idx="9">
                  <c:v>1.3687500000000075E-2</c:v>
                </c:pt>
                <c:pt idx="10">
                  <c:v>9.521739130434758E-3</c:v>
                </c:pt>
                <c:pt idx="11">
                  <c:v>1.8250000000000099E-2</c:v>
                </c:pt>
                <c:pt idx="12">
                  <c:v>4.5624999999999876E-3</c:v>
                </c:pt>
                <c:pt idx="13">
                  <c:v>1.094999999999997E-2</c:v>
                </c:pt>
                <c:pt idx="14">
                  <c:v>1.36875E-2</c:v>
                </c:pt>
                <c:pt idx="15">
                  <c:v>6.8437500000000373E-3</c:v>
                </c:pt>
                <c:pt idx="16">
                  <c:v>7.8214285714284879E-3</c:v>
                </c:pt>
                <c:pt idx="17">
                  <c:v>8.6447368421052866E-3</c:v>
                </c:pt>
                <c:pt idx="18">
                  <c:v>1.094999999999997E-2</c:v>
                </c:pt>
                <c:pt idx="19">
                  <c:v>6.8437500000000095E-3</c:v>
                </c:pt>
                <c:pt idx="20">
                  <c:v>8.6447368421052641E-3</c:v>
                </c:pt>
                <c:pt idx="21">
                  <c:v>7.4659090909090708E-3</c:v>
                </c:pt>
                <c:pt idx="22">
                  <c:v>1.0265625000000028E-2</c:v>
                </c:pt>
                <c:pt idx="23">
                  <c:v>1.0949999999999882E-2</c:v>
                </c:pt>
                <c:pt idx="24">
                  <c:v>9.1250000000000497E-3</c:v>
                </c:pt>
                <c:pt idx="25">
                  <c:v>1.0950000000000015E-2</c:v>
                </c:pt>
                <c:pt idx="26">
                  <c:v>1.3687499999999995E-2</c:v>
                </c:pt>
                <c:pt idx="27">
                  <c:v>6.3173076923076924E-3</c:v>
                </c:pt>
                <c:pt idx="28">
                  <c:v>6.8437500000000373E-3</c:v>
                </c:pt>
                <c:pt idx="29">
                  <c:v>1.0428571428571422E-2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2B-45E8-8DAC-5287FB1AE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Wear average vs</a:t>
            </a:r>
            <a:r>
              <a:rPr lang="en-GB" b="1" baseline="0"/>
              <a:t> total number of laps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802802285783821E-2"/>
          <c:y val="0.18849923486701411"/>
          <c:w val="0.84699067024555841"/>
          <c:h val="0.693602255701681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'708_Set3'!$L$5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'708_Set3'!$D$6:$D$54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17</c:v>
                </c:pt>
                <c:pt idx="6">
                  <c:v>45</c:v>
                </c:pt>
                <c:pt idx="7">
                  <c:v>51</c:v>
                </c:pt>
                <c:pt idx="8">
                  <c:v>65</c:v>
                </c:pt>
                <c:pt idx="9">
                  <c:v>75</c:v>
                </c:pt>
                <c:pt idx="10">
                  <c:v>79</c:v>
                </c:pt>
                <c:pt idx="11">
                  <c:v>102</c:v>
                </c:pt>
                <c:pt idx="12">
                  <c:v>108</c:v>
                </c:pt>
                <c:pt idx="13">
                  <c:v>120</c:v>
                </c:pt>
                <c:pt idx="14">
                  <c:v>125</c:v>
                </c:pt>
                <c:pt idx="15">
                  <c:v>137</c:v>
                </c:pt>
                <c:pt idx="16">
                  <c:v>145</c:v>
                </c:pt>
                <c:pt idx="17">
                  <c:v>152</c:v>
                </c:pt>
                <c:pt idx="18">
                  <c:v>171</c:v>
                </c:pt>
                <c:pt idx="19">
                  <c:v>176</c:v>
                </c:pt>
                <c:pt idx="20">
                  <c:v>192</c:v>
                </c:pt>
                <c:pt idx="21">
                  <c:v>211</c:v>
                </c:pt>
                <c:pt idx="22">
                  <c:v>233</c:v>
                </c:pt>
                <c:pt idx="23">
                  <c:v>249</c:v>
                </c:pt>
                <c:pt idx="24">
                  <c:v>254</c:v>
                </c:pt>
                <c:pt idx="25">
                  <c:v>260</c:v>
                </c:pt>
                <c:pt idx="26">
                  <c:v>270</c:v>
                </c:pt>
                <c:pt idx="27">
                  <c:v>298</c:v>
                </c:pt>
                <c:pt idx="28">
                  <c:v>324</c:v>
                </c:pt>
                <c:pt idx="29">
                  <c:v>332</c:v>
                </c:pt>
                <c:pt idx="30">
                  <c:v>353</c:v>
                </c:pt>
              </c:numCache>
            </c:numRef>
          </c:xVal>
          <c:yVal>
            <c:numRef>
              <c:f>'708_Set3'!$L$6:$L$54</c:f>
              <c:numCache>
                <c:formatCode>0.0000</c:formatCode>
                <c:ptCount val="49"/>
                <c:pt idx="1">
                  <c:v>0</c:v>
                </c:pt>
                <c:pt idx="2">
                  <c:v>0</c:v>
                </c:pt>
                <c:pt idx="3">
                  <c:v>7.5791666666666771E-2</c:v>
                </c:pt>
                <c:pt idx="4">
                  <c:v>6.0250000000000054E-2</c:v>
                </c:pt>
                <c:pt idx="5">
                  <c:v>5.2514705882352963E-2</c:v>
                </c:pt>
                <c:pt idx="6">
                  <c:v>3.0788888888888897E-2</c:v>
                </c:pt>
                <c:pt idx="7">
                  <c:v>2.8240196078431385E-2</c:v>
                </c:pt>
                <c:pt idx="8">
                  <c:v>3.0653846153846178E-3</c:v>
                </c:pt>
                <c:pt idx="9">
                  <c:v>2.6566666666666687E-3</c:v>
                </c:pt>
                <c:pt idx="10">
                  <c:v>2.5221518987341789E-3</c:v>
                </c:pt>
                <c:pt idx="11">
                  <c:v>1.953431372549021E-3</c:v>
                </c:pt>
                <c:pt idx="12">
                  <c:v>1.8449074074074088E-3</c:v>
                </c:pt>
                <c:pt idx="13">
                  <c:v>1.6604166666666679E-3</c:v>
                </c:pt>
                <c:pt idx="14">
                  <c:v>1.5940000000000012E-3</c:v>
                </c:pt>
                <c:pt idx="15">
                  <c:v>1.7306569343065698E-2</c:v>
                </c:pt>
                <c:pt idx="16">
                  <c:v>1.7484482758620693E-2</c:v>
                </c:pt>
                <c:pt idx="17">
                  <c:v>1.7399671052631582E-2</c:v>
                </c:pt>
                <c:pt idx="18">
                  <c:v>1.5466374269005852E-2</c:v>
                </c:pt>
                <c:pt idx="19">
                  <c:v>1.502698863636364E-2</c:v>
                </c:pt>
                <c:pt idx="20">
                  <c:v>1.3774739583333336E-2</c:v>
                </c:pt>
                <c:pt idx="21">
                  <c:v>1.1755924170616114E-2</c:v>
                </c:pt>
                <c:pt idx="22">
                  <c:v>1.0410944206008585E-2</c:v>
                </c:pt>
                <c:pt idx="23">
                  <c:v>2.4096385542168676E-2</c:v>
                </c:pt>
                <c:pt idx="24">
                  <c:v>2.3622047244094488E-2</c:v>
                </c:pt>
                <c:pt idx="25">
                  <c:v>2.3076923076923078E-2</c:v>
                </c:pt>
                <c:pt idx="26">
                  <c:v>2.2222222222222223E-2</c:v>
                </c:pt>
                <c:pt idx="27">
                  <c:v>2.0134228187919462E-2</c:v>
                </c:pt>
                <c:pt idx="28">
                  <c:v>1.8518518518518517E-2</c:v>
                </c:pt>
                <c:pt idx="29">
                  <c:v>1.8072289156626505E-2</c:v>
                </c:pt>
                <c:pt idx="30">
                  <c:v>1.69971671388102E-2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8-45B9-BE0C-E74DA482CFC2}"/>
            </c:ext>
          </c:extLst>
        </c:ser>
        <c:ser>
          <c:idx val="1"/>
          <c:order val="1"/>
          <c:tx>
            <c:strRef>
              <c:f>'708_Set3'!$M$5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'708_Set3'!$D$6:$D$54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17</c:v>
                </c:pt>
                <c:pt idx="6">
                  <c:v>45</c:v>
                </c:pt>
                <c:pt idx="7">
                  <c:v>51</c:v>
                </c:pt>
                <c:pt idx="8">
                  <c:v>65</c:v>
                </c:pt>
                <c:pt idx="9">
                  <c:v>75</c:v>
                </c:pt>
                <c:pt idx="10">
                  <c:v>79</c:v>
                </c:pt>
                <c:pt idx="11">
                  <c:v>102</c:v>
                </c:pt>
                <c:pt idx="12">
                  <c:v>108</c:v>
                </c:pt>
                <c:pt idx="13">
                  <c:v>120</c:v>
                </c:pt>
                <c:pt idx="14">
                  <c:v>125</c:v>
                </c:pt>
                <c:pt idx="15">
                  <c:v>137</c:v>
                </c:pt>
                <c:pt idx="16">
                  <c:v>145</c:v>
                </c:pt>
                <c:pt idx="17">
                  <c:v>152</c:v>
                </c:pt>
                <c:pt idx="18">
                  <c:v>171</c:v>
                </c:pt>
                <c:pt idx="19">
                  <c:v>176</c:v>
                </c:pt>
                <c:pt idx="20">
                  <c:v>192</c:v>
                </c:pt>
                <c:pt idx="21">
                  <c:v>211</c:v>
                </c:pt>
                <c:pt idx="22">
                  <c:v>233</c:v>
                </c:pt>
                <c:pt idx="23">
                  <c:v>249</c:v>
                </c:pt>
                <c:pt idx="24">
                  <c:v>254</c:v>
                </c:pt>
                <c:pt idx="25">
                  <c:v>260</c:v>
                </c:pt>
                <c:pt idx="26">
                  <c:v>270</c:v>
                </c:pt>
                <c:pt idx="27">
                  <c:v>298</c:v>
                </c:pt>
                <c:pt idx="28">
                  <c:v>324</c:v>
                </c:pt>
                <c:pt idx="29">
                  <c:v>332</c:v>
                </c:pt>
                <c:pt idx="30">
                  <c:v>353</c:v>
                </c:pt>
              </c:numCache>
            </c:numRef>
          </c:xVal>
          <c:yVal>
            <c:numRef>
              <c:f>'708_Set3'!$M$6:$M$54</c:f>
              <c:numCache>
                <c:formatCode>0.0000</c:formatCode>
                <c:ptCount val="49"/>
                <c:pt idx="1">
                  <c:v>0</c:v>
                </c:pt>
                <c:pt idx="2">
                  <c:v>0</c:v>
                </c:pt>
                <c:pt idx="3">
                  <c:v>6.6666666666666721E-2</c:v>
                </c:pt>
                <c:pt idx="4">
                  <c:v>5.1826923076923083E-2</c:v>
                </c:pt>
                <c:pt idx="5">
                  <c:v>5.2514705882352963E-2</c:v>
                </c:pt>
                <c:pt idx="6">
                  <c:v>3.2005555555555572E-2</c:v>
                </c:pt>
                <c:pt idx="7">
                  <c:v>2.931372549019608E-2</c:v>
                </c:pt>
                <c:pt idx="8">
                  <c:v>2.5526923076923079E-2</c:v>
                </c:pt>
                <c:pt idx="9">
                  <c:v>2.285333333333334E-2</c:v>
                </c:pt>
                <c:pt idx="10">
                  <c:v>2.2389240506329122E-2</c:v>
                </c:pt>
                <c:pt idx="11">
                  <c:v>1.9487745098039216E-2</c:v>
                </c:pt>
                <c:pt idx="12">
                  <c:v>1.9418981481481488E-2</c:v>
                </c:pt>
                <c:pt idx="13">
                  <c:v>1.7933333333333339E-2</c:v>
                </c:pt>
                <c:pt idx="14">
                  <c:v>1.7654000000000003E-2</c:v>
                </c:pt>
                <c:pt idx="15">
                  <c:v>1.7306569343065698E-2</c:v>
                </c:pt>
                <c:pt idx="16">
                  <c:v>1.6729310344827591E-2</c:v>
                </c:pt>
                <c:pt idx="17">
                  <c:v>1.6319078947368421E-2</c:v>
                </c:pt>
                <c:pt idx="18">
                  <c:v>1.5466374269005852E-2</c:v>
                </c:pt>
                <c:pt idx="19">
                  <c:v>1.5338068181818184E-2</c:v>
                </c:pt>
                <c:pt idx="20">
                  <c:v>1.4630208333333337E-2</c:v>
                </c:pt>
                <c:pt idx="21">
                  <c:v>1.4091232227488154E-2</c:v>
                </c:pt>
                <c:pt idx="22">
                  <c:v>1.3465665236051503E-2</c:v>
                </c:pt>
                <c:pt idx="23">
                  <c:v>1.3260040160642573E-2</c:v>
                </c:pt>
                <c:pt idx="24">
                  <c:v>1.3214566929133859E-2</c:v>
                </c:pt>
                <c:pt idx="25">
                  <c:v>1.3120192307692308E-2</c:v>
                </c:pt>
                <c:pt idx="26">
                  <c:v>1.3039814814814817E-2</c:v>
                </c:pt>
                <c:pt idx="27">
                  <c:v>1.3100671140939598E-2</c:v>
                </c:pt>
                <c:pt idx="28">
                  <c:v>1.2556327160493829E-2</c:v>
                </c:pt>
                <c:pt idx="29">
                  <c:v>1.2418674698795184E-2</c:v>
                </c:pt>
                <c:pt idx="30">
                  <c:v>1.2300283286118981E-2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8-45B9-BE0C-E74DA482C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Predicted</a:t>
            </a:r>
            <a:r>
              <a:rPr lang="en-GB" b="1" baseline="0"/>
              <a:t> end of life lap [lap number]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802802285783821E-2"/>
          <c:y val="0.18849923486701411"/>
          <c:w val="0.84699067024555841"/>
          <c:h val="0.693602255701681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'708_Set3'!$R$5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'708_Set3'!$D$6:$D$54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17</c:v>
                </c:pt>
                <c:pt idx="6">
                  <c:v>45</c:v>
                </c:pt>
                <c:pt idx="7">
                  <c:v>51</c:v>
                </c:pt>
                <c:pt idx="8">
                  <c:v>65</c:v>
                </c:pt>
                <c:pt idx="9">
                  <c:v>75</c:v>
                </c:pt>
                <c:pt idx="10">
                  <c:v>79</c:v>
                </c:pt>
                <c:pt idx="11">
                  <c:v>102</c:v>
                </c:pt>
                <c:pt idx="12">
                  <c:v>108</c:v>
                </c:pt>
                <c:pt idx="13">
                  <c:v>120</c:v>
                </c:pt>
                <c:pt idx="14">
                  <c:v>125</c:v>
                </c:pt>
                <c:pt idx="15">
                  <c:v>137</c:v>
                </c:pt>
                <c:pt idx="16">
                  <c:v>145</c:v>
                </c:pt>
                <c:pt idx="17">
                  <c:v>152</c:v>
                </c:pt>
                <c:pt idx="18">
                  <c:v>171</c:v>
                </c:pt>
                <c:pt idx="19">
                  <c:v>176</c:v>
                </c:pt>
                <c:pt idx="20">
                  <c:v>192</c:v>
                </c:pt>
                <c:pt idx="21">
                  <c:v>211</c:v>
                </c:pt>
                <c:pt idx="22">
                  <c:v>233</c:v>
                </c:pt>
                <c:pt idx="23">
                  <c:v>249</c:v>
                </c:pt>
                <c:pt idx="24">
                  <c:v>254</c:v>
                </c:pt>
                <c:pt idx="25">
                  <c:v>260</c:v>
                </c:pt>
                <c:pt idx="26">
                  <c:v>270</c:v>
                </c:pt>
                <c:pt idx="27">
                  <c:v>298</c:v>
                </c:pt>
                <c:pt idx="28">
                  <c:v>324</c:v>
                </c:pt>
                <c:pt idx="29">
                  <c:v>332</c:v>
                </c:pt>
                <c:pt idx="30">
                  <c:v>353</c:v>
                </c:pt>
              </c:numCache>
            </c:numRef>
          </c:xVal>
          <c:yVal>
            <c:numRef>
              <c:f>'708_Set3'!$R$6:$R$54</c:f>
              <c:numCache>
                <c:formatCode>0.0000</c:formatCode>
                <c:ptCount val="49"/>
                <c:pt idx="15" formatCode="0">
                  <c:v>472.31453129196888</c:v>
                </c:pt>
                <c:pt idx="16" formatCode="0">
                  <c:v>442.43059360730598</c:v>
                </c:pt>
                <c:pt idx="17" formatCode="0">
                  <c:v>433.34516396845163</c:v>
                </c:pt>
                <c:pt idx="18" formatCode="0">
                  <c:v>505.27148194271479</c:v>
                </c:pt>
                <c:pt idx="19" formatCode="0">
                  <c:v>524.19946035699456</c:v>
                </c:pt>
                <c:pt idx="20" formatCode="0">
                  <c:v>584.76899128268985</c:v>
                </c:pt>
                <c:pt idx="21" formatCode="0">
                  <c:v>752.33141071857744</c:v>
                </c:pt>
                <c:pt idx="22" formatCode="0">
                  <c:v>893.08472856418086</c:v>
                </c:pt>
                <c:pt idx="23" formatCode="0">
                  <c:v>249</c:v>
                </c:pt>
                <c:pt idx="24" formatCode="0">
                  <c:v>254</c:v>
                </c:pt>
                <c:pt idx="25" formatCode="0">
                  <c:v>260</c:v>
                </c:pt>
                <c:pt idx="26" formatCode="0">
                  <c:v>270</c:v>
                </c:pt>
                <c:pt idx="27" formatCode="0">
                  <c:v>298</c:v>
                </c:pt>
                <c:pt idx="28" formatCode="0">
                  <c:v>324</c:v>
                </c:pt>
                <c:pt idx="29" formatCode="0">
                  <c:v>332</c:v>
                </c:pt>
                <c:pt idx="30" formatCode="0">
                  <c:v>353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8-45B9-BE0C-E74DA482CFC2}"/>
            </c:ext>
          </c:extLst>
        </c:ser>
        <c:ser>
          <c:idx val="1"/>
          <c:order val="1"/>
          <c:tx>
            <c:strRef>
              <c:f>'708_Set3'!$S$5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'708_Set3'!$D$6:$D$54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13</c:v>
                </c:pt>
                <c:pt idx="5">
                  <c:v>17</c:v>
                </c:pt>
                <c:pt idx="6">
                  <c:v>45</c:v>
                </c:pt>
                <c:pt idx="7">
                  <c:v>51</c:v>
                </c:pt>
                <c:pt idx="8">
                  <c:v>65</c:v>
                </c:pt>
                <c:pt idx="9">
                  <c:v>75</c:v>
                </c:pt>
                <c:pt idx="10">
                  <c:v>79</c:v>
                </c:pt>
                <c:pt idx="11">
                  <c:v>102</c:v>
                </c:pt>
                <c:pt idx="12">
                  <c:v>108</c:v>
                </c:pt>
                <c:pt idx="13">
                  <c:v>120</c:v>
                </c:pt>
                <c:pt idx="14">
                  <c:v>125</c:v>
                </c:pt>
                <c:pt idx="15">
                  <c:v>137</c:v>
                </c:pt>
                <c:pt idx="16">
                  <c:v>145</c:v>
                </c:pt>
                <c:pt idx="17">
                  <c:v>152</c:v>
                </c:pt>
                <c:pt idx="18">
                  <c:v>171</c:v>
                </c:pt>
                <c:pt idx="19">
                  <c:v>176</c:v>
                </c:pt>
                <c:pt idx="20">
                  <c:v>192</c:v>
                </c:pt>
                <c:pt idx="21">
                  <c:v>211</c:v>
                </c:pt>
                <c:pt idx="22">
                  <c:v>233</c:v>
                </c:pt>
                <c:pt idx="23">
                  <c:v>249</c:v>
                </c:pt>
                <c:pt idx="24">
                  <c:v>254</c:v>
                </c:pt>
                <c:pt idx="25">
                  <c:v>260</c:v>
                </c:pt>
                <c:pt idx="26">
                  <c:v>270</c:v>
                </c:pt>
                <c:pt idx="27">
                  <c:v>298</c:v>
                </c:pt>
                <c:pt idx="28">
                  <c:v>324</c:v>
                </c:pt>
                <c:pt idx="29">
                  <c:v>332</c:v>
                </c:pt>
                <c:pt idx="30">
                  <c:v>353</c:v>
                </c:pt>
              </c:numCache>
            </c:numRef>
          </c:xVal>
          <c:yVal>
            <c:numRef>
              <c:f>'708_Set3'!$S$6:$S$54</c:f>
              <c:numCache>
                <c:formatCode>0.0000</c:formatCode>
                <c:ptCount val="49"/>
                <c:pt idx="6" formatCode="0">
                  <c:v>215.94953136265312</c:v>
                </c:pt>
                <c:pt idx="7" formatCode="0">
                  <c:v>259.45053272450536</c:v>
                </c:pt>
                <c:pt idx="8" formatCode="0">
                  <c:v>336.82778864970658</c:v>
                </c:pt>
                <c:pt idx="9" formatCode="0">
                  <c:v>544.69863013698671</c:v>
                </c:pt>
                <c:pt idx="10" formatCode="0">
                  <c:v>511.78538812785285</c:v>
                </c:pt>
                <c:pt idx="11" formatCode="0">
                  <c:v>553.91248097412472</c:v>
                </c:pt>
                <c:pt idx="12" formatCode="0">
                  <c:v>444.04892367906035</c:v>
                </c:pt>
                <c:pt idx="13" formatCode="0">
                  <c:v>531.65818656229612</c:v>
                </c:pt>
                <c:pt idx="14" formatCode="0">
                  <c:v>523.37785388127804</c:v>
                </c:pt>
                <c:pt idx="15" formatCode="0">
                  <c:v>521.44200913242048</c:v>
                </c:pt>
                <c:pt idx="16" formatCode="0">
                  <c:v>471.415525114155</c:v>
                </c:pt>
                <c:pt idx="17" formatCode="0">
                  <c:v>499.12876712328801</c:v>
                </c:pt>
                <c:pt idx="18" formatCode="0">
                  <c:v>587.72511415525082</c:v>
                </c:pt>
                <c:pt idx="19" formatCode="0">
                  <c:v>549.75525114155289</c:v>
                </c:pt>
                <c:pt idx="20" formatCode="0">
                  <c:v>580.55403348553978</c:v>
                </c:pt>
                <c:pt idx="21" formatCode="0">
                  <c:v>579.55403348554023</c:v>
                </c:pt>
                <c:pt idx="22" formatCode="0">
                  <c:v>605.51712328767144</c:v>
                </c:pt>
                <c:pt idx="23" formatCode="0">
                  <c:v>561.12633181126319</c:v>
                </c:pt>
                <c:pt idx="24" formatCode="0">
                  <c:v>550.59621656881973</c:v>
                </c:pt>
                <c:pt idx="25" formatCode="0">
                  <c:v>515.32876712328743</c:v>
                </c:pt>
                <c:pt idx="26" formatCode="0">
                  <c:v>507.7363013698631</c:v>
                </c:pt>
                <c:pt idx="27" formatCode="0">
                  <c:v>466.4456621004565</c:v>
                </c:pt>
                <c:pt idx="28" formatCode="0">
                  <c:v>512.17656012176553</c:v>
                </c:pt>
                <c:pt idx="29" formatCode="0">
                  <c:v>525.23204649232036</c:v>
                </c:pt>
                <c:pt idx="30" formatCode="0">
                  <c:v>561.19634703196334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8-45B9-BE0C-E74DA482C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'709_Set3'!$F$5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'709_Set3'!$D$6:$D$25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31</c:v>
                </c:pt>
                <c:pt idx="9">
                  <c:v>45</c:v>
                </c:pt>
                <c:pt idx="10">
                  <c:v>60</c:v>
                </c:pt>
                <c:pt idx="11">
                  <c:v>105</c:v>
                </c:pt>
                <c:pt idx="12">
                  <c:v>124</c:v>
                </c:pt>
                <c:pt idx="13">
                  <c:v>131</c:v>
                </c:pt>
                <c:pt idx="14">
                  <c:v>143</c:v>
                </c:pt>
                <c:pt idx="15">
                  <c:v>167</c:v>
                </c:pt>
                <c:pt idx="16">
                  <c:v>210</c:v>
                </c:pt>
                <c:pt idx="17">
                  <c:v>218</c:v>
                </c:pt>
                <c:pt idx="18">
                  <c:v>269</c:v>
                </c:pt>
                <c:pt idx="19">
                  <c:v>269</c:v>
                </c:pt>
              </c:numCache>
            </c:numRef>
          </c:xVal>
          <c:yVal>
            <c:numRef>
              <c:f>'709_Set3'!$F$6:$F$25</c:f>
              <c:numCache>
                <c:formatCode>0.00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5.7</c:v>
                </c:pt>
                <c:pt idx="3">
                  <c:v>5.5357500000000002</c:v>
                </c:pt>
                <c:pt idx="4">
                  <c:v>5.4809999999999999</c:v>
                </c:pt>
                <c:pt idx="5">
                  <c:v>5.4262500000000005</c:v>
                </c:pt>
                <c:pt idx="6">
                  <c:v>5.3715000000000002</c:v>
                </c:pt>
                <c:pt idx="7">
                  <c:v>5.3167499999999999</c:v>
                </c:pt>
                <c:pt idx="8">
                  <c:v>5.3715000000000002</c:v>
                </c:pt>
                <c:pt idx="9">
                  <c:v>5.2620000000000005</c:v>
                </c:pt>
                <c:pt idx="10">
                  <c:v>5.1524999999999999</c:v>
                </c:pt>
                <c:pt idx="11">
                  <c:v>4.8787500000000001</c:v>
                </c:pt>
                <c:pt idx="12">
                  <c:v>4.7692500000000004</c:v>
                </c:pt>
                <c:pt idx="13">
                  <c:v>4.7145000000000001</c:v>
                </c:pt>
                <c:pt idx="14">
                  <c:v>4.6597500000000007</c:v>
                </c:pt>
                <c:pt idx="15">
                  <c:v>4.5502500000000001</c:v>
                </c:pt>
                <c:pt idx="16">
                  <c:v>4.3860000000000001</c:v>
                </c:pt>
                <c:pt idx="17">
                  <c:v>4.3312500000000007</c:v>
                </c:pt>
                <c:pt idx="18">
                  <c:v>4.1122500000000004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2-4DBF-845E-D782CBB92127}"/>
            </c:ext>
          </c:extLst>
        </c:ser>
        <c:ser>
          <c:idx val="1"/>
          <c:order val="1"/>
          <c:tx>
            <c:strRef>
              <c:f>'709_Set3'!$G$5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'709_Set3'!$D$6:$D$25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31</c:v>
                </c:pt>
                <c:pt idx="9">
                  <c:v>45</c:v>
                </c:pt>
                <c:pt idx="10">
                  <c:v>60</c:v>
                </c:pt>
                <c:pt idx="11">
                  <c:v>105</c:v>
                </c:pt>
                <c:pt idx="12">
                  <c:v>124</c:v>
                </c:pt>
                <c:pt idx="13">
                  <c:v>131</c:v>
                </c:pt>
                <c:pt idx="14">
                  <c:v>143</c:v>
                </c:pt>
                <c:pt idx="15">
                  <c:v>167</c:v>
                </c:pt>
                <c:pt idx="16">
                  <c:v>210</c:v>
                </c:pt>
                <c:pt idx="17">
                  <c:v>218</c:v>
                </c:pt>
                <c:pt idx="18">
                  <c:v>269</c:v>
                </c:pt>
                <c:pt idx="19">
                  <c:v>269</c:v>
                </c:pt>
              </c:numCache>
            </c:numRef>
          </c:xVal>
          <c:yVal>
            <c:numRef>
              <c:f>'709_Set3'!$G$6:$G$25</c:f>
              <c:numCache>
                <c:formatCode>0.00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5.7</c:v>
                </c:pt>
                <c:pt idx="3">
                  <c:v>5.5357500000000002</c:v>
                </c:pt>
                <c:pt idx="4">
                  <c:v>5.5357500000000002</c:v>
                </c:pt>
                <c:pt idx="5">
                  <c:v>5.4262500000000005</c:v>
                </c:pt>
                <c:pt idx="6">
                  <c:v>5.3167499999999999</c:v>
                </c:pt>
                <c:pt idx="7">
                  <c:v>5.3167499999999999</c:v>
                </c:pt>
                <c:pt idx="8">
                  <c:v>5.2620000000000005</c:v>
                </c:pt>
                <c:pt idx="9">
                  <c:v>5.0977500000000004</c:v>
                </c:pt>
                <c:pt idx="10">
                  <c:v>5.0977500000000004</c:v>
                </c:pt>
                <c:pt idx="11">
                  <c:v>4.8239999999999998</c:v>
                </c:pt>
                <c:pt idx="12">
                  <c:v>4.7145000000000001</c:v>
                </c:pt>
                <c:pt idx="13">
                  <c:v>4.6597500000000007</c:v>
                </c:pt>
                <c:pt idx="14">
                  <c:v>4.6050000000000004</c:v>
                </c:pt>
                <c:pt idx="15">
                  <c:v>4.4954999999999998</c:v>
                </c:pt>
                <c:pt idx="16">
                  <c:v>4.2217500000000001</c:v>
                </c:pt>
                <c:pt idx="17">
                  <c:v>4.1669999999999998</c:v>
                </c:pt>
                <c:pt idx="18">
                  <c:v>3.7837500000000004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2-4DBF-845E-D782CBB92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'709_Set3'!$H$5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'709_Set3'!$D$6:$D$25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31</c:v>
                </c:pt>
                <c:pt idx="9">
                  <c:v>45</c:v>
                </c:pt>
                <c:pt idx="10">
                  <c:v>60</c:v>
                </c:pt>
                <c:pt idx="11">
                  <c:v>105</c:v>
                </c:pt>
                <c:pt idx="12">
                  <c:v>124</c:v>
                </c:pt>
                <c:pt idx="13">
                  <c:v>131</c:v>
                </c:pt>
                <c:pt idx="14">
                  <c:v>143</c:v>
                </c:pt>
                <c:pt idx="15">
                  <c:v>167</c:v>
                </c:pt>
                <c:pt idx="16">
                  <c:v>210</c:v>
                </c:pt>
                <c:pt idx="17">
                  <c:v>218</c:v>
                </c:pt>
                <c:pt idx="18">
                  <c:v>269</c:v>
                </c:pt>
                <c:pt idx="19">
                  <c:v>269</c:v>
                </c:pt>
              </c:numCache>
            </c:numRef>
          </c:xVal>
          <c:yVal>
            <c:numRef>
              <c:f>'709_Set3'!$H$6:$H$25</c:f>
              <c:numCache>
                <c:formatCode>0.00</c:formatCode>
                <c:ptCount val="20"/>
                <c:pt idx="1">
                  <c:v>0</c:v>
                </c:pt>
                <c:pt idx="2">
                  <c:v>0.29999999999999982</c:v>
                </c:pt>
                <c:pt idx="3">
                  <c:v>0.16425000000000001</c:v>
                </c:pt>
                <c:pt idx="4">
                  <c:v>5.4750000000000298E-2</c:v>
                </c:pt>
                <c:pt idx="5">
                  <c:v>5.474999999999941E-2</c:v>
                </c:pt>
                <c:pt idx="6">
                  <c:v>5.4750000000000298E-2</c:v>
                </c:pt>
                <c:pt idx="7">
                  <c:v>5.4750000000000298E-2</c:v>
                </c:pt>
                <c:pt idx="8">
                  <c:v>-5.4750000000000298E-2</c:v>
                </c:pt>
                <c:pt idx="9">
                  <c:v>0.10949999999999971</c:v>
                </c:pt>
                <c:pt idx="10">
                  <c:v>0.1095000000000006</c:v>
                </c:pt>
                <c:pt idx="11">
                  <c:v>0.27374999999999972</c:v>
                </c:pt>
                <c:pt idx="12">
                  <c:v>0.10949999999999971</c:v>
                </c:pt>
                <c:pt idx="13">
                  <c:v>5.4750000000000298E-2</c:v>
                </c:pt>
                <c:pt idx="14">
                  <c:v>5.474999999999941E-2</c:v>
                </c:pt>
                <c:pt idx="15">
                  <c:v>0.1095000000000006</c:v>
                </c:pt>
                <c:pt idx="16">
                  <c:v>0.16425000000000001</c:v>
                </c:pt>
                <c:pt idx="17">
                  <c:v>5.474999999999941E-2</c:v>
                </c:pt>
                <c:pt idx="18">
                  <c:v>0.21900000000000031</c:v>
                </c:pt>
                <c:pt idx="19">
                  <c:v>4.1122500000000004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A-43B0-9C75-A5309CEE238F}"/>
            </c:ext>
          </c:extLst>
        </c:ser>
        <c:ser>
          <c:idx val="1"/>
          <c:order val="1"/>
          <c:tx>
            <c:strRef>
              <c:f>'709_Set3'!$I$5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'709_Set3'!$D$6:$D$25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31</c:v>
                </c:pt>
                <c:pt idx="9">
                  <c:v>45</c:v>
                </c:pt>
                <c:pt idx="10">
                  <c:v>60</c:v>
                </c:pt>
                <c:pt idx="11">
                  <c:v>105</c:v>
                </c:pt>
                <c:pt idx="12">
                  <c:v>124</c:v>
                </c:pt>
                <c:pt idx="13">
                  <c:v>131</c:v>
                </c:pt>
                <c:pt idx="14">
                  <c:v>143</c:v>
                </c:pt>
                <c:pt idx="15">
                  <c:v>167</c:v>
                </c:pt>
                <c:pt idx="16">
                  <c:v>210</c:v>
                </c:pt>
                <c:pt idx="17">
                  <c:v>218</c:v>
                </c:pt>
                <c:pt idx="18">
                  <c:v>269</c:v>
                </c:pt>
                <c:pt idx="19">
                  <c:v>269</c:v>
                </c:pt>
              </c:numCache>
            </c:numRef>
          </c:xVal>
          <c:yVal>
            <c:numRef>
              <c:f>'709_Set3'!$I$6:$I$25</c:f>
              <c:numCache>
                <c:formatCode>0.00</c:formatCode>
                <c:ptCount val="20"/>
                <c:pt idx="1">
                  <c:v>0</c:v>
                </c:pt>
                <c:pt idx="2">
                  <c:v>0.29999999999999982</c:v>
                </c:pt>
                <c:pt idx="3">
                  <c:v>0.16425000000000001</c:v>
                </c:pt>
                <c:pt idx="4">
                  <c:v>0</c:v>
                </c:pt>
                <c:pt idx="5">
                  <c:v>0.10949999999999971</c:v>
                </c:pt>
                <c:pt idx="6">
                  <c:v>0.1095000000000006</c:v>
                </c:pt>
                <c:pt idx="7">
                  <c:v>0</c:v>
                </c:pt>
                <c:pt idx="8">
                  <c:v>5.474999999999941E-2</c:v>
                </c:pt>
                <c:pt idx="9">
                  <c:v>0.16425000000000001</c:v>
                </c:pt>
                <c:pt idx="10">
                  <c:v>0</c:v>
                </c:pt>
                <c:pt idx="11">
                  <c:v>0.2737500000000006</c:v>
                </c:pt>
                <c:pt idx="12">
                  <c:v>0.10949999999999971</c:v>
                </c:pt>
                <c:pt idx="13">
                  <c:v>5.474999999999941E-2</c:v>
                </c:pt>
                <c:pt idx="14">
                  <c:v>5.4750000000000298E-2</c:v>
                </c:pt>
                <c:pt idx="15">
                  <c:v>0.1095000000000006</c:v>
                </c:pt>
                <c:pt idx="16">
                  <c:v>0.27374999999999972</c:v>
                </c:pt>
                <c:pt idx="17">
                  <c:v>5.4750000000000298E-2</c:v>
                </c:pt>
                <c:pt idx="18">
                  <c:v>0.38324999999999942</c:v>
                </c:pt>
                <c:pt idx="19">
                  <c:v>3.7837500000000004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A-43B0-9C75-A5309CEE2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 VS Outing #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'709_Set3'!$J$5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'709_Set3'!$D$7:$D$25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14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31</c:v>
                </c:pt>
                <c:pt idx="8">
                  <c:v>45</c:v>
                </c:pt>
                <c:pt idx="9">
                  <c:v>60</c:v>
                </c:pt>
                <c:pt idx="10">
                  <c:v>105</c:v>
                </c:pt>
                <c:pt idx="11">
                  <c:v>124</c:v>
                </c:pt>
                <c:pt idx="12">
                  <c:v>131</c:v>
                </c:pt>
                <c:pt idx="13">
                  <c:v>143</c:v>
                </c:pt>
                <c:pt idx="14">
                  <c:v>167</c:v>
                </c:pt>
                <c:pt idx="15">
                  <c:v>210</c:v>
                </c:pt>
                <c:pt idx="16">
                  <c:v>218</c:v>
                </c:pt>
                <c:pt idx="17">
                  <c:v>269</c:v>
                </c:pt>
                <c:pt idx="18">
                  <c:v>269</c:v>
                </c:pt>
              </c:numCache>
            </c:numRef>
          </c:xVal>
          <c:yVal>
            <c:numRef>
              <c:f>'709_Set3'!$J$7:$J$25</c:f>
              <c:numCache>
                <c:formatCode>0.000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2.3464285714285715E-2</c:v>
                </c:pt>
                <c:pt idx="3">
                  <c:v>7.8214285714286146E-3</c:v>
                </c:pt>
                <c:pt idx="4">
                  <c:v>9.1249999999999023E-3</c:v>
                </c:pt>
                <c:pt idx="5">
                  <c:v>1.095000000000006E-2</c:v>
                </c:pt>
                <c:pt idx="6">
                  <c:v>1.095000000000006E-2</c:v>
                </c:pt>
                <c:pt idx="7">
                  <c:v>-5.4750000000000298E-2</c:v>
                </c:pt>
                <c:pt idx="8">
                  <c:v>7.8214285714285504E-3</c:v>
                </c:pt>
                <c:pt idx="9" formatCode="0.00">
                  <c:v>7.30000000000004E-3</c:v>
                </c:pt>
                <c:pt idx="10" formatCode="0.00">
                  <c:v>6.0833333333333269E-3</c:v>
                </c:pt>
                <c:pt idx="11" formatCode="0.00">
                  <c:v>5.7631578947368268E-3</c:v>
                </c:pt>
                <c:pt idx="12" formatCode="0.00">
                  <c:v>7.8214285714286146E-3</c:v>
                </c:pt>
                <c:pt idx="13" formatCode="0.00">
                  <c:v>4.5624999999999511E-3</c:v>
                </c:pt>
                <c:pt idx="14" formatCode="0.00">
                  <c:v>4.5625000000000249E-3</c:v>
                </c:pt>
                <c:pt idx="15" formatCode="0.00">
                  <c:v>3.8197674418604653E-3</c:v>
                </c:pt>
                <c:pt idx="16" formatCode="0.00">
                  <c:v>6.8437499999999263E-3</c:v>
                </c:pt>
                <c:pt idx="17" formatCode="0.00">
                  <c:v>4.2941176470588293E-3</c:v>
                </c:pt>
                <c:pt idx="18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B2-4893-8711-1E4B95F96237}"/>
            </c:ext>
          </c:extLst>
        </c:ser>
        <c:ser>
          <c:idx val="1"/>
          <c:order val="1"/>
          <c:tx>
            <c:strRef>
              <c:f>'709_Set3'!$K$5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'709_Set3'!$D$7:$D$25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14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31</c:v>
                </c:pt>
                <c:pt idx="8">
                  <c:v>45</c:v>
                </c:pt>
                <c:pt idx="9">
                  <c:v>60</c:v>
                </c:pt>
                <c:pt idx="10">
                  <c:v>105</c:v>
                </c:pt>
                <c:pt idx="11">
                  <c:v>124</c:v>
                </c:pt>
                <c:pt idx="12">
                  <c:v>131</c:v>
                </c:pt>
                <c:pt idx="13">
                  <c:v>143</c:v>
                </c:pt>
                <c:pt idx="14">
                  <c:v>167</c:v>
                </c:pt>
                <c:pt idx="15">
                  <c:v>210</c:v>
                </c:pt>
                <c:pt idx="16">
                  <c:v>218</c:v>
                </c:pt>
                <c:pt idx="17">
                  <c:v>269</c:v>
                </c:pt>
                <c:pt idx="18">
                  <c:v>269</c:v>
                </c:pt>
              </c:numCache>
            </c:numRef>
          </c:xVal>
          <c:yVal>
            <c:numRef>
              <c:f>'709_Set3'!$K$7:$K$25</c:f>
              <c:numCache>
                <c:formatCode>0.000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2.3464285714285715E-2</c:v>
                </c:pt>
                <c:pt idx="3">
                  <c:v>0</c:v>
                </c:pt>
                <c:pt idx="4">
                  <c:v>1.824999999999995E-2</c:v>
                </c:pt>
                <c:pt idx="5">
                  <c:v>2.1900000000000121E-2</c:v>
                </c:pt>
                <c:pt idx="6">
                  <c:v>0</c:v>
                </c:pt>
                <c:pt idx="7">
                  <c:v>5.474999999999941E-2</c:v>
                </c:pt>
                <c:pt idx="8">
                  <c:v>1.1732142857142858E-2</c:v>
                </c:pt>
                <c:pt idx="9" formatCode="0.00">
                  <c:v>0</c:v>
                </c:pt>
                <c:pt idx="10" formatCode="0.00">
                  <c:v>6.0833333333333468E-3</c:v>
                </c:pt>
                <c:pt idx="11" formatCode="0.00">
                  <c:v>5.7631578947368268E-3</c:v>
                </c:pt>
                <c:pt idx="12" formatCode="0.00">
                  <c:v>7.8214285714284879E-3</c:v>
                </c:pt>
                <c:pt idx="13" formatCode="0.00">
                  <c:v>4.5625000000000249E-3</c:v>
                </c:pt>
                <c:pt idx="14" formatCode="0.00">
                  <c:v>4.5625000000000249E-3</c:v>
                </c:pt>
                <c:pt idx="15" formatCode="0.00">
                  <c:v>6.3662790697674356E-3</c:v>
                </c:pt>
                <c:pt idx="16" formatCode="0.00">
                  <c:v>6.8437500000000373E-3</c:v>
                </c:pt>
                <c:pt idx="17" formatCode="0.00">
                  <c:v>7.5147058823529303E-3</c:v>
                </c:pt>
                <c:pt idx="18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B2-4893-8711-1E4B95F9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Wear average vs</a:t>
            </a:r>
            <a:r>
              <a:rPr lang="en-GB" b="1" baseline="0"/>
              <a:t> total number of laps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802802285783821E-2"/>
          <c:y val="0.18849923486701411"/>
          <c:w val="0.84699067024555841"/>
          <c:h val="0.693602255701681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'709_Set3'!$L$5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'709_Set3'!$D$6:$D$54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31</c:v>
                </c:pt>
                <c:pt idx="9">
                  <c:v>45</c:v>
                </c:pt>
                <c:pt idx="10">
                  <c:v>60</c:v>
                </c:pt>
                <c:pt idx="11">
                  <c:v>105</c:v>
                </c:pt>
                <c:pt idx="12">
                  <c:v>124</c:v>
                </c:pt>
                <c:pt idx="13">
                  <c:v>131</c:v>
                </c:pt>
                <c:pt idx="14">
                  <c:v>143</c:v>
                </c:pt>
                <c:pt idx="15">
                  <c:v>167</c:v>
                </c:pt>
                <c:pt idx="16">
                  <c:v>210</c:v>
                </c:pt>
                <c:pt idx="17">
                  <c:v>218</c:v>
                </c:pt>
                <c:pt idx="18">
                  <c:v>269</c:v>
                </c:pt>
                <c:pt idx="19">
                  <c:v>269</c:v>
                </c:pt>
                <c:pt idx="20">
                  <c:v>269</c:v>
                </c:pt>
                <c:pt idx="21">
                  <c:v>269</c:v>
                </c:pt>
                <c:pt idx="22">
                  <c:v>269</c:v>
                </c:pt>
                <c:pt idx="23">
                  <c:v>269</c:v>
                </c:pt>
                <c:pt idx="24">
                  <c:v>269</c:v>
                </c:pt>
                <c:pt idx="25">
                  <c:v>269</c:v>
                </c:pt>
                <c:pt idx="26">
                  <c:v>269</c:v>
                </c:pt>
                <c:pt idx="27">
                  <c:v>269</c:v>
                </c:pt>
                <c:pt idx="28">
                  <c:v>269</c:v>
                </c:pt>
                <c:pt idx="29">
                  <c:v>269</c:v>
                </c:pt>
                <c:pt idx="30">
                  <c:v>269</c:v>
                </c:pt>
                <c:pt idx="31">
                  <c:v>269</c:v>
                </c:pt>
                <c:pt idx="32">
                  <c:v>269</c:v>
                </c:pt>
                <c:pt idx="33">
                  <c:v>269</c:v>
                </c:pt>
                <c:pt idx="34">
                  <c:v>269</c:v>
                </c:pt>
                <c:pt idx="35">
                  <c:v>269</c:v>
                </c:pt>
                <c:pt idx="36">
                  <c:v>269</c:v>
                </c:pt>
                <c:pt idx="37">
                  <c:v>269</c:v>
                </c:pt>
                <c:pt idx="38">
                  <c:v>269</c:v>
                </c:pt>
                <c:pt idx="39">
                  <c:v>269</c:v>
                </c:pt>
                <c:pt idx="40">
                  <c:v>269</c:v>
                </c:pt>
                <c:pt idx="41">
                  <c:v>269</c:v>
                </c:pt>
                <c:pt idx="42">
                  <c:v>269</c:v>
                </c:pt>
                <c:pt idx="43">
                  <c:v>269</c:v>
                </c:pt>
                <c:pt idx="44">
                  <c:v>269</c:v>
                </c:pt>
                <c:pt idx="45">
                  <c:v>269</c:v>
                </c:pt>
                <c:pt idx="46">
                  <c:v>269</c:v>
                </c:pt>
                <c:pt idx="47">
                  <c:v>269</c:v>
                </c:pt>
                <c:pt idx="48">
                  <c:v>269</c:v>
                </c:pt>
              </c:numCache>
            </c:numRef>
          </c:xVal>
          <c:yVal>
            <c:numRef>
              <c:f>'709_Set3'!$L$6:$L$54</c:f>
              <c:numCache>
                <c:formatCode>0.0000</c:formatCode>
                <c:ptCount val="49"/>
                <c:pt idx="1">
                  <c:v>0</c:v>
                </c:pt>
                <c:pt idx="2">
                  <c:v>0</c:v>
                </c:pt>
                <c:pt idx="3">
                  <c:v>6.6321428571428545E-2</c:v>
                </c:pt>
                <c:pt idx="4">
                  <c:v>3.7071428571428582E-2</c:v>
                </c:pt>
                <c:pt idx="5">
                  <c:v>2.8687499999999977E-2</c:v>
                </c:pt>
                <c:pt idx="6">
                  <c:v>2.5139999999999992E-2</c:v>
                </c:pt>
                <c:pt idx="7">
                  <c:v>2.2775000000000004E-2</c:v>
                </c:pt>
                <c:pt idx="8">
                  <c:v>2.0274193548387092E-2</c:v>
                </c:pt>
                <c:pt idx="9">
                  <c:v>1.6399999999999991E-2</c:v>
                </c:pt>
                <c:pt idx="10">
                  <c:v>1.4125000000000002E-2</c:v>
                </c:pt>
                <c:pt idx="11">
                  <c:v>1.0678571428571428E-2</c:v>
                </c:pt>
                <c:pt idx="12">
                  <c:v>9.9254032258064475E-3</c:v>
                </c:pt>
                <c:pt idx="13">
                  <c:v>9.8129770992366402E-3</c:v>
                </c:pt>
                <c:pt idx="14">
                  <c:v>9.3723776223776176E-3</c:v>
                </c:pt>
                <c:pt idx="15">
                  <c:v>8.6811377245508969E-3</c:v>
                </c:pt>
                <c:pt idx="16">
                  <c:v>7.6857142857142853E-3</c:v>
                </c:pt>
                <c:pt idx="17">
                  <c:v>7.6548165137614648E-3</c:v>
                </c:pt>
                <c:pt idx="18">
                  <c:v>7.0176579925650545E-3</c:v>
                </c:pt>
                <c:pt idx="19">
                  <c:v>2.2304832713754646E-2</c:v>
                </c:pt>
                <c:pt idx="20">
                  <c:v>2.2304832713754646E-2</c:v>
                </c:pt>
                <c:pt idx="21">
                  <c:v>2.2304832713754646E-2</c:v>
                </c:pt>
                <c:pt idx="22">
                  <c:v>2.2304832713754646E-2</c:v>
                </c:pt>
                <c:pt idx="23">
                  <c:v>2.2304832713754646E-2</c:v>
                </c:pt>
                <c:pt idx="24">
                  <c:v>2.2304832713754646E-2</c:v>
                </c:pt>
                <c:pt idx="25">
                  <c:v>2.2304832713754646E-2</c:v>
                </c:pt>
                <c:pt idx="26">
                  <c:v>2.2304832713754646E-2</c:v>
                </c:pt>
                <c:pt idx="27">
                  <c:v>2.2304832713754646E-2</c:v>
                </c:pt>
                <c:pt idx="28">
                  <c:v>2.2304832713754646E-2</c:v>
                </c:pt>
                <c:pt idx="29">
                  <c:v>2.2304832713754646E-2</c:v>
                </c:pt>
                <c:pt idx="30">
                  <c:v>2.2304832713754646E-2</c:v>
                </c:pt>
                <c:pt idx="31">
                  <c:v>2.2304832713754646E-2</c:v>
                </c:pt>
                <c:pt idx="32">
                  <c:v>2.2304832713754646E-2</c:v>
                </c:pt>
                <c:pt idx="33">
                  <c:v>2.2304832713754646E-2</c:v>
                </c:pt>
                <c:pt idx="34">
                  <c:v>2.2304832713754646E-2</c:v>
                </c:pt>
                <c:pt idx="35">
                  <c:v>2.2304832713754646E-2</c:v>
                </c:pt>
                <c:pt idx="36">
                  <c:v>2.2304832713754646E-2</c:v>
                </c:pt>
                <c:pt idx="37">
                  <c:v>2.2304832713754646E-2</c:v>
                </c:pt>
                <c:pt idx="38">
                  <c:v>2.2304832713754646E-2</c:v>
                </c:pt>
                <c:pt idx="39">
                  <c:v>2.2304832713754646E-2</c:v>
                </c:pt>
                <c:pt idx="40">
                  <c:v>2.2304832713754646E-2</c:v>
                </c:pt>
                <c:pt idx="41">
                  <c:v>2.2304832713754646E-2</c:v>
                </c:pt>
                <c:pt idx="42">
                  <c:v>2.2304832713754646E-2</c:v>
                </c:pt>
                <c:pt idx="43">
                  <c:v>2.2304832713754646E-2</c:v>
                </c:pt>
                <c:pt idx="44">
                  <c:v>2.2304832713754646E-2</c:v>
                </c:pt>
                <c:pt idx="45">
                  <c:v>2.2304832713754646E-2</c:v>
                </c:pt>
                <c:pt idx="46">
                  <c:v>2.2304832713754646E-2</c:v>
                </c:pt>
                <c:pt idx="47">
                  <c:v>2.2304832713754646E-2</c:v>
                </c:pt>
                <c:pt idx="48">
                  <c:v>2.2304832713754646E-2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1-40B3-82B4-17A5BA0944D8}"/>
            </c:ext>
          </c:extLst>
        </c:ser>
        <c:ser>
          <c:idx val="1"/>
          <c:order val="1"/>
          <c:tx>
            <c:strRef>
              <c:f>'709_Set3'!$M$5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'709_Set3'!$D$6:$D$54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31</c:v>
                </c:pt>
                <c:pt idx="9">
                  <c:v>45</c:v>
                </c:pt>
                <c:pt idx="10">
                  <c:v>60</c:v>
                </c:pt>
                <c:pt idx="11">
                  <c:v>105</c:v>
                </c:pt>
                <c:pt idx="12">
                  <c:v>124</c:v>
                </c:pt>
                <c:pt idx="13">
                  <c:v>131</c:v>
                </c:pt>
                <c:pt idx="14">
                  <c:v>143</c:v>
                </c:pt>
                <c:pt idx="15">
                  <c:v>167</c:v>
                </c:pt>
                <c:pt idx="16">
                  <c:v>210</c:v>
                </c:pt>
                <c:pt idx="17">
                  <c:v>218</c:v>
                </c:pt>
                <c:pt idx="18">
                  <c:v>269</c:v>
                </c:pt>
                <c:pt idx="19">
                  <c:v>269</c:v>
                </c:pt>
                <c:pt idx="20">
                  <c:v>269</c:v>
                </c:pt>
                <c:pt idx="21">
                  <c:v>269</c:v>
                </c:pt>
                <c:pt idx="22">
                  <c:v>269</c:v>
                </c:pt>
                <c:pt idx="23">
                  <c:v>269</c:v>
                </c:pt>
                <c:pt idx="24">
                  <c:v>269</c:v>
                </c:pt>
                <c:pt idx="25">
                  <c:v>269</c:v>
                </c:pt>
                <c:pt idx="26">
                  <c:v>269</c:v>
                </c:pt>
                <c:pt idx="27">
                  <c:v>269</c:v>
                </c:pt>
                <c:pt idx="28">
                  <c:v>269</c:v>
                </c:pt>
                <c:pt idx="29">
                  <c:v>269</c:v>
                </c:pt>
                <c:pt idx="30">
                  <c:v>269</c:v>
                </c:pt>
                <c:pt idx="31">
                  <c:v>269</c:v>
                </c:pt>
                <c:pt idx="32">
                  <c:v>269</c:v>
                </c:pt>
                <c:pt idx="33">
                  <c:v>269</c:v>
                </c:pt>
                <c:pt idx="34">
                  <c:v>269</c:v>
                </c:pt>
                <c:pt idx="35">
                  <c:v>269</c:v>
                </c:pt>
                <c:pt idx="36">
                  <c:v>269</c:v>
                </c:pt>
                <c:pt idx="37">
                  <c:v>269</c:v>
                </c:pt>
                <c:pt idx="38">
                  <c:v>269</c:v>
                </c:pt>
                <c:pt idx="39">
                  <c:v>269</c:v>
                </c:pt>
                <c:pt idx="40">
                  <c:v>269</c:v>
                </c:pt>
                <c:pt idx="41">
                  <c:v>269</c:v>
                </c:pt>
                <c:pt idx="42">
                  <c:v>269</c:v>
                </c:pt>
                <c:pt idx="43">
                  <c:v>269</c:v>
                </c:pt>
                <c:pt idx="44">
                  <c:v>269</c:v>
                </c:pt>
                <c:pt idx="45">
                  <c:v>269</c:v>
                </c:pt>
                <c:pt idx="46">
                  <c:v>269</c:v>
                </c:pt>
                <c:pt idx="47">
                  <c:v>269</c:v>
                </c:pt>
                <c:pt idx="48">
                  <c:v>269</c:v>
                </c:pt>
              </c:numCache>
            </c:numRef>
          </c:xVal>
          <c:yVal>
            <c:numRef>
              <c:f>'709_Set3'!$M$6:$M$54</c:f>
              <c:numCache>
                <c:formatCode>0.0000</c:formatCode>
                <c:ptCount val="49"/>
                <c:pt idx="1">
                  <c:v>0</c:v>
                </c:pt>
                <c:pt idx="2">
                  <c:v>0</c:v>
                </c:pt>
                <c:pt idx="3">
                  <c:v>6.6321428571428545E-2</c:v>
                </c:pt>
                <c:pt idx="4">
                  <c:v>3.3160714285714273E-2</c:v>
                </c:pt>
                <c:pt idx="5">
                  <c:v>2.8687499999999977E-2</c:v>
                </c:pt>
                <c:pt idx="6">
                  <c:v>2.7330000000000007E-2</c:v>
                </c:pt>
                <c:pt idx="7">
                  <c:v>2.2775000000000004E-2</c:v>
                </c:pt>
                <c:pt idx="8">
                  <c:v>2.380645161290321E-2</c:v>
                </c:pt>
                <c:pt idx="9">
                  <c:v>2.0049999999999991E-2</c:v>
                </c:pt>
                <c:pt idx="10">
                  <c:v>1.5037499999999992E-2</c:v>
                </c:pt>
                <c:pt idx="11">
                  <c:v>1.1200000000000002E-2</c:v>
                </c:pt>
                <c:pt idx="12">
                  <c:v>1.0366935483870967E-2</c:v>
                </c:pt>
                <c:pt idx="13">
                  <c:v>1.0230916030534346E-2</c:v>
                </c:pt>
                <c:pt idx="14">
                  <c:v>9.7552447552447519E-3</c:v>
                </c:pt>
                <c:pt idx="15">
                  <c:v>9.0089820359281446E-3</c:v>
                </c:pt>
                <c:pt idx="16">
                  <c:v>8.4678571428571416E-3</c:v>
                </c:pt>
                <c:pt idx="17">
                  <c:v>8.4082568807339452E-3</c:v>
                </c:pt>
                <c:pt idx="18">
                  <c:v>8.2388475836431205E-3</c:v>
                </c:pt>
                <c:pt idx="19">
                  <c:v>2.2304832713754646E-2</c:v>
                </c:pt>
                <c:pt idx="20">
                  <c:v>2.2304832713754646E-2</c:v>
                </c:pt>
                <c:pt idx="21">
                  <c:v>2.2304832713754646E-2</c:v>
                </c:pt>
                <c:pt idx="22">
                  <c:v>2.2304832713754646E-2</c:v>
                </c:pt>
                <c:pt idx="23">
                  <c:v>2.2304832713754646E-2</c:v>
                </c:pt>
                <c:pt idx="24">
                  <c:v>2.2304832713754646E-2</c:v>
                </c:pt>
                <c:pt idx="25">
                  <c:v>2.2304832713754646E-2</c:v>
                </c:pt>
                <c:pt idx="26">
                  <c:v>2.2304832713754646E-2</c:v>
                </c:pt>
                <c:pt idx="27">
                  <c:v>2.2304832713754646E-2</c:v>
                </c:pt>
                <c:pt idx="28">
                  <c:v>2.2304832713754646E-2</c:v>
                </c:pt>
                <c:pt idx="29">
                  <c:v>2.2304832713754646E-2</c:v>
                </c:pt>
                <c:pt idx="30">
                  <c:v>2.2304832713754646E-2</c:v>
                </c:pt>
                <c:pt idx="31">
                  <c:v>2.2304832713754646E-2</c:v>
                </c:pt>
                <c:pt idx="32">
                  <c:v>2.2304832713754646E-2</c:v>
                </c:pt>
                <c:pt idx="33">
                  <c:v>2.2304832713754646E-2</c:v>
                </c:pt>
                <c:pt idx="34">
                  <c:v>2.2304832713754646E-2</c:v>
                </c:pt>
                <c:pt idx="35">
                  <c:v>2.2304832713754646E-2</c:v>
                </c:pt>
                <c:pt idx="36">
                  <c:v>2.2304832713754646E-2</c:v>
                </c:pt>
                <c:pt idx="37">
                  <c:v>2.2304832713754646E-2</c:v>
                </c:pt>
                <c:pt idx="38">
                  <c:v>2.2304832713754646E-2</c:v>
                </c:pt>
                <c:pt idx="39">
                  <c:v>2.2304832713754646E-2</c:v>
                </c:pt>
                <c:pt idx="40">
                  <c:v>2.2304832713754646E-2</c:v>
                </c:pt>
                <c:pt idx="41">
                  <c:v>2.2304832713754646E-2</c:v>
                </c:pt>
                <c:pt idx="42">
                  <c:v>2.2304832713754646E-2</c:v>
                </c:pt>
                <c:pt idx="43">
                  <c:v>2.2304832713754646E-2</c:v>
                </c:pt>
                <c:pt idx="44">
                  <c:v>2.2304832713754646E-2</c:v>
                </c:pt>
                <c:pt idx="45">
                  <c:v>2.2304832713754646E-2</c:v>
                </c:pt>
                <c:pt idx="46">
                  <c:v>2.2304832713754646E-2</c:v>
                </c:pt>
                <c:pt idx="47">
                  <c:v>2.2304832713754646E-2</c:v>
                </c:pt>
                <c:pt idx="48">
                  <c:v>2.2304832713754646E-2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1-40B3-82B4-17A5BA094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Wear average vs</a:t>
            </a:r>
            <a:r>
              <a:rPr lang="en-GB" b="1" baseline="0"/>
              <a:t> total number of laps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802802285783821E-2"/>
          <c:y val="0.18849923486701411"/>
          <c:w val="0.84699067024555841"/>
          <c:h val="0.693602255701681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'709_Set3'!$P$5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'709_Set3'!$D$6:$D$54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31</c:v>
                </c:pt>
                <c:pt idx="9">
                  <c:v>45</c:v>
                </c:pt>
                <c:pt idx="10">
                  <c:v>60</c:v>
                </c:pt>
                <c:pt idx="11">
                  <c:v>105</c:v>
                </c:pt>
                <c:pt idx="12">
                  <c:v>124</c:v>
                </c:pt>
                <c:pt idx="13">
                  <c:v>131</c:v>
                </c:pt>
                <c:pt idx="14">
                  <c:v>143</c:v>
                </c:pt>
                <c:pt idx="15">
                  <c:v>167</c:v>
                </c:pt>
                <c:pt idx="16">
                  <c:v>210</c:v>
                </c:pt>
                <c:pt idx="17">
                  <c:v>218</c:v>
                </c:pt>
                <c:pt idx="18">
                  <c:v>269</c:v>
                </c:pt>
                <c:pt idx="19">
                  <c:v>269</c:v>
                </c:pt>
                <c:pt idx="20">
                  <c:v>269</c:v>
                </c:pt>
                <c:pt idx="21">
                  <c:v>269</c:v>
                </c:pt>
                <c:pt idx="22">
                  <c:v>269</c:v>
                </c:pt>
                <c:pt idx="23">
                  <c:v>269</c:v>
                </c:pt>
                <c:pt idx="24">
                  <c:v>269</c:v>
                </c:pt>
                <c:pt idx="25">
                  <c:v>269</c:v>
                </c:pt>
                <c:pt idx="26">
                  <c:v>269</c:v>
                </c:pt>
                <c:pt idx="27">
                  <c:v>269</c:v>
                </c:pt>
                <c:pt idx="28">
                  <c:v>269</c:v>
                </c:pt>
                <c:pt idx="29">
                  <c:v>269</c:v>
                </c:pt>
                <c:pt idx="30">
                  <c:v>269</c:v>
                </c:pt>
                <c:pt idx="31">
                  <c:v>269</c:v>
                </c:pt>
                <c:pt idx="32">
                  <c:v>269</c:v>
                </c:pt>
                <c:pt idx="33">
                  <c:v>269</c:v>
                </c:pt>
                <c:pt idx="34">
                  <c:v>269</c:v>
                </c:pt>
                <c:pt idx="35">
                  <c:v>269</c:v>
                </c:pt>
                <c:pt idx="36">
                  <c:v>269</c:v>
                </c:pt>
                <c:pt idx="37">
                  <c:v>269</c:v>
                </c:pt>
                <c:pt idx="38">
                  <c:v>269</c:v>
                </c:pt>
                <c:pt idx="39">
                  <c:v>269</c:v>
                </c:pt>
                <c:pt idx="40">
                  <c:v>269</c:v>
                </c:pt>
                <c:pt idx="41">
                  <c:v>269</c:v>
                </c:pt>
                <c:pt idx="42">
                  <c:v>269</c:v>
                </c:pt>
                <c:pt idx="43">
                  <c:v>269</c:v>
                </c:pt>
                <c:pt idx="44">
                  <c:v>269</c:v>
                </c:pt>
                <c:pt idx="45">
                  <c:v>269</c:v>
                </c:pt>
                <c:pt idx="46">
                  <c:v>269</c:v>
                </c:pt>
                <c:pt idx="47">
                  <c:v>269</c:v>
                </c:pt>
                <c:pt idx="48">
                  <c:v>269</c:v>
                </c:pt>
              </c:numCache>
            </c:numRef>
          </c:xVal>
          <c:yVal>
            <c:numRef>
              <c:f>'709_Set3'!$P$6:$P$54</c:f>
              <c:numCache>
                <c:formatCode>0.0000</c:formatCode>
                <c:ptCount val="49"/>
                <c:pt idx="3" formatCode="0">
                  <c:v>90.468497576736709</c:v>
                </c:pt>
                <c:pt idx="4" formatCode="0">
                  <c:v>161.84971098265891</c:v>
                </c:pt>
                <c:pt idx="5" formatCode="0">
                  <c:v>209.15032679738579</c:v>
                </c:pt>
                <c:pt idx="6" formatCode="0">
                  <c:v>238.66348448687359</c:v>
                </c:pt>
                <c:pt idx="7" formatCode="0">
                  <c:v>263.44676180021952</c:v>
                </c:pt>
                <c:pt idx="8" formatCode="0">
                  <c:v>295.94272076372323</c:v>
                </c:pt>
                <c:pt idx="9" formatCode="0">
                  <c:v>365.85365853658556</c:v>
                </c:pt>
                <c:pt idx="10" formatCode="0">
                  <c:v>424.77876106194685</c:v>
                </c:pt>
                <c:pt idx="11" formatCode="0">
                  <c:v>561.87290969899664</c:v>
                </c:pt>
                <c:pt idx="12" formatCode="0">
                  <c:v>604.50944546008554</c:v>
                </c:pt>
                <c:pt idx="13" formatCode="0">
                  <c:v>611.43523920653445</c:v>
                </c:pt>
                <c:pt idx="14" formatCode="0">
                  <c:v>640.17907106883081</c:v>
                </c:pt>
                <c:pt idx="15" formatCode="0">
                  <c:v>691.15364718054843</c:v>
                </c:pt>
                <c:pt idx="16" formatCode="0">
                  <c:v>780.66914498141273</c:v>
                </c:pt>
                <c:pt idx="17" formatCode="0">
                  <c:v>783.82022471910147</c:v>
                </c:pt>
                <c:pt idx="18" formatCode="0">
                  <c:v>854.98609455701251</c:v>
                </c:pt>
                <c:pt idx="19" formatCode="0">
                  <c:v>269</c:v>
                </c:pt>
                <c:pt idx="20" formatCode="0">
                  <c:v>269</c:v>
                </c:pt>
                <c:pt idx="21" formatCode="0">
                  <c:v>269</c:v>
                </c:pt>
                <c:pt idx="22" formatCode="0">
                  <c:v>269</c:v>
                </c:pt>
                <c:pt idx="23" formatCode="0">
                  <c:v>269</c:v>
                </c:pt>
                <c:pt idx="24" formatCode="0">
                  <c:v>269</c:v>
                </c:pt>
                <c:pt idx="25" formatCode="0">
                  <c:v>269</c:v>
                </c:pt>
                <c:pt idx="26" formatCode="0">
                  <c:v>269</c:v>
                </c:pt>
                <c:pt idx="27" formatCode="0">
                  <c:v>269</c:v>
                </c:pt>
                <c:pt idx="28" formatCode="0">
                  <c:v>269</c:v>
                </c:pt>
                <c:pt idx="29" formatCode="0">
                  <c:v>269</c:v>
                </c:pt>
                <c:pt idx="30" formatCode="0">
                  <c:v>269</c:v>
                </c:pt>
                <c:pt idx="31" formatCode="0">
                  <c:v>269</c:v>
                </c:pt>
                <c:pt idx="32" formatCode="0">
                  <c:v>269</c:v>
                </c:pt>
                <c:pt idx="33" formatCode="0">
                  <c:v>269</c:v>
                </c:pt>
                <c:pt idx="34" formatCode="0">
                  <c:v>269</c:v>
                </c:pt>
                <c:pt idx="35" formatCode="0">
                  <c:v>269</c:v>
                </c:pt>
                <c:pt idx="36" formatCode="0">
                  <c:v>269</c:v>
                </c:pt>
                <c:pt idx="37" formatCode="0">
                  <c:v>269</c:v>
                </c:pt>
                <c:pt idx="38" formatCode="0">
                  <c:v>269</c:v>
                </c:pt>
                <c:pt idx="39" formatCode="0">
                  <c:v>269</c:v>
                </c:pt>
                <c:pt idx="40" formatCode="0">
                  <c:v>269</c:v>
                </c:pt>
                <c:pt idx="41" formatCode="0">
                  <c:v>269</c:v>
                </c:pt>
                <c:pt idx="42" formatCode="0">
                  <c:v>269</c:v>
                </c:pt>
                <c:pt idx="43" formatCode="0">
                  <c:v>269</c:v>
                </c:pt>
                <c:pt idx="44" formatCode="0">
                  <c:v>269</c:v>
                </c:pt>
                <c:pt idx="45" formatCode="0">
                  <c:v>269</c:v>
                </c:pt>
                <c:pt idx="46" formatCode="0">
                  <c:v>269</c:v>
                </c:pt>
                <c:pt idx="47" formatCode="0">
                  <c:v>269</c:v>
                </c:pt>
                <c:pt idx="48" formatCode="0">
                  <c:v>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1-40B3-82B4-17A5BA0944D8}"/>
            </c:ext>
          </c:extLst>
        </c:ser>
        <c:ser>
          <c:idx val="1"/>
          <c:order val="1"/>
          <c:tx>
            <c:strRef>
              <c:f>'709_Set3'!$Q$5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'709_Set3'!$D$6:$D$54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31</c:v>
                </c:pt>
                <c:pt idx="9">
                  <c:v>45</c:v>
                </c:pt>
                <c:pt idx="10">
                  <c:v>60</c:v>
                </c:pt>
                <c:pt idx="11">
                  <c:v>105</c:v>
                </c:pt>
                <c:pt idx="12">
                  <c:v>124</c:v>
                </c:pt>
                <c:pt idx="13">
                  <c:v>131</c:v>
                </c:pt>
                <c:pt idx="14">
                  <c:v>143</c:v>
                </c:pt>
                <c:pt idx="15">
                  <c:v>167</c:v>
                </c:pt>
                <c:pt idx="16">
                  <c:v>210</c:v>
                </c:pt>
                <c:pt idx="17">
                  <c:v>218</c:v>
                </c:pt>
                <c:pt idx="18">
                  <c:v>269</c:v>
                </c:pt>
                <c:pt idx="19">
                  <c:v>269</c:v>
                </c:pt>
                <c:pt idx="20">
                  <c:v>269</c:v>
                </c:pt>
                <c:pt idx="21">
                  <c:v>269</c:v>
                </c:pt>
                <c:pt idx="22">
                  <c:v>269</c:v>
                </c:pt>
                <c:pt idx="23">
                  <c:v>269</c:v>
                </c:pt>
                <c:pt idx="24">
                  <c:v>269</c:v>
                </c:pt>
                <c:pt idx="25">
                  <c:v>269</c:v>
                </c:pt>
                <c:pt idx="26">
                  <c:v>269</c:v>
                </c:pt>
                <c:pt idx="27">
                  <c:v>269</c:v>
                </c:pt>
                <c:pt idx="28">
                  <c:v>269</c:v>
                </c:pt>
                <c:pt idx="29">
                  <c:v>269</c:v>
                </c:pt>
                <c:pt idx="30">
                  <c:v>269</c:v>
                </c:pt>
                <c:pt idx="31">
                  <c:v>269</c:v>
                </c:pt>
                <c:pt idx="32">
                  <c:v>269</c:v>
                </c:pt>
                <c:pt idx="33">
                  <c:v>269</c:v>
                </c:pt>
                <c:pt idx="34">
                  <c:v>269</c:v>
                </c:pt>
                <c:pt idx="35">
                  <c:v>269</c:v>
                </c:pt>
                <c:pt idx="36">
                  <c:v>269</c:v>
                </c:pt>
                <c:pt idx="37">
                  <c:v>269</c:v>
                </c:pt>
                <c:pt idx="38">
                  <c:v>269</c:v>
                </c:pt>
                <c:pt idx="39">
                  <c:v>269</c:v>
                </c:pt>
                <c:pt idx="40">
                  <c:v>269</c:v>
                </c:pt>
                <c:pt idx="41">
                  <c:v>269</c:v>
                </c:pt>
                <c:pt idx="42">
                  <c:v>269</c:v>
                </c:pt>
                <c:pt idx="43">
                  <c:v>269</c:v>
                </c:pt>
                <c:pt idx="44">
                  <c:v>269</c:v>
                </c:pt>
                <c:pt idx="45">
                  <c:v>269</c:v>
                </c:pt>
                <c:pt idx="46">
                  <c:v>269</c:v>
                </c:pt>
                <c:pt idx="47">
                  <c:v>269</c:v>
                </c:pt>
                <c:pt idx="48">
                  <c:v>269</c:v>
                </c:pt>
              </c:numCache>
            </c:numRef>
          </c:xVal>
          <c:yVal>
            <c:numRef>
              <c:f>'709_Set3'!$Q$6:$Q$54</c:f>
              <c:numCache>
                <c:formatCode>0.0000</c:formatCode>
                <c:ptCount val="49"/>
                <c:pt idx="3" formatCode="0">
                  <c:v>90.468497576736709</c:v>
                </c:pt>
                <c:pt idx="4" formatCode="0">
                  <c:v>180.93699515347342</c:v>
                </c:pt>
                <c:pt idx="5" formatCode="0">
                  <c:v>209.15032679738579</c:v>
                </c:pt>
                <c:pt idx="6" formatCode="0">
                  <c:v>219.53896816684957</c:v>
                </c:pt>
                <c:pt idx="7" formatCode="0">
                  <c:v>263.44676180021952</c:v>
                </c:pt>
                <c:pt idx="8" formatCode="0">
                  <c:v>252.03252032520342</c:v>
                </c:pt>
                <c:pt idx="9" formatCode="0">
                  <c:v>299.25187032418967</c:v>
                </c:pt>
                <c:pt idx="10" formatCode="0">
                  <c:v>399.00249376558622</c:v>
                </c:pt>
                <c:pt idx="11" formatCode="0">
                  <c:v>535.71428571428567</c:v>
                </c:pt>
                <c:pt idx="12" formatCode="0">
                  <c:v>578.76312718786471</c:v>
                </c:pt>
                <c:pt idx="13" formatCode="0">
                  <c:v>586.45775041969819</c:v>
                </c:pt>
                <c:pt idx="14" formatCode="0">
                  <c:v>615.05376344086039</c:v>
                </c:pt>
                <c:pt idx="15" formatCode="0">
                  <c:v>666.00199401794612</c:v>
                </c:pt>
                <c:pt idx="16" formatCode="0">
                  <c:v>708.56178827498957</c:v>
                </c:pt>
                <c:pt idx="17" formatCode="0">
                  <c:v>713.58428805237315</c:v>
                </c:pt>
                <c:pt idx="18" formatCode="0">
                  <c:v>728.25719120135386</c:v>
                </c:pt>
                <c:pt idx="19" formatCode="0">
                  <c:v>269</c:v>
                </c:pt>
                <c:pt idx="20" formatCode="0">
                  <c:v>269</c:v>
                </c:pt>
                <c:pt idx="21" formatCode="0">
                  <c:v>269</c:v>
                </c:pt>
                <c:pt idx="22" formatCode="0">
                  <c:v>269</c:v>
                </c:pt>
                <c:pt idx="23" formatCode="0">
                  <c:v>269</c:v>
                </c:pt>
                <c:pt idx="24" formatCode="0">
                  <c:v>269</c:v>
                </c:pt>
                <c:pt idx="25" formatCode="0">
                  <c:v>269</c:v>
                </c:pt>
                <c:pt idx="26" formatCode="0">
                  <c:v>269</c:v>
                </c:pt>
                <c:pt idx="27" formatCode="0">
                  <c:v>269</c:v>
                </c:pt>
                <c:pt idx="28" formatCode="0">
                  <c:v>269</c:v>
                </c:pt>
                <c:pt idx="29" formatCode="0">
                  <c:v>269</c:v>
                </c:pt>
                <c:pt idx="30" formatCode="0">
                  <c:v>269</c:v>
                </c:pt>
                <c:pt idx="31" formatCode="0">
                  <c:v>269</c:v>
                </c:pt>
                <c:pt idx="32" formatCode="0">
                  <c:v>269</c:v>
                </c:pt>
                <c:pt idx="33" formatCode="0">
                  <c:v>269</c:v>
                </c:pt>
                <c:pt idx="34" formatCode="0">
                  <c:v>269</c:v>
                </c:pt>
                <c:pt idx="35" formatCode="0">
                  <c:v>269</c:v>
                </c:pt>
                <c:pt idx="36" formatCode="0">
                  <c:v>269</c:v>
                </c:pt>
                <c:pt idx="37" formatCode="0">
                  <c:v>269</c:v>
                </c:pt>
                <c:pt idx="38" formatCode="0">
                  <c:v>269</c:v>
                </c:pt>
                <c:pt idx="39" formatCode="0">
                  <c:v>269</c:v>
                </c:pt>
                <c:pt idx="40" formatCode="0">
                  <c:v>269</c:v>
                </c:pt>
                <c:pt idx="41" formatCode="0">
                  <c:v>269</c:v>
                </c:pt>
                <c:pt idx="42" formatCode="0">
                  <c:v>269</c:v>
                </c:pt>
                <c:pt idx="43" formatCode="0">
                  <c:v>269</c:v>
                </c:pt>
                <c:pt idx="44" formatCode="0">
                  <c:v>269</c:v>
                </c:pt>
                <c:pt idx="45" formatCode="0">
                  <c:v>269</c:v>
                </c:pt>
                <c:pt idx="46" formatCode="0">
                  <c:v>269</c:v>
                </c:pt>
                <c:pt idx="47" formatCode="0">
                  <c:v>269</c:v>
                </c:pt>
                <c:pt idx="48" formatCode="0">
                  <c:v>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1-40B3-82B4-17A5BA094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'708'!$F$6:$F$17</c:f>
              <c:numCache>
                <c:formatCode>0.00</c:formatCode>
                <c:ptCount val="12"/>
                <c:pt idx="0">
                  <c:v>6</c:v>
                </c:pt>
                <c:pt idx="1">
                  <c:v>5.7</c:v>
                </c:pt>
                <c:pt idx="2">
                  <c:v>5.6</c:v>
                </c:pt>
                <c:pt idx="3">
                  <c:v>5.48</c:v>
                </c:pt>
                <c:pt idx="4">
                  <c:v>5.4</c:v>
                </c:pt>
                <c:pt idx="5">
                  <c:v>5.27</c:v>
                </c:pt>
                <c:pt idx="6">
                  <c:v>5.25</c:v>
                </c:pt>
                <c:pt idx="7">
                  <c:v>4.95</c:v>
                </c:pt>
                <c:pt idx="8">
                  <c:v>4.9000000000000004</c:v>
                </c:pt>
                <c:pt idx="9">
                  <c:v>4.75</c:v>
                </c:pt>
                <c:pt idx="10">
                  <c:v>4.76</c:v>
                </c:pt>
                <c:pt idx="11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'708'!$G$6:$G$17</c:f>
              <c:numCache>
                <c:formatCode>0.00</c:formatCode>
                <c:ptCount val="12"/>
                <c:pt idx="0">
                  <c:v>6</c:v>
                </c:pt>
                <c:pt idx="1">
                  <c:v>5.3</c:v>
                </c:pt>
                <c:pt idx="2">
                  <c:v>5.2</c:v>
                </c:pt>
                <c:pt idx="3">
                  <c:v>5.18</c:v>
                </c:pt>
                <c:pt idx="4">
                  <c:v>5.0999999999999996</c:v>
                </c:pt>
                <c:pt idx="5">
                  <c:v>5.05</c:v>
                </c:pt>
                <c:pt idx="6">
                  <c:v>5.0199999999999996</c:v>
                </c:pt>
                <c:pt idx="7">
                  <c:v>4.75</c:v>
                </c:pt>
                <c:pt idx="8">
                  <c:v>4.68</c:v>
                </c:pt>
                <c:pt idx="9">
                  <c:v>4.57</c:v>
                </c:pt>
                <c:pt idx="10">
                  <c:v>4.6100000000000003</c:v>
                </c:pt>
                <c:pt idx="11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'708'!$H$6:$H$17</c:f>
              <c:numCache>
                <c:formatCode>0.00</c:formatCode>
                <c:ptCount val="12"/>
                <c:pt idx="1">
                  <c:v>0.29999999999999982</c:v>
                </c:pt>
                <c:pt idx="2">
                  <c:v>0.10000000000000053</c:v>
                </c:pt>
                <c:pt idx="3">
                  <c:v>0.11999999999999922</c:v>
                </c:pt>
                <c:pt idx="4">
                  <c:v>8.0000000000000071E-2</c:v>
                </c:pt>
                <c:pt idx="5">
                  <c:v>0.13000000000000078</c:v>
                </c:pt>
                <c:pt idx="6">
                  <c:v>1.9999999999999574E-2</c:v>
                </c:pt>
                <c:pt idx="7">
                  <c:v>0.29999999999999982</c:v>
                </c:pt>
                <c:pt idx="8">
                  <c:v>4.9999999999999822E-2</c:v>
                </c:pt>
                <c:pt idx="9">
                  <c:v>0.15000000000000036</c:v>
                </c:pt>
                <c:pt idx="10">
                  <c:v>-9.9999999999997868E-3</c:v>
                </c:pt>
                <c:pt idx="11">
                  <c:v>0.16000000000000014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'708'!$I$6:$I$17</c:f>
              <c:numCache>
                <c:formatCode>0.00</c:formatCode>
                <c:ptCount val="12"/>
                <c:pt idx="1">
                  <c:v>0.70000000000000018</c:v>
                </c:pt>
                <c:pt idx="2">
                  <c:v>9.9999999999999645E-2</c:v>
                </c:pt>
                <c:pt idx="3">
                  <c:v>2.0000000000000462E-2</c:v>
                </c:pt>
                <c:pt idx="4">
                  <c:v>8.0000000000000071E-2</c:v>
                </c:pt>
                <c:pt idx="5">
                  <c:v>4.9999999999999822E-2</c:v>
                </c:pt>
                <c:pt idx="6">
                  <c:v>3.0000000000000249E-2</c:v>
                </c:pt>
                <c:pt idx="7">
                  <c:v>0.26999999999999957</c:v>
                </c:pt>
                <c:pt idx="8">
                  <c:v>7.0000000000000284E-2</c:v>
                </c:pt>
                <c:pt idx="9">
                  <c:v>0.10999999999999943</c:v>
                </c:pt>
                <c:pt idx="10">
                  <c:v>-4.0000000000000036E-2</c:v>
                </c:pt>
                <c:pt idx="11">
                  <c:v>0.20999999999999996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 VS Outing #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'708'!$C$7:$C$23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'708'!$J$7:$J$23</c:f>
              <c:numCache>
                <c:formatCode>0.000</c:formatCode>
                <c:ptCount val="17"/>
                <c:pt idx="0">
                  <c:v>5.9999999999999963E-2</c:v>
                </c:pt>
                <c:pt idx="1">
                  <c:v>2.0000000000000108E-2</c:v>
                </c:pt>
                <c:pt idx="2">
                  <c:v>2.3999999999999844E-2</c:v>
                </c:pt>
                <c:pt idx="3">
                  <c:v>1.3333333333333345E-2</c:v>
                </c:pt>
                <c:pt idx="4">
                  <c:v>2.6000000000000155E-2</c:v>
                </c:pt>
                <c:pt idx="5">
                  <c:v>3.3333333333332624E-3</c:v>
                </c:pt>
                <c:pt idx="6">
                  <c:v>1.2499999999999992E-2</c:v>
                </c:pt>
                <c:pt idx="7">
                  <c:v>1.2499999999999956E-2</c:v>
                </c:pt>
                <c:pt idx="8">
                  <c:v>1.6666666666666705E-2</c:v>
                </c:pt>
                <c:pt idx="9" formatCode="0.00">
                  <c:v>-1.2499999999999734E-3</c:v>
                </c:pt>
                <c:pt idx="10" formatCode="0.00">
                  <c:v>1.3333333333333345E-2</c:v>
                </c:pt>
                <c:pt idx="11" formatCode="0.00">
                  <c:v>2.4999999999999467E-3</c:v>
                </c:pt>
                <c:pt idx="12" formatCode="0.00">
                  <c:v>2.0666666666666701E-2</c:v>
                </c:pt>
                <c:pt idx="13" formatCode="0.00">
                  <c:v>0</c:v>
                </c:pt>
                <c:pt idx="14" formatCode="0.00">
                  <c:v>1.2499999999999956E-2</c:v>
                </c:pt>
                <c:pt idx="15" formatCode="0.00">
                  <c:v>2.8571428571428597E-3</c:v>
                </c:pt>
                <c:pt idx="16" formatCode="0.00">
                  <c:v>1.1538461538461532E-2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'708'!$C$7:$C$23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'708'!$K$7:$K$23</c:f>
              <c:numCache>
                <c:formatCode>0.000</c:formatCode>
                <c:ptCount val="17"/>
                <c:pt idx="0">
                  <c:v>0.14000000000000004</c:v>
                </c:pt>
                <c:pt idx="1">
                  <c:v>1.9999999999999928E-2</c:v>
                </c:pt>
                <c:pt idx="2">
                  <c:v>4.000000000000092E-3</c:v>
                </c:pt>
                <c:pt idx="3">
                  <c:v>1.3333333333333345E-2</c:v>
                </c:pt>
                <c:pt idx="4">
                  <c:v>9.9999999999999638E-3</c:v>
                </c:pt>
                <c:pt idx="5">
                  <c:v>5.0000000000000417E-3</c:v>
                </c:pt>
                <c:pt idx="6">
                  <c:v>1.1249999999999982E-2</c:v>
                </c:pt>
                <c:pt idx="7">
                  <c:v>1.7500000000000071E-2</c:v>
                </c:pt>
                <c:pt idx="8">
                  <c:v>1.2222222222222159E-2</c:v>
                </c:pt>
                <c:pt idx="9" formatCode="0.00">
                  <c:v>-5.0000000000000044E-3</c:v>
                </c:pt>
                <c:pt idx="10" formatCode="0.00">
                  <c:v>1.7499999999999998E-2</c:v>
                </c:pt>
                <c:pt idx="11" formatCode="0.00">
                  <c:v>6.2500000000000888E-3</c:v>
                </c:pt>
                <c:pt idx="12" formatCode="0.00">
                  <c:v>1.6666666666666666E-2</c:v>
                </c:pt>
                <c:pt idx="13" formatCode="0.00">
                  <c:v>3.5714285714285587E-3</c:v>
                </c:pt>
                <c:pt idx="14" formatCode="0.00">
                  <c:v>1.9166666666666665E-2</c:v>
                </c:pt>
                <c:pt idx="15" formatCode="0.00">
                  <c:v>1.2142857142857138E-2</c:v>
                </c:pt>
                <c:pt idx="16" formatCode="0.00">
                  <c:v>1.6923076923076905E-2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708 FL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'708'!$D$6:$D$20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</c:numCache>
            </c:numRef>
          </c:xVal>
          <c:yVal>
            <c:numRef>
              <c:f>'708'!$F$6:$F$20</c:f>
              <c:numCache>
                <c:formatCode>0.00</c:formatCode>
                <c:ptCount val="15"/>
                <c:pt idx="0">
                  <c:v>6</c:v>
                </c:pt>
                <c:pt idx="1">
                  <c:v>5.7</c:v>
                </c:pt>
                <c:pt idx="2">
                  <c:v>5.6</c:v>
                </c:pt>
                <c:pt idx="3">
                  <c:v>5.48</c:v>
                </c:pt>
                <c:pt idx="4">
                  <c:v>5.4</c:v>
                </c:pt>
                <c:pt idx="5">
                  <c:v>5.27</c:v>
                </c:pt>
                <c:pt idx="6">
                  <c:v>5.25</c:v>
                </c:pt>
                <c:pt idx="7">
                  <c:v>4.95</c:v>
                </c:pt>
                <c:pt idx="8">
                  <c:v>4.9000000000000004</c:v>
                </c:pt>
                <c:pt idx="9">
                  <c:v>4.75</c:v>
                </c:pt>
                <c:pt idx="10">
                  <c:v>4.76</c:v>
                </c:pt>
                <c:pt idx="11">
                  <c:v>4.5999999999999996</c:v>
                </c:pt>
                <c:pt idx="12">
                  <c:v>4.58</c:v>
                </c:pt>
                <c:pt idx="13">
                  <c:v>4.2699999999999996</c:v>
                </c:pt>
                <c:pt idx="14">
                  <c:v>4.2699999999999996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v>708 FR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'708'!$D$6:$D$20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</c:numCache>
            </c:numRef>
          </c:xVal>
          <c:yVal>
            <c:numRef>
              <c:f>'708'!$G$6:$G$20</c:f>
              <c:numCache>
                <c:formatCode>0.00</c:formatCode>
                <c:ptCount val="15"/>
                <c:pt idx="0">
                  <c:v>6</c:v>
                </c:pt>
                <c:pt idx="1">
                  <c:v>5.3</c:v>
                </c:pt>
                <c:pt idx="2">
                  <c:v>5.2</c:v>
                </c:pt>
                <c:pt idx="3">
                  <c:v>5.18</c:v>
                </c:pt>
                <c:pt idx="4">
                  <c:v>5.0999999999999996</c:v>
                </c:pt>
                <c:pt idx="5">
                  <c:v>5.05</c:v>
                </c:pt>
                <c:pt idx="6">
                  <c:v>5.0199999999999996</c:v>
                </c:pt>
                <c:pt idx="7">
                  <c:v>4.75</c:v>
                </c:pt>
                <c:pt idx="8">
                  <c:v>4.68</c:v>
                </c:pt>
                <c:pt idx="9">
                  <c:v>4.57</c:v>
                </c:pt>
                <c:pt idx="10">
                  <c:v>4.6100000000000003</c:v>
                </c:pt>
                <c:pt idx="11">
                  <c:v>4.4000000000000004</c:v>
                </c:pt>
                <c:pt idx="12">
                  <c:v>4.3499999999999996</c:v>
                </c:pt>
                <c:pt idx="13">
                  <c:v>4.0999999999999996</c:v>
                </c:pt>
                <c:pt idx="14">
                  <c:v>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ser>
          <c:idx val="2"/>
          <c:order val="2"/>
          <c:tx>
            <c:v>FL 709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'709'!$F$6:$F$18</c:f>
              <c:numCache>
                <c:formatCode>0.00</c:formatCode>
                <c:ptCount val="13"/>
                <c:pt idx="0">
                  <c:v>6</c:v>
                </c:pt>
                <c:pt idx="1">
                  <c:v>5.4</c:v>
                </c:pt>
                <c:pt idx="2">
                  <c:v>5.38</c:v>
                </c:pt>
                <c:pt idx="3">
                  <c:v>5.3</c:v>
                </c:pt>
                <c:pt idx="4">
                  <c:v>5.27</c:v>
                </c:pt>
                <c:pt idx="5">
                  <c:v>5.0999999999999996</c:v>
                </c:pt>
                <c:pt idx="6">
                  <c:v>4.95</c:v>
                </c:pt>
                <c:pt idx="7">
                  <c:v>4.83</c:v>
                </c:pt>
                <c:pt idx="8">
                  <c:v>4.63</c:v>
                </c:pt>
                <c:pt idx="9">
                  <c:v>4.5999999999999996</c:v>
                </c:pt>
                <c:pt idx="10">
                  <c:v>4.5</c:v>
                </c:pt>
                <c:pt idx="11">
                  <c:v>4.32</c:v>
                </c:pt>
                <c:pt idx="12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AD-40C6-AF6D-C63EB1FC51F6}"/>
            </c:ext>
          </c:extLst>
        </c:ser>
        <c:ser>
          <c:idx val="3"/>
          <c:order val="3"/>
          <c:tx>
            <c:v>FR 709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'709'!$G$6:$G$18</c:f>
              <c:numCache>
                <c:formatCode>0.00</c:formatCode>
                <c:ptCount val="13"/>
                <c:pt idx="0">
                  <c:v>6</c:v>
                </c:pt>
                <c:pt idx="1">
                  <c:v>5.6</c:v>
                </c:pt>
                <c:pt idx="2">
                  <c:v>5.58</c:v>
                </c:pt>
                <c:pt idx="3">
                  <c:v>5.57</c:v>
                </c:pt>
                <c:pt idx="4">
                  <c:v>5.45</c:v>
                </c:pt>
                <c:pt idx="5">
                  <c:v>5.38</c:v>
                </c:pt>
                <c:pt idx="6">
                  <c:v>5.3</c:v>
                </c:pt>
                <c:pt idx="7">
                  <c:v>5.2</c:v>
                </c:pt>
                <c:pt idx="8">
                  <c:v>5.12</c:v>
                </c:pt>
                <c:pt idx="9">
                  <c:v>5.2</c:v>
                </c:pt>
                <c:pt idx="10">
                  <c:v>5.13</c:v>
                </c:pt>
                <c:pt idx="11">
                  <c:v>5.01</c:v>
                </c:pt>
                <c:pt idx="12">
                  <c:v>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AD-40C6-AF6D-C63EB1FC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Wear average vs</a:t>
            </a:r>
            <a:r>
              <a:rPr lang="en-GB" b="1" baseline="0"/>
              <a:t> total number of laps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'708'!$L$5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'708'!$D$6:$D$23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  <c:pt idx="15">
                  <c:v>138</c:v>
                </c:pt>
                <c:pt idx="16">
                  <c:v>152</c:v>
                </c:pt>
                <c:pt idx="17">
                  <c:v>165</c:v>
                </c:pt>
              </c:numCache>
            </c:numRef>
          </c:xVal>
          <c:yVal>
            <c:numRef>
              <c:f>'708'!$L$6:$L$23</c:f>
              <c:numCache>
                <c:formatCode>0.0000</c:formatCode>
                <c:ptCount val="18"/>
                <c:pt idx="1">
                  <c:v>5.9999999999999963E-2</c:v>
                </c:pt>
                <c:pt idx="2">
                  <c:v>4.0000000000000036E-2</c:v>
                </c:pt>
                <c:pt idx="3">
                  <c:v>3.4666666666666637E-2</c:v>
                </c:pt>
                <c:pt idx="4">
                  <c:v>2.8571428571428553E-2</c:v>
                </c:pt>
                <c:pt idx="5">
                  <c:v>2.8076923076923093E-2</c:v>
                </c:pt>
                <c:pt idx="6">
                  <c:v>2.34375E-2</c:v>
                </c:pt>
                <c:pt idx="7">
                  <c:v>1.8749999999999996E-2</c:v>
                </c:pt>
                <c:pt idx="8">
                  <c:v>1.8333333333333326E-2</c:v>
                </c:pt>
                <c:pt idx="9">
                  <c:v>1.8115942028985508E-2</c:v>
                </c:pt>
                <c:pt idx="10">
                  <c:v>1.6103896103896106E-2</c:v>
                </c:pt>
                <c:pt idx="11">
                  <c:v>1.573033707865169E-2</c:v>
                </c:pt>
                <c:pt idx="12">
                  <c:v>1.4639175257731958E-2</c:v>
                </c:pt>
                <c:pt idx="13">
                  <c:v>1.5446428571428574E-2</c:v>
                </c:pt>
                <c:pt idx="14">
                  <c:v>1.3730158730158733E-2</c:v>
                </c:pt>
                <c:pt idx="15">
                  <c:v>1.36231884057971E-2</c:v>
                </c:pt>
                <c:pt idx="16">
                  <c:v>1.2631578947368421E-2</c:v>
                </c:pt>
                <c:pt idx="17">
                  <c:v>1.2545454545454544E-2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1-4186-B865-D8C62D161DB3}"/>
            </c:ext>
          </c:extLst>
        </c:ser>
        <c:ser>
          <c:idx val="1"/>
          <c:order val="1"/>
          <c:tx>
            <c:strRef>
              <c:f>'708'!$M$5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'708'!$D$6:$D$23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  <c:pt idx="15">
                  <c:v>138</c:v>
                </c:pt>
                <c:pt idx="16">
                  <c:v>152</c:v>
                </c:pt>
                <c:pt idx="17">
                  <c:v>165</c:v>
                </c:pt>
              </c:numCache>
            </c:numRef>
          </c:xVal>
          <c:yVal>
            <c:numRef>
              <c:f>'708'!$M$6:$M$23</c:f>
              <c:numCache>
                <c:formatCode>0.0000</c:formatCode>
                <c:ptCount val="18"/>
                <c:pt idx="1">
                  <c:v>0.14000000000000004</c:v>
                </c:pt>
                <c:pt idx="2">
                  <c:v>7.9999999999999988E-2</c:v>
                </c:pt>
                <c:pt idx="3">
                  <c:v>5.4666666666666683E-2</c:v>
                </c:pt>
                <c:pt idx="4">
                  <c:v>4.2857142857142871E-2</c:v>
                </c:pt>
                <c:pt idx="5">
                  <c:v>3.6538461538461547E-2</c:v>
                </c:pt>
                <c:pt idx="6">
                  <c:v>3.0625000000000013E-2</c:v>
                </c:pt>
                <c:pt idx="7">
                  <c:v>2.2321428571428572E-2</c:v>
                </c:pt>
                <c:pt idx="8">
                  <c:v>2.2000000000000006E-2</c:v>
                </c:pt>
                <c:pt idx="9">
                  <c:v>2.0724637681159418E-2</c:v>
                </c:pt>
                <c:pt idx="10">
                  <c:v>1.8051948051948048E-2</c:v>
                </c:pt>
                <c:pt idx="11">
                  <c:v>1.7977528089887635E-2</c:v>
                </c:pt>
                <c:pt idx="12">
                  <c:v>1.7010309278350517E-2</c:v>
                </c:pt>
                <c:pt idx="13">
                  <c:v>1.6964285714285716E-2</c:v>
                </c:pt>
                <c:pt idx="14">
                  <c:v>1.5476190476190478E-2</c:v>
                </c:pt>
                <c:pt idx="15">
                  <c:v>1.5797101449275364E-2</c:v>
                </c:pt>
                <c:pt idx="16">
                  <c:v>1.5460526315789475E-2</c:v>
                </c:pt>
                <c:pt idx="17">
                  <c:v>1.5575757575757574E-2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F1-4186-B865-D8C62D161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'708_Set2'!$F$5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'708_Set2'!$D$6:$D$17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'708_Set2'!$F$6:$F$17</c:f>
              <c:numCache>
                <c:formatCode>0.00</c:formatCode>
                <c:ptCount val="12"/>
                <c:pt idx="0">
                  <c:v>6</c:v>
                </c:pt>
                <c:pt idx="1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91-4127-A490-379660EF1CA1}"/>
            </c:ext>
          </c:extLst>
        </c:ser>
        <c:ser>
          <c:idx val="1"/>
          <c:order val="1"/>
          <c:tx>
            <c:strRef>
              <c:f>'708_Set2'!$G$5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'708_Set2'!$D$6:$D$17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'708_Set2'!$G$6:$G$17</c:f>
              <c:numCache>
                <c:formatCode>0.00</c:formatCode>
                <c:ptCount val="12"/>
                <c:pt idx="0">
                  <c:v>6</c:v>
                </c:pt>
                <c:pt idx="1">
                  <c:v>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91-4127-A490-379660EF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'708_Set2'!$H$5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'708_Set2'!$D$6:$D$17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'708_Set2'!$H$6:$H$17</c:f>
              <c:numCache>
                <c:formatCode>0.00</c:formatCode>
                <c:ptCount val="12"/>
                <c:pt idx="1">
                  <c:v>9.9999999999999645E-2</c:v>
                </c:pt>
                <c:pt idx="2">
                  <c:v>5.9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B-4E76-A264-0E91BB6735D0}"/>
            </c:ext>
          </c:extLst>
        </c:ser>
        <c:ser>
          <c:idx val="1"/>
          <c:order val="1"/>
          <c:tx>
            <c:strRef>
              <c:f>'708_Set2'!$I$5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'708_Set2'!$D$6:$D$17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'708_Set2'!$I$6:$I$17</c:f>
              <c:numCache>
                <c:formatCode>0.00</c:formatCode>
                <c:ptCount val="12"/>
                <c:pt idx="1">
                  <c:v>0.17999999999999972</c:v>
                </c:pt>
                <c:pt idx="2">
                  <c:v>5.82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AB-4E76-A264-0E91BB67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 VS Outing #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'708_Set2'!$J$5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'708_Set2'!$C$7:$C$23</c:f>
              <c:numCache>
                <c:formatCode>General</c:formatCode>
                <c:ptCount val="17"/>
                <c:pt idx="0">
                  <c:v>1</c:v>
                </c:pt>
              </c:numCache>
            </c:numRef>
          </c:xVal>
          <c:yVal>
            <c:numRef>
              <c:f>'708_Set2'!$J$7:$J$23</c:f>
              <c:numCache>
                <c:formatCode>0.000</c:formatCode>
                <c:ptCount val="17"/>
                <c:pt idx="0">
                  <c:v>1.4285714285714235E-2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C-496D-B833-3DA5A1C80F31}"/>
            </c:ext>
          </c:extLst>
        </c:ser>
        <c:ser>
          <c:idx val="1"/>
          <c:order val="1"/>
          <c:tx>
            <c:strRef>
              <c:f>'708_Set2'!$K$5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'708_Set2'!$C$7:$C$23</c:f>
              <c:numCache>
                <c:formatCode>General</c:formatCode>
                <c:ptCount val="17"/>
                <c:pt idx="0">
                  <c:v>1</c:v>
                </c:pt>
              </c:numCache>
            </c:numRef>
          </c:xVal>
          <c:yVal>
            <c:numRef>
              <c:f>'708_Set2'!$K$7:$K$23</c:f>
              <c:numCache>
                <c:formatCode>0.000</c:formatCode>
                <c:ptCount val="17"/>
                <c:pt idx="0">
                  <c:v>2.5714285714285672E-2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C-496D-B833-3DA5A1C80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708 FL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'708_Set2'!$D$6:$D$20</c:f>
              <c:numCache>
                <c:formatCode>General</c:formatCode>
                <c:ptCount val="15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'708_Set2'!$F$6:$F$20</c:f>
              <c:numCache>
                <c:formatCode>0.00</c:formatCode>
                <c:ptCount val="15"/>
                <c:pt idx="0">
                  <c:v>6</c:v>
                </c:pt>
                <c:pt idx="1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EC-4AF3-B8B4-A6C5E20E15CC}"/>
            </c:ext>
          </c:extLst>
        </c:ser>
        <c:ser>
          <c:idx val="1"/>
          <c:order val="1"/>
          <c:tx>
            <c:v>708 FR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'708_Set2'!$D$6:$D$20</c:f>
              <c:numCache>
                <c:formatCode>General</c:formatCode>
                <c:ptCount val="15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'708_Set2'!$G$6:$G$20</c:f>
              <c:numCache>
                <c:formatCode>0.00</c:formatCode>
                <c:ptCount val="15"/>
                <c:pt idx="0">
                  <c:v>6</c:v>
                </c:pt>
                <c:pt idx="1">
                  <c:v>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C-4AF3-B8B4-A6C5E20E15CC}"/>
            </c:ext>
          </c:extLst>
        </c:ser>
        <c:ser>
          <c:idx val="2"/>
          <c:order val="2"/>
          <c:tx>
            <c:v>FL 709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'709'!$F$6:$F$18</c:f>
              <c:numCache>
                <c:formatCode>0.00</c:formatCode>
                <c:ptCount val="13"/>
                <c:pt idx="0">
                  <c:v>6</c:v>
                </c:pt>
                <c:pt idx="1">
                  <c:v>5.4</c:v>
                </c:pt>
                <c:pt idx="2">
                  <c:v>5.38</c:v>
                </c:pt>
                <c:pt idx="3">
                  <c:v>5.3</c:v>
                </c:pt>
                <c:pt idx="4">
                  <c:v>5.27</c:v>
                </c:pt>
                <c:pt idx="5">
                  <c:v>5.0999999999999996</c:v>
                </c:pt>
                <c:pt idx="6">
                  <c:v>4.95</c:v>
                </c:pt>
                <c:pt idx="7">
                  <c:v>4.83</c:v>
                </c:pt>
                <c:pt idx="8">
                  <c:v>4.63</c:v>
                </c:pt>
                <c:pt idx="9">
                  <c:v>4.5999999999999996</c:v>
                </c:pt>
                <c:pt idx="10">
                  <c:v>4.5</c:v>
                </c:pt>
                <c:pt idx="11">
                  <c:v>4.32</c:v>
                </c:pt>
                <c:pt idx="12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EC-4AF3-B8B4-A6C5E20E15CC}"/>
            </c:ext>
          </c:extLst>
        </c:ser>
        <c:ser>
          <c:idx val="3"/>
          <c:order val="3"/>
          <c:tx>
            <c:v>FR 709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'709'!$G$6:$G$18</c:f>
              <c:numCache>
                <c:formatCode>0.00</c:formatCode>
                <c:ptCount val="13"/>
                <c:pt idx="0">
                  <c:v>6</c:v>
                </c:pt>
                <c:pt idx="1">
                  <c:v>5.6</c:v>
                </c:pt>
                <c:pt idx="2">
                  <c:v>5.58</c:v>
                </c:pt>
                <c:pt idx="3">
                  <c:v>5.57</c:v>
                </c:pt>
                <c:pt idx="4">
                  <c:v>5.45</c:v>
                </c:pt>
                <c:pt idx="5">
                  <c:v>5.38</c:v>
                </c:pt>
                <c:pt idx="6">
                  <c:v>5.3</c:v>
                </c:pt>
                <c:pt idx="7">
                  <c:v>5.2</c:v>
                </c:pt>
                <c:pt idx="8">
                  <c:v>5.12</c:v>
                </c:pt>
                <c:pt idx="9">
                  <c:v>5.2</c:v>
                </c:pt>
                <c:pt idx="10">
                  <c:v>5.13</c:v>
                </c:pt>
                <c:pt idx="11">
                  <c:v>5.01</c:v>
                </c:pt>
                <c:pt idx="12">
                  <c:v>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EC-4AF3-B8B4-A6C5E20E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Wear average vs</a:t>
            </a:r>
            <a:r>
              <a:rPr lang="en-GB" b="1" baseline="0"/>
              <a:t> total number of laps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'708_Set2'!$L$5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'708_Set2'!$D$6:$D$23</c:f>
              <c:numCache>
                <c:formatCode>General</c:formatCode>
                <c:ptCount val="18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'708_Set2'!$L$6:$L$23</c:f>
              <c:numCache>
                <c:formatCode>0.0000</c:formatCode>
                <c:ptCount val="18"/>
                <c:pt idx="1">
                  <c:v>1.4285714285714235E-2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AD-4BA1-9E1B-6FDCD7A4568A}"/>
            </c:ext>
          </c:extLst>
        </c:ser>
        <c:ser>
          <c:idx val="1"/>
          <c:order val="1"/>
          <c:tx>
            <c:strRef>
              <c:f>'708_Set2'!$M$5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'708_Set2'!$D$6:$D$23</c:f>
              <c:numCache>
                <c:formatCode>General</c:formatCode>
                <c:ptCount val="18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'708_Set2'!$M$6:$M$23</c:f>
              <c:numCache>
                <c:formatCode>0.0000</c:formatCode>
                <c:ptCount val="18"/>
                <c:pt idx="1">
                  <c:v>2.5714285714285672E-2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AD-4BA1-9E1B-6FDCD7A45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'709'!$D$6:$D$16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</c:numCache>
            </c:numRef>
          </c:xVal>
          <c:yVal>
            <c:numRef>
              <c:f>'709'!$F$6:$F$16</c:f>
              <c:numCache>
                <c:formatCode>0.00</c:formatCode>
                <c:ptCount val="11"/>
                <c:pt idx="0">
                  <c:v>6</c:v>
                </c:pt>
                <c:pt idx="1">
                  <c:v>5.4</c:v>
                </c:pt>
                <c:pt idx="2">
                  <c:v>5.38</c:v>
                </c:pt>
                <c:pt idx="3">
                  <c:v>5.3</c:v>
                </c:pt>
                <c:pt idx="4">
                  <c:v>5.27</c:v>
                </c:pt>
                <c:pt idx="5">
                  <c:v>5.0999999999999996</c:v>
                </c:pt>
                <c:pt idx="6">
                  <c:v>4.95</c:v>
                </c:pt>
                <c:pt idx="7">
                  <c:v>4.83</c:v>
                </c:pt>
                <c:pt idx="8">
                  <c:v>4.63</c:v>
                </c:pt>
                <c:pt idx="9">
                  <c:v>4.5999999999999996</c:v>
                </c:pt>
                <c:pt idx="1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A-4202-9C18-1FF5B34838AA}"/>
            </c:ext>
          </c:extLst>
        </c:ser>
        <c:ser>
          <c:idx val="1"/>
          <c:order val="1"/>
          <c:tx>
            <c:strRef>
              <c:f>'709'!$G$5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'709'!$D$6:$D$16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</c:numCache>
            </c:numRef>
          </c:xVal>
          <c:yVal>
            <c:numRef>
              <c:f>'709'!$G$6:$G$16</c:f>
              <c:numCache>
                <c:formatCode>0.00</c:formatCode>
                <c:ptCount val="11"/>
                <c:pt idx="0">
                  <c:v>6</c:v>
                </c:pt>
                <c:pt idx="1">
                  <c:v>5.6</c:v>
                </c:pt>
                <c:pt idx="2">
                  <c:v>5.58</c:v>
                </c:pt>
                <c:pt idx="3">
                  <c:v>5.57</c:v>
                </c:pt>
                <c:pt idx="4">
                  <c:v>5.45</c:v>
                </c:pt>
                <c:pt idx="5">
                  <c:v>5.38</c:v>
                </c:pt>
                <c:pt idx="6">
                  <c:v>5.3</c:v>
                </c:pt>
                <c:pt idx="7">
                  <c:v>5.2</c:v>
                </c:pt>
                <c:pt idx="8">
                  <c:v>5.12</c:v>
                </c:pt>
                <c:pt idx="9">
                  <c:v>5.2</c:v>
                </c:pt>
                <c:pt idx="10">
                  <c:v>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A-4202-9C18-1FF5B3483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'709'!$D$6:$D$15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</c:numCache>
            </c:numRef>
          </c:xVal>
          <c:yVal>
            <c:numRef>
              <c:f>'709'!$H$6:$H$15</c:f>
              <c:numCache>
                <c:formatCode>0.00</c:formatCode>
                <c:ptCount val="10"/>
                <c:pt idx="1">
                  <c:v>0.59999999999999964</c:v>
                </c:pt>
                <c:pt idx="2">
                  <c:v>2.0000000000000462E-2</c:v>
                </c:pt>
                <c:pt idx="3">
                  <c:v>8.0000000000000071E-2</c:v>
                </c:pt>
                <c:pt idx="4">
                  <c:v>3.0000000000000249E-2</c:v>
                </c:pt>
                <c:pt idx="5">
                  <c:v>0.16999999999999993</c:v>
                </c:pt>
                <c:pt idx="6">
                  <c:v>0.14999999999999947</c:v>
                </c:pt>
                <c:pt idx="7">
                  <c:v>0.12000000000000011</c:v>
                </c:pt>
                <c:pt idx="8">
                  <c:v>0.20000000000000018</c:v>
                </c:pt>
                <c:pt idx="9">
                  <c:v>3.0000000000000249E-2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2-4075-B9A0-C27C6648C009}"/>
            </c:ext>
          </c:extLst>
        </c:ser>
        <c:ser>
          <c:idx val="1"/>
          <c:order val="1"/>
          <c:tx>
            <c:strRef>
              <c:f>'709'!$I$5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'709'!$D$6:$D$15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</c:numCache>
            </c:numRef>
          </c:xVal>
          <c:yVal>
            <c:numRef>
              <c:f>'709'!$I$6:$I$15</c:f>
              <c:numCache>
                <c:formatCode>0.00</c:formatCode>
                <c:ptCount val="10"/>
                <c:pt idx="1">
                  <c:v>0.40000000000000036</c:v>
                </c:pt>
                <c:pt idx="2">
                  <c:v>1.9999999999999574E-2</c:v>
                </c:pt>
                <c:pt idx="3">
                  <c:v>9.9999999999997868E-3</c:v>
                </c:pt>
                <c:pt idx="4">
                  <c:v>0.12000000000000011</c:v>
                </c:pt>
                <c:pt idx="5">
                  <c:v>7.0000000000000284E-2</c:v>
                </c:pt>
                <c:pt idx="6">
                  <c:v>8.0000000000000071E-2</c:v>
                </c:pt>
                <c:pt idx="7">
                  <c:v>9.9999999999999645E-2</c:v>
                </c:pt>
                <c:pt idx="8">
                  <c:v>8.0000000000000071E-2</c:v>
                </c:pt>
                <c:pt idx="9">
                  <c:v>-8.0000000000000071E-2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2-4075-B9A0-C27C6648C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'709'!$J$6:$J$19</c:f>
              <c:numCache>
                <c:formatCode>0.000</c:formatCode>
                <c:ptCount val="14"/>
                <c:pt idx="1">
                  <c:v>6.6666666666666624E-2</c:v>
                </c:pt>
                <c:pt idx="2">
                  <c:v>4.000000000000092E-3</c:v>
                </c:pt>
                <c:pt idx="3">
                  <c:v>1.3333333333333345E-2</c:v>
                </c:pt>
                <c:pt idx="4">
                  <c:v>4.2857142857143215E-3</c:v>
                </c:pt>
                <c:pt idx="5">
                  <c:v>1.8888888888888882E-2</c:v>
                </c:pt>
                <c:pt idx="6">
                  <c:v>1.2499999999999956E-2</c:v>
                </c:pt>
                <c:pt idx="7">
                  <c:v>1.0909090909090919E-2</c:v>
                </c:pt>
                <c:pt idx="8">
                  <c:v>1.2500000000000011E-2</c:v>
                </c:pt>
                <c:pt idx="9">
                  <c:v>1.2500000000000104E-3</c:v>
                </c:pt>
                <c:pt idx="10">
                  <c:v>1.1111111111111072E-2</c:v>
                </c:pt>
                <c:pt idx="11">
                  <c:v>1.2857142857142836E-2</c:v>
                </c:pt>
                <c:pt idx="12">
                  <c:v>2.6666666666666692E-3</c:v>
                </c:pt>
                <c:pt idx="13">
                  <c:v>1.000000000000003E-2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E-4115-8A16-F8401BC56984}"/>
            </c:ext>
          </c:extLst>
        </c:ser>
        <c:ser>
          <c:idx val="1"/>
          <c:order val="1"/>
          <c:tx>
            <c:strRef>
              <c:f>'709'!$K$5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'709'!$K$6:$K$19</c:f>
              <c:numCache>
                <c:formatCode>0.000</c:formatCode>
                <c:ptCount val="14"/>
                <c:pt idx="1">
                  <c:v>4.4444444444444481E-2</c:v>
                </c:pt>
                <c:pt idx="2">
                  <c:v>3.9999999999999151E-3</c:v>
                </c:pt>
                <c:pt idx="3">
                  <c:v>1.6666666666666312E-3</c:v>
                </c:pt>
                <c:pt idx="4">
                  <c:v>1.7142857142857158E-2</c:v>
                </c:pt>
                <c:pt idx="5">
                  <c:v>7.7777777777778096E-3</c:v>
                </c:pt>
                <c:pt idx="6">
                  <c:v>6.6666666666666723E-3</c:v>
                </c:pt>
                <c:pt idx="7">
                  <c:v>9.0909090909090592E-3</c:v>
                </c:pt>
                <c:pt idx="8">
                  <c:v>5.0000000000000044E-3</c:v>
                </c:pt>
                <c:pt idx="9">
                  <c:v>-3.3333333333333361E-3</c:v>
                </c:pt>
                <c:pt idx="10">
                  <c:v>7.7777777777778096E-3</c:v>
                </c:pt>
                <c:pt idx="11">
                  <c:v>8.5714285714285788E-3</c:v>
                </c:pt>
                <c:pt idx="12">
                  <c:v>3.3333333333333214E-3</c:v>
                </c:pt>
                <c:pt idx="13">
                  <c:v>1.2727272727272698E-2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E-4115-8A16-F8401BC56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500000000000001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  <c:majorUnit val="1.0000000000000002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LVDT position</a:t>
            </a:r>
            <a:r>
              <a:rPr lang="en-GB" b="1" baseline="0"/>
              <a:t>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'709'!$L$5</c:f>
              <c:strCache>
                <c:ptCount val="1"/>
                <c:pt idx="0">
                  <c:v>FL LVDT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'709'!$L$6:$L$19</c:f>
              <c:numCache>
                <c:formatCode>0.00</c:formatCode>
                <c:ptCount val="14"/>
                <c:pt idx="0" formatCode="General">
                  <c:v>-9.6769999999999996</c:v>
                </c:pt>
                <c:pt idx="1">
                  <c:v>-8.1110000000000007</c:v>
                </c:pt>
                <c:pt idx="2">
                  <c:v>-7.8259999999999996</c:v>
                </c:pt>
                <c:pt idx="3">
                  <c:v>-7.5570000000000004</c:v>
                </c:pt>
                <c:pt idx="4">
                  <c:v>-7.2140000000000004</c:v>
                </c:pt>
                <c:pt idx="5">
                  <c:v>-6.9930000000000003</c:v>
                </c:pt>
                <c:pt idx="6">
                  <c:v>-6.74</c:v>
                </c:pt>
                <c:pt idx="7">
                  <c:v>-6.1440000000000001</c:v>
                </c:pt>
                <c:pt idx="8">
                  <c:v>-5.7960000000000003</c:v>
                </c:pt>
                <c:pt idx="9">
                  <c:v>-5.3789999999999996</c:v>
                </c:pt>
                <c:pt idx="10">
                  <c:v>-5.1739999999999995</c:v>
                </c:pt>
                <c:pt idx="11">
                  <c:v>-4.8789999999999996</c:v>
                </c:pt>
                <c:pt idx="12">
                  <c:v>-4.62</c:v>
                </c:pt>
                <c:pt idx="13">
                  <c:v>-4.34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0-45AC-9305-5CF2C1A015AA}"/>
            </c:ext>
          </c:extLst>
        </c:ser>
        <c:ser>
          <c:idx val="1"/>
          <c:order val="1"/>
          <c:tx>
            <c:strRef>
              <c:f>'709'!$M$5</c:f>
              <c:strCache>
                <c:ptCount val="1"/>
                <c:pt idx="0">
                  <c:v>FR LVDT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'709'!$M$6:$M$19</c:f>
              <c:numCache>
                <c:formatCode>0.00</c:formatCode>
                <c:ptCount val="14"/>
                <c:pt idx="0" formatCode="General">
                  <c:v>-9.4909999999999997</c:v>
                </c:pt>
                <c:pt idx="1">
                  <c:v>-8.7889999999999997</c:v>
                </c:pt>
                <c:pt idx="2">
                  <c:v>-8.5519999999999996</c:v>
                </c:pt>
                <c:pt idx="3">
                  <c:v>-8.34</c:v>
                </c:pt>
                <c:pt idx="4">
                  <c:v>-8.1880000000000006</c:v>
                </c:pt>
                <c:pt idx="5">
                  <c:v>-7.95</c:v>
                </c:pt>
                <c:pt idx="6">
                  <c:v>-7.84</c:v>
                </c:pt>
                <c:pt idx="7">
                  <c:v>-7.3639999999999999</c:v>
                </c:pt>
                <c:pt idx="8">
                  <c:v>-7.1529999999999996</c:v>
                </c:pt>
                <c:pt idx="9">
                  <c:v>-6.4610000000000003</c:v>
                </c:pt>
                <c:pt idx="10">
                  <c:v>-6.3340000000000005</c:v>
                </c:pt>
                <c:pt idx="11">
                  <c:v>-6.165</c:v>
                </c:pt>
                <c:pt idx="12">
                  <c:v>-5.907</c:v>
                </c:pt>
                <c:pt idx="13">
                  <c:v>-5.7229999999999999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80-45AC-9305-5CF2C1A01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Disk Wear [mm]/LVDT [mm]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'709'!$R$5</c:f>
              <c:strCache>
                <c:ptCount val="1"/>
                <c:pt idx="0">
                  <c:v>Disk/LVDT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'709'!$R$7:$R$19</c:f>
              <c:numCache>
                <c:formatCode>0.000</c:formatCode>
                <c:ptCount val="13"/>
                <c:pt idx="0">
                  <c:v>-0.38314176245210729</c:v>
                </c:pt>
                <c:pt idx="1">
                  <c:v>-0.33495407887628315</c:v>
                </c:pt>
                <c:pt idx="2">
                  <c:v>-0.33018867924528322</c:v>
                </c:pt>
                <c:pt idx="3">
                  <c:v>-0.29638652050345132</c:v>
                </c:pt>
                <c:pt idx="4">
                  <c:v>-0.33532041728763062</c:v>
                </c:pt>
                <c:pt idx="5">
                  <c:v>-0.35750766087844743</c:v>
                </c:pt>
                <c:pt idx="6">
                  <c:v>-0.33116331729408438</c:v>
                </c:pt>
                <c:pt idx="7">
                  <c:v>-0.35300180365885092</c:v>
                </c:pt>
                <c:pt idx="8">
                  <c:v>-0.32573289902280139</c:v>
                </c:pt>
                <c:pt idx="9">
                  <c:v>-0.33311125916055961</c:v>
                </c:pt>
                <c:pt idx="10">
                  <c:v>-0.35014589412255098</c:v>
                </c:pt>
                <c:pt idx="11">
                  <c:v>-0.34012260233339925</c:v>
                </c:pt>
                <c:pt idx="12">
                  <c:v>-0.34288926363125355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2-4BD8-92C3-212D010BFD54}"/>
            </c:ext>
          </c:extLst>
        </c:ser>
        <c:ser>
          <c:idx val="1"/>
          <c:order val="1"/>
          <c:tx>
            <c:strRef>
              <c:f>'709'!$S$5</c:f>
              <c:strCache>
                <c:ptCount val="1"/>
                <c:pt idx="0">
                  <c:v>Disk/LVDT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'709'!$S$7:$S$19</c:f>
              <c:numCache>
                <c:formatCode>0.000</c:formatCode>
                <c:ptCount val="13"/>
                <c:pt idx="0">
                  <c:v>-0.56980056980057037</c:v>
                </c:pt>
                <c:pt idx="1">
                  <c:v>-0.44728434504792319</c:v>
                </c:pt>
                <c:pt idx="2">
                  <c:v>-0.37358818418766271</c:v>
                </c:pt>
                <c:pt idx="3">
                  <c:v>-0.4221028396009211</c:v>
                </c:pt>
                <c:pt idx="4">
                  <c:v>-0.40233614536015594</c:v>
                </c:pt>
                <c:pt idx="5">
                  <c:v>-0.42398546335554227</c:v>
                </c:pt>
                <c:pt idx="6">
                  <c:v>-0.37611659614480486</c:v>
                </c:pt>
                <c:pt idx="7">
                  <c:v>-0.37639007698887933</c:v>
                </c:pt>
                <c:pt idx="8">
                  <c:v>-0.264026402640264</c:v>
                </c:pt>
                <c:pt idx="9">
                  <c:v>-0.27557808045612936</c:v>
                </c:pt>
                <c:pt idx="10">
                  <c:v>-0.29765484064942882</c:v>
                </c:pt>
                <c:pt idx="11">
                  <c:v>-0.29017857142857145</c:v>
                </c:pt>
                <c:pt idx="12">
                  <c:v>-0.3131634819532908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82-4BD8-92C3-212D010B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96655"/>
        <c:axId val="1807400399"/>
      </c:scatterChart>
      <c:valAx>
        <c:axId val="18073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00399"/>
        <c:crosses val="autoZero"/>
        <c:crossBetween val="midCat"/>
      </c:valAx>
      <c:valAx>
        <c:axId val="18074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9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wear/lap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'709'!$T$5</c:f>
              <c:strCache>
                <c:ptCount val="1"/>
                <c:pt idx="0">
                  <c:v>Wear/Lap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'709'!$T$6:$T$19</c:f>
              <c:numCache>
                <c:formatCode>0.000</c:formatCode>
                <c:ptCount val="14"/>
                <c:pt idx="1">
                  <c:v>6.6666666666666624E-2</c:v>
                </c:pt>
                <c:pt idx="2">
                  <c:v>4.4285714285714296E-2</c:v>
                </c:pt>
                <c:pt idx="3">
                  <c:v>3.500000000000001E-2</c:v>
                </c:pt>
                <c:pt idx="4">
                  <c:v>2.7037037037037054E-2</c:v>
                </c:pt>
                <c:pt idx="5">
                  <c:v>2.5000000000000008E-2</c:v>
                </c:pt>
                <c:pt idx="6">
                  <c:v>2.1874999999999995E-2</c:v>
                </c:pt>
                <c:pt idx="7">
                  <c:v>1.9830508474576271E-2</c:v>
                </c:pt>
                <c:pt idx="8">
                  <c:v>1.8266666666666667E-2</c:v>
                </c:pt>
                <c:pt idx="9">
                  <c:v>1.4141414141414146E-2</c:v>
                </c:pt>
                <c:pt idx="10">
                  <c:v>1.3888888888888888E-2</c:v>
                </c:pt>
                <c:pt idx="11">
                  <c:v>1.3770491803278686E-2</c:v>
                </c:pt>
                <c:pt idx="12">
                  <c:v>1.2554744525547444E-2</c:v>
                </c:pt>
                <c:pt idx="13">
                  <c:v>1.2364864864864865E-2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E-4B54-A7A7-03C5FFF54E5D}"/>
            </c:ext>
          </c:extLst>
        </c:ser>
        <c:ser>
          <c:idx val="1"/>
          <c:order val="1"/>
          <c:tx>
            <c:strRef>
              <c:f>'709'!$U$5</c:f>
              <c:strCache>
                <c:ptCount val="1"/>
                <c:pt idx="0">
                  <c:v>Wear/Lap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'709'!$U$6:$U$19</c:f>
              <c:numCache>
                <c:formatCode>0.000</c:formatCode>
                <c:ptCount val="14"/>
                <c:pt idx="1">
                  <c:v>4.4444444444444481E-2</c:v>
                </c:pt>
                <c:pt idx="2">
                  <c:v>2.9999999999999995E-2</c:v>
                </c:pt>
                <c:pt idx="3">
                  <c:v>2.1499999999999984E-2</c:v>
                </c:pt>
                <c:pt idx="4">
                  <c:v>2.0370370370370365E-2</c:v>
                </c:pt>
                <c:pt idx="5">
                  <c:v>1.7222222222222226E-2</c:v>
                </c:pt>
                <c:pt idx="6">
                  <c:v>1.4583333333333337E-2</c:v>
                </c:pt>
                <c:pt idx="7">
                  <c:v>1.3559322033898301E-2</c:v>
                </c:pt>
                <c:pt idx="8">
                  <c:v>1.1733333333333332E-2</c:v>
                </c:pt>
                <c:pt idx="9">
                  <c:v>8.0808080808080791E-3</c:v>
                </c:pt>
                <c:pt idx="10">
                  <c:v>8.0555555555555571E-3</c:v>
                </c:pt>
                <c:pt idx="11">
                  <c:v>8.1147540983606582E-3</c:v>
                </c:pt>
                <c:pt idx="12">
                  <c:v>7.5912408759124094E-3</c:v>
                </c:pt>
                <c:pt idx="13">
                  <c:v>7.9729729729729713E-3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E-4B54-A7A7-03C5FFF54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'709_Set2'!$D$6:$D$16</c:f>
              <c:numCache>
                <c:formatCode>General</c:formatCode>
                <c:ptCount val="11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'709_Set2'!$F$6:$F$16</c:f>
              <c:numCache>
                <c:formatCode>0.00</c:formatCode>
                <c:ptCount val="11"/>
                <c:pt idx="0">
                  <c:v>6</c:v>
                </c:pt>
                <c:pt idx="1">
                  <c:v>5.79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6-4074-AC64-8E40ADC3B053}"/>
            </c:ext>
          </c:extLst>
        </c:ser>
        <c:ser>
          <c:idx val="1"/>
          <c:order val="1"/>
          <c:tx>
            <c:strRef>
              <c:f>'709_Set2'!$G$5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'709_Set2'!$D$6:$D$16</c:f>
              <c:numCache>
                <c:formatCode>General</c:formatCode>
                <c:ptCount val="11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'709_Set2'!$G$6:$G$16</c:f>
              <c:numCache>
                <c:formatCode>0.00</c:formatCode>
                <c:ptCount val="11"/>
                <c:pt idx="0">
                  <c:v>6</c:v>
                </c:pt>
                <c:pt idx="1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6-4074-AC64-8E40ADC3B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'709_Set2'!$D$6:$D$15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'709_Set2'!$H$6:$H$15</c:f>
              <c:numCache>
                <c:formatCode>0.00</c:formatCode>
                <c:ptCount val="10"/>
                <c:pt idx="1">
                  <c:v>0.20999999999999996</c:v>
                </c:pt>
                <c:pt idx="2">
                  <c:v>5.79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0-44C7-A0D2-3F00EF7009C1}"/>
            </c:ext>
          </c:extLst>
        </c:ser>
        <c:ser>
          <c:idx val="1"/>
          <c:order val="1"/>
          <c:tx>
            <c:strRef>
              <c:f>'709_Set2'!$I$5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'709_Set2'!$D$6:$D$15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'709_Set2'!$I$6:$I$15</c:f>
              <c:numCache>
                <c:formatCode>0.00</c:formatCode>
                <c:ptCount val="10"/>
                <c:pt idx="1">
                  <c:v>0.20000000000000018</c:v>
                </c:pt>
                <c:pt idx="2">
                  <c:v>5.8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10-44C7-A0D2-3F00EF700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'709_Set2'!$J$6:$J$19</c:f>
              <c:numCache>
                <c:formatCode>0.000</c:formatCode>
                <c:ptCount val="14"/>
                <c:pt idx="1">
                  <c:v>1.9090909090909089E-2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3-4281-9896-724BB6012033}"/>
            </c:ext>
          </c:extLst>
        </c:ser>
        <c:ser>
          <c:idx val="1"/>
          <c:order val="1"/>
          <c:tx>
            <c:strRef>
              <c:f>'709_Set2'!$K$5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'709_Set2'!$K$6:$K$19</c:f>
              <c:numCache>
                <c:formatCode>0.000</c:formatCode>
                <c:ptCount val="14"/>
                <c:pt idx="1">
                  <c:v>1.8181818181818198E-2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D3-4281-9896-724BB6012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500000000000001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  <c:majorUnit val="1.0000000000000002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LVDT position</a:t>
            </a:r>
            <a:r>
              <a:rPr lang="en-GB" b="1" baseline="0"/>
              <a:t>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'709_Set2'!$L$5</c:f>
              <c:strCache>
                <c:ptCount val="1"/>
                <c:pt idx="0">
                  <c:v>FL LVDT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'709_Set2'!$D$6:$D$19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'709_Set2'!$L$6:$L$19</c:f>
              <c:numCache>
                <c:formatCode>0.00</c:formatCode>
                <c:ptCount val="14"/>
                <c:pt idx="0" formatCode="General">
                  <c:v>-9.6769999999999996</c:v>
                </c:pt>
                <c:pt idx="1">
                  <c:v>-8.1110000000000007</c:v>
                </c:pt>
                <c:pt idx="2">
                  <c:v>-7.8259999999999996</c:v>
                </c:pt>
                <c:pt idx="3">
                  <c:v>-7.5570000000000004</c:v>
                </c:pt>
                <c:pt idx="4">
                  <c:v>-7.2140000000000004</c:v>
                </c:pt>
                <c:pt idx="5">
                  <c:v>-6.9930000000000003</c:v>
                </c:pt>
                <c:pt idx="6">
                  <c:v>-6.74</c:v>
                </c:pt>
                <c:pt idx="7">
                  <c:v>-6.1440000000000001</c:v>
                </c:pt>
                <c:pt idx="8">
                  <c:v>-5.7960000000000003</c:v>
                </c:pt>
                <c:pt idx="9">
                  <c:v>-5.3789999999999996</c:v>
                </c:pt>
                <c:pt idx="10">
                  <c:v>-5.1739999999999995</c:v>
                </c:pt>
                <c:pt idx="11">
                  <c:v>-4.8789999999999996</c:v>
                </c:pt>
                <c:pt idx="12">
                  <c:v>-4.62</c:v>
                </c:pt>
                <c:pt idx="13">
                  <c:v>-4.34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2-4F8D-8CEA-533AC3721B6A}"/>
            </c:ext>
          </c:extLst>
        </c:ser>
        <c:ser>
          <c:idx val="1"/>
          <c:order val="1"/>
          <c:tx>
            <c:strRef>
              <c:f>'709_Set2'!$M$5</c:f>
              <c:strCache>
                <c:ptCount val="1"/>
                <c:pt idx="0">
                  <c:v>FR LVDT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'709_Set2'!$D$6:$D$19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'709_Set2'!$M$6:$M$19</c:f>
              <c:numCache>
                <c:formatCode>0.00</c:formatCode>
                <c:ptCount val="14"/>
                <c:pt idx="0" formatCode="General">
                  <c:v>-9.4909999999999997</c:v>
                </c:pt>
                <c:pt idx="1">
                  <c:v>-8.7889999999999997</c:v>
                </c:pt>
                <c:pt idx="2">
                  <c:v>-8.5519999999999996</c:v>
                </c:pt>
                <c:pt idx="3">
                  <c:v>-8.34</c:v>
                </c:pt>
                <c:pt idx="4">
                  <c:v>-8.1880000000000006</c:v>
                </c:pt>
                <c:pt idx="5">
                  <c:v>-7.95</c:v>
                </c:pt>
                <c:pt idx="6">
                  <c:v>-7.84</c:v>
                </c:pt>
                <c:pt idx="7">
                  <c:v>-7.3639999999999999</c:v>
                </c:pt>
                <c:pt idx="8">
                  <c:v>-7.1529999999999996</c:v>
                </c:pt>
                <c:pt idx="9">
                  <c:v>-6.4610000000000003</c:v>
                </c:pt>
                <c:pt idx="10">
                  <c:v>-6.3340000000000005</c:v>
                </c:pt>
                <c:pt idx="11">
                  <c:v>-6.165</c:v>
                </c:pt>
                <c:pt idx="12">
                  <c:v>-5.907</c:v>
                </c:pt>
                <c:pt idx="13">
                  <c:v>-5.7229999999999999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32-4F8D-8CEA-533AC3721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Disk Wear [mm]/LVDT [mm]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'709_Set2'!$R$5</c:f>
              <c:strCache>
                <c:ptCount val="1"/>
                <c:pt idx="0">
                  <c:v>Disk/LVDT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'709_Set2'!$R$7:$R$19</c:f>
              <c:numCache>
                <c:formatCode>0.000</c:formatCode>
                <c:ptCount val="13"/>
                <c:pt idx="0">
                  <c:v>-0.13409961685823762</c:v>
                </c:pt>
                <c:pt idx="1">
                  <c:v>-3.2414910858995136</c:v>
                </c:pt>
                <c:pt idx="2">
                  <c:v>-2.8301886792452842</c:v>
                </c:pt>
                <c:pt idx="3">
                  <c:v>-2.4360535931790506</c:v>
                </c:pt>
                <c:pt idx="4">
                  <c:v>-2.2354694485842033</c:v>
                </c:pt>
                <c:pt idx="5">
                  <c:v>-2.042900919305414</c:v>
                </c:pt>
                <c:pt idx="6">
                  <c:v>-1.6982734220209457</c:v>
                </c:pt>
                <c:pt idx="7">
                  <c:v>-1.5459933006956972</c:v>
                </c:pt>
                <c:pt idx="8">
                  <c:v>-1.3959981386691485</c:v>
                </c:pt>
                <c:pt idx="9">
                  <c:v>-1.3324450366422385</c:v>
                </c:pt>
                <c:pt idx="10">
                  <c:v>-1.2505210504376822</c:v>
                </c:pt>
                <c:pt idx="11">
                  <c:v>-1.1864741941862766</c:v>
                </c:pt>
                <c:pt idx="12">
                  <c:v>-1.1242270938729624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2-4BDC-9E96-64B8C5B885FB}"/>
            </c:ext>
          </c:extLst>
        </c:ser>
        <c:ser>
          <c:idx val="1"/>
          <c:order val="1"/>
          <c:tx>
            <c:strRef>
              <c:f>'709_Set2'!$S$5</c:f>
              <c:strCache>
                <c:ptCount val="1"/>
                <c:pt idx="0">
                  <c:v>Disk/LVDT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'709_Set2'!$S$7:$S$19</c:f>
              <c:numCache>
                <c:formatCode>0.000</c:formatCode>
                <c:ptCount val="13"/>
                <c:pt idx="0">
                  <c:v>-0.28490028490028518</c:v>
                </c:pt>
                <c:pt idx="1">
                  <c:v>-6.3897763578274756</c:v>
                </c:pt>
                <c:pt idx="2">
                  <c:v>-5.2128583840139022</c:v>
                </c:pt>
                <c:pt idx="3">
                  <c:v>-4.6047582501918685</c:v>
                </c:pt>
                <c:pt idx="4">
                  <c:v>-3.8935756002595729</c:v>
                </c:pt>
                <c:pt idx="5">
                  <c:v>-3.6341611144760755</c:v>
                </c:pt>
                <c:pt idx="6">
                  <c:v>-2.8208744710860372</c:v>
                </c:pt>
                <c:pt idx="7">
                  <c:v>-2.5662959794696323</c:v>
                </c:pt>
                <c:pt idx="8">
                  <c:v>-1.9801980198019806</c:v>
                </c:pt>
                <c:pt idx="9">
                  <c:v>-1.9005384859043402</c:v>
                </c:pt>
                <c:pt idx="10">
                  <c:v>-1.8039687312086592</c:v>
                </c:pt>
                <c:pt idx="11">
                  <c:v>-1.674107142857143</c:v>
                </c:pt>
                <c:pt idx="12">
                  <c:v>-1.5923566878980893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02-4BDC-9E96-64B8C5B8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96655"/>
        <c:axId val="1807400399"/>
      </c:scatterChart>
      <c:valAx>
        <c:axId val="18073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00399"/>
        <c:crosses val="autoZero"/>
        <c:crossBetween val="midCat"/>
      </c:valAx>
      <c:valAx>
        <c:axId val="18074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9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wear/lap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'709_Set2'!$T$5</c:f>
              <c:strCache>
                <c:ptCount val="1"/>
                <c:pt idx="0">
                  <c:v>Wear/Lap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'709_Set2'!$D$6:$D$19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'709_Set2'!$T$6:$T$19</c:f>
              <c:numCache>
                <c:formatCode>0.000</c:formatCode>
                <c:ptCount val="14"/>
                <c:pt idx="1">
                  <c:v>1.9090909090909089E-2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CC-476C-96D2-E86E65A4655D}"/>
            </c:ext>
          </c:extLst>
        </c:ser>
        <c:ser>
          <c:idx val="1"/>
          <c:order val="1"/>
          <c:tx>
            <c:strRef>
              <c:f>'709_Set2'!$U$5</c:f>
              <c:strCache>
                <c:ptCount val="1"/>
                <c:pt idx="0">
                  <c:v>Wear/Lap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'709_Set2'!$D$6:$D$19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'709_Set2'!$U$6:$U$19</c:f>
              <c:numCache>
                <c:formatCode>0.000</c:formatCode>
                <c:ptCount val="14"/>
                <c:pt idx="1">
                  <c:v>1.8181818181818198E-2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CC-476C-96D2-E86E65A46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594286</xdr:colOff>
      <xdr:row>2</xdr:row>
      <xdr:rowOff>171729</xdr:rowOff>
    </xdr:from>
    <xdr:to>
      <xdr:col>27</xdr:col>
      <xdr:colOff>289486</xdr:colOff>
      <xdr:row>17</xdr:row>
      <xdr:rowOff>57429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C4DD7-2D75-42DB-B4E7-57ADB1D95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344395</xdr:colOff>
      <xdr:row>2</xdr:row>
      <xdr:rowOff>171729</xdr:rowOff>
    </xdr:from>
    <xdr:to>
      <xdr:col>35</xdr:col>
      <xdr:colOff>39595</xdr:colOff>
      <xdr:row>17</xdr:row>
      <xdr:rowOff>57429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6AC4DF-9152-4A9A-B285-B7C595CE4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599515</xdr:colOff>
      <xdr:row>17</xdr:row>
      <xdr:rowOff>152865</xdr:rowOff>
    </xdr:from>
    <xdr:to>
      <xdr:col>35</xdr:col>
      <xdr:colOff>44076</xdr:colOff>
      <xdr:row>29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D5FFC-EE8A-4E2B-BDFF-85DBE7F77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592044</xdr:colOff>
      <xdr:row>30</xdr:row>
      <xdr:rowOff>76200</xdr:rowOff>
    </xdr:from>
    <xdr:to>
      <xdr:col>35</xdr:col>
      <xdr:colOff>44076</xdr:colOff>
      <xdr:row>42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1B5F9C-718C-48CE-B8A8-8A5B43459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604744</xdr:colOff>
      <xdr:row>42</xdr:row>
      <xdr:rowOff>165100</xdr:rowOff>
    </xdr:from>
    <xdr:to>
      <xdr:col>35</xdr:col>
      <xdr:colOff>56776</xdr:colOff>
      <xdr:row>54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06398D-739A-4DAA-9047-C135B91F1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467286</xdr:colOff>
      <xdr:row>4</xdr:row>
      <xdr:rowOff>57429</xdr:rowOff>
    </xdr:from>
    <xdr:to>
      <xdr:col>27</xdr:col>
      <xdr:colOff>162486</xdr:colOff>
      <xdr:row>18</xdr:row>
      <xdr:rowOff>133629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7D6414-85E0-4254-92F1-B122553A1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217395</xdr:colOff>
      <xdr:row>4</xdr:row>
      <xdr:rowOff>57429</xdr:rowOff>
    </xdr:from>
    <xdr:to>
      <xdr:col>34</xdr:col>
      <xdr:colOff>522195</xdr:colOff>
      <xdr:row>18</xdr:row>
      <xdr:rowOff>133629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9ECC7C-52F6-4526-9D27-5DAAFB123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472515</xdr:colOff>
      <xdr:row>19</xdr:row>
      <xdr:rowOff>38565</xdr:rowOff>
    </xdr:from>
    <xdr:to>
      <xdr:col>34</xdr:col>
      <xdr:colOff>526676</xdr:colOff>
      <xdr:row>31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EF338F-E48D-4A95-B5AF-2EC44DAE2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477744</xdr:colOff>
      <xdr:row>31</xdr:row>
      <xdr:rowOff>127000</xdr:rowOff>
    </xdr:from>
    <xdr:to>
      <xdr:col>34</xdr:col>
      <xdr:colOff>539376</xdr:colOff>
      <xdr:row>43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22D3C7-880E-4A28-9CD7-F2F5A88DF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490444</xdr:colOff>
      <xdr:row>44</xdr:row>
      <xdr:rowOff>0</xdr:rowOff>
    </xdr:from>
    <xdr:to>
      <xdr:col>34</xdr:col>
      <xdr:colOff>552076</xdr:colOff>
      <xdr:row>56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C3F899-2D94-4877-91FF-5BFEDE51F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4</xdr:row>
      <xdr:rowOff>23812</xdr:rowOff>
    </xdr:from>
    <xdr:to>
      <xdr:col>21</xdr:col>
      <xdr:colOff>95250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86AE2-15B9-4CB7-9D8D-DE9568DC0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228600</xdr:colOff>
      <xdr:row>4</xdr:row>
      <xdr:rowOff>23812</xdr:rowOff>
    </xdr:from>
    <xdr:to>
      <xdr:col>28</xdr:col>
      <xdr:colOff>533400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3DC83-DF2C-4798-A0ED-979905176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450104</xdr:colOff>
      <xdr:row>25</xdr:row>
      <xdr:rowOff>83389</xdr:rowOff>
    </xdr:from>
    <xdr:to>
      <xdr:col>19</xdr:col>
      <xdr:colOff>419475</xdr:colOff>
      <xdr:row>39</xdr:row>
      <xdr:rowOff>163325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31190B-CC81-4BA8-9CA7-D681DD1F2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44822</xdr:colOff>
      <xdr:row>20</xdr:row>
      <xdr:rowOff>100011</xdr:rowOff>
    </xdr:from>
    <xdr:to>
      <xdr:col>30</xdr:col>
      <xdr:colOff>145675</xdr:colOff>
      <xdr:row>43</xdr:row>
      <xdr:rowOff>47064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538F35-42FE-4BE6-ADEC-2EAEEDC30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16809</xdr:colOff>
      <xdr:row>25</xdr:row>
      <xdr:rowOff>79563</xdr:rowOff>
    </xdr:from>
    <xdr:to>
      <xdr:col>6</xdr:col>
      <xdr:colOff>381000</xdr:colOff>
      <xdr:row>45</xdr:row>
      <xdr:rowOff>56031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056EAA-A267-4EFD-A5FD-A37EC9EB7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4</xdr:row>
      <xdr:rowOff>23812</xdr:rowOff>
    </xdr:from>
    <xdr:to>
      <xdr:col>21</xdr:col>
      <xdr:colOff>95250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08145-3347-476B-8220-5B7B00D9A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228600</xdr:colOff>
      <xdr:row>4</xdr:row>
      <xdr:rowOff>23812</xdr:rowOff>
    </xdr:from>
    <xdr:to>
      <xdr:col>28</xdr:col>
      <xdr:colOff>533400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BCA89-C3F0-4CED-B623-56FA869AC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450104</xdr:colOff>
      <xdr:row>25</xdr:row>
      <xdr:rowOff>83389</xdr:rowOff>
    </xdr:from>
    <xdr:to>
      <xdr:col>19</xdr:col>
      <xdr:colOff>419475</xdr:colOff>
      <xdr:row>39</xdr:row>
      <xdr:rowOff>163325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3F72F8-2D34-4359-83D2-ED460FBA5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44822</xdr:colOff>
      <xdr:row>20</xdr:row>
      <xdr:rowOff>100011</xdr:rowOff>
    </xdr:from>
    <xdr:to>
      <xdr:col>30</xdr:col>
      <xdr:colOff>145675</xdr:colOff>
      <xdr:row>43</xdr:row>
      <xdr:rowOff>47064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18CAF3-B2BA-4068-BA2A-B5A357C93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16809</xdr:colOff>
      <xdr:row>25</xdr:row>
      <xdr:rowOff>79563</xdr:rowOff>
    </xdr:from>
    <xdr:to>
      <xdr:col>6</xdr:col>
      <xdr:colOff>381000</xdr:colOff>
      <xdr:row>45</xdr:row>
      <xdr:rowOff>56031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CA1173-0AC9-4F38-B407-8D01DA59F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673894</xdr:colOff>
      <xdr:row>31</xdr:row>
      <xdr:rowOff>83342</xdr:rowOff>
    </xdr:from>
    <xdr:to>
      <xdr:col>6</xdr:col>
      <xdr:colOff>130968</xdr:colOff>
      <xdr:row>45</xdr:row>
      <xdr:rowOff>159542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634EF-FD3E-48DD-93CD-DD1A888CC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264319</xdr:colOff>
      <xdr:row>31</xdr:row>
      <xdr:rowOff>83342</xdr:rowOff>
    </xdr:from>
    <xdr:to>
      <xdr:col>13</xdr:col>
      <xdr:colOff>569117</xdr:colOff>
      <xdr:row>45</xdr:row>
      <xdr:rowOff>159542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FFCF8-8E91-47EC-8AAF-E67424481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884237</xdr:colOff>
      <xdr:row>31</xdr:row>
      <xdr:rowOff>103185</xdr:rowOff>
    </xdr:from>
    <xdr:to>
      <xdr:col>25</xdr:col>
      <xdr:colOff>225424</xdr:colOff>
      <xdr:row>45</xdr:row>
      <xdr:rowOff>179385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50E164-256E-40CB-A017-EE98E4BB7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321468</xdr:colOff>
      <xdr:row>46</xdr:row>
      <xdr:rowOff>119061</xdr:rowOff>
    </xdr:from>
    <xdr:to>
      <xdr:col>13</xdr:col>
      <xdr:colOff>511968</xdr:colOff>
      <xdr:row>61</xdr:row>
      <xdr:rowOff>4761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75B19E-6F9C-4EAD-892E-1375D211E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586183</xdr:colOff>
      <xdr:row>46</xdr:row>
      <xdr:rowOff>42862</xdr:rowOff>
    </xdr:from>
    <xdr:to>
      <xdr:col>6</xdr:col>
      <xdr:colOff>83343</xdr:colOff>
      <xdr:row>60</xdr:row>
      <xdr:rowOff>102394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8D5404-ABF1-4F41-BE25-BF529AD03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857248</xdr:colOff>
      <xdr:row>46</xdr:row>
      <xdr:rowOff>119062</xdr:rowOff>
    </xdr:from>
    <xdr:to>
      <xdr:col>20</xdr:col>
      <xdr:colOff>238125</xdr:colOff>
      <xdr:row>64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2B4241-2D34-4E40-B5E0-AF240CDE3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673894</xdr:colOff>
      <xdr:row>31</xdr:row>
      <xdr:rowOff>83342</xdr:rowOff>
    </xdr:from>
    <xdr:to>
      <xdr:col>6</xdr:col>
      <xdr:colOff>130968</xdr:colOff>
      <xdr:row>45</xdr:row>
      <xdr:rowOff>159542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E3414-03BA-4F2E-BC50-337D436FD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264319</xdr:colOff>
      <xdr:row>31</xdr:row>
      <xdr:rowOff>83342</xdr:rowOff>
    </xdr:from>
    <xdr:to>
      <xdr:col>13</xdr:col>
      <xdr:colOff>569117</xdr:colOff>
      <xdr:row>45</xdr:row>
      <xdr:rowOff>159542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F438C-CD07-4170-8B12-065B1460E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884237</xdr:colOff>
      <xdr:row>31</xdr:row>
      <xdr:rowOff>103185</xdr:rowOff>
    </xdr:from>
    <xdr:to>
      <xdr:col>25</xdr:col>
      <xdr:colOff>225424</xdr:colOff>
      <xdr:row>45</xdr:row>
      <xdr:rowOff>179385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E0EBDA-E06E-4A7E-A9B9-26E430C73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321468</xdr:colOff>
      <xdr:row>46</xdr:row>
      <xdr:rowOff>119061</xdr:rowOff>
    </xdr:from>
    <xdr:to>
      <xdr:col>13</xdr:col>
      <xdr:colOff>511968</xdr:colOff>
      <xdr:row>61</xdr:row>
      <xdr:rowOff>4761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F9EDD6-C3ED-42F7-9C39-428A59433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586183</xdr:colOff>
      <xdr:row>46</xdr:row>
      <xdr:rowOff>42862</xdr:rowOff>
    </xdr:from>
    <xdr:to>
      <xdr:col>6</xdr:col>
      <xdr:colOff>83343</xdr:colOff>
      <xdr:row>60</xdr:row>
      <xdr:rowOff>102394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EB64E4-540E-4C52-8A21-ADED1A284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857248</xdr:colOff>
      <xdr:row>46</xdr:row>
      <xdr:rowOff>119062</xdr:rowOff>
    </xdr:from>
    <xdr:to>
      <xdr:col>20</xdr:col>
      <xdr:colOff>238125</xdr:colOff>
      <xdr:row>64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761882-698B-47DE-9B53-2DA37633E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0424-8111-4CA1-9B0C-17FC299FD0E3}">
  <dimension ref="A2:S54"/>
  <sheetViews>
    <sheetView showGridLines="0" tabSelected="1" topLeftCell="A7" zoomScaleNormal="100" workbookViewId="0">
      <selection activeCell="D36" sqref="D36"/>
    </sheetView>
  </sheetViews>
  <sheetFormatPr defaultRowHeight="15" x14ac:dyDescent="0.25"/>
  <cols>
    <col min="1" max="1" width="3.7109375" style="2" customWidth="1"/>
    <col min="2" max="2" width="20.5703125" style="2" customWidth="1"/>
    <col min="3" max="4" width="18.28515625" style="2" customWidth="1"/>
    <col min="5" max="5" width="10.42578125" style="2" customWidth="1"/>
    <col min="6" max="16384" width="9.140625" style="2"/>
  </cols>
  <sheetData>
    <row r="2" spans="1:19" x14ac:dyDescent="0.25">
      <c r="B2" s="1" t="s">
        <v>7</v>
      </c>
    </row>
    <row r="3" spans="1:19" x14ac:dyDescent="0.25">
      <c r="B3" s="1" t="s">
        <v>8</v>
      </c>
      <c r="C3" s="39" t="s">
        <v>160</v>
      </c>
      <c r="D3" s="40">
        <v>0.36499999999999999</v>
      </c>
      <c r="J3" s="9">
        <f>AVERAGE(J11:J15)</f>
        <v>-6.9089285714285823E-3</v>
      </c>
      <c r="K3" s="9">
        <f>AVERAGE(K11:K15)</f>
        <v>2.0127142857142864E-2</v>
      </c>
    </row>
    <row r="4" spans="1:19" x14ac:dyDescent="0.25">
      <c r="L4" s="3" t="s">
        <v>157</v>
      </c>
      <c r="M4" s="3"/>
      <c r="N4" s="3" t="s">
        <v>158</v>
      </c>
      <c r="O4" s="3"/>
      <c r="P4" s="3" t="s">
        <v>161</v>
      </c>
      <c r="Q4" s="3"/>
      <c r="R4" s="3" t="s">
        <v>162</v>
      </c>
      <c r="S4" s="3"/>
    </row>
    <row r="5" spans="1:19" x14ac:dyDescent="0.25">
      <c r="B5" s="3" t="s">
        <v>3</v>
      </c>
      <c r="C5" s="3" t="s">
        <v>114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3" t="s">
        <v>0</v>
      </c>
      <c r="M5" s="3" t="s">
        <v>1</v>
      </c>
      <c r="N5" s="3" t="s">
        <v>0</v>
      </c>
      <c r="O5" s="3" t="s">
        <v>1</v>
      </c>
      <c r="P5" s="3" t="s">
        <v>0</v>
      </c>
      <c r="Q5" s="3" t="s">
        <v>1</v>
      </c>
      <c r="R5" s="3"/>
      <c r="S5" s="3"/>
    </row>
    <row r="6" spans="1:19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25">
      <c r="A7" s="1"/>
      <c r="B7" s="5" t="s">
        <v>156</v>
      </c>
      <c r="C7" s="4">
        <v>1</v>
      </c>
      <c r="D7" s="4">
        <f>D6+E7</f>
        <v>0</v>
      </c>
      <c r="E7" s="4">
        <v>0</v>
      </c>
      <c r="F7" s="6">
        <v>6</v>
      </c>
      <c r="G7" s="6">
        <v>6</v>
      </c>
      <c r="H7" s="6">
        <f>F6-F7</f>
        <v>0</v>
      </c>
      <c r="I7" s="6">
        <f>G6-G7</f>
        <v>0</v>
      </c>
      <c r="J7" s="8" t="e">
        <f>H7/E7</f>
        <v>#DIV/0!</v>
      </c>
      <c r="K7" s="8" t="e">
        <f>I7/E7</f>
        <v>#DIV/0!</v>
      </c>
      <c r="L7" s="37" t="e">
        <f>-(F7-F$6)/$D7</f>
        <v>#DIV/0!</v>
      </c>
      <c r="M7" s="37" t="e">
        <f>-(G7-G$6)/$D7</f>
        <v>#DIV/0!</v>
      </c>
      <c r="N7" s="37"/>
      <c r="O7" s="37"/>
      <c r="P7" s="37"/>
      <c r="Q7" s="37"/>
      <c r="R7" s="37"/>
      <c r="S7" s="37"/>
    </row>
    <row r="8" spans="1:19" x14ac:dyDescent="0.25">
      <c r="B8" s="5" t="s">
        <v>159</v>
      </c>
      <c r="C8" s="4">
        <v>2</v>
      </c>
      <c r="D8" s="4">
        <f t="shared" ref="D8:D25" si="0">D7+E8</f>
        <v>0</v>
      </c>
      <c r="E8" s="4">
        <v>0</v>
      </c>
      <c r="F8" s="44">
        <v>5.6</v>
      </c>
      <c r="G8" s="44">
        <v>5.6</v>
      </c>
      <c r="H8" s="6">
        <f t="shared" ref="H8:I25" si="1">F7-F8</f>
        <v>0.40000000000000036</v>
      </c>
      <c r="I8" s="6">
        <f t="shared" si="1"/>
        <v>0.40000000000000036</v>
      </c>
      <c r="J8" s="8" t="e">
        <f t="shared" ref="J8:J25" si="2">H8/E8</f>
        <v>#DIV/0!</v>
      </c>
      <c r="K8" s="8" t="e">
        <f t="shared" ref="K8:K25" si="3">I8/E8</f>
        <v>#DIV/0!</v>
      </c>
      <c r="L8" s="37" t="e">
        <f t="shared" ref="L8:M23" si="4">-(F8-F$6)/$D8</f>
        <v>#DIV/0!</v>
      </c>
      <c r="M8" s="37" t="e">
        <f t="shared" si="4"/>
        <v>#DIV/0!</v>
      </c>
      <c r="N8" s="43">
        <v>0.55000000000000004</v>
      </c>
      <c r="O8" s="43">
        <v>0.1</v>
      </c>
      <c r="P8" s="37"/>
      <c r="Q8" s="37"/>
      <c r="R8" s="37"/>
      <c r="S8" s="37"/>
    </row>
    <row r="9" spans="1:19" x14ac:dyDescent="0.25">
      <c r="B9" s="5">
        <v>2.0833333333333332E-2</v>
      </c>
      <c r="C9" s="4">
        <v>3</v>
      </c>
      <c r="D9" s="4">
        <v>6</v>
      </c>
      <c r="E9" s="38">
        <f>D9-D8</f>
        <v>6</v>
      </c>
      <c r="F9" s="29">
        <f>$F$8-(N9-$N$8)*$D$3</f>
        <v>5.5452499999999993</v>
      </c>
      <c r="G9" s="29">
        <f>$G$8-(O9-$O$8)*$D$3</f>
        <v>5.6</v>
      </c>
      <c r="H9" s="6">
        <f t="shared" si="1"/>
        <v>5.4750000000000298E-2</v>
      </c>
      <c r="I9" s="6">
        <f t="shared" si="1"/>
        <v>0</v>
      </c>
      <c r="J9" s="8">
        <f t="shared" si="2"/>
        <v>9.1250000000000497E-3</v>
      </c>
      <c r="K9" s="46">
        <f t="shared" si="3"/>
        <v>0</v>
      </c>
      <c r="L9" s="37">
        <f t="shared" si="4"/>
        <v>7.5791666666666771E-2</v>
      </c>
      <c r="M9" s="45">
        <f t="shared" si="4"/>
        <v>6.6666666666666721E-2</v>
      </c>
      <c r="N9" s="37">
        <v>0.7</v>
      </c>
      <c r="O9" s="37">
        <v>0.1</v>
      </c>
      <c r="P9" s="41">
        <f>6/L9</f>
        <v>79.16437603078603</v>
      </c>
      <c r="Q9" s="41">
        <f>6/M9</f>
        <v>89.999999999999929</v>
      </c>
      <c r="R9" s="41"/>
      <c r="S9" s="41"/>
    </row>
    <row r="10" spans="1:19" x14ac:dyDescent="0.25">
      <c r="B10" s="5">
        <v>4.1666666666666664E-2</v>
      </c>
      <c r="C10" s="4">
        <v>4</v>
      </c>
      <c r="D10" s="4">
        <v>13</v>
      </c>
      <c r="E10" s="38">
        <f t="shared" ref="E10:E37" si="5">D10-D9</f>
        <v>7</v>
      </c>
      <c r="F10" s="29">
        <f t="shared" ref="F10:F21" si="6">$F$8-(N10-$N$8)*$D$3</f>
        <v>5.2167499999999993</v>
      </c>
      <c r="G10" s="29">
        <f t="shared" ref="G10:G14" si="7">$G$8-(O10-$O$8)*$D$3</f>
        <v>5.3262499999999999</v>
      </c>
      <c r="H10" s="6">
        <f t="shared" si="1"/>
        <v>0.32850000000000001</v>
      </c>
      <c r="I10" s="6">
        <f t="shared" si="1"/>
        <v>0.27374999999999972</v>
      </c>
      <c r="J10" s="8">
        <f t="shared" si="2"/>
        <v>4.6928571428571431E-2</v>
      </c>
      <c r="K10" s="46">
        <f t="shared" si="3"/>
        <v>3.910714285714282E-2</v>
      </c>
      <c r="L10" s="37">
        <f t="shared" si="4"/>
        <v>6.0250000000000054E-2</v>
      </c>
      <c r="M10" s="45">
        <f t="shared" si="4"/>
        <v>5.1826923076923083E-2</v>
      </c>
      <c r="N10" s="37">
        <v>1.6</v>
      </c>
      <c r="O10" s="37">
        <v>0.85</v>
      </c>
      <c r="P10" s="41">
        <f t="shared" ref="P10:Q17" si="8">6/L10</f>
        <v>99.585062240663817</v>
      </c>
      <c r="Q10" s="41">
        <f t="shared" si="8"/>
        <v>115.76994434137291</v>
      </c>
      <c r="R10" s="41"/>
      <c r="S10" s="41"/>
    </row>
    <row r="11" spans="1:19" x14ac:dyDescent="0.25">
      <c r="B11" s="5">
        <v>5.2083333333333336E-2</v>
      </c>
      <c r="C11" s="4">
        <v>5</v>
      </c>
      <c r="D11" s="4">
        <v>17</v>
      </c>
      <c r="E11" s="38">
        <f t="shared" si="5"/>
        <v>4</v>
      </c>
      <c r="F11" s="29">
        <f t="shared" si="6"/>
        <v>5.1072499999999996</v>
      </c>
      <c r="G11" s="29">
        <f t="shared" si="7"/>
        <v>5.1072499999999996</v>
      </c>
      <c r="H11" s="6">
        <f t="shared" si="1"/>
        <v>0.10949999999999971</v>
      </c>
      <c r="I11" s="6">
        <f t="shared" si="1"/>
        <v>0.21900000000000031</v>
      </c>
      <c r="J11" s="8">
        <f t="shared" si="2"/>
        <v>2.7374999999999927E-2</v>
      </c>
      <c r="K11" s="46">
        <f t="shared" si="3"/>
        <v>5.4750000000000076E-2</v>
      </c>
      <c r="L11" s="37">
        <f t="shared" si="4"/>
        <v>5.2514705882352963E-2</v>
      </c>
      <c r="M11" s="45">
        <f t="shared" si="4"/>
        <v>5.2514705882352963E-2</v>
      </c>
      <c r="N11" s="37">
        <v>1.9</v>
      </c>
      <c r="O11" s="37">
        <v>1.45</v>
      </c>
      <c r="P11" s="41">
        <f t="shared" si="8"/>
        <v>114.25371044525338</v>
      </c>
      <c r="Q11" s="41">
        <f t="shared" si="8"/>
        <v>114.25371044525338</v>
      </c>
      <c r="R11" s="41"/>
      <c r="S11" s="41"/>
    </row>
    <row r="12" spans="1:19" x14ac:dyDescent="0.25">
      <c r="B12" s="5"/>
      <c r="C12" s="4">
        <v>6</v>
      </c>
      <c r="D12" s="4">
        <v>45</v>
      </c>
      <c r="E12" s="38">
        <f t="shared" si="5"/>
        <v>28</v>
      </c>
      <c r="F12" s="29">
        <f t="shared" si="6"/>
        <v>4.6144999999999996</v>
      </c>
      <c r="G12" s="29">
        <f t="shared" si="7"/>
        <v>4.5597499999999993</v>
      </c>
      <c r="H12" s="6">
        <f t="shared" si="1"/>
        <v>0.49275000000000002</v>
      </c>
      <c r="I12" s="6">
        <f t="shared" si="1"/>
        <v>0.54750000000000032</v>
      </c>
      <c r="J12" s="8">
        <f t="shared" si="2"/>
        <v>1.7598214285714286E-2</v>
      </c>
      <c r="K12" s="46">
        <f t="shared" si="3"/>
        <v>1.9553571428571441E-2</v>
      </c>
      <c r="L12" s="37">
        <f t="shared" si="4"/>
        <v>3.0788888888888897E-2</v>
      </c>
      <c r="M12" s="45">
        <f t="shared" si="4"/>
        <v>3.2005555555555572E-2</v>
      </c>
      <c r="N12" s="37">
        <v>3.25</v>
      </c>
      <c r="O12" s="37">
        <v>2.95</v>
      </c>
      <c r="P12" s="41">
        <f t="shared" si="8"/>
        <v>194.87549621075419</v>
      </c>
      <c r="Q12" s="41">
        <f t="shared" si="8"/>
        <v>187.46745356708894</v>
      </c>
      <c r="R12" s="41"/>
      <c r="S12" s="41">
        <f t="shared" ref="R12:S16" si="9">D12+G12/(G9-G12)*(D12-D9)</f>
        <v>215.94953136265312</v>
      </c>
    </row>
    <row r="13" spans="1:19" x14ac:dyDescent="0.25">
      <c r="B13" s="5"/>
      <c r="C13" s="4">
        <v>7</v>
      </c>
      <c r="D13" s="4">
        <v>51</v>
      </c>
      <c r="E13" s="38">
        <f t="shared" si="5"/>
        <v>6</v>
      </c>
      <c r="F13" s="29">
        <f t="shared" si="6"/>
        <v>4.5597499999999993</v>
      </c>
      <c r="G13" s="29">
        <f t="shared" si="7"/>
        <v>4.5049999999999999</v>
      </c>
      <c r="H13" s="6">
        <f t="shared" si="1"/>
        <v>5.4750000000000298E-2</v>
      </c>
      <c r="I13" s="6">
        <f t="shared" si="1"/>
        <v>5.474999999999941E-2</v>
      </c>
      <c r="J13" s="8">
        <f t="shared" si="2"/>
        <v>9.1250000000000497E-3</v>
      </c>
      <c r="K13" s="46">
        <f t="shared" si="3"/>
        <v>9.1249999999999023E-3</v>
      </c>
      <c r="L13" s="37">
        <f t="shared" si="4"/>
        <v>2.8240196078431385E-2</v>
      </c>
      <c r="M13" s="45">
        <f t="shared" si="4"/>
        <v>2.931372549019608E-2</v>
      </c>
      <c r="N13" s="37">
        <v>3.4</v>
      </c>
      <c r="O13" s="37">
        <v>3.1</v>
      </c>
      <c r="P13" s="41">
        <f t="shared" si="8"/>
        <v>212.46311404270082</v>
      </c>
      <c r="Q13" s="41">
        <f t="shared" si="8"/>
        <v>204.68227424749162</v>
      </c>
      <c r="R13" s="41"/>
      <c r="S13" s="41">
        <f t="shared" si="9"/>
        <v>259.45053272450536</v>
      </c>
    </row>
    <row r="14" spans="1:19" x14ac:dyDescent="0.25">
      <c r="B14" s="5"/>
      <c r="C14" s="4">
        <v>8</v>
      </c>
      <c r="D14" s="4">
        <v>65</v>
      </c>
      <c r="E14" s="38">
        <f t="shared" si="5"/>
        <v>14</v>
      </c>
      <c r="F14" s="29">
        <f t="shared" si="6"/>
        <v>5.8007499999999999</v>
      </c>
      <c r="G14" s="29">
        <f t="shared" si="7"/>
        <v>4.3407499999999999</v>
      </c>
      <c r="H14" s="6">
        <f t="shared" si="1"/>
        <v>-1.2410000000000005</v>
      </c>
      <c r="I14" s="6">
        <f t="shared" si="1"/>
        <v>0.16425000000000001</v>
      </c>
      <c r="J14" s="8">
        <f t="shared" si="2"/>
        <v>-8.8642857142857176E-2</v>
      </c>
      <c r="K14" s="46">
        <f t="shared" si="3"/>
        <v>1.1732142857142858E-2</v>
      </c>
      <c r="L14" s="37">
        <f t="shared" si="4"/>
        <v>3.0653846153846178E-3</v>
      </c>
      <c r="M14" s="45">
        <f t="shared" si="4"/>
        <v>2.5526923076923079E-2</v>
      </c>
      <c r="N14" s="37"/>
      <c r="O14" s="37">
        <v>3.55</v>
      </c>
      <c r="P14" s="41"/>
      <c r="Q14" s="41">
        <f t="shared" si="8"/>
        <v>235.04595449751392</v>
      </c>
      <c r="R14" s="41"/>
      <c r="S14" s="41">
        <f t="shared" si="9"/>
        <v>336.82778864970658</v>
      </c>
    </row>
    <row r="15" spans="1:19" x14ac:dyDescent="0.25">
      <c r="B15" s="5"/>
      <c r="C15" s="4">
        <v>9</v>
      </c>
      <c r="D15" s="4">
        <v>75</v>
      </c>
      <c r="E15" s="38">
        <f t="shared" si="5"/>
        <v>10</v>
      </c>
      <c r="F15" s="42">
        <f t="shared" si="6"/>
        <v>5.8007499999999999</v>
      </c>
      <c r="G15" s="29">
        <f t="shared" ref="G15:G21" si="10">$G$8-(O15-$O$8)*$D$3</f>
        <v>4.2859999999999996</v>
      </c>
      <c r="H15" s="6">
        <f t="shared" si="1"/>
        <v>0</v>
      </c>
      <c r="I15" s="6">
        <f t="shared" si="1"/>
        <v>5.4750000000000298E-2</v>
      </c>
      <c r="J15" s="8">
        <f t="shared" si="2"/>
        <v>0</v>
      </c>
      <c r="K15" s="46">
        <f t="shared" si="3"/>
        <v>5.4750000000000302E-3</v>
      </c>
      <c r="L15" s="37">
        <f t="shared" si="4"/>
        <v>2.6566666666666687E-3</v>
      </c>
      <c r="M15" s="45">
        <f t="shared" si="4"/>
        <v>2.285333333333334E-2</v>
      </c>
      <c r="N15" s="37"/>
      <c r="O15" s="37">
        <v>3.7</v>
      </c>
      <c r="P15" s="41"/>
      <c r="Q15" s="41">
        <f t="shared" si="8"/>
        <v>262.54375729288205</v>
      </c>
      <c r="R15" s="41"/>
      <c r="S15" s="41">
        <f t="shared" si="9"/>
        <v>544.69863013698671</v>
      </c>
    </row>
    <row r="16" spans="1:19" x14ac:dyDescent="0.25">
      <c r="A16" s="1"/>
      <c r="B16" s="5"/>
      <c r="C16" s="4">
        <v>10</v>
      </c>
      <c r="D16" s="4">
        <v>79</v>
      </c>
      <c r="E16" s="38">
        <f t="shared" si="5"/>
        <v>4</v>
      </c>
      <c r="F16" s="42">
        <f t="shared" si="6"/>
        <v>5.8007499999999999</v>
      </c>
      <c r="G16" s="29">
        <f t="shared" si="10"/>
        <v>4.2312499999999993</v>
      </c>
      <c r="H16" s="6">
        <f t="shared" si="1"/>
        <v>0</v>
      </c>
      <c r="I16" s="6">
        <f t="shared" si="1"/>
        <v>5.4750000000000298E-2</v>
      </c>
      <c r="J16" s="8">
        <f t="shared" si="2"/>
        <v>0</v>
      </c>
      <c r="K16" s="46">
        <f t="shared" si="3"/>
        <v>1.3687500000000075E-2</v>
      </c>
      <c r="L16" s="37">
        <f t="shared" si="4"/>
        <v>2.5221518987341789E-3</v>
      </c>
      <c r="M16" s="45">
        <f t="shared" si="4"/>
        <v>2.2389240506329122E-2</v>
      </c>
      <c r="N16" s="37"/>
      <c r="O16" s="37">
        <v>3.85</v>
      </c>
      <c r="P16" s="41"/>
      <c r="Q16" s="41">
        <f t="shared" si="8"/>
        <v>267.98586572438154</v>
      </c>
      <c r="R16" s="41"/>
      <c r="S16" s="41">
        <f t="shared" si="9"/>
        <v>511.78538812785285</v>
      </c>
    </row>
    <row r="17" spans="1:19" x14ac:dyDescent="0.25">
      <c r="B17" s="5"/>
      <c r="C17" s="4">
        <v>11</v>
      </c>
      <c r="D17" s="4">
        <v>102</v>
      </c>
      <c r="E17" s="38">
        <f t="shared" si="5"/>
        <v>23</v>
      </c>
      <c r="F17" s="42">
        <f t="shared" si="6"/>
        <v>5.8007499999999999</v>
      </c>
      <c r="G17" s="29">
        <f t="shared" si="10"/>
        <v>4.0122499999999999</v>
      </c>
      <c r="H17" s="6">
        <f t="shared" si="1"/>
        <v>0</v>
      </c>
      <c r="I17" s="6">
        <f t="shared" si="1"/>
        <v>0.21899999999999942</v>
      </c>
      <c r="J17" s="8">
        <f t="shared" si="2"/>
        <v>0</v>
      </c>
      <c r="K17" s="46">
        <f t="shared" si="3"/>
        <v>9.521739130434758E-3</v>
      </c>
      <c r="L17" s="37">
        <f t="shared" si="4"/>
        <v>1.953431372549021E-3</v>
      </c>
      <c r="M17" s="45">
        <f t="shared" si="4"/>
        <v>1.9487745098039216E-2</v>
      </c>
      <c r="N17" s="37"/>
      <c r="O17" s="37">
        <v>4.45</v>
      </c>
      <c r="P17" s="41"/>
      <c r="Q17" s="41">
        <f t="shared" si="8"/>
        <v>307.88580052823545</v>
      </c>
      <c r="R17" s="41"/>
      <c r="S17" s="41">
        <f>D17+G17/(G14-G17)*(D17-D14)</f>
        <v>553.91248097412472</v>
      </c>
    </row>
    <row r="18" spans="1:19" x14ac:dyDescent="0.25">
      <c r="B18" s="5"/>
      <c r="C18" s="4">
        <v>12</v>
      </c>
      <c r="D18" s="4">
        <v>108</v>
      </c>
      <c r="E18" s="38">
        <f t="shared" si="5"/>
        <v>6</v>
      </c>
      <c r="F18" s="42">
        <f t="shared" si="6"/>
        <v>5.8007499999999999</v>
      </c>
      <c r="G18" s="29">
        <f t="shared" si="10"/>
        <v>3.9027499999999993</v>
      </c>
      <c r="H18" s="6">
        <f t="shared" si="1"/>
        <v>0</v>
      </c>
      <c r="I18" s="6">
        <f t="shared" si="1"/>
        <v>0.1095000000000006</v>
      </c>
      <c r="J18" s="8">
        <f t="shared" si="2"/>
        <v>0</v>
      </c>
      <c r="K18" s="46">
        <f t="shared" si="3"/>
        <v>1.8250000000000099E-2</v>
      </c>
      <c r="L18" s="37">
        <f t="shared" si="4"/>
        <v>1.8449074074074088E-3</v>
      </c>
      <c r="M18" s="45">
        <f>-(G18-G$6)/$D18</f>
        <v>1.9418981481481488E-2</v>
      </c>
      <c r="N18" s="37"/>
      <c r="O18" s="37">
        <v>4.75</v>
      </c>
      <c r="P18" s="41"/>
      <c r="Q18" s="41">
        <f t="shared" ref="Q18:Q54" si="11">6/M18</f>
        <v>308.97604005244955</v>
      </c>
      <c r="R18" s="41"/>
      <c r="S18" s="41">
        <f>D18+G18/(G15-G18)*(D18-D15)</f>
        <v>444.04892367906035</v>
      </c>
    </row>
    <row r="19" spans="1:19" x14ac:dyDescent="0.25">
      <c r="B19" s="5"/>
      <c r="C19" s="4">
        <v>13</v>
      </c>
      <c r="D19" s="4">
        <v>120</v>
      </c>
      <c r="E19" s="38">
        <f t="shared" si="5"/>
        <v>12</v>
      </c>
      <c r="F19" s="42">
        <f t="shared" si="6"/>
        <v>5.8007499999999999</v>
      </c>
      <c r="G19" s="29">
        <f t="shared" si="10"/>
        <v>3.8479999999999994</v>
      </c>
      <c r="H19" s="6">
        <f t="shared" si="1"/>
        <v>0</v>
      </c>
      <c r="I19" s="6">
        <f t="shared" si="1"/>
        <v>5.4749999999999854E-2</v>
      </c>
      <c r="J19" s="8">
        <f t="shared" si="2"/>
        <v>0</v>
      </c>
      <c r="K19" s="46">
        <f t="shared" si="3"/>
        <v>4.5624999999999876E-3</v>
      </c>
      <c r="L19" s="37">
        <f t="shared" si="4"/>
        <v>1.6604166666666679E-3</v>
      </c>
      <c r="M19" s="45">
        <f t="shared" si="4"/>
        <v>1.7933333333333339E-2</v>
      </c>
      <c r="N19" s="37"/>
      <c r="O19" s="37">
        <v>4.9000000000000004</v>
      </c>
      <c r="P19" s="41"/>
      <c r="Q19" s="41">
        <f t="shared" si="11"/>
        <v>334.57249070631957</v>
      </c>
      <c r="R19" s="41"/>
      <c r="S19" s="41">
        <f>D19+G19/(G16-G19)*(D19-D16)</f>
        <v>531.65818656229612</v>
      </c>
    </row>
    <row r="20" spans="1:19" x14ac:dyDescent="0.25">
      <c r="B20" s="5"/>
      <c r="C20" s="4">
        <v>14</v>
      </c>
      <c r="D20" s="4">
        <v>125</v>
      </c>
      <c r="E20" s="38">
        <f t="shared" si="5"/>
        <v>5</v>
      </c>
      <c r="F20" s="42">
        <f t="shared" si="6"/>
        <v>5.8007499999999999</v>
      </c>
      <c r="G20" s="29">
        <f t="shared" si="10"/>
        <v>3.7932499999999996</v>
      </c>
      <c r="H20" s="6">
        <f t="shared" si="1"/>
        <v>0</v>
      </c>
      <c r="I20" s="6">
        <f t="shared" si="1"/>
        <v>5.4749999999999854E-2</v>
      </c>
      <c r="J20" s="8">
        <f t="shared" si="2"/>
        <v>0</v>
      </c>
      <c r="K20" s="46">
        <f t="shared" si="3"/>
        <v>1.094999999999997E-2</v>
      </c>
      <c r="L20" s="37">
        <f t="shared" si="4"/>
        <v>1.5940000000000012E-3</v>
      </c>
      <c r="M20" s="45">
        <f t="shared" si="4"/>
        <v>1.7654000000000003E-2</v>
      </c>
      <c r="N20" s="37"/>
      <c r="O20" s="37">
        <v>5.05</v>
      </c>
      <c r="P20" s="41"/>
      <c r="Q20" s="41">
        <f t="shared" si="11"/>
        <v>339.86631924776248</v>
      </c>
      <c r="R20" s="41"/>
      <c r="S20" s="41">
        <f>D20+G20/(G17-G20)*(D20-D17)</f>
        <v>523.37785388127804</v>
      </c>
    </row>
    <row r="21" spans="1:19" x14ac:dyDescent="0.25">
      <c r="B21" s="5"/>
      <c r="C21" s="4">
        <v>15</v>
      </c>
      <c r="D21" s="4">
        <v>137</v>
      </c>
      <c r="E21" s="38">
        <f t="shared" si="5"/>
        <v>12</v>
      </c>
      <c r="F21" s="29">
        <f t="shared" si="6"/>
        <v>3.6289999999999996</v>
      </c>
      <c r="G21" s="29">
        <f t="shared" si="10"/>
        <v>3.6289999999999996</v>
      </c>
      <c r="H21" s="6">
        <f t="shared" si="1"/>
        <v>2.1717500000000003</v>
      </c>
      <c r="I21" s="6">
        <f t="shared" si="1"/>
        <v>0.16425000000000001</v>
      </c>
      <c r="J21" s="8">
        <f t="shared" si="2"/>
        <v>0.18097916666666669</v>
      </c>
      <c r="K21" s="46">
        <f t="shared" si="3"/>
        <v>1.36875E-2</v>
      </c>
      <c r="L21" s="37">
        <f t="shared" si="4"/>
        <v>1.7306569343065698E-2</v>
      </c>
      <c r="M21" s="45">
        <f t="shared" si="4"/>
        <v>1.7306569343065698E-2</v>
      </c>
      <c r="N21" s="37">
        <v>5.95</v>
      </c>
      <c r="O21" s="37">
        <v>5.5</v>
      </c>
      <c r="P21" s="41">
        <f>6/L21</f>
        <v>346.6891606916912</v>
      </c>
      <c r="Q21" s="41">
        <f t="shared" si="11"/>
        <v>346.6891606916912</v>
      </c>
      <c r="R21" s="41">
        <f t="shared" ref="R21:R23" si="12">D21+F21/(F$13-F21)*(D21-D$13)</f>
        <v>472.31453129196888</v>
      </c>
      <c r="S21" s="41">
        <f>D21+G21/(G18-G21)*(D21-D18)</f>
        <v>521.44200913242048</v>
      </c>
    </row>
    <row r="22" spans="1:19" x14ac:dyDescent="0.25">
      <c r="A22" s="1"/>
      <c r="B22" s="5"/>
      <c r="C22" s="4">
        <v>16</v>
      </c>
      <c r="D22" s="4">
        <v>145</v>
      </c>
      <c r="E22" s="38">
        <f t="shared" si="5"/>
        <v>8</v>
      </c>
      <c r="F22" s="29">
        <f t="shared" ref="F22" si="13">$F$8-(N22-$N$8)*$D$3</f>
        <v>3.4647499999999996</v>
      </c>
      <c r="G22" s="29">
        <f t="shared" ref="G22:G23" si="14">$G$8-(O22-$O$8)*$D$3</f>
        <v>3.5742499999999993</v>
      </c>
      <c r="H22" s="6">
        <f t="shared" si="1"/>
        <v>0.16425000000000001</v>
      </c>
      <c r="I22" s="6">
        <f t="shared" si="1"/>
        <v>5.4750000000000298E-2</v>
      </c>
      <c r="J22" s="8">
        <f t="shared" si="2"/>
        <v>2.0531250000000001E-2</v>
      </c>
      <c r="K22" s="46">
        <f t="shared" si="3"/>
        <v>6.8437500000000373E-3</v>
      </c>
      <c r="L22" s="37">
        <f t="shared" si="4"/>
        <v>1.7484482758620693E-2</v>
      </c>
      <c r="M22" s="45">
        <f t="shared" si="4"/>
        <v>1.6729310344827591E-2</v>
      </c>
      <c r="N22" s="37">
        <v>6.4</v>
      </c>
      <c r="O22" s="37">
        <v>5.65</v>
      </c>
      <c r="P22" s="41">
        <f>6/L22</f>
        <v>343.16142392269001</v>
      </c>
      <c r="Q22" s="41">
        <f t="shared" si="11"/>
        <v>358.65196331031632</v>
      </c>
      <c r="R22" s="41">
        <f t="shared" si="12"/>
        <v>442.43059360730598</v>
      </c>
      <c r="S22" s="41">
        <f>D22+G22/(G19-G22)*(D22-D19)</f>
        <v>471.415525114155</v>
      </c>
    </row>
    <row r="23" spans="1:19" x14ac:dyDescent="0.25">
      <c r="A23" s="1"/>
      <c r="B23" s="5"/>
      <c r="C23" s="4">
        <v>17</v>
      </c>
      <c r="D23" s="4">
        <v>152</v>
      </c>
      <c r="E23" s="38">
        <f t="shared" si="5"/>
        <v>7</v>
      </c>
      <c r="F23" s="29">
        <f t="shared" ref="F23" si="15">$F$8-(N23-$N$8)*$D$3</f>
        <v>3.3552499999999994</v>
      </c>
      <c r="G23" s="29">
        <f t="shared" si="14"/>
        <v>3.5194999999999999</v>
      </c>
      <c r="H23" s="6">
        <f t="shared" si="1"/>
        <v>0.10950000000000015</v>
      </c>
      <c r="I23" s="6">
        <f t="shared" si="1"/>
        <v>5.474999999999941E-2</v>
      </c>
      <c r="J23" s="8">
        <f t="shared" si="2"/>
        <v>1.5642857142857163E-2</v>
      </c>
      <c r="K23" s="46">
        <f t="shared" si="3"/>
        <v>7.8214285714284879E-3</v>
      </c>
      <c r="L23" s="37">
        <f t="shared" si="4"/>
        <v>1.7399671052631582E-2</v>
      </c>
      <c r="M23" s="45">
        <f t="shared" si="4"/>
        <v>1.6319078947368421E-2</v>
      </c>
      <c r="N23" s="37">
        <v>6.7</v>
      </c>
      <c r="O23" s="37">
        <v>5.8</v>
      </c>
      <c r="P23" s="41">
        <f>6/L23</f>
        <v>344.83410530295862</v>
      </c>
      <c r="Q23" s="41">
        <f t="shared" si="11"/>
        <v>367.66780890949406</v>
      </c>
      <c r="R23" s="41">
        <f t="shared" si="12"/>
        <v>433.34516396845163</v>
      </c>
      <c r="S23" s="41">
        <f>D23+G23/(G20-G23)*(D23-D20)</f>
        <v>499.12876712328801</v>
      </c>
    </row>
    <row r="24" spans="1:19" x14ac:dyDescent="0.25">
      <c r="B24" s="4"/>
      <c r="C24" s="4">
        <v>18</v>
      </c>
      <c r="D24" s="4">
        <v>171</v>
      </c>
      <c r="E24" s="38">
        <f t="shared" si="5"/>
        <v>19</v>
      </c>
      <c r="F24" s="29">
        <f t="shared" ref="F24:F25" si="16">$F$8-(N24-$N$8)*$D$3</f>
        <v>3.3552499999999994</v>
      </c>
      <c r="G24" s="29">
        <f t="shared" ref="G24:G25" si="17">$G$8-(O24-$O$8)*$D$3</f>
        <v>3.3552499999999994</v>
      </c>
      <c r="H24" s="6">
        <f t="shared" si="1"/>
        <v>0</v>
      </c>
      <c r="I24" s="6">
        <f t="shared" si="1"/>
        <v>0.16425000000000045</v>
      </c>
      <c r="J24" s="8">
        <f t="shared" si="2"/>
        <v>0</v>
      </c>
      <c r="K24" s="46">
        <f t="shared" si="3"/>
        <v>8.6447368421052866E-3</v>
      </c>
      <c r="L24" s="37">
        <f>-(F24-F$6)/$D24</f>
        <v>1.5466374269005852E-2</v>
      </c>
      <c r="M24" s="45">
        <f t="shared" ref="L24:M25" si="18">-(G24-G$6)/$D24</f>
        <v>1.5466374269005852E-2</v>
      </c>
      <c r="N24" s="37">
        <v>6.7</v>
      </c>
      <c r="O24" s="37">
        <v>6.25</v>
      </c>
      <c r="P24" s="41">
        <f>6/L24</f>
        <v>387.93836846582843</v>
      </c>
      <c r="Q24" s="41">
        <f t="shared" si="11"/>
        <v>387.93836846582843</v>
      </c>
      <c r="R24" s="41">
        <f>D24+F24/(F$13-F24)*(D24-D$13)</f>
        <v>505.27148194271479</v>
      </c>
      <c r="S24" s="41">
        <f>D24+G24/(G21-G24)*(D24-D21)</f>
        <v>587.72511415525082</v>
      </c>
    </row>
    <row r="25" spans="1:19" x14ac:dyDescent="0.25">
      <c r="B25" s="4"/>
      <c r="C25" s="4">
        <v>19</v>
      </c>
      <c r="D25" s="4">
        <v>176</v>
      </c>
      <c r="E25" s="38">
        <f t="shared" si="5"/>
        <v>5</v>
      </c>
      <c r="F25" s="29">
        <f t="shared" si="16"/>
        <v>3.3552499999999994</v>
      </c>
      <c r="G25" s="29">
        <f t="shared" si="17"/>
        <v>3.3004999999999995</v>
      </c>
      <c r="H25" s="6">
        <f t="shared" si="1"/>
        <v>0</v>
      </c>
      <c r="I25" s="6">
        <f t="shared" si="1"/>
        <v>5.4749999999999854E-2</v>
      </c>
      <c r="J25" s="8">
        <f t="shared" si="2"/>
        <v>0</v>
      </c>
      <c r="K25" s="46">
        <f t="shared" si="3"/>
        <v>1.094999999999997E-2</v>
      </c>
      <c r="L25" s="37">
        <f t="shared" si="18"/>
        <v>1.502698863636364E-2</v>
      </c>
      <c r="M25" s="45">
        <f t="shared" si="18"/>
        <v>1.5338068181818184E-2</v>
      </c>
      <c r="N25" s="37">
        <v>6.7</v>
      </c>
      <c r="O25" s="37">
        <v>6.4</v>
      </c>
      <c r="P25" s="41">
        <f>6/L25</f>
        <v>399.28159561395205</v>
      </c>
      <c r="Q25" s="41">
        <f t="shared" si="11"/>
        <v>391.183552509724</v>
      </c>
      <c r="R25" s="41">
        <f>D25+F25/(F$13-F25)*(D25-D$13)</f>
        <v>524.19946035699456</v>
      </c>
      <c r="S25" s="41">
        <f>D25+G25/(G22-G25)*(D25-D22)</f>
        <v>549.75525114155289</v>
      </c>
    </row>
    <row r="26" spans="1:19" x14ac:dyDescent="0.25">
      <c r="B26" s="4"/>
      <c r="C26" s="4">
        <v>20</v>
      </c>
      <c r="D26" s="4">
        <v>192</v>
      </c>
      <c r="E26" s="38">
        <f t="shared" si="5"/>
        <v>16</v>
      </c>
      <c r="F26" s="29">
        <f t="shared" ref="F26:F29" si="19">$F$8-(N26-$N$8)*$D$3</f>
        <v>3.3552499999999994</v>
      </c>
      <c r="G26" s="29">
        <f t="shared" ref="G26:G29" si="20">$G$8-(O26-$O$8)*$D$3</f>
        <v>3.1909999999999994</v>
      </c>
      <c r="H26" s="6">
        <f t="shared" ref="H26:H27" si="21">F25-F26</f>
        <v>0</v>
      </c>
      <c r="I26" s="6">
        <f t="shared" ref="I26:I27" si="22">G25-G26</f>
        <v>0.10950000000000015</v>
      </c>
      <c r="J26" s="8">
        <f t="shared" ref="J26:J27" si="23">H26/E26</f>
        <v>0</v>
      </c>
      <c r="K26" s="46">
        <f t="shared" ref="K26:K27" si="24">I26/E26</f>
        <v>6.8437500000000095E-3</v>
      </c>
      <c r="L26" s="37">
        <f t="shared" ref="L26:L27" si="25">-(F26-F$6)/$D26</f>
        <v>1.3774739583333336E-2</v>
      </c>
      <c r="M26" s="45">
        <f t="shared" ref="M26:M27" si="26">-(G26-G$6)/$D26</f>
        <v>1.4630208333333337E-2</v>
      </c>
      <c r="N26" s="37">
        <v>6.7</v>
      </c>
      <c r="O26" s="37">
        <v>6.7</v>
      </c>
      <c r="P26" s="41">
        <f>6/L26</f>
        <v>435.57992248794773</v>
      </c>
      <c r="Q26" s="41">
        <f t="shared" si="11"/>
        <v>410.11035955856164</v>
      </c>
      <c r="R26" s="41">
        <f>D26+F26/(F$13-F26)*(D26-D$13)</f>
        <v>584.76899128268985</v>
      </c>
      <c r="S26" s="41">
        <f>D26+G26/(G23-G26)*(D26-D23)</f>
        <v>580.55403348553978</v>
      </c>
    </row>
    <row r="27" spans="1:19" x14ac:dyDescent="0.25">
      <c r="B27" s="4"/>
      <c r="C27" s="4">
        <v>21</v>
      </c>
      <c r="D27" s="4">
        <v>211</v>
      </c>
      <c r="E27" s="38">
        <f t="shared" si="5"/>
        <v>19</v>
      </c>
      <c r="F27" s="29">
        <f t="shared" si="19"/>
        <v>3.5194999999999999</v>
      </c>
      <c r="G27" s="29">
        <f t="shared" si="20"/>
        <v>3.0267499999999994</v>
      </c>
      <c r="H27" s="6">
        <f t="shared" si="21"/>
        <v>-0.16425000000000045</v>
      </c>
      <c r="I27" s="6">
        <f t="shared" si="22"/>
        <v>0.16425000000000001</v>
      </c>
      <c r="J27" s="8">
        <f t="shared" si="23"/>
        <v>-8.6447368421052866E-3</v>
      </c>
      <c r="K27" s="46">
        <f t="shared" si="24"/>
        <v>8.6447368421052641E-3</v>
      </c>
      <c r="L27" s="37">
        <f t="shared" si="25"/>
        <v>1.1755924170616114E-2</v>
      </c>
      <c r="M27" s="45">
        <f t="shared" si="26"/>
        <v>1.4091232227488154E-2</v>
      </c>
      <c r="N27" s="37">
        <v>6.25</v>
      </c>
      <c r="O27" s="37">
        <v>7.15</v>
      </c>
      <c r="P27" s="41">
        <f t="shared" ref="P26:P54" si="27">6/L27</f>
        <v>510.38097157831078</v>
      </c>
      <c r="Q27" s="41">
        <f t="shared" si="11"/>
        <v>425.7966871268813</v>
      </c>
      <c r="R27" s="41">
        <f>D27+F27/(F$13-F27)*(D27-D$13)</f>
        <v>752.33141071857744</v>
      </c>
      <c r="S27" s="41">
        <f>D27+G27/(G24-G27)*(D27-D24)</f>
        <v>579.55403348554023</v>
      </c>
    </row>
    <row r="28" spans="1:19" x14ac:dyDescent="0.25">
      <c r="B28" s="4"/>
      <c r="C28" s="4">
        <v>22</v>
      </c>
      <c r="D28" s="4">
        <v>233</v>
      </c>
      <c r="E28" s="38">
        <f t="shared" si="5"/>
        <v>22</v>
      </c>
      <c r="F28" s="29">
        <f t="shared" si="19"/>
        <v>3.5742499999999997</v>
      </c>
      <c r="G28" s="29">
        <f t="shared" si="20"/>
        <v>2.8624999999999998</v>
      </c>
      <c r="H28" s="6">
        <f t="shared" ref="H28:H40" si="28">F27-F28</f>
        <v>-5.4749999999999854E-2</v>
      </c>
      <c r="I28" s="6">
        <f t="shared" ref="I28:I40" si="29">G27-G28</f>
        <v>0.16424999999999956</v>
      </c>
      <c r="J28" s="8">
        <f t="shared" ref="J28:J40" si="30">H28/E28</f>
        <v>-2.4886363636363569E-3</v>
      </c>
      <c r="K28" s="46">
        <f t="shared" ref="K28:K40" si="31">I28/E28</f>
        <v>7.4659090909090708E-3</v>
      </c>
      <c r="L28" s="37">
        <f t="shared" ref="L28:L40" si="32">-(F28-F$6)/$D28</f>
        <v>1.0410944206008585E-2</v>
      </c>
      <c r="M28" s="45">
        <f t="shared" ref="M28:M40" si="33">-(G28-G$6)/$D28</f>
        <v>1.3465665236051503E-2</v>
      </c>
      <c r="N28" s="37">
        <v>6.1</v>
      </c>
      <c r="O28" s="37">
        <v>7.6</v>
      </c>
      <c r="P28" s="41">
        <f t="shared" si="27"/>
        <v>576.31660311243934</v>
      </c>
      <c r="Q28" s="41">
        <f t="shared" si="11"/>
        <v>445.57768924302786</v>
      </c>
      <c r="R28" s="41">
        <f>D28+F28/(F$13-F28)*(D28-D$13)</f>
        <v>893.08472856418086</v>
      </c>
      <c r="S28" s="41">
        <f>D28+G28/(G25-G28)*(D28-D25)</f>
        <v>605.51712328767144</v>
      </c>
    </row>
    <row r="29" spans="1:19" x14ac:dyDescent="0.25">
      <c r="B29" s="4"/>
      <c r="C29" s="4">
        <v>23</v>
      </c>
      <c r="D29" s="4">
        <v>249</v>
      </c>
      <c r="E29" s="38">
        <f t="shared" si="5"/>
        <v>16</v>
      </c>
      <c r="F29" s="29"/>
      <c r="G29" s="29">
        <f t="shared" si="20"/>
        <v>2.6982499999999994</v>
      </c>
      <c r="H29" s="6">
        <f t="shared" si="28"/>
        <v>3.5742499999999997</v>
      </c>
      <c r="I29" s="6">
        <f t="shared" si="29"/>
        <v>0.16425000000000045</v>
      </c>
      <c r="J29" s="8">
        <f t="shared" si="30"/>
        <v>0.22339062499999998</v>
      </c>
      <c r="K29" s="46">
        <f t="shared" si="31"/>
        <v>1.0265625000000028E-2</v>
      </c>
      <c r="L29" s="37">
        <f t="shared" si="32"/>
        <v>2.4096385542168676E-2</v>
      </c>
      <c r="M29" s="45">
        <f>-(G29-G$6)/$D29</f>
        <v>1.3260040160642573E-2</v>
      </c>
      <c r="N29" s="37">
        <v>6.55</v>
      </c>
      <c r="O29" s="37">
        <v>8.0500000000000007</v>
      </c>
      <c r="P29" s="41">
        <f t="shared" si="27"/>
        <v>249</v>
      </c>
      <c r="Q29" s="41">
        <f t="shared" si="11"/>
        <v>452.48731733171792</v>
      </c>
      <c r="R29" s="41">
        <f>D29+F29/(F$13-F29)*(D29-D$13)</f>
        <v>249</v>
      </c>
      <c r="S29" s="41">
        <f>D29+G29/(G26-G29)*(D29-D26)</f>
        <v>561.12633181126319</v>
      </c>
    </row>
    <row r="30" spans="1:19" x14ac:dyDescent="0.25">
      <c r="B30" s="4"/>
      <c r="C30" s="4">
        <v>24</v>
      </c>
      <c r="D30" s="4">
        <v>254</v>
      </c>
      <c r="E30" s="38">
        <f t="shared" si="5"/>
        <v>5</v>
      </c>
      <c r="F30" s="29"/>
      <c r="G30" s="29">
        <f t="shared" ref="G30" si="34">$G$8-(O30-$O$8)*$D$3</f>
        <v>2.6435</v>
      </c>
      <c r="H30" s="6">
        <f t="shared" si="28"/>
        <v>0</v>
      </c>
      <c r="I30" s="6">
        <f t="shared" si="29"/>
        <v>5.474999999999941E-2</v>
      </c>
      <c r="J30" s="8">
        <f t="shared" si="30"/>
        <v>0</v>
      </c>
      <c r="K30" s="46">
        <f t="shared" si="31"/>
        <v>1.0949999999999882E-2</v>
      </c>
      <c r="L30" s="37">
        <f t="shared" si="32"/>
        <v>2.3622047244094488E-2</v>
      </c>
      <c r="M30" s="45">
        <f>-(G30-G$6)/$D30</f>
        <v>1.3214566929133859E-2</v>
      </c>
      <c r="N30" s="37">
        <v>6.55</v>
      </c>
      <c r="O30" s="37">
        <v>8.1999999999999993</v>
      </c>
      <c r="P30" s="41">
        <f t="shared" si="27"/>
        <v>254</v>
      </c>
      <c r="Q30" s="41">
        <f t="shared" si="11"/>
        <v>454.04439147921943</v>
      </c>
      <c r="R30" s="41">
        <f>D30+F30/(F$13-F30)*(D30-D$13)</f>
        <v>254</v>
      </c>
      <c r="S30" s="41">
        <f>D30+G30/(G27-G30)*(D30-D27)</f>
        <v>550.59621656881973</v>
      </c>
    </row>
    <row r="31" spans="1:19" x14ac:dyDescent="0.25">
      <c r="B31" s="4"/>
      <c r="C31" s="4">
        <v>25</v>
      </c>
      <c r="D31" s="4">
        <v>260</v>
      </c>
      <c r="E31" s="38">
        <f t="shared" si="5"/>
        <v>6</v>
      </c>
      <c r="F31" s="29"/>
      <c r="G31" s="29">
        <f t="shared" ref="G31" si="35">$G$8-(O31-$O$8)*$D$3</f>
        <v>2.5887499999999997</v>
      </c>
      <c r="H31" s="6">
        <f t="shared" si="28"/>
        <v>0</v>
      </c>
      <c r="I31" s="6">
        <f t="shared" si="29"/>
        <v>5.4750000000000298E-2</v>
      </c>
      <c r="J31" s="8">
        <f t="shared" si="30"/>
        <v>0</v>
      </c>
      <c r="K31" s="46">
        <f t="shared" si="31"/>
        <v>9.1250000000000497E-3</v>
      </c>
      <c r="L31" s="37">
        <f t="shared" si="32"/>
        <v>2.3076923076923078E-2</v>
      </c>
      <c r="M31" s="45">
        <f t="shared" si="33"/>
        <v>1.3120192307692308E-2</v>
      </c>
      <c r="N31" s="37">
        <v>6.55</v>
      </c>
      <c r="O31" s="37">
        <v>8.35</v>
      </c>
      <c r="P31" s="41">
        <f t="shared" si="27"/>
        <v>260</v>
      </c>
      <c r="Q31" s="41">
        <f t="shared" si="11"/>
        <v>457.31037009893731</v>
      </c>
      <c r="R31" s="41">
        <f>D31+F31/(F$13-F31)*(D31-D$13)</f>
        <v>260</v>
      </c>
      <c r="S31" s="41">
        <f>D31+G31/(G28-G31)*(D31-D28)</f>
        <v>515.32876712328743</v>
      </c>
    </row>
    <row r="32" spans="1:19" x14ac:dyDescent="0.25">
      <c r="B32" s="4"/>
      <c r="C32" s="4">
        <v>26</v>
      </c>
      <c r="D32" s="4">
        <v>270</v>
      </c>
      <c r="E32" s="38">
        <f t="shared" si="5"/>
        <v>10</v>
      </c>
      <c r="F32" s="29"/>
      <c r="G32" s="29">
        <f t="shared" ref="G32:G37" si="36">$G$8-(O32-$O$8)*$D$3</f>
        <v>2.4792499999999995</v>
      </c>
      <c r="H32" s="6">
        <f t="shared" si="28"/>
        <v>0</v>
      </c>
      <c r="I32" s="6">
        <f t="shared" si="29"/>
        <v>0.10950000000000015</v>
      </c>
      <c r="J32" s="8">
        <f t="shared" si="30"/>
        <v>0</v>
      </c>
      <c r="K32" s="46">
        <f t="shared" si="31"/>
        <v>1.0950000000000015E-2</v>
      </c>
      <c r="L32" s="37">
        <f t="shared" si="32"/>
        <v>2.2222222222222223E-2</v>
      </c>
      <c r="M32" s="45">
        <f t="shared" si="33"/>
        <v>1.3039814814814817E-2</v>
      </c>
      <c r="N32" s="37">
        <v>6.55</v>
      </c>
      <c r="O32" s="37">
        <v>8.65</v>
      </c>
      <c r="P32" s="41">
        <f t="shared" si="27"/>
        <v>270</v>
      </c>
      <c r="Q32" s="41">
        <f t="shared" si="11"/>
        <v>460.12923382801955</v>
      </c>
      <c r="R32" s="41">
        <f t="shared" ref="R32:R54" si="37">D32+F32/(F$13-F32)*(D32-D$13)</f>
        <v>270</v>
      </c>
      <c r="S32" s="41">
        <f t="shared" ref="S32:S54" si="38">D32+G32/(G29-G32)*(D32-D29)</f>
        <v>507.7363013698631</v>
      </c>
    </row>
    <row r="33" spans="2:19" x14ac:dyDescent="0.25">
      <c r="B33" s="4"/>
      <c r="C33" s="4">
        <v>27</v>
      </c>
      <c r="D33" s="4">
        <v>298</v>
      </c>
      <c r="E33" s="38">
        <f t="shared" si="5"/>
        <v>28</v>
      </c>
      <c r="F33" s="29"/>
      <c r="G33" s="29">
        <f t="shared" ref="G33:G37" si="39">$G$8-(O33-$O$8)*$D$3</f>
        <v>2.0959999999999996</v>
      </c>
      <c r="H33" s="6">
        <f t="shared" si="28"/>
        <v>0</v>
      </c>
      <c r="I33" s="6">
        <f t="shared" si="29"/>
        <v>0.38324999999999987</v>
      </c>
      <c r="J33" s="8">
        <f t="shared" si="30"/>
        <v>0</v>
      </c>
      <c r="K33" s="46">
        <f t="shared" si="31"/>
        <v>1.3687499999999995E-2</v>
      </c>
      <c r="L33" s="37">
        <f t="shared" si="32"/>
        <v>2.0134228187919462E-2</v>
      </c>
      <c r="M33" s="45">
        <f t="shared" si="33"/>
        <v>1.3100671140939598E-2</v>
      </c>
      <c r="N33" s="37"/>
      <c r="O33" s="37">
        <v>9.6999999999999993</v>
      </c>
      <c r="P33" s="41">
        <f t="shared" si="27"/>
        <v>298</v>
      </c>
      <c r="Q33" s="41">
        <f t="shared" si="11"/>
        <v>457.99180327868851</v>
      </c>
      <c r="R33" s="41">
        <f t="shared" si="37"/>
        <v>298</v>
      </c>
      <c r="S33" s="41">
        <f t="shared" si="38"/>
        <v>466.4456621004565</v>
      </c>
    </row>
    <row r="34" spans="2:19" x14ac:dyDescent="0.25">
      <c r="B34" s="4"/>
      <c r="C34" s="4">
        <v>28</v>
      </c>
      <c r="D34" s="4">
        <v>324</v>
      </c>
      <c r="E34" s="38">
        <f t="shared" si="5"/>
        <v>26</v>
      </c>
      <c r="F34" s="29"/>
      <c r="G34" s="29">
        <f t="shared" si="39"/>
        <v>1.9317499999999996</v>
      </c>
      <c r="H34" s="6">
        <f t="shared" si="28"/>
        <v>0</v>
      </c>
      <c r="I34" s="6">
        <f t="shared" si="29"/>
        <v>0.16425000000000001</v>
      </c>
      <c r="J34" s="8">
        <f t="shared" si="30"/>
        <v>0</v>
      </c>
      <c r="K34" s="46">
        <f t="shared" si="31"/>
        <v>6.3173076923076924E-3</v>
      </c>
      <c r="L34" s="37">
        <f t="shared" si="32"/>
        <v>1.8518518518518517E-2</v>
      </c>
      <c r="M34" s="45">
        <f t="shared" si="33"/>
        <v>1.2556327160493829E-2</v>
      </c>
      <c r="N34" s="37"/>
      <c r="O34" s="37">
        <v>10.15</v>
      </c>
      <c r="P34" s="41">
        <f t="shared" si="27"/>
        <v>324</v>
      </c>
      <c r="Q34" s="41">
        <f t="shared" si="11"/>
        <v>477.84673999877089</v>
      </c>
      <c r="R34" s="41">
        <f t="shared" si="37"/>
        <v>324</v>
      </c>
      <c r="S34" s="41">
        <f>D34+G34/(G31-G34)*(D34-D31)</f>
        <v>512.17656012176553</v>
      </c>
    </row>
    <row r="35" spans="2:19" x14ac:dyDescent="0.25">
      <c r="B35" s="4"/>
      <c r="C35" s="4">
        <v>29</v>
      </c>
      <c r="D35" s="4">
        <v>332</v>
      </c>
      <c r="E35" s="38">
        <f t="shared" si="5"/>
        <v>8</v>
      </c>
      <c r="F35" s="29"/>
      <c r="G35" s="29">
        <f t="shared" si="39"/>
        <v>1.8769999999999993</v>
      </c>
      <c r="H35" s="6">
        <f t="shared" si="28"/>
        <v>0</v>
      </c>
      <c r="I35" s="6">
        <f t="shared" si="29"/>
        <v>5.4750000000000298E-2</v>
      </c>
      <c r="J35" s="8">
        <f t="shared" si="30"/>
        <v>0</v>
      </c>
      <c r="K35" s="46">
        <f t="shared" si="31"/>
        <v>6.8437500000000373E-3</v>
      </c>
      <c r="L35" s="37">
        <f t="shared" si="32"/>
        <v>1.8072289156626505E-2</v>
      </c>
      <c r="M35" s="45">
        <f t="shared" si="33"/>
        <v>1.2418674698795184E-2</v>
      </c>
      <c r="N35" s="37"/>
      <c r="O35" s="37">
        <v>10.3</v>
      </c>
      <c r="P35" s="41">
        <f t="shared" si="27"/>
        <v>332</v>
      </c>
      <c r="Q35" s="41">
        <f t="shared" si="11"/>
        <v>483.14334222653395</v>
      </c>
      <c r="R35" s="41">
        <f t="shared" si="37"/>
        <v>332</v>
      </c>
      <c r="S35" s="41">
        <f>D35+G35/(G32-G35)*(D35-D32)</f>
        <v>525.23204649232036</v>
      </c>
    </row>
    <row r="36" spans="2:19" x14ac:dyDescent="0.25">
      <c r="B36" s="4"/>
      <c r="C36" s="4">
        <v>30</v>
      </c>
      <c r="D36" s="4">
        <v>353</v>
      </c>
      <c r="E36" s="38">
        <f t="shared" si="5"/>
        <v>21</v>
      </c>
      <c r="F36" s="29"/>
      <c r="G36" s="29">
        <f t="shared" si="39"/>
        <v>1.6579999999999995</v>
      </c>
      <c r="H36" s="6">
        <f t="shared" si="28"/>
        <v>0</v>
      </c>
      <c r="I36" s="6">
        <f t="shared" si="29"/>
        <v>0.21899999999999986</v>
      </c>
      <c r="J36" s="8">
        <f t="shared" si="30"/>
        <v>0</v>
      </c>
      <c r="K36" s="46">
        <f t="shared" si="31"/>
        <v>1.0428571428571422E-2</v>
      </c>
      <c r="L36" s="37">
        <f t="shared" si="32"/>
        <v>1.69971671388102E-2</v>
      </c>
      <c r="M36" s="45">
        <f>-(G36-G$6)/$D36</f>
        <v>1.2300283286118981E-2</v>
      </c>
      <c r="N36" s="37"/>
      <c r="O36" s="37">
        <v>10.9</v>
      </c>
      <c r="P36" s="41">
        <f t="shared" si="27"/>
        <v>352.99999999999994</v>
      </c>
      <c r="Q36" s="41">
        <f t="shared" si="11"/>
        <v>487.79364348226619</v>
      </c>
      <c r="R36" s="41">
        <f t="shared" si="37"/>
        <v>353</v>
      </c>
      <c r="S36" s="41">
        <f t="shared" si="38"/>
        <v>561.19634703196334</v>
      </c>
    </row>
    <row r="37" spans="2:19" x14ac:dyDescent="0.25">
      <c r="B37" s="4"/>
      <c r="C37" s="4">
        <v>31</v>
      </c>
      <c r="D37" s="4"/>
      <c r="E37" s="38"/>
      <c r="F37" s="29"/>
      <c r="G37" s="29"/>
      <c r="H37" s="6">
        <f t="shared" si="28"/>
        <v>0</v>
      </c>
      <c r="I37" s="6">
        <f t="shared" si="29"/>
        <v>1.6579999999999995</v>
      </c>
      <c r="J37" s="8" t="e">
        <f t="shared" si="30"/>
        <v>#DIV/0!</v>
      </c>
      <c r="K37" s="46" t="e">
        <f t="shared" si="31"/>
        <v>#DIV/0!</v>
      </c>
      <c r="L37" s="37" t="e">
        <f t="shared" si="32"/>
        <v>#DIV/0!</v>
      </c>
      <c r="M37" s="45" t="e">
        <f t="shared" si="33"/>
        <v>#DIV/0!</v>
      </c>
      <c r="N37" s="37"/>
      <c r="O37" s="37"/>
      <c r="P37" s="41" t="e">
        <f t="shared" si="27"/>
        <v>#DIV/0!</v>
      </c>
      <c r="Q37" s="41" t="e">
        <f t="shared" si="11"/>
        <v>#DIV/0!</v>
      </c>
      <c r="R37" s="41">
        <f t="shared" si="37"/>
        <v>0</v>
      </c>
      <c r="S37" s="41">
        <f t="shared" si="38"/>
        <v>0</v>
      </c>
    </row>
    <row r="38" spans="2:19" x14ac:dyDescent="0.25">
      <c r="B38" s="4"/>
      <c r="C38" s="4">
        <v>32</v>
      </c>
      <c r="D38" s="4"/>
      <c r="E38" s="4"/>
      <c r="F38" s="29"/>
      <c r="G38" s="29"/>
      <c r="H38" s="6">
        <f t="shared" si="28"/>
        <v>0</v>
      </c>
      <c r="I38" s="6">
        <f t="shared" si="29"/>
        <v>0</v>
      </c>
      <c r="J38" s="8" t="e">
        <f t="shared" si="30"/>
        <v>#DIV/0!</v>
      </c>
      <c r="K38" s="8" t="e">
        <f t="shared" si="31"/>
        <v>#DIV/0!</v>
      </c>
      <c r="L38" s="37" t="e">
        <f t="shared" si="32"/>
        <v>#DIV/0!</v>
      </c>
      <c r="M38" s="37" t="e">
        <f t="shared" si="33"/>
        <v>#DIV/0!</v>
      </c>
      <c r="N38" s="37"/>
      <c r="O38" s="37"/>
      <c r="P38" s="41" t="e">
        <f t="shared" si="27"/>
        <v>#DIV/0!</v>
      </c>
      <c r="Q38" s="41" t="e">
        <f t="shared" si="11"/>
        <v>#DIV/0!</v>
      </c>
      <c r="R38" s="41">
        <f t="shared" si="37"/>
        <v>0</v>
      </c>
      <c r="S38" s="41">
        <f t="shared" si="38"/>
        <v>0</v>
      </c>
    </row>
    <row r="39" spans="2:19" x14ac:dyDescent="0.25">
      <c r="B39" s="4"/>
      <c r="C39" s="4">
        <v>33</v>
      </c>
      <c r="D39" s="4"/>
      <c r="E39" s="4"/>
      <c r="F39" s="29"/>
      <c r="G39" s="29"/>
      <c r="H39" s="6">
        <f t="shared" si="28"/>
        <v>0</v>
      </c>
      <c r="I39" s="6">
        <f t="shared" si="29"/>
        <v>0</v>
      </c>
      <c r="J39" s="8" t="e">
        <f t="shared" si="30"/>
        <v>#DIV/0!</v>
      </c>
      <c r="K39" s="8" t="e">
        <f t="shared" si="31"/>
        <v>#DIV/0!</v>
      </c>
      <c r="L39" s="37" t="e">
        <f t="shared" si="32"/>
        <v>#DIV/0!</v>
      </c>
      <c r="M39" s="37" t="e">
        <f t="shared" si="33"/>
        <v>#DIV/0!</v>
      </c>
      <c r="N39" s="37"/>
      <c r="O39" s="37"/>
      <c r="P39" s="41" t="e">
        <f t="shared" si="27"/>
        <v>#DIV/0!</v>
      </c>
      <c r="Q39" s="41" t="e">
        <f t="shared" si="11"/>
        <v>#DIV/0!</v>
      </c>
      <c r="R39" s="41">
        <f t="shared" si="37"/>
        <v>0</v>
      </c>
      <c r="S39" s="41">
        <f t="shared" si="38"/>
        <v>0</v>
      </c>
    </row>
    <row r="40" spans="2:19" x14ac:dyDescent="0.25">
      <c r="B40" s="4"/>
      <c r="C40" s="4">
        <v>34</v>
      </c>
      <c r="D40" s="4"/>
      <c r="E40" s="4"/>
      <c r="F40" s="29"/>
      <c r="G40" s="29"/>
      <c r="H40" s="6">
        <f t="shared" si="28"/>
        <v>0</v>
      </c>
      <c r="I40" s="6">
        <f t="shared" si="29"/>
        <v>0</v>
      </c>
      <c r="J40" s="8" t="e">
        <f t="shared" si="30"/>
        <v>#DIV/0!</v>
      </c>
      <c r="K40" s="8" t="e">
        <f t="shared" si="31"/>
        <v>#DIV/0!</v>
      </c>
      <c r="L40" s="37" t="e">
        <f t="shared" si="32"/>
        <v>#DIV/0!</v>
      </c>
      <c r="M40" s="37" t="e">
        <f t="shared" si="33"/>
        <v>#DIV/0!</v>
      </c>
      <c r="N40" s="37"/>
      <c r="O40" s="37"/>
      <c r="P40" s="41" t="e">
        <f t="shared" si="27"/>
        <v>#DIV/0!</v>
      </c>
      <c r="Q40" s="41" t="e">
        <f t="shared" si="11"/>
        <v>#DIV/0!</v>
      </c>
      <c r="R40" s="41">
        <f t="shared" si="37"/>
        <v>0</v>
      </c>
      <c r="S40" s="41" t="e">
        <f t="shared" si="38"/>
        <v>#DIV/0!</v>
      </c>
    </row>
    <row r="41" spans="2:19" x14ac:dyDescent="0.25">
      <c r="B41" s="4"/>
      <c r="C41" s="4">
        <v>35</v>
      </c>
      <c r="D41" s="4"/>
      <c r="E41" s="4"/>
      <c r="F41" s="29"/>
      <c r="G41" s="29"/>
      <c r="H41" s="6">
        <f t="shared" ref="H41:H54" si="40">F40-F41</f>
        <v>0</v>
      </c>
      <c r="I41" s="6">
        <f t="shared" ref="I41:I54" si="41">G40-G41</f>
        <v>0</v>
      </c>
      <c r="J41" s="8" t="e">
        <f t="shared" ref="J41:J54" si="42">H41/E41</f>
        <v>#DIV/0!</v>
      </c>
      <c r="K41" s="8" t="e">
        <f t="shared" ref="K41:K54" si="43">I41/E41</f>
        <v>#DIV/0!</v>
      </c>
      <c r="L41" s="37" t="e">
        <f t="shared" ref="L41:L54" si="44">-(F41-F$6)/$D41</f>
        <v>#DIV/0!</v>
      </c>
      <c r="M41" s="37" t="e">
        <f t="shared" ref="M41:M54" si="45">-(G41-G$6)/$D41</f>
        <v>#DIV/0!</v>
      </c>
      <c r="N41" s="37"/>
      <c r="O41" s="37"/>
      <c r="P41" s="41" t="e">
        <f t="shared" si="27"/>
        <v>#DIV/0!</v>
      </c>
      <c r="Q41" s="41" t="e">
        <f t="shared" si="11"/>
        <v>#DIV/0!</v>
      </c>
      <c r="R41" s="41">
        <f t="shared" si="37"/>
        <v>0</v>
      </c>
      <c r="S41" s="41" t="e">
        <f t="shared" si="38"/>
        <v>#DIV/0!</v>
      </c>
    </row>
    <row r="42" spans="2:19" x14ac:dyDescent="0.25">
      <c r="B42" s="4"/>
      <c r="C42" s="4">
        <v>36</v>
      </c>
      <c r="D42" s="4"/>
      <c r="E42" s="4"/>
      <c r="F42" s="29"/>
      <c r="G42" s="29"/>
      <c r="H42" s="6">
        <f t="shared" si="40"/>
        <v>0</v>
      </c>
      <c r="I42" s="6">
        <f t="shared" si="41"/>
        <v>0</v>
      </c>
      <c r="J42" s="8" t="e">
        <f t="shared" si="42"/>
        <v>#DIV/0!</v>
      </c>
      <c r="K42" s="8" t="e">
        <f t="shared" si="43"/>
        <v>#DIV/0!</v>
      </c>
      <c r="L42" s="37" t="e">
        <f t="shared" si="44"/>
        <v>#DIV/0!</v>
      </c>
      <c r="M42" s="37" t="e">
        <f t="shared" si="45"/>
        <v>#DIV/0!</v>
      </c>
      <c r="N42" s="37"/>
      <c r="O42" s="37"/>
      <c r="P42" s="41" t="e">
        <f t="shared" si="27"/>
        <v>#DIV/0!</v>
      </c>
      <c r="Q42" s="41" t="e">
        <f t="shared" si="11"/>
        <v>#DIV/0!</v>
      </c>
      <c r="R42" s="41">
        <f t="shared" si="37"/>
        <v>0</v>
      </c>
      <c r="S42" s="41" t="e">
        <f t="shared" si="38"/>
        <v>#DIV/0!</v>
      </c>
    </row>
    <row r="43" spans="2:19" x14ac:dyDescent="0.25">
      <c r="B43" s="4"/>
      <c r="C43" s="4">
        <v>37</v>
      </c>
      <c r="D43" s="4"/>
      <c r="E43" s="4"/>
      <c r="F43" s="29"/>
      <c r="G43" s="29"/>
      <c r="H43" s="6">
        <f t="shared" si="40"/>
        <v>0</v>
      </c>
      <c r="I43" s="6">
        <f t="shared" si="41"/>
        <v>0</v>
      </c>
      <c r="J43" s="8" t="e">
        <f t="shared" si="42"/>
        <v>#DIV/0!</v>
      </c>
      <c r="K43" s="8" t="e">
        <f t="shared" si="43"/>
        <v>#DIV/0!</v>
      </c>
      <c r="L43" s="37" t="e">
        <f t="shared" si="44"/>
        <v>#DIV/0!</v>
      </c>
      <c r="M43" s="37" t="e">
        <f t="shared" si="45"/>
        <v>#DIV/0!</v>
      </c>
      <c r="N43" s="37"/>
      <c r="O43" s="37"/>
      <c r="P43" s="41" t="e">
        <f t="shared" si="27"/>
        <v>#DIV/0!</v>
      </c>
      <c r="Q43" s="41" t="e">
        <f t="shared" si="11"/>
        <v>#DIV/0!</v>
      </c>
      <c r="R43" s="41">
        <f t="shared" si="37"/>
        <v>0</v>
      </c>
      <c r="S43" s="41" t="e">
        <f t="shared" si="38"/>
        <v>#DIV/0!</v>
      </c>
    </row>
    <row r="44" spans="2:19" x14ac:dyDescent="0.25">
      <c r="B44" s="4"/>
      <c r="C44" s="4">
        <v>38</v>
      </c>
      <c r="D44" s="4"/>
      <c r="E44" s="4"/>
      <c r="F44" s="29"/>
      <c r="G44" s="29"/>
      <c r="H44" s="6">
        <f t="shared" si="40"/>
        <v>0</v>
      </c>
      <c r="I44" s="6">
        <f t="shared" si="41"/>
        <v>0</v>
      </c>
      <c r="J44" s="8" t="e">
        <f t="shared" si="42"/>
        <v>#DIV/0!</v>
      </c>
      <c r="K44" s="8" t="e">
        <f t="shared" si="43"/>
        <v>#DIV/0!</v>
      </c>
      <c r="L44" s="37" t="e">
        <f t="shared" si="44"/>
        <v>#DIV/0!</v>
      </c>
      <c r="M44" s="37" t="e">
        <f t="shared" si="45"/>
        <v>#DIV/0!</v>
      </c>
      <c r="N44" s="37"/>
      <c r="O44" s="37"/>
      <c r="P44" s="41" t="e">
        <f t="shared" si="27"/>
        <v>#DIV/0!</v>
      </c>
      <c r="Q44" s="41" t="e">
        <f t="shared" si="11"/>
        <v>#DIV/0!</v>
      </c>
      <c r="R44" s="41">
        <f t="shared" si="37"/>
        <v>0</v>
      </c>
      <c r="S44" s="41" t="e">
        <f t="shared" si="38"/>
        <v>#DIV/0!</v>
      </c>
    </row>
    <row r="45" spans="2:19" x14ac:dyDescent="0.25">
      <c r="B45" s="4"/>
      <c r="C45" s="4">
        <v>39</v>
      </c>
      <c r="D45" s="4"/>
      <c r="E45" s="4"/>
      <c r="F45" s="29"/>
      <c r="G45" s="29"/>
      <c r="H45" s="6">
        <f t="shared" si="40"/>
        <v>0</v>
      </c>
      <c r="I45" s="6">
        <f t="shared" si="41"/>
        <v>0</v>
      </c>
      <c r="J45" s="8" t="e">
        <f t="shared" si="42"/>
        <v>#DIV/0!</v>
      </c>
      <c r="K45" s="8" t="e">
        <f t="shared" si="43"/>
        <v>#DIV/0!</v>
      </c>
      <c r="L45" s="37" t="e">
        <f t="shared" si="44"/>
        <v>#DIV/0!</v>
      </c>
      <c r="M45" s="37" t="e">
        <f t="shared" si="45"/>
        <v>#DIV/0!</v>
      </c>
      <c r="N45" s="37"/>
      <c r="O45" s="37"/>
      <c r="P45" s="41" t="e">
        <f t="shared" si="27"/>
        <v>#DIV/0!</v>
      </c>
      <c r="Q45" s="41" t="e">
        <f t="shared" si="11"/>
        <v>#DIV/0!</v>
      </c>
      <c r="R45" s="41">
        <f t="shared" si="37"/>
        <v>0</v>
      </c>
      <c r="S45" s="41" t="e">
        <f t="shared" si="38"/>
        <v>#DIV/0!</v>
      </c>
    </row>
    <row r="46" spans="2:19" x14ac:dyDescent="0.25">
      <c r="B46" s="4"/>
      <c r="C46" s="4">
        <v>40</v>
      </c>
      <c r="D46" s="4"/>
      <c r="E46" s="4"/>
      <c r="F46" s="29"/>
      <c r="G46" s="29"/>
      <c r="H46" s="6">
        <f t="shared" si="40"/>
        <v>0</v>
      </c>
      <c r="I46" s="6">
        <f t="shared" si="41"/>
        <v>0</v>
      </c>
      <c r="J46" s="8" t="e">
        <f t="shared" si="42"/>
        <v>#DIV/0!</v>
      </c>
      <c r="K46" s="8" t="e">
        <f t="shared" si="43"/>
        <v>#DIV/0!</v>
      </c>
      <c r="L46" s="37" t="e">
        <f t="shared" si="44"/>
        <v>#DIV/0!</v>
      </c>
      <c r="M46" s="37" t="e">
        <f t="shared" si="45"/>
        <v>#DIV/0!</v>
      </c>
      <c r="N46" s="37"/>
      <c r="O46" s="37"/>
      <c r="P46" s="41" t="e">
        <f t="shared" si="27"/>
        <v>#DIV/0!</v>
      </c>
      <c r="Q46" s="41" t="e">
        <f t="shared" si="11"/>
        <v>#DIV/0!</v>
      </c>
      <c r="R46" s="41">
        <f t="shared" si="37"/>
        <v>0</v>
      </c>
      <c r="S46" s="41" t="e">
        <f t="shared" si="38"/>
        <v>#DIV/0!</v>
      </c>
    </row>
    <row r="47" spans="2:19" x14ac:dyDescent="0.25">
      <c r="B47" s="4"/>
      <c r="C47" s="4">
        <v>41</v>
      </c>
      <c r="D47" s="4"/>
      <c r="E47" s="4"/>
      <c r="F47" s="29"/>
      <c r="G47" s="29"/>
      <c r="H47" s="6">
        <f t="shared" si="40"/>
        <v>0</v>
      </c>
      <c r="I47" s="6">
        <f t="shared" si="41"/>
        <v>0</v>
      </c>
      <c r="J47" s="8" t="e">
        <f t="shared" si="42"/>
        <v>#DIV/0!</v>
      </c>
      <c r="K47" s="8" t="e">
        <f t="shared" si="43"/>
        <v>#DIV/0!</v>
      </c>
      <c r="L47" s="37" t="e">
        <f t="shared" si="44"/>
        <v>#DIV/0!</v>
      </c>
      <c r="M47" s="37" t="e">
        <f t="shared" si="45"/>
        <v>#DIV/0!</v>
      </c>
      <c r="N47" s="37"/>
      <c r="O47" s="37"/>
      <c r="P47" s="41" t="e">
        <f t="shared" si="27"/>
        <v>#DIV/0!</v>
      </c>
      <c r="Q47" s="41" t="e">
        <f t="shared" si="11"/>
        <v>#DIV/0!</v>
      </c>
      <c r="R47" s="41">
        <f t="shared" si="37"/>
        <v>0</v>
      </c>
      <c r="S47" s="41" t="e">
        <f t="shared" si="38"/>
        <v>#DIV/0!</v>
      </c>
    </row>
    <row r="48" spans="2:19" x14ac:dyDescent="0.25">
      <c r="B48" s="4"/>
      <c r="C48" s="4">
        <v>42</v>
      </c>
      <c r="D48" s="4"/>
      <c r="E48" s="4"/>
      <c r="F48" s="29"/>
      <c r="G48" s="29"/>
      <c r="H48" s="6">
        <f t="shared" si="40"/>
        <v>0</v>
      </c>
      <c r="I48" s="6">
        <f t="shared" si="41"/>
        <v>0</v>
      </c>
      <c r="J48" s="8" t="e">
        <f t="shared" si="42"/>
        <v>#DIV/0!</v>
      </c>
      <c r="K48" s="8" t="e">
        <f t="shared" si="43"/>
        <v>#DIV/0!</v>
      </c>
      <c r="L48" s="37" t="e">
        <f t="shared" si="44"/>
        <v>#DIV/0!</v>
      </c>
      <c r="M48" s="37" t="e">
        <f t="shared" si="45"/>
        <v>#DIV/0!</v>
      </c>
      <c r="N48" s="37"/>
      <c r="O48" s="37"/>
      <c r="P48" s="41" t="e">
        <f t="shared" si="27"/>
        <v>#DIV/0!</v>
      </c>
      <c r="Q48" s="41" t="e">
        <f t="shared" si="11"/>
        <v>#DIV/0!</v>
      </c>
      <c r="R48" s="41">
        <f t="shared" si="37"/>
        <v>0</v>
      </c>
      <c r="S48" s="41" t="e">
        <f t="shared" si="38"/>
        <v>#DIV/0!</v>
      </c>
    </row>
    <row r="49" spans="2:19" x14ac:dyDescent="0.25">
      <c r="B49" s="4"/>
      <c r="C49" s="4">
        <v>43</v>
      </c>
      <c r="D49" s="4"/>
      <c r="E49" s="4"/>
      <c r="F49" s="29"/>
      <c r="G49" s="29"/>
      <c r="H49" s="6">
        <f t="shared" si="40"/>
        <v>0</v>
      </c>
      <c r="I49" s="6">
        <f t="shared" si="41"/>
        <v>0</v>
      </c>
      <c r="J49" s="8" t="e">
        <f t="shared" si="42"/>
        <v>#DIV/0!</v>
      </c>
      <c r="K49" s="8" t="e">
        <f t="shared" si="43"/>
        <v>#DIV/0!</v>
      </c>
      <c r="L49" s="37" t="e">
        <f t="shared" si="44"/>
        <v>#DIV/0!</v>
      </c>
      <c r="M49" s="37" t="e">
        <f t="shared" si="45"/>
        <v>#DIV/0!</v>
      </c>
      <c r="N49" s="37"/>
      <c r="O49" s="37"/>
      <c r="P49" s="41" t="e">
        <f t="shared" si="27"/>
        <v>#DIV/0!</v>
      </c>
      <c r="Q49" s="41" t="e">
        <f t="shared" si="11"/>
        <v>#DIV/0!</v>
      </c>
      <c r="R49" s="41">
        <f t="shared" si="37"/>
        <v>0</v>
      </c>
      <c r="S49" s="41" t="e">
        <f t="shared" si="38"/>
        <v>#DIV/0!</v>
      </c>
    </row>
    <row r="50" spans="2:19" x14ac:dyDescent="0.25">
      <c r="B50" s="4"/>
      <c r="C50" s="4">
        <v>44</v>
      </c>
      <c r="D50" s="4"/>
      <c r="E50" s="4"/>
      <c r="F50" s="29"/>
      <c r="G50" s="29"/>
      <c r="H50" s="6">
        <f t="shared" si="40"/>
        <v>0</v>
      </c>
      <c r="I50" s="6">
        <f t="shared" si="41"/>
        <v>0</v>
      </c>
      <c r="J50" s="8" t="e">
        <f t="shared" si="42"/>
        <v>#DIV/0!</v>
      </c>
      <c r="K50" s="8" t="e">
        <f t="shared" si="43"/>
        <v>#DIV/0!</v>
      </c>
      <c r="L50" s="37" t="e">
        <f t="shared" si="44"/>
        <v>#DIV/0!</v>
      </c>
      <c r="M50" s="37" t="e">
        <f t="shared" si="45"/>
        <v>#DIV/0!</v>
      </c>
      <c r="N50" s="37"/>
      <c r="O50" s="37"/>
      <c r="P50" s="41" t="e">
        <f t="shared" si="27"/>
        <v>#DIV/0!</v>
      </c>
      <c r="Q50" s="41" t="e">
        <f t="shared" si="11"/>
        <v>#DIV/0!</v>
      </c>
      <c r="R50" s="41">
        <f t="shared" si="37"/>
        <v>0</v>
      </c>
      <c r="S50" s="41" t="e">
        <f t="shared" si="38"/>
        <v>#DIV/0!</v>
      </c>
    </row>
    <row r="51" spans="2:19" x14ac:dyDescent="0.25">
      <c r="B51" s="4"/>
      <c r="C51" s="4">
        <v>45</v>
      </c>
      <c r="D51" s="4"/>
      <c r="E51" s="4"/>
      <c r="F51" s="29"/>
      <c r="G51" s="29"/>
      <c r="H51" s="6">
        <f t="shared" si="40"/>
        <v>0</v>
      </c>
      <c r="I51" s="6">
        <f t="shared" si="41"/>
        <v>0</v>
      </c>
      <c r="J51" s="8" t="e">
        <f t="shared" si="42"/>
        <v>#DIV/0!</v>
      </c>
      <c r="K51" s="8" t="e">
        <f t="shared" si="43"/>
        <v>#DIV/0!</v>
      </c>
      <c r="L51" s="37" t="e">
        <f t="shared" si="44"/>
        <v>#DIV/0!</v>
      </c>
      <c r="M51" s="37" t="e">
        <f t="shared" si="45"/>
        <v>#DIV/0!</v>
      </c>
      <c r="N51" s="37"/>
      <c r="O51" s="37"/>
      <c r="P51" s="41" t="e">
        <f t="shared" si="27"/>
        <v>#DIV/0!</v>
      </c>
      <c r="Q51" s="41" t="e">
        <f t="shared" si="11"/>
        <v>#DIV/0!</v>
      </c>
      <c r="R51" s="41">
        <f t="shared" si="37"/>
        <v>0</v>
      </c>
      <c r="S51" s="41" t="e">
        <f t="shared" si="38"/>
        <v>#DIV/0!</v>
      </c>
    </row>
    <row r="52" spans="2:19" x14ac:dyDescent="0.25">
      <c r="B52" s="4"/>
      <c r="C52" s="4">
        <v>46</v>
      </c>
      <c r="D52" s="4"/>
      <c r="E52" s="4"/>
      <c r="F52" s="29"/>
      <c r="G52" s="29"/>
      <c r="H52" s="6">
        <f t="shared" si="40"/>
        <v>0</v>
      </c>
      <c r="I52" s="6">
        <f t="shared" si="41"/>
        <v>0</v>
      </c>
      <c r="J52" s="8" t="e">
        <f t="shared" si="42"/>
        <v>#DIV/0!</v>
      </c>
      <c r="K52" s="8" t="e">
        <f t="shared" si="43"/>
        <v>#DIV/0!</v>
      </c>
      <c r="L52" s="37" t="e">
        <f t="shared" si="44"/>
        <v>#DIV/0!</v>
      </c>
      <c r="M52" s="37" t="e">
        <f t="shared" si="45"/>
        <v>#DIV/0!</v>
      </c>
      <c r="N52" s="37"/>
      <c r="O52" s="37"/>
      <c r="P52" s="41" t="e">
        <f t="shared" si="27"/>
        <v>#DIV/0!</v>
      </c>
      <c r="Q52" s="41" t="e">
        <f t="shared" si="11"/>
        <v>#DIV/0!</v>
      </c>
      <c r="R52" s="41">
        <f t="shared" si="37"/>
        <v>0</v>
      </c>
      <c r="S52" s="41" t="e">
        <f t="shared" si="38"/>
        <v>#DIV/0!</v>
      </c>
    </row>
    <row r="53" spans="2:19" x14ac:dyDescent="0.25">
      <c r="B53" s="4"/>
      <c r="C53" s="4">
        <v>47</v>
      </c>
      <c r="D53" s="4"/>
      <c r="E53" s="4"/>
      <c r="F53" s="29"/>
      <c r="G53" s="29"/>
      <c r="H53" s="6">
        <f t="shared" si="40"/>
        <v>0</v>
      </c>
      <c r="I53" s="6">
        <f t="shared" si="41"/>
        <v>0</v>
      </c>
      <c r="J53" s="8" t="e">
        <f t="shared" si="42"/>
        <v>#DIV/0!</v>
      </c>
      <c r="K53" s="8" t="e">
        <f t="shared" si="43"/>
        <v>#DIV/0!</v>
      </c>
      <c r="L53" s="37" t="e">
        <f t="shared" si="44"/>
        <v>#DIV/0!</v>
      </c>
      <c r="M53" s="37" t="e">
        <f t="shared" si="45"/>
        <v>#DIV/0!</v>
      </c>
      <c r="N53" s="37"/>
      <c r="O53" s="37"/>
      <c r="P53" s="41" t="e">
        <f t="shared" si="27"/>
        <v>#DIV/0!</v>
      </c>
      <c r="Q53" s="41" t="e">
        <f t="shared" si="11"/>
        <v>#DIV/0!</v>
      </c>
      <c r="R53" s="41">
        <f t="shared" si="37"/>
        <v>0</v>
      </c>
      <c r="S53" s="41" t="e">
        <f t="shared" si="38"/>
        <v>#DIV/0!</v>
      </c>
    </row>
    <row r="54" spans="2:19" x14ac:dyDescent="0.25">
      <c r="B54" s="4"/>
      <c r="C54" s="4">
        <v>48</v>
      </c>
      <c r="D54" s="4"/>
      <c r="E54" s="4"/>
      <c r="F54" s="29"/>
      <c r="G54" s="29"/>
      <c r="H54" s="6">
        <f t="shared" si="40"/>
        <v>0</v>
      </c>
      <c r="I54" s="6">
        <f t="shared" si="41"/>
        <v>0</v>
      </c>
      <c r="J54" s="8" t="e">
        <f t="shared" si="42"/>
        <v>#DIV/0!</v>
      </c>
      <c r="K54" s="8" t="e">
        <f t="shared" si="43"/>
        <v>#DIV/0!</v>
      </c>
      <c r="L54" s="37" t="e">
        <f t="shared" si="44"/>
        <v>#DIV/0!</v>
      </c>
      <c r="M54" s="37" t="e">
        <f t="shared" si="45"/>
        <v>#DIV/0!</v>
      </c>
      <c r="N54" s="37"/>
      <c r="O54" s="37"/>
      <c r="P54" s="41" t="e">
        <f t="shared" si="27"/>
        <v>#DIV/0!</v>
      </c>
      <c r="Q54" s="41" t="e">
        <f t="shared" si="11"/>
        <v>#DIV/0!</v>
      </c>
      <c r="R54" s="41">
        <f t="shared" si="37"/>
        <v>0</v>
      </c>
      <c r="S54" s="41" t="e">
        <f t="shared" si="38"/>
        <v>#DIV/0!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744C-7F50-4193-81F3-0746C16F386F}">
  <dimension ref="A2:S54"/>
  <sheetViews>
    <sheetView showGridLines="0" zoomScaleNormal="100" workbookViewId="0">
      <selection activeCell="O20" sqref="O20"/>
    </sheetView>
  </sheetViews>
  <sheetFormatPr defaultRowHeight="15" x14ac:dyDescent="0.25"/>
  <cols>
    <col min="1" max="1" width="3.7109375" style="2" customWidth="1"/>
    <col min="2" max="2" width="20.5703125" style="2" customWidth="1"/>
    <col min="3" max="4" width="18.28515625" style="2" customWidth="1"/>
    <col min="5" max="5" width="10.42578125" style="2" customWidth="1"/>
    <col min="6" max="16384" width="9.140625" style="2"/>
  </cols>
  <sheetData>
    <row r="2" spans="1:19" x14ac:dyDescent="0.25">
      <c r="B2" s="1" t="s">
        <v>7</v>
      </c>
    </row>
    <row r="3" spans="1:19" x14ac:dyDescent="0.25">
      <c r="B3" s="1" t="s">
        <v>13</v>
      </c>
      <c r="C3" s="39" t="s">
        <v>160</v>
      </c>
      <c r="D3" s="40">
        <v>0.36499999999999999</v>
      </c>
      <c r="J3" s="9">
        <f>AVERAGE(J11:J15)</f>
        <v>-3.1807142857143448E-3</v>
      </c>
      <c r="K3" s="9">
        <f>AVERAGE(K11:K15)</f>
        <v>2.1326428571428468E-2</v>
      </c>
    </row>
    <row r="4" spans="1:19" x14ac:dyDescent="0.25">
      <c r="L4" s="3" t="s">
        <v>157</v>
      </c>
      <c r="M4" s="3"/>
      <c r="N4" s="3" t="s">
        <v>158</v>
      </c>
      <c r="O4" s="3"/>
      <c r="P4" s="3" t="s">
        <v>161</v>
      </c>
      <c r="Q4" s="3"/>
      <c r="R4" s="3" t="s">
        <v>162</v>
      </c>
      <c r="S4" s="3"/>
    </row>
    <row r="5" spans="1:19" x14ac:dyDescent="0.25">
      <c r="B5" s="3" t="s">
        <v>3</v>
      </c>
      <c r="C5" s="3" t="s">
        <v>114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3" t="s">
        <v>0</v>
      </c>
      <c r="M5" s="3" t="s">
        <v>1</v>
      </c>
      <c r="N5" s="3" t="s">
        <v>0</v>
      </c>
      <c r="O5" s="3" t="s">
        <v>1</v>
      </c>
      <c r="P5" s="3" t="s">
        <v>0</v>
      </c>
      <c r="Q5" s="3" t="s">
        <v>1</v>
      </c>
      <c r="R5" s="3"/>
      <c r="S5" s="3"/>
    </row>
    <row r="6" spans="1:19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25">
      <c r="A7" s="1"/>
      <c r="B7" s="5" t="s">
        <v>156</v>
      </c>
      <c r="C7" s="4">
        <v>1</v>
      </c>
      <c r="D7" s="4">
        <f>D6+E7</f>
        <v>0</v>
      </c>
      <c r="E7" s="4"/>
      <c r="F7" s="6">
        <v>6</v>
      </c>
      <c r="G7" s="6">
        <v>6</v>
      </c>
      <c r="H7" s="6">
        <f>F6-F7</f>
        <v>0</v>
      </c>
      <c r="I7" s="6">
        <f>G6-G7</f>
        <v>0</v>
      </c>
      <c r="J7" s="8" t="e">
        <f>H7/E7</f>
        <v>#DIV/0!</v>
      </c>
      <c r="K7" s="8" t="e">
        <f>I7/E7</f>
        <v>#DIV/0!</v>
      </c>
      <c r="L7" s="37" t="e">
        <f>-(F7-F$6)/$D7</f>
        <v>#DIV/0!</v>
      </c>
      <c r="M7" s="37" t="e">
        <f>-(G7-G$6)/$D7</f>
        <v>#DIV/0!</v>
      </c>
      <c r="N7" s="37"/>
      <c r="O7" s="37"/>
      <c r="P7" s="37"/>
      <c r="Q7" s="37"/>
      <c r="R7" s="37"/>
      <c r="S7" s="37"/>
    </row>
    <row r="8" spans="1:19" x14ac:dyDescent="0.25">
      <c r="B8" s="5" t="s">
        <v>159</v>
      </c>
      <c r="C8" s="4">
        <v>2</v>
      </c>
      <c r="D8" s="4">
        <f t="shared" ref="D8:D54" si="0">D7+E8</f>
        <v>0</v>
      </c>
      <c r="E8" s="4"/>
      <c r="F8" s="6">
        <v>5.7</v>
      </c>
      <c r="G8" s="6">
        <v>5.7</v>
      </c>
      <c r="H8" s="6">
        <f t="shared" ref="H8:I25" si="1">F7-F8</f>
        <v>0.29999999999999982</v>
      </c>
      <c r="I8" s="6">
        <f t="shared" si="1"/>
        <v>0.29999999999999982</v>
      </c>
      <c r="J8" s="8" t="e">
        <f t="shared" ref="J8:J54" si="2">H8/E8</f>
        <v>#DIV/0!</v>
      </c>
      <c r="K8" s="8" t="e">
        <f t="shared" ref="K8:K54" si="3">I8/E8</f>
        <v>#DIV/0!</v>
      </c>
      <c r="L8" s="37" t="e">
        <f t="shared" ref="L8:M23" si="4">-(F8-F$6)/$D8</f>
        <v>#DIV/0!</v>
      </c>
      <c r="M8" s="37" t="e">
        <f t="shared" si="4"/>
        <v>#DIV/0!</v>
      </c>
      <c r="N8" s="37">
        <v>0.25</v>
      </c>
      <c r="O8" s="37">
        <v>0.55000000000000004</v>
      </c>
      <c r="P8" s="37"/>
      <c r="Q8" s="37"/>
      <c r="R8" s="37"/>
      <c r="S8" s="37"/>
    </row>
    <row r="9" spans="1:19" x14ac:dyDescent="0.25">
      <c r="B9" s="5">
        <v>2.0833333333333332E-2</v>
      </c>
      <c r="C9" s="4">
        <v>3</v>
      </c>
      <c r="D9" s="4">
        <v>7</v>
      </c>
      <c r="E9" s="38">
        <f>D9-D8</f>
        <v>7</v>
      </c>
      <c r="F9" s="29">
        <f>$F$8-(N9-$N$8)*$D$3</f>
        <v>5.5357500000000002</v>
      </c>
      <c r="G9" s="29">
        <f>$G$8-(O9-$O$8)*$D$3</f>
        <v>5.5357500000000002</v>
      </c>
      <c r="H9" s="6">
        <f t="shared" si="1"/>
        <v>0.16425000000000001</v>
      </c>
      <c r="I9" s="6">
        <f t="shared" si="1"/>
        <v>0.16425000000000001</v>
      </c>
      <c r="J9" s="8">
        <f t="shared" si="2"/>
        <v>2.3464285714285715E-2</v>
      </c>
      <c r="K9" s="8">
        <f t="shared" si="3"/>
        <v>2.3464285714285715E-2</v>
      </c>
      <c r="L9" s="37">
        <f t="shared" si="4"/>
        <v>6.6321428571428545E-2</v>
      </c>
      <c r="M9" s="37">
        <f t="shared" si="4"/>
        <v>6.6321428571428545E-2</v>
      </c>
      <c r="N9" s="37">
        <v>0.7</v>
      </c>
      <c r="O9" s="37">
        <v>1</v>
      </c>
      <c r="P9" s="41">
        <f>6/L9</f>
        <v>90.468497576736709</v>
      </c>
      <c r="Q9" s="41">
        <f>6/M9</f>
        <v>90.468497576736709</v>
      </c>
      <c r="R9" s="41"/>
      <c r="S9" s="41"/>
    </row>
    <row r="10" spans="1:19" x14ac:dyDescent="0.25">
      <c r="B10" s="5">
        <v>4.1666666666666664E-2</v>
      </c>
      <c r="C10" s="4">
        <v>4</v>
      </c>
      <c r="D10" s="4">
        <v>14</v>
      </c>
      <c r="E10" s="38">
        <f t="shared" ref="E10:E24" si="5">D10-D9</f>
        <v>7</v>
      </c>
      <c r="F10" s="29">
        <f t="shared" ref="F10:F17" si="6">$F$8-(N10-$N$8)*$D$3</f>
        <v>5.4809999999999999</v>
      </c>
      <c r="G10" s="29">
        <f t="shared" ref="G10:G17" si="7">$G$8-(O10-$O$8)*$D$3</f>
        <v>5.5357500000000002</v>
      </c>
      <c r="H10" s="6">
        <f t="shared" si="1"/>
        <v>5.4750000000000298E-2</v>
      </c>
      <c r="I10" s="6">
        <f t="shared" si="1"/>
        <v>0</v>
      </c>
      <c r="J10" s="8">
        <f t="shared" si="2"/>
        <v>7.8214285714286146E-3</v>
      </c>
      <c r="K10" s="8">
        <f t="shared" si="3"/>
        <v>0</v>
      </c>
      <c r="L10" s="37">
        <f t="shared" si="4"/>
        <v>3.7071428571428582E-2</v>
      </c>
      <c r="M10" s="37">
        <f t="shared" si="4"/>
        <v>3.3160714285714273E-2</v>
      </c>
      <c r="N10" s="37">
        <v>0.85</v>
      </c>
      <c r="O10" s="37">
        <v>1</v>
      </c>
      <c r="P10" s="41">
        <f t="shared" ref="P10:Q25" si="8">6/L10</f>
        <v>161.84971098265891</v>
      </c>
      <c r="Q10" s="41">
        <f t="shared" si="8"/>
        <v>180.93699515347342</v>
      </c>
      <c r="R10" s="41"/>
      <c r="S10" s="41"/>
    </row>
    <row r="11" spans="1:19" x14ac:dyDescent="0.25">
      <c r="B11" s="5"/>
      <c r="C11" s="4">
        <v>5</v>
      </c>
      <c r="D11" s="4">
        <v>20</v>
      </c>
      <c r="E11" s="38">
        <f t="shared" si="5"/>
        <v>6</v>
      </c>
      <c r="F11" s="29">
        <f t="shared" si="6"/>
        <v>5.4262500000000005</v>
      </c>
      <c r="G11" s="29">
        <f t="shared" si="7"/>
        <v>5.4262500000000005</v>
      </c>
      <c r="H11" s="6">
        <f t="shared" si="1"/>
        <v>5.474999999999941E-2</v>
      </c>
      <c r="I11" s="6">
        <f t="shared" si="1"/>
        <v>0.10949999999999971</v>
      </c>
      <c r="J11" s="8">
        <f t="shared" si="2"/>
        <v>9.1249999999999023E-3</v>
      </c>
      <c r="K11" s="8">
        <f t="shared" si="3"/>
        <v>1.824999999999995E-2</v>
      </c>
      <c r="L11" s="37">
        <f t="shared" si="4"/>
        <v>2.8687499999999977E-2</v>
      </c>
      <c r="M11" s="37">
        <f t="shared" si="4"/>
        <v>2.8687499999999977E-2</v>
      </c>
      <c r="N11" s="37">
        <v>1</v>
      </c>
      <c r="O11" s="37">
        <v>1.3</v>
      </c>
      <c r="P11" s="41">
        <f t="shared" si="8"/>
        <v>209.15032679738579</v>
      </c>
      <c r="Q11" s="41">
        <f t="shared" si="8"/>
        <v>209.15032679738579</v>
      </c>
      <c r="R11" s="41"/>
      <c r="S11" s="41"/>
    </row>
    <row r="12" spans="1:19" x14ac:dyDescent="0.25">
      <c r="B12" s="5"/>
      <c r="C12" s="4">
        <v>6</v>
      </c>
      <c r="D12" s="4">
        <v>25</v>
      </c>
      <c r="E12" s="38">
        <f t="shared" si="5"/>
        <v>5</v>
      </c>
      <c r="F12" s="29">
        <f t="shared" si="6"/>
        <v>5.3715000000000002</v>
      </c>
      <c r="G12" s="29">
        <f t="shared" si="7"/>
        <v>5.3167499999999999</v>
      </c>
      <c r="H12" s="6">
        <f t="shared" si="1"/>
        <v>5.4750000000000298E-2</v>
      </c>
      <c r="I12" s="6">
        <f t="shared" si="1"/>
        <v>0.1095000000000006</v>
      </c>
      <c r="J12" s="8">
        <f t="shared" si="2"/>
        <v>1.095000000000006E-2</v>
      </c>
      <c r="K12" s="8">
        <f t="shared" si="3"/>
        <v>2.1900000000000121E-2</v>
      </c>
      <c r="L12" s="37">
        <f t="shared" si="4"/>
        <v>2.5139999999999992E-2</v>
      </c>
      <c r="M12" s="37">
        <f t="shared" si="4"/>
        <v>2.7330000000000007E-2</v>
      </c>
      <c r="N12" s="37">
        <v>1.1499999999999999</v>
      </c>
      <c r="O12" s="37">
        <v>1.6</v>
      </c>
      <c r="P12" s="41">
        <f t="shared" si="8"/>
        <v>238.66348448687359</v>
      </c>
      <c r="Q12" s="41">
        <f t="shared" si="8"/>
        <v>219.53896816684957</v>
      </c>
      <c r="R12" s="41">
        <f>D12+F12/(F9-F12)*(D12-D9)</f>
        <v>613.65753424657532</v>
      </c>
      <c r="S12" s="41">
        <f t="shared" ref="S12" si="9">D12+G12/(G9-G12)*(D12-D9)</f>
        <v>461.99315068493092</v>
      </c>
    </row>
    <row r="13" spans="1:19" x14ac:dyDescent="0.25">
      <c r="B13" s="5"/>
      <c r="C13" s="4">
        <v>7</v>
      </c>
      <c r="D13" s="4">
        <v>30</v>
      </c>
      <c r="E13" s="38">
        <f t="shared" si="5"/>
        <v>5</v>
      </c>
      <c r="F13" s="29">
        <f t="shared" si="6"/>
        <v>5.3167499999999999</v>
      </c>
      <c r="G13" s="29">
        <f t="shared" si="7"/>
        <v>5.3167499999999999</v>
      </c>
      <c r="H13" s="6">
        <f t="shared" si="1"/>
        <v>5.4750000000000298E-2</v>
      </c>
      <c r="I13" s="6">
        <f t="shared" si="1"/>
        <v>0</v>
      </c>
      <c r="J13" s="8">
        <f t="shared" si="2"/>
        <v>1.095000000000006E-2</v>
      </c>
      <c r="K13" s="8">
        <f t="shared" si="3"/>
        <v>0</v>
      </c>
      <c r="L13" s="37">
        <f t="shared" si="4"/>
        <v>2.2775000000000004E-2</v>
      </c>
      <c r="M13" s="37">
        <f t="shared" si="4"/>
        <v>2.2775000000000004E-2</v>
      </c>
      <c r="N13" s="37">
        <v>1.3</v>
      </c>
      <c r="O13" s="37">
        <v>1.6</v>
      </c>
      <c r="P13" s="41">
        <f t="shared" si="8"/>
        <v>263.44676180021952</v>
      </c>
      <c r="Q13" s="41">
        <f t="shared" si="8"/>
        <v>263.44676180021952</v>
      </c>
      <c r="R13" s="41">
        <f t="shared" ref="R13:R17" si="10">D13+F13/(F10-F13)*(D13-D10)</f>
        <v>547.91780821917803</v>
      </c>
      <c r="S13" s="41">
        <f t="shared" ref="S13:S17" si="11">D13+G13/(G10-G13)*(D13-D10)</f>
        <v>418.43835616438304</v>
      </c>
    </row>
    <row r="14" spans="1:19" x14ac:dyDescent="0.25">
      <c r="B14" s="5"/>
      <c r="C14" s="4">
        <v>8</v>
      </c>
      <c r="D14" s="4">
        <v>31</v>
      </c>
      <c r="E14" s="38">
        <f t="shared" si="5"/>
        <v>1</v>
      </c>
      <c r="F14" s="29">
        <f t="shared" si="6"/>
        <v>5.3715000000000002</v>
      </c>
      <c r="G14" s="29">
        <f t="shared" si="7"/>
        <v>5.2620000000000005</v>
      </c>
      <c r="H14" s="6">
        <f t="shared" si="1"/>
        <v>-5.4750000000000298E-2</v>
      </c>
      <c r="I14" s="6">
        <f t="shared" si="1"/>
        <v>5.474999999999941E-2</v>
      </c>
      <c r="J14" s="8">
        <f t="shared" si="2"/>
        <v>-5.4750000000000298E-2</v>
      </c>
      <c r="K14" s="8">
        <f t="shared" si="3"/>
        <v>5.474999999999941E-2</v>
      </c>
      <c r="L14" s="37">
        <f t="shared" si="4"/>
        <v>2.0274193548387092E-2</v>
      </c>
      <c r="M14" s="37">
        <f t="shared" si="4"/>
        <v>2.380645161290321E-2</v>
      </c>
      <c r="N14" s="37">
        <v>1.1499999999999999</v>
      </c>
      <c r="O14" s="37">
        <v>1.75</v>
      </c>
      <c r="P14" s="41">
        <f t="shared" si="8"/>
        <v>295.94272076372323</v>
      </c>
      <c r="Q14" s="41">
        <f t="shared" si="8"/>
        <v>252.03252032520342</v>
      </c>
      <c r="R14" s="41">
        <f t="shared" si="10"/>
        <v>1110.2054794520491</v>
      </c>
      <c r="S14" s="41">
        <f t="shared" si="11"/>
        <v>383.40182648401827</v>
      </c>
    </row>
    <row r="15" spans="1:19" x14ac:dyDescent="0.25">
      <c r="B15" s="5"/>
      <c r="C15" s="4">
        <v>9</v>
      </c>
      <c r="D15" s="4">
        <v>45</v>
      </c>
      <c r="E15" s="38">
        <f t="shared" si="5"/>
        <v>14</v>
      </c>
      <c r="F15" s="29">
        <f t="shared" si="6"/>
        <v>5.2620000000000005</v>
      </c>
      <c r="G15" s="29">
        <f t="shared" si="7"/>
        <v>5.0977500000000004</v>
      </c>
      <c r="H15" s="6">
        <f t="shared" si="1"/>
        <v>0.10949999999999971</v>
      </c>
      <c r="I15" s="6">
        <f t="shared" si="1"/>
        <v>0.16425000000000001</v>
      </c>
      <c r="J15" s="8">
        <f t="shared" si="2"/>
        <v>7.8214285714285504E-3</v>
      </c>
      <c r="K15" s="8">
        <f t="shared" si="3"/>
        <v>1.1732142857142858E-2</v>
      </c>
      <c r="L15" s="37">
        <f>-(F15-F$6)/$D15</f>
        <v>1.6399999999999991E-2</v>
      </c>
      <c r="M15" s="37">
        <f t="shared" si="4"/>
        <v>2.0049999999999991E-2</v>
      </c>
      <c r="N15" s="37">
        <v>1.45</v>
      </c>
      <c r="O15" s="37">
        <v>2.2000000000000002</v>
      </c>
      <c r="P15" s="41">
        <f t="shared" si="8"/>
        <v>365.85365853658556</v>
      </c>
      <c r="Q15" s="41">
        <f t="shared" si="8"/>
        <v>299.25187032418967</v>
      </c>
      <c r="R15" s="41">
        <f t="shared" si="10"/>
        <v>1006.0958904109616</v>
      </c>
      <c r="S15" s="41">
        <f t="shared" si="11"/>
        <v>510.54794520548069</v>
      </c>
    </row>
    <row r="16" spans="1:19" x14ac:dyDescent="0.25">
      <c r="A16" s="1"/>
      <c r="B16" s="5"/>
      <c r="C16" s="4">
        <v>10</v>
      </c>
      <c r="D16" s="4">
        <v>60</v>
      </c>
      <c r="E16" s="38">
        <f t="shared" si="5"/>
        <v>15</v>
      </c>
      <c r="F16" s="29">
        <f t="shared" si="6"/>
        <v>5.1524999999999999</v>
      </c>
      <c r="G16" s="29">
        <f t="shared" si="7"/>
        <v>5.0977500000000004</v>
      </c>
      <c r="H16" s="6">
        <f t="shared" si="1"/>
        <v>0.1095000000000006</v>
      </c>
      <c r="I16" s="6">
        <f t="shared" si="1"/>
        <v>0</v>
      </c>
      <c r="J16" s="6">
        <f t="shared" si="2"/>
        <v>7.30000000000004E-3</v>
      </c>
      <c r="K16" s="6">
        <f t="shared" si="3"/>
        <v>0</v>
      </c>
      <c r="L16" s="37">
        <f t="shared" si="4"/>
        <v>1.4125000000000002E-2</v>
      </c>
      <c r="M16" s="37">
        <f t="shared" si="4"/>
        <v>1.5037499999999992E-2</v>
      </c>
      <c r="N16" s="37">
        <v>1.75</v>
      </c>
      <c r="O16" s="37">
        <v>2.2000000000000002</v>
      </c>
      <c r="P16" s="41">
        <f t="shared" si="8"/>
        <v>424.77876106194685</v>
      </c>
      <c r="Q16" s="41">
        <f t="shared" si="8"/>
        <v>399.00249376558622</v>
      </c>
      <c r="R16" s="41">
        <f t="shared" si="10"/>
        <v>1001.0958904109588</v>
      </c>
      <c r="S16" s="41">
        <f t="shared" si="11"/>
        <v>758.32191780822109</v>
      </c>
    </row>
    <row r="17" spans="1:19" x14ac:dyDescent="0.25">
      <c r="B17" s="5"/>
      <c r="C17" s="4">
        <v>11</v>
      </c>
      <c r="D17" s="4">
        <v>105</v>
      </c>
      <c r="E17" s="38">
        <f t="shared" si="5"/>
        <v>45</v>
      </c>
      <c r="F17" s="29">
        <f t="shared" ref="F17:F19" si="12">$F$8-(N17-$N$8)*$D$3</f>
        <v>4.8787500000000001</v>
      </c>
      <c r="G17" s="29">
        <f t="shared" ref="G17:G20" si="13">$G$8-(O17-$O$8)*$D$3</f>
        <v>4.8239999999999998</v>
      </c>
      <c r="H17" s="6">
        <f t="shared" si="1"/>
        <v>0.27374999999999972</v>
      </c>
      <c r="I17" s="6">
        <f t="shared" si="1"/>
        <v>0.2737500000000006</v>
      </c>
      <c r="J17" s="6">
        <f t="shared" si="2"/>
        <v>6.0833333333333269E-3</v>
      </c>
      <c r="K17" s="6">
        <f t="shared" si="3"/>
        <v>6.0833333333333468E-3</v>
      </c>
      <c r="L17" s="37">
        <f t="shared" si="4"/>
        <v>1.0678571428571428E-2</v>
      </c>
      <c r="M17" s="37">
        <f t="shared" si="4"/>
        <v>1.1200000000000002E-2</v>
      </c>
      <c r="N17" s="37">
        <v>2.5</v>
      </c>
      <c r="O17" s="37">
        <v>2.95</v>
      </c>
      <c r="P17" s="41">
        <f t="shared" si="8"/>
        <v>561.87290969899664</v>
      </c>
      <c r="Q17" s="41">
        <f t="shared" si="8"/>
        <v>535.71428571428567</v>
      </c>
      <c r="R17" s="41">
        <f t="shared" si="10"/>
        <v>837.67884322678833</v>
      </c>
      <c r="S17" s="41">
        <f t="shared" si="11"/>
        <v>920.01369863013576</v>
      </c>
    </row>
    <row r="18" spans="1:19" x14ac:dyDescent="0.25">
      <c r="B18" s="5"/>
      <c r="C18" s="4">
        <v>12</v>
      </c>
      <c r="D18" s="4">
        <v>124</v>
      </c>
      <c r="E18" s="38">
        <f t="shared" si="5"/>
        <v>19</v>
      </c>
      <c r="F18" s="29">
        <f t="shared" si="12"/>
        <v>4.7692500000000004</v>
      </c>
      <c r="G18" s="29">
        <f t="shared" si="13"/>
        <v>4.7145000000000001</v>
      </c>
      <c r="H18" s="6">
        <f t="shared" si="1"/>
        <v>0.10949999999999971</v>
      </c>
      <c r="I18" s="6">
        <f t="shared" si="1"/>
        <v>0.10949999999999971</v>
      </c>
      <c r="J18" s="6">
        <f t="shared" si="2"/>
        <v>5.7631578947368268E-3</v>
      </c>
      <c r="K18" s="6">
        <f t="shared" si="3"/>
        <v>5.7631578947368268E-3</v>
      </c>
      <c r="L18" s="37">
        <f t="shared" si="4"/>
        <v>9.9254032258064475E-3</v>
      </c>
      <c r="M18" s="37">
        <f t="shared" si="4"/>
        <v>1.0366935483870967E-2</v>
      </c>
      <c r="N18" s="37">
        <v>2.8</v>
      </c>
      <c r="O18" s="37">
        <v>3.25</v>
      </c>
      <c r="P18" s="41">
        <f t="shared" si="8"/>
        <v>604.50944546008554</v>
      </c>
      <c r="Q18" s="41">
        <f t="shared" si="8"/>
        <v>578.76312718786471</v>
      </c>
      <c r="R18" s="41">
        <f t="shared" ref="R18" si="14">D18+F18/(F15-F18)*(D18-D15)</f>
        <v>888.6286149162861</v>
      </c>
      <c r="S18" s="41">
        <f t="shared" ref="S18" si="15">D18+G18/(G15-G18)*(D18-D15)</f>
        <v>1095.8082191780813</v>
      </c>
    </row>
    <row r="19" spans="1:19" x14ac:dyDescent="0.25">
      <c r="B19" s="5"/>
      <c r="C19" s="4">
        <v>13</v>
      </c>
      <c r="D19" s="4">
        <v>131</v>
      </c>
      <c r="E19" s="38">
        <f t="shared" si="5"/>
        <v>7</v>
      </c>
      <c r="F19" s="29">
        <f t="shared" ref="F19:F21" si="16">$F$8-(N19-$N$8)*$D$3</f>
        <v>4.7145000000000001</v>
      </c>
      <c r="G19" s="29">
        <f t="shared" ref="G19:G21" si="17">$G$8-(O19-$O$8)*$D$3</f>
        <v>4.6597500000000007</v>
      </c>
      <c r="H19" s="6">
        <f t="shared" si="1"/>
        <v>5.4750000000000298E-2</v>
      </c>
      <c r="I19" s="6">
        <f t="shared" si="1"/>
        <v>5.474999999999941E-2</v>
      </c>
      <c r="J19" s="6">
        <f t="shared" si="2"/>
        <v>7.8214285714286146E-3</v>
      </c>
      <c r="K19" s="6">
        <f t="shared" si="3"/>
        <v>7.8214285714284879E-3</v>
      </c>
      <c r="L19" s="37">
        <f t="shared" si="4"/>
        <v>9.8129770992366402E-3</v>
      </c>
      <c r="M19" s="37">
        <f t="shared" si="4"/>
        <v>1.0230916030534346E-2</v>
      </c>
      <c r="N19" s="37">
        <v>2.95</v>
      </c>
      <c r="O19" s="37">
        <v>3.4</v>
      </c>
      <c r="P19" s="41">
        <f t="shared" si="8"/>
        <v>611.43523920653445</v>
      </c>
      <c r="Q19" s="41">
        <f t="shared" si="8"/>
        <v>586.45775041969819</v>
      </c>
      <c r="R19" s="41">
        <f t="shared" ref="R19" si="18">D19+F19/(F16-F19)*(D19-D16)</f>
        <v>895.22260273972654</v>
      </c>
      <c r="S19" s="41">
        <f t="shared" ref="S19" si="19">D19+G19/(G16-G19)*(D19-D16)</f>
        <v>886.34760273972665</v>
      </c>
    </row>
    <row r="20" spans="1:19" x14ac:dyDescent="0.25">
      <c r="B20" s="5"/>
      <c r="C20" s="4">
        <v>14</v>
      </c>
      <c r="D20" s="4">
        <v>143</v>
      </c>
      <c r="E20" s="38">
        <f t="shared" si="5"/>
        <v>12</v>
      </c>
      <c r="F20" s="29">
        <f t="shared" si="16"/>
        <v>4.6597500000000007</v>
      </c>
      <c r="G20" s="29">
        <f t="shared" si="17"/>
        <v>4.6050000000000004</v>
      </c>
      <c r="H20" s="6">
        <f t="shared" si="1"/>
        <v>5.474999999999941E-2</v>
      </c>
      <c r="I20" s="6">
        <f t="shared" si="1"/>
        <v>5.4750000000000298E-2</v>
      </c>
      <c r="J20" s="6">
        <f t="shared" si="2"/>
        <v>4.5624999999999511E-3</v>
      </c>
      <c r="K20" s="6">
        <f t="shared" si="3"/>
        <v>4.5625000000000249E-3</v>
      </c>
      <c r="L20" s="37">
        <f t="shared" si="4"/>
        <v>9.3723776223776176E-3</v>
      </c>
      <c r="M20" s="37">
        <f t="shared" si="4"/>
        <v>9.7552447552447519E-3</v>
      </c>
      <c r="N20" s="37">
        <v>3.1</v>
      </c>
      <c r="O20" s="37">
        <v>3.55</v>
      </c>
      <c r="P20" s="41">
        <f t="shared" si="8"/>
        <v>640.17907106883081</v>
      </c>
      <c r="Q20" s="41">
        <f t="shared" si="8"/>
        <v>615.05376344086039</v>
      </c>
      <c r="R20" s="41">
        <f t="shared" ref="R20" si="20">D20+F20/(F17-F20)*(D20-D17)</f>
        <v>951.5410958904132</v>
      </c>
      <c r="S20" s="41">
        <f t="shared" ref="S20" si="21">D20+G20/(G17-G20)*(D20-D17)</f>
        <v>942.0410958904132</v>
      </c>
    </row>
    <row r="21" spans="1:19" x14ac:dyDescent="0.25">
      <c r="B21" s="5"/>
      <c r="C21" s="4">
        <v>15</v>
      </c>
      <c r="D21" s="4">
        <v>167</v>
      </c>
      <c r="E21" s="38">
        <f t="shared" si="5"/>
        <v>24</v>
      </c>
      <c r="F21" s="29">
        <f t="shared" ref="F21:F22" si="22">$F$8-(N21-$N$8)*$D$3</f>
        <v>4.5502500000000001</v>
      </c>
      <c r="G21" s="29">
        <f t="shared" ref="G21:G22" si="23">$G$8-(O21-$O$8)*$D$3</f>
        <v>4.4954999999999998</v>
      </c>
      <c r="H21" s="6">
        <f t="shared" si="1"/>
        <v>0.1095000000000006</v>
      </c>
      <c r="I21" s="6">
        <f t="shared" si="1"/>
        <v>0.1095000000000006</v>
      </c>
      <c r="J21" s="6">
        <f t="shared" si="2"/>
        <v>4.5625000000000249E-3</v>
      </c>
      <c r="K21" s="6">
        <f t="shared" si="3"/>
        <v>4.5625000000000249E-3</v>
      </c>
      <c r="L21" s="37">
        <f t="shared" si="4"/>
        <v>8.6811377245508969E-3</v>
      </c>
      <c r="M21" s="37">
        <f t="shared" si="4"/>
        <v>9.0089820359281446E-3</v>
      </c>
      <c r="N21" s="37">
        <v>3.4</v>
      </c>
      <c r="O21" s="37">
        <v>3.85</v>
      </c>
      <c r="P21" s="41">
        <f t="shared" si="8"/>
        <v>691.15364718054843</v>
      </c>
      <c r="Q21" s="41">
        <f t="shared" si="8"/>
        <v>666.00199401794612</v>
      </c>
      <c r="R21" s="41">
        <f t="shared" ref="R21" si="24">D21+F21/(F18-F21)*(D21-D18)</f>
        <v>1060.4280821917796</v>
      </c>
      <c r="S21" s="41">
        <f t="shared" ref="S21" si="25">D21+G21/(G18-G21)*(D21-D18)</f>
        <v>1049.6780821917796</v>
      </c>
    </row>
    <row r="22" spans="1:19" x14ac:dyDescent="0.25">
      <c r="A22" s="1"/>
      <c r="B22" s="5"/>
      <c r="C22" s="4">
        <v>16</v>
      </c>
      <c r="D22" s="4">
        <v>210</v>
      </c>
      <c r="E22" s="38">
        <f t="shared" si="5"/>
        <v>43</v>
      </c>
      <c r="F22" s="29">
        <f t="shared" ref="F22:F23" si="26">$F$8-(N22-$N$8)*$D$3</f>
        <v>4.3860000000000001</v>
      </c>
      <c r="G22" s="29">
        <f t="shared" ref="G22:G23" si="27">$G$8-(O22-$O$8)*$D$3</f>
        <v>4.2217500000000001</v>
      </c>
      <c r="H22" s="6">
        <f t="shared" si="1"/>
        <v>0.16425000000000001</v>
      </c>
      <c r="I22" s="6">
        <f t="shared" si="1"/>
        <v>0.27374999999999972</v>
      </c>
      <c r="J22" s="6">
        <f t="shared" si="2"/>
        <v>3.8197674418604653E-3</v>
      </c>
      <c r="K22" s="6">
        <f t="shared" si="3"/>
        <v>6.3662790697674356E-3</v>
      </c>
      <c r="L22" s="37">
        <f t="shared" si="4"/>
        <v>7.6857142857142853E-3</v>
      </c>
      <c r="M22" s="37">
        <f t="shared" si="4"/>
        <v>8.4678571428571416E-3</v>
      </c>
      <c r="N22" s="37">
        <v>3.85</v>
      </c>
      <c r="O22" s="37">
        <v>4.5999999999999996</v>
      </c>
      <c r="P22" s="41">
        <f t="shared" si="8"/>
        <v>780.66914498141273</v>
      </c>
      <c r="Q22" s="41">
        <f t="shared" si="8"/>
        <v>708.56178827498957</v>
      </c>
      <c r="R22" s="41">
        <f t="shared" ref="R22" si="28">D22+F22/(F19-F22)*(D22-D19)</f>
        <v>1264.7762557077626</v>
      </c>
      <c r="S22" s="41">
        <f t="shared" ref="S22" si="29">D22+G22/(G19-G22)*(D22-D19)</f>
        <v>971.45719178082095</v>
      </c>
    </row>
    <row r="23" spans="1:19" x14ac:dyDescent="0.25">
      <c r="A23" s="1"/>
      <c r="B23" s="5"/>
      <c r="C23" s="4">
        <v>17</v>
      </c>
      <c r="D23" s="4">
        <v>218</v>
      </c>
      <c r="E23" s="38">
        <f t="shared" si="5"/>
        <v>8</v>
      </c>
      <c r="F23" s="29">
        <f t="shared" ref="F23:F24" si="30">$F$8-(N23-$N$8)*$D$3</f>
        <v>4.3312500000000007</v>
      </c>
      <c r="G23" s="29">
        <f t="shared" ref="G23:G24" si="31">$G$8-(O23-$O$8)*$D$3</f>
        <v>4.1669999999999998</v>
      </c>
      <c r="H23" s="6">
        <f t="shared" si="1"/>
        <v>5.474999999999941E-2</v>
      </c>
      <c r="I23" s="6">
        <f t="shared" si="1"/>
        <v>5.4750000000000298E-2</v>
      </c>
      <c r="J23" s="6">
        <f t="shared" si="2"/>
        <v>6.8437499999999263E-3</v>
      </c>
      <c r="K23" s="6">
        <f t="shared" si="3"/>
        <v>6.8437500000000373E-3</v>
      </c>
      <c r="L23" s="37">
        <f t="shared" si="4"/>
        <v>7.6548165137614648E-3</v>
      </c>
      <c r="M23" s="37">
        <f t="shared" si="4"/>
        <v>8.4082568807339452E-3</v>
      </c>
      <c r="N23" s="37">
        <v>4</v>
      </c>
      <c r="O23" s="37">
        <v>4.75</v>
      </c>
      <c r="P23" s="41">
        <f t="shared" si="8"/>
        <v>783.82022471910147</v>
      </c>
      <c r="Q23" s="41">
        <f t="shared" si="8"/>
        <v>713.58428805237315</v>
      </c>
      <c r="R23" s="41">
        <f t="shared" ref="R23" si="32">D23+F23/(F20-F23)*(D23-D20)</f>
        <v>1206.8698630136987</v>
      </c>
      <c r="S23" s="41">
        <f t="shared" ref="S23" si="33">D23+G23/(G20-G23)*(D23-D20)</f>
        <v>931.52739726027301</v>
      </c>
    </row>
    <row r="24" spans="1:19" x14ac:dyDescent="0.25">
      <c r="B24" s="4"/>
      <c r="C24" s="4">
        <v>18</v>
      </c>
      <c r="D24" s="4">
        <v>269</v>
      </c>
      <c r="E24" s="38">
        <f t="shared" si="5"/>
        <v>51</v>
      </c>
      <c r="F24" s="29">
        <f t="shared" si="30"/>
        <v>4.1122500000000004</v>
      </c>
      <c r="G24" s="29">
        <f t="shared" si="31"/>
        <v>3.7837500000000004</v>
      </c>
      <c r="H24" s="6">
        <f t="shared" si="1"/>
        <v>0.21900000000000031</v>
      </c>
      <c r="I24" s="6">
        <f t="shared" si="1"/>
        <v>0.38324999999999942</v>
      </c>
      <c r="J24" s="6">
        <f t="shared" si="2"/>
        <v>4.2941176470588293E-3</v>
      </c>
      <c r="K24" s="6">
        <f t="shared" si="3"/>
        <v>7.5147058823529303E-3</v>
      </c>
      <c r="L24" s="37">
        <f t="shared" ref="L24:M39" si="34">-(F24-F$6)/$D24</f>
        <v>7.0176579925650545E-3</v>
      </c>
      <c r="M24" s="37">
        <f t="shared" si="34"/>
        <v>8.2388475836431205E-3</v>
      </c>
      <c r="N24" s="37">
        <v>4.5999999999999996</v>
      </c>
      <c r="O24" s="37">
        <v>5.8</v>
      </c>
      <c r="P24" s="41">
        <f t="shared" si="8"/>
        <v>854.98609455701251</v>
      </c>
      <c r="Q24" s="41">
        <f t="shared" si="8"/>
        <v>728.25719120135386</v>
      </c>
      <c r="R24" s="41">
        <f t="shared" ref="R24" si="35">D24+F24/(F21-F24)*(D24-D21)</f>
        <v>1226.6472602739732</v>
      </c>
      <c r="S24" s="41">
        <f t="shared" ref="S24" si="36">D24+G24/(G21-G24)*(D24-D21)</f>
        <v>811.24446786090675</v>
      </c>
    </row>
    <row r="25" spans="1:19" x14ac:dyDescent="0.25">
      <c r="B25" s="4"/>
      <c r="C25" s="4">
        <v>19</v>
      </c>
      <c r="D25" s="4">
        <f t="shared" si="0"/>
        <v>269</v>
      </c>
      <c r="E25" s="4"/>
      <c r="F25" s="6"/>
      <c r="G25" s="6"/>
      <c r="H25" s="6">
        <f t="shared" si="1"/>
        <v>4.1122500000000004</v>
      </c>
      <c r="I25" s="6">
        <f t="shared" si="1"/>
        <v>3.7837500000000004</v>
      </c>
      <c r="J25" s="6" t="e">
        <f t="shared" si="2"/>
        <v>#DIV/0!</v>
      </c>
      <c r="K25" s="6" t="e">
        <f t="shared" si="3"/>
        <v>#DIV/0!</v>
      </c>
      <c r="L25" s="37">
        <f t="shared" si="34"/>
        <v>2.2304832713754646E-2</v>
      </c>
      <c r="M25" s="37">
        <f t="shared" si="34"/>
        <v>2.2304832713754646E-2</v>
      </c>
      <c r="N25" s="37"/>
      <c r="O25" s="37"/>
      <c r="P25" s="41">
        <f t="shared" si="8"/>
        <v>269</v>
      </c>
      <c r="Q25" s="41">
        <f t="shared" si="8"/>
        <v>269</v>
      </c>
      <c r="R25" s="41"/>
      <c r="S25" s="41"/>
    </row>
    <row r="26" spans="1:19" x14ac:dyDescent="0.25">
      <c r="B26" s="4"/>
      <c r="C26" s="4">
        <v>20</v>
      </c>
      <c r="D26" s="4">
        <f t="shared" si="0"/>
        <v>269</v>
      </c>
      <c r="E26" s="4"/>
      <c r="F26" s="6"/>
      <c r="G26" s="6"/>
      <c r="H26" s="6">
        <f t="shared" ref="H26:I41" si="37">F25-F26</f>
        <v>0</v>
      </c>
      <c r="I26" s="6">
        <f t="shared" si="37"/>
        <v>0</v>
      </c>
      <c r="J26" s="6" t="e">
        <f t="shared" si="2"/>
        <v>#DIV/0!</v>
      </c>
      <c r="K26" s="6" t="e">
        <f t="shared" si="3"/>
        <v>#DIV/0!</v>
      </c>
      <c r="L26" s="37">
        <f t="shared" si="34"/>
        <v>2.2304832713754646E-2</v>
      </c>
      <c r="M26" s="37">
        <f t="shared" si="34"/>
        <v>2.2304832713754646E-2</v>
      </c>
      <c r="N26" s="37"/>
      <c r="O26" s="37"/>
      <c r="P26" s="41">
        <f t="shared" ref="P26:Q62" si="38">6/L26</f>
        <v>269</v>
      </c>
      <c r="Q26" s="41">
        <f t="shared" si="38"/>
        <v>269</v>
      </c>
      <c r="R26" s="41"/>
      <c r="S26" s="41"/>
    </row>
    <row r="27" spans="1:19" x14ac:dyDescent="0.25">
      <c r="B27" s="4"/>
      <c r="C27" s="4">
        <v>21</v>
      </c>
      <c r="D27" s="4">
        <f t="shared" si="0"/>
        <v>269</v>
      </c>
      <c r="E27" s="4"/>
      <c r="F27" s="6"/>
      <c r="G27" s="6"/>
      <c r="H27" s="6">
        <f t="shared" si="37"/>
        <v>0</v>
      </c>
      <c r="I27" s="6">
        <f t="shared" si="37"/>
        <v>0</v>
      </c>
      <c r="J27" s="6" t="e">
        <f t="shared" si="2"/>
        <v>#DIV/0!</v>
      </c>
      <c r="K27" s="6" t="e">
        <f t="shared" si="3"/>
        <v>#DIV/0!</v>
      </c>
      <c r="L27" s="37">
        <f t="shared" si="34"/>
        <v>2.2304832713754646E-2</v>
      </c>
      <c r="M27" s="37">
        <f t="shared" si="34"/>
        <v>2.2304832713754646E-2</v>
      </c>
      <c r="N27" s="37"/>
      <c r="O27" s="37"/>
      <c r="P27" s="41">
        <f t="shared" si="38"/>
        <v>269</v>
      </c>
      <c r="Q27" s="41">
        <f t="shared" si="38"/>
        <v>269</v>
      </c>
      <c r="R27" s="41"/>
      <c r="S27" s="41"/>
    </row>
    <row r="28" spans="1:19" x14ac:dyDescent="0.25">
      <c r="B28" s="4"/>
      <c r="C28" s="4">
        <v>22</v>
      </c>
      <c r="D28" s="4">
        <f t="shared" si="0"/>
        <v>269</v>
      </c>
      <c r="E28" s="4"/>
      <c r="F28" s="6"/>
      <c r="G28" s="6"/>
      <c r="H28" s="6">
        <f t="shared" si="37"/>
        <v>0</v>
      </c>
      <c r="I28" s="6">
        <f t="shared" si="37"/>
        <v>0</v>
      </c>
      <c r="J28" s="6" t="e">
        <f t="shared" si="2"/>
        <v>#DIV/0!</v>
      </c>
      <c r="K28" s="6" t="e">
        <f t="shared" si="3"/>
        <v>#DIV/0!</v>
      </c>
      <c r="L28" s="37">
        <f t="shared" si="34"/>
        <v>2.2304832713754646E-2</v>
      </c>
      <c r="M28" s="37">
        <f t="shared" si="34"/>
        <v>2.2304832713754646E-2</v>
      </c>
      <c r="N28" s="37"/>
      <c r="O28" s="37"/>
      <c r="P28" s="41">
        <f t="shared" si="38"/>
        <v>269</v>
      </c>
      <c r="Q28" s="41">
        <f t="shared" si="38"/>
        <v>269</v>
      </c>
      <c r="R28" s="41"/>
      <c r="S28" s="41"/>
    </row>
    <row r="29" spans="1:19" x14ac:dyDescent="0.25">
      <c r="B29" s="4"/>
      <c r="C29" s="4">
        <v>23</v>
      </c>
      <c r="D29" s="4">
        <f t="shared" si="0"/>
        <v>269</v>
      </c>
      <c r="E29" s="4"/>
      <c r="F29" s="6"/>
      <c r="G29" s="6"/>
      <c r="H29" s="6">
        <f t="shared" si="37"/>
        <v>0</v>
      </c>
      <c r="I29" s="6">
        <f t="shared" si="37"/>
        <v>0</v>
      </c>
      <c r="J29" s="6" t="e">
        <f t="shared" si="2"/>
        <v>#DIV/0!</v>
      </c>
      <c r="K29" s="6" t="e">
        <f t="shared" si="3"/>
        <v>#DIV/0!</v>
      </c>
      <c r="L29" s="37">
        <f t="shared" si="34"/>
        <v>2.2304832713754646E-2</v>
      </c>
      <c r="M29" s="37">
        <f t="shared" si="34"/>
        <v>2.2304832713754646E-2</v>
      </c>
      <c r="N29" s="37"/>
      <c r="O29" s="37"/>
      <c r="P29" s="41">
        <f t="shared" si="38"/>
        <v>269</v>
      </c>
      <c r="Q29" s="41">
        <f t="shared" si="38"/>
        <v>269</v>
      </c>
      <c r="R29" s="41"/>
      <c r="S29" s="41"/>
    </row>
    <row r="30" spans="1:19" x14ac:dyDescent="0.25">
      <c r="B30" s="4"/>
      <c r="C30" s="4">
        <v>24</v>
      </c>
      <c r="D30" s="4">
        <f t="shared" si="0"/>
        <v>269</v>
      </c>
      <c r="E30" s="4"/>
      <c r="F30" s="6"/>
      <c r="G30" s="6"/>
      <c r="H30" s="6">
        <f t="shared" si="37"/>
        <v>0</v>
      </c>
      <c r="I30" s="6">
        <f t="shared" si="37"/>
        <v>0</v>
      </c>
      <c r="J30" s="6" t="e">
        <f t="shared" si="2"/>
        <v>#DIV/0!</v>
      </c>
      <c r="K30" s="6" t="e">
        <f t="shared" si="3"/>
        <v>#DIV/0!</v>
      </c>
      <c r="L30" s="37">
        <f t="shared" si="34"/>
        <v>2.2304832713754646E-2</v>
      </c>
      <c r="M30" s="37">
        <f t="shared" si="34"/>
        <v>2.2304832713754646E-2</v>
      </c>
      <c r="N30" s="37"/>
      <c r="O30" s="37"/>
      <c r="P30" s="41">
        <f t="shared" si="38"/>
        <v>269</v>
      </c>
      <c r="Q30" s="41">
        <f t="shared" si="38"/>
        <v>269</v>
      </c>
      <c r="R30" s="41"/>
      <c r="S30" s="41"/>
    </row>
    <row r="31" spans="1:19" x14ac:dyDescent="0.25">
      <c r="B31" s="4"/>
      <c r="C31" s="4">
        <v>25</v>
      </c>
      <c r="D31" s="4">
        <f t="shared" si="0"/>
        <v>269</v>
      </c>
      <c r="E31" s="4"/>
      <c r="F31" s="6"/>
      <c r="G31" s="6"/>
      <c r="H31" s="6">
        <f t="shared" si="37"/>
        <v>0</v>
      </c>
      <c r="I31" s="6">
        <f t="shared" si="37"/>
        <v>0</v>
      </c>
      <c r="J31" s="6" t="e">
        <f t="shared" si="2"/>
        <v>#DIV/0!</v>
      </c>
      <c r="K31" s="6" t="e">
        <f t="shared" si="3"/>
        <v>#DIV/0!</v>
      </c>
      <c r="L31" s="37">
        <f t="shared" si="34"/>
        <v>2.2304832713754646E-2</v>
      </c>
      <c r="M31" s="37">
        <f t="shared" si="34"/>
        <v>2.2304832713754646E-2</v>
      </c>
      <c r="N31" s="37"/>
      <c r="O31" s="37"/>
      <c r="P31" s="41">
        <f t="shared" si="38"/>
        <v>269</v>
      </c>
      <c r="Q31" s="41">
        <f t="shared" si="38"/>
        <v>269</v>
      </c>
      <c r="R31" s="41"/>
      <c r="S31" s="41"/>
    </row>
    <row r="32" spans="1:19" x14ac:dyDescent="0.25">
      <c r="B32" s="4"/>
      <c r="C32" s="4">
        <v>26</v>
      </c>
      <c r="D32" s="4">
        <f t="shared" si="0"/>
        <v>269</v>
      </c>
      <c r="E32" s="4"/>
      <c r="F32" s="6"/>
      <c r="G32" s="6"/>
      <c r="H32" s="6">
        <f t="shared" si="37"/>
        <v>0</v>
      </c>
      <c r="I32" s="6">
        <f t="shared" si="37"/>
        <v>0</v>
      </c>
      <c r="J32" s="6" t="e">
        <f t="shared" si="2"/>
        <v>#DIV/0!</v>
      </c>
      <c r="K32" s="6" t="e">
        <f t="shared" si="3"/>
        <v>#DIV/0!</v>
      </c>
      <c r="L32" s="37">
        <f t="shared" si="34"/>
        <v>2.2304832713754646E-2</v>
      </c>
      <c r="M32" s="37">
        <f t="shared" si="34"/>
        <v>2.2304832713754646E-2</v>
      </c>
      <c r="N32" s="37"/>
      <c r="O32" s="37"/>
      <c r="P32" s="41">
        <f t="shared" si="38"/>
        <v>269</v>
      </c>
      <c r="Q32" s="41">
        <f t="shared" si="38"/>
        <v>269</v>
      </c>
      <c r="R32" s="41"/>
      <c r="S32" s="41"/>
    </row>
    <row r="33" spans="2:19" x14ac:dyDescent="0.25">
      <c r="B33" s="4"/>
      <c r="C33" s="4">
        <v>27</v>
      </c>
      <c r="D33" s="4">
        <f t="shared" si="0"/>
        <v>269</v>
      </c>
      <c r="E33" s="4"/>
      <c r="F33" s="6"/>
      <c r="G33" s="6"/>
      <c r="H33" s="6">
        <f t="shared" si="37"/>
        <v>0</v>
      </c>
      <c r="I33" s="6">
        <f t="shared" si="37"/>
        <v>0</v>
      </c>
      <c r="J33" s="6" t="e">
        <f t="shared" si="2"/>
        <v>#DIV/0!</v>
      </c>
      <c r="K33" s="6" t="e">
        <f t="shared" si="3"/>
        <v>#DIV/0!</v>
      </c>
      <c r="L33" s="37">
        <f t="shared" si="34"/>
        <v>2.2304832713754646E-2</v>
      </c>
      <c r="M33" s="37">
        <f t="shared" si="34"/>
        <v>2.2304832713754646E-2</v>
      </c>
      <c r="N33" s="37"/>
      <c r="O33" s="37"/>
      <c r="P33" s="41">
        <f t="shared" si="38"/>
        <v>269</v>
      </c>
      <c r="Q33" s="41">
        <f t="shared" si="38"/>
        <v>269</v>
      </c>
      <c r="R33" s="41"/>
      <c r="S33" s="41"/>
    </row>
    <row r="34" spans="2:19" x14ac:dyDescent="0.25">
      <c r="B34" s="4"/>
      <c r="C34" s="4">
        <v>28</v>
      </c>
      <c r="D34" s="4">
        <f t="shared" si="0"/>
        <v>269</v>
      </c>
      <c r="E34" s="4"/>
      <c r="F34" s="6"/>
      <c r="G34" s="6"/>
      <c r="H34" s="6">
        <f t="shared" si="37"/>
        <v>0</v>
      </c>
      <c r="I34" s="6">
        <f t="shared" si="37"/>
        <v>0</v>
      </c>
      <c r="J34" s="6" t="e">
        <f t="shared" si="2"/>
        <v>#DIV/0!</v>
      </c>
      <c r="K34" s="6" t="e">
        <f t="shared" si="3"/>
        <v>#DIV/0!</v>
      </c>
      <c r="L34" s="37">
        <f t="shared" si="34"/>
        <v>2.2304832713754646E-2</v>
      </c>
      <c r="M34" s="37">
        <f t="shared" si="34"/>
        <v>2.2304832713754646E-2</v>
      </c>
      <c r="N34" s="37"/>
      <c r="O34" s="37"/>
      <c r="P34" s="41">
        <f t="shared" si="38"/>
        <v>269</v>
      </c>
      <c r="Q34" s="41">
        <f t="shared" si="38"/>
        <v>269</v>
      </c>
      <c r="R34" s="41"/>
      <c r="S34" s="41"/>
    </row>
    <row r="35" spans="2:19" x14ac:dyDescent="0.25">
      <c r="B35" s="4"/>
      <c r="C35" s="4">
        <v>29</v>
      </c>
      <c r="D35" s="4">
        <f t="shared" si="0"/>
        <v>269</v>
      </c>
      <c r="E35" s="4"/>
      <c r="F35" s="6"/>
      <c r="G35" s="6"/>
      <c r="H35" s="6">
        <f t="shared" si="37"/>
        <v>0</v>
      </c>
      <c r="I35" s="6">
        <f t="shared" si="37"/>
        <v>0</v>
      </c>
      <c r="J35" s="6" t="e">
        <f t="shared" si="2"/>
        <v>#DIV/0!</v>
      </c>
      <c r="K35" s="6" t="e">
        <f t="shared" si="3"/>
        <v>#DIV/0!</v>
      </c>
      <c r="L35" s="37">
        <f t="shared" si="34"/>
        <v>2.2304832713754646E-2</v>
      </c>
      <c r="M35" s="37">
        <f t="shared" si="34"/>
        <v>2.2304832713754646E-2</v>
      </c>
      <c r="N35" s="37"/>
      <c r="O35" s="37"/>
      <c r="P35" s="41">
        <f t="shared" si="38"/>
        <v>269</v>
      </c>
      <c r="Q35" s="41">
        <f t="shared" si="38"/>
        <v>269</v>
      </c>
      <c r="R35" s="41"/>
      <c r="S35" s="41"/>
    </row>
    <row r="36" spans="2:19" x14ac:dyDescent="0.25">
      <c r="B36" s="4"/>
      <c r="C36" s="4">
        <v>30</v>
      </c>
      <c r="D36" s="4">
        <f t="shared" si="0"/>
        <v>269</v>
      </c>
      <c r="E36" s="4"/>
      <c r="F36" s="6"/>
      <c r="G36" s="6"/>
      <c r="H36" s="6">
        <f t="shared" si="37"/>
        <v>0</v>
      </c>
      <c r="I36" s="6">
        <f t="shared" si="37"/>
        <v>0</v>
      </c>
      <c r="J36" s="6" t="e">
        <f t="shared" si="2"/>
        <v>#DIV/0!</v>
      </c>
      <c r="K36" s="6" t="e">
        <f t="shared" si="3"/>
        <v>#DIV/0!</v>
      </c>
      <c r="L36" s="37">
        <f t="shared" si="34"/>
        <v>2.2304832713754646E-2</v>
      </c>
      <c r="M36" s="37">
        <f t="shared" si="34"/>
        <v>2.2304832713754646E-2</v>
      </c>
      <c r="N36" s="37"/>
      <c r="O36" s="37"/>
      <c r="P36" s="41">
        <f t="shared" si="38"/>
        <v>269</v>
      </c>
      <c r="Q36" s="41">
        <f t="shared" si="38"/>
        <v>269</v>
      </c>
      <c r="R36" s="41"/>
      <c r="S36" s="41"/>
    </row>
    <row r="37" spans="2:19" x14ac:dyDescent="0.25">
      <c r="B37" s="4"/>
      <c r="C37" s="4">
        <v>31</v>
      </c>
      <c r="D37" s="4">
        <f t="shared" si="0"/>
        <v>269</v>
      </c>
      <c r="E37" s="4"/>
      <c r="F37" s="6"/>
      <c r="G37" s="6"/>
      <c r="H37" s="6">
        <f t="shared" si="37"/>
        <v>0</v>
      </c>
      <c r="I37" s="6">
        <f t="shared" si="37"/>
        <v>0</v>
      </c>
      <c r="J37" s="6" t="e">
        <f t="shared" si="2"/>
        <v>#DIV/0!</v>
      </c>
      <c r="K37" s="6" t="e">
        <f t="shared" si="3"/>
        <v>#DIV/0!</v>
      </c>
      <c r="L37" s="37">
        <f t="shared" si="34"/>
        <v>2.2304832713754646E-2</v>
      </c>
      <c r="M37" s="37">
        <f t="shared" si="34"/>
        <v>2.2304832713754646E-2</v>
      </c>
      <c r="N37" s="37"/>
      <c r="O37" s="37"/>
      <c r="P37" s="41">
        <f t="shared" si="38"/>
        <v>269</v>
      </c>
      <c r="Q37" s="41">
        <f t="shared" si="38"/>
        <v>269</v>
      </c>
      <c r="R37" s="41"/>
      <c r="S37" s="41"/>
    </row>
    <row r="38" spans="2:19" x14ac:dyDescent="0.25">
      <c r="B38" s="4"/>
      <c r="C38" s="4">
        <v>32</v>
      </c>
      <c r="D38" s="4">
        <f t="shared" si="0"/>
        <v>269</v>
      </c>
      <c r="E38" s="4"/>
      <c r="F38" s="6"/>
      <c r="G38" s="6"/>
      <c r="H38" s="6">
        <f t="shared" si="37"/>
        <v>0</v>
      </c>
      <c r="I38" s="6">
        <f t="shared" si="37"/>
        <v>0</v>
      </c>
      <c r="J38" s="6" t="e">
        <f t="shared" si="2"/>
        <v>#DIV/0!</v>
      </c>
      <c r="K38" s="6" t="e">
        <f t="shared" si="3"/>
        <v>#DIV/0!</v>
      </c>
      <c r="L38" s="37">
        <f t="shared" si="34"/>
        <v>2.2304832713754646E-2</v>
      </c>
      <c r="M38" s="37">
        <f t="shared" si="34"/>
        <v>2.2304832713754646E-2</v>
      </c>
      <c r="N38" s="37"/>
      <c r="O38" s="37"/>
      <c r="P38" s="41">
        <f t="shared" si="38"/>
        <v>269</v>
      </c>
      <c r="Q38" s="41">
        <f t="shared" si="38"/>
        <v>269</v>
      </c>
      <c r="R38" s="41"/>
      <c r="S38" s="41"/>
    </row>
    <row r="39" spans="2:19" x14ac:dyDescent="0.25">
      <c r="B39" s="4"/>
      <c r="C39" s="4">
        <v>33</v>
      </c>
      <c r="D39" s="4">
        <f t="shared" si="0"/>
        <v>269</v>
      </c>
      <c r="E39" s="4"/>
      <c r="F39" s="6"/>
      <c r="G39" s="6"/>
      <c r="H39" s="6">
        <f t="shared" si="37"/>
        <v>0</v>
      </c>
      <c r="I39" s="6">
        <f t="shared" si="37"/>
        <v>0</v>
      </c>
      <c r="J39" s="6" t="e">
        <f t="shared" si="2"/>
        <v>#DIV/0!</v>
      </c>
      <c r="K39" s="6" t="e">
        <f t="shared" si="3"/>
        <v>#DIV/0!</v>
      </c>
      <c r="L39" s="37">
        <f t="shared" si="34"/>
        <v>2.2304832713754646E-2</v>
      </c>
      <c r="M39" s="37">
        <f t="shared" si="34"/>
        <v>2.2304832713754646E-2</v>
      </c>
      <c r="N39" s="37"/>
      <c r="O39" s="37"/>
      <c r="P39" s="41">
        <f t="shared" si="38"/>
        <v>269</v>
      </c>
      <c r="Q39" s="41">
        <f t="shared" si="38"/>
        <v>269</v>
      </c>
      <c r="R39" s="41"/>
      <c r="S39" s="41"/>
    </row>
    <row r="40" spans="2:19" x14ac:dyDescent="0.25">
      <c r="B40" s="4"/>
      <c r="C40" s="4">
        <v>34</v>
      </c>
      <c r="D40" s="4">
        <f t="shared" si="0"/>
        <v>269</v>
      </c>
      <c r="E40" s="4"/>
      <c r="F40" s="6"/>
      <c r="G40" s="6"/>
      <c r="H40" s="6">
        <f t="shared" si="37"/>
        <v>0</v>
      </c>
      <c r="I40" s="6">
        <f t="shared" si="37"/>
        <v>0</v>
      </c>
      <c r="J40" s="6" t="e">
        <f t="shared" si="2"/>
        <v>#DIV/0!</v>
      </c>
      <c r="K40" s="6" t="e">
        <f t="shared" si="3"/>
        <v>#DIV/0!</v>
      </c>
      <c r="L40" s="37">
        <f t="shared" ref="L40:M54" si="39">-(F40-F$6)/$D40</f>
        <v>2.2304832713754646E-2</v>
      </c>
      <c r="M40" s="37">
        <f t="shared" si="39"/>
        <v>2.2304832713754646E-2</v>
      </c>
      <c r="N40" s="37"/>
      <c r="O40" s="37"/>
      <c r="P40" s="41">
        <f t="shared" si="38"/>
        <v>269</v>
      </c>
      <c r="Q40" s="41">
        <f t="shared" si="38"/>
        <v>269</v>
      </c>
      <c r="R40" s="41"/>
      <c r="S40" s="41"/>
    </row>
    <row r="41" spans="2:19" x14ac:dyDescent="0.25">
      <c r="B41" s="4"/>
      <c r="C41" s="4">
        <v>35</v>
      </c>
      <c r="D41" s="4">
        <f t="shared" si="0"/>
        <v>269</v>
      </c>
      <c r="E41" s="4"/>
      <c r="F41" s="6"/>
      <c r="G41" s="6"/>
      <c r="H41" s="6">
        <f t="shared" si="37"/>
        <v>0</v>
      </c>
      <c r="I41" s="6">
        <f t="shared" si="37"/>
        <v>0</v>
      </c>
      <c r="J41" s="6" t="e">
        <f t="shared" si="2"/>
        <v>#DIV/0!</v>
      </c>
      <c r="K41" s="6" t="e">
        <f t="shared" si="3"/>
        <v>#DIV/0!</v>
      </c>
      <c r="L41" s="37">
        <f t="shared" si="39"/>
        <v>2.2304832713754646E-2</v>
      </c>
      <c r="M41" s="37">
        <f t="shared" si="39"/>
        <v>2.2304832713754646E-2</v>
      </c>
      <c r="N41" s="37"/>
      <c r="O41" s="37"/>
      <c r="P41" s="41">
        <f t="shared" si="38"/>
        <v>269</v>
      </c>
      <c r="Q41" s="41">
        <f t="shared" si="38"/>
        <v>269</v>
      </c>
      <c r="R41" s="41"/>
      <c r="S41" s="41"/>
    </row>
    <row r="42" spans="2:19" x14ac:dyDescent="0.25">
      <c r="B42" s="4"/>
      <c r="C42" s="4">
        <v>36</v>
      </c>
      <c r="D42" s="4">
        <f t="shared" si="0"/>
        <v>269</v>
      </c>
      <c r="E42" s="4"/>
      <c r="F42" s="6"/>
      <c r="G42" s="6"/>
      <c r="H42" s="6">
        <f t="shared" ref="H42:I55" si="40">F41-F42</f>
        <v>0</v>
      </c>
      <c r="I42" s="6">
        <f t="shared" si="40"/>
        <v>0</v>
      </c>
      <c r="J42" s="6" t="e">
        <f t="shared" si="2"/>
        <v>#DIV/0!</v>
      </c>
      <c r="K42" s="6" t="e">
        <f t="shared" si="3"/>
        <v>#DIV/0!</v>
      </c>
      <c r="L42" s="37">
        <f t="shared" si="39"/>
        <v>2.2304832713754646E-2</v>
      </c>
      <c r="M42" s="37">
        <f t="shared" si="39"/>
        <v>2.2304832713754646E-2</v>
      </c>
      <c r="N42" s="37"/>
      <c r="O42" s="37"/>
      <c r="P42" s="41">
        <f t="shared" si="38"/>
        <v>269</v>
      </c>
      <c r="Q42" s="41">
        <f t="shared" si="38"/>
        <v>269</v>
      </c>
      <c r="R42" s="41"/>
      <c r="S42" s="41"/>
    </row>
    <row r="43" spans="2:19" x14ac:dyDescent="0.25">
      <c r="B43" s="4"/>
      <c r="C43" s="4">
        <v>37</v>
      </c>
      <c r="D43" s="4">
        <f t="shared" si="0"/>
        <v>269</v>
      </c>
      <c r="E43" s="4"/>
      <c r="F43" s="6"/>
      <c r="G43" s="6"/>
      <c r="H43" s="6">
        <f t="shared" si="40"/>
        <v>0</v>
      </c>
      <c r="I43" s="6">
        <f t="shared" si="40"/>
        <v>0</v>
      </c>
      <c r="J43" s="6" t="e">
        <f t="shared" si="2"/>
        <v>#DIV/0!</v>
      </c>
      <c r="K43" s="6" t="e">
        <f t="shared" si="3"/>
        <v>#DIV/0!</v>
      </c>
      <c r="L43" s="37">
        <f t="shared" si="39"/>
        <v>2.2304832713754646E-2</v>
      </c>
      <c r="M43" s="37">
        <f t="shared" si="39"/>
        <v>2.2304832713754646E-2</v>
      </c>
      <c r="N43" s="37"/>
      <c r="O43" s="37"/>
      <c r="P43" s="41">
        <f t="shared" si="38"/>
        <v>269</v>
      </c>
      <c r="Q43" s="41">
        <f t="shared" si="38"/>
        <v>269</v>
      </c>
      <c r="R43" s="41"/>
      <c r="S43" s="41"/>
    </row>
    <row r="44" spans="2:19" x14ac:dyDescent="0.25">
      <c r="B44" s="4"/>
      <c r="C44" s="4">
        <v>38</v>
      </c>
      <c r="D44" s="4">
        <f t="shared" si="0"/>
        <v>269</v>
      </c>
      <c r="E44" s="4"/>
      <c r="F44" s="6"/>
      <c r="G44" s="6"/>
      <c r="H44" s="6">
        <f t="shared" si="40"/>
        <v>0</v>
      </c>
      <c r="I44" s="6">
        <f t="shared" si="40"/>
        <v>0</v>
      </c>
      <c r="J44" s="6" t="e">
        <f t="shared" si="2"/>
        <v>#DIV/0!</v>
      </c>
      <c r="K44" s="6" t="e">
        <f t="shared" si="3"/>
        <v>#DIV/0!</v>
      </c>
      <c r="L44" s="37">
        <f t="shared" si="39"/>
        <v>2.2304832713754646E-2</v>
      </c>
      <c r="M44" s="37">
        <f t="shared" si="39"/>
        <v>2.2304832713754646E-2</v>
      </c>
      <c r="N44" s="37"/>
      <c r="O44" s="37"/>
      <c r="P44" s="41">
        <f t="shared" si="38"/>
        <v>269</v>
      </c>
      <c r="Q44" s="41">
        <f t="shared" si="38"/>
        <v>269</v>
      </c>
      <c r="R44" s="41"/>
      <c r="S44" s="41"/>
    </row>
    <row r="45" spans="2:19" x14ac:dyDescent="0.25">
      <c r="B45" s="4"/>
      <c r="C45" s="4">
        <v>39</v>
      </c>
      <c r="D45" s="4">
        <f t="shared" si="0"/>
        <v>269</v>
      </c>
      <c r="E45" s="4"/>
      <c r="F45" s="6"/>
      <c r="G45" s="6"/>
      <c r="H45" s="6">
        <f t="shared" si="40"/>
        <v>0</v>
      </c>
      <c r="I45" s="6">
        <f t="shared" si="40"/>
        <v>0</v>
      </c>
      <c r="J45" s="6" t="e">
        <f t="shared" si="2"/>
        <v>#DIV/0!</v>
      </c>
      <c r="K45" s="6" t="e">
        <f t="shared" si="3"/>
        <v>#DIV/0!</v>
      </c>
      <c r="L45" s="37">
        <f t="shared" si="39"/>
        <v>2.2304832713754646E-2</v>
      </c>
      <c r="M45" s="37">
        <f t="shared" si="39"/>
        <v>2.2304832713754646E-2</v>
      </c>
      <c r="N45" s="37"/>
      <c r="O45" s="37"/>
      <c r="P45" s="41">
        <f t="shared" si="38"/>
        <v>269</v>
      </c>
      <c r="Q45" s="41">
        <f t="shared" si="38"/>
        <v>269</v>
      </c>
      <c r="R45" s="41"/>
      <c r="S45" s="41"/>
    </row>
    <row r="46" spans="2:19" x14ac:dyDescent="0.25">
      <c r="B46" s="4"/>
      <c r="C46" s="4">
        <v>40</v>
      </c>
      <c r="D46" s="4">
        <f t="shared" si="0"/>
        <v>269</v>
      </c>
      <c r="E46" s="4"/>
      <c r="F46" s="6"/>
      <c r="G46" s="6"/>
      <c r="H46" s="6">
        <f t="shared" si="40"/>
        <v>0</v>
      </c>
      <c r="I46" s="6">
        <f t="shared" si="40"/>
        <v>0</v>
      </c>
      <c r="J46" s="6" t="e">
        <f t="shared" si="2"/>
        <v>#DIV/0!</v>
      </c>
      <c r="K46" s="6" t="e">
        <f t="shared" si="3"/>
        <v>#DIV/0!</v>
      </c>
      <c r="L46" s="37">
        <f t="shared" si="39"/>
        <v>2.2304832713754646E-2</v>
      </c>
      <c r="M46" s="37">
        <f t="shared" si="39"/>
        <v>2.2304832713754646E-2</v>
      </c>
      <c r="N46" s="37"/>
      <c r="O46" s="37"/>
      <c r="P46" s="41">
        <f t="shared" si="38"/>
        <v>269</v>
      </c>
      <c r="Q46" s="41">
        <f t="shared" si="38"/>
        <v>269</v>
      </c>
      <c r="R46" s="41"/>
      <c r="S46" s="41"/>
    </row>
    <row r="47" spans="2:19" x14ac:dyDescent="0.25">
      <c r="B47" s="4"/>
      <c r="C47" s="4">
        <v>41</v>
      </c>
      <c r="D47" s="4">
        <f t="shared" si="0"/>
        <v>269</v>
      </c>
      <c r="E47" s="4"/>
      <c r="F47" s="6"/>
      <c r="G47" s="6"/>
      <c r="H47" s="6">
        <f t="shared" si="40"/>
        <v>0</v>
      </c>
      <c r="I47" s="6">
        <f t="shared" si="40"/>
        <v>0</v>
      </c>
      <c r="J47" s="6" t="e">
        <f t="shared" si="2"/>
        <v>#DIV/0!</v>
      </c>
      <c r="K47" s="6" t="e">
        <f t="shared" si="3"/>
        <v>#DIV/0!</v>
      </c>
      <c r="L47" s="37">
        <f t="shared" si="39"/>
        <v>2.2304832713754646E-2</v>
      </c>
      <c r="M47" s="37">
        <f t="shared" si="39"/>
        <v>2.2304832713754646E-2</v>
      </c>
      <c r="N47" s="37"/>
      <c r="O47" s="37"/>
      <c r="P47" s="41">
        <f t="shared" si="38"/>
        <v>269</v>
      </c>
      <c r="Q47" s="41">
        <f t="shared" si="38"/>
        <v>269</v>
      </c>
      <c r="R47" s="41"/>
      <c r="S47" s="41"/>
    </row>
    <row r="48" spans="2:19" x14ac:dyDescent="0.25">
      <c r="B48" s="4"/>
      <c r="C48" s="4">
        <v>42</v>
      </c>
      <c r="D48" s="4">
        <f t="shared" si="0"/>
        <v>269</v>
      </c>
      <c r="E48" s="4"/>
      <c r="F48" s="6"/>
      <c r="G48" s="6"/>
      <c r="H48" s="6">
        <f t="shared" si="40"/>
        <v>0</v>
      </c>
      <c r="I48" s="6">
        <f t="shared" si="40"/>
        <v>0</v>
      </c>
      <c r="J48" s="6" t="e">
        <f t="shared" si="2"/>
        <v>#DIV/0!</v>
      </c>
      <c r="K48" s="6" t="e">
        <f t="shared" si="3"/>
        <v>#DIV/0!</v>
      </c>
      <c r="L48" s="37">
        <f t="shared" si="39"/>
        <v>2.2304832713754646E-2</v>
      </c>
      <c r="M48" s="37">
        <f t="shared" si="39"/>
        <v>2.2304832713754646E-2</v>
      </c>
      <c r="N48" s="37"/>
      <c r="O48" s="37"/>
      <c r="P48" s="41">
        <f t="shared" si="38"/>
        <v>269</v>
      </c>
      <c r="Q48" s="41">
        <f t="shared" si="38"/>
        <v>269</v>
      </c>
      <c r="R48" s="41"/>
      <c r="S48" s="41"/>
    </row>
    <row r="49" spans="2:19" x14ac:dyDescent="0.25">
      <c r="B49" s="4"/>
      <c r="C49" s="4">
        <v>43</v>
      </c>
      <c r="D49" s="4">
        <f t="shared" si="0"/>
        <v>269</v>
      </c>
      <c r="E49" s="4"/>
      <c r="F49" s="6"/>
      <c r="G49" s="6"/>
      <c r="H49" s="6">
        <f t="shared" si="40"/>
        <v>0</v>
      </c>
      <c r="I49" s="6">
        <f t="shared" si="40"/>
        <v>0</v>
      </c>
      <c r="J49" s="6" t="e">
        <f t="shared" si="2"/>
        <v>#DIV/0!</v>
      </c>
      <c r="K49" s="6" t="e">
        <f t="shared" si="3"/>
        <v>#DIV/0!</v>
      </c>
      <c r="L49" s="37">
        <f t="shared" si="39"/>
        <v>2.2304832713754646E-2</v>
      </c>
      <c r="M49" s="37">
        <f t="shared" si="39"/>
        <v>2.2304832713754646E-2</v>
      </c>
      <c r="N49" s="37"/>
      <c r="O49" s="37"/>
      <c r="P49" s="41">
        <f t="shared" si="38"/>
        <v>269</v>
      </c>
      <c r="Q49" s="41">
        <f t="shared" si="38"/>
        <v>269</v>
      </c>
      <c r="R49" s="41"/>
      <c r="S49" s="41"/>
    </row>
    <row r="50" spans="2:19" x14ac:dyDescent="0.25">
      <c r="B50" s="4"/>
      <c r="C50" s="4">
        <v>44</v>
      </c>
      <c r="D50" s="4">
        <f t="shared" si="0"/>
        <v>269</v>
      </c>
      <c r="E50" s="4"/>
      <c r="F50" s="6"/>
      <c r="G50" s="6"/>
      <c r="H50" s="6">
        <f t="shared" si="40"/>
        <v>0</v>
      </c>
      <c r="I50" s="6">
        <f t="shared" si="40"/>
        <v>0</v>
      </c>
      <c r="J50" s="6" t="e">
        <f t="shared" si="2"/>
        <v>#DIV/0!</v>
      </c>
      <c r="K50" s="6" t="e">
        <f t="shared" si="3"/>
        <v>#DIV/0!</v>
      </c>
      <c r="L50" s="37">
        <f t="shared" si="39"/>
        <v>2.2304832713754646E-2</v>
      </c>
      <c r="M50" s="37">
        <f t="shared" si="39"/>
        <v>2.2304832713754646E-2</v>
      </c>
      <c r="N50" s="37"/>
      <c r="O50" s="37"/>
      <c r="P50" s="41">
        <f t="shared" si="38"/>
        <v>269</v>
      </c>
      <c r="Q50" s="41">
        <f t="shared" si="38"/>
        <v>269</v>
      </c>
      <c r="R50" s="41"/>
      <c r="S50" s="41"/>
    </row>
    <row r="51" spans="2:19" x14ac:dyDescent="0.25">
      <c r="B51" s="4"/>
      <c r="C51" s="4">
        <v>45</v>
      </c>
      <c r="D51" s="4">
        <f t="shared" si="0"/>
        <v>269</v>
      </c>
      <c r="E51" s="4"/>
      <c r="F51" s="6"/>
      <c r="G51" s="6"/>
      <c r="H51" s="6">
        <f t="shared" si="40"/>
        <v>0</v>
      </c>
      <c r="I51" s="6">
        <f t="shared" si="40"/>
        <v>0</v>
      </c>
      <c r="J51" s="6" t="e">
        <f t="shared" si="2"/>
        <v>#DIV/0!</v>
      </c>
      <c r="K51" s="6" t="e">
        <f t="shared" si="3"/>
        <v>#DIV/0!</v>
      </c>
      <c r="L51" s="37">
        <f t="shared" si="39"/>
        <v>2.2304832713754646E-2</v>
      </c>
      <c r="M51" s="37">
        <f t="shared" si="39"/>
        <v>2.2304832713754646E-2</v>
      </c>
      <c r="N51" s="37"/>
      <c r="O51" s="37"/>
      <c r="P51" s="41">
        <f t="shared" si="38"/>
        <v>269</v>
      </c>
      <c r="Q51" s="41">
        <f t="shared" si="38"/>
        <v>269</v>
      </c>
      <c r="R51" s="41"/>
      <c r="S51" s="41"/>
    </row>
    <row r="52" spans="2:19" x14ac:dyDescent="0.25">
      <c r="B52" s="4"/>
      <c r="C52" s="4">
        <v>46</v>
      </c>
      <c r="D52" s="4">
        <f t="shared" si="0"/>
        <v>269</v>
      </c>
      <c r="E52" s="4"/>
      <c r="F52" s="6"/>
      <c r="G52" s="6"/>
      <c r="H52" s="6">
        <f t="shared" si="40"/>
        <v>0</v>
      </c>
      <c r="I52" s="6">
        <f t="shared" si="40"/>
        <v>0</v>
      </c>
      <c r="J52" s="6" t="e">
        <f t="shared" si="2"/>
        <v>#DIV/0!</v>
      </c>
      <c r="K52" s="6" t="e">
        <f t="shared" si="3"/>
        <v>#DIV/0!</v>
      </c>
      <c r="L52" s="37">
        <f t="shared" si="39"/>
        <v>2.2304832713754646E-2</v>
      </c>
      <c r="M52" s="37">
        <f t="shared" si="39"/>
        <v>2.2304832713754646E-2</v>
      </c>
      <c r="N52" s="37"/>
      <c r="O52" s="37"/>
      <c r="P52" s="41">
        <f t="shared" si="38"/>
        <v>269</v>
      </c>
      <c r="Q52" s="41">
        <f t="shared" si="38"/>
        <v>269</v>
      </c>
      <c r="R52" s="41"/>
      <c r="S52" s="41"/>
    </row>
    <row r="53" spans="2:19" x14ac:dyDescent="0.25">
      <c r="B53" s="4"/>
      <c r="C53" s="4">
        <v>47</v>
      </c>
      <c r="D53" s="4">
        <f t="shared" si="0"/>
        <v>269</v>
      </c>
      <c r="E53" s="4"/>
      <c r="F53" s="6"/>
      <c r="G53" s="6"/>
      <c r="H53" s="6">
        <f t="shared" si="40"/>
        <v>0</v>
      </c>
      <c r="I53" s="6">
        <f t="shared" si="40"/>
        <v>0</v>
      </c>
      <c r="J53" s="6" t="e">
        <f t="shared" si="2"/>
        <v>#DIV/0!</v>
      </c>
      <c r="K53" s="6" t="e">
        <f t="shared" si="3"/>
        <v>#DIV/0!</v>
      </c>
      <c r="L53" s="37">
        <f t="shared" si="39"/>
        <v>2.2304832713754646E-2</v>
      </c>
      <c r="M53" s="37">
        <f t="shared" si="39"/>
        <v>2.2304832713754646E-2</v>
      </c>
      <c r="N53" s="37"/>
      <c r="O53" s="37"/>
      <c r="P53" s="41">
        <f t="shared" si="38"/>
        <v>269</v>
      </c>
      <c r="Q53" s="41">
        <f t="shared" si="38"/>
        <v>269</v>
      </c>
      <c r="R53" s="41"/>
      <c r="S53" s="41"/>
    </row>
    <row r="54" spans="2:19" x14ac:dyDescent="0.25">
      <c r="B54" s="4"/>
      <c r="C54" s="4">
        <v>48</v>
      </c>
      <c r="D54" s="4">
        <f t="shared" si="0"/>
        <v>269</v>
      </c>
      <c r="E54" s="4"/>
      <c r="F54" s="6"/>
      <c r="G54" s="6"/>
      <c r="H54" s="6">
        <f t="shared" si="40"/>
        <v>0</v>
      </c>
      <c r="I54" s="6">
        <f t="shared" si="40"/>
        <v>0</v>
      </c>
      <c r="J54" s="6" t="e">
        <f t="shared" si="2"/>
        <v>#DIV/0!</v>
      </c>
      <c r="K54" s="6" t="e">
        <f t="shared" si="3"/>
        <v>#DIV/0!</v>
      </c>
      <c r="L54" s="37">
        <f t="shared" si="39"/>
        <v>2.2304832713754646E-2</v>
      </c>
      <c r="M54" s="37">
        <f t="shared" si="39"/>
        <v>2.2304832713754646E-2</v>
      </c>
      <c r="N54" s="37"/>
      <c r="O54" s="37"/>
      <c r="P54" s="41">
        <f t="shared" si="38"/>
        <v>269</v>
      </c>
      <c r="Q54" s="41">
        <f t="shared" si="38"/>
        <v>269</v>
      </c>
      <c r="R54" s="41"/>
      <c r="S54" s="4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3189-AB68-4D51-BB26-59089C40D644}">
  <dimension ref="A2:M30"/>
  <sheetViews>
    <sheetView showGridLines="0" zoomScale="85" zoomScaleNormal="85" workbookViewId="0"/>
  </sheetViews>
  <sheetFormatPr defaultRowHeight="15" x14ac:dyDescent="0.25"/>
  <cols>
    <col min="1" max="1" width="18.28515625" style="2" customWidth="1"/>
    <col min="2" max="2" width="20.5703125" style="2" customWidth="1"/>
    <col min="3" max="4" width="18.28515625" style="2" customWidth="1"/>
    <col min="5" max="5" width="10.42578125" style="2" customWidth="1"/>
    <col min="6" max="16384" width="9.140625" style="2"/>
  </cols>
  <sheetData>
    <row r="2" spans="1:13" x14ac:dyDescent="0.25">
      <c r="B2" s="1" t="s">
        <v>7</v>
      </c>
    </row>
    <row r="3" spans="1:13" x14ac:dyDescent="0.25">
      <c r="B3" s="1" t="s">
        <v>8</v>
      </c>
      <c r="J3" s="9">
        <f>AVERAGE(J11:J15)</f>
        <v>1.4200000000000013E-2</v>
      </c>
      <c r="K3" s="9">
        <f>AVERAGE(K11:K15)</f>
        <v>1.1194444444444443E-2</v>
      </c>
    </row>
    <row r="4" spans="1:13" x14ac:dyDescent="0.25">
      <c r="L4" s="7" t="s">
        <v>112</v>
      </c>
    </row>
    <row r="5" spans="1:13" x14ac:dyDescent="0.25">
      <c r="B5" s="3" t="s">
        <v>3</v>
      </c>
      <c r="C5" s="3" t="s">
        <v>114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2" t="s">
        <v>0</v>
      </c>
      <c r="M5" s="7" t="s">
        <v>1</v>
      </c>
    </row>
    <row r="6" spans="1:13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7"/>
      <c r="M6" s="7"/>
    </row>
    <row r="7" spans="1:13" x14ac:dyDescent="0.25">
      <c r="B7" s="5">
        <v>0.4236111111111111</v>
      </c>
      <c r="C7" s="4">
        <v>1</v>
      </c>
      <c r="D7" s="4">
        <f>D6+E7</f>
        <v>5</v>
      </c>
      <c r="E7" s="4">
        <v>5</v>
      </c>
      <c r="F7" s="6">
        <v>5.7</v>
      </c>
      <c r="G7" s="6">
        <v>5.3</v>
      </c>
      <c r="H7" s="6">
        <f>F6-F7</f>
        <v>0.29999999999999982</v>
      </c>
      <c r="I7" s="6">
        <f>G6-G7</f>
        <v>0.70000000000000018</v>
      </c>
      <c r="J7" s="8">
        <f>H7/E7</f>
        <v>5.9999999999999963E-2</v>
      </c>
      <c r="K7" s="8">
        <f>I7/E7</f>
        <v>0.14000000000000004</v>
      </c>
      <c r="L7" s="28">
        <f>-(F7-F$6)/$D7</f>
        <v>5.9999999999999963E-2</v>
      </c>
      <c r="M7" s="28">
        <f>-(G7-G$6)/$D7</f>
        <v>0.14000000000000004</v>
      </c>
    </row>
    <row r="8" spans="1:13" x14ac:dyDescent="0.25">
      <c r="B8" s="5">
        <v>0.46527777777777773</v>
      </c>
      <c r="C8" s="4">
        <v>2</v>
      </c>
      <c r="D8" s="4">
        <f t="shared" ref="D8:D23" si="0">D7+E8</f>
        <v>10</v>
      </c>
      <c r="E8" s="4">
        <v>5</v>
      </c>
      <c r="F8" s="6">
        <v>5.6</v>
      </c>
      <c r="G8" s="6">
        <v>5.2</v>
      </c>
      <c r="H8" s="6">
        <f t="shared" ref="H8:H25" si="1">F7-F8</f>
        <v>0.10000000000000053</v>
      </c>
      <c r="I8" s="6">
        <f t="shared" ref="I8:I25" si="2">G7-G8</f>
        <v>9.9999999999999645E-2</v>
      </c>
      <c r="J8" s="8">
        <f t="shared" ref="J8:J25" si="3">H8/E8</f>
        <v>2.0000000000000108E-2</v>
      </c>
      <c r="K8" s="8">
        <f t="shared" ref="K8:K25" si="4">I8/E8</f>
        <v>1.9999999999999928E-2</v>
      </c>
      <c r="L8" s="28">
        <f t="shared" ref="L8:M15" si="5">-(F8-F$6)/$D8</f>
        <v>4.0000000000000036E-2</v>
      </c>
      <c r="M8" s="28">
        <f t="shared" si="5"/>
        <v>7.9999999999999988E-2</v>
      </c>
    </row>
    <row r="9" spans="1:13" x14ac:dyDescent="0.25">
      <c r="B9" s="5">
        <v>0.48472222222222222</v>
      </c>
      <c r="C9" s="4">
        <v>3</v>
      </c>
      <c r="D9" s="4">
        <f t="shared" si="0"/>
        <v>15</v>
      </c>
      <c r="E9" s="4">
        <v>5</v>
      </c>
      <c r="F9" s="6">
        <v>5.48</v>
      </c>
      <c r="G9" s="6">
        <v>5.18</v>
      </c>
      <c r="H9" s="6">
        <f t="shared" si="1"/>
        <v>0.11999999999999922</v>
      </c>
      <c r="I9" s="6">
        <f t="shared" si="2"/>
        <v>2.0000000000000462E-2</v>
      </c>
      <c r="J9" s="8">
        <f t="shared" si="3"/>
        <v>2.3999999999999844E-2</v>
      </c>
      <c r="K9" s="8">
        <f t="shared" si="4"/>
        <v>4.000000000000092E-3</v>
      </c>
      <c r="L9" s="28">
        <f t="shared" si="5"/>
        <v>3.4666666666666637E-2</v>
      </c>
      <c r="M9" s="28">
        <f t="shared" si="5"/>
        <v>5.4666666666666683E-2</v>
      </c>
    </row>
    <row r="10" spans="1:13" x14ac:dyDescent="0.25">
      <c r="B10" s="5">
        <v>0.52083333333333337</v>
      </c>
      <c r="C10" s="4">
        <v>4</v>
      </c>
      <c r="D10" s="4">
        <f t="shared" si="0"/>
        <v>21</v>
      </c>
      <c r="E10" s="4">
        <v>6</v>
      </c>
      <c r="F10" s="6">
        <v>5.4</v>
      </c>
      <c r="G10" s="6">
        <v>5.0999999999999996</v>
      </c>
      <c r="H10" s="6">
        <f t="shared" si="1"/>
        <v>8.0000000000000071E-2</v>
      </c>
      <c r="I10" s="6">
        <f t="shared" si="2"/>
        <v>8.0000000000000071E-2</v>
      </c>
      <c r="J10" s="8">
        <f t="shared" si="3"/>
        <v>1.3333333333333345E-2</v>
      </c>
      <c r="K10" s="8">
        <f t="shared" si="4"/>
        <v>1.3333333333333345E-2</v>
      </c>
      <c r="L10" s="28">
        <f t="shared" si="5"/>
        <v>2.8571428571428553E-2</v>
      </c>
      <c r="M10" s="28">
        <f t="shared" si="5"/>
        <v>4.2857142857142871E-2</v>
      </c>
    </row>
    <row r="11" spans="1:13" x14ac:dyDescent="0.25">
      <c r="B11" s="5">
        <v>0.60069444444444442</v>
      </c>
      <c r="C11" s="4">
        <v>5</v>
      </c>
      <c r="D11" s="4">
        <f t="shared" si="0"/>
        <v>26</v>
      </c>
      <c r="E11" s="4">
        <v>5</v>
      </c>
      <c r="F11" s="6">
        <v>5.27</v>
      </c>
      <c r="G11" s="6">
        <v>5.05</v>
      </c>
      <c r="H11" s="6">
        <f t="shared" si="1"/>
        <v>0.13000000000000078</v>
      </c>
      <c r="I11" s="6">
        <f t="shared" si="2"/>
        <v>4.9999999999999822E-2</v>
      </c>
      <c r="J11" s="8">
        <f t="shared" si="3"/>
        <v>2.6000000000000155E-2</v>
      </c>
      <c r="K11" s="8">
        <f t="shared" si="4"/>
        <v>9.9999999999999638E-3</v>
      </c>
      <c r="L11" s="28">
        <f t="shared" si="5"/>
        <v>2.8076923076923093E-2</v>
      </c>
      <c r="M11" s="28">
        <f t="shared" si="5"/>
        <v>3.6538461538461547E-2</v>
      </c>
    </row>
    <row r="12" spans="1:13" x14ac:dyDescent="0.25">
      <c r="B12" s="5">
        <v>0.63263888888888886</v>
      </c>
      <c r="C12" s="4">
        <v>6</v>
      </c>
      <c r="D12" s="4">
        <f t="shared" si="0"/>
        <v>32</v>
      </c>
      <c r="E12" s="4">
        <v>6</v>
      </c>
      <c r="F12" s="6">
        <v>5.25</v>
      </c>
      <c r="G12" s="6">
        <v>5.0199999999999996</v>
      </c>
      <c r="H12" s="6">
        <f t="shared" si="1"/>
        <v>1.9999999999999574E-2</v>
      </c>
      <c r="I12" s="6">
        <f t="shared" si="2"/>
        <v>3.0000000000000249E-2</v>
      </c>
      <c r="J12" s="8">
        <f t="shared" si="3"/>
        <v>3.3333333333332624E-3</v>
      </c>
      <c r="K12" s="8">
        <f t="shared" si="4"/>
        <v>5.0000000000000417E-3</v>
      </c>
      <c r="L12" s="28">
        <f t="shared" si="5"/>
        <v>2.34375E-2</v>
      </c>
      <c r="M12" s="28">
        <f t="shared" si="5"/>
        <v>3.0625000000000013E-2</v>
      </c>
    </row>
    <row r="13" spans="1:13" x14ac:dyDescent="0.25">
      <c r="B13" s="5">
        <v>0.70833333333333337</v>
      </c>
      <c r="C13" s="4">
        <v>7</v>
      </c>
      <c r="D13" s="4">
        <f t="shared" si="0"/>
        <v>56</v>
      </c>
      <c r="E13" s="4">
        <v>24</v>
      </c>
      <c r="F13" s="6">
        <v>4.95</v>
      </c>
      <c r="G13" s="6">
        <v>4.75</v>
      </c>
      <c r="H13" s="6">
        <f t="shared" si="1"/>
        <v>0.29999999999999982</v>
      </c>
      <c r="I13" s="6">
        <f t="shared" si="2"/>
        <v>0.26999999999999957</v>
      </c>
      <c r="J13" s="8">
        <f t="shared" si="3"/>
        <v>1.2499999999999992E-2</v>
      </c>
      <c r="K13" s="8">
        <f t="shared" si="4"/>
        <v>1.1249999999999982E-2</v>
      </c>
      <c r="L13" s="28">
        <f t="shared" si="5"/>
        <v>1.8749999999999996E-2</v>
      </c>
      <c r="M13" s="28">
        <f t="shared" si="5"/>
        <v>2.2321428571428572E-2</v>
      </c>
    </row>
    <row r="14" spans="1:13" x14ac:dyDescent="0.25">
      <c r="B14" s="5">
        <v>0.73819444444444438</v>
      </c>
      <c r="C14" s="4">
        <v>8</v>
      </c>
      <c r="D14" s="4">
        <f t="shared" si="0"/>
        <v>60</v>
      </c>
      <c r="E14" s="4">
        <v>4</v>
      </c>
      <c r="F14" s="6">
        <v>4.9000000000000004</v>
      </c>
      <c r="G14" s="6">
        <v>4.68</v>
      </c>
      <c r="H14" s="6">
        <f t="shared" si="1"/>
        <v>4.9999999999999822E-2</v>
      </c>
      <c r="I14" s="6">
        <f t="shared" si="2"/>
        <v>7.0000000000000284E-2</v>
      </c>
      <c r="J14" s="8">
        <f t="shared" si="3"/>
        <v>1.2499999999999956E-2</v>
      </c>
      <c r="K14" s="8">
        <f t="shared" si="4"/>
        <v>1.7500000000000071E-2</v>
      </c>
      <c r="L14" s="28">
        <f t="shared" si="5"/>
        <v>1.8333333333333326E-2</v>
      </c>
      <c r="M14" s="28">
        <f t="shared" si="5"/>
        <v>2.2000000000000006E-2</v>
      </c>
    </row>
    <row r="15" spans="1:13" x14ac:dyDescent="0.25">
      <c r="B15" s="5">
        <v>0.79861111111111116</v>
      </c>
      <c r="C15" s="4">
        <v>9</v>
      </c>
      <c r="D15" s="4">
        <f t="shared" si="0"/>
        <v>69</v>
      </c>
      <c r="E15" s="4">
        <v>9</v>
      </c>
      <c r="F15" s="6">
        <v>4.75</v>
      </c>
      <c r="G15" s="6">
        <v>4.57</v>
      </c>
      <c r="H15" s="6">
        <f t="shared" si="1"/>
        <v>0.15000000000000036</v>
      </c>
      <c r="I15" s="6">
        <f t="shared" si="2"/>
        <v>0.10999999999999943</v>
      </c>
      <c r="J15" s="8">
        <f t="shared" si="3"/>
        <v>1.6666666666666705E-2</v>
      </c>
      <c r="K15" s="8">
        <f t="shared" si="4"/>
        <v>1.2222222222222159E-2</v>
      </c>
      <c r="L15" s="28">
        <f t="shared" si="5"/>
        <v>1.8115942028985508E-2</v>
      </c>
      <c r="M15" s="28">
        <f t="shared" si="5"/>
        <v>2.0724637681159418E-2</v>
      </c>
    </row>
    <row r="16" spans="1:13" x14ac:dyDescent="0.25">
      <c r="A16" s="1" t="s">
        <v>113</v>
      </c>
      <c r="B16" s="5">
        <v>0.62777777777777777</v>
      </c>
      <c r="C16" s="4">
        <v>10</v>
      </c>
      <c r="D16" s="4">
        <f t="shared" si="0"/>
        <v>77</v>
      </c>
      <c r="E16" s="4">
        <v>8</v>
      </c>
      <c r="F16" s="29">
        <v>4.76</v>
      </c>
      <c r="G16" s="6">
        <v>4.6100000000000003</v>
      </c>
      <c r="H16" s="6">
        <f t="shared" si="1"/>
        <v>-9.9999999999997868E-3</v>
      </c>
      <c r="I16" s="6">
        <f t="shared" si="2"/>
        <v>-4.0000000000000036E-2</v>
      </c>
      <c r="J16" s="6">
        <f t="shared" si="3"/>
        <v>-1.2499999999999734E-3</v>
      </c>
      <c r="K16" s="6">
        <f t="shared" si="4"/>
        <v>-5.0000000000000044E-3</v>
      </c>
      <c r="L16" s="28">
        <f t="shared" ref="L16:L17" si="6">-(F16-F$6)/$D16</f>
        <v>1.6103896103896106E-2</v>
      </c>
      <c r="M16" s="28">
        <f t="shared" ref="M16:M17" si="7">-(G16-G$6)/$D16</f>
        <v>1.8051948051948048E-2</v>
      </c>
    </row>
    <row r="17" spans="1:13" x14ac:dyDescent="0.25">
      <c r="B17" s="5">
        <v>0.67499999999999993</v>
      </c>
      <c r="C17" s="4">
        <v>11</v>
      </c>
      <c r="D17" s="4">
        <f t="shared" si="0"/>
        <v>89</v>
      </c>
      <c r="E17" s="4">
        <v>12</v>
      </c>
      <c r="F17" s="6">
        <v>4.5999999999999996</v>
      </c>
      <c r="G17" s="6">
        <v>4.4000000000000004</v>
      </c>
      <c r="H17" s="6">
        <f t="shared" si="1"/>
        <v>0.16000000000000014</v>
      </c>
      <c r="I17" s="6">
        <f t="shared" si="2"/>
        <v>0.20999999999999996</v>
      </c>
      <c r="J17" s="6">
        <f t="shared" si="3"/>
        <v>1.3333333333333345E-2</v>
      </c>
      <c r="K17" s="6">
        <f t="shared" si="4"/>
        <v>1.7499999999999998E-2</v>
      </c>
      <c r="L17" s="28">
        <f t="shared" si="6"/>
        <v>1.573033707865169E-2</v>
      </c>
      <c r="M17" s="28">
        <f t="shared" si="7"/>
        <v>1.7977528089887635E-2</v>
      </c>
    </row>
    <row r="18" spans="1:13" x14ac:dyDescent="0.25">
      <c r="B18" s="5">
        <v>0.7284722222222223</v>
      </c>
      <c r="C18" s="4">
        <v>12</v>
      </c>
      <c r="D18" s="4">
        <f t="shared" si="0"/>
        <v>97</v>
      </c>
      <c r="E18" s="4">
        <v>8</v>
      </c>
      <c r="F18" s="6">
        <v>4.58</v>
      </c>
      <c r="G18" s="6">
        <v>4.3499999999999996</v>
      </c>
      <c r="H18" s="6">
        <f t="shared" si="1"/>
        <v>1.9999999999999574E-2</v>
      </c>
      <c r="I18" s="6">
        <f t="shared" si="2"/>
        <v>5.0000000000000711E-2</v>
      </c>
      <c r="J18" s="6">
        <f t="shared" si="3"/>
        <v>2.4999999999999467E-3</v>
      </c>
      <c r="K18" s="6">
        <f t="shared" si="4"/>
        <v>6.2500000000000888E-3</v>
      </c>
      <c r="L18" s="28">
        <f t="shared" ref="L18:L25" si="8">-(F18-F$6)/$D18</f>
        <v>1.4639175257731958E-2</v>
      </c>
      <c r="M18" s="28">
        <f t="shared" ref="M18:M25" si="9">-(G18-G$6)/$D18</f>
        <v>1.7010309278350517E-2</v>
      </c>
    </row>
    <row r="19" spans="1:13" x14ac:dyDescent="0.25">
      <c r="B19" s="5">
        <v>0.89166666666666661</v>
      </c>
      <c r="C19" s="4">
        <v>13</v>
      </c>
      <c r="D19" s="4">
        <f t="shared" si="0"/>
        <v>112</v>
      </c>
      <c r="E19" s="4">
        <v>15</v>
      </c>
      <c r="F19" s="6">
        <v>4.2699999999999996</v>
      </c>
      <c r="G19" s="6">
        <v>4.0999999999999996</v>
      </c>
      <c r="H19" s="6">
        <f t="shared" si="1"/>
        <v>0.3100000000000005</v>
      </c>
      <c r="I19" s="6">
        <f t="shared" si="2"/>
        <v>0.25</v>
      </c>
      <c r="J19" s="6">
        <f t="shared" si="3"/>
        <v>2.0666666666666701E-2</v>
      </c>
      <c r="K19" s="6">
        <f t="shared" si="4"/>
        <v>1.6666666666666666E-2</v>
      </c>
      <c r="L19" s="28">
        <f t="shared" si="8"/>
        <v>1.5446428571428574E-2</v>
      </c>
      <c r="M19" s="28">
        <f t="shared" si="9"/>
        <v>1.6964285714285716E-2</v>
      </c>
    </row>
    <row r="20" spans="1:13" x14ac:dyDescent="0.25">
      <c r="B20" s="5">
        <v>0.96527777777777779</v>
      </c>
      <c r="C20" s="4">
        <v>14</v>
      </c>
      <c r="D20" s="4">
        <f t="shared" si="0"/>
        <v>126</v>
      </c>
      <c r="E20" s="4">
        <v>14</v>
      </c>
      <c r="F20" s="29">
        <v>4.2699999999999996</v>
      </c>
      <c r="G20" s="6">
        <v>4.05</v>
      </c>
      <c r="H20" s="6">
        <f t="shared" si="1"/>
        <v>0</v>
      </c>
      <c r="I20" s="6">
        <f t="shared" si="2"/>
        <v>4.9999999999999822E-2</v>
      </c>
      <c r="J20" s="6">
        <f t="shared" si="3"/>
        <v>0</v>
      </c>
      <c r="K20" s="6">
        <f t="shared" si="4"/>
        <v>3.5714285714285587E-3</v>
      </c>
      <c r="L20" s="28">
        <f t="shared" si="8"/>
        <v>1.3730158730158733E-2</v>
      </c>
      <c r="M20" s="28">
        <f t="shared" si="9"/>
        <v>1.5476190476190478E-2</v>
      </c>
    </row>
    <row r="21" spans="1:13" x14ac:dyDescent="0.25">
      <c r="B21" s="5">
        <v>8.3333333333333332E-3</v>
      </c>
      <c r="C21" s="4">
        <v>15</v>
      </c>
      <c r="D21" s="4">
        <f t="shared" si="0"/>
        <v>138</v>
      </c>
      <c r="E21" s="4">
        <v>12</v>
      </c>
      <c r="F21" s="6">
        <v>4.12</v>
      </c>
      <c r="G21" s="6">
        <v>3.82</v>
      </c>
      <c r="H21" s="6">
        <f t="shared" si="1"/>
        <v>0.14999999999999947</v>
      </c>
      <c r="I21" s="6">
        <f t="shared" si="2"/>
        <v>0.22999999999999998</v>
      </c>
      <c r="J21" s="6">
        <f t="shared" si="3"/>
        <v>1.2499999999999956E-2</v>
      </c>
      <c r="K21" s="6">
        <f t="shared" si="4"/>
        <v>1.9166666666666665E-2</v>
      </c>
      <c r="L21" s="28">
        <f t="shared" si="8"/>
        <v>1.36231884057971E-2</v>
      </c>
      <c r="M21" s="28">
        <f t="shared" si="9"/>
        <v>1.5797101449275364E-2</v>
      </c>
    </row>
    <row r="22" spans="1:13" x14ac:dyDescent="0.25">
      <c r="A22" s="1" t="s">
        <v>152</v>
      </c>
      <c r="B22" s="5">
        <v>0.75</v>
      </c>
      <c r="C22" s="4">
        <v>16</v>
      </c>
      <c r="D22" s="4">
        <f t="shared" si="0"/>
        <v>152</v>
      </c>
      <c r="E22" s="4">
        <v>14</v>
      </c>
      <c r="F22" s="6">
        <v>4.08</v>
      </c>
      <c r="G22" s="6">
        <v>3.65</v>
      </c>
      <c r="H22" s="6">
        <f t="shared" si="1"/>
        <v>4.0000000000000036E-2</v>
      </c>
      <c r="I22" s="6">
        <f t="shared" si="2"/>
        <v>0.16999999999999993</v>
      </c>
      <c r="J22" s="6">
        <f t="shared" si="3"/>
        <v>2.8571428571428597E-3</v>
      </c>
      <c r="K22" s="6">
        <f t="shared" si="4"/>
        <v>1.2142857142857138E-2</v>
      </c>
      <c r="L22" s="28">
        <f t="shared" si="8"/>
        <v>1.2631578947368421E-2</v>
      </c>
      <c r="M22" s="28">
        <f t="shared" si="9"/>
        <v>1.5460526315789475E-2</v>
      </c>
    </row>
    <row r="23" spans="1:13" x14ac:dyDescent="0.25">
      <c r="A23" s="1" t="s">
        <v>154</v>
      </c>
      <c r="B23" s="5">
        <v>0.94791666666666663</v>
      </c>
      <c r="C23" s="4">
        <v>17</v>
      </c>
      <c r="D23" s="4">
        <f t="shared" si="0"/>
        <v>165</v>
      </c>
      <c r="E23" s="4">
        <v>13</v>
      </c>
      <c r="F23" s="6">
        <v>3.93</v>
      </c>
      <c r="G23" s="6">
        <v>3.43</v>
      </c>
      <c r="H23" s="6">
        <f t="shared" si="1"/>
        <v>0.14999999999999991</v>
      </c>
      <c r="I23" s="6">
        <f t="shared" si="2"/>
        <v>0.21999999999999975</v>
      </c>
      <c r="J23" s="6">
        <f t="shared" si="3"/>
        <v>1.1538461538461532E-2</v>
      </c>
      <c r="K23" s="6">
        <f t="shared" si="4"/>
        <v>1.6923076923076905E-2</v>
      </c>
      <c r="L23" s="28">
        <f t="shared" si="8"/>
        <v>1.2545454545454544E-2</v>
      </c>
      <c r="M23" s="28">
        <f t="shared" si="9"/>
        <v>1.5575757575757574E-2</v>
      </c>
    </row>
    <row r="24" spans="1:13" x14ac:dyDescent="0.25">
      <c r="B24" s="4"/>
      <c r="C24" s="4"/>
      <c r="D24" s="4"/>
      <c r="E24" s="4"/>
      <c r="F24" s="6"/>
      <c r="G24" s="6"/>
      <c r="H24" s="6">
        <f t="shared" si="1"/>
        <v>3.93</v>
      </c>
      <c r="I24" s="6">
        <f t="shared" si="2"/>
        <v>3.43</v>
      </c>
      <c r="J24" s="6" t="e">
        <f t="shared" si="3"/>
        <v>#DIV/0!</v>
      </c>
      <c r="K24" s="6" t="e">
        <f t="shared" si="4"/>
        <v>#DIV/0!</v>
      </c>
      <c r="L24" s="28" t="e">
        <f t="shared" si="8"/>
        <v>#DIV/0!</v>
      </c>
      <c r="M24" s="28" t="e">
        <f t="shared" si="9"/>
        <v>#DIV/0!</v>
      </c>
    </row>
    <row r="25" spans="1:13" x14ac:dyDescent="0.25">
      <c r="B25" s="4"/>
      <c r="C25" s="4"/>
      <c r="D25" s="4"/>
      <c r="E25" s="4"/>
      <c r="F25" s="6"/>
      <c r="G25" s="6"/>
      <c r="H25" s="6">
        <f t="shared" si="1"/>
        <v>0</v>
      </c>
      <c r="I25" s="6">
        <f t="shared" si="2"/>
        <v>0</v>
      </c>
      <c r="J25" s="6" t="e">
        <f t="shared" si="3"/>
        <v>#DIV/0!</v>
      </c>
      <c r="K25" s="6" t="e">
        <f t="shared" si="4"/>
        <v>#DIV/0!</v>
      </c>
      <c r="L25" s="28" t="e">
        <f t="shared" si="8"/>
        <v>#DIV/0!</v>
      </c>
      <c r="M25" s="28" t="e">
        <f t="shared" si="9"/>
        <v>#DIV/0!</v>
      </c>
    </row>
    <row r="28" spans="1:13" x14ac:dyDescent="0.25">
      <c r="F28" s="10">
        <f>-F15+F12</f>
        <v>0.5</v>
      </c>
      <c r="G28" s="10">
        <f>-G15+G12</f>
        <v>0.44999999999999929</v>
      </c>
      <c r="H28" s="10"/>
      <c r="I28" s="10"/>
    </row>
    <row r="29" spans="1:13" x14ac:dyDescent="0.25">
      <c r="F29" s="2">
        <f>D15-D12</f>
        <v>37</v>
      </c>
      <c r="H29" s="9"/>
      <c r="I29" s="9"/>
    </row>
    <row r="30" spans="1:13" x14ac:dyDescent="0.25">
      <c r="F30" s="9">
        <f>F28/F29</f>
        <v>1.3513513513513514E-2</v>
      </c>
      <c r="G30" s="9">
        <f>G28/F29</f>
        <v>1.2162162162162144E-2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D9E1-00DE-47BC-B065-589DF77F9BDC}">
  <dimension ref="A2:M30"/>
  <sheetViews>
    <sheetView showGridLines="0" zoomScale="85" zoomScaleNormal="85" workbookViewId="0"/>
  </sheetViews>
  <sheetFormatPr defaultRowHeight="15" x14ac:dyDescent="0.25"/>
  <cols>
    <col min="1" max="1" width="11.28515625" style="2" customWidth="1"/>
    <col min="2" max="2" width="20.5703125" style="2" customWidth="1"/>
    <col min="3" max="4" width="18.28515625" style="2" customWidth="1"/>
    <col min="5" max="5" width="10.42578125" style="2" customWidth="1"/>
    <col min="6" max="16384" width="9.140625" style="2"/>
  </cols>
  <sheetData>
    <row r="2" spans="1:13" x14ac:dyDescent="0.25">
      <c r="B2" s="1" t="s">
        <v>7</v>
      </c>
    </row>
    <row r="3" spans="1:13" x14ac:dyDescent="0.25">
      <c r="B3" s="1" t="s">
        <v>8</v>
      </c>
      <c r="J3" s="9" t="e">
        <f>AVERAGE(J11:J15)</f>
        <v>#DIV/0!</v>
      </c>
      <c r="K3" s="9" t="e">
        <f>AVERAGE(K11:K15)</f>
        <v>#DIV/0!</v>
      </c>
    </row>
    <row r="4" spans="1:13" x14ac:dyDescent="0.25">
      <c r="L4" s="7" t="s">
        <v>112</v>
      </c>
    </row>
    <row r="5" spans="1:13" x14ac:dyDescent="0.25">
      <c r="B5" s="3" t="s">
        <v>3</v>
      </c>
      <c r="C5" s="3" t="s">
        <v>114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2" t="s">
        <v>0</v>
      </c>
      <c r="M5" s="7" t="s">
        <v>1</v>
      </c>
    </row>
    <row r="6" spans="1:13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7"/>
      <c r="M6" s="7"/>
    </row>
    <row r="7" spans="1:13" x14ac:dyDescent="0.25">
      <c r="A7" s="1" t="s">
        <v>155</v>
      </c>
      <c r="B7" s="5">
        <v>0.96597222222222223</v>
      </c>
      <c r="C7" s="4">
        <v>1</v>
      </c>
      <c r="D7" s="4">
        <f>D6+E7</f>
        <v>7</v>
      </c>
      <c r="E7" s="4">
        <v>7</v>
      </c>
      <c r="F7" s="6">
        <v>5.9</v>
      </c>
      <c r="G7" s="6">
        <v>5.82</v>
      </c>
      <c r="H7" s="6">
        <f>F6-F7</f>
        <v>9.9999999999999645E-2</v>
      </c>
      <c r="I7" s="6">
        <f>G6-G7</f>
        <v>0.17999999999999972</v>
      </c>
      <c r="J7" s="8">
        <f>H7/E7</f>
        <v>1.4285714285714235E-2</v>
      </c>
      <c r="K7" s="8">
        <f>I7/E7</f>
        <v>2.5714285714285672E-2</v>
      </c>
      <c r="L7" s="28">
        <f>-(F7-F$6)/$D7</f>
        <v>1.4285714285714235E-2</v>
      </c>
      <c r="M7" s="28">
        <f>-(G7-G$6)/$D7</f>
        <v>2.5714285714285672E-2</v>
      </c>
    </row>
    <row r="8" spans="1:13" x14ac:dyDescent="0.25">
      <c r="B8" s="5"/>
      <c r="C8" s="4"/>
      <c r="D8" s="4"/>
      <c r="E8" s="4"/>
      <c r="F8" s="6"/>
      <c r="G8" s="6"/>
      <c r="H8" s="6">
        <f t="shared" ref="H8:I25" si="0">F7-F8</f>
        <v>5.9</v>
      </c>
      <c r="I8" s="6">
        <f t="shared" si="0"/>
        <v>5.82</v>
      </c>
      <c r="J8" s="8" t="e">
        <f t="shared" ref="J8:J25" si="1">H8/E8</f>
        <v>#DIV/0!</v>
      </c>
      <c r="K8" s="8" t="e">
        <f t="shared" ref="K8:K25" si="2">I8/E8</f>
        <v>#DIV/0!</v>
      </c>
      <c r="L8" s="28" t="e">
        <f t="shared" ref="L8:M23" si="3">-(F8-F$6)/$D8</f>
        <v>#DIV/0!</v>
      </c>
      <c r="M8" s="28" t="e">
        <f t="shared" si="3"/>
        <v>#DIV/0!</v>
      </c>
    </row>
    <row r="9" spans="1:13" x14ac:dyDescent="0.25">
      <c r="B9" s="5"/>
      <c r="C9" s="4"/>
      <c r="D9" s="4"/>
      <c r="E9" s="4"/>
      <c r="F9" s="6"/>
      <c r="G9" s="6"/>
      <c r="H9" s="6">
        <f t="shared" si="0"/>
        <v>0</v>
      </c>
      <c r="I9" s="6">
        <f t="shared" si="0"/>
        <v>0</v>
      </c>
      <c r="J9" s="8" t="e">
        <f t="shared" si="1"/>
        <v>#DIV/0!</v>
      </c>
      <c r="K9" s="8" t="e">
        <f t="shared" si="2"/>
        <v>#DIV/0!</v>
      </c>
      <c r="L9" s="28" t="e">
        <f t="shared" si="3"/>
        <v>#DIV/0!</v>
      </c>
      <c r="M9" s="28" t="e">
        <f t="shared" si="3"/>
        <v>#DIV/0!</v>
      </c>
    </row>
    <row r="10" spans="1:13" x14ac:dyDescent="0.25">
      <c r="B10" s="5"/>
      <c r="C10" s="4"/>
      <c r="D10" s="4"/>
      <c r="E10" s="4"/>
      <c r="F10" s="6"/>
      <c r="G10" s="6"/>
      <c r="H10" s="6">
        <f t="shared" si="0"/>
        <v>0</v>
      </c>
      <c r="I10" s="6">
        <f t="shared" si="0"/>
        <v>0</v>
      </c>
      <c r="J10" s="8" t="e">
        <f t="shared" si="1"/>
        <v>#DIV/0!</v>
      </c>
      <c r="K10" s="8" t="e">
        <f t="shared" si="2"/>
        <v>#DIV/0!</v>
      </c>
      <c r="L10" s="28" t="e">
        <f t="shared" si="3"/>
        <v>#DIV/0!</v>
      </c>
      <c r="M10" s="28" t="e">
        <f t="shared" si="3"/>
        <v>#DIV/0!</v>
      </c>
    </row>
    <row r="11" spans="1:13" x14ac:dyDescent="0.25">
      <c r="B11" s="5"/>
      <c r="C11" s="4"/>
      <c r="D11" s="4"/>
      <c r="E11" s="4"/>
      <c r="F11" s="6"/>
      <c r="G11" s="6"/>
      <c r="H11" s="6">
        <f t="shared" si="0"/>
        <v>0</v>
      </c>
      <c r="I11" s="6">
        <f t="shared" si="0"/>
        <v>0</v>
      </c>
      <c r="J11" s="8" t="e">
        <f t="shared" si="1"/>
        <v>#DIV/0!</v>
      </c>
      <c r="K11" s="8" t="e">
        <f t="shared" si="2"/>
        <v>#DIV/0!</v>
      </c>
      <c r="L11" s="28" t="e">
        <f t="shared" si="3"/>
        <v>#DIV/0!</v>
      </c>
      <c r="M11" s="28" t="e">
        <f t="shared" si="3"/>
        <v>#DIV/0!</v>
      </c>
    </row>
    <row r="12" spans="1:13" x14ac:dyDescent="0.25">
      <c r="B12" s="5"/>
      <c r="C12" s="4"/>
      <c r="D12" s="4"/>
      <c r="E12" s="4"/>
      <c r="F12" s="6"/>
      <c r="G12" s="6"/>
      <c r="H12" s="6">
        <f t="shared" si="0"/>
        <v>0</v>
      </c>
      <c r="I12" s="6">
        <f t="shared" si="0"/>
        <v>0</v>
      </c>
      <c r="J12" s="8" t="e">
        <f t="shared" si="1"/>
        <v>#DIV/0!</v>
      </c>
      <c r="K12" s="8" t="e">
        <f t="shared" si="2"/>
        <v>#DIV/0!</v>
      </c>
      <c r="L12" s="28" t="e">
        <f t="shared" si="3"/>
        <v>#DIV/0!</v>
      </c>
      <c r="M12" s="28" t="e">
        <f t="shared" si="3"/>
        <v>#DIV/0!</v>
      </c>
    </row>
    <row r="13" spans="1:13" x14ac:dyDescent="0.25">
      <c r="B13" s="5"/>
      <c r="C13" s="4"/>
      <c r="D13" s="4"/>
      <c r="E13" s="4"/>
      <c r="F13" s="6"/>
      <c r="G13" s="6"/>
      <c r="H13" s="6">
        <f t="shared" si="0"/>
        <v>0</v>
      </c>
      <c r="I13" s="6">
        <f t="shared" si="0"/>
        <v>0</v>
      </c>
      <c r="J13" s="8" t="e">
        <f t="shared" si="1"/>
        <v>#DIV/0!</v>
      </c>
      <c r="K13" s="8" t="e">
        <f t="shared" si="2"/>
        <v>#DIV/0!</v>
      </c>
      <c r="L13" s="28" t="e">
        <f t="shared" si="3"/>
        <v>#DIV/0!</v>
      </c>
      <c r="M13" s="28" t="e">
        <f t="shared" si="3"/>
        <v>#DIV/0!</v>
      </c>
    </row>
    <row r="14" spans="1:13" x14ac:dyDescent="0.25">
      <c r="B14" s="5"/>
      <c r="C14" s="4"/>
      <c r="D14" s="4"/>
      <c r="E14" s="4"/>
      <c r="F14" s="6"/>
      <c r="G14" s="6"/>
      <c r="H14" s="6">
        <f t="shared" si="0"/>
        <v>0</v>
      </c>
      <c r="I14" s="6">
        <f t="shared" si="0"/>
        <v>0</v>
      </c>
      <c r="J14" s="8" t="e">
        <f t="shared" si="1"/>
        <v>#DIV/0!</v>
      </c>
      <c r="K14" s="8" t="e">
        <f t="shared" si="2"/>
        <v>#DIV/0!</v>
      </c>
      <c r="L14" s="28" t="e">
        <f t="shared" si="3"/>
        <v>#DIV/0!</v>
      </c>
      <c r="M14" s="28" t="e">
        <f t="shared" si="3"/>
        <v>#DIV/0!</v>
      </c>
    </row>
    <row r="15" spans="1:13" x14ac:dyDescent="0.25">
      <c r="B15" s="5"/>
      <c r="C15" s="4"/>
      <c r="D15" s="4"/>
      <c r="E15" s="4"/>
      <c r="F15" s="6"/>
      <c r="G15" s="6"/>
      <c r="H15" s="6">
        <f t="shared" si="0"/>
        <v>0</v>
      </c>
      <c r="I15" s="6">
        <f t="shared" si="0"/>
        <v>0</v>
      </c>
      <c r="J15" s="8" t="e">
        <f t="shared" si="1"/>
        <v>#DIV/0!</v>
      </c>
      <c r="K15" s="8" t="e">
        <f t="shared" si="2"/>
        <v>#DIV/0!</v>
      </c>
      <c r="L15" s="28" t="e">
        <f t="shared" si="3"/>
        <v>#DIV/0!</v>
      </c>
      <c r="M15" s="28" t="e">
        <f t="shared" si="3"/>
        <v>#DIV/0!</v>
      </c>
    </row>
    <row r="16" spans="1:13" x14ac:dyDescent="0.25">
      <c r="A16" s="1"/>
      <c r="B16" s="5"/>
      <c r="C16" s="4"/>
      <c r="D16" s="4"/>
      <c r="E16" s="4"/>
      <c r="F16" s="29"/>
      <c r="G16" s="6"/>
      <c r="H16" s="6">
        <f t="shared" si="0"/>
        <v>0</v>
      </c>
      <c r="I16" s="6">
        <f t="shared" si="0"/>
        <v>0</v>
      </c>
      <c r="J16" s="6" t="e">
        <f t="shared" si="1"/>
        <v>#DIV/0!</v>
      </c>
      <c r="K16" s="6" t="e">
        <f t="shared" si="2"/>
        <v>#DIV/0!</v>
      </c>
      <c r="L16" s="28" t="e">
        <f t="shared" si="3"/>
        <v>#DIV/0!</v>
      </c>
      <c r="M16" s="28" t="e">
        <f t="shared" si="3"/>
        <v>#DIV/0!</v>
      </c>
    </row>
    <row r="17" spans="1:13" x14ac:dyDescent="0.25">
      <c r="B17" s="5"/>
      <c r="C17" s="4"/>
      <c r="D17" s="4"/>
      <c r="E17" s="4"/>
      <c r="F17" s="6"/>
      <c r="G17" s="6"/>
      <c r="H17" s="6">
        <f t="shared" si="0"/>
        <v>0</v>
      </c>
      <c r="I17" s="6">
        <f t="shared" si="0"/>
        <v>0</v>
      </c>
      <c r="J17" s="6" t="e">
        <f t="shared" si="1"/>
        <v>#DIV/0!</v>
      </c>
      <c r="K17" s="6" t="e">
        <f t="shared" si="2"/>
        <v>#DIV/0!</v>
      </c>
      <c r="L17" s="28" t="e">
        <f t="shared" si="3"/>
        <v>#DIV/0!</v>
      </c>
      <c r="M17" s="28" t="e">
        <f t="shared" si="3"/>
        <v>#DIV/0!</v>
      </c>
    </row>
    <row r="18" spans="1:13" x14ac:dyDescent="0.25">
      <c r="B18" s="5"/>
      <c r="C18" s="4"/>
      <c r="D18" s="4"/>
      <c r="E18" s="4"/>
      <c r="F18" s="6"/>
      <c r="G18" s="6"/>
      <c r="H18" s="6">
        <f t="shared" si="0"/>
        <v>0</v>
      </c>
      <c r="I18" s="6">
        <f t="shared" si="0"/>
        <v>0</v>
      </c>
      <c r="J18" s="6" t="e">
        <f t="shared" si="1"/>
        <v>#DIV/0!</v>
      </c>
      <c r="K18" s="6" t="e">
        <f t="shared" si="2"/>
        <v>#DIV/0!</v>
      </c>
      <c r="L18" s="28" t="e">
        <f t="shared" si="3"/>
        <v>#DIV/0!</v>
      </c>
      <c r="M18" s="28" t="e">
        <f t="shared" si="3"/>
        <v>#DIV/0!</v>
      </c>
    </row>
    <row r="19" spans="1:13" x14ac:dyDescent="0.25">
      <c r="B19" s="5"/>
      <c r="C19" s="4"/>
      <c r="D19" s="4"/>
      <c r="E19" s="4"/>
      <c r="F19" s="6"/>
      <c r="G19" s="6"/>
      <c r="H19" s="6">
        <f t="shared" si="0"/>
        <v>0</v>
      </c>
      <c r="I19" s="6">
        <f t="shared" si="0"/>
        <v>0</v>
      </c>
      <c r="J19" s="6" t="e">
        <f t="shared" si="1"/>
        <v>#DIV/0!</v>
      </c>
      <c r="K19" s="6" t="e">
        <f t="shared" si="2"/>
        <v>#DIV/0!</v>
      </c>
      <c r="L19" s="28" t="e">
        <f t="shared" si="3"/>
        <v>#DIV/0!</v>
      </c>
      <c r="M19" s="28" t="e">
        <f t="shared" si="3"/>
        <v>#DIV/0!</v>
      </c>
    </row>
    <row r="20" spans="1:13" x14ac:dyDescent="0.25">
      <c r="B20" s="5"/>
      <c r="C20" s="4"/>
      <c r="D20" s="4"/>
      <c r="E20" s="4"/>
      <c r="F20" s="29"/>
      <c r="G20" s="6"/>
      <c r="H20" s="6">
        <f t="shared" si="0"/>
        <v>0</v>
      </c>
      <c r="I20" s="6">
        <f t="shared" si="0"/>
        <v>0</v>
      </c>
      <c r="J20" s="6" t="e">
        <f t="shared" si="1"/>
        <v>#DIV/0!</v>
      </c>
      <c r="K20" s="6" t="e">
        <f t="shared" si="2"/>
        <v>#DIV/0!</v>
      </c>
      <c r="L20" s="28" t="e">
        <f t="shared" si="3"/>
        <v>#DIV/0!</v>
      </c>
      <c r="M20" s="28" t="e">
        <f t="shared" si="3"/>
        <v>#DIV/0!</v>
      </c>
    </row>
    <row r="21" spans="1:13" x14ac:dyDescent="0.25">
      <c r="B21" s="5"/>
      <c r="C21" s="4"/>
      <c r="D21" s="4"/>
      <c r="E21" s="4"/>
      <c r="F21" s="6"/>
      <c r="G21" s="6"/>
      <c r="H21" s="6">
        <f t="shared" si="0"/>
        <v>0</v>
      </c>
      <c r="I21" s="6">
        <f t="shared" si="0"/>
        <v>0</v>
      </c>
      <c r="J21" s="6" t="e">
        <f t="shared" si="1"/>
        <v>#DIV/0!</v>
      </c>
      <c r="K21" s="6" t="e">
        <f t="shared" si="2"/>
        <v>#DIV/0!</v>
      </c>
      <c r="L21" s="28" t="e">
        <f t="shared" si="3"/>
        <v>#DIV/0!</v>
      </c>
      <c r="M21" s="28" t="e">
        <f t="shared" si="3"/>
        <v>#DIV/0!</v>
      </c>
    </row>
    <row r="22" spans="1:13" x14ac:dyDescent="0.25">
      <c r="A22" s="1"/>
      <c r="B22" s="5"/>
      <c r="C22" s="4"/>
      <c r="D22" s="4"/>
      <c r="E22" s="4"/>
      <c r="F22" s="6"/>
      <c r="G22" s="6"/>
      <c r="H22" s="6">
        <f t="shared" si="0"/>
        <v>0</v>
      </c>
      <c r="I22" s="6">
        <f t="shared" si="0"/>
        <v>0</v>
      </c>
      <c r="J22" s="6" t="e">
        <f t="shared" si="1"/>
        <v>#DIV/0!</v>
      </c>
      <c r="K22" s="6" t="e">
        <f t="shared" si="2"/>
        <v>#DIV/0!</v>
      </c>
      <c r="L22" s="28" t="e">
        <f t="shared" si="3"/>
        <v>#DIV/0!</v>
      </c>
      <c r="M22" s="28" t="e">
        <f t="shared" si="3"/>
        <v>#DIV/0!</v>
      </c>
    </row>
    <row r="23" spans="1:13" x14ac:dyDescent="0.25">
      <c r="A23" s="1"/>
      <c r="B23" s="5"/>
      <c r="C23" s="4"/>
      <c r="D23" s="4"/>
      <c r="E23" s="4"/>
      <c r="F23" s="6"/>
      <c r="G23" s="6"/>
      <c r="H23" s="6">
        <f t="shared" si="0"/>
        <v>0</v>
      </c>
      <c r="I23" s="6">
        <f t="shared" si="0"/>
        <v>0</v>
      </c>
      <c r="J23" s="6" t="e">
        <f t="shared" si="1"/>
        <v>#DIV/0!</v>
      </c>
      <c r="K23" s="6" t="e">
        <f t="shared" si="2"/>
        <v>#DIV/0!</v>
      </c>
      <c r="L23" s="28" t="e">
        <f t="shared" si="3"/>
        <v>#DIV/0!</v>
      </c>
      <c r="M23" s="28" t="e">
        <f t="shared" si="3"/>
        <v>#DIV/0!</v>
      </c>
    </row>
    <row r="24" spans="1:13" x14ac:dyDescent="0.25">
      <c r="B24" s="4"/>
      <c r="C24" s="4"/>
      <c r="D24" s="4"/>
      <c r="E24" s="4"/>
      <c r="F24" s="6"/>
      <c r="G24" s="6"/>
      <c r="H24" s="6">
        <f t="shared" si="0"/>
        <v>0</v>
      </c>
      <c r="I24" s="6">
        <f t="shared" si="0"/>
        <v>0</v>
      </c>
      <c r="J24" s="6" t="e">
        <f t="shared" si="1"/>
        <v>#DIV/0!</v>
      </c>
      <c r="K24" s="6" t="e">
        <f t="shared" si="2"/>
        <v>#DIV/0!</v>
      </c>
      <c r="L24" s="28" t="e">
        <f t="shared" ref="L24:M25" si="4">-(F24-F$6)/$D24</f>
        <v>#DIV/0!</v>
      </c>
      <c r="M24" s="28" t="e">
        <f t="shared" si="4"/>
        <v>#DIV/0!</v>
      </c>
    </row>
    <row r="25" spans="1:13" x14ac:dyDescent="0.25">
      <c r="B25" s="4"/>
      <c r="C25" s="4"/>
      <c r="D25" s="4"/>
      <c r="E25" s="4"/>
      <c r="F25" s="6"/>
      <c r="G25" s="6"/>
      <c r="H25" s="6">
        <f t="shared" si="0"/>
        <v>0</v>
      </c>
      <c r="I25" s="6">
        <f t="shared" si="0"/>
        <v>0</v>
      </c>
      <c r="J25" s="6" t="e">
        <f t="shared" si="1"/>
        <v>#DIV/0!</v>
      </c>
      <c r="K25" s="6" t="e">
        <f t="shared" si="2"/>
        <v>#DIV/0!</v>
      </c>
      <c r="L25" s="28" t="e">
        <f t="shared" si="4"/>
        <v>#DIV/0!</v>
      </c>
      <c r="M25" s="28" t="e">
        <f t="shared" si="4"/>
        <v>#DIV/0!</v>
      </c>
    </row>
    <row r="28" spans="1:13" x14ac:dyDescent="0.25">
      <c r="F28" s="10">
        <f>-F15+F12</f>
        <v>0</v>
      </c>
      <c r="G28" s="10">
        <f>-G15+G12</f>
        <v>0</v>
      </c>
      <c r="H28" s="10"/>
      <c r="I28" s="10"/>
    </row>
    <row r="29" spans="1:13" x14ac:dyDescent="0.25">
      <c r="F29" s="2">
        <f>D15-D12</f>
        <v>0</v>
      </c>
      <c r="H29" s="9"/>
      <c r="I29" s="9"/>
    </row>
    <row r="30" spans="1:13" x14ac:dyDescent="0.25">
      <c r="F30" s="9" t="e">
        <f>F28/F29</f>
        <v>#DIV/0!</v>
      </c>
      <c r="G30" s="9" t="e">
        <f>G28/F29</f>
        <v>#DIV/0!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71ED-E79E-4CEB-B267-1964E63FD434}">
  <dimension ref="B2:Q82"/>
  <sheetViews>
    <sheetView workbookViewId="0">
      <selection activeCell="L13" sqref="L13"/>
    </sheetView>
  </sheetViews>
  <sheetFormatPr defaultRowHeight="15" x14ac:dyDescent="0.25"/>
  <sheetData>
    <row r="2" spans="2:17" ht="30" x14ac:dyDescent="0.25"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</row>
    <row r="3" spans="2:17" ht="15" customHeight="1" x14ac:dyDescent="0.25">
      <c r="B3" s="34" t="s">
        <v>24</v>
      </c>
      <c r="C3" s="35"/>
      <c r="D3" s="35"/>
      <c r="E3" s="35"/>
      <c r="F3" s="35"/>
      <c r="G3" s="35"/>
      <c r="H3" s="35"/>
      <c r="I3" s="35"/>
      <c r="J3" s="35"/>
      <c r="K3" s="36"/>
    </row>
    <row r="4" spans="2:17" x14ac:dyDescent="0.25">
      <c r="B4" s="12"/>
      <c r="C4" s="13"/>
      <c r="D4" s="13"/>
      <c r="E4" s="13"/>
      <c r="F4" s="14"/>
      <c r="G4" s="14"/>
      <c r="H4" s="14"/>
      <c r="I4" s="14"/>
      <c r="J4" s="14"/>
      <c r="K4" s="14"/>
    </row>
    <row r="5" spans="2:17" ht="30" x14ac:dyDescent="0.25">
      <c r="B5" s="15" t="s">
        <v>27</v>
      </c>
      <c r="C5" s="15" t="s">
        <v>28</v>
      </c>
      <c r="D5" s="15" t="s">
        <v>29</v>
      </c>
      <c r="E5" s="15">
        <v>0</v>
      </c>
      <c r="F5" s="14">
        <v>100</v>
      </c>
      <c r="G5" s="16">
        <v>326</v>
      </c>
      <c r="H5" s="16">
        <v>106.58</v>
      </c>
      <c r="I5" s="14">
        <v>70</v>
      </c>
      <c r="J5" s="16">
        <v>367</v>
      </c>
      <c r="K5" s="16">
        <v>106.64</v>
      </c>
    </row>
    <row r="6" spans="2:17" ht="30" x14ac:dyDescent="0.25">
      <c r="B6" s="15" t="s">
        <v>27</v>
      </c>
      <c r="C6" s="15" t="s">
        <v>28</v>
      </c>
      <c r="D6" s="15" t="s">
        <v>30</v>
      </c>
      <c r="E6" s="15">
        <v>13.96</v>
      </c>
      <c r="F6" s="16">
        <v>105</v>
      </c>
      <c r="G6" s="16">
        <v>534.58000000000004</v>
      </c>
      <c r="H6" s="16">
        <v>179.33</v>
      </c>
      <c r="I6" s="16">
        <v>100</v>
      </c>
      <c r="J6" s="16">
        <v>470</v>
      </c>
      <c r="K6" s="16">
        <v>181.3</v>
      </c>
    </row>
    <row r="7" spans="2:17" x14ac:dyDescent="0.25">
      <c r="B7" s="15" t="s">
        <v>27</v>
      </c>
      <c r="C7" s="15" t="s">
        <v>31</v>
      </c>
      <c r="D7" s="17">
        <v>2.9517361111111111E-3</v>
      </c>
      <c r="E7" s="15">
        <v>7.2</v>
      </c>
      <c r="F7" s="16">
        <v>117.5</v>
      </c>
      <c r="G7" s="16">
        <v>539.16</v>
      </c>
      <c r="H7" s="16">
        <v>233.04</v>
      </c>
      <c r="I7" s="16">
        <v>125</v>
      </c>
      <c r="J7" s="16">
        <v>446.88</v>
      </c>
      <c r="K7" s="16">
        <v>217.39</v>
      </c>
      <c r="L7" s="20">
        <f t="shared" ref="L7:Q7" si="0">AVERAGE(F7:F10)</f>
        <v>165</v>
      </c>
      <c r="M7" s="20">
        <f t="shared" si="0"/>
        <v>555.41</v>
      </c>
      <c r="N7" s="20">
        <f t="shared" si="0"/>
        <v>282.07499999999999</v>
      </c>
      <c r="O7" s="20">
        <f t="shared" si="0"/>
        <v>153.125</v>
      </c>
      <c r="P7" s="20">
        <f t="shared" si="0"/>
        <v>469.05999999999995</v>
      </c>
      <c r="Q7" s="20">
        <f t="shared" si="0"/>
        <v>244.095</v>
      </c>
    </row>
    <row r="8" spans="2:17" x14ac:dyDescent="0.25">
      <c r="B8" s="15" t="s">
        <v>27</v>
      </c>
      <c r="C8" s="15" t="s">
        <v>32</v>
      </c>
      <c r="D8" s="17">
        <v>2.5099537037037035E-3</v>
      </c>
      <c r="E8" s="15">
        <v>7.69</v>
      </c>
      <c r="F8" s="16">
        <v>185</v>
      </c>
      <c r="G8" s="16">
        <v>556.24</v>
      </c>
      <c r="H8" s="16">
        <v>305.79000000000002</v>
      </c>
      <c r="I8" s="16">
        <v>165</v>
      </c>
      <c r="J8" s="16">
        <v>498.12</v>
      </c>
      <c r="K8" s="16">
        <v>254.32</v>
      </c>
    </row>
    <row r="9" spans="2:17" x14ac:dyDescent="0.25">
      <c r="B9" s="15" t="s">
        <v>27</v>
      </c>
      <c r="C9" s="15" t="s">
        <v>33</v>
      </c>
      <c r="D9" s="17">
        <v>2.5170138888888885E-3</v>
      </c>
      <c r="E9" s="15">
        <v>7.62</v>
      </c>
      <c r="F9" s="16">
        <v>180</v>
      </c>
      <c r="G9" s="16">
        <v>562.08000000000004</v>
      </c>
      <c r="H9" s="16">
        <v>303.26</v>
      </c>
      <c r="I9" s="16">
        <v>162.5</v>
      </c>
      <c r="J9" s="16">
        <v>468.12</v>
      </c>
      <c r="K9" s="16">
        <v>255.25</v>
      </c>
    </row>
    <row r="10" spans="2:17" ht="30" x14ac:dyDescent="0.25">
      <c r="B10" s="15" t="s">
        <v>27</v>
      </c>
      <c r="C10" s="15" t="s">
        <v>34</v>
      </c>
      <c r="D10" s="15" t="s">
        <v>35</v>
      </c>
      <c r="E10" s="15">
        <v>0</v>
      </c>
      <c r="F10" s="16">
        <v>177.5</v>
      </c>
      <c r="G10" s="16">
        <v>564.16</v>
      </c>
      <c r="H10" s="16">
        <v>286.20999999999998</v>
      </c>
      <c r="I10" s="16">
        <v>160</v>
      </c>
      <c r="J10" s="16">
        <v>463.12</v>
      </c>
      <c r="K10" s="16">
        <v>249.42</v>
      </c>
    </row>
    <row r="11" spans="2:17" ht="30" x14ac:dyDescent="0.25">
      <c r="B11" s="15" t="s">
        <v>27</v>
      </c>
      <c r="C11" s="15" t="s">
        <v>28</v>
      </c>
      <c r="D11" s="15" t="s">
        <v>36</v>
      </c>
      <c r="E11" s="15">
        <v>0</v>
      </c>
      <c r="F11" s="16">
        <v>102.5</v>
      </c>
      <c r="G11" s="16">
        <v>326</v>
      </c>
      <c r="H11" s="16">
        <v>143.56</v>
      </c>
      <c r="I11" s="16">
        <v>80</v>
      </c>
      <c r="J11" s="16">
        <v>367</v>
      </c>
      <c r="K11" s="16">
        <v>143.38</v>
      </c>
    </row>
    <row r="12" spans="2:17" ht="30" x14ac:dyDescent="0.25">
      <c r="B12" s="15" t="s">
        <v>27</v>
      </c>
      <c r="C12" s="15" t="s">
        <v>28</v>
      </c>
      <c r="D12" s="15" t="s">
        <v>37</v>
      </c>
      <c r="E12" s="15">
        <v>13.96</v>
      </c>
      <c r="F12" s="16">
        <v>105</v>
      </c>
      <c r="G12" s="16">
        <v>534.58000000000004</v>
      </c>
      <c r="H12" s="16">
        <v>179.33</v>
      </c>
      <c r="I12" s="16">
        <v>100</v>
      </c>
      <c r="J12" s="16">
        <v>470</v>
      </c>
      <c r="K12" s="16">
        <v>181.3</v>
      </c>
    </row>
    <row r="13" spans="2:17" x14ac:dyDescent="0.25">
      <c r="B13" s="15" t="s">
        <v>27</v>
      </c>
      <c r="C13" s="15" t="s">
        <v>31</v>
      </c>
      <c r="D13" s="17">
        <v>2.9517361111111111E-3</v>
      </c>
      <c r="E13" s="15">
        <v>7.2</v>
      </c>
      <c r="F13" s="16">
        <v>117.5</v>
      </c>
      <c r="G13" s="16">
        <v>539.16</v>
      </c>
      <c r="H13" s="16">
        <v>233.04</v>
      </c>
      <c r="I13" s="16">
        <v>125</v>
      </c>
      <c r="J13" s="16">
        <v>446.88</v>
      </c>
      <c r="K13" s="16">
        <v>217.39</v>
      </c>
    </row>
    <row r="14" spans="2:17" x14ac:dyDescent="0.25">
      <c r="B14" s="15" t="s">
        <v>27</v>
      </c>
      <c r="C14" s="15" t="s">
        <v>32</v>
      </c>
      <c r="D14" s="17">
        <v>2.5099537037037035E-3</v>
      </c>
      <c r="E14" s="15">
        <v>7.69</v>
      </c>
      <c r="F14" s="16">
        <v>185</v>
      </c>
      <c r="G14" s="16">
        <v>556.24</v>
      </c>
      <c r="H14" s="16">
        <v>305.79000000000002</v>
      </c>
      <c r="I14" s="16">
        <v>165</v>
      </c>
      <c r="J14" s="16">
        <v>498.12</v>
      </c>
      <c r="K14" s="16">
        <v>254.32</v>
      </c>
    </row>
    <row r="15" spans="2:17" x14ac:dyDescent="0.25">
      <c r="B15" s="15" t="s">
        <v>27</v>
      </c>
      <c r="C15" s="15" t="s">
        <v>33</v>
      </c>
      <c r="D15" s="17">
        <v>2.5170138888888885E-3</v>
      </c>
      <c r="E15" s="15">
        <v>7.62</v>
      </c>
      <c r="F15" s="16">
        <v>180</v>
      </c>
      <c r="G15" s="16">
        <v>562.08000000000004</v>
      </c>
      <c r="H15" s="16">
        <v>303.26</v>
      </c>
      <c r="I15" s="16">
        <v>162.5</v>
      </c>
      <c r="J15" s="16">
        <v>468.12</v>
      </c>
      <c r="K15" s="16">
        <v>255.25</v>
      </c>
    </row>
    <row r="16" spans="2:17" ht="30" x14ac:dyDescent="0.25">
      <c r="B16" s="15" t="s">
        <v>27</v>
      </c>
      <c r="C16" s="15" t="s">
        <v>34</v>
      </c>
      <c r="D16" s="15" t="s">
        <v>35</v>
      </c>
      <c r="E16" s="15">
        <v>0</v>
      </c>
      <c r="F16" s="16">
        <v>177.5</v>
      </c>
      <c r="G16" s="16">
        <v>564.16</v>
      </c>
      <c r="H16" s="16">
        <v>286.20999999999998</v>
      </c>
      <c r="I16" s="16">
        <v>160</v>
      </c>
      <c r="J16" s="16">
        <v>463.12</v>
      </c>
      <c r="K16" s="16">
        <v>249.42</v>
      </c>
    </row>
    <row r="17" spans="2:11" ht="30" x14ac:dyDescent="0.25">
      <c r="B17" s="15" t="s">
        <v>38</v>
      </c>
      <c r="C17" s="18" t="s">
        <v>28</v>
      </c>
      <c r="D17" s="18" t="s">
        <v>39</v>
      </c>
      <c r="E17" s="15">
        <v>0</v>
      </c>
      <c r="F17" s="19">
        <v>223.34</v>
      </c>
      <c r="G17" s="19">
        <v>241.66</v>
      </c>
      <c r="H17" s="19">
        <v>231.98</v>
      </c>
      <c r="I17" s="19">
        <v>205</v>
      </c>
      <c r="J17" s="19">
        <v>221.66</v>
      </c>
      <c r="K17" s="19">
        <v>211.5</v>
      </c>
    </row>
    <row r="18" spans="2:11" x14ac:dyDescent="0.25">
      <c r="B18" s="15" t="s">
        <v>27</v>
      </c>
      <c r="C18" s="15" t="s">
        <v>28</v>
      </c>
      <c r="D18" s="17">
        <v>2.9866666666666666E-2</v>
      </c>
      <c r="E18" s="15">
        <v>14.81</v>
      </c>
      <c r="F18" s="16">
        <v>102.5</v>
      </c>
      <c r="G18" s="16">
        <v>478.12</v>
      </c>
      <c r="H18" s="16">
        <v>124.57</v>
      </c>
      <c r="I18" s="16">
        <v>90</v>
      </c>
      <c r="J18" s="16">
        <v>458.12</v>
      </c>
      <c r="K18" s="16">
        <v>122.82</v>
      </c>
    </row>
    <row r="19" spans="2:11" x14ac:dyDescent="0.25">
      <c r="B19" s="15" t="s">
        <v>27</v>
      </c>
      <c r="C19" s="15" t="s">
        <v>31</v>
      </c>
      <c r="D19" s="17">
        <v>2.5196759259259261E-3</v>
      </c>
      <c r="E19" s="15">
        <v>7.63</v>
      </c>
      <c r="F19" s="16">
        <v>180</v>
      </c>
      <c r="G19" s="16">
        <v>607.88</v>
      </c>
      <c r="H19" s="16">
        <v>300.8</v>
      </c>
      <c r="I19" s="16">
        <v>155</v>
      </c>
      <c r="J19" s="16">
        <v>505</v>
      </c>
      <c r="K19" s="16">
        <v>257.37</v>
      </c>
    </row>
    <row r="20" spans="2:11" x14ac:dyDescent="0.25">
      <c r="B20" s="15" t="s">
        <v>27</v>
      </c>
      <c r="C20" s="15" t="s">
        <v>32</v>
      </c>
      <c r="D20" s="17">
        <v>2.4806712962962964E-3</v>
      </c>
      <c r="E20" s="15">
        <v>7.7</v>
      </c>
      <c r="F20" s="16">
        <v>210</v>
      </c>
      <c r="G20" s="16">
        <v>665.76</v>
      </c>
      <c r="H20" s="16">
        <v>323.32</v>
      </c>
      <c r="I20" s="16">
        <v>180</v>
      </c>
      <c r="J20" s="16">
        <v>550</v>
      </c>
      <c r="K20" s="16">
        <v>274.37</v>
      </c>
    </row>
    <row r="21" spans="2:11" x14ac:dyDescent="0.25">
      <c r="B21" s="15" t="s">
        <v>27</v>
      </c>
      <c r="C21" s="15" t="s">
        <v>33</v>
      </c>
      <c r="D21" s="17">
        <v>2.4521990740740741E-3</v>
      </c>
      <c r="E21" s="15">
        <v>7.84</v>
      </c>
      <c r="F21" s="16">
        <v>206.66</v>
      </c>
      <c r="G21" s="16">
        <v>560.84</v>
      </c>
      <c r="H21" s="16">
        <v>314.56</v>
      </c>
      <c r="I21" s="16">
        <v>175</v>
      </c>
      <c r="J21" s="16">
        <v>480</v>
      </c>
      <c r="K21" s="16">
        <v>266.39999999999998</v>
      </c>
    </row>
    <row r="22" spans="2:11" ht="30" x14ac:dyDescent="0.25">
      <c r="B22" s="15" t="s">
        <v>27</v>
      </c>
      <c r="C22" s="15" t="s">
        <v>34</v>
      </c>
      <c r="D22" s="15" t="s">
        <v>40</v>
      </c>
      <c r="E22" s="15">
        <v>0</v>
      </c>
      <c r="F22" s="16">
        <v>206.66</v>
      </c>
      <c r="G22" s="16">
        <v>591.24</v>
      </c>
      <c r="H22" s="16">
        <v>314.2</v>
      </c>
      <c r="I22" s="16">
        <v>177.5</v>
      </c>
      <c r="J22" s="16">
        <v>512.08000000000004</v>
      </c>
      <c r="K22" s="16">
        <v>267.76</v>
      </c>
    </row>
    <row r="23" spans="2:11" ht="30" x14ac:dyDescent="0.25">
      <c r="B23" s="15" t="s">
        <v>27</v>
      </c>
      <c r="C23" s="15" t="s">
        <v>28</v>
      </c>
      <c r="D23" s="15" t="s">
        <v>41</v>
      </c>
      <c r="E23" s="15">
        <v>14.87</v>
      </c>
      <c r="F23" s="16">
        <v>120</v>
      </c>
      <c r="G23" s="16">
        <v>536.24</v>
      </c>
      <c r="H23" s="16">
        <v>204.43</v>
      </c>
      <c r="I23" s="16">
        <v>105</v>
      </c>
      <c r="J23" s="16">
        <v>433.74</v>
      </c>
      <c r="K23" s="16">
        <v>187.85</v>
      </c>
    </row>
    <row r="24" spans="2:11" x14ac:dyDescent="0.25">
      <c r="B24" s="15" t="s">
        <v>27</v>
      </c>
      <c r="C24" s="15" t="s">
        <v>31</v>
      </c>
      <c r="D24" s="17">
        <v>2.5945601851851854E-3</v>
      </c>
      <c r="E24" s="15">
        <v>7.19</v>
      </c>
      <c r="F24" s="16">
        <v>206.66</v>
      </c>
      <c r="G24" s="16">
        <v>531.24</v>
      </c>
      <c r="H24" s="16">
        <v>301.3</v>
      </c>
      <c r="I24" s="16">
        <v>175</v>
      </c>
      <c r="J24" s="16">
        <v>482.5</v>
      </c>
      <c r="K24" s="16">
        <v>258.45</v>
      </c>
    </row>
    <row r="25" spans="2:11" x14ac:dyDescent="0.25">
      <c r="B25" s="15" t="s">
        <v>27</v>
      </c>
      <c r="C25" s="15" t="s">
        <v>32</v>
      </c>
      <c r="D25" s="17">
        <v>2.5145833333333335E-3</v>
      </c>
      <c r="E25" s="15">
        <v>7.7</v>
      </c>
      <c r="F25" s="16">
        <v>208.34</v>
      </c>
      <c r="G25" s="16">
        <v>566.66</v>
      </c>
      <c r="H25" s="16">
        <v>324.31</v>
      </c>
      <c r="I25" s="16">
        <v>185</v>
      </c>
      <c r="J25" s="16">
        <v>516.66</v>
      </c>
      <c r="K25" s="16">
        <v>285.06</v>
      </c>
    </row>
    <row r="26" spans="2:11" x14ac:dyDescent="0.25">
      <c r="B26" s="15" t="s">
        <v>27</v>
      </c>
      <c r="C26" s="15" t="s">
        <v>33</v>
      </c>
      <c r="D26" s="17">
        <v>2.5054398148148149E-3</v>
      </c>
      <c r="E26" s="15">
        <v>7.82</v>
      </c>
      <c r="F26" s="16">
        <v>210</v>
      </c>
      <c r="G26" s="16">
        <v>569.58000000000004</v>
      </c>
      <c r="H26" s="16">
        <v>323.76</v>
      </c>
      <c r="I26" s="16">
        <v>187.5</v>
      </c>
      <c r="J26" s="16">
        <v>493.74</v>
      </c>
      <c r="K26" s="16">
        <v>280.29000000000002</v>
      </c>
    </row>
    <row r="27" spans="2:11" ht="30" x14ac:dyDescent="0.25">
      <c r="B27" s="15" t="s">
        <v>27</v>
      </c>
      <c r="C27" s="15" t="s">
        <v>34</v>
      </c>
      <c r="D27" s="15" t="s">
        <v>42</v>
      </c>
      <c r="E27" s="15">
        <v>0</v>
      </c>
      <c r="F27" s="16">
        <v>125</v>
      </c>
      <c r="G27" s="16">
        <v>552.08000000000004</v>
      </c>
      <c r="H27" s="16">
        <v>255.93</v>
      </c>
      <c r="I27" s="16">
        <v>115</v>
      </c>
      <c r="J27" s="16">
        <v>490.62</v>
      </c>
      <c r="K27" s="16">
        <v>222.12</v>
      </c>
    </row>
    <row r="28" spans="2:11" ht="30" x14ac:dyDescent="0.25">
      <c r="B28" s="15" t="s">
        <v>27</v>
      </c>
      <c r="C28" s="15" t="s">
        <v>28</v>
      </c>
      <c r="D28" s="15" t="s">
        <v>43</v>
      </c>
      <c r="E28" s="15">
        <v>14.14</v>
      </c>
      <c r="F28" s="16">
        <v>102.5</v>
      </c>
      <c r="G28" s="16">
        <v>512.5</v>
      </c>
      <c r="H28" s="16">
        <v>131.55000000000001</v>
      </c>
      <c r="I28" s="14">
        <v>70</v>
      </c>
      <c r="J28" s="16">
        <v>455</v>
      </c>
      <c r="K28" s="16">
        <v>127.61</v>
      </c>
    </row>
    <row r="29" spans="2:11" x14ac:dyDescent="0.25">
      <c r="B29" s="15" t="s">
        <v>27</v>
      </c>
      <c r="C29" s="15" t="s">
        <v>31</v>
      </c>
      <c r="D29" s="17">
        <v>2.5122685185185183E-3</v>
      </c>
      <c r="E29" s="15">
        <v>7.49</v>
      </c>
      <c r="F29" s="16">
        <v>185</v>
      </c>
      <c r="G29" s="16">
        <v>572.91999999999996</v>
      </c>
      <c r="H29" s="16">
        <v>302.52</v>
      </c>
      <c r="I29" s="16">
        <v>187.5</v>
      </c>
      <c r="J29" s="16">
        <v>546.24</v>
      </c>
      <c r="K29" s="16">
        <v>286.79000000000002</v>
      </c>
    </row>
    <row r="30" spans="2:11" x14ac:dyDescent="0.25">
      <c r="B30" s="15" t="s">
        <v>27</v>
      </c>
      <c r="C30" s="15" t="s">
        <v>32</v>
      </c>
      <c r="D30" s="17">
        <v>2.5584490740740741E-3</v>
      </c>
      <c r="E30" s="15">
        <v>7.25</v>
      </c>
      <c r="F30" s="16">
        <v>190</v>
      </c>
      <c r="G30" s="16">
        <v>603.04</v>
      </c>
      <c r="H30" s="16">
        <v>294.39</v>
      </c>
      <c r="I30" s="16">
        <v>203.34</v>
      </c>
      <c r="J30" s="16">
        <v>546.24</v>
      </c>
      <c r="K30" s="16">
        <v>283.05</v>
      </c>
    </row>
    <row r="31" spans="2:11" x14ac:dyDescent="0.25">
      <c r="B31" s="15" t="s">
        <v>27</v>
      </c>
      <c r="C31" s="15" t="s">
        <v>33</v>
      </c>
      <c r="D31" s="17">
        <v>2.8356481481481479E-3</v>
      </c>
      <c r="E31" s="15">
        <v>7.33</v>
      </c>
      <c r="F31" s="16">
        <v>140</v>
      </c>
      <c r="G31" s="16">
        <v>532.08000000000004</v>
      </c>
      <c r="H31" s="16">
        <v>280</v>
      </c>
      <c r="I31" s="16">
        <v>155</v>
      </c>
      <c r="J31" s="16">
        <v>453.74</v>
      </c>
      <c r="K31" s="16">
        <v>268.52999999999997</v>
      </c>
    </row>
    <row r="32" spans="2:11" x14ac:dyDescent="0.25">
      <c r="B32" s="15" t="s">
        <v>27</v>
      </c>
      <c r="C32" s="15" t="s">
        <v>34</v>
      </c>
      <c r="D32" s="17">
        <v>2.8145833333333334E-3</v>
      </c>
      <c r="E32" s="15">
        <v>7.52</v>
      </c>
      <c r="F32" s="16">
        <v>152.5</v>
      </c>
      <c r="G32" s="16">
        <v>545.84</v>
      </c>
      <c r="H32" s="16">
        <v>295</v>
      </c>
      <c r="I32" s="16">
        <v>162.5</v>
      </c>
      <c r="J32" s="16">
        <v>484.38</v>
      </c>
      <c r="K32" s="16">
        <v>282.31</v>
      </c>
    </row>
    <row r="33" spans="2:11" ht="30" x14ac:dyDescent="0.25">
      <c r="B33" s="15" t="s">
        <v>27</v>
      </c>
      <c r="C33" s="15" t="s">
        <v>44</v>
      </c>
      <c r="D33" s="15" t="s">
        <v>45</v>
      </c>
      <c r="E33" s="15">
        <v>0</v>
      </c>
      <c r="F33" s="16">
        <v>157.5</v>
      </c>
      <c r="G33" s="16">
        <v>566.24</v>
      </c>
      <c r="H33" s="16">
        <v>285.52999999999997</v>
      </c>
      <c r="I33" s="16">
        <v>167.5</v>
      </c>
      <c r="J33" s="16">
        <v>517.91999999999996</v>
      </c>
      <c r="K33" s="16">
        <v>274.2</v>
      </c>
    </row>
    <row r="34" spans="2:11" ht="30" x14ac:dyDescent="0.25">
      <c r="B34" s="15" t="s">
        <v>27</v>
      </c>
      <c r="C34" s="15" t="s">
        <v>28</v>
      </c>
      <c r="D34" s="15" t="s">
        <v>46</v>
      </c>
      <c r="E34" s="15">
        <v>14.82</v>
      </c>
      <c r="F34" s="14">
        <v>100</v>
      </c>
      <c r="G34" s="16">
        <v>568.74</v>
      </c>
      <c r="H34" s="16">
        <v>156.81</v>
      </c>
      <c r="I34" s="16">
        <v>100</v>
      </c>
      <c r="J34" s="16">
        <v>526.24</v>
      </c>
      <c r="K34" s="16">
        <v>156.25</v>
      </c>
    </row>
    <row r="35" spans="2:11" x14ac:dyDescent="0.25">
      <c r="B35" s="15" t="s">
        <v>27</v>
      </c>
      <c r="C35" s="15" t="s">
        <v>31</v>
      </c>
      <c r="D35" s="17">
        <v>2.5077546296296297E-3</v>
      </c>
      <c r="E35" s="15">
        <v>7.79</v>
      </c>
      <c r="F35" s="16">
        <v>210</v>
      </c>
      <c r="G35" s="16">
        <v>606.36</v>
      </c>
      <c r="H35" s="16">
        <v>332.75</v>
      </c>
      <c r="I35" s="16">
        <v>208.34</v>
      </c>
      <c r="J35" s="16">
        <v>529.58000000000004</v>
      </c>
      <c r="K35" s="16">
        <v>303.92</v>
      </c>
    </row>
    <row r="36" spans="2:11" x14ac:dyDescent="0.25">
      <c r="B36" s="15" t="s">
        <v>27</v>
      </c>
      <c r="C36" s="15" t="s">
        <v>32</v>
      </c>
      <c r="D36" s="17">
        <v>2.4740740740740743E-3</v>
      </c>
      <c r="E36" s="15">
        <v>7.95</v>
      </c>
      <c r="F36" s="16">
        <v>236.66</v>
      </c>
      <c r="G36" s="16">
        <v>632.72</v>
      </c>
      <c r="H36" s="16">
        <v>352.77</v>
      </c>
      <c r="I36" s="16">
        <v>221.66</v>
      </c>
      <c r="J36" s="16">
        <v>556.66</v>
      </c>
      <c r="K36" s="16">
        <v>316.64</v>
      </c>
    </row>
    <row r="37" spans="2:11" x14ac:dyDescent="0.25">
      <c r="B37" s="15" t="s">
        <v>27</v>
      </c>
      <c r="C37" s="15" t="s">
        <v>33</v>
      </c>
      <c r="D37" s="17">
        <v>2.4586805555555555E-3</v>
      </c>
      <c r="E37" s="15">
        <v>7.98</v>
      </c>
      <c r="F37" s="16">
        <v>240</v>
      </c>
      <c r="G37" s="16">
        <v>657.58</v>
      </c>
      <c r="H37" s="16">
        <v>351.2</v>
      </c>
      <c r="I37" s="16">
        <v>223.34</v>
      </c>
      <c r="J37" s="16">
        <v>567.5</v>
      </c>
      <c r="K37" s="16">
        <v>315.23</v>
      </c>
    </row>
    <row r="38" spans="2:11" ht="30" x14ac:dyDescent="0.25">
      <c r="B38" s="15" t="s">
        <v>27</v>
      </c>
      <c r="C38" s="15" t="s">
        <v>34</v>
      </c>
      <c r="D38" s="15" t="s">
        <v>47</v>
      </c>
      <c r="E38" s="15">
        <v>0</v>
      </c>
      <c r="F38" s="16">
        <v>221.66</v>
      </c>
      <c r="G38" s="16">
        <v>639.1</v>
      </c>
      <c r="H38" s="16">
        <v>321.06</v>
      </c>
      <c r="I38" s="16">
        <v>213.34</v>
      </c>
      <c r="J38" s="16">
        <v>543.34</v>
      </c>
      <c r="K38" s="16">
        <v>296.35000000000002</v>
      </c>
    </row>
    <row r="39" spans="2:11" ht="30" x14ac:dyDescent="0.25">
      <c r="B39" s="15" t="s">
        <v>27</v>
      </c>
      <c r="C39" s="15" t="s">
        <v>28</v>
      </c>
      <c r="D39" s="15" t="s">
        <v>48</v>
      </c>
      <c r="E39" s="15">
        <v>15.14</v>
      </c>
      <c r="F39" s="16">
        <v>130</v>
      </c>
      <c r="G39" s="16">
        <v>602.12</v>
      </c>
      <c r="H39" s="16">
        <v>223.85</v>
      </c>
      <c r="I39" s="16">
        <v>125</v>
      </c>
      <c r="J39" s="16">
        <v>496.24</v>
      </c>
      <c r="K39" s="16">
        <v>214.82</v>
      </c>
    </row>
    <row r="40" spans="2:11" x14ac:dyDescent="0.25">
      <c r="B40" s="15" t="s">
        <v>27</v>
      </c>
      <c r="C40" s="15" t="s">
        <v>31</v>
      </c>
      <c r="D40" s="17">
        <v>2.4922453703703708E-3</v>
      </c>
      <c r="E40" s="15">
        <v>7.87</v>
      </c>
      <c r="F40" s="16">
        <v>238.34</v>
      </c>
      <c r="G40" s="16">
        <v>674.84</v>
      </c>
      <c r="H40" s="16">
        <v>356.2</v>
      </c>
      <c r="I40" s="16">
        <v>228.34</v>
      </c>
      <c r="J40" s="14">
        <v>577.91999999999996</v>
      </c>
      <c r="K40" s="16">
        <v>323.27999999999997</v>
      </c>
    </row>
    <row r="41" spans="2:11" ht="30" x14ac:dyDescent="0.25">
      <c r="B41" s="15" t="s">
        <v>27</v>
      </c>
      <c r="C41" s="15" t="s">
        <v>32</v>
      </c>
      <c r="D41" s="15" t="s">
        <v>49</v>
      </c>
      <c r="E41" s="15">
        <v>0</v>
      </c>
      <c r="F41" s="16">
        <v>211.66</v>
      </c>
      <c r="G41" s="14">
        <v>721.52</v>
      </c>
      <c r="H41" s="16">
        <v>325.02999999999997</v>
      </c>
      <c r="I41" s="16">
        <v>210</v>
      </c>
      <c r="J41" s="16">
        <v>565.41999999999996</v>
      </c>
      <c r="K41" s="16">
        <v>296.27999999999997</v>
      </c>
    </row>
    <row r="42" spans="2:11" ht="30" x14ac:dyDescent="0.25">
      <c r="B42" s="15" t="s">
        <v>27</v>
      </c>
      <c r="C42" s="15" t="s">
        <v>28</v>
      </c>
      <c r="D42" s="15" t="s">
        <v>50</v>
      </c>
      <c r="E42" s="15">
        <v>14.77</v>
      </c>
      <c r="F42" s="16">
        <v>135</v>
      </c>
      <c r="G42" s="16">
        <v>625.16</v>
      </c>
      <c r="H42" s="16">
        <v>210.39</v>
      </c>
      <c r="I42" s="16">
        <v>127.5</v>
      </c>
      <c r="J42" s="16">
        <v>498.74</v>
      </c>
      <c r="K42" s="16">
        <v>202.91</v>
      </c>
    </row>
    <row r="43" spans="2:11" x14ac:dyDescent="0.25">
      <c r="B43" s="15" t="s">
        <v>27</v>
      </c>
      <c r="C43" s="15" t="s">
        <v>31</v>
      </c>
      <c r="D43" s="17">
        <v>2.4755787037037038E-3</v>
      </c>
      <c r="E43" s="15">
        <v>7.91</v>
      </c>
      <c r="F43" s="16">
        <v>241.66</v>
      </c>
      <c r="G43" s="16">
        <v>715</v>
      </c>
      <c r="H43" s="16">
        <v>360.64</v>
      </c>
      <c r="I43" s="16">
        <v>231.66</v>
      </c>
      <c r="J43" s="16">
        <v>534.58000000000004</v>
      </c>
      <c r="K43" s="14">
        <v>323.85000000000002</v>
      </c>
    </row>
    <row r="44" spans="2:11" ht="30" x14ac:dyDescent="0.25">
      <c r="B44" s="15" t="s">
        <v>27</v>
      </c>
      <c r="C44" s="15" t="s">
        <v>32</v>
      </c>
      <c r="D44" s="15" t="s">
        <v>51</v>
      </c>
      <c r="E44" s="15">
        <v>0</v>
      </c>
      <c r="F44" s="16">
        <v>102.5</v>
      </c>
      <c r="G44" s="16">
        <v>716.3</v>
      </c>
      <c r="H44" s="16">
        <v>185.51</v>
      </c>
      <c r="I44" s="16">
        <v>100</v>
      </c>
      <c r="J44" s="16">
        <v>485.62</v>
      </c>
      <c r="K44" s="16">
        <v>174.92</v>
      </c>
    </row>
    <row r="45" spans="2:11" ht="30" x14ac:dyDescent="0.25">
      <c r="B45" s="15" t="s">
        <v>27</v>
      </c>
      <c r="C45" s="15" t="s">
        <v>28</v>
      </c>
      <c r="D45" s="15" t="s">
        <v>52</v>
      </c>
      <c r="E45" s="15">
        <v>11.71</v>
      </c>
      <c r="F45" s="14">
        <v>100</v>
      </c>
      <c r="G45" s="16">
        <v>643.94000000000005</v>
      </c>
      <c r="H45" s="16">
        <v>233.57</v>
      </c>
      <c r="I45" s="16">
        <v>80</v>
      </c>
      <c r="J45" s="16">
        <v>502.08</v>
      </c>
      <c r="K45" s="16">
        <v>213.84</v>
      </c>
    </row>
    <row r="46" spans="2:11" x14ac:dyDescent="0.25">
      <c r="B46" s="15" t="s">
        <v>27</v>
      </c>
      <c r="C46" s="15" t="s">
        <v>31</v>
      </c>
      <c r="D46" s="17">
        <v>2.4488425925925927E-3</v>
      </c>
      <c r="E46" s="15">
        <v>8</v>
      </c>
      <c r="F46" s="16">
        <v>225</v>
      </c>
      <c r="G46" s="16">
        <v>670</v>
      </c>
      <c r="H46" s="16">
        <v>354.48</v>
      </c>
      <c r="I46" s="16">
        <v>215</v>
      </c>
      <c r="J46" s="16">
        <v>542.5</v>
      </c>
      <c r="K46" s="16">
        <v>313.54000000000002</v>
      </c>
    </row>
    <row r="47" spans="2:11" x14ac:dyDescent="0.25">
      <c r="B47" s="15" t="s">
        <v>27</v>
      </c>
      <c r="C47" s="15" t="s">
        <v>32</v>
      </c>
      <c r="D47" s="17">
        <v>2.4447916666666667E-3</v>
      </c>
      <c r="E47" s="15">
        <v>8.09</v>
      </c>
      <c r="F47" s="16">
        <v>238.34</v>
      </c>
      <c r="G47" s="16">
        <v>690.9</v>
      </c>
      <c r="H47" s="16">
        <v>360.94</v>
      </c>
      <c r="I47" s="16">
        <v>226.66</v>
      </c>
      <c r="J47" s="16">
        <v>540.84</v>
      </c>
      <c r="K47" s="16">
        <v>319.94</v>
      </c>
    </row>
    <row r="48" spans="2:11" x14ac:dyDescent="0.25">
      <c r="B48" s="15" t="s">
        <v>27</v>
      </c>
      <c r="C48" s="15" t="s">
        <v>33</v>
      </c>
      <c r="D48" s="17">
        <v>2.5164351851851854E-3</v>
      </c>
      <c r="E48" s="15">
        <v>7.74</v>
      </c>
      <c r="F48" s="16">
        <v>241.66</v>
      </c>
      <c r="G48" s="16">
        <v>691.52</v>
      </c>
      <c r="H48" s="16">
        <v>355.62</v>
      </c>
      <c r="I48" s="16">
        <v>226.66</v>
      </c>
      <c r="J48" s="16">
        <v>551.66</v>
      </c>
      <c r="K48" s="16">
        <v>316.23</v>
      </c>
    </row>
    <row r="49" spans="2:11" ht="30" x14ac:dyDescent="0.25">
      <c r="B49" s="15" t="s">
        <v>27</v>
      </c>
      <c r="C49" s="15" t="s">
        <v>34</v>
      </c>
      <c r="D49" s="15" t="s">
        <v>53</v>
      </c>
      <c r="E49" s="15">
        <v>0</v>
      </c>
      <c r="F49" s="16">
        <v>235</v>
      </c>
      <c r="G49" s="16">
        <v>720.86</v>
      </c>
      <c r="H49" s="16">
        <v>342.57</v>
      </c>
      <c r="I49" s="16">
        <v>225</v>
      </c>
      <c r="J49" s="16">
        <v>536.24</v>
      </c>
      <c r="K49" s="16">
        <v>305.74</v>
      </c>
    </row>
    <row r="50" spans="2:11" ht="30" x14ac:dyDescent="0.25">
      <c r="B50" s="15" t="s">
        <v>27</v>
      </c>
      <c r="C50" s="15" t="s">
        <v>28</v>
      </c>
      <c r="D50" s="15" t="s">
        <v>54</v>
      </c>
      <c r="E50" s="15">
        <v>15.02</v>
      </c>
      <c r="F50" s="16">
        <v>182.5</v>
      </c>
      <c r="G50" s="16">
        <v>579.16</v>
      </c>
      <c r="H50" s="16">
        <v>297.41000000000003</v>
      </c>
      <c r="I50" s="16">
        <v>180</v>
      </c>
      <c r="J50" s="16">
        <v>493.74</v>
      </c>
      <c r="K50" s="16">
        <v>266.33999999999997</v>
      </c>
    </row>
    <row r="51" spans="2:11" x14ac:dyDescent="0.25">
      <c r="B51" s="15" t="s">
        <v>27</v>
      </c>
      <c r="C51" s="15" t="s">
        <v>31</v>
      </c>
      <c r="D51" s="17">
        <v>2.5174768518518519E-3</v>
      </c>
      <c r="E51" s="15">
        <v>7.67</v>
      </c>
      <c r="F51" s="16">
        <v>233.34</v>
      </c>
      <c r="G51" s="16">
        <v>626.36</v>
      </c>
      <c r="H51" s="16">
        <v>337.75</v>
      </c>
      <c r="I51" s="16">
        <v>216.66</v>
      </c>
      <c r="J51" s="16">
        <v>500.84</v>
      </c>
      <c r="K51" s="16">
        <v>303.27999999999997</v>
      </c>
    </row>
    <row r="52" spans="2:11" x14ac:dyDescent="0.25">
      <c r="B52" s="15" t="s">
        <v>27</v>
      </c>
      <c r="C52" s="15" t="s">
        <v>32</v>
      </c>
      <c r="D52" s="17">
        <v>2.4950231481481481E-3</v>
      </c>
      <c r="E52" s="15">
        <v>7.65</v>
      </c>
      <c r="F52" s="16">
        <v>233.34</v>
      </c>
      <c r="G52" s="16">
        <v>644.84</v>
      </c>
      <c r="H52" s="16">
        <v>342.1</v>
      </c>
      <c r="I52" s="16">
        <v>218.34</v>
      </c>
      <c r="J52" s="16">
        <v>502.08</v>
      </c>
      <c r="K52" s="16">
        <v>303.54000000000002</v>
      </c>
    </row>
    <row r="53" spans="2:11" x14ac:dyDescent="0.25">
      <c r="B53" s="15" t="s">
        <v>27</v>
      </c>
      <c r="C53" s="15" t="s">
        <v>33</v>
      </c>
      <c r="D53" s="17">
        <v>2.4784722222222222E-3</v>
      </c>
      <c r="E53" s="15">
        <v>7.7</v>
      </c>
      <c r="F53" s="16">
        <v>228.34</v>
      </c>
      <c r="G53" s="16">
        <v>613.04</v>
      </c>
      <c r="H53" s="16">
        <v>339.14</v>
      </c>
      <c r="I53" s="16">
        <v>216.66</v>
      </c>
      <c r="J53" s="16">
        <v>495</v>
      </c>
      <c r="K53" s="16">
        <v>301.14</v>
      </c>
    </row>
    <row r="54" spans="2:11" x14ac:dyDescent="0.25">
      <c r="B54" s="15" t="s">
        <v>27</v>
      </c>
      <c r="C54" s="15" t="s">
        <v>34</v>
      </c>
      <c r="D54" s="17">
        <v>2.4546296296296295E-3</v>
      </c>
      <c r="E54" s="15">
        <v>7.67</v>
      </c>
      <c r="F54" s="16">
        <v>216.66</v>
      </c>
      <c r="G54" s="16">
        <v>681.82</v>
      </c>
      <c r="H54" s="16">
        <v>335.23</v>
      </c>
      <c r="I54" s="16">
        <v>210</v>
      </c>
      <c r="J54" s="16">
        <v>490.62</v>
      </c>
      <c r="K54" s="16">
        <v>299.14</v>
      </c>
    </row>
    <row r="55" spans="2:11" x14ac:dyDescent="0.25">
      <c r="B55" s="15" t="s">
        <v>27</v>
      </c>
      <c r="C55" s="15" t="s">
        <v>44</v>
      </c>
      <c r="D55" s="17">
        <v>2.5137731481481482E-3</v>
      </c>
      <c r="E55" s="15">
        <v>7.63</v>
      </c>
      <c r="F55" s="16">
        <v>220</v>
      </c>
      <c r="G55" s="16">
        <v>657.58</v>
      </c>
      <c r="H55" s="16">
        <v>333.03</v>
      </c>
      <c r="I55" s="16">
        <v>213.34</v>
      </c>
      <c r="J55" s="16">
        <v>494.38</v>
      </c>
      <c r="K55" s="16">
        <v>300.23</v>
      </c>
    </row>
    <row r="56" spans="2:11" ht="30" x14ac:dyDescent="0.25">
      <c r="B56" s="15" t="s">
        <v>27</v>
      </c>
      <c r="C56" s="15" t="s">
        <v>55</v>
      </c>
      <c r="D56" s="15" t="s">
        <v>56</v>
      </c>
      <c r="E56" s="15">
        <v>0</v>
      </c>
      <c r="F56" s="16">
        <v>218.34</v>
      </c>
      <c r="G56" s="16">
        <v>667.88</v>
      </c>
      <c r="H56" s="16">
        <v>335.61</v>
      </c>
      <c r="I56" s="16">
        <v>213.34</v>
      </c>
      <c r="J56" s="16">
        <v>483.12</v>
      </c>
      <c r="K56" s="16">
        <v>298.72000000000003</v>
      </c>
    </row>
    <row r="57" spans="2:11" ht="30" x14ac:dyDescent="0.25">
      <c r="B57" s="15" t="s">
        <v>27</v>
      </c>
      <c r="C57" s="15" t="s">
        <v>28</v>
      </c>
      <c r="D57" s="15" t="s">
        <v>57</v>
      </c>
      <c r="E57" s="15">
        <v>15.18</v>
      </c>
      <c r="F57" s="16">
        <v>172.5</v>
      </c>
      <c r="G57" s="16">
        <v>649.4</v>
      </c>
      <c r="H57" s="16">
        <v>294.24</v>
      </c>
      <c r="I57" s="16">
        <v>175</v>
      </c>
      <c r="J57" s="16">
        <v>455.62</v>
      </c>
      <c r="K57" s="16">
        <v>268.57</v>
      </c>
    </row>
    <row r="58" spans="2:11" x14ac:dyDescent="0.25">
      <c r="B58" s="15" t="s">
        <v>27</v>
      </c>
      <c r="C58" s="15" t="s">
        <v>31</v>
      </c>
      <c r="D58" s="17">
        <v>2.4785879629629633E-3</v>
      </c>
      <c r="E58" s="15">
        <v>7.52</v>
      </c>
      <c r="F58" s="16">
        <v>211.66</v>
      </c>
      <c r="G58" s="16">
        <v>655.16</v>
      </c>
      <c r="H58" s="16">
        <v>334.84</v>
      </c>
      <c r="I58" s="16">
        <v>197.5</v>
      </c>
      <c r="J58" s="16">
        <v>482.5</v>
      </c>
      <c r="K58" s="16">
        <v>285.8</v>
      </c>
    </row>
    <row r="59" spans="2:11" x14ac:dyDescent="0.25">
      <c r="B59" s="15" t="s">
        <v>27</v>
      </c>
      <c r="C59" s="15" t="s">
        <v>32</v>
      </c>
      <c r="D59" s="17">
        <v>3.9416666666666671E-3</v>
      </c>
      <c r="E59" s="15">
        <v>6.4</v>
      </c>
      <c r="F59" s="16">
        <v>110</v>
      </c>
      <c r="G59" s="16">
        <v>650</v>
      </c>
      <c r="H59" s="16">
        <v>229.12</v>
      </c>
      <c r="I59" s="16">
        <v>110</v>
      </c>
      <c r="J59" s="16">
        <v>491.24</v>
      </c>
      <c r="K59" s="16">
        <v>211.95</v>
      </c>
    </row>
    <row r="60" spans="2:11" x14ac:dyDescent="0.25">
      <c r="B60" s="15" t="s">
        <v>27</v>
      </c>
      <c r="C60" s="15" t="s">
        <v>33</v>
      </c>
      <c r="D60" s="17">
        <v>2.4520833333333335E-3</v>
      </c>
      <c r="E60" s="15">
        <v>7.83</v>
      </c>
      <c r="F60" s="16">
        <v>185</v>
      </c>
      <c r="G60" s="16">
        <v>643.94000000000005</v>
      </c>
      <c r="H60" s="16">
        <v>331.47</v>
      </c>
      <c r="I60" s="16">
        <v>177.5</v>
      </c>
      <c r="J60" s="16">
        <v>502.08</v>
      </c>
      <c r="K60" s="16">
        <v>283.58</v>
      </c>
    </row>
    <row r="61" spans="2:11" x14ac:dyDescent="0.25">
      <c r="B61" s="15" t="s">
        <v>27</v>
      </c>
      <c r="C61" s="15" t="s">
        <v>34</v>
      </c>
      <c r="D61" s="17">
        <v>2.4943287037037039E-3</v>
      </c>
      <c r="E61" s="15">
        <v>7.7</v>
      </c>
      <c r="F61" s="16">
        <v>216.66</v>
      </c>
      <c r="G61" s="16">
        <v>647.88</v>
      </c>
      <c r="H61" s="16">
        <v>347.86</v>
      </c>
      <c r="I61" s="16">
        <v>201.66</v>
      </c>
      <c r="J61" s="16">
        <v>465.62</v>
      </c>
      <c r="K61" s="16">
        <v>292.14</v>
      </c>
    </row>
    <row r="62" spans="2:11" x14ac:dyDescent="0.25">
      <c r="B62" s="15" t="s">
        <v>27</v>
      </c>
      <c r="C62" s="15" t="s">
        <v>44</v>
      </c>
      <c r="D62" s="17">
        <v>2.4789351851851851E-3</v>
      </c>
      <c r="E62" s="15">
        <v>7.63</v>
      </c>
      <c r="F62" s="16">
        <v>203.34</v>
      </c>
      <c r="G62" s="16">
        <v>647.88</v>
      </c>
      <c r="H62" s="16">
        <v>329.07</v>
      </c>
      <c r="I62" s="16">
        <v>192.5</v>
      </c>
      <c r="J62" s="16">
        <v>480.62</v>
      </c>
      <c r="K62" s="16">
        <v>283.69</v>
      </c>
    </row>
    <row r="63" spans="2:11" x14ac:dyDescent="0.25">
      <c r="B63" s="15" t="s">
        <v>27</v>
      </c>
      <c r="C63" s="15" t="s">
        <v>55</v>
      </c>
      <c r="D63" s="17">
        <v>2.4519675925925928E-3</v>
      </c>
      <c r="E63" s="15">
        <v>7.87</v>
      </c>
      <c r="F63" s="16">
        <v>216.66</v>
      </c>
      <c r="G63" s="16">
        <v>716.08</v>
      </c>
      <c r="H63" s="16">
        <v>346.88</v>
      </c>
      <c r="I63" s="16">
        <v>206.66</v>
      </c>
      <c r="J63" s="16">
        <v>483.74</v>
      </c>
      <c r="K63" s="16">
        <v>300.72000000000003</v>
      </c>
    </row>
    <row r="64" spans="2:11" x14ac:dyDescent="0.25">
      <c r="B64" s="15" t="s">
        <v>27</v>
      </c>
      <c r="C64" s="15" t="s">
        <v>25</v>
      </c>
      <c r="D64" s="17">
        <v>2.4452546296296297E-3</v>
      </c>
      <c r="E64" s="15">
        <v>7.77</v>
      </c>
      <c r="F64" s="16">
        <v>215</v>
      </c>
      <c r="G64" s="16">
        <v>630.9</v>
      </c>
      <c r="H64" s="16">
        <v>344.28</v>
      </c>
      <c r="I64" s="16">
        <v>203.34</v>
      </c>
      <c r="J64" s="16">
        <v>491.88</v>
      </c>
      <c r="K64" s="16">
        <v>294.27999999999997</v>
      </c>
    </row>
    <row r="65" spans="2:11" x14ac:dyDescent="0.25">
      <c r="B65" s="15" t="s">
        <v>27</v>
      </c>
      <c r="C65" s="15" t="s">
        <v>58</v>
      </c>
      <c r="D65" s="17">
        <v>2.448611111111111E-3</v>
      </c>
      <c r="E65" s="15">
        <v>7.81</v>
      </c>
      <c r="F65" s="16">
        <v>210</v>
      </c>
      <c r="G65" s="16">
        <v>600.6</v>
      </c>
      <c r="H65" s="16">
        <v>330.9</v>
      </c>
      <c r="I65" s="16">
        <v>197.5</v>
      </c>
      <c r="J65" s="16">
        <v>465</v>
      </c>
      <c r="K65" s="16">
        <v>285.55</v>
      </c>
    </row>
    <row r="66" spans="2:11" x14ac:dyDescent="0.25">
      <c r="B66" s="15" t="s">
        <v>27</v>
      </c>
      <c r="C66" s="15" t="s">
        <v>59</v>
      </c>
      <c r="D66" s="17">
        <v>2.4699074074074072E-3</v>
      </c>
      <c r="E66" s="15">
        <v>7.81</v>
      </c>
      <c r="F66" s="16">
        <v>206.66</v>
      </c>
      <c r="G66" s="16">
        <v>620.6</v>
      </c>
      <c r="H66" s="16">
        <v>337.83</v>
      </c>
      <c r="I66" s="16">
        <v>195</v>
      </c>
      <c r="J66" s="16">
        <v>469.38</v>
      </c>
      <c r="K66" s="16">
        <v>290.08</v>
      </c>
    </row>
    <row r="67" spans="2:11" x14ac:dyDescent="0.25">
      <c r="B67" s="15" t="s">
        <v>27</v>
      </c>
      <c r="C67" s="15" t="s">
        <v>60</v>
      </c>
      <c r="D67" s="17">
        <v>2.4547453703703706E-3</v>
      </c>
      <c r="E67" s="15">
        <v>7.85</v>
      </c>
      <c r="F67" s="16">
        <v>206.66</v>
      </c>
      <c r="G67" s="16">
        <v>609.1</v>
      </c>
      <c r="H67" s="16">
        <v>333.22</v>
      </c>
      <c r="I67" s="16">
        <v>200</v>
      </c>
      <c r="J67" s="16">
        <v>468.74</v>
      </c>
      <c r="K67" s="16">
        <v>292.06</v>
      </c>
    </row>
    <row r="68" spans="2:11" ht="30" x14ac:dyDescent="0.25">
      <c r="B68" s="15" t="s">
        <v>27</v>
      </c>
      <c r="C68" s="15" t="s">
        <v>61</v>
      </c>
      <c r="D68" s="15" t="s">
        <v>62</v>
      </c>
      <c r="E68" s="15">
        <v>0</v>
      </c>
      <c r="F68" s="16">
        <v>205</v>
      </c>
      <c r="G68" s="16">
        <v>616.96</v>
      </c>
      <c r="H68" s="16">
        <v>300.77999999999997</v>
      </c>
      <c r="I68" s="16">
        <v>201.66</v>
      </c>
      <c r="J68" s="16">
        <v>476.24</v>
      </c>
      <c r="K68" s="16">
        <v>268.44</v>
      </c>
    </row>
    <row r="69" spans="2:11" ht="30" x14ac:dyDescent="0.25">
      <c r="B69" s="15" t="s">
        <v>27</v>
      </c>
      <c r="C69" s="15" t="s">
        <v>28</v>
      </c>
      <c r="D69" s="15" t="s">
        <v>63</v>
      </c>
      <c r="E69" s="15">
        <v>14.87</v>
      </c>
      <c r="F69" s="16">
        <v>105</v>
      </c>
      <c r="G69" s="16">
        <v>606.66</v>
      </c>
      <c r="H69" s="16">
        <v>174.62</v>
      </c>
      <c r="I69" s="16">
        <v>100</v>
      </c>
      <c r="J69" s="16">
        <v>485.62</v>
      </c>
      <c r="K69" s="16">
        <v>169.02</v>
      </c>
    </row>
    <row r="70" spans="2:11" x14ac:dyDescent="0.25">
      <c r="B70" s="15" t="s">
        <v>27</v>
      </c>
      <c r="C70" s="15" t="s">
        <v>31</v>
      </c>
      <c r="D70" s="17">
        <v>2.4679398148148147E-3</v>
      </c>
      <c r="E70" s="15">
        <v>7.88</v>
      </c>
      <c r="F70" s="16">
        <v>255</v>
      </c>
      <c r="G70" s="16">
        <v>682.72</v>
      </c>
      <c r="H70" s="14">
        <v>377.25</v>
      </c>
      <c r="I70" s="16">
        <v>218.34</v>
      </c>
      <c r="J70" s="16">
        <v>512.08000000000004</v>
      </c>
      <c r="K70" s="16">
        <v>310.56</v>
      </c>
    </row>
    <row r="71" spans="2:11" x14ac:dyDescent="0.25">
      <c r="B71" s="15" t="s">
        <v>27</v>
      </c>
      <c r="C71" s="15" t="s">
        <v>32</v>
      </c>
      <c r="D71" s="17">
        <v>2.4812499999999999E-3</v>
      </c>
      <c r="E71" s="15">
        <v>7.85</v>
      </c>
      <c r="F71" s="16">
        <v>246.66</v>
      </c>
      <c r="G71" s="16">
        <v>689.1</v>
      </c>
      <c r="H71" s="16">
        <v>373.48</v>
      </c>
      <c r="I71" s="16">
        <v>216.66</v>
      </c>
      <c r="J71" s="16">
        <v>526.24</v>
      </c>
      <c r="K71" s="16">
        <v>312.98</v>
      </c>
    </row>
    <row r="72" spans="2:11" ht="30" x14ac:dyDescent="0.25">
      <c r="B72" s="15" t="s">
        <v>27</v>
      </c>
      <c r="C72" s="15" t="s">
        <v>33</v>
      </c>
      <c r="D72" s="15" t="s">
        <v>64</v>
      </c>
      <c r="E72" s="15">
        <v>0</v>
      </c>
      <c r="F72" s="16">
        <v>102.5</v>
      </c>
      <c r="G72" s="16">
        <v>683.34</v>
      </c>
      <c r="H72" s="16">
        <v>202.66</v>
      </c>
      <c r="I72" s="16">
        <v>102.5</v>
      </c>
      <c r="J72" s="16">
        <v>523.74</v>
      </c>
      <c r="K72" s="16">
        <v>182.08</v>
      </c>
    </row>
    <row r="73" spans="2:11" ht="30" x14ac:dyDescent="0.25">
      <c r="B73" s="15" t="s">
        <v>38</v>
      </c>
      <c r="C73" s="18" t="s">
        <v>28</v>
      </c>
      <c r="D73" s="18" t="s">
        <v>65</v>
      </c>
      <c r="E73" s="15">
        <v>7.73</v>
      </c>
      <c r="F73" s="19">
        <v>105</v>
      </c>
      <c r="G73" s="19">
        <v>105</v>
      </c>
      <c r="H73" s="19">
        <v>105</v>
      </c>
      <c r="I73" s="19">
        <v>105</v>
      </c>
      <c r="J73" s="19">
        <v>110</v>
      </c>
      <c r="K73" s="19">
        <v>107.45</v>
      </c>
    </row>
    <row r="74" spans="2:11" x14ac:dyDescent="0.25">
      <c r="B74" s="15" t="s">
        <v>27</v>
      </c>
      <c r="C74" s="15" t="s">
        <v>31</v>
      </c>
      <c r="D74" s="17">
        <v>4.8508101851851846E-3</v>
      </c>
      <c r="E74" s="15">
        <v>7.93</v>
      </c>
      <c r="F74" s="14">
        <v>100</v>
      </c>
      <c r="G74" s="16">
        <v>592.91999999999996</v>
      </c>
      <c r="H74" s="16">
        <v>179.02</v>
      </c>
      <c r="I74" s="16">
        <v>100</v>
      </c>
      <c r="J74" s="16">
        <v>476.24</v>
      </c>
      <c r="K74" s="16">
        <v>162.57</v>
      </c>
    </row>
    <row r="75" spans="2:11" x14ac:dyDescent="0.25">
      <c r="B75" s="15" t="s">
        <v>27</v>
      </c>
      <c r="C75" s="15" t="s">
        <v>32</v>
      </c>
      <c r="D75" s="17">
        <v>2.4376157407407406E-3</v>
      </c>
      <c r="E75" s="15">
        <v>7</v>
      </c>
      <c r="F75" s="16">
        <v>225</v>
      </c>
      <c r="G75" s="16">
        <v>671.22</v>
      </c>
      <c r="H75" s="16">
        <v>356.66</v>
      </c>
      <c r="I75" s="16">
        <v>205</v>
      </c>
      <c r="J75" s="16">
        <v>520</v>
      </c>
      <c r="K75" s="16">
        <v>302.83</v>
      </c>
    </row>
    <row r="76" spans="2:11" x14ac:dyDescent="0.25">
      <c r="B76" s="15" t="s">
        <v>27</v>
      </c>
      <c r="C76" s="15" t="s">
        <v>33</v>
      </c>
      <c r="D76" s="17">
        <v>2.7775462962962966E-3</v>
      </c>
      <c r="E76" s="13">
        <v>5.94</v>
      </c>
      <c r="F76" s="16">
        <v>216.66</v>
      </c>
      <c r="G76" s="16">
        <v>645.76</v>
      </c>
      <c r="H76" s="16">
        <v>322.3</v>
      </c>
      <c r="I76" s="16">
        <v>201.66</v>
      </c>
      <c r="J76" s="16">
        <v>507.92</v>
      </c>
      <c r="K76" s="16">
        <v>276.66000000000003</v>
      </c>
    </row>
    <row r="77" spans="2:11" x14ac:dyDescent="0.25">
      <c r="B77" s="15" t="s">
        <v>27</v>
      </c>
      <c r="C77" s="15" t="s">
        <v>34</v>
      </c>
      <c r="D77" s="17">
        <v>4.4939814814814816E-3</v>
      </c>
      <c r="E77" s="15">
        <v>7.86</v>
      </c>
      <c r="F77" s="16">
        <v>102.5</v>
      </c>
      <c r="G77" s="16">
        <v>515</v>
      </c>
      <c r="H77" s="16">
        <v>190.33</v>
      </c>
      <c r="I77" s="16">
        <v>102.5</v>
      </c>
      <c r="J77" s="16">
        <v>530</v>
      </c>
      <c r="K77" s="16">
        <v>181.4</v>
      </c>
    </row>
    <row r="78" spans="2:11" x14ac:dyDescent="0.25">
      <c r="B78" s="15" t="s">
        <v>27</v>
      </c>
      <c r="C78" s="15" t="s">
        <v>44</v>
      </c>
      <c r="D78" s="17">
        <v>2.5003472222222224E-3</v>
      </c>
      <c r="E78" s="15">
        <v>7.96</v>
      </c>
      <c r="F78" s="16">
        <v>248.34</v>
      </c>
      <c r="G78" s="16">
        <v>659.1</v>
      </c>
      <c r="H78" s="16">
        <v>369.24</v>
      </c>
      <c r="I78" s="16">
        <v>223.34</v>
      </c>
      <c r="J78" s="16">
        <v>531.24</v>
      </c>
      <c r="K78" s="16">
        <v>317.69</v>
      </c>
    </row>
    <row r="79" spans="2:11" x14ac:dyDescent="0.25">
      <c r="B79" s="15" t="s">
        <v>27</v>
      </c>
      <c r="C79" s="15" t="s">
        <v>55</v>
      </c>
      <c r="D79" s="17">
        <v>2.425462962962963E-3</v>
      </c>
      <c r="E79" s="15">
        <v>7.9</v>
      </c>
      <c r="F79" s="16">
        <v>236.66</v>
      </c>
      <c r="G79" s="16">
        <v>646.36</v>
      </c>
      <c r="H79" s="16">
        <v>355.64</v>
      </c>
      <c r="I79" s="16">
        <v>216.66</v>
      </c>
      <c r="J79" s="16">
        <v>520</v>
      </c>
      <c r="K79" s="16">
        <v>306.52</v>
      </c>
    </row>
    <row r="80" spans="2:11" ht="30" x14ac:dyDescent="0.25">
      <c r="B80" s="15" t="s">
        <v>27</v>
      </c>
      <c r="C80" s="13" t="s">
        <v>25</v>
      </c>
      <c r="D80" s="13" t="s">
        <v>26</v>
      </c>
      <c r="E80" s="15">
        <v>7.94</v>
      </c>
      <c r="F80" s="16">
        <v>233.34</v>
      </c>
      <c r="G80" s="16">
        <v>652.41999999999996</v>
      </c>
      <c r="H80" s="16">
        <v>347.29</v>
      </c>
      <c r="I80" s="16">
        <v>208.34</v>
      </c>
      <c r="J80" s="16">
        <v>502.92</v>
      </c>
      <c r="K80" s="16">
        <v>293.39</v>
      </c>
    </row>
    <row r="81" spans="2:11" x14ac:dyDescent="0.25">
      <c r="B81" s="15" t="s">
        <v>27</v>
      </c>
      <c r="C81" s="15" t="s">
        <v>25</v>
      </c>
      <c r="D81" s="17">
        <v>2.4219907407407406E-3</v>
      </c>
      <c r="E81" s="15">
        <v>0</v>
      </c>
      <c r="F81" s="16">
        <v>216.66</v>
      </c>
      <c r="G81" s="16">
        <v>626.66</v>
      </c>
      <c r="H81" s="16">
        <v>339.76</v>
      </c>
      <c r="I81" s="16">
        <v>192.5</v>
      </c>
      <c r="J81" s="16">
        <v>473.12</v>
      </c>
      <c r="K81" s="16">
        <v>282.93</v>
      </c>
    </row>
    <row r="82" spans="2:11" ht="30" x14ac:dyDescent="0.25">
      <c r="B82" s="15" t="s">
        <v>27</v>
      </c>
      <c r="C82" s="15" t="s">
        <v>58</v>
      </c>
      <c r="D82" s="15" t="s">
        <v>66</v>
      </c>
      <c r="E82" s="15">
        <v>0</v>
      </c>
      <c r="F82" s="16">
        <v>210</v>
      </c>
      <c r="G82" s="16">
        <v>696.66</v>
      </c>
      <c r="H82" s="16">
        <v>307.83</v>
      </c>
      <c r="I82" s="16">
        <v>190</v>
      </c>
      <c r="J82" s="16">
        <v>438.74</v>
      </c>
      <c r="K82" s="16">
        <v>267.24</v>
      </c>
    </row>
  </sheetData>
  <mergeCells count="1">
    <mergeCell ref="B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1E71-D85B-4693-B10D-92390A1BF06A}">
  <dimension ref="A2:U30"/>
  <sheetViews>
    <sheetView showGridLines="0" zoomScale="90" zoomScaleNormal="90" workbookViewId="0">
      <selection activeCell="A15" sqref="A15"/>
    </sheetView>
  </sheetViews>
  <sheetFormatPr defaultRowHeight="15" x14ac:dyDescent="0.25"/>
  <cols>
    <col min="1" max="1" width="6.140625" style="2" customWidth="1"/>
    <col min="2" max="2" width="20.5703125" style="2" customWidth="1"/>
    <col min="3" max="4" width="18.28515625" style="2" customWidth="1"/>
    <col min="5" max="5" width="10.42578125" style="2" customWidth="1"/>
    <col min="6" max="13" width="9.140625" style="2"/>
    <col min="14" max="14" width="13.42578125" style="2" bestFit="1" customWidth="1"/>
    <col min="15" max="15" width="13.7109375" style="2" bestFit="1" customWidth="1"/>
    <col min="16" max="16" width="13.140625" style="2" bestFit="1" customWidth="1"/>
    <col min="17" max="17" width="13.5703125" style="2" bestFit="1" customWidth="1"/>
    <col min="18" max="19" width="13.85546875" style="2" bestFit="1" customWidth="1"/>
    <col min="20" max="21" width="12.7109375" style="2" bestFit="1" customWidth="1"/>
    <col min="22" max="16384" width="9.140625" style="2"/>
  </cols>
  <sheetData>
    <row r="2" spans="1:21" x14ac:dyDescent="0.25">
      <c r="B2" s="1" t="s">
        <v>7</v>
      </c>
    </row>
    <row r="3" spans="1:21" x14ac:dyDescent="0.25">
      <c r="B3" s="1" t="s">
        <v>13</v>
      </c>
      <c r="J3" s="9">
        <f>AVERAGE(J11:J14)</f>
        <v>1.3699494949494942E-2</v>
      </c>
      <c r="K3" s="9">
        <f>AVERAGE(K11:K14)</f>
        <v>7.1338383838383864E-3</v>
      </c>
    </row>
    <row r="5" spans="1:21" x14ac:dyDescent="0.25">
      <c r="B5" s="3" t="s">
        <v>3</v>
      </c>
      <c r="C5" s="3" t="s">
        <v>5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3" t="s">
        <v>100</v>
      </c>
      <c r="M5" s="3" t="s">
        <v>101</v>
      </c>
      <c r="N5" s="2" t="s">
        <v>102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</row>
    <row r="6" spans="1:21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24">
        <v>-9.6769999999999996</v>
      </c>
      <c r="M6" s="24">
        <v>-9.4909999999999997</v>
      </c>
      <c r="N6" s="10">
        <f>+F6-$F$6</f>
        <v>0</v>
      </c>
      <c r="O6" s="10">
        <f>G6-$G$6</f>
        <v>0</v>
      </c>
      <c r="P6" s="10">
        <f t="shared" ref="P6:P14" si="0">L6-$L$6</f>
        <v>0</v>
      </c>
      <c r="Q6" s="10">
        <f t="shared" ref="Q6:Q14" si="1">M6-$M$6</f>
        <v>0</v>
      </c>
    </row>
    <row r="7" spans="1:21" x14ac:dyDescent="0.25">
      <c r="B7" s="5">
        <v>0.4236111111111111</v>
      </c>
      <c r="C7" s="4">
        <v>1</v>
      </c>
      <c r="D7" s="4">
        <f>D6+E7</f>
        <v>9</v>
      </c>
      <c r="E7" s="4">
        <v>9</v>
      </c>
      <c r="F7" s="6">
        <v>5.4</v>
      </c>
      <c r="G7" s="6">
        <v>5.6</v>
      </c>
      <c r="H7" s="6">
        <f>F6-F7</f>
        <v>0.59999999999999964</v>
      </c>
      <c r="I7" s="6">
        <f>G6-G7</f>
        <v>0.40000000000000036</v>
      </c>
      <c r="J7" s="8">
        <f>H7/E7</f>
        <v>6.6666666666666624E-2</v>
      </c>
      <c r="K7" s="8">
        <f>I7/E7</f>
        <v>4.4444444444444481E-2</v>
      </c>
      <c r="L7" s="25">
        <v>-8.1110000000000007</v>
      </c>
      <c r="M7" s="25">
        <v>-8.7889999999999997</v>
      </c>
      <c r="N7" s="10">
        <f t="shared" ref="N7:N18" si="2">+F7-$F$6</f>
        <v>-0.59999999999999964</v>
      </c>
      <c r="O7" s="10">
        <f t="shared" ref="O7:O18" si="3">G7-$G$6</f>
        <v>-0.40000000000000036</v>
      </c>
      <c r="P7" s="10">
        <f t="shared" si="0"/>
        <v>1.5659999999999989</v>
      </c>
      <c r="Q7" s="10">
        <f t="shared" si="1"/>
        <v>0.70199999999999996</v>
      </c>
      <c r="R7" s="30">
        <f t="shared" ref="R7:S14" si="4">N7/P7</f>
        <v>-0.38314176245210729</v>
      </c>
      <c r="S7" s="30">
        <f t="shared" si="4"/>
        <v>-0.56980056980057037</v>
      </c>
      <c r="T7" s="30">
        <f>-N7/D7</f>
        <v>6.6666666666666624E-2</v>
      </c>
      <c r="U7" s="30">
        <f>-O7/D7</f>
        <v>4.4444444444444481E-2</v>
      </c>
    </row>
    <row r="8" spans="1:21" x14ac:dyDescent="0.25">
      <c r="B8" s="5">
        <v>0.48472222222222222</v>
      </c>
      <c r="C8" s="4">
        <v>2</v>
      </c>
      <c r="D8" s="4">
        <f t="shared" ref="D8:D19" si="5">D7+E8</f>
        <v>14</v>
      </c>
      <c r="E8" s="4">
        <v>5</v>
      </c>
      <c r="F8" s="6">
        <v>5.38</v>
      </c>
      <c r="G8" s="6">
        <v>5.58</v>
      </c>
      <c r="H8" s="6">
        <f t="shared" ref="H8:I25" si="6">F7-F8</f>
        <v>2.0000000000000462E-2</v>
      </c>
      <c r="I8" s="6">
        <f t="shared" si="6"/>
        <v>1.9999999999999574E-2</v>
      </c>
      <c r="J8" s="8">
        <f t="shared" ref="J8:J25" si="7">H8/E8</f>
        <v>4.000000000000092E-3</v>
      </c>
      <c r="K8" s="8">
        <f t="shared" ref="K8:K25" si="8">I8/E8</f>
        <v>3.9999999999999151E-3</v>
      </c>
      <c r="L8" s="6">
        <v>-7.8259999999999996</v>
      </c>
      <c r="M8" s="6">
        <v>-8.5519999999999996</v>
      </c>
      <c r="N8" s="10">
        <f t="shared" si="2"/>
        <v>-0.62000000000000011</v>
      </c>
      <c r="O8" s="10">
        <f t="shared" si="3"/>
        <v>-0.41999999999999993</v>
      </c>
      <c r="P8" s="10">
        <f t="shared" si="0"/>
        <v>1.851</v>
      </c>
      <c r="Q8" s="10">
        <f t="shared" si="1"/>
        <v>0.93900000000000006</v>
      </c>
      <c r="R8" s="30">
        <f t="shared" si="4"/>
        <v>-0.33495407887628315</v>
      </c>
      <c r="S8" s="30">
        <f t="shared" si="4"/>
        <v>-0.44728434504792319</v>
      </c>
      <c r="T8" s="30">
        <f t="shared" ref="T8:T16" si="9">-N8/D8</f>
        <v>4.4285714285714296E-2</v>
      </c>
      <c r="U8" s="30">
        <f t="shared" ref="U8:U16" si="10">-O8/D8</f>
        <v>2.9999999999999995E-2</v>
      </c>
    </row>
    <row r="9" spans="1:21" x14ac:dyDescent="0.25">
      <c r="B9" s="5">
        <v>0.52430555555555558</v>
      </c>
      <c r="C9" s="4">
        <v>3</v>
      </c>
      <c r="D9" s="4">
        <f t="shared" si="5"/>
        <v>20</v>
      </c>
      <c r="E9" s="4">
        <v>6</v>
      </c>
      <c r="F9" s="6">
        <v>5.3</v>
      </c>
      <c r="G9" s="6">
        <v>5.57</v>
      </c>
      <c r="H9" s="6">
        <f t="shared" si="6"/>
        <v>8.0000000000000071E-2</v>
      </c>
      <c r="I9" s="6">
        <f t="shared" si="6"/>
        <v>9.9999999999997868E-3</v>
      </c>
      <c r="J9" s="8">
        <f t="shared" si="7"/>
        <v>1.3333333333333345E-2</v>
      </c>
      <c r="K9" s="8">
        <f t="shared" si="8"/>
        <v>1.6666666666666312E-3</v>
      </c>
      <c r="L9" s="6">
        <v>-7.5570000000000004</v>
      </c>
      <c r="M9" s="6">
        <v>-8.34</v>
      </c>
      <c r="N9" s="10">
        <f t="shared" si="2"/>
        <v>-0.70000000000000018</v>
      </c>
      <c r="O9" s="10">
        <f t="shared" si="3"/>
        <v>-0.42999999999999972</v>
      </c>
      <c r="P9" s="10">
        <f t="shared" si="0"/>
        <v>2.1199999999999992</v>
      </c>
      <c r="Q9" s="10">
        <f t="shared" si="1"/>
        <v>1.1509999999999998</v>
      </c>
      <c r="R9" s="30">
        <f t="shared" si="4"/>
        <v>-0.33018867924528322</v>
      </c>
      <c r="S9" s="30">
        <f t="shared" si="4"/>
        <v>-0.37358818418766271</v>
      </c>
      <c r="T9" s="30">
        <f t="shared" si="9"/>
        <v>3.500000000000001E-2</v>
      </c>
      <c r="U9" s="30">
        <f t="shared" si="10"/>
        <v>2.1499999999999984E-2</v>
      </c>
    </row>
    <row r="10" spans="1:21" x14ac:dyDescent="0.25">
      <c r="B10" s="5">
        <v>0.54166666666666663</v>
      </c>
      <c r="C10" s="4">
        <v>4</v>
      </c>
      <c r="D10" s="4">
        <f t="shared" si="5"/>
        <v>27</v>
      </c>
      <c r="E10" s="4">
        <v>7</v>
      </c>
      <c r="F10" s="6">
        <v>5.27</v>
      </c>
      <c r="G10" s="6">
        <v>5.45</v>
      </c>
      <c r="H10" s="6">
        <f t="shared" si="6"/>
        <v>3.0000000000000249E-2</v>
      </c>
      <c r="I10" s="6">
        <f t="shared" si="6"/>
        <v>0.12000000000000011</v>
      </c>
      <c r="J10" s="8">
        <f t="shared" si="7"/>
        <v>4.2857142857143215E-3</v>
      </c>
      <c r="K10" s="8">
        <f t="shared" si="8"/>
        <v>1.7142857142857158E-2</v>
      </c>
      <c r="L10" s="6">
        <v>-7.2140000000000004</v>
      </c>
      <c r="M10" s="6">
        <v>-8.1880000000000006</v>
      </c>
      <c r="N10" s="10">
        <f t="shared" si="2"/>
        <v>-0.73000000000000043</v>
      </c>
      <c r="O10" s="10">
        <f t="shared" si="3"/>
        <v>-0.54999999999999982</v>
      </c>
      <c r="P10" s="10">
        <f t="shared" si="0"/>
        <v>2.4629999999999992</v>
      </c>
      <c r="Q10" s="10">
        <f t="shared" si="1"/>
        <v>1.302999999999999</v>
      </c>
      <c r="R10" s="30">
        <f t="shared" si="4"/>
        <v>-0.29638652050345132</v>
      </c>
      <c r="S10" s="30">
        <f t="shared" si="4"/>
        <v>-0.4221028396009211</v>
      </c>
      <c r="T10" s="30">
        <f t="shared" si="9"/>
        <v>2.7037037037037054E-2</v>
      </c>
      <c r="U10" s="30">
        <f t="shared" si="10"/>
        <v>2.0370370370370365E-2</v>
      </c>
    </row>
    <row r="11" spans="1:21" x14ac:dyDescent="0.25">
      <c r="B11" s="5">
        <v>0.63194444444444442</v>
      </c>
      <c r="C11" s="4">
        <v>5</v>
      </c>
      <c r="D11" s="4">
        <f t="shared" si="5"/>
        <v>36</v>
      </c>
      <c r="E11" s="4">
        <v>9</v>
      </c>
      <c r="F11" s="6">
        <v>5.0999999999999996</v>
      </c>
      <c r="G11" s="6">
        <v>5.38</v>
      </c>
      <c r="H11" s="6">
        <f t="shared" si="6"/>
        <v>0.16999999999999993</v>
      </c>
      <c r="I11" s="6">
        <f t="shared" si="6"/>
        <v>7.0000000000000284E-2</v>
      </c>
      <c r="J11" s="8">
        <f t="shared" si="7"/>
        <v>1.8888888888888882E-2</v>
      </c>
      <c r="K11" s="8">
        <f t="shared" si="8"/>
        <v>7.7777777777778096E-3</v>
      </c>
      <c r="L11" s="6">
        <v>-6.9930000000000003</v>
      </c>
      <c r="M11" s="6">
        <v>-7.95</v>
      </c>
      <c r="N11" s="10">
        <f t="shared" si="2"/>
        <v>-0.90000000000000036</v>
      </c>
      <c r="O11" s="10">
        <f t="shared" si="3"/>
        <v>-0.62000000000000011</v>
      </c>
      <c r="P11" s="10">
        <f t="shared" si="0"/>
        <v>2.6839999999999993</v>
      </c>
      <c r="Q11" s="10">
        <f t="shared" si="1"/>
        <v>1.5409999999999995</v>
      </c>
      <c r="R11" s="30">
        <f t="shared" si="4"/>
        <v>-0.33532041728763062</v>
      </c>
      <c r="S11" s="30">
        <f t="shared" si="4"/>
        <v>-0.40233614536015594</v>
      </c>
      <c r="T11" s="30">
        <f t="shared" si="9"/>
        <v>2.5000000000000008E-2</v>
      </c>
      <c r="U11" s="30">
        <f t="shared" si="10"/>
        <v>1.7222222222222226E-2</v>
      </c>
    </row>
    <row r="12" spans="1:21" x14ac:dyDescent="0.25">
      <c r="B12" s="5">
        <v>0.68472222222222223</v>
      </c>
      <c r="C12" s="4">
        <v>6</v>
      </c>
      <c r="D12" s="4">
        <f t="shared" si="5"/>
        <v>48</v>
      </c>
      <c r="E12" s="4">
        <v>12</v>
      </c>
      <c r="F12" s="6">
        <v>4.95</v>
      </c>
      <c r="G12" s="6">
        <v>5.3</v>
      </c>
      <c r="H12" s="6">
        <f t="shared" si="6"/>
        <v>0.14999999999999947</v>
      </c>
      <c r="I12" s="6">
        <f t="shared" si="6"/>
        <v>8.0000000000000071E-2</v>
      </c>
      <c r="J12" s="8">
        <f t="shared" si="7"/>
        <v>1.2499999999999956E-2</v>
      </c>
      <c r="K12" s="8">
        <f t="shared" si="8"/>
        <v>6.6666666666666723E-3</v>
      </c>
      <c r="L12" s="6">
        <v>-6.74</v>
      </c>
      <c r="M12" s="6">
        <v>-7.84</v>
      </c>
      <c r="N12" s="10">
        <f t="shared" si="2"/>
        <v>-1.0499999999999998</v>
      </c>
      <c r="O12" s="10">
        <f t="shared" si="3"/>
        <v>-0.70000000000000018</v>
      </c>
      <c r="P12" s="10">
        <f t="shared" si="0"/>
        <v>2.9369999999999994</v>
      </c>
      <c r="Q12" s="10">
        <f t="shared" si="1"/>
        <v>1.6509999999999998</v>
      </c>
      <c r="R12" s="30">
        <f t="shared" si="4"/>
        <v>-0.35750766087844743</v>
      </c>
      <c r="S12" s="30">
        <f t="shared" si="4"/>
        <v>-0.42398546335554227</v>
      </c>
      <c r="T12" s="30">
        <f t="shared" si="9"/>
        <v>2.1874999999999995E-2</v>
      </c>
      <c r="U12" s="30">
        <f t="shared" si="10"/>
        <v>1.4583333333333337E-2</v>
      </c>
    </row>
    <row r="13" spans="1:21" x14ac:dyDescent="0.25">
      <c r="B13" s="5">
        <v>0.7055555555555556</v>
      </c>
      <c r="C13" s="4">
        <v>7</v>
      </c>
      <c r="D13" s="4">
        <f t="shared" si="5"/>
        <v>59</v>
      </c>
      <c r="E13" s="4">
        <v>11</v>
      </c>
      <c r="F13" s="6">
        <v>4.83</v>
      </c>
      <c r="G13" s="6">
        <v>5.2</v>
      </c>
      <c r="H13" s="6">
        <f t="shared" si="6"/>
        <v>0.12000000000000011</v>
      </c>
      <c r="I13" s="6">
        <f t="shared" si="6"/>
        <v>9.9999999999999645E-2</v>
      </c>
      <c r="J13" s="8">
        <f t="shared" si="7"/>
        <v>1.0909090909090919E-2</v>
      </c>
      <c r="K13" s="8">
        <f t="shared" si="8"/>
        <v>9.0909090909090592E-3</v>
      </c>
      <c r="L13" s="6">
        <v>-6.1440000000000001</v>
      </c>
      <c r="M13" s="6">
        <v>-7.3639999999999999</v>
      </c>
      <c r="N13" s="10">
        <f t="shared" si="2"/>
        <v>-1.17</v>
      </c>
      <c r="O13" s="10">
        <f t="shared" si="3"/>
        <v>-0.79999999999999982</v>
      </c>
      <c r="P13" s="10">
        <f t="shared" si="0"/>
        <v>3.5329999999999995</v>
      </c>
      <c r="Q13" s="10">
        <f t="shared" si="1"/>
        <v>2.1269999999999998</v>
      </c>
      <c r="R13" s="30">
        <f t="shared" si="4"/>
        <v>-0.33116331729408438</v>
      </c>
      <c r="S13" s="30">
        <f t="shared" si="4"/>
        <v>-0.37611659614480486</v>
      </c>
      <c r="T13" s="30">
        <f t="shared" si="9"/>
        <v>1.9830508474576271E-2</v>
      </c>
      <c r="U13" s="30">
        <f t="shared" si="10"/>
        <v>1.3559322033898301E-2</v>
      </c>
    </row>
    <row r="14" spans="1:21" x14ac:dyDescent="0.25">
      <c r="B14" s="5">
        <v>0.77083333333333337</v>
      </c>
      <c r="C14" s="4">
        <v>8</v>
      </c>
      <c r="D14" s="4">
        <f t="shared" si="5"/>
        <v>75</v>
      </c>
      <c r="E14" s="4">
        <v>16</v>
      </c>
      <c r="F14" s="6">
        <v>4.63</v>
      </c>
      <c r="G14" s="6">
        <v>5.12</v>
      </c>
      <c r="H14" s="6">
        <f t="shared" si="6"/>
        <v>0.20000000000000018</v>
      </c>
      <c r="I14" s="6">
        <f t="shared" si="6"/>
        <v>8.0000000000000071E-2</v>
      </c>
      <c r="J14" s="8">
        <f t="shared" si="7"/>
        <v>1.2500000000000011E-2</v>
      </c>
      <c r="K14" s="8">
        <f t="shared" si="8"/>
        <v>5.0000000000000044E-3</v>
      </c>
      <c r="L14" s="6">
        <v>-5.7960000000000003</v>
      </c>
      <c r="M14" s="6">
        <v>-7.1529999999999996</v>
      </c>
      <c r="N14" s="10">
        <f t="shared" si="2"/>
        <v>-1.37</v>
      </c>
      <c r="O14" s="10">
        <f t="shared" si="3"/>
        <v>-0.87999999999999989</v>
      </c>
      <c r="P14" s="10">
        <f t="shared" si="0"/>
        <v>3.8809999999999993</v>
      </c>
      <c r="Q14" s="10">
        <f t="shared" si="1"/>
        <v>2.3380000000000001</v>
      </c>
      <c r="R14" s="30">
        <f t="shared" si="4"/>
        <v>-0.35300180365885092</v>
      </c>
      <c r="S14" s="30">
        <f t="shared" si="4"/>
        <v>-0.37639007698887933</v>
      </c>
      <c r="T14" s="30">
        <f t="shared" si="9"/>
        <v>1.8266666666666667E-2</v>
      </c>
      <c r="U14" s="30">
        <f t="shared" si="10"/>
        <v>1.1733333333333332E-2</v>
      </c>
    </row>
    <row r="15" spans="1:21" x14ac:dyDescent="0.25">
      <c r="A15" s="1" t="s">
        <v>113</v>
      </c>
      <c r="B15" s="5">
        <v>0.67291666666666661</v>
      </c>
      <c r="C15" s="4">
        <v>9</v>
      </c>
      <c r="D15" s="4">
        <f t="shared" si="5"/>
        <v>99</v>
      </c>
      <c r="E15" s="4">
        <v>24</v>
      </c>
      <c r="F15" s="6">
        <v>4.5999999999999996</v>
      </c>
      <c r="G15" s="6">
        <v>5.2</v>
      </c>
      <c r="H15" s="6">
        <f t="shared" si="6"/>
        <v>3.0000000000000249E-2</v>
      </c>
      <c r="I15" s="6">
        <f t="shared" si="6"/>
        <v>-8.0000000000000071E-2</v>
      </c>
      <c r="J15" s="8">
        <f t="shared" si="7"/>
        <v>1.2500000000000104E-3</v>
      </c>
      <c r="K15" s="8">
        <f t="shared" si="8"/>
        <v>-3.3333333333333361E-3</v>
      </c>
      <c r="L15" s="6">
        <v>-5.3789999999999996</v>
      </c>
      <c r="M15" s="6">
        <v>-6.4610000000000003</v>
      </c>
      <c r="N15" s="2">
        <f t="shared" si="2"/>
        <v>-1.4000000000000004</v>
      </c>
      <c r="O15" s="10">
        <f t="shared" si="3"/>
        <v>-0.79999999999999982</v>
      </c>
      <c r="P15" s="10">
        <f t="shared" ref="P15" si="11">L15-$L$6</f>
        <v>4.298</v>
      </c>
      <c r="Q15" s="10">
        <f t="shared" ref="Q15" si="12">M15-$M$6</f>
        <v>3.0299999999999994</v>
      </c>
      <c r="R15" s="30">
        <f t="shared" ref="R15" si="13">N15/P15</f>
        <v>-0.32573289902280139</v>
      </c>
      <c r="S15" s="30">
        <f t="shared" ref="S15" si="14">O15/Q15</f>
        <v>-0.264026402640264</v>
      </c>
      <c r="T15" s="30">
        <f t="shared" si="9"/>
        <v>1.4141414141414146E-2</v>
      </c>
      <c r="U15" s="30">
        <f t="shared" si="10"/>
        <v>8.0808080808080791E-3</v>
      </c>
    </row>
    <row r="16" spans="1:21" x14ac:dyDescent="0.25">
      <c r="B16" s="5">
        <v>0.7284722222222223</v>
      </c>
      <c r="C16" s="4">
        <v>10</v>
      </c>
      <c r="D16" s="4">
        <f t="shared" si="5"/>
        <v>108</v>
      </c>
      <c r="E16" s="4">
        <v>9</v>
      </c>
      <c r="F16" s="6">
        <v>4.5</v>
      </c>
      <c r="G16" s="6">
        <v>5.13</v>
      </c>
      <c r="H16" s="6">
        <f t="shared" si="6"/>
        <v>9.9999999999999645E-2</v>
      </c>
      <c r="I16" s="6">
        <f t="shared" si="6"/>
        <v>7.0000000000000284E-2</v>
      </c>
      <c r="J16" s="8">
        <f t="shared" si="7"/>
        <v>1.1111111111111072E-2</v>
      </c>
      <c r="K16" s="8">
        <f t="shared" si="8"/>
        <v>7.7777777777778096E-3</v>
      </c>
      <c r="L16" s="6">
        <v>-5.1739999999999995</v>
      </c>
      <c r="M16" s="6">
        <v>-6.3340000000000005</v>
      </c>
      <c r="N16" s="2">
        <f t="shared" si="2"/>
        <v>-1.5</v>
      </c>
      <c r="O16" s="10">
        <f t="shared" si="3"/>
        <v>-0.87000000000000011</v>
      </c>
      <c r="P16" s="10">
        <f t="shared" ref="P16" si="15">L16-$L$6</f>
        <v>4.5030000000000001</v>
      </c>
      <c r="Q16" s="10">
        <f t="shared" ref="Q16" si="16">M16-$M$6</f>
        <v>3.1569999999999991</v>
      </c>
      <c r="R16" s="30">
        <f t="shared" ref="R16" si="17">N16/P16</f>
        <v>-0.33311125916055961</v>
      </c>
      <c r="S16" s="30">
        <f t="shared" ref="S16" si="18">O16/Q16</f>
        <v>-0.27557808045612936</v>
      </c>
      <c r="T16" s="30">
        <f t="shared" si="9"/>
        <v>1.3888888888888888E-2</v>
      </c>
      <c r="U16" s="30">
        <f t="shared" si="10"/>
        <v>8.0555555555555571E-3</v>
      </c>
    </row>
    <row r="17" spans="2:21" x14ac:dyDescent="0.25">
      <c r="B17" s="5">
        <v>0.89166666666666661</v>
      </c>
      <c r="C17" s="4">
        <v>11</v>
      </c>
      <c r="D17" s="4">
        <f t="shared" si="5"/>
        <v>122</v>
      </c>
      <c r="E17" s="4">
        <v>14</v>
      </c>
      <c r="F17" s="6">
        <v>4.32</v>
      </c>
      <c r="G17" s="6">
        <v>5.01</v>
      </c>
      <c r="H17" s="6">
        <f t="shared" si="6"/>
        <v>0.17999999999999972</v>
      </c>
      <c r="I17" s="6">
        <f t="shared" si="6"/>
        <v>0.12000000000000011</v>
      </c>
      <c r="J17" s="8">
        <f t="shared" si="7"/>
        <v>1.2857142857142836E-2</v>
      </c>
      <c r="K17" s="8">
        <f t="shared" si="8"/>
        <v>8.5714285714285788E-3</v>
      </c>
      <c r="L17" s="6">
        <v>-4.8789999999999996</v>
      </c>
      <c r="M17" s="6">
        <v>-6.165</v>
      </c>
      <c r="N17" s="2">
        <f t="shared" si="2"/>
        <v>-1.6799999999999997</v>
      </c>
      <c r="O17" s="10">
        <f t="shared" si="3"/>
        <v>-0.99000000000000021</v>
      </c>
      <c r="P17" s="10">
        <f t="shared" ref="P17" si="19">L17-$L$6</f>
        <v>4.798</v>
      </c>
      <c r="Q17" s="10">
        <f t="shared" ref="Q17" si="20">M17-$M$6</f>
        <v>3.3259999999999996</v>
      </c>
      <c r="R17" s="30">
        <f t="shared" ref="R17" si="21">N17/P17</f>
        <v>-0.35014589412255098</v>
      </c>
      <c r="S17" s="30">
        <f t="shared" ref="S17" si="22">O17/Q17</f>
        <v>-0.29765484064942882</v>
      </c>
      <c r="T17" s="30">
        <f t="shared" ref="T17" si="23">-N17/D17</f>
        <v>1.3770491803278686E-2</v>
      </c>
      <c r="U17" s="30">
        <f t="shared" ref="U17" si="24">-O17/D17</f>
        <v>8.1147540983606582E-3</v>
      </c>
    </row>
    <row r="18" spans="2:21" x14ac:dyDescent="0.25">
      <c r="B18" s="5">
        <v>0.96527777777777779</v>
      </c>
      <c r="C18" s="4">
        <v>12</v>
      </c>
      <c r="D18" s="4">
        <f t="shared" si="5"/>
        <v>137</v>
      </c>
      <c r="E18" s="4">
        <v>15</v>
      </c>
      <c r="F18" s="6">
        <v>4.28</v>
      </c>
      <c r="G18" s="6">
        <v>4.96</v>
      </c>
      <c r="H18" s="6">
        <f t="shared" si="6"/>
        <v>4.0000000000000036E-2</v>
      </c>
      <c r="I18" s="6">
        <f t="shared" si="6"/>
        <v>4.9999999999999822E-2</v>
      </c>
      <c r="J18" s="8">
        <f t="shared" si="7"/>
        <v>2.6666666666666692E-3</v>
      </c>
      <c r="K18" s="8">
        <f t="shared" si="8"/>
        <v>3.3333333333333214E-3</v>
      </c>
      <c r="L18" s="6">
        <v>-4.62</v>
      </c>
      <c r="M18" s="6">
        <v>-5.907</v>
      </c>
      <c r="N18" s="2">
        <f t="shared" si="2"/>
        <v>-1.7199999999999998</v>
      </c>
      <c r="O18" s="10">
        <f t="shared" si="3"/>
        <v>-1.04</v>
      </c>
      <c r="P18" s="10">
        <f t="shared" ref="P18:P25" si="25">L18-$L$6</f>
        <v>5.0569999999999995</v>
      </c>
      <c r="Q18" s="10">
        <f t="shared" ref="Q18:Q25" si="26">M18-$M$6</f>
        <v>3.5839999999999996</v>
      </c>
      <c r="R18" s="30">
        <f t="shared" ref="R18:R25" si="27">N18/P18</f>
        <v>-0.34012260233339925</v>
      </c>
      <c r="S18" s="30">
        <f t="shared" ref="S18:S25" si="28">O18/Q18</f>
        <v>-0.29017857142857145</v>
      </c>
      <c r="T18" s="30">
        <f t="shared" ref="T18:T25" si="29">-N18/D18</f>
        <v>1.2554744525547444E-2</v>
      </c>
      <c r="U18" s="30">
        <f t="shared" ref="U18:U25" si="30">-O18/D18</f>
        <v>7.5912408759124094E-3</v>
      </c>
    </row>
    <row r="19" spans="2:21" x14ac:dyDescent="0.25">
      <c r="B19" s="5">
        <v>8.3333333333333332E-3</v>
      </c>
      <c r="C19" s="4">
        <v>13</v>
      </c>
      <c r="D19" s="4">
        <f t="shared" si="5"/>
        <v>148</v>
      </c>
      <c r="E19" s="4">
        <v>11</v>
      </c>
      <c r="F19" s="6">
        <v>4.17</v>
      </c>
      <c r="G19" s="6">
        <v>4.82</v>
      </c>
      <c r="H19" s="6">
        <f t="shared" si="6"/>
        <v>0.11000000000000032</v>
      </c>
      <c r="I19" s="6">
        <f t="shared" si="6"/>
        <v>0.13999999999999968</v>
      </c>
      <c r="J19" s="8">
        <f t="shared" si="7"/>
        <v>1.000000000000003E-2</v>
      </c>
      <c r="K19" s="8">
        <f t="shared" si="8"/>
        <v>1.2727272727272698E-2</v>
      </c>
      <c r="L19" s="6">
        <v>-4.34</v>
      </c>
      <c r="M19" s="6">
        <v>-5.7229999999999999</v>
      </c>
      <c r="N19" s="2">
        <f t="shared" ref="N19:N25" si="31">+F19-$F$6</f>
        <v>-1.83</v>
      </c>
      <c r="O19" s="10">
        <f t="shared" ref="O19:O25" si="32">G19-$G$6</f>
        <v>-1.1799999999999997</v>
      </c>
      <c r="P19" s="10">
        <f t="shared" si="25"/>
        <v>5.3369999999999997</v>
      </c>
      <c r="Q19" s="10">
        <f t="shared" si="26"/>
        <v>3.7679999999999998</v>
      </c>
      <c r="R19" s="30">
        <f t="shared" si="27"/>
        <v>-0.34288926363125355</v>
      </c>
      <c r="S19" s="30">
        <f t="shared" si="28"/>
        <v>-0.3131634819532908</v>
      </c>
      <c r="T19" s="30">
        <f t="shared" si="29"/>
        <v>1.2364864864864865E-2</v>
      </c>
      <c r="U19" s="30">
        <f t="shared" si="30"/>
        <v>7.9729729729729713E-3</v>
      </c>
    </row>
    <row r="20" spans="2:21" x14ac:dyDescent="0.25">
      <c r="B20" s="4"/>
      <c r="C20" s="4"/>
      <c r="D20" s="4"/>
      <c r="E20" s="4"/>
      <c r="F20" s="6"/>
      <c r="G20" s="6"/>
      <c r="H20" s="6">
        <f t="shared" si="6"/>
        <v>4.17</v>
      </c>
      <c r="I20" s="6">
        <f t="shared" si="6"/>
        <v>4.82</v>
      </c>
      <c r="J20" s="6" t="e">
        <f t="shared" si="7"/>
        <v>#DIV/0!</v>
      </c>
      <c r="K20" s="6" t="e">
        <f t="shared" si="8"/>
        <v>#DIV/0!</v>
      </c>
      <c r="L20" s="6"/>
      <c r="M20" s="6"/>
      <c r="N20" s="2">
        <f t="shared" si="31"/>
        <v>-6</v>
      </c>
      <c r="O20" s="10">
        <f t="shared" si="32"/>
        <v>-6</v>
      </c>
      <c r="P20" s="10">
        <f t="shared" si="25"/>
        <v>9.6769999999999996</v>
      </c>
      <c r="Q20" s="10">
        <f t="shared" si="26"/>
        <v>9.4909999999999997</v>
      </c>
      <c r="R20" s="2">
        <f t="shared" si="27"/>
        <v>-0.62002686783093941</v>
      </c>
      <c r="S20" s="2">
        <f t="shared" si="28"/>
        <v>-0.63217785270256033</v>
      </c>
      <c r="T20" s="9" t="e">
        <f t="shared" si="29"/>
        <v>#DIV/0!</v>
      </c>
      <c r="U20" s="9" t="e">
        <f t="shared" si="30"/>
        <v>#DIV/0!</v>
      </c>
    </row>
    <row r="21" spans="2:21" x14ac:dyDescent="0.25">
      <c r="B21" s="4"/>
      <c r="C21" s="4"/>
      <c r="D21" s="4"/>
      <c r="E21" s="4"/>
      <c r="F21" s="6"/>
      <c r="G21" s="6"/>
      <c r="H21" s="6">
        <f t="shared" si="6"/>
        <v>0</v>
      </c>
      <c r="I21" s="6">
        <f t="shared" si="6"/>
        <v>0</v>
      </c>
      <c r="J21" s="6" t="e">
        <f t="shared" si="7"/>
        <v>#DIV/0!</v>
      </c>
      <c r="K21" s="6" t="e">
        <f t="shared" si="8"/>
        <v>#DIV/0!</v>
      </c>
      <c r="L21" s="6"/>
      <c r="M21" s="6"/>
      <c r="N21" s="2">
        <f t="shared" si="31"/>
        <v>-6</v>
      </c>
      <c r="O21" s="10">
        <f t="shared" si="32"/>
        <v>-6</v>
      </c>
      <c r="P21" s="10">
        <f t="shared" si="25"/>
        <v>9.6769999999999996</v>
      </c>
      <c r="Q21" s="10">
        <f t="shared" si="26"/>
        <v>9.4909999999999997</v>
      </c>
      <c r="R21" s="2">
        <f t="shared" si="27"/>
        <v>-0.62002686783093941</v>
      </c>
      <c r="S21" s="2">
        <f t="shared" si="28"/>
        <v>-0.63217785270256033</v>
      </c>
      <c r="T21" s="9" t="e">
        <f t="shared" si="29"/>
        <v>#DIV/0!</v>
      </c>
      <c r="U21" s="9" t="e">
        <f t="shared" si="30"/>
        <v>#DIV/0!</v>
      </c>
    </row>
    <row r="22" spans="2:21" x14ac:dyDescent="0.25">
      <c r="B22" s="4"/>
      <c r="C22" s="4"/>
      <c r="D22" s="4"/>
      <c r="E22" s="4"/>
      <c r="F22" s="6"/>
      <c r="G22" s="6"/>
      <c r="H22" s="6">
        <f t="shared" si="6"/>
        <v>0</v>
      </c>
      <c r="I22" s="6">
        <f t="shared" si="6"/>
        <v>0</v>
      </c>
      <c r="J22" s="6" t="e">
        <f t="shared" si="7"/>
        <v>#DIV/0!</v>
      </c>
      <c r="K22" s="6" t="e">
        <f t="shared" si="8"/>
        <v>#DIV/0!</v>
      </c>
      <c r="L22" s="6"/>
      <c r="M22" s="6"/>
      <c r="N22" s="2">
        <f t="shared" si="31"/>
        <v>-6</v>
      </c>
      <c r="O22" s="10">
        <f t="shared" si="32"/>
        <v>-6</v>
      </c>
      <c r="P22" s="10">
        <f t="shared" si="25"/>
        <v>9.6769999999999996</v>
      </c>
      <c r="Q22" s="10">
        <f t="shared" si="26"/>
        <v>9.4909999999999997</v>
      </c>
      <c r="R22" s="2">
        <f t="shared" si="27"/>
        <v>-0.62002686783093941</v>
      </c>
      <c r="S22" s="2">
        <f t="shared" si="28"/>
        <v>-0.63217785270256033</v>
      </c>
      <c r="T22" s="9" t="e">
        <f t="shared" si="29"/>
        <v>#DIV/0!</v>
      </c>
      <c r="U22" s="9" t="e">
        <f t="shared" si="30"/>
        <v>#DIV/0!</v>
      </c>
    </row>
    <row r="23" spans="2:21" x14ac:dyDescent="0.25">
      <c r="B23" s="4"/>
      <c r="C23" s="4"/>
      <c r="D23" s="4"/>
      <c r="E23" s="4"/>
      <c r="F23" s="6"/>
      <c r="G23" s="6"/>
      <c r="H23" s="6">
        <f t="shared" si="6"/>
        <v>0</v>
      </c>
      <c r="I23" s="6">
        <f t="shared" si="6"/>
        <v>0</v>
      </c>
      <c r="J23" s="6" t="e">
        <f t="shared" si="7"/>
        <v>#DIV/0!</v>
      </c>
      <c r="K23" s="6" t="e">
        <f t="shared" si="8"/>
        <v>#DIV/0!</v>
      </c>
      <c r="L23" s="6"/>
      <c r="M23" s="6"/>
      <c r="N23" s="2">
        <f t="shared" si="31"/>
        <v>-6</v>
      </c>
      <c r="O23" s="10">
        <f t="shared" si="32"/>
        <v>-6</v>
      </c>
      <c r="P23" s="10">
        <f t="shared" si="25"/>
        <v>9.6769999999999996</v>
      </c>
      <c r="Q23" s="10">
        <f t="shared" si="26"/>
        <v>9.4909999999999997</v>
      </c>
      <c r="R23" s="2">
        <f t="shared" si="27"/>
        <v>-0.62002686783093941</v>
      </c>
      <c r="S23" s="2">
        <f t="shared" si="28"/>
        <v>-0.63217785270256033</v>
      </c>
      <c r="T23" s="9" t="e">
        <f t="shared" si="29"/>
        <v>#DIV/0!</v>
      </c>
      <c r="U23" s="9" t="e">
        <f t="shared" si="30"/>
        <v>#DIV/0!</v>
      </c>
    </row>
    <row r="24" spans="2:21" x14ac:dyDescent="0.25">
      <c r="B24" s="4"/>
      <c r="C24" s="4"/>
      <c r="D24" s="4"/>
      <c r="E24" s="4"/>
      <c r="F24" s="6"/>
      <c r="G24" s="6"/>
      <c r="H24" s="6">
        <f t="shared" si="6"/>
        <v>0</v>
      </c>
      <c r="I24" s="6">
        <f t="shared" si="6"/>
        <v>0</v>
      </c>
      <c r="J24" s="6" t="e">
        <f t="shared" si="7"/>
        <v>#DIV/0!</v>
      </c>
      <c r="K24" s="6" t="e">
        <f t="shared" si="8"/>
        <v>#DIV/0!</v>
      </c>
      <c r="L24" s="6"/>
      <c r="M24" s="6"/>
      <c r="N24" s="2">
        <f t="shared" si="31"/>
        <v>-6</v>
      </c>
      <c r="O24" s="10">
        <f t="shared" si="32"/>
        <v>-6</v>
      </c>
      <c r="P24" s="10">
        <f t="shared" si="25"/>
        <v>9.6769999999999996</v>
      </c>
      <c r="Q24" s="10">
        <f t="shared" si="26"/>
        <v>9.4909999999999997</v>
      </c>
      <c r="R24" s="2">
        <f t="shared" si="27"/>
        <v>-0.62002686783093941</v>
      </c>
      <c r="S24" s="2">
        <f t="shared" si="28"/>
        <v>-0.63217785270256033</v>
      </c>
      <c r="T24" s="9" t="e">
        <f t="shared" si="29"/>
        <v>#DIV/0!</v>
      </c>
      <c r="U24" s="9" t="e">
        <f t="shared" si="30"/>
        <v>#DIV/0!</v>
      </c>
    </row>
    <row r="25" spans="2:21" x14ac:dyDescent="0.25">
      <c r="B25" s="4"/>
      <c r="C25" s="4"/>
      <c r="D25" s="4"/>
      <c r="E25" s="4"/>
      <c r="F25" s="6"/>
      <c r="G25" s="6"/>
      <c r="H25" s="6">
        <f t="shared" si="6"/>
        <v>0</v>
      </c>
      <c r="I25" s="6">
        <f t="shared" si="6"/>
        <v>0</v>
      </c>
      <c r="J25" s="6" t="e">
        <f t="shared" si="7"/>
        <v>#DIV/0!</v>
      </c>
      <c r="K25" s="6" t="e">
        <f t="shared" si="8"/>
        <v>#DIV/0!</v>
      </c>
      <c r="L25" s="6"/>
      <c r="M25" s="6"/>
      <c r="N25" s="2">
        <f t="shared" si="31"/>
        <v>-6</v>
      </c>
      <c r="O25" s="10">
        <f t="shared" si="32"/>
        <v>-6</v>
      </c>
      <c r="P25" s="10">
        <f t="shared" si="25"/>
        <v>9.6769999999999996</v>
      </c>
      <c r="Q25" s="10">
        <f t="shared" si="26"/>
        <v>9.4909999999999997</v>
      </c>
      <c r="R25" s="2">
        <f t="shared" si="27"/>
        <v>-0.62002686783093941</v>
      </c>
      <c r="S25" s="2">
        <f t="shared" si="28"/>
        <v>-0.63217785270256033</v>
      </c>
      <c r="T25" s="9" t="e">
        <f t="shared" si="29"/>
        <v>#DIV/0!</v>
      </c>
      <c r="U25" s="9" t="e">
        <f t="shared" si="30"/>
        <v>#DIV/0!</v>
      </c>
    </row>
    <row r="28" spans="2:21" x14ac:dyDescent="0.25">
      <c r="C28" s="6">
        <v>4.83</v>
      </c>
      <c r="D28" s="6">
        <v>5.39</v>
      </c>
      <c r="F28" s="10">
        <f>-F14+F11</f>
        <v>0.46999999999999975</v>
      </c>
      <c r="G28" s="10">
        <f>-G14+G11</f>
        <v>0.25999999999999979</v>
      </c>
      <c r="H28" s="10">
        <f>6-H15+H7</f>
        <v>6.5699999999999994</v>
      </c>
      <c r="I28" s="10">
        <f>6-I15+I7</f>
        <v>6.48</v>
      </c>
    </row>
    <row r="29" spans="2:21" x14ac:dyDescent="0.25">
      <c r="F29" s="2">
        <f>D14-D11</f>
        <v>39</v>
      </c>
      <c r="H29" s="9">
        <f>H28/(75-9)</f>
        <v>9.9545454545454534E-2</v>
      </c>
      <c r="I29" s="9">
        <f>I28/(75-9)</f>
        <v>9.818181818181819E-2</v>
      </c>
    </row>
    <row r="30" spans="2:21" x14ac:dyDescent="0.25">
      <c r="F30" s="9">
        <f>F28/F29</f>
        <v>1.2051282051282045E-2</v>
      </c>
      <c r="G30" s="9">
        <f>G28/F29</f>
        <v>6.666666666666661E-3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9175-9B56-4DF6-B66B-7CF52644753C}">
  <dimension ref="A2:U30"/>
  <sheetViews>
    <sheetView showGridLines="0" zoomScale="90" zoomScaleNormal="90" workbookViewId="0"/>
  </sheetViews>
  <sheetFormatPr defaultRowHeight="15" x14ac:dyDescent="0.25"/>
  <cols>
    <col min="1" max="1" width="10.85546875" style="2" customWidth="1"/>
    <col min="2" max="2" width="20.5703125" style="2" customWidth="1"/>
    <col min="3" max="4" width="18.28515625" style="2" customWidth="1"/>
    <col min="5" max="5" width="10.42578125" style="2" customWidth="1"/>
    <col min="6" max="13" width="9.140625" style="2"/>
    <col min="14" max="14" width="13.42578125" style="2" bestFit="1" customWidth="1"/>
    <col min="15" max="15" width="13.7109375" style="2" bestFit="1" customWidth="1"/>
    <col min="16" max="16" width="13.140625" style="2" bestFit="1" customWidth="1"/>
    <col min="17" max="17" width="13.5703125" style="2" bestFit="1" customWidth="1"/>
    <col min="18" max="19" width="13.85546875" style="2" bestFit="1" customWidth="1"/>
    <col min="20" max="21" width="12.7109375" style="2" bestFit="1" customWidth="1"/>
    <col min="22" max="16384" width="9.140625" style="2"/>
  </cols>
  <sheetData>
    <row r="2" spans="1:21" x14ac:dyDescent="0.25">
      <c r="B2" s="1" t="s">
        <v>7</v>
      </c>
    </row>
    <row r="3" spans="1:21" x14ac:dyDescent="0.25">
      <c r="B3" s="1" t="s">
        <v>13</v>
      </c>
      <c r="J3" s="9" t="e">
        <f>AVERAGE(J11:J14)</f>
        <v>#DIV/0!</v>
      </c>
      <c r="K3" s="9" t="e">
        <f>AVERAGE(K11:K14)</f>
        <v>#DIV/0!</v>
      </c>
    </row>
    <row r="5" spans="1:21" x14ac:dyDescent="0.25">
      <c r="B5" s="3" t="s">
        <v>3</v>
      </c>
      <c r="C5" s="3" t="s">
        <v>5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3" t="s">
        <v>100</v>
      </c>
      <c r="M5" s="3" t="s">
        <v>101</v>
      </c>
      <c r="N5" s="2" t="s">
        <v>102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</row>
    <row r="6" spans="1:21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24">
        <v>-9.6769999999999996</v>
      </c>
      <c r="M6" s="24">
        <v>-9.4909999999999997</v>
      </c>
      <c r="N6" s="10">
        <f>+F6-$F$6</f>
        <v>0</v>
      </c>
      <c r="O6" s="10">
        <f>G6-$G$6</f>
        <v>0</v>
      </c>
      <c r="P6" s="10">
        <f t="shared" ref="P6:P25" si="0">L6-$L$6</f>
        <v>0</v>
      </c>
      <c r="Q6" s="10">
        <f t="shared" ref="Q6:Q25" si="1">M6-$M$6</f>
        <v>0</v>
      </c>
    </row>
    <row r="7" spans="1:21" x14ac:dyDescent="0.25">
      <c r="A7" s="1" t="s">
        <v>153</v>
      </c>
      <c r="B7" s="5">
        <v>0.91666666666666663</v>
      </c>
      <c r="C7" s="4">
        <v>1</v>
      </c>
      <c r="D7" s="4">
        <f>D6+E7</f>
        <v>11</v>
      </c>
      <c r="E7" s="4">
        <v>11</v>
      </c>
      <c r="F7" s="6">
        <v>5.79</v>
      </c>
      <c r="G7" s="6">
        <v>5.8</v>
      </c>
      <c r="H7" s="6">
        <f>F6-F7</f>
        <v>0.20999999999999996</v>
      </c>
      <c r="I7" s="6">
        <f>G6-G7</f>
        <v>0.20000000000000018</v>
      </c>
      <c r="J7" s="8">
        <f>H7/E7</f>
        <v>1.9090909090909089E-2</v>
      </c>
      <c r="K7" s="8">
        <f>I7/E7</f>
        <v>1.8181818181818198E-2</v>
      </c>
      <c r="L7" s="25">
        <v>-8.1110000000000007</v>
      </c>
      <c r="M7" s="25">
        <v>-8.7889999999999997</v>
      </c>
      <c r="N7" s="10">
        <f t="shared" ref="N7:N25" si="2">+F7-$F$6</f>
        <v>-0.20999999999999996</v>
      </c>
      <c r="O7" s="10">
        <f t="shared" ref="O7:O25" si="3">G7-$G$6</f>
        <v>-0.20000000000000018</v>
      </c>
      <c r="P7" s="10">
        <f t="shared" si="0"/>
        <v>1.5659999999999989</v>
      </c>
      <c r="Q7" s="10">
        <f t="shared" si="1"/>
        <v>0.70199999999999996</v>
      </c>
      <c r="R7" s="30">
        <f t="shared" ref="R7:S22" si="4">N7/P7</f>
        <v>-0.13409961685823762</v>
      </c>
      <c r="S7" s="30">
        <f t="shared" si="4"/>
        <v>-0.28490028490028518</v>
      </c>
      <c r="T7" s="30">
        <f>-N7/D7</f>
        <v>1.9090909090909089E-2</v>
      </c>
      <c r="U7" s="30">
        <f>-O7/D7</f>
        <v>1.8181818181818198E-2</v>
      </c>
    </row>
    <row r="8" spans="1:21" x14ac:dyDescent="0.25">
      <c r="B8" s="5"/>
      <c r="C8" s="4"/>
      <c r="D8" s="4"/>
      <c r="E8" s="4"/>
      <c r="F8" s="6"/>
      <c r="G8" s="6"/>
      <c r="H8" s="6">
        <f t="shared" ref="H8:I25" si="5">F7-F8</f>
        <v>5.79</v>
      </c>
      <c r="I8" s="6">
        <f t="shared" si="5"/>
        <v>5.8</v>
      </c>
      <c r="J8" s="8" t="e">
        <f t="shared" ref="J8:J25" si="6">H8/E8</f>
        <v>#DIV/0!</v>
      </c>
      <c r="K8" s="8" t="e">
        <f t="shared" ref="K8:K25" si="7">I8/E8</f>
        <v>#DIV/0!</v>
      </c>
      <c r="L8" s="6">
        <v>-7.8259999999999996</v>
      </c>
      <c r="M8" s="6">
        <v>-8.5519999999999996</v>
      </c>
      <c r="N8" s="10">
        <f t="shared" si="2"/>
        <v>-6</v>
      </c>
      <c r="O8" s="10">
        <f t="shared" si="3"/>
        <v>-6</v>
      </c>
      <c r="P8" s="10">
        <f t="shared" si="0"/>
        <v>1.851</v>
      </c>
      <c r="Q8" s="10">
        <f t="shared" si="1"/>
        <v>0.93900000000000006</v>
      </c>
      <c r="R8" s="30">
        <f t="shared" si="4"/>
        <v>-3.2414910858995136</v>
      </c>
      <c r="S8" s="30">
        <f t="shared" si="4"/>
        <v>-6.3897763578274756</v>
      </c>
      <c r="T8" s="30" t="e">
        <f t="shared" ref="T8:T25" si="8">-N8/D8</f>
        <v>#DIV/0!</v>
      </c>
      <c r="U8" s="30" t="e">
        <f t="shared" ref="U8:U25" si="9">-O8/D8</f>
        <v>#DIV/0!</v>
      </c>
    </row>
    <row r="9" spans="1:21" x14ac:dyDescent="0.25">
      <c r="B9" s="5"/>
      <c r="C9" s="4"/>
      <c r="D9" s="4"/>
      <c r="E9" s="4"/>
      <c r="F9" s="6"/>
      <c r="G9" s="6"/>
      <c r="H9" s="6">
        <f t="shared" si="5"/>
        <v>0</v>
      </c>
      <c r="I9" s="6">
        <f t="shared" si="5"/>
        <v>0</v>
      </c>
      <c r="J9" s="8" t="e">
        <f t="shared" si="6"/>
        <v>#DIV/0!</v>
      </c>
      <c r="K9" s="8" t="e">
        <f t="shared" si="7"/>
        <v>#DIV/0!</v>
      </c>
      <c r="L9" s="6">
        <v>-7.5570000000000004</v>
      </c>
      <c r="M9" s="6">
        <v>-8.34</v>
      </c>
      <c r="N9" s="10">
        <f t="shared" si="2"/>
        <v>-6</v>
      </c>
      <c r="O9" s="10">
        <f t="shared" si="3"/>
        <v>-6</v>
      </c>
      <c r="P9" s="10">
        <f t="shared" si="0"/>
        <v>2.1199999999999992</v>
      </c>
      <c r="Q9" s="10">
        <f t="shared" si="1"/>
        <v>1.1509999999999998</v>
      </c>
      <c r="R9" s="30">
        <f t="shared" si="4"/>
        <v>-2.8301886792452842</v>
      </c>
      <c r="S9" s="30">
        <f t="shared" si="4"/>
        <v>-5.2128583840139022</v>
      </c>
      <c r="T9" s="30" t="e">
        <f t="shared" si="8"/>
        <v>#DIV/0!</v>
      </c>
      <c r="U9" s="30" t="e">
        <f t="shared" si="9"/>
        <v>#DIV/0!</v>
      </c>
    </row>
    <row r="10" spans="1:21" x14ac:dyDescent="0.25">
      <c r="B10" s="5"/>
      <c r="C10" s="4"/>
      <c r="D10" s="4"/>
      <c r="E10" s="4"/>
      <c r="F10" s="6"/>
      <c r="G10" s="6"/>
      <c r="H10" s="6">
        <f t="shared" si="5"/>
        <v>0</v>
      </c>
      <c r="I10" s="6">
        <f t="shared" si="5"/>
        <v>0</v>
      </c>
      <c r="J10" s="8" t="e">
        <f t="shared" si="6"/>
        <v>#DIV/0!</v>
      </c>
      <c r="K10" s="8" t="e">
        <f t="shared" si="7"/>
        <v>#DIV/0!</v>
      </c>
      <c r="L10" s="6">
        <v>-7.2140000000000004</v>
      </c>
      <c r="M10" s="6">
        <v>-8.1880000000000006</v>
      </c>
      <c r="N10" s="10">
        <f t="shared" si="2"/>
        <v>-6</v>
      </c>
      <c r="O10" s="10">
        <f t="shared" si="3"/>
        <v>-6</v>
      </c>
      <c r="P10" s="10">
        <f t="shared" si="0"/>
        <v>2.4629999999999992</v>
      </c>
      <c r="Q10" s="10">
        <f t="shared" si="1"/>
        <v>1.302999999999999</v>
      </c>
      <c r="R10" s="30">
        <f t="shared" si="4"/>
        <v>-2.4360535931790506</v>
      </c>
      <c r="S10" s="30">
        <f t="shared" si="4"/>
        <v>-4.6047582501918685</v>
      </c>
      <c r="T10" s="30" t="e">
        <f t="shared" si="8"/>
        <v>#DIV/0!</v>
      </c>
      <c r="U10" s="30" t="e">
        <f t="shared" si="9"/>
        <v>#DIV/0!</v>
      </c>
    </row>
    <row r="11" spans="1:21" x14ac:dyDescent="0.25">
      <c r="B11" s="5"/>
      <c r="C11" s="4"/>
      <c r="D11" s="4"/>
      <c r="E11" s="4"/>
      <c r="F11" s="6"/>
      <c r="G11" s="6"/>
      <c r="H11" s="6">
        <f t="shared" si="5"/>
        <v>0</v>
      </c>
      <c r="I11" s="6">
        <f t="shared" si="5"/>
        <v>0</v>
      </c>
      <c r="J11" s="8" t="e">
        <f t="shared" si="6"/>
        <v>#DIV/0!</v>
      </c>
      <c r="K11" s="8" t="e">
        <f t="shared" si="7"/>
        <v>#DIV/0!</v>
      </c>
      <c r="L11" s="6">
        <v>-6.9930000000000003</v>
      </c>
      <c r="M11" s="6">
        <v>-7.95</v>
      </c>
      <c r="N11" s="10">
        <f t="shared" si="2"/>
        <v>-6</v>
      </c>
      <c r="O11" s="10">
        <f t="shared" si="3"/>
        <v>-6</v>
      </c>
      <c r="P11" s="10">
        <f t="shared" si="0"/>
        <v>2.6839999999999993</v>
      </c>
      <c r="Q11" s="10">
        <f t="shared" si="1"/>
        <v>1.5409999999999995</v>
      </c>
      <c r="R11" s="30">
        <f t="shared" si="4"/>
        <v>-2.2354694485842033</v>
      </c>
      <c r="S11" s="30">
        <f t="shared" si="4"/>
        <v>-3.8935756002595729</v>
      </c>
      <c r="T11" s="30" t="e">
        <f t="shared" si="8"/>
        <v>#DIV/0!</v>
      </c>
      <c r="U11" s="30" t="e">
        <f t="shared" si="9"/>
        <v>#DIV/0!</v>
      </c>
    </row>
    <row r="12" spans="1:21" x14ac:dyDescent="0.25">
      <c r="B12" s="5"/>
      <c r="C12" s="4"/>
      <c r="D12" s="4"/>
      <c r="E12" s="4"/>
      <c r="F12" s="6"/>
      <c r="G12" s="6"/>
      <c r="H12" s="6">
        <f t="shared" si="5"/>
        <v>0</v>
      </c>
      <c r="I12" s="6">
        <f t="shared" si="5"/>
        <v>0</v>
      </c>
      <c r="J12" s="8" t="e">
        <f t="shared" si="6"/>
        <v>#DIV/0!</v>
      </c>
      <c r="K12" s="8" t="e">
        <f t="shared" si="7"/>
        <v>#DIV/0!</v>
      </c>
      <c r="L12" s="6">
        <v>-6.74</v>
      </c>
      <c r="M12" s="6">
        <v>-7.84</v>
      </c>
      <c r="N12" s="10">
        <f t="shared" si="2"/>
        <v>-6</v>
      </c>
      <c r="O12" s="10">
        <f t="shared" si="3"/>
        <v>-6</v>
      </c>
      <c r="P12" s="10">
        <f t="shared" si="0"/>
        <v>2.9369999999999994</v>
      </c>
      <c r="Q12" s="10">
        <f t="shared" si="1"/>
        <v>1.6509999999999998</v>
      </c>
      <c r="R12" s="30">
        <f t="shared" si="4"/>
        <v>-2.042900919305414</v>
      </c>
      <c r="S12" s="30">
        <f t="shared" si="4"/>
        <v>-3.6341611144760755</v>
      </c>
      <c r="T12" s="30" t="e">
        <f t="shared" si="8"/>
        <v>#DIV/0!</v>
      </c>
      <c r="U12" s="30" t="e">
        <f t="shared" si="9"/>
        <v>#DIV/0!</v>
      </c>
    </row>
    <row r="13" spans="1:21" x14ac:dyDescent="0.25">
      <c r="B13" s="5"/>
      <c r="C13" s="4"/>
      <c r="D13" s="4"/>
      <c r="E13" s="4"/>
      <c r="F13" s="6"/>
      <c r="G13" s="6"/>
      <c r="H13" s="6">
        <f t="shared" si="5"/>
        <v>0</v>
      </c>
      <c r="I13" s="6">
        <f t="shared" si="5"/>
        <v>0</v>
      </c>
      <c r="J13" s="8" t="e">
        <f t="shared" si="6"/>
        <v>#DIV/0!</v>
      </c>
      <c r="K13" s="8" t="e">
        <f t="shared" si="7"/>
        <v>#DIV/0!</v>
      </c>
      <c r="L13" s="6">
        <v>-6.1440000000000001</v>
      </c>
      <c r="M13" s="6">
        <v>-7.3639999999999999</v>
      </c>
      <c r="N13" s="10">
        <f t="shared" si="2"/>
        <v>-6</v>
      </c>
      <c r="O13" s="10">
        <f t="shared" si="3"/>
        <v>-6</v>
      </c>
      <c r="P13" s="10">
        <f t="shared" si="0"/>
        <v>3.5329999999999995</v>
      </c>
      <c r="Q13" s="10">
        <f t="shared" si="1"/>
        <v>2.1269999999999998</v>
      </c>
      <c r="R13" s="30">
        <f t="shared" si="4"/>
        <v>-1.6982734220209457</v>
      </c>
      <c r="S13" s="30">
        <f t="shared" si="4"/>
        <v>-2.8208744710860372</v>
      </c>
      <c r="T13" s="30" t="e">
        <f t="shared" si="8"/>
        <v>#DIV/0!</v>
      </c>
      <c r="U13" s="30" t="e">
        <f t="shared" si="9"/>
        <v>#DIV/0!</v>
      </c>
    </row>
    <row r="14" spans="1:21" x14ac:dyDescent="0.25">
      <c r="B14" s="5"/>
      <c r="C14" s="4"/>
      <c r="D14" s="4"/>
      <c r="E14" s="4"/>
      <c r="F14" s="6"/>
      <c r="G14" s="6"/>
      <c r="H14" s="6">
        <f t="shared" si="5"/>
        <v>0</v>
      </c>
      <c r="I14" s="6">
        <f t="shared" si="5"/>
        <v>0</v>
      </c>
      <c r="J14" s="8" t="e">
        <f t="shared" si="6"/>
        <v>#DIV/0!</v>
      </c>
      <c r="K14" s="8" t="e">
        <f t="shared" si="7"/>
        <v>#DIV/0!</v>
      </c>
      <c r="L14" s="6">
        <v>-5.7960000000000003</v>
      </c>
      <c r="M14" s="6">
        <v>-7.1529999999999996</v>
      </c>
      <c r="N14" s="10">
        <f t="shared" si="2"/>
        <v>-6</v>
      </c>
      <c r="O14" s="10">
        <f t="shared" si="3"/>
        <v>-6</v>
      </c>
      <c r="P14" s="10">
        <f t="shared" si="0"/>
        <v>3.8809999999999993</v>
      </c>
      <c r="Q14" s="10">
        <f t="shared" si="1"/>
        <v>2.3380000000000001</v>
      </c>
      <c r="R14" s="30">
        <f t="shared" si="4"/>
        <v>-1.5459933006956972</v>
      </c>
      <c r="S14" s="30">
        <f t="shared" si="4"/>
        <v>-2.5662959794696323</v>
      </c>
      <c r="T14" s="30" t="e">
        <f t="shared" si="8"/>
        <v>#DIV/0!</v>
      </c>
      <c r="U14" s="30" t="e">
        <f t="shared" si="9"/>
        <v>#DIV/0!</v>
      </c>
    </row>
    <row r="15" spans="1:21" x14ac:dyDescent="0.25">
      <c r="A15" s="1"/>
      <c r="B15" s="5"/>
      <c r="C15" s="4"/>
      <c r="D15" s="4"/>
      <c r="E15" s="4"/>
      <c r="F15" s="6"/>
      <c r="G15" s="6"/>
      <c r="H15" s="6">
        <f t="shared" si="5"/>
        <v>0</v>
      </c>
      <c r="I15" s="6">
        <f t="shared" si="5"/>
        <v>0</v>
      </c>
      <c r="J15" s="8" t="e">
        <f t="shared" si="6"/>
        <v>#DIV/0!</v>
      </c>
      <c r="K15" s="8" t="e">
        <f t="shared" si="7"/>
        <v>#DIV/0!</v>
      </c>
      <c r="L15" s="6">
        <v>-5.3789999999999996</v>
      </c>
      <c r="M15" s="6">
        <v>-6.4610000000000003</v>
      </c>
      <c r="N15" s="2">
        <f t="shared" si="2"/>
        <v>-6</v>
      </c>
      <c r="O15" s="10">
        <f t="shared" si="3"/>
        <v>-6</v>
      </c>
      <c r="P15" s="10">
        <f t="shared" si="0"/>
        <v>4.298</v>
      </c>
      <c r="Q15" s="10">
        <f t="shared" si="1"/>
        <v>3.0299999999999994</v>
      </c>
      <c r="R15" s="30">
        <f t="shared" si="4"/>
        <v>-1.3959981386691485</v>
      </c>
      <c r="S15" s="30">
        <f t="shared" si="4"/>
        <v>-1.9801980198019806</v>
      </c>
      <c r="T15" s="30" t="e">
        <f t="shared" si="8"/>
        <v>#DIV/0!</v>
      </c>
      <c r="U15" s="30" t="e">
        <f t="shared" si="9"/>
        <v>#DIV/0!</v>
      </c>
    </row>
    <row r="16" spans="1:21" x14ac:dyDescent="0.25">
      <c r="B16" s="5"/>
      <c r="C16" s="4"/>
      <c r="D16" s="4"/>
      <c r="E16" s="4"/>
      <c r="F16" s="6"/>
      <c r="G16" s="6"/>
      <c r="H16" s="6">
        <f t="shared" si="5"/>
        <v>0</v>
      </c>
      <c r="I16" s="6">
        <f t="shared" si="5"/>
        <v>0</v>
      </c>
      <c r="J16" s="8" t="e">
        <f t="shared" si="6"/>
        <v>#DIV/0!</v>
      </c>
      <c r="K16" s="8" t="e">
        <f t="shared" si="7"/>
        <v>#DIV/0!</v>
      </c>
      <c r="L16" s="6">
        <v>-5.1739999999999995</v>
      </c>
      <c r="M16" s="6">
        <v>-6.3340000000000005</v>
      </c>
      <c r="N16" s="2">
        <f t="shared" si="2"/>
        <v>-6</v>
      </c>
      <c r="O16" s="10">
        <f t="shared" si="3"/>
        <v>-6</v>
      </c>
      <c r="P16" s="10">
        <f t="shared" si="0"/>
        <v>4.5030000000000001</v>
      </c>
      <c r="Q16" s="10">
        <f t="shared" si="1"/>
        <v>3.1569999999999991</v>
      </c>
      <c r="R16" s="30">
        <f t="shared" si="4"/>
        <v>-1.3324450366422385</v>
      </c>
      <c r="S16" s="30">
        <f t="shared" si="4"/>
        <v>-1.9005384859043402</v>
      </c>
      <c r="T16" s="30" t="e">
        <f t="shared" si="8"/>
        <v>#DIV/0!</v>
      </c>
      <c r="U16" s="30" t="e">
        <f t="shared" si="9"/>
        <v>#DIV/0!</v>
      </c>
    </row>
    <row r="17" spans="2:21" x14ac:dyDescent="0.25">
      <c r="B17" s="5"/>
      <c r="C17" s="4"/>
      <c r="D17" s="4"/>
      <c r="E17" s="4"/>
      <c r="F17" s="6"/>
      <c r="G17" s="6"/>
      <c r="H17" s="6">
        <f t="shared" si="5"/>
        <v>0</v>
      </c>
      <c r="I17" s="6">
        <f t="shared" si="5"/>
        <v>0</v>
      </c>
      <c r="J17" s="8" t="e">
        <f t="shared" si="6"/>
        <v>#DIV/0!</v>
      </c>
      <c r="K17" s="8" t="e">
        <f t="shared" si="7"/>
        <v>#DIV/0!</v>
      </c>
      <c r="L17" s="6">
        <v>-4.8789999999999996</v>
      </c>
      <c r="M17" s="6">
        <v>-6.165</v>
      </c>
      <c r="N17" s="2">
        <f t="shared" si="2"/>
        <v>-6</v>
      </c>
      <c r="O17" s="10">
        <f t="shared" si="3"/>
        <v>-6</v>
      </c>
      <c r="P17" s="10">
        <f t="shared" si="0"/>
        <v>4.798</v>
      </c>
      <c r="Q17" s="10">
        <f t="shared" si="1"/>
        <v>3.3259999999999996</v>
      </c>
      <c r="R17" s="30">
        <f t="shared" si="4"/>
        <v>-1.2505210504376822</v>
      </c>
      <c r="S17" s="30">
        <f t="shared" si="4"/>
        <v>-1.8039687312086592</v>
      </c>
      <c r="T17" s="30" t="e">
        <f t="shared" si="8"/>
        <v>#DIV/0!</v>
      </c>
      <c r="U17" s="30" t="e">
        <f t="shared" si="9"/>
        <v>#DIV/0!</v>
      </c>
    </row>
    <row r="18" spans="2:21" x14ac:dyDescent="0.25">
      <c r="B18" s="5"/>
      <c r="C18" s="4"/>
      <c r="D18" s="4"/>
      <c r="E18" s="4"/>
      <c r="F18" s="6"/>
      <c r="G18" s="6"/>
      <c r="H18" s="6">
        <f t="shared" si="5"/>
        <v>0</v>
      </c>
      <c r="I18" s="6">
        <f t="shared" si="5"/>
        <v>0</v>
      </c>
      <c r="J18" s="8" t="e">
        <f t="shared" si="6"/>
        <v>#DIV/0!</v>
      </c>
      <c r="K18" s="8" t="e">
        <f t="shared" si="7"/>
        <v>#DIV/0!</v>
      </c>
      <c r="L18" s="6">
        <v>-4.62</v>
      </c>
      <c r="M18" s="6">
        <v>-5.907</v>
      </c>
      <c r="N18" s="2">
        <f t="shared" si="2"/>
        <v>-6</v>
      </c>
      <c r="O18" s="10">
        <f t="shared" si="3"/>
        <v>-6</v>
      </c>
      <c r="P18" s="10">
        <f t="shared" si="0"/>
        <v>5.0569999999999995</v>
      </c>
      <c r="Q18" s="10">
        <f t="shared" si="1"/>
        <v>3.5839999999999996</v>
      </c>
      <c r="R18" s="30">
        <f t="shared" si="4"/>
        <v>-1.1864741941862766</v>
      </c>
      <c r="S18" s="30">
        <f t="shared" si="4"/>
        <v>-1.674107142857143</v>
      </c>
      <c r="T18" s="30" t="e">
        <f t="shared" si="8"/>
        <v>#DIV/0!</v>
      </c>
      <c r="U18" s="30" t="e">
        <f t="shared" si="9"/>
        <v>#DIV/0!</v>
      </c>
    </row>
    <row r="19" spans="2:21" x14ac:dyDescent="0.25">
      <c r="B19" s="5"/>
      <c r="C19" s="4"/>
      <c r="D19" s="4"/>
      <c r="E19" s="4"/>
      <c r="F19" s="6"/>
      <c r="G19" s="6"/>
      <c r="H19" s="6">
        <f t="shared" si="5"/>
        <v>0</v>
      </c>
      <c r="I19" s="6">
        <f t="shared" si="5"/>
        <v>0</v>
      </c>
      <c r="J19" s="8" t="e">
        <f t="shared" si="6"/>
        <v>#DIV/0!</v>
      </c>
      <c r="K19" s="8" t="e">
        <f t="shared" si="7"/>
        <v>#DIV/0!</v>
      </c>
      <c r="L19" s="6">
        <v>-4.34</v>
      </c>
      <c r="M19" s="6">
        <v>-5.7229999999999999</v>
      </c>
      <c r="N19" s="2">
        <f t="shared" si="2"/>
        <v>-6</v>
      </c>
      <c r="O19" s="10">
        <f t="shared" si="3"/>
        <v>-6</v>
      </c>
      <c r="P19" s="10">
        <f t="shared" si="0"/>
        <v>5.3369999999999997</v>
      </c>
      <c r="Q19" s="10">
        <f t="shared" si="1"/>
        <v>3.7679999999999998</v>
      </c>
      <c r="R19" s="30">
        <f t="shared" si="4"/>
        <v>-1.1242270938729624</v>
      </c>
      <c r="S19" s="30">
        <f t="shared" si="4"/>
        <v>-1.5923566878980893</v>
      </c>
      <c r="T19" s="30" t="e">
        <f t="shared" si="8"/>
        <v>#DIV/0!</v>
      </c>
      <c r="U19" s="30" t="e">
        <f t="shared" si="9"/>
        <v>#DIV/0!</v>
      </c>
    </row>
    <row r="20" spans="2:21" x14ac:dyDescent="0.25">
      <c r="B20" s="4"/>
      <c r="C20" s="4"/>
      <c r="D20" s="4"/>
      <c r="E20" s="4"/>
      <c r="F20" s="6"/>
      <c r="G20" s="6"/>
      <c r="H20" s="6">
        <f t="shared" si="5"/>
        <v>0</v>
      </c>
      <c r="I20" s="6">
        <f t="shared" si="5"/>
        <v>0</v>
      </c>
      <c r="J20" s="6" t="e">
        <f t="shared" si="6"/>
        <v>#DIV/0!</v>
      </c>
      <c r="K20" s="6" t="e">
        <f t="shared" si="7"/>
        <v>#DIV/0!</v>
      </c>
      <c r="L20" s="6"/>
      <c r="M20" s="6"/>
      <c r="N20" s="2">
        <f t="shared" si="2"/>
        <v>-6</v>
      </c>
      <c r="O20" s="10">
        <f t="shared" si="3"/>
        <v>-6</v>
      </c>
      <c r="P20" s="10">
        <f t="shared" si="0"/>
        <v>9.6769999999999996</v>
      </c>
      <c r="Q20" s="10">
        <f t="shared" si="1"/>
        <v>9.4909999999999997</v>
      </c>
      <c r="R20" s="2">
        <f t="shared" si="4"/>
        <v>-0.62002686783093941</v>
      </c>
      <c r="S20" s="2">
        <f t="shared" si="4"/>
        <v>-0.63217785270256033</v>
      </c>
      <c r="T20" s="9" t="e">
        <f t="shared" si="8"/>
        <v>#DIV/0!</v>
      </c>
      <c r="U20" s="9" t="e">
        <f t="shared" si="9"/>
        <v>#DIV/0!</v>
      </c>
    </row>
    <row r="21" spans="2:21" x14ac:dyDescent="0.25">
      <c r="B21" s="4"/>
      <c r="C21" s="4"/>
      <c r="D21" s="4"/>
      <c r="E21" s="4"/>
      <c r="F21" s="6"/>
      <c r="G21" s="6"/>
      <c r="H21" s="6">
        <f t="shared" si="5"/>
        <v>0</v>
      </c>
      <c r="I21" s="6">
        <f t="shared" si="5"/>
        <v>0</v>
      </c>
      <c r="J21" s="6" t="e">
        <f t="shared" si="6"/>
        <v>#DIV/0!</v>
      </c>
      <c r="K21" s="6" t="e">
        <f t="shared" si="7"/>
        <v>#DIV/0!</v>
      </c>
      <c r="L21" s="6"/>
      <c r="M21" s="6"/>
      <c r="N21" s="2">
        <f t="shared" si="2"/>
        <v>-6</v>
      </c>
      <c r="O21" s="10">
        <f t="shared" si="3"/>
        <v>-6</v>
      </c>
      <c r="P21" s="10">
        <f t="shared" si="0"/>
        <v>9.6769999999999996</v>
      </c>
      <c r="Q21" s="10">
        <f t="shared" si="1"/>
        <v>9.4909999999999997</v>
      </c>
      <c r="R21" s="2">
        <f t="shared" si="4"/>
        <v>-0.62002686783093941</v>
      </c>
      <c r="S21" s="2">
        <f t="shared" si="4"/>
        <v>-0.63217785270256033</v>
      </c>
      <c r="T21" s="9" t="e">
        <f t="shared" si="8"/>
        <v>#DIV/0!</v>
      </c>
      <c r="U21" s="9" t="e">
        <f t="shared" si="9"/>
        <v>#DIV/0!</v>
      </c>
    </row>
    <row r="22" spans="2:21" x14ac:dyDescent="0.25">
      <c r="B22" s="4"/>
      <c r="C22" s="4"/>
      <c r="D22" s="4"/>
      <c r="E22" s="4"/>
      <c r="F22" s="6"/>
      <c r="G22" s="6"/>
      <c r="H22" s="6">
        <f t="shared" si="5"/>
        <v>0</v>
      </c>
      <c r="I22" s="6">
        <f t="shared" si="5"/>
        <v>0</v>
      </c>
      <c r="J22" s="6" t="e">
        <f t="shared" si="6"/>
        <v>#DIV/0!</v>
      </c>
      <c r="K22" s="6" t="e">
        <f t="shared" si="7"/>
        <v>#DIV/0!</v>
      </c>
      <c r="L22" s="6"/>
      <c r="M22" s="6"/>
      <c r="N22" s="2">
        <f t="shared" si="2"/>
        <v>-6</v>
      </c>
      <c r="O22" s="10">
        <f t="shared" si="3"/>
        <v>-6</v>
      </c>
      <c r="P22" s="10">
        <f t="shared" si="0"/>
        <v>9.6769999999999996</v>
      </c>
      <c r="Q22" s="10">
        <f t="shared" si="1"/>
        <v>9.4909999999999997</v>
      </c>
      <c r="R22" s="2">
        <f t="shared" si="4"/>
        <v>-0.62002686783093941</v>
      </c>
      <c r="S22" s="2">
        <f t="shared" si="4"/>
        <v>-0.63217785270256033</v>
      </c>
      <c r="T22" s="9" t="e">
        <f t="shared" si="8"/>
        <v>#DIV/0!</v>
      </c>
      <c r="U22" s="9" t="e">
        <f t="shared" si="9"/>
        <v>#DIV/0!</v>
      </c>
    </row>
    <row r="23" spans="2:21" x14ac:dyDescent="0.25">
      <c r="B23" s="4"/>
      <c r="C23" s="4"/>
      <c r="D23" s="4"/>
      <c r="E23" s="4"/>
      <c r="F23" s="6"/>
      <c r="G23" s="6"/>
      <c r="H23" s="6">
        <f t="shared" si="5"/>
        <v>0</v>
      </c>
      <c r="I23" s="6">
        <f t="shared" si="5"/>
        <v>0</v>
      </c>
      <c r="J23" s="6" t="e">
        <f t="shared" si="6"/>
        <v>#DIV/0!</v>
      </c>
      <c r="K23" s="6" t="e">
        <f t="shared" si="7"/>
        <v>#DIV/0!</v>
      </c>
      <c r="L23" s="6"/>
      <c r="M23" s="6"/>
      <c r="N23" s="2">
        <f t="shared" si="2"/>
        <v>-6</v>
      </c>
      <c r="O23" s="10">
        <f t="shared" si="3"/>
        <v>-6</v>
      </c>
      <c r="P23" s="10">
        <f t="shared" si="0"/>
        <v>9.6769999999999996</v>
      </c>
      <c r="Q23" s="10">
        <f t="shared" si="1"/>
        <v>9.4909999999999997</v>
      </c>
      <c r="R23" s="2">
        <f t="shared" ref="R23:S25" si="10">N23/P23</f>
        <v>-0.62002686783093941</v>
      </c>
      <c r="S23" s="2">
        <f t="shared" si="10"/>
        <v>-0.63217785270256033</v>
      </c>
      <c r="T23" s="9" t="e">
        <f t="shared" si="8"/>
        <v>#DIV/0!</v>
      </c>
      <c r="U23" s="9" t="e">
        <f t="shared" si="9"/>
        <v>#DIV/0!</v>
      </c>
    </row>
    <row r="24" spans="2:21" x14ac:dyDescent="0.25">
      <c r="B24" s="4"/>
      <c r="C24" s="4"/>
      <c r="D24" s="4"/>
      <c r="E24" s="4"/>
      <c r="F24" s="6"/>
      <c r="G24" s="6"/>
      <c r="H24" s="6">
        <f t="shared" si="5"/>
        <v>0</v>
      </c>
      <c r="I24" s="6">
        <f t="shared" si="5"/>
        <v>0</v>
      </c>
      <c r="J24" s="6" t="e">
        <f t="shared" si="6"/>
        <v>#DIV/0!</v>
      </c>
      <c r="K24" s="6" t="e">
        <f t="shared" si="7"/>
        <v>#DIV/0!</v>
      </c>
      <c r="L24" s="6"/>
      <c r="M24" s="6"/>
      <c r="N24" s="2">
        <f t="shared" si="2"/>
        <v>-6</v>
      </c>
      <c r="O24" s="10">
        <f t="shared" si="3"/>
        <v>-6</v>
      </c>
      <c r="P24" s="10">
        <f t="shared" si="0"/>
        <v>9.6769999999999996</v>
      </c>
      <c r="Q24" s="10">
        <f t="shared" si="1"/>
        <v>9.4909999999999997</v>
      </c>
      <c r="R24" s="2">
        <f t="shared" si="10"/>
        <v>-0.62002686783093941</v>
      </c>
      <c r="S24" s="2">
        <f t="shared" si="10"/>
        <v>-0.63217785270256033</v>
      </c>
      <c r="T24" s="9" t="e">
        <f t="shared" si="8"/>
        <v>#DIV/0!</v>
      </c>
      <c r="U24" s="9" t="e">
        <f t="shared" si="9"/>
        <v>#DIV/0!</v>
      </c>
    </row>
    <row r="25" spans="2:21" x14ac:dyDescent="0.25">
      <c r="B25" s="4"/>
      <c r="C25" s="4"/>
      <c r="D25" s="4"/>
      <c r="E25" s="4"/>
      <c r="F25" s="6"/>
      <c r="G25" s="6"/>
      <c r="H25" s="6">
        <f t="shared" si="5"/>
        <v>0</v>
      </c>
      <c r="I25" s="6">
        <f t="shared" si="5"/>
        <v>0</v>
      </c>
      <c r="J25" s="6" t="e">
        <f t="shared" si="6"/>
        <v>#DIV/0!</v>
      </c>
      <c r="K25" s="6" t="e">
        <f t="shared" si="7"/>
        <v>#DIV/0!</v>
      </c>
      <c r="L25" s="6"/>
      <c r="M25" s="6"/>
      <c r="N25" s="2">
        <f t="shared" si="2"/>
        <v>-6</v>
      </c>
      <c r="O25" s="10">
        <f t="shared" si="3"/>
        <v>-6</v>
      </c>
      <c r="P25" s="10">
        <f t="shared" si="0"/>
        <v>9.6769999999999996</v>
      </c>
      <c r="Q25" s="10">
        <f t="shared" si="1"/>
        <v>9.4909999999999997</v>
      </c>
      <c r="R25" s="2">
        <f t="shared" si="10"/>
        <v>-0.62002686783093941</v>
      </c>
      <c r="S25" s="2">
        <f t="shared" si="10"/>
        <v>-0.63217785270256033</v>
      </c>
      <c r="T25" s="9" t="e">
        <f t="shared" si="8"/>
        <v>#DIV/0!</v>
      </c>
      <c r="U25" s="9" t="e">
        <f t="shared" si="9"/>
        <v>#DIV/0!</v>
      </c>
    </row>
    <row r="28" spans="2:21" x14ac:dyDescent="0.25">
      <c r="C28" s="6">
        <v>4.83</v>
      </c>
      <c r="D28" s="6">
        <v>5.39</v>
      </c>
      <c r="F28" s="10">
        <f>-F14+F11</f>
        <v>0</v>
      </c>
      <c r="G28" s="10">
        <f>-G14+G11</f>
        <v>0</v>
      </c>
      <c r="H28" s="10">
        <f>6-H15+H7</f>
        <v>6.21</v>
      </c>
      <c r="I28" s="10">
        <f>6-I15+I7</f>
        <v>6.2</v>
      </c>
    </row>
    <row r="29" spans="2:21" x14ac:dyDescent="0.25">
      <c r="F29" s="2">
        <f>D14-D11</f>
        <v>0</v>
      </c>
      <c r="H29" s="9">
        <f>H28/(75-9)</f>
        <v>9.4090909090909086E-2</v>
      </c>
      <c r="I29" s="9">
        <f>I28/(75-9)</f>
        <v>9.3939393939393948E-2</v>
      </c>
    </row>
    <row r="30" spans="2:21" x14ac:dyDescent="0.25">
      <c r="F30" s="9" t="e">
        <f>F28/F29</f>
        <v>#DIV/0!</v>
      </c>
      <c r="G30" s="9" t="e">
        <f>G28/F29</f>
        <v>#DIV/0!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5EA4-C6C7-4A3E-8882-1ADAA6C7EA92}">
  <dimension ref="A1:G69"/>
  <sheetViews>
    <sheetView topLeftCell="A25" workbookViewId="0">
      <selection activeCell="G4" sqref="G4"/>
    </sheetView>
  </sheetViews>
  <sheetFormatPr defaultRowHeight="15" x14ac:dyDescent="0.25"/>
  <cols>
    <col min="4" max="4" width="21.5703125" customWidth="1"/>
    <col min="5" max="5" width="23.7109375" customWidth="1"/>
  </cols>
  <sheetData>
    <row r="1" spans="1:7" ht="45" x14ac:dyDescent="0.25">
      <c r="A1" s="11" t="s">
        <v>14</v>
      </c>
      <c r="B1" s="11" t="s">
        <v>15</v>
      </c>
      <c r="C1" s="11" t="s">
        <v>16</v>
      </c>
      <c r="D1" s="11" t="s">
        <v>110</v>
      </c>
      <c r="E1" s="11" t="s">
        <v>111</v>
      </c>
    </row>
    <row r="2" spans="1:7" ht="15" customHeight="1" x14ac:dyDescent="0.25">
      <c r="A2" s="34" t="s">
        <v>69</v>
      </c>
      <c r="B2" s="35"/>
      <c r="C2" s="35"/>
      <c r="D2" s="35"/>
      <c r="E2" s="36"/>
    </row>
    <row r="3" spans="1:7" x14ac:dyDescent="0.25">
      <c r="A3" s="15" t="s">
        <v>27</v>
      </c>
      <c r="B3" s="15" t="s">
        <v>28</v>
      </c>
      <c r="C3" s="17">
        <v>6.4978009259259268E-3</v>
      </c>
      <c r="D3" s="27">
        <v>-5.3999999999999999E-2</v>
      </c>
      <c r="E3" s="16">
        <v>-5.8000000000000003E-2</v>
      </c>
      <c r="F3">
        <f>D3</f>
        <v>-5.3999999999999999E-2</v>
      </c>
      <c r="G3">
        <f>E3</f>
        <v>-5.8000000000000003E-2</v>
      </c>
    </row>
    <row r="4" spans="1:7" x14ac:dyDescent="0.25">
      <c r="A4" s="15" t="s">
        <v>27</v>
      </c>
      <c r="B4" s="13" t="s">
        <v>28</v>
      </c>
      <c r="C4" s="26">
        <v>6.671296296296296E-4</v>
      </c>
      <c r="D4" s="16">
        <v>4.4999999999999998E-2</v>
      </c>
      <c r="E4" s="16">
        <v>6.0000000000000001E-3</v>
      </c>
      <c r="F4">
        <f>F3+D4</f>
        <v>-9.0000000000000011E-3</v>
      </c>
      <c r="G4">
        <f>G3+E4</f>
        <v>-5.2000000000000005E-2</v>
      </c>
    </row>
    <row r="5" spans="1:7" ht="30" x14ac:dyDescent="0.25">
      <c r="A5" s="15" t="s">
        <v>27</v>
      </c>
      <c r="B5" s="15" t="s">
        <v>28</v>
      </c>
      <c r="C5" s="15" t="s">
        <v>71</v>
      </c>
      <c r="D5" s="16">
        <v>5.6000000000000001E-2</v>
      </c>
      <c r="E5" s="16">
        <v>7.0000000000000001E-3</v>
      </c>
      <c r="F5">
        <f t="shared" ref="F5:F68" si="0">F4+D5</f>
        <v>4.7E-2</v>
      </c>
      <c r="G5">
        <f t="shared" ref="G5:G68" si="1">G4+E5</f>
        <v>-4.5000000000000005E-2</v>
      </c>
    </row>
    <row r="6" spans="1:7" ht="30" x14ac:dyDescent="0.25">
      <c r="A6" s="15" t="s">
        <v>27</v>
      </c>
      <c r="B6" s="15" t="s">
        <v>28</v>
      </c>
      <c r="C6" s="15" t="s">
        <v>72</v>
      </c>
      <c r="D6" s="16">
        <v>8.7999999999999995E-2</v>
      </c>
      <c r="E6" s="16">
        <v>3.2000000000000001E-2</v>
      </c>
      <c r="F6">
        <f t="shared" si="0"/>
        <v>0.13500000000000001</v>
      </c>
      <c r="G6">
        <f t="shared" si="1"/>
        <v>-1.3000000000000005E-2</v>
      </c>
    </row>
    <row r="7" spans="1:7" x14ac:dyDescent="0.25">
      <c r="A7" s="15" t="s">
        <v>27</v>
      </c>
      <c r="B7" s="15" t="s">
        <v>31</v>
      </c>
      <c r="C7" s="17">
        <v>2.5804398148148149E-3</v>
      </c>
      <c r="D7" s="14">
        <v>0.13700000000000001</v>
      </c>
      <c r="E7" s="16">
        <v>6.7000000000000004E-2</v>
      </c>
      <c r="F7">
        <f t="shared" si="0"/>
        <v>0.27200000000000002</v>
      </c>
      <c r="G7">
        <f t="shared" si="1"/>
        <v>5.3999999999999999E-2</v>
      </c>
    </row>
    <row r="8" spans="1:7" x14ac:dyDescent="0.25">
      <c r="A8" s="15" t="s">
        <v>27</v>
      </c>
      <c r="B8" s="15" t="s">
        <v>32</v>
      </c>
      <c r="C8" s="17">
        <v>2.515046296296296E-3</v>
      </c>
      <c r="D8" s="16">
        <v>0.112</v>
      </c>
      <c r="E8" s="14">
        <v>7.2999999999999995E-2</v>
      </c>
      <c r="F8">
        <f t="shared" si="0"/>
        <v>0.38400000000000001</v>
      </c>
      <c r="G8">
        <f t="shared" si="1"/>
        <v>0.127</v>
      </c>
    </row>
    <row r="9" spans="1:7" x14ac:dyDescent="0.25">
      <c r="A9" s="15" t="s">
        <v>27</v>
      </c>
      <c r="B9" s="15" t="s">
        <v>33</v>
      </c>
      <c r="C9" s="17">
        <v>2.5226851851851851E-3</v>
      </c>
      <c r="D9" s="16">
        <v>8.1000000000000003E-2</v>
      </c>
      <c r="E9" s="16">
        <v>3.5999999999999997E-2</v>
      </c>
      <c r="F9">
        <f t="shared" si="0"/>
        <v>0.46500000000000002</v>
      </c>
      <c r="G9">
        <f t="shared" si="1"/>
        <v>0.16300000000000001</v>
      </c>
    </row>
    <row r="10" spans="1:7" ht="30" x14ac:dyDescent="0.25">
      <c r="A10" s="15" t="s">
        <v>27</v>
      </c>
      <c r="B10" s="15" t="s">
        <v>34</v>
      </c>
      <c r="C10" s="15" t="s">
        <v>73</v>
      </c>
      <c r="D10" s="16">
        <v>5.8000000000000003E-2</v>
      </c>
      <c r="E10" s="16">
        <v>7.0000000000000001E-3</v>
      </c>
      <c r="F10">
        <f t="shared" si="0"/>
        <v>0.52300000000000002</v>
      </c>
      <c r="G10">
        <f t="shared" si="1"/>
        <v>0.17</v>
      </c>
    </row>
    <row r="11" spans="1:7" ht="30" x14ac:dyDescent="0.25">
      <c r="A11" s="15" t="s">
        <v>27</v>
      </c>
      <c r="B11" s="15" t="s">
        <v>28</v>
      </c>
      <c r="C11" s="15" t="s">
        <v>74</v>
      </c>
      <c r="D11" s="16">
        <v>2.5999999999999999E-2</v>
      </c>
      <c r="E11" s="16">
        <v>2.3E-2</v>
      </c>
      <c r="F11">
        <f t="shared" si="0"/>
        <v>0.54900000000000004</v>
      </c>
      <c r="G11">
        <f t="shared" si="1"/>
        <v>0.193</v>
      </c>
    </row>
    <row r="12" spans="1:7" x14ac:dyDescent="0.25">
      <c r="A12" s="15" t="s">
        <v>27</v>
      </c>
      <c r="B12" s="15" t="s">
        <v>31</v>
      </c>
      <c r="C12" s="17">
        <v>2.5125E-3</v>
      </c>
      <c r="D12" s="16">
        <v>4.8000000000000001E-2</v>
      </c>
      <c r="E12" s="16">
        <v>1.9E-2</v>
      </c>
      <c r="F12">
        <f t="shared" si="0"/>
        <v>0.59700000000000009</v>
      </c>
      <c r="G12">
        <f t="shared" si="1"/>
        <v>0.21199999999999999</v>
      </c>
    </row>
    <row r="13" spans="1:7" ht="30" x14ac:dyDescent="0.25">
      <c r="A13" s="15" t="s">
        <v>27</v>
      </c>
      <c r="B13" s="15" t="s">
        <v>32</v>
      </c>
      <c r="C13" s="15" t="s">
        <v>75</v>
      </c>
      <c r="D13" s="16">
        <v>2.9000000000000001E-2</v>
      </c>
      <c r="E13" s="16">
        <v>8.0000000000000002E-3</v>
      </c>
      <c r="F13">
        <f t="shared" si="0"/>
        <v>0.62600000000000011</v>
      </c>
      <c r="G13">
        <f t="shared" si="1"/>
        <v>0.22</v>
      </c>
    </row>
    <row r="14" spans="1:7" ht="30" x14ac:dyDescent="0.25">
      <c r="A14" s="15" t="s">
        <v>27</v>
      </c>
      <c r="B14" s="15" t="s">
        <v>28</v>
      </c>
      <c r="C14" s="15" t="s">
        <v>76</v>
      </c>
      <c r="D14" s="16">
        <v>8.0000000000000002E-3</v>
      </c>
      <c r="E14" s="16">
        <v>1.7999999999999999E-2</v>
      </c>
      <c r="F14">
        <f t="shared" si="0"/>
        <v>0.63400000000000012</v>
      </c>
      <c r="G14">
        <f t="shared" si="1"/>
        <v>0.23799999999999999</v>
      </c>
    </row>
    <row r="15" spans="1:7" ht="30" x14ac:dyDescent="0.25">
      <c r="A15" s="15" t="s">
        <v>27</v>
      </c>
      <c r="B15" s="15" t="s">
        <v>28</v>
      </c>
      <c r="C15" s="15" t="s">
        <v>77</v>
      </c>
      <c r="D15" s="16">
        <v>-1E-3</v>
      </c>
      <c r="E15" s="16">
        <v>2.3E-2</v>
      </c>
      <c r="F15">
        <f t="shared" si="0"/>
        <v>0.63300000000000012</v>
      </c>
      <c r="G15">
        <f t="shared" si="1"/>
        <v>0.26100000000000001</v>
      </c>
    </row>
    <row r="16" spans="1:7" x14ac:dyDescent="0.25">
      <c r="A16" s="15" t="s">
        <v>27</v>
      </c>
      <c r="B16" s="15" t="s">
        <v>31</v>
      </c>
      <c r="C16" s="17">
        <v>2.5858796296296294E-3</v>
      </c>
      <c r="D16" s="16">
        <v>2.4E-2</v>
      </c>
      <c r="E16" s="16">
        <v>2.1999999999999999E-2</v>
      </c>
      <c r="F16">
        <f t="shared" si="0"/>
        <v>0.65700000000000014</v>
      </c>
      <c r="G16">
        <f t="shared" si="1"/>
        <v>0.28300000000000003</v>
      </c>
    </row>
    <row r="17" spans="1:7" x14ac:dyDescent="0.25">
      <c r="A17" s="15" t="s">
        <v>27</v>
      </c>
      <c r="B17" s="15" t="s">
        <v>32</v>
      </c>
      <c r="C17" s="17">
        <v>2.5594907407407406E-3</v>
      </c>
      <c r="D17" s="16">
        <v>3.2000000000000001E-2</v>
      </c>
      <c r="E17" s="16">
        <v>1.0999999999999999E-2</v>
      </c>
      <c r="F17">
        <f t="shared" si="0"/>
        <v>0.68900000000000017</v>
      </c>
      <c r="G17">
        <f t="shared" si="1"/>
        <v>0.29400000000000004</v>
      </c>
    </row>
    <row r="18" spans="1:7" x14ac:dyDescent="0.25">
      <c r="A18" s="15" t="s">
        <v>27</v>
      </c>
      <c r="B18" s="15" t="s">
        <v>33</v>
      </c>
      <c r="C18" s="17">
        <v>2.5008101851851853E-3</v>
      </c>
      <c r="D18" s="16">
        <v>4.5999999999999999E-2</v>
      </c>
      <c r="E18" s="16">
        <v>1.2999999999999999E-2</v>
      </c>
      <c r="F18">
        <f t="shared" si="0"/>
        <v>0.73500000000000021</v>
      </c>
      <c r="G18">
        <f t="shared" si="1"/>
        <v>0.30700000000000005</v>
      </c>
    </row>
    <row r="19" spans="1:7" ht="30" x14ac:dyDescent="0.25">
      <c r="A19" s="15" t="s">
        <v>27</v>
      </c>
      <c r="B19" s="15" t="s">
        <v>34</v>
      </c>
      <c r="C19" s="15" t="s">
        <v>78</v>
      </c>
      <c r="D19" s="16">
        <v>8.0000000000000002E-3</v>
      </c>
      <c r="E19" s="16">
        <v>2.9000000000000001E-2</v>
      </c>
      <c r="F19">
        <f t="shared" si="0"/>
        <v>0.74300000000000022</v>
      </c>
      <c r="G19">
        <f t="shared" si="1"/>
        <v>0.33600000000000008</v>
      </c>
    </row>
    <row r="20" spans="1:7" ht="30" x14ac:dyDescent="0.25">
      <c r="A20" s="15" t="s">
        <v>27</v>
      </c>
      <c r="B20" s="15" t="s">
        <v>28</v>
      </c>
      <c r="C20" s="15" t="s">
        <v>79</v>
      </c>
      <c r="D20" s="16">
        <v>4.2000000000000003E-2</v>
      </c>
      <c r="E20" s="16">
        <v>0.02</v>
      </c>
      <c r="F20">
        <f t="shared" si="0"/>
        <v>0.78500000000000025</v>
      </c>
      <c r="G20">
        <f t="shared" si="1"/>
        <v>0.35600000000000009</v>
      </c>
    </row>
    <row r="21" spans="1:7" x14ac:dyDescent="0.25">
      <c r="A21" s="15" t="s">
        <v>27</v>
      </c>
      <c r="B21" s="15" t="s">
        <v>31</v>
      </c>
      <c r="C21" s="17">
        <v>2.6614583333333334E-3</v>
      </c>
      <c r="D21" s="16">
        <v>1.9E-2</v>
      </c>
      <c r="E21" s="16">
        <v>8.0000000000000002E-3</v>
      </c>
      <c r="F21">
        <f t="shared" si="0"/>
        <v>0.80400000000000027</v>
      </c>
      <c r="G21">
        <f t="shared" si="1"/>
        <v>0.3640000000000001</v>
      </c>
    </row>
    <row r="22" spans="1:7" x14ac:dyDescent="0.25">
      <c r="A22" s="15" t="s">
        <v>27</v>
      </c>
      <c r="B22" s="15" t="s">
        <v>32</v>
      </c>
      <c r="C22" s="17">
        <v>2.633333333333333E-3</v>
      </c>
      <c r="D22" s="16">
        <v>1.6E-2</v>
      </c>
      <c r="E22" s="16">
        <v>8.0000000000000002E-3</v>
      </c>
      <c r="F22">
        <f t="shared" si="0"/>
        <v>0.82000000000000028</v>
      </c>
      <c r="G22">
        <f t="shared" si="1"/>
        <v>0.37200000000000011</v>
      </c>
    </row>
    <row r="23" spans="1:7" x14ac:dyDescent="0.25">
      <c r="A23" s="15" t="s">
        <v>27</v>
      </c>
      <c r="B23" s="15" t="s">
        <v>33</v>
      </c>
      <c r="C23" s="17">
        <v>2.8973379629629627E-3</v>
      </c>
      <c r="D23" s="16">
        <v>1.4999999999999999E-2</v>
      </c>
      <c r="E23" s="16">
        <v>1.4E-2</v>
      </c>
      <c r="F23">
        <f t="shared" si="0"/>
        <v>0.8350000000000003</v>
      </c>
      <c r="G23">
        <f t="shared" si="1"/>
        <v>0.38600000000000012</v>
      </c>
    </row>
    <row r="24" spans="1:7" x14ac:dyDescent="0.25">
      <c r="A24" s="15" t="s">
        <v>27</v>
      </c>
      <c r="B24" s="15" t="s">
        <v>34</v>
      </c>
      <c r="C24" s="17">
        <v>3.2273148148148148E-3</v>
      </c>
      <c r="D24" s="16">
        <v>2.5999999999999999E-2</v>
      </c>
      <c r="E24" s="16">
        <v>4.0000000000000001E-3</v>
      </c>
      <c r="F24">
        <f t="shared" si="0"/>
        <v>0.86100000000000032</v>
      </c>
      <c r="G24">
        <f t="shared" si="1"/>
        <v>0.39000000000000012</v>
      </c>
    </row>
    <row r="25" spans="1:7" ht="30" x14ac:dyDescent="0.25">
      <c r="A25" s="15" t="s">
        <v>27</v>
      </c>
      <c r="B25" s="15" t="s">
        <v>44</v>
      </c>
      <c r="C25" s="15" t="s">
        <v>80</v>
      </c>
      <c r="D25" s="16">
        <v>8.9999999999999993E-3</v>
      </c>
      <c r="E25" s="16">
        <v>-3.0000000000000001E-3</v>
      </c>
      <c r="F25">
        <f t="shared" si="0"/>
        <v>0.87000000000000033</v>
      </c>
      <c r="G25">
        <f t="shared" si="1"/>
        <v>0.38700000000000012</v>
      </c>
    </row>
    <row r="26" spans="1:7" ht="30" x14ac:dyDescent="0.25">
      <c r="A26" s="15" t="s">
        <v>27</v>
      </c>
      <c r="B26" s="15" t="s">
        <v>28</v>
      </c>
      <c r="C26" s="15" t="s">
        <v>81</v>
      </c>
      <c r="D26" s="16">
        <v>1.7000000000000001E-2</v>
      </c>
      <c r="E26" s="16">
        <v>8.0000000000000002E-3</v>
      </c>
      <c r="F26">
        <f t="shared" si="0"/>
        <v>0.88700000000000034</v>
      </c>
      <c r="G26">
        <f t="shared" si="1"/>
        <v>0.39500000000000013</v>
      </c>
    </row>
    <row r="27" spans="1:7" x14ac:dyDescent="0.25">
      <c r="A27" s="15" t="s">
        <v>27</v>
      </c>
      <c r="B27" s="15" t="s">
        <v>31</v>
      </c>
      <c r="C27" s="17">
        <v>2.5423611111111111E-3</v>
      </c>
      <c r="D27" s="16">
        <v>1.2999999999999999E-2</v>
      </c>
      <c r="E27" s="16">
        <v>1.2E-2</v>
      </c>
      <c r="F27">
        <f t="shared" si="0"/>
        <v>0.90000000000000036</v>
      </c>
      <c r="G27">
        <f t="shared" si="1"/>
        <v>0.40700000000000014</v>
      </c>
    </row>
    <row r="28" spans="1:7" x14ac:dyDescent="0.25">
      <c r="A28" s="15" t="s">
        <v>27</v>
      </c>
      <c r="B28" s="15" t="s">
        <v>32</v>
      </c>
      <c r="C28" s="17">
        <v>2.5189814814814819E-3</v>
      </c>
      <c r="D28" s="16">
        <v>2.1000000000000001E-2</v>
      </c>
      <c r="E28" s="16">
        <v>1.9E-2</v>
      </c>
      <c r="F28">
        <f t="shared" si="0"/>
        <v>0.92100000000000037</v>
      </c>
      <c r="G28">
        <f t="shared" si="1"/>
        <v>0.42600000000000016</v>
      </c>
    </row>
    <row r="29" spans="1:7" x14ac:dyDescent="0.25">
      <c r="A29" s="15" t="s">
        <v>27</v>
      </c>
      <c r="B29" s="15" t="s">
        <v>33</v>
      </c>
      <c r="C29" s="17">
        <v>4.3160879629629634E-3</v>
      </c>
      <c r="D29" s="16">
        <v>1.7999999999999999E-2</v>
      </c>
      <c r="E29" s="16">
        <v>6.0000000000000001E-3</v>
      </c>
      <c r="F29">
        <f t="shared" si="0"/>
        <v>0.93900000000000039</v>
      </c>
      <c r="G29">
        <f t="shared" si="1"/>
        <v>0.43200000000000016</v>
      </c>
    </row>
    <row r="30" spans="1:7" x14ac:dyDescent="0.25">
      <c r="A30" s="15" t="s">
        <v>27</v>
      </c>
      <c r="B30" s="15" t="s">
        <v>34</v>
      </c>
      <c r="C30" s="17">
        <v>2.5858796296296294E-3</v>
      </c>
      <c r="D30" s="16">
        <v>1.6E-2</v>
      </c>
      <c r="E30" s="16">
        <v>7.0000000000000001E-3</v>
      </c>
      <c r="F30">
        <f t="shared" si="0"/>
        <v>0.9550000000000004</v>
      </c>
      <c r="G30">
        <f t="shared" si="1"/>
        <v>0.43900000000000017</v>
      </c>
    </row>
    <row r="31" spans="1:7" ht="30" x14ac:dyDescent="0.25">
      <c r="A31" s="15" t="s">
        <v>27</v>
      </c>
      <c r="B31" s="15" t="s">
        <v>44</v>
      </c>
      <c r="C31" s="15" t="s">
        <v>82</v>
      </c>
      <c r="D31" s="16">
        <v>1.0999999999999999E-2</v>
      </c>
      <c r="E31" s="16">
        <v>1.2999999999999999E-2</v>
      </c>
      <c r="F31">
        <f t="shared" si="0"/>
        <v>0.96600000000000041</v>
      </c>
      <c r="G31">
        <f t="shared" si="1"/>
        <v>0.45200000000000018</v>
      </c>
    </row>
    <row r="32" spans="1:7" ht="30" x14ac:dyDescent="0.25">
      <c r="A32" s="15" t="s">
        <v>27</v>
      </c>
      <c r="B32" s="15" t="s">
        <v>28</v>
      </c>
      <c r="C32" s="15" t="s">
        <v>83</v>
      </c>
      <c r="D32" s="16">
        <v>2.1000000000000001E-2</v>
      </c>
      <c r="E32" s="16">
        <v>2.1000000000000001E-2</v>
      </c>
      <c r="F32">
        <f t="shared" si="0"/>
        <v>0.98700000000000043</v>
      </c>
      <c r="G32">
        <f t="shared" si="1"/>
        <v>0.4730000000000002</v>
      </c>
    </row>
    <row r="33" spans="1:7" x14ac:dyDescent="0.25">
      <c r="A33" s="15" t="s">
        <v>27</v>
      </c>
      <c r="B33" s="15" t="s">
        <v>31</v>
      </c>
      <c r="C33" s="17">
        <v>2.5356481481481484E-3</v>
      </c>
      <c r="D33" s="16">
        <v>1.2E-2</v>
      </c>
      <c r="E33" s="16">
        <v>8.0000000000000002E-3</v>
      </c>
      <c r="F33">
        <f t="shared" si="0"/>
        <v>0.99900000000000044</v>
      </c>
      <c r="G33">
        <f t="shared" si="1"/>
        <v>0.48100000000000021</v>
      </c>
    </row>
    <row r="34" spans="1:7" x14ac:dyDescent="0.25">
      <c r="A34" s="15" t="s">
        <v>27</v>
      </c>
      <c r="B34" s="15" t="s">
        <v>32</v>
      </c>
      <c r="C34" s="17">
        <v>2.5067129629629628E-3</v>
      </c>
      <c r="D34" s="16">
        <v>1.2E-2</v>
      </c>
      <c r="E34" s="16">
        <v>7.0000000000000001E-3</v>
      </c>
      <c r="F34">
        <f t="shared" si="0"/>
        <v>1.0110000000000003</v>
      </c>
      <c r="G34">
        <f t="shared" si="1"/>
        <v>0.48800000000000021</v>
      </c>
    </row>
    <row r="35" spans="1:7" x14ac:dyDescent="0.25">
      <c r="A35" s="15" t="s">
        <v>27</v>
      </c>
      <c r="B35" s="15" t="s">
        <v>33</v>
      </c>
      <c r="C35" s="17">
        <v>2.4940972222222222E-3</v>
      </c>
      <c r="D35" s="16">
        <v>1.6E-2</v>
      </c>
      <c r="E35" s="16">
        <v>1.7999999999999999E-2</v>
      </c>
      <c r="F35">
        <f t="shared" si="0"/>
        <v>1.0270000000000004</v>
      </c>
      <c r="G35">
        <f t="shared" si="1"/>
        <v>0.50600000000000023</v>
      </c>
    </row>
    <row r="36" spans="1:7" ht="30" x14ac:dyDescent="0.25">
      <c r="A36" s="15" t="s">
        <v>27</v>
      </c>
      <c r="B36" s="15" t="s">
        <v>34</v>
      </c>
      <c r="C36" s="15" t="s">
        <v>84</v>
      </c>
      <c r="D36" s="16">
        <v>6.0000000000000001E-3</v>
      </c>
      <c r="E36" s="16">
        <v>4.0000000000000001E-3</v>
      </c>
      <c r="F36">
        <f t="shared" si="0"/>
        <v>1.0330000000000004</v>
      </c>
      <c r="G36">
        <f t="shared" si="1"/>
        <v>0.51000000000000023</v>
      </c>
    </row>
    <row r="37" spans="1:7" ht="30" x14ac:dyDescent="0.25">
      <c r="A37" s="15" t="s">
        <v>27</v>
      </c>
      <c r="B37" s="15" t="s">
        <v>28</v>
      </c>
      <c r="C37" s="15" t="s">
        <v>85</v>
      </c>
      <c r="D37" s="16">
        <v>8.0000000000000002E-3</v>
      </c>
      <c r="E37" s="16">
        <v>2E-3</v>
      </c>
      <c r="F37">
        <f t="shared" si="0"/>
        <v>1.0410000000000004</v>
      </c>
      <c r="G37">
        <f t="shared" si="1"/>
        <v>0.51200000000000023</v>
      </c>
    </row>
    <row r="38" spans="1:7" ht="30" x14ac:dyDescent="0.25">
      <c r="A38" s="15" t="s">
        <v>27</v>
      </c>
      <c r="B38" s="15" t="s">
        <v>31</v>
      </c>
      <c r="C38" s="15" t="s">
        <v>86</v>
      </c>
      <c r="D38" s="16">
        <v>6.0000000000000001E-3</v>
      </c>
      <c r="E38" s="16">
        <v>1E-3</v>
      </c>
      <c r="F38">
        <f t="shared" si="0"/>
        <v>1.0470000000000004</v>
      </c>
      <c r="G38">
        <f t="shared" si="1"/>
        <v>0.51300000000000023</v>
      </c>
    </row>
    <row r="39" spans="1:7" ht="30" x14ac:dyDescent="0.25">
      <c r="A39" s="15" t="s">
        <v>27</v>
      </c>
      <c r="B39" s="15" t="s">
        <v>28</v>
      </c>
      <c r="C39" s="15" t="s">
        <v>87</v>
      </c>
      <c r="D39" s="16">
        <v>1.6E-2</v>
      </c>
      <c r="E39" s="16">
        <v>2.8000000000000001E-2</v>
      </c>
      <c r="F39">
        <f t="shared" si="0"/>
        <v>1.0630000000000004</v>
      </c>
      <c r="G39">
        <f t="shared" si="1"/>
        <v>0.54100000000000026</v>
      </c>
    </row>
    <row r="40" spans="1:7" ht="30" x14ac:dyDescent="0.25">
      <c r="A40" s="15" t="s">
        <v>27</v>
      </c>
      <c r="B40" s="15" t="s">
        <v>31</v>
      </c>
      <c r="C40" s="15" t="s">
        <v>88</v>
      </c>
      <c r="D40" s="16">
        <v>1.4999999999999999E-2</v>
      </c>
      <c r="E40" s="16">
        <v>8.9999999999999993E-3</v>
      </c>
      <c r="F40">
        <f t="shared" si="0"/>
        <v>1.0780000000000003</v>
      </c>
      <c r="G40">
        <f t="shared" si="1"/>
        <v>0.55000000000000027</v>
      </c>
    </row>
    <row r="41" spans="1:7" x14ac:dyDescent="0.25">
      <c r="A41" s="15" t="s">
        <v>27</v>
      </c>
      <c r="B41" s="15" t="s">
        <v>31</v>
      </c>
      <c r="C41" s="17">
        <v>3.4984953703703706E-3</v>
      </c>
      <c r="D41" s="16">
        <v>1.2999999999999999E-2</v>
      </c>
      <c r="E41" s="16">
        <v>0</v>
      </c>
      <c r="F41">
        <f t="shared" si="0"/>
        <v>1.0910000000000002</v>
      </c>
      <c r="G41">
        <f t="shared" si="1"/>
        <v>0.55000000000000027</v>
      </c>
    </row>
    <row r="42" spans="1:7" x14ac:dyDescent="0.25">
      <c r="A42" s="15" t="s">
        <v>27</v>
      </c>
      <c r="B42" s="15" t="s">
        <v>32</v>
      </c>
      <c r="C42" s="17">
        <v>2.5254629629629629E-3</v>
      </c>
      <c r="D42" s="16">
        <v>1.9E-2</v>
      </c>
      <c r="E42" s="16">
        <v>7.0000000000000001E-3</v>
      </c>
      <c r="F42">
        <f t="shared" si="0"/>
        <v>1.1100000000000001</v>
      </c>
      <c r="G42">
        <f t="shared" si="1"/>
        <v>0.55700000000000027</v>
      </c>
    </row>
    <row r="43" spans="1:7" ht="30" x14ac:dyDescent="0.25">
      <c r="A43" s="15" t="s">
        <v>27</v>
      </c>
      <c r="B43" s="15" t="s">
        <v>33</v>
      </c>
      <c r="C43" s="15" t="s">
        <v>89</v>
      </c>
      <c r="D43" s="16">
        <v>-8.0000000000000002E-3</v>
      </c>
      <c r="E43" s="16">
        <v>3.0000000000000001E-3</v>
      </c>
      <c r="F43">
        <f t="shared" si="0"/>
        <v>1.1020000000000001</v>
      </c>
      <c r="G43">
        <f t="shared" si="1"/>
        <v>0.56000000000000028</v>
      </c>
    </row>
    <row r="44" spans="1:7" x14ac:dyDescent="0.25">
      <c r="A44" s="15" t="s">
        <v>27</v>
      </c>
      <c r="B44" s="15" t="s">
        <v>33</v>
      </c>
      <c r="C44" s="17">
        <v>5.7736111111111113E-3</v>
      </c>
      <c r="D44" s="16">
        <v>1.7999999999999999E-2</v>
      </c>
      <c r="E44" s="16">
        <v>-6.0000000000000001E-3</v>
      </c>
      <c r="F44">
        <f t="shared" si="0"/>
        <v>1.1200000000000001</v>
      </c>
      <c r="G44">
        <f t="shared" si="1"/>
        <v>0.55400000000000027</v>
      </c>
    </row>
    <row r="45" spans="1:7" x14ac:dyDescent="0.25">
      <c r="A45" s="15" t="s">
        <v>27</v>
      </c>
      <c r="B45" s="15" t="s">
        <v>34</v>
      </c>
      <c r="C45" s="17">
        <v>2.4644675925925928E-3</v>
      </c>
      <c r="D45" s="16">
        <v>1.2999999999999999E-2</v>
      </c>
      <c r="E45" s="16">
        <v>0.01</v>
      </c>
      <c r="F45">
        <f t="shared" si="0"/>
        <v>1.133</v>
      </c>
      <c r="G45">
        <f t="shared" si="1"/>
        <v>0.56400000000000028</v>
      </c>
    </row>
    <row r="46" spans="1:7" x14ac:dyDescent="0.25">
      <c r="A46" s="15" t="s">
        <v>27</v>
      </c>
      <c r="B46" s="15" t="s">
        <v>44</v>
      </c>
      <c r="C46" s="17">
        <v>2.4539351851851853E-3</v>
      </c>
      <c r="D46" s="16">
        <v>1.9E-2</v>
      </c>
      <c r="E46" s="16">
        <v>7.0000000000000001E-3</v>
      </c>
      <c r="F46">
        <f t="shared" si="0"/>
        <v>1.1519999999999999</v>
      </c>
      <c r="G46">
        <f t="shared" si="1"/>
        <v>0.57100000000000029</v>
      </c>
    </row>
    <row r="47" spans="1:7" ht="30" x14ac:dyDescent="0.25">
      <c r="A47" s="15" t="s">
        <v>27</v>
      </c>
      <c r="B47" s="15" t="s">
        <v>55</v>
      </c>
      <c r="C47" s="15" t="s">
        <v>90</v>
      </c>
      <c r="D47" s="16">
        <v>3.7999999999999999E-2</v>
      </c>
      <c r="E47" s="16">
        <v>3.0000000000000001E-3</v>
      </c>
      <c r="F47">
        <f t="shared" si="0"/>
        <v>1.19</v>
      </c>
      <c r="G47">
        <f t="shared" si="1"/>
        <v>0.57400000000000029</v>
      </c>
    </row>
    <row r="48" spans="1:7" ht="30" x14ac:dyDescent="0.25">
      <c r="A48" s="15" t="s">
        <v>27</v>
      </c>
      <c r="B48" s="15" t="s">
        <v>28</v>
      </c>
      <c r="C48" s="15" t="s">
        <v>91</v>
      </c>
      <c r="D48" s="16">
        <v>5.0999999999999997E-2</v>
      </c>
      <c r="E48" s="16">
        <v>3.7999999999999999E-2</v>
      </c>
      <c r="F48">
        <f t="shared" si="0"/>
        <v>1.2409999999999999</v>
      </c>
      <c r="G48">
        <f t="shared" si="1"/>
        <v>0.61200000000000032</v>
      </c>
    </row>
    <row r="49" spans="1:7" x14ac:dyDescent="0.25">
      <c r="A49" s="15" t="s">
        <v>27</v>
      </c>
      <c r="B49" s="15" t="s">
        <v>31</v>
      </c>
      <c r="C49" s="17">
        <v>2.4942129629629633E-3</v>
      </c>
      <c r="D49" s="16">
        <v>0.02</v>
      </c>
      <c r="E49" s="16">
        <v>1.0999999999999999E-2</v>
      </c>
      <c r="F49">
        <f t="shared" si="0"/>
        <v>1.2609999999999999</v>
      </c>
      <c r="G49">
        <f t="shared" si="1"/>
        <v>0.62300000000000033</v>
      </c>
    </row>
    <row r="50" spans="1:7" x14ac:dyDescent="0.25">
      <c r="A50" s="15" t="s">
        <v>27</v>
      </c>
      <c r="B50" s="15" t="s">
        <v>32</v>
      </c>
      <c r="C50" s="17">
        <v>2.4635416666666664E-3</v>
      </c>
      <c r="D50" s="16">
        <v>1.4E-2</v>
      </c>
      <c r="E50" s="16">
        <v>1.0999999999999999E-2</v>
      </c>
      <c r="F50">
        <f t="shared" si="0"/>
        <v>1.2749999999999999</v>
      </c>
      <c r="G50">
        <f t="shared" si="1"/>
        <v>0.63400000000000034</v>
      </c>
    </row>
    <row r="51" spans="1:7" x14ac:dyDescent="0.25">
      <c r="A51" s="15" t="s">
        <v>27</v>
      </c>
      <c r="B51" s="15" t="s">
        <v>33</v>
      </c>
      <c r="C51" s="17">
        <v>2.4407407407407407E-3</v>
      </c>
      <c r="D51" s="16">
        <v>1.4999999999999999E-2</v>
      </c>
      <c r="E51" s="16">
        <v>0.01</v>
      </c>
      <c r="F51">
        <f t="shared" si="0"/>
        <v>1.2899999999999998</v>
      </c>
      <c r="G51">
        <f t="shared" si="1"/>
        <v>0.64400000000000035</v>
      </c>
    </row>
    <row r="52" spans="1:7" x14ac:dyDescent="0.25">
      <c r="A52" s="15" t="s">
        <v>27</v>
      </c>
      <c r="B52" s="15" t="s">
        <v>34</v>
      </c>
      <c r="C52" s="17">
        <v>2.4474537037037039E-3</v>
      </c>
      <c r="D52" s="16">
        <v>1.7000000000000001E-2</v>
      </c>
      <c r="E52" s="16">
        <v>8.9999999999999993E-3</v>
      </c>
      <c r="F52">
        <f t="shared" si="0"/>
        <v>1.3069999999999997</v>
      </c>
      <c r="G52">
        <f t="shared" si="1"/>
        <v>0.65300000000000036</v>
      </c>
    </row>
    <row r="53" spans="1:7" ht="30" x14ac:dyDescent="0.25">
      <c r="A53" s="15" t="s">
        <v>27</v>
      </c>
      <c r="B53" s="15" t="s">
        <v>44</v>
      </c>
      <c r="C53" s="15" t="s">
        <v>92</v>
      </c>
      <c r="D53" s="16">
        <v>7.0000000000000001E-3</v>
      </c>
      <c r="E53" s="16">
        <v>0.04</v>
      </c>
      <c r="F53">
        <f t="shared" si="0"/>
        <v>1.3139999999999996</v>
      </c>
      <c r="G53">
        <f t="shared" si="1"/>
        <v>0.69300000000000039</v>
      </c>
    </row>
    <row r="54" spans="1:7" ht="30" x14ac:dyDescent="0.25">
      <c r="A54" s="15" t="s">
        <v>27</v>
      </c>
      <c r="B54" s="15" t="s">
        <v>28</v>
      </c>
      <c r="C54" s="15" t="s">
        <v>93</v>
      </c>
      <c r="D54" s="16">
        <v>1.9E-2</v>
      </c>
      <c r="E54" s="16">
        <v>1.7999999999999999E-2</v>
      </c>
      <c r="F54">
        <f t="shared" si="0"/>
        <v>1.3329999999999995</v>
      </c>
      <c r="G54">
        <f t="shared" si="1"/>
        <v>0.71100000000000041</v>
      </c>
    </row>
    <row r="55" spans="1:7" x14ac:dyDescent="0.25">
      <c r="A55" s="15" t="s">
        <v>27</v>
      </c>
      <c r="B55" s="15" t="s">
        <v>31</v>
      </c>
      <c r="C55" s="17">
        <v>2.4826388888888888E-3</v>
      </c>
      <c r="D55" s="16">
        <v>1.4E-2</v>
      </c>
      <c r="E55" s="16">
        <v>1.2E-2</v>
      </c>
      <c r="F55">
        <f t="shared" si="0"/>
        <v>1.3469999999999995</v>
      </c>
      <c r="G55">
        <f t="shared" si="1"/>
        <v>0.72300000000000042</v>
      </c>
    </row>
    <row r="56" spans="1:7" x14ac:dyDescent="0.25">
      <c r="A56" s="15" t="s">
        <v>27</v>
      </c>
      <c r="B56" s="15" t="s">
        <v>32</v>
      </c>
      <c r="C56" s="17">
        <v>2.4619212962962963E-3</v>
      </c>
      <c r="D56" s="16">
        <v>1.4999999999999999E-2</v>
      </c>
      <c r="E56" s="16">
        <v>1.2999999999999999E-2</v>
      </c>
      <c r="F56">
        <f t="shared" si="0"/>
        <v>1.3619999999999994</v>
      </c>
      <c r="G56">
        <f t="shared" si="1"/>
        <v>0.73600000000000043</v>
      </c>
    </row>
    <row r="57" spans="1:7" x14ac:dyDescent="0.25">
      <c r="A57" s="15" t="s">
        <v>27</v>
      </c>
      <c r="B57" s="15" t="s">
        <v>33</v>
      </c>
      <c r="C57" s="17">
        <v>2.4442129629629631E-3</v>
      </c>
      <c r="D57" s="16">
        <v>1.6E-2</v>
      </c>
      <c r="E57" s="16">
        <v>0.01</v>
      </c>
      <c r="F57">
        <f t="shared" si="0"/>
        <v>1.3779999999999994</v>
      </c>
      <c r="G57">
        <f t="shared" si="1"/>
        <v>0.74600000000000044</v>
      </c>
    </row>
    <row r="58" spans="1:7" ht="30" x14ac:dyDescent="0.25">
      <c r="A58" s="15" t="s">
        <v>27</v>
      </c>
      <c r="B58" s="15" t="s">
        <v>34</v>
      </c>
      <c r="C58" s="15" t="s">
        <v>94</v>
      </c>
      <c r="D58" s="16">
        <v>-2.1999999999999999E-2</v>
      </c>
      <c r="E58" s="16">
        <v>-0.01</v>
      </c>
      <c r="F58">
        <f t="shared" si="0"/>
        <v>1.3559999999999994</v>
      </c>
      <c r="G58">
        <f t="shared" si="1"/>
        <v>0.73600000000000043</v>
      </c>
    </row>
    <row r="59" spans="1:7" ht="30" x14ac:dyDescent="0.25">
      <c r="A59" s="15" t="s">
        <v>27</v>
      </c>
      <c r="B59" s="15" t="s">
        <v>28</v>
      </c>
      <c r="C59" s="15" t="s">
        <v>95</v>
      </c>
      <c r="D59" s="16">
        <v>0.04</v>
      </c>
      <c r="E59" s="16">
        <v>3.5000000000000003E-2</v>
      </c>
      <c r="F59">
        <f t="shared" si="0"/>
        <v>1.3959999999999995</v>
      </c>
      <c r="G59">
        <f t="shared" si="1"/>
        <v>0.77100000000000046</v>
      </c>
    </row>
    <row r="60" spans="1:7" x14ac:dyDescent="0.25">
      <c r="A60" s="15" t="s">
        <v>27</v>
      </c>
      <c r="B60" s="15" t="s">
        <v>31</v>
      </c>
      <c r="C60" s="17">
        <v>2.5304398148148148E-3</v>
      </c>
      <c r="D60" s="16">
        <v>8.9999999999999993E-3</v>
      </c>
      <c r="E60" s="16">
        <v>4.0000000000000001E-3</v>
      </c>
      <c r="F60">
        <f t="shared" si="0"/>
        <v>1.4049999999999994</v>
      </c>
      <c r="G60">
        <f t="shared" si="1"/>
        <v>0.77500000000000047</v>
      </c>
    </row>
    <row r="61" spans="1:7" x14ac:dyDescent="0.25">
      <c r="A61" s="15" t="s">
        <v>27</v>
      </c>
      <c r="B61" s="15" t="s">
        <v>32</v>
      </c>
      <c r="C61" s="17">
        <v>2.5074074074074074E-3</v>
      </c>
      <c r="D61" s="16">
        <v>1.0999999999999999E-2</v>
      </c>
      <c r="E61" s="16">
        <v>4.0000000000000001E-3</v>
      </c>
      <c r="F61">
        <f t="shared" si="0"/>
        <v>1.4159999999999993</v>
      </c>
      <c r="G61">
        <f t="shared" si="1"/>
        <v>0.77900000000000047</v>
      </c>
    </row>
    <row r="62" spans="1:7" x14ac:dyDescent="0.25">
      <c r="A62" s="15" t="s">
        <v>27</v>
      </c>
      <c r="B62" s="15" t="s">
        <v>33</v>
      </c>
      <c r="C62" s="17">
        <v>2.4557870370370371E-3</v>
      </c>
      <c r="D62" s="16">
        <v>1.2E-2</v>
      </c>
      <c r="E62" s="16">
        <v>8.9999999999999993E-3</v>
      </c>
      <c r="F62">
        <f t="shared" si="0"/>
        <v>1.4279999999999993</v>
      </c>
      <c r="G62">
        <f t="shared" si="1"/>
        <v>0.78800000000000048</v>
      </c>
    </row>
    <row r="63" spans="1:7" x14ac:dyDescent="0.25">
      <c r="A63" s="15" t="s">
        <v>27</v>
      </c>
      <c r="B63" s="15" t="s">
        <v>34</v>
      </c>
      <c r="C63" s="17">
        <v>2.4630787037037039E-3</v>
      </c>
      <c r="D63" s="16">
        <v>1.7000000000000001E-2</v>
      </c>
      <c r="E63" s="16">
        <v>1.7999999999999999E-2</v>
      </c>
      <c r="F63">
        <f t="shared" si="0"/>
        <v>1.4449999999999992</v>
      </c>
      <c r="G63">
        <f t="shared" si="1"/>
        <v>0.80600000000000049</v>
      </c>
    </row>
    <row r="64" spans="1:7" x14ac:dyDescent="0.25">
      <c r="A64" s="15" t="s">
        <v>27</v>
      </c>
      <c r="B64" s="15" t="s">
        <v>44</v>
      </c>
      <c r="C64" s="17">
        <v>2.5076388888888887E-3</v>
      </c>
      <c r="D64" s="16">
        <v>0.01</v>
      </c>
      <c r="E64" s="16">
        <v>6.0000000000000001E-3</v>
      </c>
      <c r="F64">
        <f t="shared" si="0"/>
        <v>1.4549999999999992</v>
      </c>
      <c r="G64">
        <f t="shared" si="1"/>
        <v>0.8120000000000005</v>
      </c>
    </row>
    <row r="65" spans="1:7" ht="30" x14ac:dyDescent="0.25">
      <c r="A65" s="15" t="s">
        <v>27</v>
      </c>
      <c r="B65" s="15" t="s">
        <v>55</v>
      </c>
      <c r="C65" s="15" t="s">
        <v>96</v>
      </c>
      <c r="D65" s="16">
        <v>2.5999999999999999E-2</v>
      </c>
      <c r="E65" s="16">
        <v>2.9000000000000001E-2</v>
      </c>
      <c r="F65">
        <f t="shared" si="0"/>
        <v>1.4809999999999992</v>
      </c>
      <c r="G65">
        <f t="shared" si="1"/>
        <v>0.84100000000000052</v>
      </c>
    </row>
    <row r="66" spans="1:7" ht="30" x14ac:dyDescent="0.25">
      <c r="A66" s="15" t="s">
        <v>27</v>
      </c>
      <c r="B66" s="15" t="s">
        <v>28</v>
      </c>
      <c r="C66" s="15" t="s">
        <v>97</v>
      </c>
      <c r="D66" s="16">
        <v>-6.0000000000000001E-3</v>
      </c>
      <c r="E66" s="16">
        <v>-5.0000000000000001E-3</v>
      </c>
      <c r="F66">
        <f t="shared" si="0"/>
        <v>1.4749999999999992</v>
      </c>
      <c r="G66">
        <f t="shared" si="1"/>
        <v>0.83600000000000052</v>
      </c>
    </row>
    <row r="67" spans="1:7" ht="30" x14ac:dyDescent="0.25">
      <c r="A67" s="15" t="s">
        <v>27</v>
      </c>
      <c r="B67" s="15" t="s">
        <v>28</v>
      </c>
      <c r="C67" s="15" t="s">
        <v>98</v>
      </c>
      <c r="D67" s="16">
        <v>7.0000000000000001E-3</v>
      </c>
      <c r="E67" s="16">
        <v>3.0000000000000001E-3</v>
      </c>
      <c r="F67">
        <f t="shared" si="0"/>
        <v>1.4819999999999991</v>
      </c>
      <c r="G67">
        <f t="shared" si="1"/>
        <v>0.83900000000000052</v>
      </c>
    </row>
    <row r="68" spans="1:7" x14ac:dyDescent="0.25">
      <c r="A68" s="15" t="s">
        <v>27</v>
      </c>
      <c r="B68" s="15" t="s">
        <v>31</v>
      </c>
      <c r="C68" s="17">
        <v>2.4581018518518519E-3</v>
      </c>
      <c r="D68" s="16">
        <v>8.0000000000000002E-3</v>
      </c>
      <c r="E68" s="16">
        <v>0</v>
      </c>
      <c r="F68">
        <f t="shared" si="0"/>
        <v>1.4899999999999991</v>
      </c>
      <c r="G68">
        <f t="shared" si="1"/>
        <v>0.83900000000000052</v>
      </c>
    </row>
    <row r="69" spans="1:7" ht="30" x14ac:dyDescent="0.25">
      <c r="A69" s="15" t="s">
        <v>27</v>
      </c>
      <c r="B69" s="15" t="s">
        <v>32</v>
      </c>
      <c r="C69" s="15" t="s">
        <v>99</v>
      </c>
      <c r="D69" s="16">
        <v>0</v>
      </c>
      <c r="E69" s="16">
        <v>0</v>
      </c>
      <c r="F69">
        <f t="shared" ref="F69:G69" si="2">F68+D69</f>
        <v>1.4899999999999991</v>
      </c>
      <c r="G69">
        <f t="shared" si="2"/>
        <v>0.83900000000000052</v>
      </c>
    </row>
  </sheetData>
  <mergeCells count="1"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3823-CA51-4649-9C35-C76EC3E10696}">
  <dimension ref="A1:K34"/>
  <sheetViews>
    <sheetView zoomScale="80" zoomScaleNormal="80" workbookViewId="0">
      <selection activeCell="I3" sqref="I3:J34"/>
    </sheetView>
  </sheetViews>
  <sheetFormatPr defaultRowHeight="15" x14ac:dyDescent="0.25"/>
  <cols>
    <col min="3" max="3" width="16.42578125" customWidth="1"/>
    <col min="5" max="5" width="23.7109375" customWidth="1"/>
    <col min="6" max="6" width="24.42578125" customWidth="1"/>
    <col min="7" max="7" width="19" customWidth="1"/>
    <col min="8" max="8" width="16.42578125" customWidth="1"/>
  </cols>
  <sheetData>
    <row r="1" spans="1:11" ht="45" customHeight="1" x14ac:dyDescent="0.25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110</v>
      </c>
      <c r="F1" s="11" t="s">
        <v>111</v>
      </c>
      <c r="G1" s="11" t="s">
        <v>67</v>
      </c>
      <c r="H1" s="11" t="s">
        <v>68</v>
      </c>
    </row>
    <row r="2" spans="1:11" ht="15" customHeight="1" x14ac:dyDescent="0.25">
      <c r="A2" s="34" t="s">
        <v>115</v>
      </c>
      <c r="B2" s="35"/>
      <c r="C2" s="35"/>
      <c r="D2" s="35"/>
      <c r="E2" s="35"/>
      <c r="F2" s="35"/>
      <c r="G2" s="35"/>
      <c r="H2" s="36"/>
    </row>
    <row r="3" spans="1:11" x14ac:dyDescent="0.25">
      <c r="A3" s="15" t="s">
        <v>27</v>
      </c>
      <c r="B3" s="15" t="s">
        <v>28</v>
      </c>
      <c r="C3" s="17">
        <v>1.7038194444444443E-2</v>
      </c>
      <c r="D3" s="15">
        <v>7.54</v>
      </c>
      <c r="E3" s="16">
        <v>2.5000000000000001E-2</v>
      </c>
      <c r="F3" s="14">
        <v>7.4999999999999997E-2</v>
      </c>
      <c r="G3" s="16">
        <v>0.33800000000000002</v>
      </c>
      <c r="H3" s="16">
        <v>0.48099999999999998</v>
      </c>
      <c r="I3">
        <f>G3-6.218</f>
        <v>-5.88</v>
      </c>
      <c r="J3">
        <f>H3-7.591</f>
        <v>-7.11</v>
      </c>
      <c r="K3">
        <v>1</v>
      </c>
    </row>
    <row r="4" spans="1:11" x14ac:dyDescent="0.25">
      <c r="A4" s="15" t="s">
        <v>27</v>
      </c>
      <c r="B4" s="15" t="s">
        <v>31</v>
      </c>
      <c r="C4" s="17">
        <v>2.5464120370370371E-3</v>
      </c>
      <c r="D4" s="15">
        <v>7.76</v>
      </c>
      <c r="E4" s="16">
        <v>-1E-3</v>
      </c>
      <c r="F4" s="16">
        <v>1.2E-2</v>
      </c>
      <c r="G4" s="16">
        <v>0.36399999999999999</v>
      </c>
      <c r="H4" s="16">
        <v>0.53300000000000003</v>
      </c>
      <c r="I4">
        <f t="shared" ref="I4:I34" si="0">G4-6.218</f>
        <v>-5.8540000000000001</v>
      </c>
      <c r="J4">
        <f t="shared" ref="J4:J34" si="1">H4-7.591</f>
        <v>-7.0579999999999998</v>
      </c>
      <c r="K4">
        <v>2</v>
      </c>
    </row>
    <row r="5" spans="1:11" x14ac:dyDescent="0.25">
      <c r="A5" s="15" t="s">
        <v>27</v>
      </c>
      <c r="B5" s="15" t="s">
        <v>32</v>
      </c>
      <c r="C5" s="17">
        <v>2.457638888888889E-3</v>
      </c>
      <c r="D5" s="15">
        <v>7.95</v>
      </c>
      <c r="E5" s="16">
        <v>8.9999999999999993E-3</v>
      </c>
      <c r="F5" s="16">
        <v>1.0999999999999999E-2</v>
      </c>
      <c r="G5" s="16">
        <v>0.33800000000000002</v>
      </c>
      <c r="H5" s="16">
        <v>0.61299999999999999</v>
      </c>
      <c r="I5">
        <f t="shared" si="0"/>
        <v>-5.88</v>
      </c>
      <c r="J5">
        <f t="shared" si="1"/>
        <v>-6.9779999999999998</v>
      </c>
      <c r="K5">
        <v>3</v>
      </c>
    </row>
    <row r="6" spans="1:11" x14ac:dyDescent="0.25">
      <c r="A6" s="15" t="s">
        <v>27</v>
      </c>
      <c r="B6" s="15" t="s">
        <v>33</v>
      </c>
      <c r="C6" s="15" t="s">
        <v>116</v>
      </c>
      <c r="D6" s="15">
        <v>0</v>
      </c>
      <c r="E6" s="16">
        <v>5.0000000000000001E-3</v>
      </c>
      <c r="F6" s="16">
        <v>1.2999999999999999E-2</v>
      </c>
      <c r="G6" s="16">
        <v>0.39100000000000001</v>
      </c>
      <c r="H6" s="16">
        <v>0.63300000000000001</v>
      </c>
      <c r="I6">
        <f t="shared" si="0"/>
        <v>-5.827</v>
      </c>
      <c r="J6">
        <f t="shared" si="1"/>
        <v>-6.9580000000000002</v>
      </c>
    </row>
    <row r="7" spans="1:11" x14ac:dyDescent="0.25">
      <c r="A7" s="15" t="s">
        <v>27</v>
      </c>
      <c r="B7" s="15" t="s">
        <v>28</v>
      </c>
      <c r="C7" s="15" t="s">
        <v>117</v>
      </c>
      <c r="D7" s="15">
        <v>15.32</v>
      </c>
      <c r="E7" s="16">
        <v>1.2999999999999999E-2</v>
      </c>
      <c r="F7" s="16">
        <v>1.4999999999999999E-2</v>
      </c>
      <c r="G7" s="16">
        <v>0.35899999999999999</v>
      </c>
      <c r="H7" s="16">
        <v>0.63800000000000001</v>
      </c>
      <c r="I7">
        <f t="shared" si="0"/>
        <v>-5.859</v>
      </c>
      <c r="J7">
        <f t="shared" si="1"/>
        <v>-6.9530000000000003</v>
      </c>
      <c r="K7" s="31">
        <v>5</v>
      </c>
    </row>
    <row r="8" spans="1:11" x14ac:dyDescent="0.25">
      <c r="A8" s="15" t="s">
        <v>27</v>
      </c>
      <c r="B8" s="15" t="s">
        <v>31</v>
      </c>
      <c r="C8" s="17">
        <v>2.4716435185185184E-3</v>
      </c>
      <c r="D8" s="15">
        <v>7.68</v>
      </c>
      <c r="E8" s="16">
        <v>7.0000000000000001E-3</v>
      </c>
      <c r="F8" s="16">
        <v>0.01</v>
      </c>
      <c r="G8" s="16">
        <v>0.38500000000000001</v>
      </c>
      <c r="H8" s="16">
        <v>0.66</v>
      </c>
      <c r="I8">
        <f t="shared" si="0"/>
        <v>-5.8330000000000002</v>
      </c>
      <c r="J8">
        <f t="shared" si="1"/>
        <v>-6.931</v>
      </c>
      <c r="K8">
        <v>6</v>
      </c>
    </row>
    <row r="9" spans="1:11" x14ac:dyDescent="0.25">
      <c r="A9" s="15" t="s">
        <v>27</v>
      </c>
      <c r="B9" s="15" t="s">
        <v>32</v>
      </c>
      <c r="C9" s="17">
        <v>2.4660879629629629E-3</v>
      </c>
      <c r="D9" s="15">
        <v>7.78</v>
      </c>
      <c r="E9" s="16">
        <v>1.0999999999999999E-2</v>
      </c>
      <c r="F9" s="16">
        <v>8.9999999999999993E-3</v>
      </c>
      <c r="G9" s="16">
        <v>0.42199999999999999</v>
      </c>
      <c r="H9" s="16">
        <v>0.73399999999999999</v>
      </c>
      <c r="I9">
        <f t="shared" si="0"/>
        <v>-5.7960000000000003</v>
      </c>
      <c r="J9">
        <f t="shared" si="1"/>
        <v>-6.8570000000000002</v>
      </c>
      <c r="K9">
        <v>7</v>
      </c>
    </row>
    <row r="10" spans="1:11" x14ac:dyDescent="0.25">
      <c r="A10" s="15" t="s">
        <v>27</v>
      </c>
      <c r="B10" s="15" t="s">
        <v>33</v>
      </c>
      <c r="C10" s="17">
        <v>2.4462962962962967E-3</v>
      </c>
      <c r="D10" s="15">
        <v>7.8</v>
      </c>
      <c r="E10" s="16">
        <v>1.4E-2</v>
      </c>
      <c r="F10" s="16">
        <v>1.2E-2</v>
      </c>
      <c r="G10" s="16">
        <v>0.47</v>
      </c>
      <c r="H10" s="16">
        <v>0.72899999999999998</v>
      </c>
      <c r="I10">
        <f t="shared" si="0"/>
        <v>-5.7480000000000002</v>
      </c>
      <c r="J10">
        <f t="shared" si="1"/>
        <v>-6.8620000000000001</v>
      </c>
      <c r="K10">
        <v>8</v>
      </c>
    </row>
    <row r="11" spans="1:11" x14ac:dyDescent="0.25">
      <c r="A11" s="15" t="s">
        <v>27</v>
      </c>
      <c r="B11" s="15" t="s">
        <v>34</v>
      </c>
      <c r="C11" s="17">
        <v>2.8197916666666666E-3</v>
      </c>
      <c r="D11" s="15">
        <v>7.48</v>
      </c>
      <c r="E11" s="16">
        <v>6.0000000000000001E-3</v>
      </c>
      <c r="F11" s="16">
        <v>6.0000000000000001E-3</v>
      </c>
      <c r="G11" s="16">
        <v>0.495</v>
      </c>
      <c r="H11" s="16">
        <v>0.78100000000000003</v>
      </c>
      <c r="I11">
        <f t="shared" si="0"/>
        <v>-5.7229999999999999</v>
      </c>
      <c r="J11">
        <f t="shared" si="1"/>
        <v>-6.8100000000000005</v>
      </c>
      <c r="K11">
        <v>9</v>
      </c>
    </row>
    <row r="12" spans="1:11" x14ac:dyDescent="0.25">
      <c r="A12" s="15" t="s">
        <v>27</v>
      </c>
      <c r="B12" s="15" t="s">
        <v>44</v>
      </c>
      <c r="C12" s="17">
        <v>2.4636574074074075E-3</v>
      </c>
      <c r="D12" s="15">
        <v>7.74</v>
      </c>
      <c r="E12" s="16">
        <v>8.9999999999999993E-3</v>
      </c>
      <c r="F12" s="16">
        <v>8.9999999999999993E-3</v>
      </c>
      <c r="G12" s="16">
        <v>0.51200000000000001</v>
      </c>
      <c r="H12" s="16">
        <v>0.76600000000000001</v>
      </c>
      <c r="I12">
        <f t="shared" si="0"/>
        <v>-5.7059999999999995</v>
      </c>
      <c r="J12">
        <f t="shared" si="1"/>
        <v>-6.8250000000000002</v>
      </c>
      <c r="K12">
        <v>10</v>
      </c>
    </row>
    <row r="13" spans="1:11" x14ac:dyDescent="0.25">
      <c r="A13" s="15" t="s">
        <v>27</v>
      </c>
      <c r="B13" s="15" t="s">
        <v>55</v>
      </c>
      <c r="C13" s="15" t="s">
        <v>118</v>
      </c>
      <c r="D13" s="15">
        <v>0</v>
      </c>
      <c r="E13" s="16">
        <v>0</v>
      </c>
      <c r="F13" s="16">
        <v>2E-3</v>
      </c>
      <c r="G13" s="16">
        <v>0.55300000000000005</v>
      </c>
      <c r="H13" s="16">
        <v>0.85499999999999998</v>
      </c>
      <c r="I13">
        <f t="shared" si="0"/>
        <v>-5.665</v>
      </c>
      <c r="J13">
        <f t="shared" si="1"/>
        <v>-6.7360000000000007</v>
      </c>
    </row>
    <row r="14" spans="1:11" x14ac:dyDescent="0.25">
      <c r="A14" s="15" t="s">
        <v>27</v>
      </c>
      <c r="B14" s="15" t="s">
        <v>28</v>
      </c>
      <c r="C14" s="15" t="s">
        <v>119</v>
      </c>
      <c r="D14" s="15">
        <v>14.1</v>
      </c>
      <c r="E14" s="16">
        <v>1.6E-2</v>
      </c>
      <c r="F14" s="16">
        <v>1.4E-2</v>
      </c>
      <c r="G14" s="16">
        <v>0.56399999999999995</v>
      </c>
      <c r="H14" s="16">
        <v>0.84499999999999997</v>
      </c>
      <c r="I14">
        <f t="shared" si="0"/>
        <v>-5.6539999999999999</v>
      </c>
      <c r="J14">
        <f t="shared" si="1"/>
        <v>-6.7460000000000004</v>
      </c>
      <c r="K14" s="31">
        <v>12</v>
      </c>
    </row>
    <row r="15" spans="1:11" x14ac:dyDescent="0.25">
      <c r="A15" s="15" t="s">
        <v>27</v>
      </c>
      <c r="B15" s="15" t="s">
        <v>31</v>
      </c>
      <c r="C15" s="17">
        <v>2.4730324074074077E-3</v>
      </c>
      <c r="D15" s="15">
        <v>7.78</v>
      </c>
      <c r="E15" s="16">
        <v>0.01</v>
      </c>
      <c r="F15" s="16">
        <v>5.0000000000000001E-3</v>
      </c>
      <c r="G15" s="16">
        <v>0.627</v>
      </c>
      <c r="H15" s="16">
        <v>0.871</v>
      </c>
      <c r="I15">
        <f t="shared" si="0"/>
        <v>-5.5910000000000002</v>
      </c>
      <c r="J15">
        <f t="shared" si="1"/>
        <v>-6.7200000000000006</v>
      </c>
      <c r="K15">
        <v>13</v>
      </c>
    </row>
    <row r="16" spans="1:11" x14ac:dyDescent="0.25">
      <c r="A16" s="15" t="s">
        <v>27</v>
      </c>
      <c r="B16" s="13" t="s">
        <v>32</v>
      </c>
      <c r="C16" s="13" t="s">
        <v>120</v>
      </c>
      <c r="D16" s="15">
        <v>7.93</v>
      </c>
      <c r="E16" s="16">
        <v>7.0000000000000001E-3</v>
      </c>
      <c r="F16" s="16">
        <v>8.0000000000000002E-3</v>
      </c>
      <c r="G16" s="16">
        <v>0.58599999999999997</v>
      </c>
      <c r="H16" s="16">
        <v>0.83399999999999996</v>
      </c>
      <c r="I16">
        <f t="shared" si="0"/>
        <v>-5.6319999999999997</v>
      </c>
      <c r="J16">
        <f t="shared" si="1"/>
        <v>-6.7570000000000006</v>
      </c>
      <c r="K16">
        <v>14</v>
      </c>
    </row>
    <row r="17" spans="1:11" x14ac:dyDescent="0.25">
      <c r="A17" s="15" t="s">
        <v>27</v>
      </c>
      <c r="B17" s="15" t="s">
        <v>33</v>
      </c>
      <c r="C17" s="17">
        <v>2.4615740740740739E-3</v>
      </c>
      <c r="D17" s="15">
        <v>7.52</v>
      </c>
      <c r="E17" s="16">
        <v>0.01</v>
      </c>
      <c r="F17" s="16">
        <v>6.0000000000000001E-3</v>
      </c>
      <c r="G17" s="16">
        <v>0.63300000000000001</v>
      </c>
      <c r="H17" s="16">
        <v>0.86499999999999999</v>
      </c>
      <c r="I17">
        <f t="shared" si="0"/>
        <v>-5.585</v>
      </c>
      <c r="J17">
        <f t="shared" si="1"/>
        <v>-6.726</v>
      </c>
      <c r="K17">
        <v>15</v>
      </c>
    </row>
    <row r="18" spans="1:11" x14ac:dyDescent="0.25">
      <c r="A18" s="15" t="s">
        <v>27</v>
      </c>
      <c r="B18" s="15" t="s">
        <v>34</v>
      </c>
      <c r="C18" s="17">
        <v>2.4424768518518519E-3</v>
      </c>
      <c r="D18" s="15">
        <v>7.84</v>
      </c>
      <c r="E18" s="16">
        <v>1.0999999999999999E-2</v>
      </c>
      <c r="F18" s="16">
        <v>0.01</v>
      </c>
      <c r="G18" s="16">
        <v>0.65400000000000003</v>
      </c>
      <c r="H18" s="16">
        <v>0.86499999999999999</v>
      </c>
      <c r="I18">
        <f t="shared" si="0"/>
        <v>-5.5640000000000001</v>
      </c>
      <c r="J18">
        <f t="shared" si="1"/>
        <v>-6.726</v>
      </c>
      <c r="K18">
        <v>16</v>
      </c>
    </row>
    <row r="19" spans="1:11" x14ac:dyDescent="0.25">
      <c r="A19" s="15" t="s">
        <v>27</v>
      </c>
      <c r="B19" s="15" t="s">
        <v>44</v>
      </c>
      <c r="C19" s="15" t="s">
        <v>121</v>
      </c>
      <c r="D19" s="15">
        <v>0</v>
      </c>
      <c r="E19" s="16">
        <v>-4.0000000000000001E-3</v>
      </c>
      <c r="F19" s="16">
        <v>-3.0000000000000001E-3</v>
      </c>
      <c r="G19" s="16">
        <v>0.65400000000000003</v>
      </c>
      <c r="H19" s="16">
        <v>0.93400000000000005</v>
      </c>
      <c r="I19">
        <f t="shared" si="0"/>
        <v>-5.5640000000000001</v>
      </c>
      <c r="J19">
        <f t="shared" si="1"/>
        <v>-6.657</v>
      </c>
    </row>
    <row r="20" spans="1:11" x14ac:dyDescent="0.25">
      <c r="A20" s="15" t="s">
        <v>27</v>
      </c>
      <c r="B20" s="15" t="s">
        <v>28</v>
      </c>
      <c r="C20" s="15" t="s">
        <v>122</v>
      </c>
      <c r="D20" s="15">
        <v>15.03</v>
      </c>
      <c r="E20" s="16">
        <v>8.9999999999999993E-3</v>
      </c>
      <c r="F20" s="16">
        <v>0.01</v>
      </c>
      <c r="G20" s="16">
        <v>0.66400000000000003</v>
      </c>
      <c r="H20" s="16">
        <v>0.90200000000000002</v>
      </c>
      <c r="I20">
        <f t="shared" si="0"/>
        <v>-5.5540000000000003</v>
      </c>
      <c r="J20">
        <f t="shared" si="1"/>
        <v>-6.6890000000000001</v>
      </c>
      <c r="K20" s="31">
        <v>18</v>
      </c>
    </row>
    <row r="21" spans="1:11" x14ac:dyDescent="0.25">
      <c r="A21" s="15" t="s">
        <v>27</v>
      </c>
      <c r="B21" s="15" t="s">
        <v>31</v>
      </c>
      <c r="C21" s="17">
        <v>2.5643518518518519E-3</v>
      </c>
      <c r="D21" s="15">
        <v>7.63</v>
      </c>
      <c r="E21" s="16">
        <v>1.0999999999999999E-2</v>
      </c>
      <c r="F21" s="16">
        <v>0.01</v>
      </c>
      <c r="G21" s="16">
        <v>0.71199999999999997</v>
      </c>
      <c r="H21" s="16">
        <v>0.96599999999999997</v>
      </c>
      <c r="I21">
        <f t="shared" si="0"/>
        <v>-5.5060000000000002</v>
      </c>
      <c r="J21">
        <f t="shared" si="1"/>
        <v>-6.625</v>
      </c>
      <c r="K21">
        <v>19</v>
      </c>
    </row>
    <row r="22" spans="1:11" x14ac:dyDescent="0.25">
      <c r="A22" s="15" t="s">
        <v>27</v>
      </c>
      <c r="B22" s="15" t="s">
        <v>32</v>
      </c>
      <c r="C22" s="17">
        <v>2.4874999999999997E-3</v>
      </c>
      <c r="D22" s="15">
        <v>7.8</v>
      </c>
      <c r="E22" s="16">
        <v>1.0999999999999999E-2</v>
      </c>
      <c r="F22" s="16">
        <v>8.0000000000000002E-3</v>
      </c>
      <c r="G22" s="16">
        <v>0.70599999999999996</v>
      </c>
      <c r="H22" s="16">
        <v>0.93400000000000005</v>
      </c>
      <c r="I22">
        <f t="shared" si="0"/>
        <v>-5.5120000000000005</v>
      </c>
      <c r="J22">
        <f t="shared" si="1"/>
        <v>-6.657</v>
      </c>
      <c r="K22">
        <v>20</v>
      </c>
    </row>
    <row r="23" spans="1:11" x14ac:dyDescent="0.25">
      <c r="A23" s="15" t="s">
        <v>27</v>
      </c>
      <c r="B23" s="15" t="s">
        <v>33</v>
      </c>
      <c r="C23" s="17">
        <v>2.5350694444444444E-3</v>
      </c>
      <c r="D23" s="15">
        <v>7.89</v>
      </c>
      <c r="E23" s="16">
        <v>0.01</v>
      </c>
      <c r="F23" s="16">
        <v>8.0000000000000002E-3</v>
      </c>
      <c r="G23" s="16">
        <v>0.78</v>
      </c>
      <c r="H23" s="16">
        <v>1.0029999999999999</v>
      </c>
      <c r="I23">
        <f t="shared" si="0"/>
        <v>-5.4379999999999997</v>
      </c>
      <c r="J23">
        <f t="shared" si="1"/>
        <v>-6.5880000000000001</v>
      </c>
      <c r="K23">
        <v>21</v>
      </c>
    </row>
    <row r="24" spans="1:11" x14ac:dyDescent="0.25">
      <c r="A24" s="15" t="s">
        <v>27</v>
      </c>
      <c r="B24" s="15" t="s">
        <v>34</v>
      </c>
      <c r="C24" s="17">
        <v>2.4532407407407406E-3</v>
      </c>
      <c r="D24" s="15">
        <v>7.87</v>
      </c>
      <c r="E24" s="16">
        <v>1.2999999999999999E-2</v>
      </c>
      <c r="F24" s="16">
        <v>8.0000000000000002E-3</v>
      </c>
      <c r="G24" s="16">
        <v>0.79100000000000004</v>
      </c>
      <c r="H24" s="16">
        <v>0.97099999999999997</v>
      </c>
      <c r="I24">
        <f t="shared" si="0"/>
        <v>-5.4269999999999996</v>
      </c>
      <c r="J24">
        <f t="shared" si="1"/>
        <v>-6.62</v>
      </c>
      <c r="K24">
        <v>22</v>
      </c>
    </row>
    <row r="25" spans="1:11" x14ac:dyDescent="0.25">
      <c r="A25" s="15" t="s">
        <v>27</v>
      </c>
      <c r="B25" s="15" t="s">
        <v>44</v>
      </c>
      <c r="C25" s="15" t="s">
        <v>123</v>
      </c>
      <c r="D25" s="15">
        <v>0</v>
      </c>
      <c r="E25" s="27">
        <v>-8.9999999999999993E-3</v>
      </c>
      <c r="F25" s="16">
        <v>-8.0000000000000002E-3</v>
      </c>
      <c r="G25" s="16">
        <v>0.77</v>
      </c>
      <c r="H25" s="16">
        <v>1.024</v>
      </c>
      <c r="I25">
        <f t="shared" si="0"/>
        <v>-5.4480000000000004</v>
      </c>
      <c r="J25">
        <f t="shared" si="1"/>
        <v>-6.5670000000000002</v>
      </c>
    </row>
    <row r="26" spans="1:11" x14ac:dyDescent="0.25">
      <c r="A26" s="15" t="s">
        <v>27</v>
      </c>
      <c r="B26" s="15" t="s">
        <v>28</v>
      </c>
      <c r="C26" s="15" t="s">
        <v>124</v>
      </c>
      <c r="D26" s="15">
        <v>14.89</v>
      </c>
      <c r="E26" s="14">
        <v>3.4000000000000002E-2</v>
      </c>
      <c r="F26" s="16">
        <v>3.4000000000000002E-2</v>
      </c>
      <c r="G26" s="16">
        <v>0.83899999999999997</v>
      </c>
      <c r="H26" s="16">
        <v>1.1299999999999999</v>
      </c>
      <c r="I26">
        <f t="shared" si="0"/>
        <v>-5.3789999999999996</v>
      </c>
      <c r="J26">
        <f t="shared" si="1"/>
        <v>-6.4610000000000003</v>
      </c>
      <c r="K26" s="31">
        <v>24</v>
      </c>
    </row>
    <row r="27" spans="1:11" x14ac:dyDescent="0.25">
      <c r="A27" s="15" t="s">
        <v>27</v>
      </c>
      <c r="B27" s="15" t="s">
        <v>31</v>
      </c>
      <c r="C27" s="17">
        <v>2.4829861111111112E-3</v>
      </c>
      <c r="D27" s="15">
        <v>7.7</v>
      </c>
      <c r="E27" s="16">
        <v>1.2E-2</v>
      </c>
      <c r="F27" s="16">
        <v>8.9999999999999993E-3</v>
      </c>
      <c r="G27" s="16">
        <v>0.85899999999999999</v>
      </c>
      <c r="H27" s="16">
        <v>1.1040000000000001</v>
      </c>
      <c r="I27">
        <f t="shared" si="0"/>
        <v>-5.359</v>
      </c>
      <c r="J27">
        <f t="shared" si="1"/>
        <v>-6.4870000000000001</v>
      </c>
      <c r="K27">
        <v>25</v>
      </c>
    </row>
    <row r="28" spans="1:11" x14ac:dyDescent="0.25">
      <c r="A28" s="15" t="s">
        <v>27</v>
      </c>
      <c r="B28" s="15" t="s">
        <v>32</v>
      </c>
      <c r="C28" s="17">
        <v>2.6239583333333336E-3</v>
      </c>
      <c r="D28" s="15">
        <v>7.78</v>
      </c>
      <c r="E28" s="16">
        <v>1.0999999999999999E-2</v>
      </c>
      <c r="F28" s="16">
        <v>1.7000000000000001E-2</v>
      </c>
      <c r="G28" s="16">
        <v>0.92300000000000004</v>
      </c>
      <c r="H28" s="16">
        <v>1.145</v>
      </c>
      <c r="I28">
        <f t="shared" si="0"/>
        <v>-5.2949999999999999</v>
      </c>
      <c r="J28">
        <f t="shared" si="1"/>
        <v>-6.4459999999999997</v>
      </c>
      <c r="K28">
        <v>26</v>
      </c>
    </row>
    <row r="29" spans="1:11" x14ac:dyDescent="0.25">
      <c r="A29" s="15" t="s">
        <v>27</v>
      </c>
      <c r="B29" s="15" t="s">
        <v>33</v>
      </c>
      <c r="C29" s="15" t="s">
        <v>125</v>
      </c>
      <c r="D29" s="15">
        <v>0</v>
      </c>
      <c r="E29" s="16">
        <v>7.0000000000000001E-3</v>
      </c>
      <c r="F29" s="16">
        <v>1E-3</v>
      </c>
      <c r="G29" s="16">
        <v>0.91300000000000003</v>
      </c>
      <c r="H29" s="16">
        <v>1.1719999999999999</v>
      </c>
      <c r="I29">
        <f t="shared" si="0"/>
        <v>-5.3049999999999997</v>
      </c>
      <c r="J29">
        <f t="shared" si="1"/>
        <v>-6.4190000000000005</v>
      </c>
    </row>
    <row r="30" spans="1:11" x14ac:dyDescent="0.25">
      <c r="A30" s="15" t="s">
        <v>27</v>
      </c>
      <c r="B30" s="15" t="s">
        <v>28</v>
      </c>
      <c r="C30" s="15" t="s">
        <v>126</v>
      </c>
      <c r="D30" s="15">
        <v>11.43</v>
      </c>
      <c r="E30" s="16">
        <v>5.0000000000000001E-3</v>
      </c>
      <c r="F30" s="16">
        <v>1.2999999999999999E-2</v>
      </c>
      <c r="G30" s="16">
        <v>0.91800000000000004</v>
      </c>
      <c r="H30" s="16">
        <v>1.2090000000000001</v>
      </c>
      <c r="I30">
        <f t="shared" si="0"/>
        <v>-5.3</v>
      </c>
      <c r="J30">
        <f t="shared" si="1"/>
        <v>-6.3819999999999997</v>
      </c>
      <c r="K30" s="31">
        <v>28</v>
      </c>
    </row>
    <row r="31" spans="1:11" x14ac:dyDescent="0.25">
      <c r="A31" s="15" t="s">
        <v>27</v>
      </c>
      <c r="B31" s="15" t="s">
        <v>31</v>
      </c>
      <c r="C31" s="17">
        <v>3.9473379629629624E-3</v>
      </c>
      <c r="D31" s="13">
        <v>6.4</v>
      </c>
      <c r="E31" s="16">
        <v>4.0000000000000001E-3</v>
      </c>
      <c r="F31" s="16">
        <v>5.0000000000000001E-3</v>
      </c>
      <c r="G31" s="16">
        <v>0.96499999999999997</v>
      </c>
      <c r="H31" s="16">
        <v>1.1990000000000001</v>
      </c>
      <c r="I31">
        <f t="shared" si="0"/>
        <v>-5.2530000000000001</v>
      </c>
      <c r="J31">
        <f t="shared" si="1"/>
        <v>-6.3920000000000003</v>
      </c>
      <c r="K31">
        <v>29</v>
      </c>
    </row>
    <row r="32" spans="1:11" x14ac:dyDescent="0.25">
      <c r="A32" s="15" t="s">
        <v>27</v>
      </c>
      <c r="B32" s="15" t="s">
        <v>32</v>
      </c>
      <c r="C32" s="17">
        <v>2.4870370370370372E-3</v>
      </c>
      <c r="D32" s="15">
        <v>8.0500000000000007</v>
      </c>
      <c r="E32" s="16">
        <v>1.7000000000000001E-2</v>
      </c>
      <c r="F32" s="16">
        <v>7.0000000000000001E-3</v>
      </c>
      <c r="G32" s="16">
        <v>0.95499999999999996</v>
      </c>
      <c r="H32" s="16">
        <v>1.2509999999999999</v>
      </c>
      <c r="I32">
        <f t="shared" si="0"/>
        <v>-5.2629999999999999</v>
      </c>
      <c r="J32">
        <f t="shared" si="1"/>
        <v>-6.34</v>
      </c>
      <c r="K32">
        <v>30</v>
      </c>
    </row>
    <row r="33" spans="1:11" x14ac:dyDescent="0.25">
      <c r="A33" s="15" t="s">
        <v>27</v>
      </c>
      <c r="B33" s="15" t="s">
        <v>33</v>
      </c>
      <c r="C33" s="17">
        <v>2.4438657407407408E-3</v>
      </c>
      <c r="D33" s="15">
        <v>8.1300000000000008</v>
      </c>
      <c r="E33" s="16">
        <v>1.2E-2</v>
      </c>
      <c r="F33" s="16">
        <v>0</v>
      </c>
      <c r="G33" s="14">
        <v>1.044</v>
      </c>
      <c r="H33" s="16">
        <v>1.2569999999999999</v>
      </c>
      <c r="I33">
        <f t="shared" si="0"/>
        <v>-5.1739999999999995</v>
      </c>
      <c r="J33">
        <f t="shared" si="1"/>
        <v>-6.3340000000000005</v>
      </c>
      <c r="K33">
        <v>31</v>
      </c>
    </row>
    <row r="34" spans="1:11" x14ac:dyDescent="0.25">
      <c r="A34" s="15" t="s">
        <v>27</v>
      </c>
      <c r="B34" s="15" t="s">
        <v>34</v>
      </c>
      <c r="C34" s="15" t="s">
        <v>127</v>
      </c>
      <c r="D34" s="15">
        <v>0</v>
      </c>
      <c r="E34" s="16">
        <v>0</v>
      </c>
      <c r="F34" s="16">
        <v>0</v>
      </c>
      <c r="G34" s="14">
        <v>1.044</v>
      </c>
      <c r="H34" s="14">
        <v>1.319</v>
      </c>
      <c r="I34">
        <f t="shared" si="0"/>
        <v>-5.1739999999999995</v>
      </c>
      <c r="J34">
        <f t="shared" si="1"/>
        <v>-6.2720000000000002</v>
      </c>
    </row>
  </sheetData>
  <mergeCells count="1"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FFF9-8DEF-455B-A29C-CB705642E37D}">
  <dimension ref="A1:K18"/>
  <sheetViews>
    <sheetView workbookViewId="0">
      <selection activeCell="I3" sqref="I3:J18"/>
    </sheetView>
  </sheetViews>
  <sheetFormatPr defaultRowHeight="15" x14ac:dyDescent="0.25"/>
  <cols>
    <col min="5" max="5" width="16" customWidth="1"/>
    <col min="6" max="6" width="16.42578125" customWidth="1"/>
    <col min="7" max="7" width="19.42578125" customWidth="1"/>
    <col min="8" max="8" width="22.28515625" customWidth="1"/>
  </cols>
  <sheetData>
    <row r="1" spans="1:11" ht="60" customHeight="1" x14ac:dyDescent="0.25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110</v>
      </c>
      <c r="F1" s="11" t="s">
        <v>111</v>
      </c>
      <c r="G1" s="11" t="s">
        <v>67</v>
      </c>
      <c r="H1" s="11" t="s">
        <v>68</v>
      </c>
    </row>
    <row r="2" spans="1:11" ht="15" customHeight="1" x14ac:dyDescent="0.25">
      <c r="A2" s="34" t="s">
        <v>128</v>
      </c>
      <c r="B2" s="35"/>
      <c r="C2" s="35"/>
      <c r="D2" s="35"/>
      <c r="E2" s="35"/>
      <c r="F2" s="35"/>
      <c r="G2" s="35"/>
      <c r="H2" s="36"/>
    </row>
    <row r="3" spans="1:11" ht="30" x14ac:dyDescent="0.25">
      <c r="A3" s="15" t="s">
        <v>27</v>
      </c>
      <c r="B3" s="15" t="s">
        <v>28</v>
      </c>
      <c r="C3" s="15" t="s">
        <v>129</v>
      </c>
      <c r="D3" s="15">
        <v>0</v>
      </c>
      <c r="E3" s="16">
        <v>1E-3</v>
      </c>
      <c r="F3" s="16">
        <v>-8.9999999999999993E-3</v>
      </c>
      <c r="G3" s="16">
        <v>1.008</v>
      </c>
      <c r="H3" s="16">
        <v>1.4139999999999999</v>
      </c>
      <c r="I3">
        <f>G3-6.218</f>
        <v>-5.21</v>
      </c>
      <c r="J3">
        <f>H3-7.591</f>
        <v>-6.1770000000000005</v>
      </c>
    </row>
    <row r="4" spans="1:11" ht="30" x14ac:dyDescent="0.25">
      <c r="A4" s="15" t="s">
        <v>27</v>
      </c>
      <c r="B4" s="15" t="s">
        <v>28</v>
      </c>
      <c r="C4" s="15" t="s">
        <v>130</v>
      </c>
      <c r="D4" s="15">
        <v>7.35</v>
      </c>
      <c r="E4" s="16">
        <v>0.01</v>
      </c>
      <c r="F4" s="16">
        <v>-0.01</v>
      </c>
      <c r="G4" s="16">
        <v>1.097</v>
      </c>
      <c r="H4" s="16">
        <v>1.4259999999999999</v>
      </c>
      <c r="I4">
        <f t="shared" ref="I4:I18" si="0">G4-6.218</f>
        <v>-5.1210000000000004</v>
      </c>
      <c r="J4">
        <f t="shared" ref="J4:J18" si="1">H4-7.591</f>
        <v>-6.165</v>
      </c>
      <c r="K4" s="31">
        <v>1</v>
      </c>
    </row>
    <row r="5" spans="1:11" x14ac:dyDescent="0.25">
      <c r="A5" s="15" t="s">
        <v>27</v>
      </c>
      <c r="B5" s="15" t="s">
        <v>31</v>
      </c>
      <c r="C5" s="17">
        <v>3.5822916666666664E-3</v>
      </c>
      <c r="D5" s="15">
        <v>6.7</v>
      </c>
      <c r="E5" s="16">
        <v>1.2E-2</v>
      </c>
      <c r="F5" s="14">
        <v>1.4E-2</v>
      </c>
      <c r="G5" s="16">
        <v>1.1180000000000001</v>
      </c>
      <c r="H5" s="16">
        <v>1.4259999999999999</v>
      </c>
      <c r="I5">
        <f t="shared" si="0"/>
        <v>-5.0999999999999996</v>
      </c>
      <c r="J5">
        <f t="shared" si="1"/>
        <v>-6.165</v>
      </c>
      <c r="K5" s="31">
        <v>2</v>
      </c>
    </row>
    <row r="6" spans="1:11" x14ac:dyDescent="0.25">
      <c r="A6" s="15" t="s">
        <v>27</v>
      </c>
      <c r="B6" s="15" t="s">
        <v>32</v>
      </c>
      <c r="C6" s="17">
        <v>4.410300925925926E-3</v>
      </c>
      <c r="D6" s="13">
        <v>5.87</v>
      </c>
      <c r="E6" s="16">
        <v>1E-3</v>
      </c>
      <c r="F6" s="16">
        <v>-6.0000000000000001E-3</v>
      </c>
      <c r="G6" s="16">
        <v>1.123</v>
      </c>
      <c r="H6" s="16">
        <v>1.431</v>
      </c>
      <c r="I6">
        <f t="shared" si="0"/>
        <v>-5.0949999999999998</v>
      </c>
      <c r="J6">
        <f t="shared" si="1"/>
        <v>-6.16</v>
      </c>
      <c r="K6" s="31">
        <v>3</v>
      </c>
    </row>
    <row r="7" spans="1:11" x14ac:dyDescent="0.25">
      <c r="A7" s="15" t="s">
        <v>27</v>
      </c>
      <c r="B7" s="15" t="s">
        <v>33</v>
      </c>
      <c r="C7" s="17">
        <v>2.4335648148148151E-3</v>
      </c>
      <c r="D7" s="15">
        <v>7.96</v>
      </c>
      <c r="E7" s="16">
        <v>7.0000000000000001E-3</v>
      </c>
      <c r="F7" s="16">
        <v>-5.0000000000000001E-3</v>
      </c>
      <c r="G7" s="16">
        <v>1.1659999999999999</v>
      </c>
      <c r="H7" s="14">
        <v>1.4730000000000001</v>
      </c>
      <c r="I7">
        <f t="shared" si="0"/>
        <v>-5.0519999999999996</v>
      </c>
      <c r="J7">
        <f t="shared" si="1"/>
        <v>-6.1180000000000003</v>
      </c>
      <c r="K7" s="32">
        <v>4</v>
      </c>
    </row>
    <row r="8" spans="1:11" x14ac:dyDescent="0.25">
      <c r="A8" s="15" t="s">
        <v>27</v>
      </c>
      <c r="B8" s="15" t="s">
        <v>34</v>
      </c>
      <c r="C8" s="17">
        <v>2.4267361111111108E-3</v>
      </c>
      <c r="D8" s="15">
        <v>8.0500000000000007</v>
      </c>
      <c r="E8" s="16">
        <v>8.9999999999999993E-3</v>
      </c>
      <c r="F8" s="16">
        <v>8.0000000000000002E-3</v>
      </c>
      <c r="G8" s="16">
        <v>1.123</v>
      </c>
      <c r="H8" s="16">
        <v>1.4139999999999999</v>
      </c>
      <c r="I8">
        <f t="shared" si="0"/>
        <v>-5.0949999999999998</v>
      </c>
      <c r="J8">
        <f t="shared" si="1"/>
        <v>-6.1770000000000005</v>
      </c>
      <c r="K8" s="32">
        <v>5</v>
      </c>
    </row>
    <row r="9" spans="1:11" ht="30" x14ac:dyDescent="0.25">
      <c r="A9" s="15" t="s">
        <v>27</v>
      </c>
      <c r="B9" s="15" t="s">
        <v>44</v>
      </c>
      <c r="C9" s="15" t="s">
        <v>131</v>
      </c>
      <c r="D9" s="15">
        <v>0</v>
      </c>
      <c r="E9" s="27">
        <v>-8.9999999999999993E-3</v>
      </c>
      <c r="F9" s="16">
        <v>-2.5999999999999999E-2</v>
      </c>
      <c r="G9" s="16">
        <v>1.1339999999999999</v>
      </c>
      <c r="H9" s="16">
        <v>1.3879999999999999</v>
      </c>
      <c r="I9">
        <f t="shared" si="0"/>
        <v>-5.0839999999999996</v>
      </c>
      <c r="J9">
        <f t="shared" si="1"/>
        <v>-6.2030000000000003</v>
      </c>
    </row>
    <row r="10" spans="1:11" ht="30" x14ac:dyDescent="0.25">
      <c r="A10" s="15" t="s">
        <v>27</v>
      </c>
      <c r="B10" s="15" t="s">
        <v>28</v>
      </c>
      <c r="C10" s="15" t="s">
        <v>132</v>
      </c>
      <c r="D10" s="15">
        <v>7.42</v>
      </c>
      <c r="E10" s="16">
        <v>1E-3</v>
      </c>
      <c r="F10" s="16">
        <v>5.0000000000000001E-3</v>
      </c>
      <c r="G10" s="16">
        <v>1.0389999999999999</v>
      </c>
      <c r="H10" s="16">
        <v>1.246</v>
      </c>
      <c r="I10">
        <f t="shared" si="0"/>
        <v>-5.1790000000000003</v>
      </c>
      <c r="J10">
        <f t="shared" si="1"/>
        <v>-6.3450000000000006</v>
      </c>
      <c r="K10" s="32">
        <v>6</v>
      </c>
    </row>
    <row r="11" spans="1:11" x14ac:dyDescent="0.25">
      <c r="A11" s="15" t="s">
        <v>27</v>
      </c>
      <c r="B11" s="15" t="s">
        <v>31</v>
      </c>
      <c r="C11" s="17">
        <v>3.5982638888888887E-3</v>
      </c>
      <c r="D11" s="15">
        <v>8.09</v>
      </c>
      <c r="E11" s="16">
        <v>8.9999999999999993E-3</v>
      </c>
      <c r="F11" s="16">
        <v>5.0000000000000001E-3</v>
      </c>
      <c r="G11" s="16">
        <v>1.1759999999999999</v>
      </c>
      <c r="H11" s="16">
        <v>1.41</v>
      </c>
      <c r="I11">
        <f t="shared" si="0"/>
        <v>-5.0419999999999998</v>
      </c>
      <c r="J11">
        <f t="shared" si="1"/>
        <v>-6.181</v>
      </c>
      <c r="K11" s="32">
        <v>7</v>
      </c>
    </row>
    <row r="12" spans="1:11" x14ac:dyDescent="0.25">
      <c r="A12" s="15" t="s">
        <v>27</v>
      </c>
      <c r="B12" s="15" t="s">
        <v>32</v>
      </c>
      <c r="C12" s="17">
        <v>2.4575231481481483E-3</v>
      </c>
      <c r="D12" s="15">
        <v>8.08</v>
      </c>
      <c r="E12" s="14">
        <v>1.2999999999999999E-2</v>
      </c>
      <c r="F12" s="16">
        <v>6.0000000000000001E-3</v>
      </c>
      <c r="G12" s="16">
        <v>1.181</v>
      </c>
      <c r="H12" s="16">
        <v>1.399</v>
      </c>
      <c r="I12">
        <f t="shared" si="0"/>
        <v>-5.0369999999999999</v>
      </c>
      <c r="J12">
        <f t="shared" si="1"/>
        <v>-6.1920000000000002</v>
      </c>
      <c r="K12" s="32">
        <v>8</v>
      </c>
    </row>
    <row r="13" spans="1:11" x14ac:dyDescent="0.25">
      <c r="A13" s="15" t="s">
        <v>27</v>
      </c>
      <c r="B13" s="15" t="s">
        <v>32</v>
      </c>
      <c r="C13" s="17">
        <v>2.4393518518518518E-3</v>
      </c>
      <c r="D13" s="15">
        <v>0</v>
      </c>
      <c r="E13" s="16">
        <v>0.01</v>
      </c>
      <c r="F13" s="16">
        <v>4.0000000000000001E-3</v>
      </c>
      <c r="G13" s="16">
        <v>1.2450000000000001</v>
      </c>
      <c r="H13" s="16">
        <v>1.446</v>
      </c>
      <c r="I13">
        <f t="shared" si="0"/>
        <v>-4.9729999999999999</v>
      </c>
      <c r="J13">
        <f t="shared" si="1"/>
        <v>-6.1450000000000005</v>
      </c>
    </row>
    <row r="14" spans="1:11" ht="30" x14ac:dyDescent="0.25">
      <c r="A14" s="15" t="s">
        <v>27</v>
      </c>
      <c r="B14" s="15" t="s">
        <v>33</v>
      </c>
      <c r="C14" s="15" t="s">
        <v>133</v>
      </c>
      <c r="D14" s="15">
        <v>0</v>
      </c>
      <c r="E14" s="16">
        <v>2E-3</v>
      </c>
      <c r="F14" s="16">
        <v>-2.5999999999999999E-2</v>
      </c>
      <c r="G14" s="16">
        <v>1.2649999999999999</v>
      </c>
      <c r="H14" s="16">
        <v>1.4259999999999999</v>
      </c>
      <c r="I14">
        <f t="shared" si="0"/>
        <v>-4.9530000000000003</v>
      </c>
      <c r="J14">
        <f t="shared" si="1"/>
        <v>-6.165</v>
      </c>
    </row>
    <row r="15" spans="1:11" ht="30" x14ac:dyDescent="0.25">
      <c r="A15" s="15" t="s">
        <v>27</v>
      </c>
      <c r="B15" s="15" t="s">
        <v>28</v>
      </c>
      <c r="C15" s="15" t="s">
        <v>134</v>
      </c>
      <c r="D15" s="15">
        <v>15.8</v>
      </c>
      <c r="E15" s="16">
        <v>1E-3</v>
      </c>
      <c r="F15" s="16">
        <v>0.01</v>
      </c>
      <c r="G15" s="16">
        <v>1.1970000000000001</v>
      </c>
      <c r="H15" s="16">
        <v>1.383</v>
      </c>
      <c r="I15">
        <f t="shared" si="0"/>
        <v>-5.0209999999999999</v>
      </c>
      <c r="J15">
        <f t="shared" si="1"/>
        <v>-6.2080000000000002</v>
      </c>
      <c r="K15" s="32">
        <v>9</v>
      </c>
    </row>
    <row r="16" spans="1:11" x14ac:dyDescent="0.25">
      <c r="A16" s="15" t="s">
        <v>27</v>
      </c>
      <c r="B16" s="15" t="s">
        <v>31</v>
      </c>
      <c r="C16" s="17">
        <v>2.4428240740740738E-3</v>
      </c>
      <c r="D16" s="15">
        <v>8.2100000000000009</v>
      </c>
      <c r="E16" s="16">
        <v>8.9999999999999993E-3</v>
      </c>
      <c r="F16" s="16">
        <v>4.0000000000000001E-3</v>
      </c>
      <c r="G16" s="16">
        <v>1.26</v>
      </c>
      <c r="H16" s="16">
        <v>1.3620000000000001</v>
      </c>
      <c r="I16">
        <f t="shared" si="0"/>
        <v>-4.9580000000000002</v>
      </c>
      <c r="J16">
        <f t="shared" si="1"/>
        <v>-6.2290000000000001</v>
      </c>
      <c r="K16" s="32">
        <v>10</v>
      </c>
    </row>
    <row r="17" spans="1:11" ht="30" x14ac:dyDescent="0.25">
      <c r="A17" s="15" t="s">
        <v>27</v>
      </c>
      <c r="B17" s="13" t="s">
        <v>32</v>
      </c>
      <c r="C17" s="13" t="s">
        <v>135</v>
      </c>
      <c r="D17" s="15">
        <v>8.23</v>
      </c>
      <c r="E17" s="16">
        <v>1.0999999999999999E-2</v>
      </c>
      <c r="F17" s="16">
        <v>6.0000000000000001E-3</v>
      </c>
      <c r="G17" s="14">
        <v>1.339</v>
      </c>
      <c r="H17" s="16">
        <v>1.4259999999999999</v>
      </c>
      <c r="I17">
        <f t="shared" si="0"/>
        <v>-4.8789999999999996</v>
      </c>
      <c r="J17">
        <f t="shared" si="1"/>
        <v>-6.165</v>
      </c>
      <c r="K17" s="32">
        <v>11</v>
      </c>
    </row>
    <row r="18" spans="1:11" ht="30" x14ac:dyDescent="0.25">
      <c r="A18" s="15" t="s">
        <v>27</v>
      </c>
      <c r="B18" s="15" t="s">
        <v>33</v>
      </c>
      <c r="C18" s="15" t="s">
        <v>136</v>
      </c>
      <c r="D18" s="15">
        <v>0</v>
      </c>
      <c r="E18" s="16">
        <v>0</v>
      </c>
      <c r="F18" s="16">
        <v>0</v>
      </c>
      <c r="G18" s="16">
        <v>1.292</v>
      </c>
      <c r="H18" s="16">
        <v>1.383</v>
      </c>
      <c r="I18">
        <f t="shared" si="0"/>
        <v>-4.9260000000000002</v>
      </c>
      <c r="J18">
        <f t="shared" si="1"/>
        <v>-6.2080000000000002</v>
      </c>
    </row>
  </sheetData>
  <mergeCells count="1"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3803-C499-432B-82E3-C743DEA19A1F}">
  <dimension ref="A1:K29"/>
  <sheetViews>
    <sheetView topLeftCell="A19" workbookViewId="0">
      <selection activeCell="I29" sqref="I29:J29"/>
    </sheetView>
  </sheetViews>
  <sheetFormatPr defaultRowHeight="15" x14ac:dyDescent="0.25"/>
  <sheetData>
    <row r="1" spans="1:11" ht="60" x14ac:dyDescent="0.25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110</v>
      </c>
      <c r="F1" s="11" t="s">
        <v>111</v>
      </c>
      <c r="G1" s="11" t="s">
        <v>67</v>
      </c>
      <c r="H1" s="11" t="s">
        <v>68</v>
      </c>
    </row>
    <row r="2" spans="1:11" ht="15" customHeight="1" x14ac:dyDescent="0.25">
      <c r="A2" s="34" t="s">
        <v>137</v>
      </c>
      <c r="B2" s="35"/>
      <c r="C2" s="35"/>
      <c r="D2" s="35"/>
      <c r="E2" s="35"/>
      <c r="F2" s="35"/>
      <c r="G2" s="35"/>
      <c r="H2" s="36"/>
    </row>
    <row r="3" spans="1:11" ht="30" x14ac:dyDescent="0.25">
      <c r="A3" s="15" t="s">
        <v>38</v>
      </c>
      <c r="B3" s="18" t="s">
        <v>28</v>
      </c>
      <c r="C3" s="18" t="s">
        <v>138</v>
      </c>
      <c r="D3" s="15">
        <v>0</v>
      </c>
      <c r="E3" s="19">
        <v>-1.0999999999999999E-2</v>
      </c>
      <c r="F3" s="19">
        <v>-1.2999999999999999E-2</v>
      </c>
      <c r="G3" s="19">
        <v>1.276</v>
      </c>
      <c r="H3" s="19">
        <v>1.4359999999999999</v>
      </c>
      <c r="I3">
        <f>G3-6.218</f>
        <v>-4.9420000000000002</v>
      </c>
      <c r="J3">
        <f>H3-7.591</f>
        <v>-6.1550000000000002</v>
      </c>
    </row>
    <row r="4" spans="1:11" ht="30" x14ac:dyDescent="0.25">
      <c r="A4" s="15" t="s">
        <v>27</v>
      </c>
      <c r="B4" s="15" t="s">
        <v>28</v>
      </c>
      <c r="C4" s="15" t="s">
        <v>139</v>
      </c>
      <c r="D4" s="15">
        <v>7.67</v>
      </c>
      <c r="E4" s="14">
        <v>2.9000000000000001E-2</v>
      </c>
      <c r="F4" s="14">
        <v>4.2000000000000003E-2</v>
      </c>
      <c r="G4" s="16">
        <v>1.387</v>
      </c>
      <c r="H4" s="16">
        <v>1.5840000000000001</v>
      </c>
      <c r="I4">
        <f t="shared" ref="I4:I18" si="0">G4-6.218</f>
        <v>-4.8309999999999995</v>
      </c>
      <c r="J4">
        <f t="shared" ref="J4:J18" si="1">H4-7.591</f>
        <v>-6.0069999999999997</v>
      </c>
      <c r="K4">
        <v>1</v>
      </c>
    </row>
    <row r="5" spans="1:11" x14ac:dyDescent="0.25">
      <c r="A5" s="15" t="s">
        <v>27</v>
      </c>
      <c r="B5" s="15" t="s">
        <v>31</v>
      </c>
      <c r="C5" s="17">
        <v>2.521064814814815E-3</v>
      </c>
      <c r="D5" s="15">
        <v>7.71</v>
      </c>
      <c r="E5" s="16">
        <v>1.0999999999999999E-2</v>
      </c>
      <c r="F5" s="16">
        <v>0.01</v>
      </c>
      <c r="G5" s="16">
        <v>1.403</v>
      </c>
      <c r="H5" s="16">
        <v>1.605</v>
      </c>
      <c r="I5">
        <f t="shared" si="0"/>
        <v>-4.8149999999999995</v>
      </c>
      <c r="J5">
        <f t="shared" si="1"/>
        <v>-5.9860000000000007</v>
      </c>
      <c r="K5" s="33">
        <v>2</v>
      </c>
    </row>
    <row r="6" spans="1:11" x14ac:dyDescent="0.25">
      <c r="A6" s="15" t="s">
        <v>27</v>
      </c>
      <c r="B6" s="15" t="s">
        <v>32</v>
      </c>
      <c r="C6" s="17">
        <v>2.5363425925925926E-3</v>
      </c>
      <c r="D6" s="15">
        <v>7.6</v>
      </c>
      <c r="E6" s="16">
        <v>8.9999999999999993E-3</v>
      </c>
      <c r="F6" s="16">
        <v>6.0000000000000001E-3</v>
      </c>
      <c r="G6" s="16">
        <v>1.4510000000000001</v>
      </c>
      <c r="H6" s="16">
        <v>1.6519999999999999</v>
      </c>
      <c r="I6">
        <f t="shared" si="0"/>
        <v>-4.7669999999999995</v>
      </c>
      <c r="J6">
        <f t="shared" si="1"/>
        <v>-5.9390000000000001</v>
      </c>
      <c r="K6" s="33">
        <v>3</v>
      </c>
    </row>
    <row r="7" spans="1:11" x14ac:dyDescent="0.25">
      <c r="A7" s="15" t="s">
        <v>27</v>
      </c>
      <c r="B7" s="15" t="s">
        <v>33</v>
      </c>
      <c r="C7" s="17">
        <v>2.4795138888888892E-3</v>
      </c>
      <c r="D7" s="15">
        <v>7.97</v>
      </c>
      <c r="E7" s="16">
        <v>7.0000000000000001E-3</v>
      </c>
      <c r="F7" s="16">
        <v>5.0000000000000001E-3</v>
      </c>
      <c r="G7" s="16">
        <v>1.482</v>
      </c>
      <c r="H7" s="16">
        <v>1.6579999999999999</v>
      </c>
      <c r="I7">
        <f t="shared" si="0"/>
        <v>-4.7359999999999998</v>
      </c>
      <c r="J7">
        <f t="shared" si="1"/>
        <v>-5.9329999999999998</v>
      </c>
      <c r="K7" s="33">
        <v>4</v>
      </c>
    </row>
    <row r="8" spans="1:11" ht="30" x14ac:dyDescent="0.25">
      <c r="A8" s="15" t="s">
        <v>27</v>
      </c>
      <c r="B8" s="15" t="s">
        <v>34</v>
      </c>
      <c r="C8" s="15" t="s">
        <v>140</v>
      </c>
      <c r="D8" s="15">
        <v>0</v>
      </c>
      <c r="E8" s="27">
        <v>-2E-3</v>
      </c>
      <c r="F8" s="16">
        <v>-1.4E-2</v>
      </c>
      <c r="G8" s="16">
        <v>1.4970000000000001</v>
      </c>
      <c r="H8" s="16">
        <v>1.631</v>
      </c>
      <c r="I8">
        <f t="shared" si="0"/>
        <v>-4.7210000000000001</v>
      </c>
      <c r="J8">
        <f t="shared" si="1"/>
        <v>-5.96</v>
      </c>
      <c r="K8" s="33">
        <v>5</v>
      </c>
    </row>
    <row r="9" spans="1:11" ht="30" x14ac:dyDescent="0.25">
      <c r="A9" s="15" t="s">
        <v>27</v>
      </c>
      <c r="B9" s="15" t="s">
        <v>28</v>
      </c>
      <c r="C9" s="15" t="s">
        <v>141</v>
      </c>
      <c r="D9" s="15">
        <v>0</v>
      </c>
      <c r="E9" s="16">
        <v>3.0000000000000001E-3</v>
      </c>
      <c r="F9" s="16">
        <v>-1E-3</v>
      </c>
      <c r="G9" s="16">
        <v>1.5609999999999999</v>
      </c>
      <c r="H9" s="16">
        <v>1.5840000000000001</v>
      </c>
      <c r="I9">
        <f t="shared" si="0"/>
        <v>-4.657</v>
      </c>
      <c r="J9">
        <f t="shared" si="1"/>
        <v>-6.0069999999999997</v>
      </c>
      <c r="K9" s="33">
        <v>6</v>
      </c>
    </row>
    <row r="10" spans="1:11" x14ac:dyDescent="0.25">
      <c r="A10" s="15" t="s">
        <v>27</v>
      </c>
      <c r="B10" s="15" t="s">
        <v>31</v>
      </c>
      <c r="C10" s="17">
        <v>2.5193287037037037E-3</v>
      </c>
      <c r="D10" s="15">
        <v>0</v>
      </c>
      <c r="E10" s="16">
        <v>5.0000000000000001E-3</v>
      </c>
      <c r="F10" s="16">
        <v>7.0000000000000001E-3</v>
      </c>
      <c r="G10" s="16">
        <v>1.482</v>
      </c>
      <c r="H10" s="16">
        <v>1.5940000000000001</v>
      </c>
      <c r="I10">
        <f t="shared" si="0"/>
        <v>-4.7359999999999998</v>
      </c>
      <c r="J10">
        <f t="shared" si="1"/>
        <v>-5.9969999999999999</v>
      </c>
      <c r="K10" s="33">
        <v>7</v>
      </c>
    </row>
    <row r="11" spans="1:11" x14ac:dyDescent="0.25">
      <c r="A11" s="15" t="s">
        <v>27</v>
      </c>
      <c r="B11" s="15" t="s">
        <v>32</v>
      </c>
      <c r="C11" s="17">
        <v>2.5099537037037035E-3</v>
      </c>
      <c r="D11" s="15">
        <v>0</v>
      </c>
      <c r="E11" s="16">
        <v>4.0000000000000001E-3</v>
      </c>
      <c r="F11" s="16">
        <v>1E-3</v>
      </c>
      <c r="G11" s="16">
        <v>1.482</v>
      </c>
      <c r="H11" s="16">
        <v>1.589</v>
      </c>
      <c r="I11">
        <f t="shared" si="0"/>
        <v>-4.7359999999999998</v>
      </c>
      <c r="J11">
        <f t="shared" si="1"/>
        <v>-6.0020000000000007</v>
      </c>
      <c r="K11" s="33">
        <v>8</v>
      </c>
    </row>
    <row r="12" spans="1:11" x14ac:dyDescent="0.25">
      <c r="A12" s="15" t="s">
        <v>27</v>
      </c>
      <c r="B12" s="15" t="s">
        <v>33</v>
      </c>
      <c r="C12" s="17">
        <v>2.5057870370370368E-3</v>
      </c>
      <c r="D12" s="15">
        <v>0</v>
      </c>
      <c r="E12" s="16">
        <v>8.9999999999999993E-3</v>
      </c>
      <c r="F12" s="16">
        <v>7.0000000000000001E-3</v>
      </c>
      <c r="G12" s="16">
        <v>1.5129999999999999</v>
      </c>
      <c r="H12" s="16">
        <v>1.5840000000000001</v>
      </c>
      <c r="I12">
        <f t="shared" si="0"/>
        <v>-4.7050000000000001</v>
      </c>
      <c r="J12">
        <f t="shared" si="1"/>
        <v>-6.0069999999999997</v>
      </c>
      <c r="K12" s="33">
        <v>9</v>
      </c>
    </row>
    <row r="13" spans="1:11" ht="30" x14ac:dyDescent="0.25">
      <c r="A13" s="15" t="s">
        <v>27</v>
      </c>
      <c r="B13" s="15" t="s">
        <v>34</v>
      </c>
      <c r="C13" s="15" t="s">
        <v>142</v>
      </c>
      <c r="D13" s="15">
        <v>0</v>
      </c>
      <c r="E13" s="16">
        <v>8.0000000000000002E-3</v>
      </c>
      <c r="F13" s="16">
        <v>3.0000000000000001E-3</v>
      </c>
      <c r="G13" s="16">
        <v>1.5920000000000001</v>
      </c>
      <c r="H13" s="16">
        <v>1.5840000000000001</v>
      </c>
      <c r="I13">
        <f t="shared" si="0"/>
        <v>-4.6259999999999994</v>
      </c>
      <c r="J13">
        <f t="shared" si="1"/>
        <v>-6.0069999999999997</v>
      </c>
      <c r="K13" s="33">
        <v>10</v>
      </c>
    </row>
    <row r="14" spans="1:11" ht="30" x14ac:dyDescent="0.25">
      <c r="A14" s="15" t="s">
        <v>27</v>
      </c>
      <c r="B14" s="15" t="s">
        <v>28</v>
      </c>
      <c r="C14" s="15" t="s">
        <v>143</v>
      </c>
      <c r="D14" s="15">
        <v>15.46</v>
      </c>
      <c r="E14" s="16">
        <v>8.9999999999999993E-3</v>
      </c>
      <c r="F14" s="16">
        <v>4.0000000000000001E-3</v>
      </c>
      <c r="G14" s="16">
        <v>1.5509999999999999</v>
      </c>
      <c r="H14" s="16">
        <v>1.589</v>
      </c>
      <c r="I14">
        <f t="shared" si="0"/>
        <v>-4.6669999999999998</v>
      </c>
      <c r="J14">
        <f t="shared" si="1"/>
        <v>-6.0020000000000007</v>
      </c>
      <c r="K14" s="33">
        <v>11</v>
      </c>
    </row>
    <row r="15" spans="1:11" x14ac:dyDescent="0.25">
      <c r="A15" s="15" t="s">
        <v>27</v>
      </c>
      <c r="B15" s="15" t="s">
        <v>31</v>
      </c>
      <c r="C15" s="17">
        <v>3.1888888888888891E-3</v>
      </c>
      <c r="D15" s="13">
        <v>7.45</v>
      </c>
      <c r="E15" s="16">
        <v>6.0000000000000001E-3</v>
      </c>
      <c r="F15" s="16">
        <v>6.0000000000000001E-3</v>
      </c>
      <c r="G15" s="16">
        <v>1.5509999999999999</v>
      </c>
      <c r="H15" s="16">
        <v>1.61</v>
      </c>
      <c r="I15">
        <f t="shared" si="0"/>
        <v>-4.6669999999999998</v>
      </c>
      <c r="J15">
        <f t="shared" si="1"/>
        <v>-5.9809999999999999</v>
      </c>
      <c r="K15" s="33">
        <v>12</v>
      </c>
    </row>
    <row r="16" spans="1:11" x14ac:dyDescent="0.25">
      <c r="A16" s="15" t="s">
        <v>27</v>
      </c>
      <c r="B16" s="15" t="s">
        <v>32</v>
      </c>
      <c r="C16" s="17">
        <v>2.83125E-3</v>
      </c>
      <c r="D16" s="15">
        <v>7.65</v>
      </c>
      <c r="E16" s="16">
        <v>2E-3</v>
      </c>
      <c r="F16" s="16">
        <v>4.0000000000000001E-3</v>
      </c>
      <c r="G16" s="16">
        <v>1.54</v>
      </c>
      <c r="H16" s="16">
        <v>1.6579999999999999</v>
      </c>
      <c r="I16">
        <f t="shared" si="0"/>
        <v>-4.6779999999999999</v>
      </c>
      <c r="J16">
        <f t="shared" si="1"/>
        <v>-5.9329999999999998</v>
      </c>
      <c r="K16" s="33">
        <v>13</v>
      </c>
    </row>
    <row r="17" spans="1:11" x14ac:dyDescent="0.25">
      <c r="A17" s="15" t="s">
        <v>27</v>
      </c>
      <c r="B17" s="15" t="s">
        <v>33</v>
      </c>
      <c r="C17" s="17">
        <v>2.5331018518518519E-3</v>
      </c>
      <c r="D17" s="15">
        <v>8.0399999999999991</v>
      </c>
      <c r="E17" s="16">
        <v>1.2999999999999999E-2</v>
      </c>
      <c r="F17" s="16">
        <v>7.0000000000000001E-3</v>
      </c>
      <c r="G17" s="16">
        <v>1.587</v>
      </c>
      <c r="H17" s="16">
        <v>1.6519999999999999</v>
      </c>
      <c r="I17">
        <f t="shared" si="0"/>
        <v>-4.6310000000000002</v>
      </c>
      <c r="J17">
        <f t="shared" si="1"/>
        <v>-5.9390000000000001</v>
      </c>
      <c r="K17" s="33">
        <v>14</v>
      </c>
    </row>
    <row r="18" spans="1:11" ht="30" x14ac:dyDescent="0.25">
      <c r="A18" s="15" t="s">
        <v>27</v>
      </c>
      <c r="B18" s="15" t="s">
        <v>34</v>
      </c>
      <c r="C18" s="15" t="s">
        <v>144</v>
      </c>
      <c r="D18" s="15">
        <v>0</v>
      </c>
      <c r="E18" s="16">
        <v>8.9999999999999993E-3</v>
      </c>
      <c r="F18" s="16">
        <v>2.1999999999999999E-2</v>
      </c>
      <c r="G18" s="16">
        <v>1.5980000000000001</v>
      </c>
      <c r="H18" s="16">
        <v>1.6839999999999999</v>
      </c>
      <c r="I18">
        <f t="shared" si="0"/>
        <v>-4.62</v>
      </c>
      <c r="J18">
        <f t="shared" si="1"/>
        <v>-5.907</v>
      </c>
      <c r="K18" s="33">
        <v>15</v>
      </c>
    </row>
    <row r="19" spans="1:11" ht="30" x14ac:dyDescent="0.25">
      <c r="A19" s="15" t="s">
        <v>27</v>
      </c>
      <c r="B19" s="15" t="s">
        <v>28</v>
      </c>
      <c r="C19" s="15" t="s">
        <v>145</v>
      </c>
      <c r="D19" s="15">
        <v>7.63</v>
      </c>
      <c r="E19" s="16">
        <v>1.4999999999999999E-2</v>
      </c>
      <c r="F19" s="16">
        <v>1E-3</v>
      </c>
      <c r="G19" s="16">
        <v>1.651</v>
      </c>
      <c r="H19" s="16">
        <v>1.8109999999999999</v>
      </c>
      <c r="I19">
        <f>G19-6.218</f>
        <v>-4.5670000000000002</v>
      </c>
      <c r="J19">
        <f>H19-7.591</f>
        <v>-5.78</v>
      </c>
      <c r="K19" s="33">
        <v>16</v>
      </c>
    </row>
    <row r="20" spans="1:11" x14ac:dyDescent="0.25">
      <c r="A20" s="15" t="s">
        <v>27</v>
      </c>
      <c r="B20" s="15" t="s">
        <v>31</v>
      </c>
      <c r="C20" s="17">
        <v>2.4775462962962963E-3</v>
      </c>
      <c r="D20" s="15">
        <v>8.0299999999999994</v>
      </c>
      <c r="E20" s="16">
        <v>1.2E-2</v>
      </c>
      <c r="F20" s="16">
        <v>0</v>
      </c>
      <c r="G20" s="16">
        <v>1.7190000000000001</v>
      </c>
      <c r="H20" s="16">
        <v>1.726</v>
      </c>
      <c r="I20">
        <f t="shared" ref="I20:I29" si="2">G20-6.218</f>
        <v>-4.4989999999999997</v>
      </c>
      <c r="J20">
        <f t="shared" ref="J20:J29" si="3">H20-7.591</f>
        <v>-5.8650000000000002</v>
      </c>
      <c r="K20" s="33">
        <v>17</v>
      </c>
    </row>
    <row r="21" spans="1:11" ht="30" x14ac:dyDescent="0.25">
      <c r="A21" s="15" t="s">
        <v>27</v>
      </c>
      <c r="B21" s="13" t="s">
        <v>32</v>
      </c>
      <c r="C21" s="13" t="s">
        <v>146</v>
      </c>
      <c r="D21" s="15">
        <v>8.0500000000000007</v>
      </c>
      <c r="E21" s="16">
        <v>0.01</v>
      </c>
      <c r="F21" s="16">
        <v>7.0000000000000001E-3</v>
      </c>
      <c r="G21" s="16">
        <v>1.788</v>
      </c>
      <c r="H21" s="16">
        <v>1.7110000000000001</v>
      </c>
      <c r="I21">
        <f t="shared" si="2"/>
        <v>-4.43</v>
      </c>
      <c r="J21">
        <f t="shared" si="3"/>
        <v>-5.88</v>
      </c>
      <c r="K21" s="33">
        <v>18</v>
      </c>
    </row>
    <row r="22" spans="1:11" ht="30" x14ac:dyDescent="0.25">
      <c r="A22" s="15" t="s">
        <v>27</v>
      </c>
      <c r="B22" s="15" t="s">
        <v>33</v>
      </c>
      <c r="C22" s="15" t="s">
        <v>147</v>
      </c>
      <c r="D22" s="15">
        <v>0</v>
      </c>
      <c r="E22" s="16">
        <v>4.0000000000000001E-3</v>
      </c>
      <c r="F22" s="16">
        <v>7.0000000000000001E-3</v>
      </c>
      <c r="G22" s="16">
        <v>1.756</v>
      </c>
      <c r="H22" s="16">
        <v>1.7210000000000001</v>
      </c>
      <c r="I22">
        <f t="shared" si="2"/>
        <v>-4.4619999999999997</v>
      </c>
      <c r="J22">
        <f t="shared" si="3"/>
        <v>-5.87</v>
      </c>
      <c r="K22" s="33">
        <v>19</v>
      </c>
    </row>
    <row r="23" spans="1:11" ht="30" x14ac:dyDescent="0.25">
      <c r="A23" s="15" t="s">
        <v>27</v>
      </c>
      <c r="B23" s="15" t="s">
        <v>28</v>
      </c>
      <c r="C23" s="15" t="s">
        <v>148</v>
      </c>
      <c r="D23" s="15">
        <v>0</v>
      </c>
      <c r="E23" s="16">
        <v>3.0000000000000001E-3</v>
      </c>
      <c r="F23" s="16">
        <v>4.0000000000000001E-3</v>
      </c>
      <c r="G23" s="16">
        <v>1.7769999999999999</v>
      </c>
      <c r="H23" s="16">
        <v>1.7629999999999999</v>
      </c>
      <c r="I23">
        <f t="shared" si="2"/>
        <v>-4.4409999999999998</v>
      </c>
      <c r="J23">
        <f t="shared" si="3"/>
        <v>-5.8280000000000003</v>
      </c>
      <c r="K23" s="33">
        <v>20</v>
      </c>
    </row>
    <row r="24" spans="1:11" x14ac:dyDescent="0.25">
      <c r="A24" s="15" t="s">
        <v>27</v>
      </c>
      <c r="B24" s="15" t="s">
        <v>31</v>
      </c>
      <c r="C24" s="17">
        <v>2.4440972222222221E-3</v>
      </c>
      <c r="D24" s="15">
        <v>0</v>
      </c>
      <c r="E24" s="16">
        <v>8.0000000000000002E-3</v>
      </c>
      <c r="F24" s="16">
        <v>4.0000000000000001E-3</v>
      </c>
      <c r="G24" s="16">
        <v>1.7769999999999999</v>
      </c>
      <c r="H24" s="16">
        <v>1.8160000000000001</v>
      </c>
      <c r="I24">
        <f t="shared" si="2"/>
        <v>-4.4409999999999998</v>
      </c>
      <c r="J24">
        <f t="shared" si="3"/>
        <v>-5.7750000000000004</v>
      </c>
      <c r="K24" s="33">
        <v>21</v>
      </c>
    </row>
    <row r="25" spans="1:11" ht="30" x14ac:dyDescent="0.25">
      <c r="A25" s="15" t="s">
        <v>27</v>
      </c>
      <c r="B25" s="15" t="s">
        <v>32</v>
      </c>
      <c r="C25" s="15" t="s">
        <v>149</v>
      </c>
      <c r="D25" s="15">
        <v>0</v>
      </c>
      <c r="E25" s="16">
        <v>2E-3</v>
      </c>
      <c r="F25" s="16">
        <v>3.0000000000000001E-3</v>
      </c>
      <c r="G25" s="16">
        <v>1.788</v>
      </c>
      <c r="H25" s="16">
        <v>1.806</v>
      </c>
      <c r="I25">
        <f t="shared" si="2"/>
        <v>-4.43</v>
      </c>
      <c r="J25">
        <f t="shared" si="3"/>
        <v>-5.7850000000000001</v>
      </c>
      <c r="K25" s="33">
        <v>22</v>
      </c>
    </row>
    <row r="26" spans="1:11" ht="30" x14ac:dyDescent="0.25">
      <c r="A26" s="15" t="s">
        <v>27</v>
      </c>
      <c r="B26" s="15" t="s">
        <v>28</v>
      </c>
      <c r="C26" s="15" t="s">
        <v>150</v>
      </c>
      <c r="D26" s="15">
        <v>15.76</v>
      </c>
      <c r="E26" s="16">
        <v>0.01</v>
      </c>
      <c r="F26" s="16">
        <v>5.0000000000000001E-3</v>
      </c>
      <c r="G26" s="16">
        <v>1.8240000000000001</v>
      </c>
      <c r="H26" s="16">
        <v>1.8</v>
      </c>
      <c r="I26">
        <f t="shared" si="2"/>
        <v>-4.3940000000000001</v>
      </c>
      <c r="J26">
        <f t="shared" si="3"/>
        <v>-5.7910000000000004</v>
      </c>
      <c r="K26" s="33">
        <v>23</v>
      </c>
    </row>
    <row r="27" spans="1:11" x14ac:dyDescent="0.25">
      <c r="A27" s="15" t="s">
        <v>27</v>
      </c>
      <c r="B27" s="15" t="s">
        <v>31</v>
      </c>
      <c r="C27" s="17">
        <v>2.4525462962962964E-3</v>
      </c>
      <c r="D27" s="15">
        <v>8.02</v>
      </c>
      <c r="E27" s="16">
        <v>8.9999999999999993E-3</v>
      </c>
      <c r="F27" s="16">
        <v>6.0000000000000001E-3</v>
      </c>
      <c r="G27" s="16">
        <v>1.8620000000000001</v>
      </c>
      <c r="H27" s="16">
        <v>1.837</v>
      </c>
      <c r="I27">
        <f t="shared" si="2"/>
        <v>-4.3559999999999999</v>
      </c>
      <c r="J27">
        <f t="shared" si="3"/>
        <v>-5.7540000000000004</v>
      </c>
      <c r="K27" s="33">
        <v>24</v>
      </c>
    </row>
    <row r="28" spans="1:11" x14ac:dyDescent="0.25">
      <c r="A28" s="15" t="s">
        <v>27</v>
      </c>
      <c r="B28" s="15" t="s">
        <v>32</v>
      </c>
      <c r="C28" s="17">
        <v>2.4789351851851851E-3</v>
      </c>
      <c r="D28" s="15">
        <v>7.89</v>
      </c>
      <c r="E28" s="16">
        <v>1.4999999999999999E-2</v>
      </c>
      <c r="F28" s="16">
        <v>8.0000000000000002E-3</v>
      </c>
      <c r="G28" s="16">
        <v>1.8620000000000001</v>
      </c>
      <c r="H28" s="16">
        <v>1.837</v>
      </c>
      <c r="I28">
        <f t="shared" si="2"/>
        <v>-4.3559999999999999</v>
      </c>
      <c r="J28">
        <f t="shared" si="3"/>
        <v>-5.7540000000000004</v>
      </c>
      <c r="K28" s="33">
        <v>25</v>
      </c>
    </row>
    <row r="29" spans="1:11" ht="30" x14ac:dyDescent="0.25">
      <c r="A29" s="15" t="s">
        <v>27</v>
      </c>
      <c r="B29" s="15" t="s">
        <v>33</v>
      </c>
      <c r="C29" s="15" t="s">
        <v>151</v>
      </c>
      <c r="D29" s="15">
        <v>0</v>
      </c>
      <c r="E29" s="16">
        <v>0</v>
      </c>
      <c r="F29" s="16">
        <v>0</v>
      </c>
      <c r="G29" s="14">
        <v>1.8779999999999999</v>
      </c>
      <c r="H29" s="14">
        <v>1.8680000000000001</v>
      </c>
      <c r="I29">
        <f t="shared" si="2"/>
        <v>-4.34</v>
      </c>
      <c r="J29">
        <f t="shared" si="3"/>
        <v>-5.7229999999999999</v>
      </c>
      <c r="K29" s="33">
        <v>26</v>
      </c>
    </row>
  </sheetData>
  <mergeCells count="1"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B695-83FE-4111-895B-4B62A8089712}">
  <dimension ref="A1:E69"/>
  <sheetViews>
    <sheetView topLeftCell="A52" workbookViewId="0">
      <selection activeCell="E71" sqref="E71"/>
    </sheetView>
  </sheetViews>
  <sheetFormatPr defaultRowHeight="15" x14ac:dyDescent="0.25"/>
  <cols>
    <col min="3" max="3" width="23" customWidth="1"/>
    <col min="4" max="4" width="21.5703125" customWidth="1"/>
    <col min="5" max="5" width="31.5703125" customWidth="1"/>
  </cols>
  <sheetData>
    <row r="1" spans="1:5" ht="30" x14ac:dyDescent="0.25">
      <c r="A1" s="11" t="s">
        <v>14</v>
      </c>
      <c r="B1" s="11" t="s">
        <v>15</v>
      </c>
      <c r="C1" s="11" t="s">
        <v>16</v>
      </c>
      <c r="D1" s="11" t="s">
        <v>67</v>
      </c>
      <c r="E1" s="11" t="s">
        <v>68</v>
      </c>
    </row>
    <row r="2" spans="1:5" ht="15" customHeight="1" x14ac:dyDescent="0.25">
      <c r="A2" s="34" t="s">
        <v>69</v>
      </c>
      <c r="B2" s="35"/>
      <c r="C2" s="35"/>
      <c r="D2" s="35"/>
      <c r="E2" s="36"/>
    </row>
    <row r="3" spans="1:5" x14ac:dyDescent="0.25">
      <c r="A3" s="12"/>
      <c r="B3" s="21" t="s">
        <v>70</v>
      </c>
      <c r="C3" s="21" t="s">
        <v>70</v>
      </c>
      <c r="D3" s="12"/>
      <c r="E3" s="12"/>
    </row>
    <row r="4" spans="1:5" x14ac:dyDescent="0.25">
      <c r="A4" s="15" t="s">
        <v>38</v>
      </c>
      <c r="B4" s="18" t="s">
        <v>28</v>
      </c>
      <c r="C4" s="22">
        <v>6.671296296296296E-4</v>
      </c>
      <c r="D4" s="19">
        <v>-10.257</v>
      </c>
      <c r="E4" s="19">
        <v>-9.7080000000000002</v>
      </c>
    </row>
    <row r="5" spans="1:5" x14ac:dyDescent="0.25">
      <c r="A5" s="15" t="s">
        <v>38</v>
      </c>
      <c r="B5" s="18" t="s">
        <v>28</v>
      </c>
      <c r="C5" s="18" t="s">
        <v>71</v>
      </c>
      <c r="D5" s="19">
        <v>-9.8089999999999993</v>
      </c>
      <c r="E5" s="19">
        <v>-9.5809999999999995</v>
      </c>
    </row>
    <row r="6" spans="1:5" x14ac:dyDescent="0.25">
      <c r="A6" s="15" t="s">
        <v>38</v>
      </c>
      <c r="B6" s="18" t="s">
        <v>28</v>
      </c>
      <c r="C6" s="18" t="s">
        <v>72</v>
      </c>
      <c r="D6" s="19">
        <v>-9.6769999999999996</v>
      </c>
      <c r="E6" s="19">
        <v>-9.4909999999999997</v>
      </c>
    </row>
    <row r="7" spans="1:5" x14ac:dyDescent="0.25">
      <c r="A7" s="15" t="s">
        <v>38</v>
      </c>
      <c r="B7" s="18" t="s">
        <v>31</v>
      </c>
      <c r="C7" s="22">
        <v>2.5804398148148149E-3</v>
      </c>
      <c r="D7" s="19">
        <v>-9.2710000000000008</v>
      </c>
      <c r="E7" s="19">
        <v>-9.359</v>
      </c>
    </row>
    <row r="8" spans="1:5" x14ac:dyDescent="0.25">
      <c r="A8" s="15" t="s">
        <v>38</v>
      </c>
      <c r="B8" s="18" t="s">
        <v>32</v>
      </c>
      <c r="C8" s="22">
        <v>2.515046296296296E-3</v>
      </c>
      <c r="D8" s="19">
        <v>-8.9700000000000006</v>
      </c>
      <c r="E8" s="19">
        <v>-9.1059999999999999</v>
      </c>
    </row>
    <row r="9" spans="1:5" x14ac:dyDescent="0.25">
      <c r="A9" s="15" t="s">
        <v>38</v>
      </c>
      <c r="B9" s="18" t="s">
        <v>33</v>
      </c>
      <c r="C9" s="22">
        <v>2.5226851851851851E-3</v>
      </c>
      <c r="D9" s="19">
        <v>-8.67</v>
      </c>
      <c r="E9" s="19">
        <v>-8.9949999999999992</v>
      </c>
    </row>
    <row r="10" spans="1:5" x14ac:dyDescent="0.25">
      <c r="A10" s="15" t="s">
        <v>38</v>
      </c>
      <c r="B10" s="18" t="s">
        <v>34</v>
      </c>
      <c r="C10" s="18" t="s">
        <v>73</v>
      </c>
      <c r="D10" s="23">
        <v>-8.5329999999999995</v>
      </c>
      <c r="E10" s="23">
        <v>-8.9049999999999994</v>
      </c>
    </row>
    <row r="11" spans="1:5" x14ac:dyDescent="0.25">
      <c r="A11" s="15" t="s">
        <v>38</v>
      </c>
      <c r="B11" s="18" t="s">
        <v>28</v>
      </c>
      <c r="C11" s="18" t="s">
        <v>74</v>
      </c>
      <c r="D11" s="19">
        <v>-8.4009999999999998</v>
      </c>
      <c r="E11" s="19">
        <v>-8.9480000000000004</v>
      </c>
    </row>
    <row r="12" spans="1:5" x14ac:dyDescent="0.25">
      <c r="A12" s="15" t="s">
        <v>38</v>
      </c>
      <c r="B12" s="18" t="s">
        <v>31</v>
      </c>
      <c r="C12" s="22">
        <v>2.5125E-3</v>
      </c>
      <c r="D12" s="19">
        <v>-8.2690000000000001</v>
      </c>
      <c r="E12" s="19">
        <v>-8.8000000000000007</v>
      </c>
    </row>
    <row r="13" spans="1:5" x14ac:dyDescent="0.25">
      <c r="A13" s="15" t="s">
        <v>38</v>
      </c>
      <c r="B13" s="18" t="s">
        <v>32</v>
      </c>
      <c r="C13" s="18" t="s">
        <v>75</v>
      </c>
      <c r="D13" s="23">
        <v>-8.1110000000000007</v>
      </c>
      <c r="E13" s="23">
        <v>-8.7889999999999997</v>
      </c>
    </row>
    <row r="14" spans="1:5" x14ac:dyDescent="0.25">
      <c r="A14" s="15" t="s">
        <v>38</v>
      </c>
      <c r="B14" s="18" t="s">
        <v>28</v>
      </c>
      <c r="C14" s="18" t="s">
        <v>76</v>
      </c>
      <c r="D14" s="19">
        <v>-8.1630000000000003</v>
      </c>
      <c r="E14" s="19">
        <v>-8.8049999999999997</v>
      </c>
    </row>
    <row r="15" spans="1:5" x14ac:dyDescent="0.25">
      <c r="A15" s="15" t="s">
        <v>38</v>
      </c>
      <c r="B15" s="18" t="s">
        <v>28</v>
      </c>
      <c r="C15" s="18" t="s">
        <v>77</v>
      </c>
      <c r="D15" s="19">
        <v>-8.1630000000000003</v>
      </c>
      <c r="E15" s="19">
        <v>-8.7780000000000005</v>
      </c>
    </row>
    <row r="16" spans="1:5" x14ac:dyDescent="0.25">
      <c r="A16" s="15" t="s">
        <v>38</v>
      </c>
      <c r="B16" s="18" t="s">
        <v>31</v>
      </c>
      <c r="C16" s="22">
        <v>2.5858796296296294E-3</v>
      </c>
      <c r="D16" s="19">
        <v>-8.1010000000000009</v>
      </c>
      <c r="E16" s="19">
        <v>-8.5779999999999994</v>
      </c>
    </row>
    <row r="17" spans="1:5" x14ac:dyDescent="0.25">
      <c r="A17" s="15" t="s">
        <v>38</v>
      </c>
      <c r="B17" s="18" t="s">
        <v>32</v>
      </c>
      <c r="C17" s="22">
        <v>2.5594907407407406E-3</v>
      </c>
      <c r="D17" s="19">
        <v>-8.0419999999999998</v>
      </c>
      <c r="E17" s="19">
        <v>-8.6630000000000003</v>
      </c>
    </row>
    <row r="18" spans="1:5" x14ac:dyDescent="0.25">
      <c r="A18" s="15" t="s">
        <v>38</v>
      </c>
      <c r="B18" s="18" t="s">
        <v>33</v>
      </c>
      <c r="C18" s="22">
        <v>2.5008101851851853E-3</v>
      </c>
      <c r="D18" s="19">
        <v>-7.9160000000000004</v>
      </c>
      <c r="E18" s="19">
        <v>-8.4930000000000003</v>
      </c>
    </row>
    <row r="19" spans="1:5" x14ac:dyDescent="0.25">
      <c r="A19" s="15" t="s">
        <v>38</v>
      </c>
      <c r="B19" s="18" t="s">
        <v>34</v>
      </c>
      <c r="C19" s="18" t="s">
        <v>78</v>
      </c>
      <c r="D19" s="23">
        <v>-7.8259999999999996</v>
      </c>
      <c r="E19" s="23">
        <v>-8.5519999999999996</v>
      </c>
    </row>
    <row r="20" spans="1:5" x14ac:dyDescent="0.25">
      <c r="A20" s="15" t="s">
        <v>38</v>
      </c>
      <c r="B20" s="18" t="s">
        <v>28</v>
      </c>
      <c r="C20" s="18" t="s">
        <v>79</v>
      </c>
      <c r="D20" s="19">
        <v>-7.7939999999999996</v>
      </c>
      <c r="E20" s="19">
        <v>-8.4770000000000003</v>
      </c>
    </row>
    <row r="21" spans="1:5" x14ac:dyDescent="0.25">
      <c r="A21" s="15" t="s">
        <v>38</v>
      </c>
      <c r="B21" s="18" t="s">
        <v>31</v>
      </c>
      <c r="C21" s="22">
        <v>2.6614583333333334E-3</v>
      </c>
      <c r="D21" s="19">
        <v>-7.726</v>
      </c>
      <c r="E21" s="19">
        <v>-8.4510000000000005</v>
      </c>
    </row>
    <row r="22" spans="1:5" x14ac:dyDescent="0.25">
      <c r="A22" s="15" t="s">
        <v>38</v>
      </c>
      <c r="B22" s="18" t="s">
        <v>32</v>
      </c>
      <c r="C22" s="22">
        <v>2.633333333333333E-3</v>
      </c>
      <c r="D22" s="19">
        <v>-7.6790000000000003</v>
      </c>
      <c r="E22" s="19">
        <v>-8.4030000000000005</v>
      </c>
    </row>
    <row r="23" spans="1:5" x14ac:dyDescent="0.25">
      <c r="A23" s="15" t="s">
        <v>38</v>
      </c>
      <c r="B23" s="18" t="s">
        <v>33</v>
      </c>
      <c r="C23" s="22">
        <v>2.8973379629629627E-3</v>
      </c>
      <c r="D23" s="19">
        <v>-7.6260000000000003</v>
      </c>
      <c r="E23" s="19">
        <v>-8.3879999999999999</v>
      </c>
    </row>
    <row r="24" spans="1:5" x14ac:dyDescent="0.25">
      <c r="A24" s="15" t="s">
        <v>38</v>
      </c>
      <c r="B24" s="18" t="s">
        <v>34</v>
      </c>
      <c r="C24" s="22">
        <v>3.2273148148148148E-3</v>
      </c>
      <c r="D24" s="19">
        <v>-7.5519999999999996</v>
      </c>
      <c r="E24" s="19">
        <v>-8.3510000000000009</v>
      </c>
    </row>
    <row r="25" spans="1:5" x14ac:dyDescent="0.25">
      <c r="A25" s="15" t="s">
        <v>38</v>
      </c>
      <c r="B25" s="18" t="s">
        <v>44</v>
      </c>
      <c r="C25" s="18" t="s">
        <v>80</v>
      </c>
      <c r="D25" s="23">
        <v>-7.5570000000000004</v>
      </c>
      <c r="E25" s="23">
        <v>-8.34</v>
      </c>
    </row>
    <row r="26" spans="1:5" x14ac:dyDescent="0.25">
      <c r="A26" s="15" t="s">
        <v>38</v>
      </c>
      <c r="B26" s="18" t="s">
        <v>28</v>
      </c>
      <c r="C26" s="18" t="s">
        <v>81</v>
      </c>
      <c r="D26" s="19">
        <v>-7.4889999999999999</v>
      </c>
      <c r="E26" s="19">
        <v>-8.3350000000000009</v>
      </c>
    </row>
    <row r="27" spans="1:5" x14ac:dyDescent="0.25">
      <c r="A27" s="15" t="s">
        <v>38</v>
      </c>
      <c r="B27" s="18" t="s">
        <v>31</v>
      </c>
      <c r="C27" s="22">
        <v>2.5423611111111111E-3</v>
      </c>
      <c r="D27" s="19">
        <v>-7.415</v>
      </c>
      <c r="E27" s="19">
        <v>-8.33</v>
      </c>
    </row>
    <row r="28" spans="1:5" x14ac:dyDescent="0.25">
      <c r="A28" s="15" t="s">
        <v>38</v>
      </c>
      <c r="B28" s="18" t="s">
        <v>32</v>
      </c>
      <c r="C28" s="22">
        <v>2.5189814814814819E-3</v>
      </c>
      <c r="D28" s="19">
        <v>-7.4050000000000002</v>
      </c>
      <c r="E28" s="19">
        <v>-8.1820000000000004</v>
      </c>
    </row>
    <row r="29" spans="1:5" x14ac:dyDescent="0.25">
      <c r="A29" s="15" t="s">
        <v>38</v>
      </c>
      <c r="B29" s="18" t="s">
        <v>33</v>
      </c>
      <c r="C29" s="22">
        <v>4.3160879629629634E-3</v>
      </c>
      <c r="D29" s="19">
        <v>-7.3310000000000004</v>
      </c>
      <c r="E29" s="19">
        <v>-8.2289999999999992</v>
      </c>
    </row>
    <row r="30" spans="1:5" x14ac:dyDescent="0.25">
      <c r="A30" s="15" t="s">
        <v>38</v>
      </c>
      <c r="B30" s="18" t="s">
        <v>34</v>
      </c>
      <c r="C30" s="22">
        <v>2.5858796296296294E-3</v>
      </c>
      <c r="D30" s="19">
        <v>-7.31</v>
      </c>
      <c r="E30" s="19">
        <v>-8.1820000000000004</v>
      </c>
    </row>
    <row r="31" spans="1:5" x14ac:dyDescent="0.25">
      <c r="A31" s="15" t="s">
        <v>38</v>
      </c>
      <c r="B31" s="18" t="s">
        <v>44</v>
      </c>
      <c r="C31" s="18" t="s">
        <v>82</v>
      </c>
      <c r="D31" s="23">
        <v>-7.2140000000000004</v>
      </c>
      <c r="E31" s="23">
        <v>-8.1880000000000006</v>
      </c>
    </row>
    <row r="32" spans="1:5" x14ac:dyDescent="0.25">
      <c r="A32" s="15" t="s">
        <v>38</v>
      </c>
      <c r="B32" s="18" t="s">
        <v>28</v>
      </c>
      <c r="C32" s="18" t="s">
        <v>83</v>
      </c>
      <c r="D32" s="19">
        <v>-7.2670000000000003</v>
      </c>
      <c r="E32" s="19">
        <v>-8.1509999999999998</v>
      </c>
    </row>
    <row r="33" spans="1:5" x14ac:dyDescent="0.25">
      <c r="A33" s="15" t="s">
        <v>38</v>
      </c>
      <c r="B33" s="18" t="s">
        <v>31</v>
      </c>
      <c r="C33" s="22">
        <v>2.5356481481481484E-3</v>
      </c>
      <c r="D33" s="19">
        <v>-7.1989999999999998</v>
      </c>
      <c r="E33" s="19">
        <v>-8.0869999999999997</v>
      </c>
    </row>
    <row r="34" spans="1:5" x14ac:dyDescent="0.25">
      <c r="A34" s="15" t="s">
        <v>38</v>
      </c>
      <c r="B34" s="18" t="s">
        <v>32</v>
      </c>
      <c r="C34" s="22">
        <v>2.5067129629629628E-3</v>
      </c>
      <c r="D34" s="19">
        <v>-7.1769999999999996</v>
      </c>
      <c r="E34" s="19">
        <v>-8.0920000000000005</v>
      </c>
    </row>
    <row r="35" spans="1:5" x14ac:dyDescent="0.25">
      <c r="A35" s="15" t="s">
        <v>38</v>
      </c>
      <c r="B35" s="18" t="s">
        <v>33</v>
      </c>
      <c r="C35" s="22">
        <v>2.4940972222222222E-3</v>
      </c>
      <c r="D35" s="19">
        <v>-7.1139999999999999</v>
      </c>
      <c r="E35" s="19">
        <v>-8.0399999999999991</v>
      </c>
    </row>
    <row r="36" spans="1:5" x14ac:dyDescent="0.25">
      <c r="A36" s="15" t="s">
        <v>38</v>
      </c>
      <c r="B36" s="18" t="s">
        <v>34</v>
      </c>
      <c r="C36" s="18" t="s">
        <v>84</v>
      </c>
      <c r="D36" s="23">
        <v>-7.1029999999999998</v>
      </c>
      <c r="E36" s="23">
        <v>-8.0399999999999991</v>
      </c>
    </row>
    <row r="37" spans="1:5" x14ac:dyDescent="0.25">
      <c r="A37" s="15" t="s">
        <v>38</v>
      </c>
      <c r="B37" s="18" t="s">
        <v>28</v>
      </c>
      <c r="C37" s="18" t="s">
        <v>85</v>
      </c>
      <c r="D37" s="19">
        <v>-7.0720000000000001</v>
      </c>
      <c r="E37" s="19">
        <v>-8.0660000000000007</v>
      </c>
    </row>
    <row r="38" spans="1:5" x14ac:dyDescent="0.25">
      <c r="A38" s="15" t="s">
        <v>38</v>
      </c>
      <c r="B38" s="18" t="s">
        <v>31</v>
      </c>
      <c r="C38" s="18" t="s">
        <v>86</v>
      </c>
      <c r="D38" s="23">
        <v>-7.0670000000000002</v>
      </c>
      <c r="E38" s="23">
        <v>-8.0020000000000007</v>
      </c>
    </row>
    <row r="39" spans="1:5" x14ac:dyDescent="0.25">
      <c r="A39" s="15" t="s">
        <v>38</v>
      </c>
      <c r="B39" s="18" t="s">
        <v>28</v>
      </c>
      <c r="C39" s="18" t="s">
        <v>87</v>
      </c>
      <c r="D39" s="19">
        <v>-6.9930000000000003</v>
      </c>
      <c r="E39" s="19">
        <v>-7.95</v>
      </c>
    </row>
    <row r="40" spans="1:5" x14ac:dyDescent="0.25">
      <c r="A40" s="15" t="s">
        <v>38</v>
      </c>
      <c r="B40" s="18" t="s">
        <v>31</v>
      </c>
      <c r="C40" s="18" t="s">
        <v>88</v>
      </c>
      <c r="D40" s="19">
        <v>-6.8869999999999996</v>
      </c>
      <c r="E40" s="19">
        <v>-7.8650000000000002</v>
      </c>
    </row>
    <row r="41" spans="1:5" x14ac:dyDescent="0.25">
      <c r="A41" s="15" t="s">
        <v>38</v>
      </c>
      <c r="B41" s="18" t="s">
        <v>31</v>
      </c>
      <c r="C41" s="22">
        <v>3.4984953703703706E-3</v>
      </c>
      <c r="D41" s="19">
        <v>-6.9980000000000002</v>
      </c>
      <c r="E41" s="19">
        <v>-7.9710000000000001</v>
      </c>
    </row>
    <row r="42" spans="1:5" x14ac:dyDescent="0.25">
      <c r="A42" s="15" t="s">
        <v>38</v>
      </c>
      <c r="B42" s="18" t="s">
        <v>32</v>
      </c>
      <c r="C42" s="22">
        <v>2.5254629629629629E-3</v>
      </c>
      <c r="D42" s="19">
        <v>-6.9089999999999998</v>
      </c>
      <c r="E42" s="19">
        <v>-7.8970000000000002</v>
      </c>
    </row>
    <row r="43" spans="1:5" x14ac:dyDescent="0.25">
      <c r="A43" s="15" t="s">
        <v>38</v>
      </c>
      <c r="B43" s="18" t="s">
        <v>33</v>
      </c>
      <c r="C43" s="18" t="s">
        <v>89</v>
      </c>
      <c r="D43" s="19">
        <v>-6.8609999999999998</v>
      </c>
      <c r="E43" s="19">
        <v>-7.8970000000000002</v>
      </c>
    </row>
    <row r="44" spans="1:5" x14ac:dyDescent="0.25">
      <c r="A44" s="15" t="s">
        <v>38</v>
      </c>
      <c r="B44" s="18" t="s">
        <v>33</v>
      </c>
      <c r="C44" s="22">
        <v>5.7736111111111113E-3</v>
      </c>
      <c r="D44" s="19">
        <v>-6.851</v>
      </c>
      <c r="E44" s="19">
        <v>-7.891</v>
      </c>
    </row>
    <row r="45" spans="1:5" x14ac:dyDescent="0.25">
      <c r="A45" s="15" t="s">
        <v>38</v>
      </c>
      <c r="B45" s="18" t="s">
        <v>34</v>
      </c>
      <c r="C45" s="22">
        <v>2.4644675925925928E-3</v>
      </c>
      <c r="D45" s="19">
        <v>-6.819</v>
      </c>
      <c r="E45" s="19">
        <v>-7.9290000000000003</v>
      </c>
    </row>
    <row r="46" spans="1:5" x14ac:dyDescent="0.25">
      <c r="A46" s="15" t="s">
        <v>38</v>
      </c>
      <c r="B46" s="18" t="s">
        <v>44</v>
      </c>
      <c r="C46" s="22">
        <v>2.4539351851851853E-3</v>
      </c>
      <c r="D46" s="19">
        <v>-6.766</v>
      </c>
      <c r="E46" s="19">
        <v>-7.8540000000000001</v>
      </c>
    </row>
    <row r="47" spans="1:5" x14ac:dyDescent="0.25">
      <c r="A47" s="15" t="s">
        <v>38</v>
      </c>
      <c r="B47" s="18" t="s">
        <v>55</v>
      </c>
      <c r="C47" s="18" t="s">
        <v>90</v>
      </c>
      <c r="D47" s="23">
        <v>-6.74</v>
      </c>
      <c r="E47" s="23">
        <v>-7.8440000000000003</v>
      </c>
    </row>
    <row r="48" spans="1:5" x14ac:dyDescent="0.25">
      <c r="A48" s="15" t="s">
        <v>38</v>
      </c>
      <c r="B48" s="18" t="s">
        <v>28</v>
      </c>
      <c r="C48" s="18" t="s">
        <v>91</v>
      </c>
      <c r="D48" s="19">
        <v>-6.4820000000000002</v>
      </c>
      <c r="E48" s="19">
        <v>-7.6959999999999997</v>
      </c>
    </row>
    <row r="49" spans="1:5" x14ac:dyDescent="0.25">
      <c r="A49" s="15" t="s">
        <v>38</v>
      </c>
      <c r="B49" s="18" t="s">
        <v>31</v>
      </c>
      <c r="C49" s="22">
        <v>2.4942129629629633E-3</v>
      </c>
      <c r="D49" s="19">
        <v>-6.45</v>
      </c>
      <c r="E49" s="19">
        <v>-7.7439999999999998</v>
      </c>
    </row>
    <row r="50" spans="1:5" x14ac:dyDescent="0.25">
      <c r="A50" s="15" t="s">
        <v>38</v>
      </c>
      <c r="B50" s="18" t="s">
        <v>32</v>
      </c>
      <c r="C50" s="22">
        <v>2.4635416666666664E-3</v>
      </c>
      <c r="D50" s="19">
        <v>-6.3650000000000002</v>
      </c>
      <c r="E50" s="19">
        <v>-7.665</v>
      </c>
    </row>
    <row r="51" spans="1:5" x14ac:dyDescent="0.25">
      <c r="A51" s="15" t="s">
        <v>38</v>
      </c>
      <c r="B51" s="18" t="s">
        <v>33</v>
      </c>
      <c r="C51" s="22">
        <v>2.4407407407407407E-3</v>
      </c>
      <c r="D51" s="19">
        <v>-6.3390000000000004</v>
      </c>
      <c r="E51" s="19">
        <v>-7.5910000000000002</v>
      </c>
    </row>
    <row r="52" spans="1:5" x14ac:dyDescent="0.25">
      <c r="A52" s="15" t="s">
        <v>38</v>
      </c>
      <c r="B52" s="18" t="s">
        <v>34</v>
      </c>
      <c r="C52" s="22">
        <v>2.4474537037037039E-3</v>
      </c>
      <c r="D52" s="19">
        <v>-6.2859999999999996</v>
      </c>
      <c r="E52" s="19">
        <v>-7.5540000000000003</v>
      </c>
    </row>
    <row r="53" spans="1:5" x14ac:dyDescent="0.25">
      <c r="A53" s="15" t="s">
        <v>38</v>
      </c>
      <c r="B53" s="18" t="s">
        <v>44</v>
      </c>
      <c r="C53" s="18" t="s">
        <v>92</v>
      </c>
      <c r="D53" s="23">
        <v>-6.1920000000000002</v>
      </c>
      <c r="E53" s="23">
        <v>-7.5010000000000003</v>
      </c>
    </row>
    <row r="54" spans="1:5" x14ac:dyDescent="0.25">
      <c r="A54" s="15" t="s">
        <v>38</v>
      </c>
      <c r="B54" s="18" t="s">
        <v>28</v>
      </c>
      <c r="C54" s="18" t="s">
        <v>93</v>
      </c>
      <c r="D54" s="19">
        <v>-6.2649999999999997</v>
      </c>
      <c r="E54" s="19">
        <v>-7.47</v>
      </c>
    </row>
    <row r="55" spans="1:5" x14ac:dyDescent="0.25">
      <c r="A55" s="15" t="s">
        <v>38</v>
      </c>
      <c r="B55" s="18" t="s">
        <v>31</v>
      </c>
      <c r="C55" s="22">
        <v>2.4826388888888888E-3</v>
      </c>
      <c r="D55" s="19">
        <v>-6.26</v>
      </c>
      <c r="E55" s="19">
        <v>-7.4429999999999996</v>
      </c>
    </row>
    <row r="56" spans="1:5" x14ac:dyDescent="0.25">
      <c r="A56" s="15" t="s">
        <v>38</v>
      </c>
      <c r="B56" s="18" t="s">
        <v>32</v>
      </c>
      <c r="C56" s="22">
        <v>2.4619212962962963E-3</v>
      </c>
      <c r="D56" s="19">
        <v>-6.1959999999999997</v>
      </c>
      <c r="E56" s="19">
        <v>-7.4379999999999997</v>
      </c>
    </row>
    <row r="57" spans="1:5" x14ac:dyDescent="0.25">
      <c r="A57" s="15" t="s">
        <v>38</v>
      </c>
      <c r="B57" s="18" t="s">
        <v>33</v>
      </c>
      <c r="C57" s="22">
        <v>2.4442129629629631E-3</v>
      </c>
      <c r="D57" s="19">
        <v>-6.1859999999999999</v>
      </c>
      <c r="E57" s="19">
        <v>-7.4169999999999998</v>
      </c>
    </row>
    <row r="58" spans="1:5" x14ac:dyDescent="0.25">
      <c r="A58" s="15" t="s">
        <v>38</v>
      </c>
      <c r="B58" s="18" t="s">
        <v>34</v>
      </c>
      <c r="C58" s="18" t="s">
        <v>94</v>
      </c>
      <c r="D58" s="23">
        <v>-6.1440000000000001</v>
      </c>
      <c r="E58" s="23">
        <v>-7.3639999999999999</v>
      </c>
    </row>
    <row r="59" spans="1:5" x14ac:dyDescent="0.25">
      <c r="A59" s="15" t="s">
        <v>38</v>
      </c>
      <c r="B59" s="18" t="s">
        <v>28</v>
      </c>
      <c r="C59" s="18" t="s">
        <v>95</v>
      </c>
      <c r="D59" s="19">
        <v>-6.1390000000000002</v>
      </c>
      <c r="E59" s="19">
        <v>-7.2949999999999999</v>
      </c>
    </row>
    <row r="60" spans="1:5" x14ac:dyDescent="0.25">
      <c r="A60" s="15" t="s">
        <v>38</v>
      </c>
      <c r="B60" s="18" t="s">
        <v>31</v>
      </c>
      <c r="C60" s="22">
        <v>2.5304398148148148E-3</v>
      </c>
      <c r="D60" s="19">
        <v>-6.0910000000000002</v>
      </c>
      <c r="E60" s="19">
        <v>-7.327</v>
      </c>
    </row>
    <row r="61" spans="1:5" x14ac:dyDescent="0.25">
      <c r="A61" s="15" t="s">
        <v>38</v>
      </c>
      <c r="B61" s="18" t="s">
        <v>32</v>
      </c>
      <c r="C61" s="22">
        <v>2.5074074074074074E-3</v>
      </c>
      <c r="D61" s="19">
        <v>-6.0540000000000003</v>
      </c>
      <c r="E61" s="19">
        <v>-7.3170000000000002</v>
      </c>
    </row>
    <row r="62" spans="1:5" x14ac:dyDescent="0.25">
      <c r="A62" s="15" t="s">
        <v>38</v>
      </c>
      <c r="B62" s="18" t="s">
        <v>33</v>
      </c>
      <c r="C62" s="22">
        <v>2.4557870370370371E-3</v>
      </c>
      <c r="D62" s="19">
        <v>-5.9489999999999998</v>
      </c>
      <c r="E62" s="19">
        <v>-7.2160000000000002</v>
      </c>
    </row>
    <row r="63" spans="1:5" x14ac:dyDescent="0.25">
      <c r="A63" s="15" t="s">
        <v>38</v>
      </c>
      <c r="B63" s="18" t="s">
        <v>34</v>
      </c>
      <c r="C63" s="22">
        <v>2.4630787037037039E-3</v>
      </c>
      <c r="D63" s="19">
        <v>-5.9960000000000004</v>
      </c>
      <c r="E63" s="19">
        <v>-7.2640000000000002</v>
      </c>
    </row>
    <row r="64" spans="1:5" x14ac:dyDescent="0.25">
      <c r="A64" s="15" t="s">
        <v>38</v>
      </c>
      <c r="B64" s="18" t="s">
        <v>44</v>
      </c>
      <c r="C64" s="22">
        <v>2.5076388888888887E-3</v>
      </c>
      <c r="D64" s="19">
        <v>-5.9539999999999997</v>
      </c>
      <c r="E64" s="19">
        <v>-7.258</v>
      </c>
    </row>
    <row r="65" spans="1:5" x14ac:dyDescent="0.25">
      <c r="A65" s="15" t="s">
        <v>38</v>
      </c>
      <c r="B65" s="18" t="s">
        <v>55</v>
      </c>
      <c r="C65" s="18" t="s">
        <v>96</v>
      </c>
      <c r="D65" s="23">
        <v>-5.944</v>
      </c>
      <c r="E65" s="23">
        <v>-7.2270000000000003</v>
      </c>
    </row>
    <row r="66" spans="1:5" x14ac:dyDescent="0.25">
      <c r="A66" s="15" t="s">
        <v>38</v>
      </c>
      <c r="B66" s="18" t="s">
        <v>28</v>
      </c>
      <c r="C66" s="18" t="s">
        <v>97</v>
      </c>
      <c r="D66" s="19">
        <v>-5.8849999999999998</v>
      </c>
      <c r="E66" s="19">
        <v>-7.1269999999999998</v>
      </c>
    </row>
    <row r="67" spans="1:5" x14ac:dyDescent="0.25">
      <c r="A67" s="15" t="s">
        <v>38</v>
      </c>
      <c r="B67" s="18" t="s">
        <v>28</v>
      </c>
      <c r="C67" s="18" t="s">
        <v>98</v>
      </c>
      <c r="D67" s="19">
        <v>-5.923</v>
      </c>
      <c r="E67" s="19">
        <v>-7.1529999999999996</v>
      </c>
    </row>
    <row r="68" spans="1:5" x14ac:dyDescent="0.25">
      <c r="A68" s="15" t="s">
        <v>38</v>
      </c>
      <c r="B68" s="18" t="s">
        <v>31</v>
      </c>
      <c r="C68" s="22">
        <v>2.4581018518518519E-3</v>
      </c>
      <c r="D68" s="19">
        <v>-5.8120000000000003</v>
      </c>
      <c r="E68" s="19">
        <v>-7.1479999999999997</v>
      </c>
    </row>
    <row r="69" spans="1:5" x14ac:dyDescent="0.25">
      <c r="A69" s="15" t="s">
        <v>38</v>
      </c>
      <c r="B69" s="18" t="s">
        <v>32</v>
      </c>
      <c r="C69" s="18" t="s">
        <v>99</v>
      </c>
      <c r="D69" s="23">
        <v>-5.7960000000000003</v>
      </c>
      <c r="E69" s="23">
        <v>-7.1529999999999996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708_Set3</vt:lpstr>
      <vt:lpstr>709_Set3</vt:lpstr>
      <vt:lpstr>708</vt:lpstr>
      <vt:lpstr>708_Set2</vt:lpstr>
      <vt:lpstr>Temperatures_708</vt:lpstr>
      <vt:lpstr>709</vt:lpstr>
      <vt:lpstr>709_Set2</vt:lpstr>
      <vt:lpstr>709 Test day LVDT</vt:lpstr>
      <vt:lpstr>709_FP1_LVDT</vt:lpstr>
      <vt:lpstr>709_QLY_LVDT</vt:lpstr>
      <vt:lpstr>709_FP2_LVDT</vt:lpstr>
      <vt:lpstr>Pad LVDTs 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Stefano.Rapisarda</cp:lastModifiedBy>
  <dcterms:created xsi:type="dcterms:W3CDTF">2021-08-15T10:57:35Z</dcterms:created>
  <dcterms:modified xsi:type="dcterms:W3CDTF">2021-08-22T13:17:02Z</dcterms:modified>
</cp:coreProperties>
</file>