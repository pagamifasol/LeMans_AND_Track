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30.xml" ContentType="application/vnd.openxmlformats-officedocument.drawingml.chart+xml"/>
  <Override PartName="/xl/charts/chart926.xml" ContentType="application/vnd.openxmlformats-officedocument.drawingml.chart+xml"/>
  <Override PartName="/xl/charts/chart931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RE WEAR REPORT" sheetId="1" state="visible" r:id="rId2"/>
    <sheet name="TIRE WEAR REPORT_2" sheetId="2" state="visible" r:id="rId3"/>
  </sheets>
  <definedNames>
    <definedName function="false" hidden="false" localSheetId="0" name="_xlnm.Print_Area" vbProcedure="false">'TIRE WEAR REPORT'!$A$1:$AJ$97</definedName>
    <definedName function="false" hidden="false" localSheetId="1" name="_xlnm.Print_Area" vbProcedure="false">'TIRE WEAR REPORT_2'!$A$1:$AJ$97</definedName>
    <definedName function="false" hidden="false" name="aa" vbProcedure="false">[2]gtpemm4!#ref!</definedName>
    <definedName function="false" hidden="false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ckermann_Setting" vbProcedure="false">#REF!</definedName>
    <definedName function="false" hidden="false" name="Aileron" vbProcedure="false">'[3]data 2'!$b$64:#REF!</definedName>
    <definedName function="false" hidden="false" name="Aktuell" vbProcedure="false">2</definedName>
    <definedName function="false" hidden="false" name="Alarme_Ess_Lap" vbProcedure="false">[4]data!$b$14</definedName>
    <definedName function="false" hidden="false" name="all_sorted" vbProcedure="false">#REF!</definedName>
    <definedName function="false" hidden="false" name="all_unsorted" vbProcedure="false">#REF!</definedName>
    <definedName function="false" hidden="false" name="Amortisseurs" vbProcedure="false">'[3]data 2'!$b$22</definedName>
    <definedName function="false" hidden="false" name="Angle_Secondaire" vbProcedure="false">'[3]data 2'!$c$36:#REF!</definedName>
    <definedName function="false" hidden="false" name="aufbaublatt" vbProcedure="false">#REF!</definedName>
    <definedName function="false" hidden="false" name="bar" vbProcedure="false">[6]tyre_pressure!$ao$4</definedName>
    <definedName function="false" hidden="false" name="BAR_Ar" vbProcedure="false">'[3]data 2'!$b$33:#REF!</definedName>
    <definedName function="false" hidden="false" name="BAR_Av" vbProcedure="false">'[3]data 2'!$b$32:#REF!</definedName>
    <definedName function="false" hidden="false" name="bb" vbProcedure="false">[2]gtpemm4!#ref!</definedName>
    <definedName function="false" hidden="false" name="bbb" vbProcedure="false">[2]gtpemm4!#ref!</definedName>
    <definedName function="false" hidden="false" name="Bump_and_Rebound_Settings" vbProcedure="false">#REF!</definedName>
    <definedName function="false" hidden="false" name="Bump_High_Speed" vbProcedure="false">'[3]data 2'!$c$28:#REF!</definedName>
    <definedName function="false" hidden="false" name="Bump_Low_Speed" vbProcedure="false">'[3]data 2'!$c$27:#REF!</definedName>
    <definedName function="false" hidden="false" name="Canards" vbProcedure="false">'[3]data 2'!$b$45:#REF!</definedName>
    <definedName function="false" hidden="false" name="Capacité" vbProcedure="false">[4]data!$b$11</definedName>
    <definedName function="false" hidden="false" name="ccc" vbProcedure="false">[2]gtpemm4!#ref!</definedName>
    <definedName function="false" hidden="false" name="chefmech" vbProcedure="false">#REF!</definedName>
    <definedName function="false" hidden="false" name="ChgtPneu" vbProcedure="false">'[3]data 2'!$b$56:#REF!</definedName>
    <definedName function="false" hidden="false" name="Chgt_Pneus" vbProcedure="false">[4]data!$b$13:#REF!</definedName>
    <definedName function="false" hidden="false" name="Chgt_Pneus_Relai_2" vbProcedure="false">'[3]r (rs)'!$ch$11</definedName>
    <definedName function="false" hidden="false" name="Chgt_Pneus_Relai_22" vbProcedure="false">'[3]r (rs)'!$ch$80</definedName>
    <definedName function="false" hidden="false" name="Chgt_Pneus_Relai_3" vbProcedure="false">'[3]r (rs)'!$cp$11</definedName>
    <definedName function="false" hidden="false" name="Chgt_Pneus_Relai_32" vbProcedure="false">'[3]r (rs)'!$cp$80</definedName>
    <definedName function="false" hidden="false" name="Chgt_Pneus_Relai_33" vbProcedure="false">'[3]r (rs)'!$cp$149</definedName>
    <definedName function="false" hidden="false" name="Chgt_Pneus_Relai_4" vbProcedure="false">'[3]r (rs)'!$cx$11</definedName>
    <definedName function="false" hidden="false" name="Chgt_Pneus_Relai_42" vbProcedure="false">'[3]r (rs)'!$cx$80</definedName>
    <definedName function="false" hidden="false" name="Chgt_Pneus_Relai_43" vbProcedure="false">'[3]r (rs)'!$cx$149</definedName>
    <definedName function="false" hidden="false" name="Chgt_Pneus_Relai_44" vbProcedure="false">'[3]r (rs)'!$cx$218</definedName>
    <definedName function="false" hidden="false" name="Chgt_Pneus_Relai_5" vbProcedure="false">'[3]r (rs)'!$df$11</definedName>
    <definedName function="false" hidden="false" name="Chgt_Pneus_Relai_52" vbProcedure="false">'[3]r (rs)'!$df$80</definedName>
    <definedName function="false" hidden="false" name="Chgt_Pneus_Relai_53" vbProcedure="false">'[3]r (rs)'!$df$149</definedName>
    <definedName function="false" hidden="false" name="Chgt_Pneus_Relai_54" vbProcedure="false">'[3]r (rs)'!$df$218</definedName>
    <definedName function="false" hidden="false" name="Chgt_Pneus_Relai_55" vbProcedure="false">'[3]r (rs)'!$df$287</definedName>
    <definedName function="false" hidden="false" name="Chgt_Pneus_Relai_6" vbProcedure="false">'[3]r (rs)'!$dn$11</definedName>
    <definedName function="false" hidden="false" name="Chgt_Pneus_Relai_62" vbProcedure="false">'[3]r (rs)'!$dn$80</definedName>
    <definedName function="false" hidden="false" name="Chgt_Pneus_Relai_63" vbProcedure="false">'[3]r (rs)'!$dn$149</definedName>
    <definedName function="false" hidden="false" name="Chgt_Pneus_Relai_64" vbProcedure="false">'[3]r (rs)'!$dn$218</definedName>
    <definedName function="false" hidden="false" name="Chgt_Pneus_Relai_65" vbProcedure="false">'[3]r (rs)'!$dn$287</definedName>
    <definedName function="false" hidden="false" name="Chgt_Pneus_Relai_66" vbProcedure="false">'[3]r (rs)'!$dn$356</definedName>
    <definedName function="false" hidden="false" name="Chgt_Pneus_Relai_7" vbProcedure="false">'[3]r (rs)'!$dv$11</definedName>
    <definedName function="false" hidden="false" name="Chgt_Pneus_Relai_72" vbProcedure="false">'[3]r (rs)'!$dv$80</definedName>
    <definedName function="false" hidden="false" name="Chgt_Pneus_Relai_73" vbProcedure="false">'[3]r (rs)'!$dv$149</definedName>
    <definedName function="false" hidden="false" name="Chgt_Pneus_Relai_74" vbProcedure="false">'[3]r (rs)'!$dv$218</definedName>
    <definedName function="false" hidden="false" name="Chgt_Pneus_Relai_75" vbProcedure="false">'[3]r (rs)'!$dv$287</definedName>
    <definedName function="false" hidden="false" name="Chgt_Pneus_Relai_76" vbProcedure="false">'[3]r (rs)'!$dv$356</definedName>
    <definedName function="false" hidden="false" name="Chgt_Pneus_Relai_77" vbProcedure="false">'[3]r (rs)'!$dv$425</definedName>
    <definedName function="false" hidden="false" name="Chgt_Pneus_Relai_8" vbProcedure="false">'[3]r (rs)'!$ed$11</definedName>
    <definedName function="false" hidden="false" name="Chgt_Pneus_Relai_82" vbProcedure="false">'[3]r (rs)'!$ed$80</definedName>
    <definedName function="false" hidden="false" name="Chgt_Pneus_Relai_83" vbProcedure="false">'[3]r (rs)'!$ed$149</definedName>
    <definedName function="false" hidden="false" name="Chgt_Pneus_Relai_84" vbProcedure="false">'[3]r (rs)'!$ed$218</definedName>
    <definedName function="false" hidden="false" name="Chgt_Pneus_Relai_85" vbProcedure="false">'[3]r (rs)'!$ed$287</definedName>
    <definedName function="false" hidden="false" name="Chgt_Pneus_Relai_86" vbProcedure="false">'[3]r (rs)'!$ed$356</definedName>
    <definedName function="false" hidden="false" name="Chgt_Pneus_Relai_87" vbProcedure="false">'[3]r (rs)'!$ed$425</definedName>
    <definedName function="false" hidden="false" name="Chgt_Pneus_Relai_88" vbProcedure="false">'[3]r (rs)'!$ed$494</definedName>
    <definedName function="false" hidden="false" name="Choix_O" vbProcedure="false">[7]data!$b$15</definedName>
    <definedName function="false" hidden="false" name="Choix_Sim" vbProcedure="false">[4]data!$b$15:#REF!</definedName>
    <definedName function="false" hidden="false" name="Chrono_Pil_1" vbProcedure="false">'[3]r (rs)'!$cm$3</definedName>
    <definedName function="false" hidden="false" name="Chrono_Pil_2" vbProcedure="false">'[3]r (rs)'!$cm$4</definedName>
    <definedName function="false" hidden="false" name="Chrono_Pil_3" vbProcedure="false">'[3]r (rs)'!$cm$5</definedName>
    <definedName function="false" hidden="false" name="Chrono_Pil_4" vbProcedure="false">'[3]r (rs)'!$cm$6</definedName>
    <definedName function="false" hidden="false" name="Clutch" vbProcedure="false">'[3]data 2'!$b$10:#REF!</definedName>
    <definedName function="false" hidden="false" name="CoefPn1" vbProcedure="false">#REF!</definedName>
    <definedName function="false" hidden="false" name="CoefPn2" vbProcedure="false">#REF!</definedName>
    <definedName function="false" hidden="false" name="CoefPn3" vbProcedure="false">#REF!</definedName>
    <definedName function="false" hidden="false" name="CoefPn4" vbProcedure="false">#REF!</definedName>
    <definedName function="false" hidden="false" name="Coef_Chrono_Pneus_2" vbProcedure="false">'[3]r (rs)'!$dh$4</definedName>
    <definedName function="false" hidden="false" name="Coef_Chrono_Pneus_3" vbProcedure="false">'[3]r (rs)'!$dh$5</definedName>
    <definedName function="false" hidden="false" name="Coef_Chrono_Pneus_4" vbProcedure="false">'[3]r (rs)'!$dh$6</definedName>
    <definedName function="false" hidden="false" name="Conso_Pil_1" vbProcedure="false">'[3]r (rs)'!$ci$3</definedName>
    <definedName function="false" hidden="false" name="Conso_Pil_2" vbProcedure="false">'[3]r (rs)'!$ci$4</definedName>
    <definedName function="false" hidden="false" name="Conso_Pil_3" vbProcedure="false">'[3]r (rs)'!$ci$5</definedName>
    <definedName function="false" hidden="false" name="Conso_Pil_4" vbProcedure="false">'[3]r (rs)'!$ci$6</definedName>
    <definedName function="false" hidden="false" name="Conso_SC" vbProcedure="false">'[3]r (rs)'!$ec$3</definedName>
    <definedName function="false" hidden="false" name="ConsPil1" vbProcedure="false">#REF!</definedName>
    <definedName function="false" hidden="false" name="ConsPil2" vbProcedure="false">#REF!</definedName>
    <definedName function="false" hidden="false" name="ConsPil3" vbProcedure="false">#REF!</definedName>
    <definedName function="false" hidden="false" name="ConsPil4" vbProcedure="false">#REF!</definedName>
    <definedName function="false" hidden="false" name="ConsSC" vbProcedure="false">#REF!</definedName>
    <definedName function="false" hidden="false" name="const" vbProcedure="false">[6]tyre_pressure!$ao$3</definedName>
    <definedName function="false" hidden="false" name="Consumption" vbProcedure="false">'[8]allg.'!$b$13</definedName>
    <definedName function="false" hidden="false" name="consumption_std" vbProcedure="false">'[9]601'!$p$6:#REF!</definedName>
    <definedName function="false" hidden="false" name="consumption_std2" vbProcedure="false">#REF!</definedName>
    <definedName function="false" hidden="false" name="consumption_yellow" vbProcedure="false">'[9]601'!$p$12:#REF!</definedName>
    <definedName function="false" hidden="false" name="consumption_yellow2" vbProcedure="false">#REF!</definedName>
    <definedName function="false" hidden="false" name="conv" vbProcedure="false">#REF!</definedName>
    <definedName function="false" hidden="false" name="Couteau" vbProcedure="false">'[3]data 2'!$b$34:#REF!</definedName>
    <definedName function="false" hidden="false" name="Data2003" vbProcedure="false">[10]database!$j$5:#REF!</definedName>
    <definedName function="false" hidden="false" name="Daten" vbProcedure="false">#REF!</definedName>
    <definedName function="false" hidden="false" name="ddd" vbProcedure="false">[2]gtpemm4!#ref!</definedName>
    <definedName function="false" hidden="false" name="Debit_Ess" vbProcedure="false">'[3]r (rs)'!$ec$4</definedName>
    <definedName function="false" hidden="false" name="Densité" vbProcedure="false">[4]data!$b$20</definedName>
    <definedName function="false" hidden="false" name="Differential_Plate_Configuration" vbProcedure="false">#REF!</definedName>
    <definedName function="false" hidden="false" name="Differential_Preloads" vbProcedure="false">#REF!</definedName>
    <definedName function="false" hidden="false" name="Differential_Ramps" vbProcedure="false">#REF!</definedName>
    <definedName function="false" hidden="false" name="Drivers" vbProcedure="false">[3]cover!$r$53:#REF!</definedName>
    <definedName function="false" hidden="false" name="DriversShort" vbProcedure="false">[3]cover!$ap$53:#REF!</definedName>
    <definedName function="false" hidden="false" name="dropgear" vbProcedure="false">[11]list!$g$3:#REF!</definedName>
    <definedName function="false" hidden="false" name="eee" vbProcedure="false">[12]gtpemm4!#ref!</definedName>
    <definedName function="false" hidden="false" name="Empattement" vbProcedure="false">'[3]data 2'!$b$6</definedName>
    <definedName function="false" hidden="false" name="EndRace" vbProcedure="false">#REF!</definedName>
    <definedName function="false" hidden="false" name="Engines" vbProcedure="false">'[3]data 2'!$b$9:#REF!</definedName>
    <definedName function="false" hidden="false" name="Equerre_BF" vbProcedure="false">'[3]data 2'!$b$65:#REF!</definedName>
    <definedName function="false" hidden="false" name="Events2003" vbProcedure="false">[10]database!$j$5:#REF!</definedName>
    <definedName function="false" hidden="false" name="Faces" vbProcedure="false">'[3]data 2'!$b$21:#REF!</definedName>
    <definedName function="false" hidden="false" name="fahrer" vbProcedure="false">'[9]601'!$q$6:#REF!</definedName>
    <definedName function="false" hidden="false" name="Fahrzeug" vbProcedure="false">#REF!</definedName>
    <definedName function="false" hidden="false" name="FARB_Stiffness" vbProcedure="false">#REF!</definedName>
    <definedName function="false" hidden="false" name="FARB_Table" vbProcedure="false">#REF!</definedName>
    <definedName function="false" hidden="false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Final_Drive_Ratio" vbProcedure="false">#REF!</definedName>
    <definedName function="false" hidden="false" name="Fin_course" vbProcedure="false">'[3]r (rs)'!$db$6</definedName>
    <definedName function="false" hidden="false" name="Flap1" vbProcedure="false">'[3]data 2'!$b$42:#REF!</definedName>
    <definedName function="false" hidden="false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name="Front_Brake_Ducts" vbProcedure="false">#REF!</definedName>
    <definedName function="false" hidden="false" name="Front_Brake_Type" vbProcedure="false">#REF!</definedName>
    <definedName function="false" hidden="false" name="Front_Caster_Setup" vbProcedure="false">#REF!</definedName>
    <definedName function="false" hidden="false" name="Front_Damper_Type" vbProcedure="false">#REF!</definedName>
    <definedName function="false" hidden="false" name="Front_Spring_Stiffness" vbProcedure="false">#REF!</definedName>
    <definedName function="false" hidden="false" name="Front_Torsion_Springs" vbProcedure="false">#REF!</definedName>
    <definedName function="false" hidden="false" name="Front_Wing_Gurneys" vbProcedure="false">#REF!</definedName>
    <definedName function="false" hidden="false" name="Front_Wing_Type" vbProcedure="false">#REF!</definedName>
    <definedName function="false" hidden="false" name="ftwing" vbProcedure="false">'[14]data vehicle'!$u$5:#REF!</definedName>
    <definedName function="false" hidden="false" name="gear1" vbProcedure="false">[11]list!$m$3:#REF!</definedName>
    <definedName function="false" hidden="false" name="gear2" vbProcedure="false">[11]list!$s$3:#REF!</definedName>
    <definedName function="false" hidden="false" name="gear3" vbProcedure="false">[11]list!$y$3:#REF!</definedName>
    <definedName function="false" hidden="false" name="gear4" vbProcedure="false">[11]list!$ae$3:#REF!</definedName>
    <definedName function="false" hidden="false" name="gear5" vbProcedure="false">[11]list!$ak$3:#REF!</definedName>
    <definedName function="false" hidden="false" name="gear6" vbProcedure="false">[11]list!$aq$3:#REF!</definedName>
    <definedName function="false" hidden="false" name="Gearbox" vbProcedure="false">'[3]data 2'!$b$11:#REF!</definedName>
    <definedName function="false" hidden="false" name="Gommes" vbProcedure="false">[4]data!$b$7:#REF!</definedName>
    <definedName function="false" hidden="false" name="Ingenieur" vbProcedure="false">#REF!</definedName>
    <definedName function="false" hidden="false" name="Intervention" vbProcedure="false">'[3]data 2'!$b$52:#REF!</definedName>
    <definedName function="false" hidden="false" name="Jahr" vbProcedure="false">#REF!</definedName>
    <definedName function="false" hidden="false" name="Lame" vbProcedure="false">'[3]data 2'!$b$63:#REF!</definedName>
    <definedName function="false" hidden="false" name="LapLength" vbProcedure="false">'[8]allg.'!$b$14</definedName>
    <definedName function="false" hidden="false" name="laptimes" vbProcedure="false">'[9]601'!$m$12:#REF!</definedName>
    <definedName function="false" hidden="false" name="laptimes2" vbProcedure="false">#REF!</definedName>
    <definedName function="false" hidden="false" name="lap_lenght" vbProcedure="false">[15]brake_wear!#ref!</definedName>
    <definedName function="false" hidden="false" name="lap_lenght2" vbProcedure="false">[15]brake_wear!#ref!</definedName>
    <definedName function="false" hidden="false" name="Levier" vbProcedure="false">'[3]data 2'!$b$35:#REF!</definedName>
    <definedName function="false" hidden="fals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MAR" vbProcedure="false">'[3]data 2'!$c$39:#REF!</definedName>
    <definedName function="false" hidden="false" name="Marge_Ess_Relai_1" vbProcedure="false">'[3]r (rs)'!$bv$12</definedName>
    <definedName function="false" hidden="false" name="Marge_Ess_Relai_2" vbProcedure="false">'[3]r (rs)'!$cd$12</definedName>
    <definedName function="false" hidden="false" name="Marge_Ess_Relai_22" vbProcedure="false">'[3]r (rs)'!$cd$81</definedName>
    <definedName function="false" hidden="false" name="Marge_Ess_Relai_3" vbProcedure="false">'[3]r (rs)'!$cl$12</definedName>
    <definedName function="false" hidden="false" name="Marge_Ess_Relai_32" vbProcedure="false">'[3]r (rs)'!$cl$81</definedName>
    <definedName function="false" hidden="false" name="Marge_Ess_Relai_33" vbProcedure="false">'[3]r (rs)'!$cl$150</definedName>
    <definedName function="false" hidden="false" name="Marge_Ess_Relai_4" vbProcedure="false">'[3]r (rs)'!$ct$12</definedName>
    <definedName function="false" hidden="false" name="Marge_Ess_Relai_42" vbProcedure="false">'[3]r (rs)'!$ct$81</definedName>
    <definedName function="false" hidden="false" name="Marge_Ess_Relai_43" vbProcedure="false">'[3]r (rs)'!$ct$150</definedName>
    <definedName function="false" hidden="false" name="Marge_Ess_Relai_44" vbProcedure="false">'[3]r (rs)'!$ct$219</definedName>
    <definedName function="false" hidden="false" name="Marge_Ess_Relai_5" vbProcedure="false">'[3]r (rs)'!$db$12</definedName>
    <definedName function="false" hidden="false" name="Marge_Ess_Relai_52" vbProcedure="false">'[3]r (rs)'!$db$81</definedName>
    <definedName function="false" hidden="false" name="Marge_Ess_Relai_53" vbProcedure="false">'[3]r (rs)'!$db$150</definedName>
    <definedName function="false" hidden="false" name="Marge_Ess_Relai_54" vbProcedure="false">'[3]r (rs)'!$db$219</definedName>
    <definedName function="false" hidden="false" name="Marge_Ess_Relai_55" vbProcedure="false">'[3]r (rs)'!$db$288</definedName>
    <definedName function="false" hidden="false" name="Marge_Ess_Relai_6" vbProcedure="false">'[3]r (rs)'!$dj$12</definedName>
    <definedName function="false" hidden="false" name="Marge_Ess_Relai_62" vbProcedure="false">'[3]r (rs)'!$dj$81</definedName>
    <definedName function="false" hidden="false" name="Marge_Ess_Relai_63" vbProcedure="false">'[3]r (rs)'!$dj$150</definedName>
    <definedName function="false" hidden="false" name="Marge_Ess_Relai_64" vbProcedure="false">'[3]r (rs)'!$dj$219</definedName>
    <definedName function="false" hidden="false" name="Marge_Ess_Relai_65" vbProcedure="false">'[3]r (rs)'!$dj$288</definedName>
    <definedName function="false" hidden="false" name="Marge_Ess_Relai_66" vbProcedure="false">'[3]r (rs)'!$dj$357</definedName>
    <definedName function="false" hidden="false" name="Marge_Ess_Relai_7" vbProcedure="false">'[3]r (rs)'!$dr$12</definedName>
    <definedName function="false" hidden="false" name="Marge_Ess_Relai_72" vbProcedure="false">'[3]r (rs)'!$dr$81</definedName>
    <definedName function="false" hidden="false" name="Marge_Ess_Relai_73" vbProcedure="false">'[3]r (rs)'!$dr$150</definedName>
    <definedName function="false" hidden="false" name="Marge_Ess_Relai_74" vbProcedure="false">'[3]r (rs)'!$dr$219</definedName>
    <definedName function="false" hidden="false" name="Marge_Ess_Relai_75" vbProcedure="false">'[3]r (rs)'!$dr$288</definedName>
    <definedName function="false" hidden="false" name="Marge_Ess_Relai_76" vbProcedure="false">'[3]r (rs)'!$dr$357</definedName>
    <definedName function="false" hidden="false" name="Marge_Ess_Relai_77" vbProcedure="false">'[3]r (rs)'!$dr$426</definedName>
    <definedName function="false" hidden="false" name="Master_Cylinder_Sizes" vbProcedure="false">#REF!</definedName>
    <definedName function="false" hidden="false" name="MAV" vbProcedure="false">'[3]data 2'!$c$37:#REF!</definedName>
    <definedName function="false" hidden="false" name="Max_Oil_Lev" vbProcedure="false">[4]data!$b$18</definedName>
    <definedName function="false" hidden="false" name="messtech" vbProcedure="false">#REF!</definedName>
    <definedName function="false" hidden="false" name="Messungen" vbProcedure="false">#REF!</definedName>
    <definedName function="false" hidden="false" name="micha" vbProcedure="false">[2]gtpemm4!#ref!</definedName>
    <definedName function="false" hidden="false" name="NomPil1" vbProcedure="false">#REF!</definedName>
    <definedName function="false" hidden="false" name="NomPil2" vbProcedure="false">#REF!</definedName>
    <definedName function="false" hidden="false" name="NomPil3" vbProcedure="false">#REF!</definedName>
    <definedName function="false" hidden="false" name="NomPil4" vbProcedure="false">#REF!</definedName>
    <definedName function="false" hidden="false" name="PAR" vbProcedure="false">'[3]data 2'!$c$38:#REF!</definedName>
    <definedName function="false" hidden="false" name="PAV" vbProcedure="false">'[3]data 2'!$c$36:#REF!</definedName>
    <definedName function="false" hidden="false" name="Persiennes" vbProcedure="false">'[3]data 2'!$b$47:#REF!</definedName>
    <definedName function="false" hidden="false" name="Pilotes" vbProcedure="false">[4]resume!$o$3:#REF!</definedName>
    <definedName function="false" hidden="false" name="Pil_1" vbProcedure="false">'[3]r (rs)'!$bv$3</definedName>
    <definedName function="false" hidden="false" name="Pil_2" vbProcedure="false">'[3]r (rs)'!$bv$4</definedName>
    <definedName function="false" hidden="false" name="Pil_3" vbProcedure="false">'[3]r (rs)'!$bv$5</definedName>
    <definedName function="false" hidden="false" name="Pil_4" vbProcedure="false">'[3]r (rs)'!$bv$6</definedName>
    <definedName function="false" hidden="false" name="Pil_Relai_1" vbProcedure="false">'[3]r (rs)'!$bv$11</definedName>
    <definedName function="false" hidden="false" name="Pil_Relai_12" vbProcedure="false">'[3]r (rs)'!$bv$80</definedName>
    <definedName function="false" hidden="false" name="Pil_Relai_2" vbProcedure="false">'[3]r (rs)'!$cd$11</definedName>
    <definedName function="false" hidden="false" name="Pil_Relai_22" vbProcedure="false">'[3]r (rs)'!$cd$80</definedName>
    <definedName function="false" hidden="false" name="Pil_Relai_23" vbProcedure="false">'[3]r (rs)'!$cd$149</definedName>
    <definedName function="false" hidden="false" name="Pil_Relai_3" vbProcedure="false">'[3]r (rs)'!$cl$11</definedName>
    <definedName function="false" hidden="false" name="Pil_Relai_32" vbProcedure="false">'[3]r (rs)'!$cl$80</definedName>
    <definedName function="false" hidden="false" name="Pil_Relai_33" vbProcedure="false">'[3]r (rs)'!$cl$149</definedName>
    <definedName function="false" hidden="false" name="Pil_Relai_34" vbProcedure="false">'[3]r (rs)'!$cl$218</definedName>
    <definedName function="false" hidden="false" name="Pil_Relai_4" vbProcedure="false">'[3]r (rs)'!$ct$11</definedName>
    <definedName function="false" hidden="false" name="Pil_Relai_42" vbProcedure="false">'[3]r (rs)'!$ct$80</definedName>
    <definedName function="false" hidden="false" name="Pil_Relai_43" vbProcedure="false">'[3]r (rs)'!$ct$149</definedName>
    <definedName function="false" hidden="false" name="Pil_Relai_44" vbProcedure="false">'[3]r (rs)'!$ct$218</definedName>
    <definedName function="false" hidden="false" name="Pil_Relai_45" vbProcedure="false">'[3]r (rs)'!$ct$287</definedName>
    <definedName function="false" hidden="false" name="Pil_Relai_5" vbProcedure="false">'[3]r (rs)'!$db$11</definedName>
    <definedName function="false" hidden="false" name="Pil_Relai_52" vbProcedure="false">'[3]r (rs)'!$db$80</definedName>
    <definedName function="false" hidden="false" name="Pil_Relai_53" vbProcedure="false">'[3]r (rs)'!$db$149</definedName>
    <definedName function="false" hidden="false" name="Pil_Relai_54" vbProcedure="false">'[3]r (rs)'!$db$218</definedName>
    <definedName function="false" hidden="false" name="Pil_Relai_55" vbProcedure="false">'[3]r (rs)'!$db$287</definedName>
    <definedName function="false" hidden="false" name="Pil_Relai_56" vbProcedure="false">'[3]r (rs)'!$db$356</definedName>
    <definedName function="false" hidden="false" name="Pil_Relai_6" vbProcedure="false">'[3]r (rs)'!$dj$11</definedName>
    <definedName function="false" hidden="false" name="Pil_Relai_62" vbProcedure="false">'[3]r (rs)'!$dj$80</definedName>
    <definedName function="false" hidden="false" name="Pil_Relai_63" vbProcedure="false">'[3]r (rs)'!$dj$149</definedName>
    <definedName function="false" hidden="false" name="Pil_Relai_64" vbProcedure="false">'[3]r (rs)'!$dj$218</definedName>
    <definedName function="false" hidden="false" name="Pil_Relai_65" vbProcedure="false">'[3]r (rs)'!$dj$287</definedName>
    <definedName function="false" hidden="false" name="Pil_Relai_66" vbProcedure="false">'[3]r (rs)'!$dj$356</definedName>
    <definedName function="false" hidden="false" name="Pil_Relai_67" vbProcedure="false">'[3]r (rs)'!$dj$425</definedName>
    <definedName function="false" hidden="false" name="Pil_Relai_7" vbProcedure="false">'[3]r (rs)'!$dr$11</definedName>
    <definedName function="false" hidden="false" name="Pil_Relai_72" vbProcedure="false">'[3]r (rs)'!$dr$80</definedName>
    <definedName function="false" hidden="false" name="Pil_Relai_73" vbProcedure="false">'[3]r (rs)'!$dr$149</definedName>
    <definedName function="false" hidden="false" name="Pil_Relai_74" vbProcedure="false">'[3]r (rs)'!$dr$218</definedName>
    <definedName function="false" hidden="false" name="Pil_Relai_75" vbProcedure="false">'[3]r (rs)'!$dr$287</definedName>
    <definedName function="false" hidden="false" name="Pil_Relai_76" vbProcedure="false">'[3]r (rs)'!$dr$356</definedName>
    <definedName function="false" hidden="false" name="Pil_Relai_77" vbProcedure="false">'[3]r (rs)'!$dr$425</definedName>
    <definedName function="false" hidden="false" name="Pil_Relai_78" vbProcedure="false">'[3]r (rs)'!$dr$494</definedName>
    <definedName function="false" hidden="false" name="Pil_Relai_8" vbProcedure="false">'[3]r (rs)'!$dz$11</definedName>
    <definedName function="false" hidden="false" name="Pil_Relai_82" vbProcedure="false">'[3]r (rs)'!$dz$80</definedName>
    <definedName function="false" hidden="false" name="Pil_Relai_83" vbProcedure="false">'[3]r (rs)'!$dz$149</definedName>
    <definedName function="false" hidden="false" name="Pil_Relai_84" vbProcedure="false">'[3]r (rs)'!$dz$218</definedName>
    <definedName function="false" hidden="false" name="Pil_Relai_85" vbProcedure="false">'[3]r (rs)'!$dz$287</definedName>
    <definedName function="false" hidden="false" name="Pil_Relai_86" vbProcedure="false">'[3]r (rs)'!$dz$356</definedName>
    <definedName function="false" hidden="false" name="Pil_Relai_87" vbProcedure="false">'[3]r (rs)'!$dz$425</definedName>
    <definedName function="false" hidden="false" name="Pil_Relai_88" vbProcedure="false">'[3]r (rs)'!$dz$494</definedName>
    <definedName function="false" hidden="false" name="Piste" vbProcedure="false">[4]data!$b$4:#REF!</definedName>
    <definedName function="false" hidden="false" name="Pistes" vbProcedure="false">'[3]data 2'!$b$1:#REF!</definedName>
    <definedName function="false" hidden="false" name="PitTiIncDriOut" vbProcedure="false">[4]resume!$an$4</definedName>
    <definedName function="false" hidden="false" name="Poissons" vbProcedure="false">'[3]data 2'!$b$46:#REF!</definedName>
    <definedName function="false" hidden="false" name="Position_Secondaire" vbProcedure="false">'[3]data 2'!$c$37:#REF!,'[3]data 2'!$c$39:#REF!</definedName>
    <definedName function="false" hidden="false" name="p_20" vbProcedure="false">[6]tyre_pressure!$ao$1</definedName>
    <definedName function="false" hidden="false" name="QEss" vbProcedure="false">#REF!</definedName>
    <definedName function="false" hidden="false" name="Rampes" vbProcedure="false">'[3]data 2'!$b$20:#REF!</definedName>
    <definedName function="false" hidden="false" name="RARB_Stiffness" vbProcedure="false">#REF!</definedName>
    <definedName function="false" hidden="false" name="RARB_Table" vbProcedure="false">#REF!</definedName>
    <definedName function="false" hidden="false" name="RatioGB_1st" vbProcedure="false">'[3]data 2'!$d$14</definedName>
    <definedName function="false" hidden="false" name="RatioGB_3rd" vbProcedure="false">'[3]data 2'!$d$16:#REF!</definedName>
    <definedName function="false" hidden="false" name="RatioGB_456th" vbProcedure="false">'[3]data 2'!$h$18:#REF!</definedName>
    <definedName function="false" hidden="false" name="RatioGB_Final_Drive" vbProcedure="false">'[3]data 2'!$b$13:#REF!</definedName>
    <definedName function="false" hidden="false" name="RatioGB_Input" vbProcedure="false">'[3]data 2'!$b$12:#REF!</definedName>
    <definedName function="false" hidden="false" name="Ratio_Sets" vbProcedure="false">#REF!</definedName>
    <definedName function="false" hidden="false" name="reardiff" vbProcedure="false">[11]list!$a$3:#REF!</definedName>
    <definedName function="false" hidden="false" name="Rear_Brake_Ducts" vbProcedure="false">#REF!</definedName>
    <definedName function="false" hidden="false" name="Rear_Brake_Type" vbProcedure="false">#REF!</definedName>
    <definedName function="false" hidden="false" name="Rear_Damper_Type" vbProcedure="false">#REF!</definedName>
    <definedName function="false" hidden="false" name="Rear_Spring_Stiffness" vbProcedure="false">#REF!</definedName>
    <definedName function="false" hidden="false" name="Rear_Torsion_Springs" vbProcedure="false">#REF!</definedName>
    <definedName function="false" hidden="false" name="Rear_Wing_Gurneys" vbProcedure="false">#REF!</definedName>
    <definedName function="false" hidden="false" name="Rear_Wing_Type" vbProcedure="false">#REF!</definedName>
    <definedName function="false" hidden="false" name="Rebound_High_Speed" vbProcedure="false">'[3]data 2'!$c$30:#REF!</definedName>
    <definedName function="false" hidden="false" name="Rebound_Low_Speed" vbProcedure="false">'[3]data 2'!$c$29:#REF!</definedName>
    <definedName function="false" hidden="false" name="reifenumfang" vbProcedure="false">#REF!</definedName>
    <definedName function="false" hidden="false" name="Reifenumfang2" vbProcedure="false">#REF!</definedName>
    <definedName function="false" hidden="false" name="Reifenumfang3" vbProcedure="false">#REF!</definedName>
    <definedName function="false" hidden="false" name="Rennstrecke" vbProcedure="false">#REF!</definedName>
    <definedName function="false" hidden="false" name="Rims_Set" vbProcedure="false">[3]tyres!#ref!</definedName>
    <definedName function="false" hidden="false" name="RLWB_Fwd_Leg" vbProcedure="false">#REF!</definedName>
    <definedName function="false" hidden="false" name="RLWB_Rear_Leg" vbProcedure="false">#REF!</definedName>
    <definedName function="false" hidden="false" name="rpm" vbProcedure="false">'[16]list 6'!$o$1</definedName>
    <definedName function="false" hidden="false" name="rrwing" vbProcedure="false">'[14]data vehicle'!$y$5:#REF!</definedName>
    <definedName function="false" hidden="false" name="RTWB_Fwd_Leg" vbProcedure="false">#REF!</definedName>
    <definedName function="false" hidden="false" name="RTWB_Rear_Leg" vbProcedure="false">#REF!</definedName>
    <definedName function="false" hidden="false" name="rundenlaenge" vbProcedure="false">#REF!</definedName>
    <definedName function="false" hidden="false" name="Schaltdrehzahl" vbProcedure="false">#REF!</definedName>
    <definedName function="false" hidden="false" name="SeriennummerDSM" vbProcedure="false">16</definedName>
    <definedName function="false" hidden="false" name="SeriennummerZOC1" vbProcedure="false">0</definedName>
    <definedName function="false" hidden="false" name="SeriennummerZOC2" vbProcedure="false">311</definedName>
    <definedName function="false" hidden="false" name="SeriennummerZOC3" vbProcedure="false">0</definedName>
    <definedName function="false" hidden="false" name="SeriennummerZOC4" vbProcedure="false">0</definedName>
    <definedName function="false" hidden="false" name="Shift_Point" vbProcedure="false">'[3]data 2'!$b$19:#REF!</definedName>
    <definedName function="false" hidden="false" name="Sprache" vbProcedure="false">#REF!</definedName>
    <definedName function="false" hidden="false" name="Springs" vbProcedure="false">'[3]data 2'!$b$31:#REF!</definedName>
    <definedName function="false" hidden="false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t" vbProcedure="false">[6]tyre_pressure!$ao$2</definedName>
    <definedName function="false" hidden="false" name="test" vbProcedure="false">[2]gtpemm4!#ref!</definedName>
    <definedName function="false" hidden="false" name="Toe_Settings" vbProcedure="false">#REF!</definedName>
    <definedName function="false" hidden="false" name="Tps2Pn" vbProcedure="false">#REF!</definedName>
    <definedName function="false" hidden="false" name="Tps4Pn" vbProcedure="false">#REF!</definedName>
    <definedName function="false" hidden="false" name="TpsAccoup" vbProcedure="false">#REF!</definedName>
    <definedName function="false" hidden="false" name="TpsPil1" vbProcedure="false">#REF!</definedName>
    <definedName function="false" hidden="false" name="TpsPil2" vbProcedure="false">#REF!</definedName>
    <definedName function="false" hidden="false" name="TpsPil3" vbProcedure="false">#REF!</definedName>
    <definedName function="false" hidden="false" name="TpsPil4" vbProcedure="false">#REF!</definedName>
    <definedName function="false" hidden="false" name="TpsPit" vbProcedure="false">#REF!</definedName>
    <definedName function="false" hidden="false" name="TpsSC" vbProcedure="false">#REF!</definedName>
    <definedName function="false" hidden="false" name="TpsStart" vbProcedure="false">#REF!</definedName>
    <definedName function="false" hidden="false" name="Tps_Chgt_2_Pneus" vbProcedure="false">'[3]r (rs)'!$ct$3</definedName>
    <definedName function="false" hidden="false" name="Tps_Chgt_4_Pneus" vbProcedure="false">'[3]r (rs)'!$ct$4</definedName>
    <definedName function="false" hidden="false" name="Tps_Max_Pil" vbProcedure="false">[4]data!$b$17</definedName>
    <definedName function="false" hidden="false" name="Tps_Min_Pil" vbProcedure="false">[4]data!$b$16</definedName>
    <definedName function="false" hidden="false" name="Tps_Pass_Box" vbProcedure="false">'[3]r (rs)'!$ec$1</definedName>
    <definedName function="false" hidden="false" name="Track" vbProcedure="false">[4]data!$b$10:#REF!</definedName>
    <definedName function="false" hidden="false" name="Trains" vbProcedure="false">[3]tyres!$bj$19:#REF!</definedName>
    <definedName function="false" hidden="false" name="Tyres" vbProcedure="false">'[3]data 2'!$b$8:#REF!</definedName>
    <definedName function="false" hidden="false" name="ueb_dg" vbProcedure="false">#REF!</definedName>
    <definedName function="false" hidden="false" name="ueb_ha" vbProcedure="false">#REF!</definedName>
    <definedName function="false" hidden="false" name="Verbrauch" vbProcedure="false">#REF!</definedName>
    <definedName function="false" hidden="false" name="Versuchsname" vbProcedure="false">#REF!</definedName>
    <definedName function="false" hidden="false" name="Vol_Reservoir" vbProcedure="false">'[3]r (rs)'!$ec$5</definedName>
    <definedName function="false" hidden="false" name="Weather" vbProcedure="false">'[3]data 2'!$b$4:#REF!</definedName>
    <definedName function="false" hidden="false" name="WeatherTrack" vbProcedure="false">'[3]data 2'!$b$5:#REF!</definedName>
    <definedName function="false" hidden="false" name="Wing_Settings" vbProcedure="false">#REF!</definedName>
    <definedName function="false" hidden="false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xlnm.Extract" vbProcedure="false">[13]tabelle3!#ref!</definedName>
    <definedName function="false" hidden="false" name="_xlnm.Print_Area" vbProcedure="false">#REF!</definedName>
    <definedName function="false" hidden="false" localSheetId="0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bar" vbProcedure="false">[5]tyre_pressure!$ao$4</definedName>
    <definedName function="false" hidden="false" localSheetId="0" name="const" vbProcedure="false">[5]tyre_pressure!$ao$3</definedName>
    <definedName function="false" hidden="false" localSheetId="0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localSheetId="0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p_20" vbProcedure="false">[5]tyre_pressure!$ao$1</definedName>
    <definedName function="false" hidden="false" localSheetId="0" name="Rims_Set" vbProcedure="false">[3]tyres!#ref!</definedName>
    <definedName function="false" hidden="false" localSheetId="0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t" vbProcedure="false">[5]tyre_pressure!$ao$2</definedName>
    <definedName function="false" hidden="false" localSheetId="0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bar" vbProcedure="false">[5]tyre_pressure!$ao$4</definedName>
    <definedName function="false" hidden="false" localSheetId="1" name="const" vbProcedure="false">[5]tyre_pressure!$ao$3</definedName>
    <definedName function="false" hidden="false" localSheetId="1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localSheetId="1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p_20" vbProcedure="false">[5]tyre_pressure!$ao$1</definedName>
    <definedName function="false" hidden="false" localSheetId="1" name="Rims_Set" vbProcedure="false">[3]tyres!#ref!</definedName>
    <definedName function="false" hidden="false" localSheetId="1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1" name="t" vbProcedure="false">[5]tyre_pressure!$ao$2</definedName>
    <definedName function="false" hidden="false" localSheetId="1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5" authorId="0">
      <text>
        <r>
          <rPr>
            <sz val="11"/>
            <color rgb="FF000000"/>
            <rFont val="Calibri"/>
            <family val="2"/>
            <charset val="1"/>
          </rPr>
          <t xml:space="preserve">tbouvet:
</t>
        </r>
        <r>
          <rPr>
            <sz val="8"/>
            <color rgb="FF000000"/>
            <rFont val="Tahoma"/>
            <family val="2"/>
            <charset val="1"/>
          </rPr>
          <t xml:space="preserve">MORE = more angle on wheel = remove camber shim
LESS = less angle on wheel = add camber shim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5" authorId="0">
      <text>
        <r>
          <rPr>
            <sz val="11"/>
            <color rgb="FF000000"/>
            <rFont val="Calibri"/>
            <family val="2"/>
            <charset val="1"/>
          </rPr>
          <t xml:space="preserve">tbouvet:
</t>
        </r>
        <r>
          <rPr>
            <sz val="8"/>
            <color rgb="FF000000"/>
            <rFont val="Tahoma"/>
            <family val="2"/>
            <charset val="1"/>
          </rPr>
          <t xml:space="preserve">MORE = more angle on wheel = remove camber shim
LESS = less angle on wheel = add camber shim</t>
        </r>
      </text>
    </comment>
  </commentList>
</comments>
</file>

<file path=xl/sharedStrings.xml><?xml version="1.0" encoding="utf-8"?>
<sst xmlns="http://schemas.openxmlformats.org/spreadsheetml/2006/main" count="368" uniqueCount="22">
  <si>
    <t xml:space="preserve">LAP DISTANCE</t>
  </si>
  <si>
    <t xml:space="preserve">STINT</t>
  </si>
  <si>
    <t xml:space="preserve">RACE  LE MANS</t>
  </si>
  <si>
    <t xml:space="preserve">COEFFICIENT</t>
  </si>
  <si>
    <t xml:space="preserve">not sensitive 100 - very sensitive 1000</t>
  </si>
  <si>
    <t xml:space="preserve">COMPOUND</t>
  </si>
  <si>
    <t xml:space="preserve">NEW MEASUREMENTS</t>
  </si>
  <si>
    <t xml:space="preserve">TIRE LIFE (STINT)_min</t>
  </si>
  <si>
    <t xml:space="preserve">S  C</t>
  </si>
  <si>
    <t xml:space="preserve">CAMBER SLOPE</t>
  </si>
  <si>
    <t xml:space="preserve">INITIAL MEASUREMENTS</t>
  </si>
  <si>
    <t xml:space="preserve">OLD MEASUREMENTS</t>
  </si>
  <si>
    <t xml:space="preserve">F/R WEAR BALANCE_ave</t>
  </si>
  <si>
    <t xml:space="preserve">FINAL MEASUREMENTS</t>
  </si>
  <si>
    <t xml:space="preserve">% WEAR /KM</t>
  </si>
  <si>
    <t xml:space="preserve">L/R WEAR BALANCE_ave</t>
  </si>
  <si>
    <t xml:space="preserve">LAPS</t>
  </si>
  <si>
    <t xml:space="preserve">TIRE LIFE (lap)</t>
  </si>
  <si>
    <t xml:space="preserve">CAMBER ADJUSTMENT</t>
  </si>
  <si>
    <t xml:space="preserve">S  H</t>
  </si>
  <si>
    <t xml:space="preserve">M  H</t>
  </si>
  <si>
    <t xml:space="preserve">2..70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</si>
</sst>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0"/>
    <numFmt numFmtId="167" formatCode="0"/>
    <numFmt numFmtId="168" formatCode="0.00"/>
    <numFmt numFmtId="169" formatCode="0.0"/>
    <numFmt numFmtId="170" formatCode="0.00%"/>
    <numFmt numFmtId="171" formatCode="#,##0.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 Narrow"/>
      <family val="2"/>
      <charset val="1"/>
    </font>
    <font>
      <sz val="33"/>
      <color rgb="FF000000"/>
      <name val="Arial Narrow"/>
      <family val="2"/>
      <charset val="1"/>
    </font>
    <font>
      <b val="true"/>
      <sz val="28"/>
      <color rgb="FF000000"/>
      <name val="Arial Narrow"/>
      <family val="2"/>
      <charset val="1"/>
    </font>
    <font>
      <b val="true"/>
      <sz val="14"/>
      <color rgb="FFFFFFFF"/>
      <name val="Arial Narrow"/>
      <family val="2"/>
      <charset val="1"/>
    </font>
    <font>
      <b val="true"/>
      <sz val="14"/>
      <color rgb="FF000000"/>
      <name val="Arial Narrow"/>
      <family val="2"/>
      <charset val="1"/>
    </font>
    <font>
      <b val="true"/>
      <sz val="18"/>
      <color rgb="FFC9211E"/>
      <name val="Arial Narrow"/>
      <family val="2"/>
      <charset val="1"/>
    </font>
    <font>
      <b val="true"/>
      <u val="single"/>
      <sz val="10"/>
      <color rgb="FF000000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b val="true"/>
      <sz val="9"/>
      <color rgb="FFFFFFFF"/>
      <name val="Arial Narrow"/>
      <family val="2"/>
      <charset val="1"/>
    </font>
    <font>
      <sz val="10"/>
      <color rgb="FFFF0000"/>
      <name val="Arial Narrow"/>
      <family val="2"/>
      <charset val="1"/>
    </font>
    <font>
      <sz val="10"/>
      <color rgb="FF00B050"/>
      <name val="Arial Narrow"/>
      <family val="2"/>
      <charset val="1"/>
    </font>
    <font>
      <sz val="10"/>
      <color rgb="FF0000FF"/>
      <name val="Arial Narrow"/>
      <family val="2"/>
      <charset val="1"/>
    </font>
    <font>
      <sz val="10"/>
      <color rgb="FFFFC000"/>
      <name val="Arial Narrow"/>
      <family val="2"/>
      <charset val="1"/>
    </font>
    <font>
      <sz val="10"/>
      <color rgb="FF0070C0"/>
      <name val="Arial Narrow"/>
      <family val="2"/>
      <charset val="1"/>
    </font>
    <font>
      <sz val="14"/>
      <color rgb="FF000000"/>
      <name val="Arial Narrow"/>
      <family val="2"/>
      <charset val="1"/>
    </font>
    <font>
      <sz val="8"/>
      <color rgb="FF000000"/>
      <name val="Tahoma"/>
      <family val="2"/>
      <charset val="1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B66C"/>
        <bgColor rgb="FFFFC000"/>
      </patternFill>
    </fill>
    <fill>
      <patternFill patternType="solid">
        <fgColor rgb="FF000000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hair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3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5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3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8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ourcentag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000"/>
      <rgbColor rgb="FFFF9900"/>
      <rgbColor rgb="FFFF6600"/>
      <rgbColor rgb="FF2A60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9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6687078995713"/>
          <c:y val="0.0766836445953594"/>
          <c:w val="0.766197183098592"/>
          <c:h val="0.844086021505376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REPORT'!$C$12:$E$12</c:f>
              <c:numCache>
                <c:formatCode>General</c:formatCode>
                <c:ptCount val="3"/>
                <c:pt idx="0">
                  <c:v>1.86</c:v>
                </c:pt>
                <c:pt idx="1">
                  <c:v>1.44</c:v>
                </c:pt>
                <c:pt idx="2">
                  <c:v>2.41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REPORT'!$C$13:$E$13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642380"/>
        <c:axId val="13246577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REPORT'!$J$12:$L$12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REPORT'!$J$13:$L$13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851187"/>
        <c:axId val="23633828"/>
      </c:lineChart>
      <c:catAx>
        <c:axId val="946423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246577"/>
        <c:crosses val="autoZero"/>
        <c:auto val="1"/>
        <c:lblAlgn val="ctr"/>
        <c:lblOffset val="100"/>
        <c:noMultiLvlLbl val="0"/>
      </c:catAx>
      <c:valAx>
        <c:axId val="1324657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642380"/>
        <c:crosses val="autoZero"/>
        <c:crossBetween val="between"/>
        <c:majorUnit val="1"/>
      </c:valAx>
      <c:catAx>
        <c:axId val="3085118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633828"/>
        <c:auto val="1"/>
        <c:lblAlgn val="ctr"/>
        <c:lblOffset val="100"/>
        <c:noMultiLvlLbl val="0"/>
      </c:catAx>
      <c:valAx>
        <c:axId val="2363382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85118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REPORT'!$F$12:$H$12</c:f>
              <c:numCache>
                <c:formatCode>General</c:formatCode>
                <c:ptCount val="3"/>
                <c:pt idx="0">
                  <c:v>2.31</c:v>
                </c:pt>
                <c:pt idx="1">
                  <c:v>2.55</c:v>
                </c:pt>
                <c:pt idx="2">
                  <c:v>1.9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REPORT'!$F$13:$H$13</c:f>
              <c:numCache>
                <c:formatCode>General</c:formatCode>
                <c:ptCount val="3"/>
                <c:pt idx="0">
                  <c:v>1.58</c:v>
                </c:pt>
                <c:pt idx="1">
                  <c:v>1.99</c:v>
                </c:pt>
                <c:pt idx="2">
                  <c:v>2.13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136561"/>
        <c:axId val="7634727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REPORT'!$M$12:$O$12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REPORT'!$M$13:$O$13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518822"/>
        <c:axId val="16472326"/>
      </c:lineChart>
      <c:catAx>
        <c:axId val="501365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34727"/>
        <c:crosses val="autoZero"/>
        <c:auto val="1"/>
        <c:lblAlgn val="ctr"/>
        <c:lblOffset val="100"/>
        <c:noMultiLvlLbl val="0"/>
      </c:catAx>
      <c:valAx>
        <c:axId val="763472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136561"/>
        <c:crosses val="autoZero"/>
        <c:crossBetween val="between"/>
        <c:majorUnit val="1"/>
      </c:valAx>
      <c:catAx>
        <c:axId val="4451882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472326"/>
        <c:auto val="1"/>
        <c:lblAlgn val="ctr"/>
        <c:lblOffset val="100"/>
        <c:noMultiLvlLbl val="0"/>
      </c:catAx>
      <c:valAx>
        <c:axId val="1647232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51882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REPORT'!$C$28:$E$28</c:f>
              <c:numCache>
                <c:formatCode>General</c:formatCode>
                <c:ptCount val="3"/>
                <c:pt idx="0">
                  <c:v>2.24</c:v>
                </c:pt>
                <c:pt idx="1">
                  <c:v>2.5</c:v>
                </c:pt>
                <c:pt idx="2">
                  <c:v>2.57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REPORT'!$C$29:$E$29</c:f>
              <c:numCache>
                <c:formatCode>General</c:formatCode>
                <c:ptCount val="3"/>
                <c:pt idx="0">
                  <c:v>2.13</c:v>
                </c:pt>
                <c:pt idx="1">
                  <c:v>1.97</c:v>
                </c:pt>
                <c:pt idx="2">
                  <c:v>2.17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436487"/>
        <c:axId val="4688394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REPORT'!$J$28:$L$28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REPORT'!$J$29:$L$29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098320"/>
        <c:axId val="90489252"/>
      </c:lineChart>
      <c:catAx>
        <c:axId val="744364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883948"/>
        <c:crosses val="autoZero"/>
        <c:auto val="1"/>
        <c:lblAlgn val="ctr"/>
        <c:lblOffset val="100"/>
        <c:noMultiLvlLbl val="0"/>
      </c:catAx>
      <c:valAx>
        <c:axId val="4688394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436487"/>
        <c:crosses val="autoZero"/>
        <c:crossBetween val="between"/>
        <c:majorUnit val="1"/>
      </c:valAx>
      <c:catAx>
        <c:axId val="280983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489252"/>
        <c:auto val="1"/>
        <c:lblAlgn val="ctr"/>
        <c:lblOffset val="100"/>
        <c:noMultiLvlLbl val="0"/>
      </c:catAx>
      <c:valAx>
        <c:axId val="9048925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09832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REPORT'!$F$28:$H$28</c:f>
              <c:numCache>
                <c:formatCode>General</c:formatCode>
                <c:ptCount val="3"/>
                <c:pt idx="2">
                  <c:v>1.93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REPORT'!$F$29:$H$29</c:f>
              <c:numCache>
                <c:formatCode>General</c:formatCode>
                <c:ptCount val="3"/>
                <c:pt idx="0">
                  <c:v>2.19</c:v>
                </c:pt>
                <c:pt idx="1">
                  <c:v>2.4</c:v>
                </c:pt>
                <c:pt idx="2">
                  <c:v>2.28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264166"/>
        <c:axId val="4741985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REPORT'!$M$28:$O$28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REPORT'!$M$29:$O$29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456708"/>
        <c:axId val="26858621"/>
      </c:lineChart>
      <c:catAx>
        <c:axId val="832641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41985"/>
        <c:crosses val="autoZero"/>
        <c:auto val="1"/>
        <c:lblAlgn val="ctr"/>
        <c:lblOffset val="100"/>
        <c:noMultiLvlLbl val="0"/>
      </c:catAx>
      <c:valAx>
        <c:axId val="474198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264166"/>
        <c:crosses val="autoZero"/>
        <c:crossBetween val="between"/>
        <c:majorUnit val="1"/>
      </c:valAx>
      <c:catAx>
        <c:axId val="614567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858621"/>
        <c:auto val="1"/>
        <c:lblAlgn val="ctr"/>
        <c:lblOffset val="100"/>
        <c:noMultiLvlLbl val="0"/>
      </c:catAx>
      <c:valAx>
        <c:axId val="2685862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45670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REPORT'!$C$44:$E$44</c:f>
              <c:numCache>
                <c:formatCode>General</c:formatCode>
                <c:ptCount val="3"/>
                <c:pt idx="0">
                  <c:v>2.74</c:v>
                </c:pt>
                <c:pt idx="1">
                  <c:v>2.85</c:v>
                </c:pt>
                <c:pt idx="2">
                  <c:v>2.81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REPORT'!$C$45:$E$45</c:f>
              <c:numCache>
                <c:formatCode>General</c:formatCode>
                <c:ptCount val="3"/>
                <c:pt idx="0">
                  <c:v>2.68</c:v>
                </c:pt>
                <c:pt idx="1">
                  <c:v>2.59</c:v>
                </c:pt>
                <c:pt idx="2">
                  <c:v>2.62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721747"/>
        <c:axId val="58894560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REPORT'!$J$44:$L$44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REPORT'!$J$45:$L$45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893534"/>
        <c:axId val="27302953"/>
      </c:lineChart>
      <c:catAx>
        <c:axId val="507217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894560"/>
        <c:crosses val="autoZero"/>
        <c:auto val="1"/>
        <c:lblAlgn val="ctr"/>
        <c:lblOffset val="100"/>
        <c:noMultiLvlLbl val="0"/>
      </c:catAx>
      <c:valAx>
        <c:axId val="5889456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721747"/>
        <c:crosses val="autoZero"/>
        <c:crossBetween val="between"/>
        <c:majorUnit val="1"/>
      </c:valAx>
      <c:catAx>
        <c:axId val="2989353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7302953"/>
        <c:auto val="1"/>
        <c:lblAlgn val="ctr"/>
        <c:lblOffset val="100"/>
        <c:noMultiLvlLbl val="0"/>
      </c:catAx>
      <c:valAx>
        <c:axId val="27302953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89353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REPORT'!$F$44:$H$44</c:f>
              <c:numCache>
                <c:formatCode>General</c:formatCode>
                <c:ptCount val="3"/>
                <c:pt idx="0">
                  <c:v>2.76</c:v>
                </c:pt>
                <c:pt idx="1">
                  <c:v>2.84</c:v>
                </c:pt>
                <c:pt idx="2">
                  <c:v>2.75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REPORT'!$F$45:$H$45</c:f>
              <c:numCache>
                <c:formatCode>General</c:formatCode>
                <c:ptCount val="3"/>
                <c:pt idx="0">
                  <c:v>2.56</c:v>
                </c:pt>
                <c:pt idx="1">
                  <c:v>2.71</c:v>
                </c:pt>
                <c:pt idx="2">
                  <c:v>2.69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020025"/>
        <c:axId val="81990449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REPORT'!$M$44:$O$44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REPORT'!$M$45:$O$45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266068"/>
        <c:axId val="13873095"/>
      </c:lineChart>
      <c:catAx>
        <c:axId val="180200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990449"/>
        <c:crosses val="autoZero"/>
        <c:auto val="1"/>
        <c:lblAlgn val="ctr"/>
        <c:lblOffset val="100"/>
        <c:noMultiLvlLbl val="0"/>
      </c:catAx>
      <c:valAx>
        <c:axId val="8199044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8020025"/>
        <c:crosses val="autoZero"/>
        <c:crossBetween val="between"/>
        <c:majorUnit val="1"/>
      </c:valAx>
      <c:catAx>
        <c:axId val="632660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873095"/>
        <c:auto val="1"/>
        <c:lblAlgn val="ctr"/>
        <c:lblOffset val="100"/>
        <c:noMultiLvlLbl val="0"/>
      </c:catAx>
      <c:valAx>
        <c:axId val="1387309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26606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REPORT'!$C$60:$E$60</c:f>
              <c:numCache>
                <c:formatCode>General</c:formatCode>
                <c:ptCount val="3"/>
                <c:pt idx="0">
                  <c:v>2.52</c:v>
                </c:pt>
                <c:pt idx="1">
                  <c:v>2.72</c:v>
                </c:pt>
                <c:pt idx="2">
                  <c:v>2.64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REPORT'!$C$61:$E$61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969794"/>
        <c:axId val="34239147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REPORT'!$J$60:$L$60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REPORT'!$J$61:$L$61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9155"/>
        <c:axId val="41027024"/>
      </c:lineChart>
      <c:catAx>
        <c:axId val="589697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239147"/>
        <c:crosses val="autoZero"/>
        <c:auto val="1"/>
        <c:lblAlgn val="ctr"/>
        <c:lblOffset val="100"/>
        <c:noMultiLvlLbl val="0"/>
      </c:catAx>
      <c:valAx>
        <c:axId val="3423914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969794"/>
        <c:crosses val="autoZero"/>
        <c:crossBetween val="between"/>
        <c:majorUnit val="1"/>
      </c:valAx>
      <c:catAx>
        <c:axId val="9191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1027024"/>
        <c:auto val="1"/>
        <c:lblAlgn val="ctr"/>
        <c:lblOffset val="100"/>
        <c:noMultiLvlLbl val="0"/>
      </c:catAx>
      <c:valAx>
        <c:axId val="4102702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915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REPORT'!$F$60:$H$60</c:f>
              <c:numCache>
                <c:formatCode>General</c:formatCode>
                <c:ptCount val="3"/>
                <c:pt idx="0">
                  <c:v>2.63</c:v>
                </c:pt>
                <c:pt idx="1">
                  <c:v>2</c:v>
                </c:pt>
                <c:pt idx="2">
                  <c:v>2.48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REPORT'!$F$61:$H$61</c:f>
              <c:numCache>
                <c:formatCode>General</c:formatCode>
                <c:ptCount val="3"/>
                <c:pt idx="0">
                  <c:v>2.4</c:v>
                </c:pt>
                <c:pt idx="1">
                  <c:v>2.55</c:v>
                </c:pt>
                <c:pt idx="2">
                  <c:v>2.6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516694"/>
        <c:axId val="3233968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REPORT'!$M$60:$O$60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REPORT'!$M$61:$O$61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551327"/>
        <c:axId val="68849908"/>
      </c:lineChart>
      <c:catAx>
        <c:axId val="835166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2339681"/>
        <c:crosses val="autoZero"/>
        <c:auto val="1"/>
        <c:lblAlgn val="ctr"/>
        <c:lblOffset val="100"/>
        <c:noMultiLvlLbl val="0"/>
      </c:catAx>
      <c:valAx>
        <c:axId val="3233968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516694"/>
        <c:crosses val="autoZero"/>
        <c:crossBetween val="between"/>
        <c:majorUnit val="1"/>
      </c:valAx>
      <c:catAx>
        <c:axId val="5555132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849908"/>
        <c:auto val="1"/>
        <c:lblAlgn val="ctr"/>
        <c:lblOffset val="100"/>
        <c:noMultiLvlLbl val="0"/>
      </c:catAx>
      <c:valAx>
        <c:axId val="6884990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55132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REPORT'!$C$76:$E$76</c:f>
              <c:numCache>
                <c:formatCode>General</c:formatCode>
                <c:ptCount val="3"/>
                <c:pt idx="0">
                  <c:v>2.61</c:v>
                </c:pt>
                <c:pt idx="1">
                  <c:v>1.92</c:v>
                </c:pt>
                <c:pt idx="2">
                  <c:v>2.88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REPORT'!$C$77:$E$77</c:f>
              <c:numCache>
                <c:formatCode>General</c:formatCode>
                <c:ptCount val="3"/>
                <c:pt idx="0">
                  <c:v>2.55</c:v>
                </c:pt>
                <c:pt idx="1">
                  <c:v>2.6</c:v>
                </c:pt>
                <c:pt idx="2">
                  <c:v>2.65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016530"/>
        <c:axId val="1447499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REPORT'!$J$76:$L$76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REPORT'!$J$77:$L$77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484753"/>
        <c:axId val="45832473"/>
      </c:lineChart>
      <c:catAx>
        <c:axId val="730165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474998"/>
        <c:crosses val="autoZero"/>
        <c:auto val="1"/>
        <c:lblAlgn val="ctr"/>
        <c:lblOffset val="100"/>
        <c:noMultiLvlLbl val="0"/>
      </c:catAx>
      <c:valAx>
        <c:axId val="1447499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016530"/>
        <c:crosses val="autoZero"/>
        <c:crossBetween val="between"/>
        <c:majorUnit val="1"/>
      </c:valAx>
      <c:catAx>
        <c:axId val="2148475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832473"/>
        <c:auto val="1"/>
        <c:lblAlgn val="ctr"/>
        <c:lblOffset val="100"/>
        <c:noMultiLvlLbl val="0"/>
      </c:catAx>
      <c:valAx>
        <c:axId val="45832473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48475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REPORT'!$F$76:$H$76</c:f>
              <c:numCache>
                <c:formatCode>General</c:formatCode>
                <c:ptCount val="3"/>
                <c:pt idx="0">
                  <c:v>2.9</c:v>
                </c:pt>
                <c:pt idx="1">
                  <c:v>2.94</c:v>
                </c:pt>
                <c:pt idx="2">
                  <c:v>2.48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REPORT'!$F$77:$H$77</c:f>
              <c:numCache>
                <c:formatCode>General</c:formatCode>
                <c:ptCount val="3"/>
                <c:pt idx="0">
                  <c:v>2.61</c:v>
                </c:pt>
                <c:pt idx="1">
                  <c:v>2.51</c:v>
                </c:pt>
                <c:pt idx="2">
                  <c:v>2.57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326658"/>
        <c:axId val="6354470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REPORT'!$M$76:$O$76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REPORT'!$M$77:$O$77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158680"/>
        <c:axId val="72299009"/>
      </c:lineChart>
      <c:catAx>
        <c:axId val="483266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544701"/>
        <c:crosses val="autoZero"/>
        <c:auto val="1"/>
        <c:lblAlgn val="ctr"/>
        <c:lblOffset val="100"/>
        <c:noMultiLvlLbl val="0"/>
      </c:catAx>
      <c:valAx>
        <c:axId val="6354470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326658"/>
        <c:crosses val="autoZero"/>
        <c:crossBetween val="between"/>
        <c:majorUnit val="1"/>
      </c:valAx>
      <c:catAx>
        <c:axId val="151586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299009"/>
        <c:auto val="1"/>
        <c:lblAlgn val="ctr"/>
        <c:lblOffset val="100"/>
        <c:noMultiLvlLbl val="0"/>
      </c:catAx>
      <c:valAx>
        <c:axId val="7229900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15868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REPORT'!$C$92:$E$92</c:f>
              <c:numCache>
                <c:formatCode>General</c:formatCode>
                <c:ptCount val="3"/>
                <c:pt idx="0">
                  <c:v>2.59</c:v>
                </c:pt>
                <c:pt idx="1">
                  <c:v>2.79</c:v>
                </c:pt>
                <c:pt idx="2">
                  <c:v>2.31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REPORT'!$C$93:$E$93</c:f>
              <c:numCache>
                <c:formatCode>General</c:formatCode>
                <c:ptCount val="3"/>
                <c:pt idx="0">
                  <c:v>2.65</c:v>
                </c:pt>
                <c:pt idx="1">
                  <c:v>2.52</c:v>
                </c:pt>
                <c:pt idx="2">
                  <c:v>2.51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627035"/>
        <c:axId val="884120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REPORT'!$J$92:$L$92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REPORT'!$J$93:$L$93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250306"/>
        <c:axId val="13615642"/>
      </c:lineChart>
      <c:catAx>
        <c:axId val="406270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41208"/>
        <c:crosses val="autoZero"/>
        <c:auto val="1"/>
        <c:lblAlgn val="ctr"/>
        <c:lblOffset val="100"/>
        <c:noMultiLvlLbl val="0"/>
      </c:catAx>
      <c:valAx>
        <c:axId val="884120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627035"/>
        <c:crosses val="autoZero"/>
        <c:crossBetween val="between"/>
        <c:majorUnit val="1"/>
      </c:valAx>
      <c:catAx>
        <c:axId val="2025030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615642"/>
        <c:auto val="1"/>
        <c:lblAlgn val="ctr"/>
        <c:lblOffset val="100"/>
        <c:noMultiLvlLbl val="0"/>
      </c:catAx>
      <c:valAx>
        <c:axId val="1361564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0250306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REPORT'!$F$92:$H$92</c:f>
              <c:numCache>
                <c:formatCode>General</c:formatCode>
                <c:ptCount val="3"/>
                <c:pt idx="0">
                  <c:v>2.68</c:v>
                </c:pt>
                <c:pt idx="1">
                  <c:v>2.69</c:v>
                </c:pt>
                <c:pt idx="2">
                  <c:v>2.56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REPORT'!$F$93:$H$93</c:f>
              <c:numCache>
                <c:formatCode>General</c:formatCode>
                <c:ptCount val="3"/>
                <c:pt idx="0">
                  <c:v>2.41</c:v>
                </c:pt>
                <c:pt idx="1">
                  <c:v>2.62</c:v>
                </c:pt>
                <c:pt idx="2">
                  <c:v>2.67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187424"/>
        <c:axId val="40962336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REPORT'!$M$92:$O$92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REPORT'!$M$93:$O$93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9253"/>
        <c:axId val="91483746"/>
      </c:lineChart>
      <c:catAx>
        <c:axId val="45187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962336"/>
        <c:crosses val="autoZero"/>
        <c:auto val="1"/>
        <c:lblAlgn val="ctr"/>
        <c:lblOffset val="100"/>
        <c:noMultiLvlLbl val="0"/>
      </c:catAx>
      <c:valAx>
        <c:axId val="4096233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187424"/>
        <c:crosses val="autoZero"/>
        <c:crossBetween val="between"/>
        <c:majorUnit val="1"/>
      </c:valAx>
      <c:catAx>
        <c:axId val="74925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483746"/>
        <c:auto val="1"/>
        <c:lblAlgn val="ctr"/>
        <c:lblOffset val="100"/>
        <c:noMultiLvlLbl val="0"/>
      </c:catAx>
      <c:valAx>
        <c:axId val="9148374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925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REPORT'!$C$108:$E$108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REPORT'!$C$109:$E$109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614577"/>
        <c:axId val="1633775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REPORT'!$J$108:$L$108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REPORT'!$J$109:$L$109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947820"/>
        <c:axId val="6618274"/>
      </c:lineChart>
      <c:catAx>
        <c:axId val="746145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33775"/>
        <c:crosses val="autoZero"/>
        <c:auto val="1"/>
        <c:lblAlgn val="ctr"/>
        <c:lblOffset val="100"/>
        <c:noMultiLvlLbl val="0"/>
      </c:catAx>
      <c:valAx>
        <c:axId val="163377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614577"/>
        <c:crosses val="autoZero"/>
        <c:crossBetween val="between"/>
        <c:majorUnit val="1"/>
      </c:valAx>
      <c:catAx>
        <c:axId val="179478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18274"/>
        <c:auto val="1"/>
        <c:lblAlgn val="ctr"/>
        <c:lblOffset val="100"/>
        <c:noMultiLvlLbl val="0"/>
      </c:catAx>
      <c:valAx>
        <c:axId val="661827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94782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REPORT'!$F$108:$H$108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REPORT'!$F$109:$H$109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94125"/>
        <c:axId val="34869813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REPORT'!$M$108:$O$108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REPORT'!$M$109:$O$109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343029"/>
        <c:axId val="42562665"/>
      </c:lineChart>
      <c:catAx>
        <c:axId val="62941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869813"/>
        <c:crosses val="autoZero"/>
        <c:auto val="1"/>
        <c:lblAlgn val="ctr"/>
        <c:lblOffset val="100"/>
        <c:noMultiLvlLbl val="0"/>
      </c:catAx>
      <c:valAx>
        <c:axId val="3486981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94125"/>
        <c:crosses val="autoZero"/>
        <c:crossBetween val="between"/>
        <c:majorUnit val="1"/>
      </c:valAx>
      <c:catAx>
        <c:axId val="3834302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562665"/>
        <c:auto val="1"/>
        <c:lblAlgn val="ctr"/>
        <c:lblOffset val="100"/>
        <c:noMultiLvlLbl val="0"/>
      </c:catAx>
      <c:valAx>
        <c:axId val="4256266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34302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914070"/>
        <c:axId val="9975585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2209"/>
        <c:axId val="14030889"/>
      </c:lineChart>
      <c:catAx>
        <c:axId val="389140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755851"/>
        <c:crosses val="autoZero"/>
        <c:auto val="1"/>
        <c:lblAlgn val="ctr"/>
        <c:lblOffset val="100"/>
        <c:noMultiLvlLbl val="0"/>
      </c:catAx>
      <c:valAx>
        <c:axId val="9975585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8914070"/>
        <c:crosses val="autoZero"/>
        <c:crossBetween val="between"/>
        <c:majorUnit val="1"/>
      </c:valAx>
      <c:catAx>
        <c:axId val="50220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4030889"/>
        <c:auto val="1"/>
        <c:lblAlgn val="ctr"/>
        <c:lblOffset val="100"/>
        <c:noMultiLvlLbl val="0"/>
      </c:catAx>
      <c:valAx>
        <c:axId val="1403088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220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202240"/>
        <c:axId val="10183824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313020"/>
        <c:axId val="28241994"/>
      </c:lineChart>
      <c:catAx>
        <c:axId val="23202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183824"/>
        <c:crosses val="autoZero"/>
        <c:auto val="1"/>
        <c:lblAlgn val="ctr"/>
        <c:lblOffset val="100"/>
        <c:noMultiLvlLbl val="0"/>
      </c:catAx>
      <c:valAx>
        <c:axId val="1018382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202240"/>
        <c:crosses val="autoZero"/>
        <c:crossBetween val="between"/>
        <c:majorUnit val="1"/>
      </c:valAx>
      <c:catAx>
        <c:axId val="223130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241994"/>
        <c:auto val="1"/>
        <c:lblAlgn val="ctr"/>
        <c:lblOffset val="100"/>
        <c:noMultiLvlLbl val="0"/>
      </c:catAx>
      <c:valAx>
        <c:axId val="2824199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31302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042935"/>
        <c:axId val="94841062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774480"/>
        <c:axId val="50122928"/>
      </c:lineChart>
      <c:catAx>
        <c:axId val="790429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841062"/>
        <c:crosses val="autoZero"/>
        <c:auto val="1"/>
        <c:lblAlgn val="ctr"/>
        <c:lblOffset val="100"/>
        <c:noMultiLvlLbl val="0"/>
      </c:catAx>
      <c:valAx>
        <c:axId val="9484106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042935"/>
        <c:crosses val="autoZero"/>
        <c:crossBetween val="between"/>
        <c:majorUnit val="1"/>
      </c:valAx>
      <c:catAx>
        <c:axId val="197744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122928"/>
        <c:auto val="1"/>
        <c:lblAlgn val="ctr"/>
        <c:lblOffset val="100"/>
        <c:noMultiLvlLbl val="0"/>
      </c:catAx>
      <c:valAx>
        <c:axId val="5012292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77448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266994"/>
        <c:axId val="2660031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741781"/>
        <c:axId val="12930921"/>
      </c:lineChart>
      <c:catAx>
        <c:axId val="432669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600310"/>
        <c:crosses val="autoZero"/>
        <c:auto val="1"/>
        <c:lblAlgn val="ctr"/>
        <c:lblOffset val="100"/>
        <c:noMultiLvlLbl val="0"/>
      </c:catAx>
      <c:valAx>
        <c:axId val="2660031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3266994"/>
        <c:crosses val="autoZero"/>
        <c:crossBetween val="between"/>
        <c:majorUnit val="1"/>
      </c:valAx>
      <c:catAx>
        <c:axId val="5974178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930921"/>
        <c:auto val="1"/>
        <c:lblAlgn val="ctr"/>
        <c:lblOffset val="100"/>
        <c:noMultiLvlLbl val="0"/>
      </c:catAx>
      <c:valAx>
        <c:axId val="1293092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74178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827081"/>
        <c:axId val="83738279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10063"/>
        <c:axId val="2926734"/>
      </c:lineChart>
      <c:catAx>
        <c:axId val="7082708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738279"/>
        <c:crosses val="autoZero"/>
        <c:auto val="1"/>
        <c:lblAlgn val="ctr"/>
        <c:lblOffset val="100"/>
        <c:noMultiLvlLbl val="0"/>
      </c:catAx>
      <c:valAx>
        <c:axId val="8373827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827081"/>
        <c:crosses val="autoZero"/>
        <c:crossBetween val="between"/>
        <c:majorUnit val="1"/>
      </c:valAx>
      <c:catAx>
        <c:axId val="4661006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26734"/>
        <c:auto val="1"/>
        <c:lblAlgn val="ctr"/>
        <c:lblOffset val="100"/>
        <c:noMultiLvlLbl val="0"/>
      </c:catAx>
      <c:valAx>
        <c:axId val="292673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61006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89280"/>
        <c:axId val="93637585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944676"/>
        <c:axId val="34410612"/>
      </c:lineChart>
      <c:catAx>
        <c:axId val="62789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637585"/>
        <c:crosses val="autoZero"/>
        <c:auto val="1"/>
        <c:lblAlgn val="ctr"/>
        <c:lblOffset val="100"/>
        <c:noMultiLvlLbl val="0"/>
      </c:catAx>
      <c:valAx>
        <c:axId val="9363758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789280"/>
        <c:crosses val="autoZero"/>
        <c:crossBetween val="between"/>
        <c:majorUnit val="1"/>
      </c:valAx>
      <c:catAx>
        <c:axId val="679446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410612"/>
        <c:auto val="1"/>
        <c:lblAlgn val="ctr"/>
        <c:lblOffset val="100"/>
        <c:noMultiLvlLbl val="0"/>
      </c:catAx>
      <c:valAx>
        <c:axId val="3441061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944676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REPORT_2'!$F$124:$H$124</c:f>
              <c:numCache>
                <c:formatCode>General</c:formatCode>
                <c:ptCount val="3"/>
                <c:pt idx="0">
                  <c:v>2.83</c:v>
                </c:pt>
                <c:pt idx="1">
                  <c:v>2.83</c:v>
                </c:pt>
                <c:pt idx="2">
                  <c:v>2.94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REPORT_2'!$F$125:$H$125</c:f>
              <c:numCache>
                <c:formatCode>General</c:formatCode>
                <c:ptCount val="3"/>
                <c:pt idx="0">
                  <c:v>1.51</c:v>
                </c:pt>
                <c:pt idx="1">
                  <c:v>2.05</c:v>
                </c:pt>
                <c:pt idx="2">
                  <c:v>2.11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696554"/>
        <c:axId val="3941035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REPORT_2'!$M$124:$O$124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REPORT_2'!$M$125:$O$125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219634"/>
        <c:axId val="78193334"/>
      </c:lineChart>
      <c:catAx>
        <c:axId val="876965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410351"/>
        <c:crosses val="autoZero"/>
        <c:auto val="1"/>
        <c:lblAlgn val="ctr"/>
        <c:lblOffset val="100"/>
        <c:noMultiLvlLbl val="0"/>
      </c:catAx>
      <c:valAx>
        <c:axId val="3941035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696554"/>
        <c:crosses val="autoZero"/>
        <c:crossBetween val="between"/>
        <c:majorUnit val="1"/>
      </c:valAx>
      <c:catAx>
        <c:axId val="8921963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193334"/>
        <c:auto val="1"/>
        <c:lblAlgn val="ctr"/>
        <c:lblOffset val="100"/>
        <c:noMultiLvlLbl val="0"/>
      </c:catAx>
      <c:valAx>
        <c:axId val="7819333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219634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24.xml"/><Relationship Id="rId2" Type="http://schemas.openxmlformats.org/officeDocument/2006/relationships/chart" Target="../charts/chart925.xml"/><Relationship Id="rId3" Type="http://schemas.openxmlformats.org/officeDocument/2006/relationships/chart" Target="../charts/chart926.xml"/><Relationship Id="rId4" Type="http://schemas.openxmlformats.org/officeDocument/2006/relationships/chart" Target="../charts/chart927.xml"/><Relationship Id="rId5" Type="http://schemas.openxmlformats.org/officeDocument/2006/relationships/chart" Target="../charts/chart928.xml"/><Relationship Id="rId6" Type="http://schemas.openxmlformats.org/officeDocument/2006/relationships/chart" Target="../charts/chart929.xml"/><Relationship Id="rId7" Type="http://schemas.openxmlformats.org/officeDocument/2006/relationships/chart" Target="../charts/chart930.xml"/><Relationship Id="rId8" Type="http://schemas.openxmlformats.org/officeDocument/2006/relationships/chart" Target="../charts/chart931.xml"/><Relationship Id="rId9" Type="http://schemas.openxmlformats.org/officeDocument/2006/relationships/chart" Target="../charts/chart932.xml"/><Relationship Id="rId10" Type="http://schemas.openxmlformats.org/officeDocument/2006/relationships/chart" Target="../charts/chart933.xml"/><Relationship Id="rId11" Type="http://schemas.openxmlformats.org/officeDocument/2006/relationships/chart" Target="../charts/chart934.xml"/><Relationship Id="rId12" Type="http://schemas.openxmlformats.org/officeDocument/2006/relationships/chart" Target="../charts/chart935.xml"/><Relationship Id="rId13" Type="http://schemas.openxmlformats.org/officeDocument/2006/relationships/chart" Target="../charts/chart936.xml"/><Relationship Id="rId14" Type="http://schemas.openxmlformats.org/officeDocument/2006/relationships/chart" Target="../charts/chart937.xml"/><Relationship Id="rId15" Type="http://schemas.openxmlformats.org/officeDocument/2006/relationships/chart" Target="../charts/chart938.xml"/><Relationship Id="rId16" Type="http://schemas.openxmlformats.org/officeDocument/2006/relationships/chart" Target="../charts/chart939.xml"/><Relationship Id="rId17" Type="http://schemas.openxmlformats.org/officeDocument/2006/relationships/chart" Target="../charts/chart940.xml"/><Relationship Id="rId18" Type="http://schemas.openxmlformats.org/officeDocument/2006/relationships/chart" Target="../charts/chart941.xml"/><Relationship Id="rId19" Type="http://schemas.openxmlformats.org/officeDocument/2006/relationships/chart" Target="../charts/chart942.xml"/><Relationship Id="rId20" Type="http://schemas.openxmlformats.org/officeDocument/2006/relationships/chart" Target="../charts/chart94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4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187920</xdr:colOff>
      <xdr:row>2</xdr:row>
      <xdr:rowOff>9720</xdr:rowOff>
    </xdr:from>
    <xdr:to>
      <xdr:col>27</xdr:col>
      <xdr:colOff>233280</xdr:colOff>
      <xdr:row>16</xdr:row>
      <xdr:rowOff>152280</xdr:rowOff>
    </xdr:to>
    <xdr:graphicFrame>
      <xdr:nvGraphicFramePr>
        <xdr:cNvPr id="0" name="Graphique 2"/>
        <xdr:cNvGraphicFramePr/>
      </xdr:nvGraphicFramePr>
      <xdr:xfrm>
        <a:off x="9482400" y="966600"/>
        <a:ext cx="2939040" cy="254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313200</xdr:colOff>
      <xdr:row>2</xdr:row>
      <xdr:rowOff>10440</xdr:rowOff>
    </xdr:from>
    <xdr:to>
      <xdr:col>34</xdr:col>
      <xdr:colOff>265320</xdr:colOff>
      <xdr:row>16</xdr:row>
      <xdr:rowOff>153000</xdr:rowOff>
    </xdr:to>
    <xdr:graphicFrame>
      <xdr:nvGraphicFramePr>
        <xdr:cNvPr id="1" name="Graphique 3"/>
        <xdr:cNvGraphicFramePr/>
      </xdr:nvGraphicFramePr>
      <xdr:xfrm>
        <a:off x="12501360" y="967320"/>
        <a:ext cx="2845800" cy="254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285840</xdr:colOff>
      <xdr:row>18</xdr:row>
      <xdr:rowOff>720</xdr:rowOff>
    </xdr:from>
    <xdr:to>
      <xdr:col>27</xdr:col>
      <xdr:colOff>242280</xdr:colOff>
      <xdr:row>33</xdr:row>
      <xdr:rowOff>88560</xdr:rowOff>
    </xdr:to>
    <xdr:graphicFrame>
      <xdr:nvGraphicFramePr>
        <xdr:cNvPr id="2" name="Graphique 15"/>
        <xdr:cNvGraphicFramePr/>
      </xdr:nvGraphicFramePr>
      <xdr:xfrm>
        <a:off x="9580320" y="3911400"/>
        <a:ext cx="2850120" cy="258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338400</xdr:colOff>
      <xdr:row>18</xdr:row>
      <xdr:rowOff>720</xdr:rowOff>
    </xdr:from>
    <xdr:to>
      <xdr:col>34</xdr:col>
      <xdr:colOff>294840</xdr:colOff>
      <xdr:row>33</xdr:row>
      <xdr:rowOff>88560</xdr:rowOff>
    </xdr:to>
    <xdr:graphicFrame>
      <xdr:nvGraphicFramePr>
        <xdr:cNvPr id="3" name="Graphique 16"/>
        <xdr:cNvGraphicFramePr/>
      </xdr:nvGraphicFramePr>
      <xdr:xfrm>
        <a:off x="12526560" y="3911400"/>
        <a:ext cx="2850120" cy="258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380880</xdr:colOff>
      <xdr:row>34</xdr:row>
      <xdr:rowOff>14040</xdr:rowOff>
    </xdr:from>
    <xdr:to>
      <xdr:col>27</xdr:col>
      <xdr:colOff>337320</xdr:colOff>
      <xdr:row>49</xdr:row>
      <xdr:rowOff>43200</xdr:rowOff>
    </xdr:to>
    <xdr:graphicFrame>
      <xdr:nvGraphicFramePr>
        <xdr:cNvPr id="4" name="Graphique 17"/>
        <xdr:cNvGraphicFramePr/>
      </xdr:nvGraphicFramePr>
      <xdr:xfrm>
        <a:off x="9675360" y="6806520"/>
        <a:ext cx="2850120" cy="256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0</xdr:colOff>
      <xdr:row>34</xdr:row>
      <xdr:rowOff>14040</xdr:rowOff>
    </xdr:from>
    <xdr:to>
      <xdr:col>34</xdr:col>
      <xdr:colOff>348120</xdr:colOff>
      <xdr:row>49</xdr:row>
      <xdr:rowOff>43200</xdr:rowOff>
    </xdr:to>
    <xdr:graphicFrame>
      <xdr:nvGraphicFramePr>
        <xdr:cNvPr id="5" name="Graphique 18"/>
        <xdr:cNvGraphicFramePr/>
      </xdr:nvGraphicFramePr>
      <xdr:xfrm>
        <a:off x="12601440" y="6806520"/>
        <a:ext cx="2828520" cy="256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50</xdr:row>
      <xdr:rowOff>720</xdr:rowOff>
    </xdr:from>
    <xdr:to>
      <xdr:col>27</xdr:col>
      <xdr:colOff>348120</xdr:colOff>
      <xdr:row>65</xdr:row>
      <xdr:rowOff>69480</xdr:rowOff>
    </xdr:to>
    <xdr:graphicFrame>
      <xdr:nvGraphicFramePr>
        <xdr:cNvPr id="6" name="Graphique 19"/>
        <xdr:cNvGraphicFramePr/>
      </xdr:nvGraphicFramePr>
      <xdr:xfrm>
        <a:off x="9707760" y="971028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50</xdr:row>
      <xdr:rowOff>720</xdr:rowOff>
    </xdr:from>
    <xdr:to>
      <xdr:col>34</xdr:col>
      <xdr:colOff>348120</xdr:colOff>
      <xdr:row>65</xdr:row>
      <xdr:rowOff>69480</xdr:rowOff>
    </xdr:to>
    <xdr:graphicFrame>
      <xdr:nvGraphicFramePr>
        <xdr:cNvPr id="7" name="Graphique 20"/>
        <xdr:cNvGraphicFramePr/>
      </xdr:nvGraphicFramePr>
      <xdr:xfrm>
        <a:off x="12601440" y="971028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0</xdr:colOff>
      <xdr:row>66</xdr:row>
      <xdr:rowOff>720</xdr:rowOff>
    </xdr:from>
    <xdr:to>
      <xdr:col>27</xdr:col>
      <xdr:colOff>348120</xdr:colOff>
      <xdr:row>81</xdr:row>
      <xdr:rowOff>69480</xdr:rowOff>
    </xdr:to>
    <xdr:graphicFrame>
      <xdr:nvGraphicFramePr>
        <xdr:cNvPr id="8" name="Graphique 21"/>
        <xdr:cNvGraphicFramePr/>
      </xdr:nvGraphicFramePr>
      <xdr:xfrm>
        <a:off x="9707760" y="1259208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0</xdr:colOff>
      <xdr:row>66</xdr:row>
      <xdr:rowOff>720</xdr:rowOff>
    </xdr:from>
    <xdr:to>
      <xdr:col>34</xdr:col>
      <xdr:colOff>348120</xdr:colOff>
      <xdr:row>81</xdr:row>
      <xdr:rowOff>69480</xdr:rowOff>
    </xdr:to>
    <xdr:graphicFrame>
      <xdr:nvGraphicFramePr>
        <xdr:cNvPr id="9" name="Graphique 22"/>
        <xdr:cNvGraphicFramePr/>
      </xdr:nvGraphicFramePr>
      <xdr:xfrm>
        <a:off x="12601440" y="1259208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82</xdr:row>
      <xdr:rowOff>720</xdr:rowOff>
    </xdr:from>
    <xdr:to>
      <xdr:col>27</xdr:col>
      <xdr:colOff>348120</xdr:colOff>
      <xdr:row>97</xdr:row>
      <xdr:rowOff>69120</xdr:rowOff>
    </xdr:to>
    <xdr:graphicFrame>
      <xdr:nvGraphicFramePr>
        <xdr:cNvPr id="10" name="Graphique 21"/>
        <xdr:cNvGraphicFramePr/>
      </xdr:nvGraphicFramePr>
      <xdr:xfrm>
        <a:off x="9707760" y="15473520"/>
        <a:ext cx="2828520" cy="256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28</xdr:col>
      <xdr:colOff>0</xdr:colOff>
      <xdr:row>82</xdr:row>
      <xdr:rowOff>720</xdr:rowOff>
    </xdr:from>
    <xdr:to>
      <xdr:col>34</xdr:col>
      <xdr:colOff>348120</xdr:colOff>
      <xdr:row>97</xdr:row>
      <xdr:rowOff>69120</xdr:rowOff>
    </xdr:to>
    <xdr:graphicFrame>
      <xdr:nvGraphicFramePr>
        <xdr:cNvPr id="11" name="Graphique 22"/>
        <xdr:cNvGraphicFramePr/>
      </xdr:nvGraphicFramePr>
      <xdr:xfrm>
        <a:off x="12601440" y="15473520"/>
        <a:ext cx="2828520" cy="256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21</xdr:col>
      <xdr:colOff>0</xdr:colOff>
      <xdr:row>98</xdr:row>
      <xdr:rowOff>720</xdr:rowOff>
    </xdr:from>
    <xdr:to>
      <xdr:col>27</xdr:col>
      <xdr:colOff>348120</xdr:colOff>
      <xdr:row>113</xdr:row>
      <xdr:rowOff>69120</xdr:rowOff>
    </xdr:to>
    <xdr:graphicFrame>
      <xdr:nvGraphicFramePr>
        <xdr:cNvPr id="12" name="Graphique 21"/>
        <xdr:cNvGraphicFramePr/>
      </xdr:nvGraphicFramePr>
      <xdr:xfrm>
        <a:off x="9707760" y="18355320"/>
        <a:ext cx="2828520" cy="256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28</xdr:col>
      <xdr:colOff>0</xdr:colOff>
      <xdr:row>98</xdr:row>
      <xdr:rowOff>720</xdr:rowOff>
    </xdr:from>
    <xdr:to>
      <xdr:col>34</xdr:col>
      <xdr:colOff>348120</xdr:colOff>
      <xdr:row>113</xdr:row>
      <xdr:rowOff>69120</xdr:rowOff>
    </xdr:to>
    <xdr:graphicFrame>
      <xdr:nvGraphicFramePr>
        <xdr:cNvPr id="13" name="Graphique 22"/>
        <xdr:cNvGraphicFramePr/>
      </xdr:nvGraphicFramePr>
      <xdr:xfrm>
        <a:off x="12601440" y="18355320"/>
        <a:ext cx="2828520" cy="256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21</xdr:col>
      <xdr:colOff>0</xdr:colOff>
      <xdr:row>114</xdr:row>
      <xdr:rowOff>720</xdr:rowOff>
    </xdr:from>
    <xdr:to>
      <xdr:col>27</xdr:col>
      <xdr:colOff>348120</xdr:colOff>
      <xdr:row>129</xdr:row>
      <xdr:rowOff>69480</xdr:rowOff>
    </xdr:to>
    <xdr:graphicFrame>
      <xdr:nvGraphicFramePr>
        <xdr:cNvPr id="14" name="Graphique 21"/>
        <xdr:cNvGraphicFramePr/>
      </xdr:nvGraphicFramePr>
      <xdr:xfrm>
        <a:off x="9707760" y="2123676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28</xdr:col>
      <xdr:colOff>0</xdr:colOff>
      <xdr:row>114</xdr:row>
      <xdr:rowOff>720</xdr:rowOff>
    </xdr:from>
    <xdr:to>
      <xdr:col>34</xdr:col>
      <xdr:colOff>348120</xdr:colOff>
      <xdr:row>129</xdr:row>
      <xdr:rowOff>69480</xdr:rowOff>
    </xdr:to>
    <xdr:graphicFrame>
      <xdr:nvGraphicFramePr>
        <xdr:cNvPr id="15" name="Graphique 22"/>
        <xdr:cNvGraphicFramePr/>
      </xdr:nvGraphicFramePr>
      <xdr:xfrm>
        <a:off x="12601440" y="2123676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21</xdr:col>
      <xdr:colOff>0</xdr:colOff>
      <xdr:row>130</xdr:row>
      <xdr:rowOff>720</xdr:rowOff>
    </xdr:from>
    <xdr:to>
      <xdr:col>27</xdr:col>
      <xdr:colOff>348120</xdr:colOff>
      <xdr:row>145</xdr:row>
      <xdr:rowOff>69480</xdr:rowOff>
    </xdr:to>
    <xdr:graphicFrame>
      <xdr:nvGraphicFramePr>
        <xdr:cNvPr id="16" name="Graphique 21"/>
        <xdr:cNvGraphicFramePr/>
      </xdr:nvGraphicFramePr>
      <xdr:xfrm>
        <a:off x="9707760" y="2411856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28</xdr:col>
      <xdr:colOff>0</xdr:colOff>
      <xdr:row>130</xdr:row>
      <xdr:rowOff>720</xdr:rowOff>
    </xdr:from>
    <xdr:to>
      <xdr:col>34</xdr:col>
      <xdr:colOff>348120</xdr:colOff>
      <xdr:row>145</xdr:row>
      <xdr:rowOff>69480</xdr:rowOff>
    </xdr:to>
    <xdr:graphicFrame>
      <xdr:nvGraphicFramePr>
        <xdr:cNvPr id="17" name="Graphique 22"/>
        <xdr:cNvGraphicFramePr/>
      </xdr:nvGraphicFramePr>
      <xdr:xfrm>
        <a:off x="12601440" y="2411856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21</xdr:col>
      <xdr:colOff>0</xdr:colOff>
      <xdr:row>146</xdr:row>
      <xdr:rowOff>720</xdr:rowOff>
    </xdr:from>
    <xdr:to>
      <xdr:col>27</xdr:col>
      <xdr:colOff>348120</xdr:colOff>
      <xdr:row>161</xdr:row>
      <xdr:rowOff>69480</xdr:rowOff>
    </xdr:to>
    <xdr:graphicFrame>
      <xdr:nvGraphicFramePr>
        <xdr:cNvPr id="18" name="Graphique 21"/>
        <xdr:cNvGraphicFramePr/>
      </xdr:nvGraphicFramePr>
      <xdr:xfrm>
        <a:off x="9707760" y="2700000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28</xdr:col>
      <xdr:colOff>0</xdr:colOff>
      <xdr:row>146</xdr:row>
      <xdr:rowOff>720</xdr:rowOff>
    </xdr:from>
    <xdr:to>
      <xdr:col>34</xdr:col>
      <xdr:colOff>348120</xdr:colOff>
      <xdr:row>161</xdr:row>
      <xdr:rowOff>69480</xdr:rowOff>
    </xdr:to>
    <xdr:graphicFrame>
      <xdr:nvGraphicFramePr>
        <xdr:cNvPr id="19" name="Graphique 22"/>
        <xdr:cNvGraphicFramePr/>
      </xdr:nvGraphicFramePr>
      <xdr:xfrm>
        <a:off x="12601440" y="2700000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28</xdr:col>
      <xdr:colOff>0</xdr:colOff>
      <xdr:row>146</xdr:row>
      <xdr:rowOff>720</xdr:rowOff>
    </xdr:from>
    <xdr:to>
      <xdr:col>34</xdr:col>
      <xdr:colOff>348120</xdr:colOff>
      <xdr:row>161</xdr:row>
      <xdr:rowOff>69480</xdr:rowOff>
    </xdr:to>
    <xdr:graphicFrame>
      <xdr:nvGraphicFramePr>
        <xdr:cNvPr id="20" name="Graphique 22"/>
        <xdr:cNvGraphicFramePr/>
      </xdr:nvGraphicFramePr>
      <xdr:xfrm>
        <a:off x="12601440" y="26945640"/>
        <a:ext cx="2828520" cy="25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R1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8671875" defaultRowHeight="12.75" zeroHeight="false" outlineLevelRow="0" outlineLevelCol="0"/>
  <cols>
    <col collapsed="false" customWidth="true" hidden="false" outlineLevel="0" max="1" min="1" style="1" width="9.29"/>
    <col collapsed="false" customWidth="false" hidden="false" outlineLevel="0" max="9" min="2" style="2" width="5.86"/>
    <col collapsed="false" customWidth="true" hidden="false" outlineLevel="0" max="15" min="10" style="2" width="7.71"/>
    <col collapsed="false" customWidth="false" hidden="false" outlineLevel="0" max="1024" min="16" style="2" width="5.86"/>
  </cols>
  <sheetData>
    <row r="1" s="4" customFormat="true" ht="45.35" hidden="false" customHeight="true" outlineLevel="0" collapsed="false">
      <c r="A1" s="3" t="n">
        <v>708</v>
      </c>
      <c r="C1" s="5" t="s">
        <v>0</v>
      </c>
      <c r="D1" s="5"/>
      <c r="E1" s="5"/>
      <c r="F1" s="6" t="n">
        <v>13.65</v>
      </c>
      <c r="G1" s="6"/>
      <c r="H1" s="6"/>
      <c r="J1" s="5" t="s">
        <v>1</v>
      </c>
      <c r="K1" s="5"/>
      <c r="L1" s="5"/>
      <c r="M1" s="7" t="n">
        <v>12</v>
      </c>
      <c r="N1" s="7"/>
      <c r="O1" s="7"/>
      <c r="Q1" s="8" t="s">
        <v>2</v>
      </c>
      <c r="R1" s="8"/>
      <c r="S1" s="8"/>
      <c r="T1" s="8"/>
      <c r="V1" s="5" t="s">
        <v>3</v>
      </c>
      <c r="W1" s="5"/>
      <c r="X1" s="5"/>
      <c r="Y1" s="9" t="n">
        <v>300</v>
      </c>
      <c r="Z1" s="9"/>
      <c r="AA1" s="9"/>
      <c r="AB1" s="9"/>
      <c r="AD1" s="10" t="s">
        <v>4</v>
      </c>
      <c r="AE1" s="10"/>
      <c r="AF1" s="10"/>
      <c r="AG1" s="10"/>
      <c r="AH1" s="10"/>
    </row>
    <row r="2" customFormat="false" ht="30" hidden="false" customHeight="true" outlineLevel="0" collapsed="false"/>
    <row r="3" customFormat="false" ht="13.5" hidden="false" customHeight="true" outlineLevel="0" collapsed="false">
      <c r="A3" s="11" t="n">
        <v>8101</v>
      </c>
      <c r="C3" s="12" t="s">
        <v>5</v>
      </c>
      <c r="D3" s="12"/>
      <c r="E3" s="12"/>
      <c r="F3" s="12"/>
      <c r="G3" s="12"/>
      <c r="H3" s="12"/>
      <c r="J3" s="13" t="s">
        <v>6</v>
      </c>
      <c r="K3" s="13"/>
      <c r="L3" s="13"/>
      <c r="M3" s="13"/>
      <c r="N3" s="13"/>
      <c r="O3" s="13"/>
      <c r="Q3" s="14" t="s">
        <v>7</v>
      </c>
      <c r="R3" s="14"/>
      <c r="S3" s="14"/>
      <c r="T3" s="14"/>
      <c r="V3" s="2" t="n">
        <v>1</v>
      </c>
      <c r="W3" s="2" t="n">
        <v>2</v>
      </c>
      <c r="X3" s="2" t="n">
        <v>3</v>
      </c>
    </row>
    <row r="4" customFormat="false" ht="13.5" hidden="false" customHeight="true" outlineLevel="0" collapsed="false">
      <c r="A4" s="11"/>
      <c r="C4" s="15" t="s">
        <v>8</v>
      </c>
      <c r="D4" s="15"/>
      <c r="E4" s="15"/>
      <c r="F4" s="16" t="s">
        <v>8</v>
      </c>
      <c r="G4" s="16"/>
      <c r="H4" s="16"/>
      <c r="J4" s="17" t="n">
        <v>2.7</v>
      </c>
      <c r="K4" s="18" t="n">
        <v>3</v>
      </c>
      <c r="L4" s="18" t="n">
        <v>2.75</v>
      </c>
      <c r="M4" s="19" t="n">
        <v>2.75</v>
      </c>
      <c r="N4" s="19" t="n">
        <v>3</v>
      </c>
      <c r="O4" s="20" t="n">
        <v>2.7</v>
      </c>
      <c r="Q4" s="21" t="n">
        <f aca="false">MIN(J16:L16)/$M$1</f>
        <v>0</v>
      </c>
      <c r="R4" s="21"/>
      <c r="S4" s="21" t="n">
        <f aca="false">MIN(M16:O16)/$M$1</f>
        <v>0</v>
      </c>
      <c r="T4" s="21"/>
      <c r="V4" s="22" t="s">
        <v>9</v>
      </c>
      <c r="W4" s="22"/>
      <c r="X4" s="22"/>
    </row>
    <row r="5" customFormat="false" ht="13.5" hidden="false" customHeight="true" outlineLevel="0" collapsed="false">
      <c r="A5" s="11"/>
      <c r="C5" s="23" t="s">
        <v>8</v>
      </c>
      <c r="D5" s="23"/>
      <c r="E5" s="23"/>
      <c r="F5" s="24" t="s">
        <v>8</v>
      </c>
      <c r="G5" s="24"/>
      <c r="H5" s="24"/>
      <c r="J5" s="25" t="n">
        <v>2.7</v>
      </c>
      <c r="K5" s="26" t="n">
        <v>3</v>
      </c>
      <c r="L5" s="26" t="n">
        <v>2.7</v>
      </c>
      <c r="M5" s="27" t="n">
        <v>2.7</v>
      </c>
      <c r="N5" s="27" t="n">
        <v>3</v>
      </c>
      <c r="O5" s="28" t="n">
        <v>2.7</v>
      </c>
      <c r="Q5" s="29" t="n">
        <f aca="false">MIN(J17:L17)/$M$1</f>
        <v>0</v>
      </c>
      <c r="R5" s="29"/>
      <c r="S5" s="29" t="n">
        <f aca="false">MIN(M17:O17)/$M$1</f>
        <v>0</v>
      </c>
      <c r="T5" s="29"/>
      <c r="V5" s="30" t="e">
        <f aca="false">ROUNDUP(INDEX(LINEST(J12:L12,V3:X3,,1),1,1)*$Y$1,1)</f>
        <v>#DIV/0!</v>
      </c>
      <c r="W5" s="30"/>
      <c r="X5" s="31" t="e">
        <f aca="false">-ROUNDUP(INDEX(LINEST(M12:O12,V3:X3,,1),1,1)*$Y$1,1)</f>
        <v>#DIV/0!</v>
      </c>
    </row>
    <row r="6" customFormat="false" ht="13.5" hidden="false" customHeight="true" outlineLevel="0" collapsed="false">
      <c r="A6" s="11"/>
      <c r="J6" s="32"/>
      <c r="K6" s="32"/>
      <c r="L6" s="32"/>
      <c r="M6" s="32"/>
      <c r="N6" s="32"/>
      <c r="O6" s="32"/>
      <c r="V6" s="30" t="e">
        <f aca="false">ROUNDUP(INDEX(LINEST(J13:L13,V3:X3,,1),1,1)*$Y$1,1)</f>
        <v>#DIV/0!</v>
      </c>
      <c r="W6" s="30"/>
      <c r="X6" s="31" t="e">
        <f aca="false">-ROUNDUP(INDEX(LINEST(M13:O13,V3:X3,,1),1,1)*$Y$1,1)</f>
        <v>#DIV/0!</v>
      </c>
    </row>
    <row r="7" customFormat="false" ht="13.5" hidden="false" customHeight="true" outlineLevel="0" collapsed="false">
      <c r="A7" s="11"/>
      <c r="C7" s="13" t="s">
        <v>10</v>
      </c>
      <c r="D7" s="13"/>
      <c r="E7" s="13"/>
      <c r="F7" s="13"/>
      <c r="G7" s="13"/>
      <c r="H7" s="13"/>
      <c r="J7" s="33" t="s">
        <v>11</v>
      </c>
      <c r="K7" s="33"/>
      <c r="L7" s="33"/>
      <c r="M7" s="33"/>
      <c r="N7" s="33"/>
      <c r="O7" s="33"/>
      <c r="Q7" s="14" t="s">
        <v>12</v>
      </c>
      <c r="R7" s="14"/>
      <c r="S7" s="14"/>
      <c r="T7" s="14"/>
    </row>
    <row r="8" customFormat="false" ht="13.5" hidden="false" customHeight="true" outlineLevel="0" collapsed="false">
      <c r="A8" s="11"/>
      <c r="C8" s="17" t="n">
        <v>2.6</v>
      </c>
      <c r="D8" s="18" t="n">
        <v>2.7</v>
      </c>
      <c r="E8" s="18" t="n">
        <v>2.65</v>
      </c>
      <c r="F8" s="19" t="n">
        <v>2.68</v>
      </c>
      <c r="G8" s="19" t="n">
        <v>2.7</v>
      </c>
      <c r="H8" s="20" t="n">
        <v>2.71</v>
      </c>
      <c r="J8" s="34" t="n">
        <v>0.2</v>
      </c>
      <c r="K8" s="35" t="n">
        <v>0.2</v>
      </c>
      <c r="L8" s="35" t="n">
        <v>0.2</v>
      </c>
      <c r="M8" s="36" t="n">
        <v>0.2</v>
      </c>
      <c r="N8" s="36" t="n">
        <v>0.2</v>
      </c>
      <c r="O8" s="37" t="n">
        <v>0.2</v>
      </c>
      <c r="Q8" s="38" t="e">
        <f aca="false">SUM(J12:O12)/SUM(J12:O13)</f>
        <v>#DIV/0!</v>
      </c>
      <c r="R8" s="38"/>
      <c r="S8" s="38"/>
      <c r="T8" s="38"/>
    </row>
    <row r="9" customFormat="false" ht="13.5" hidden="false" customHeight="true" outlineLevel="0" collapsed="false">
      <c r="A9" s="11"/>
      <c r="C9" s="25" t="n">
        <v>2.69</v>
      </c>
      <c r="D9" s="26" t="n">
        <v>2.63</v>
      </c>
      <c r="E9" s="26" t="n">
        <v>2.63</v>
      </c>
      <c r="F9" s="27" t="n">
        <v>2.6</v>
      </c>
      <c r="G9" s="27" t="n">
        <v>2.52</v>
      </c>
      <c r="H9" s="28" t="n">
        <v>2.77</v>
      </c>
      <c r="I9" s="39"/>
      <c r="J9" s="40" t="n">
        <v>0.2</v>
      </c>
      <c r="K9" s="41" t="n">
        <v>0.2</v>
      </c>
      <c r="L9" s="41" t="n">
        <v>0.2</v>
      </c>
      <c r="M9" s="42" t="n">
        <v>0.2</v>
      </c>
      <c r="N9" s="42" t="n">
        <v>0.2</v>
      </c>
      <c r="O9" s="43" t="n">
        <v>0.2</v>
      </c>
      <c r="Q9" s="38" t="e">
        <f aca="false">SUM(J13:O13)/SUM(J12:O13)</f>
        <v>#DIV/0!</v>
      </c>
      <c r="R9" s="38"/>
      <c r="S9" s="38"/>
      <c r="T9" s="38"/>
    </row>
    <row r="10" customFormat="false" ht="13.5" hidden="false" customHeight="false" outlineLevel="0" collapsed="false">
      <c r="A10" s="11"/>
      <c r="C10" s="32"/>
      <c r="D10" s="32"/>
      <c r="E10" s="32"/>
      <c r="F10" s="32"/>
      <c r="G10" s="32"/>
      <c r="H10" s="32"/>
    </row>
    <row r="11" customFormat="false" ht="14.25" hidden="false" customHeight="false" outlineLevel="0" collapsed="false">
      <c r="A11" s="11"/>
      <c r="C11" s="33" t="s">
        <v>13</v>
      </c>
      <c r="D11" s="33"/>
      <c r="E11" s="33"/>
      <c r="F11" s="33"/>
      <c r="G11" s="33"/>
      <c r="H11" s="33"/>
      <c r="J11" s="13" t="s">
        <v>14</v>
      </c>
      <c r="K11" s="13"/>
      <c r="L11" s="13"/>
      <c r="M11" s="13"/>
      <c r="N11" s="13"/>
      <c r="O11" s="13"/>
      <c r="Q11" s="14" t="s">
        <v>15</v>
      </c>
      <c r="R11" s="14"/>
      <c r="S11" s="14"/>
      <c r="T11" s="14"/>
      <c r="AK11" s="13" t="s">
        <v>14</v>
      </c>
      <c r="AL11" s="13"/>
      <c r="AM11" s="13"/>
      <c r="AN11" s="13"/>
      <c r="AO11" s="13"/>
      <c r="AP11" s="13"/>
      <c r="AQ11" s="13"/>
      <c r="AR11" s="13"/>
    </row>
    <row r="12" customFormat="false" ht="12.8" hidden="false" customHeight="false" outlineLevel="0" collapsed="false">
      <c r="A12" s="11"/>
      <c r="C12" s="17" t="n">
        <v>1.86</v>
      </c>
      <c r="D12" s="18" t="n">
        <v>1.44</v>
      </c>
      <c r="E12" s="18" t="n">
        <v>2.41</v>
      </c>
      <c r="F12" s="19" t="n">
        <v>2.31</v>
      </c>
      <c r="G12" s="19" t="n">
        <v>2.55</v>
      </c>
      <c r="H12" s="20" t="n">
        <v>1.9</v>
      </c>
      <c r="J12" s="44" t="e">
        <f aca="false">((C8-C12)/($C16*$F$1))/(J4-J8)</f>
        <v>#DIV/0!</v>
      </c>
      <c r="K12" s="45" t="e">
        <f aca="false">((D8-D12)/($C16*$F$1))/(K4-K8)</f>
        <v>#DIV/0!</v>
      </c>
      <c r="L12" s="45" t="e">
        <f aca="false">((E8-E12)/($C16*$F$1))/(L4-L8)</f>
        <v>#DIV/0!</v>
      </c>
      <c r="M12" s="45" t="e">
        <f aca="false">((F8-F12)/($C16*$F$1))/(M4-M8)</f>
        <v>#DIV/0!</v>
      </c>
      <c r="N12" s="45" t="e">
        <f aca="false">((G8-G12)/($C16*$F$1))/(N4-N8)</f>
        <v>#DIV/0!</v>
      </c>
      <c r="O12" s="46" t="e">
        <f aca="false">((H8-H12)/($C16*$F$1))/(O4-O8)</f>
        <v>#DIV/0!</v>
      </c>
      <c r="Q12" s="47" t="e">
        <f aca="false">SUM(J12:L13)/SUM(J12:O13)</f>
        <v>#DIV/0!</v>
      </c>
      <c r="R12" s="47"/>
      <c r="S12" s="47" t="e">
        <f aca="false">SUM(M12:O13)/SUM(J12:O13)</f>
        <v>#DIV/0!</v>
      </c>
      <c r="T12" s="47"/>
      <c r="AK12" s="48" t="e">
        <f aca="false">AVERAGE(J12:L12)</f>
        <v>#DIV/0!</v>
      </c>
      <c r="AL12" s="48"/>
      <c r="AM12" s="48"/>
      <c r="AN12" s="48"/>
      <c r="AO12" s="48" t="e">
        <f aca="false">AVERAGE(M12:O12)</f>
        <v>#DIV/0!</v>
      </c>
      <c r="AP12" s="48"/>
      <c r="AQ12" s="48"/>
      <c r="AR12" s="48"/>
    </row>
    <row r="13" customFormat="false" ht="12.8" hidden="false" customHeight="false" outlineLevel="0" collapsed="false">
      <c r="A13" s="11"/>
      <c r="C13" s="25"/>
      <c r="D13" s="18"/>
      <c r="E13" s="18"/>
      <c r="F13" s="19" t="n">
        <v>1.58</v>
      </c>
      <c r="G13" s="19" t="n">
        <v>1.99</v>
      </c>
      <c r="H13" s="20" t="n">
        <v>2.13</v>
      </c>
      <c r="J13" s="44" t="e">
        <f aca="false">((C9-C13)/($C16*$F$1))/(J5-J9)</f>
        <v>#DIV/0!</v>
      </c>
      <c r="K13" s="45" t="e">
        <f aca="false">((D9-D13)/($C16*$F$1))/(K5-K9)</f>
        <v>#DIV/0!</v>
      </c>
      <c r="L13" s="45" t="e">
        <f aca="false">((E9-E13)/($C16*$F$1))/(L5-L9)</f>
        <v>#DIV/0!</v>
      </c>
      <c r="M13" s="45" t="e">
        <f aca="false">((F9-F13)/($C16*$F$1))/(M5-M9)</f>
        <v>#DIV/0!</v>
      </c>
      <c r="N13" s="45" t="e">
        <f aca="false">((G9-G13)/($C16*$F$1))/(N5-N9)</f>
        <v>#DIV/0!</v>
      </c>
      <c r="O13" s="46" t="e">
        <f aca="false">((H9-H13)/($C16*$F$1))/(O5-O9)</f>
        <v>#DIV/0!</v>
      </c>
      <c r="Q13" s="47"/>
      <c r="R13" s="47"/>
      <c r="S13" s="47"/>
      <c r="T13" s="47"/>
      <c r="AK13" s="48" t="e">
        <f aca="false">AVERAGE(J13:L13)</f>
        <v>#DIV/0!</v>
      </c>
      <c r="AL13" s="48"/>
      <c r="AM13" s="48"/>
      <c r="AN13" s="48"/>
      <c r="AO13" s="48" t="e">
        <f aca="false">AVERAGE(M13:O13)</f>
        <v>#DIV/0!</v>
      </c>
      <c r="AP13" s="48"/>
      <c r="AQ13" s="48"/>
      <c r="AR13" s="48"/>
    </row>
    <row r="14" customFormat="false" ht="13.5" hidden="false" customHeight="false" outlineLevel="0" collapsed="false">
      <c r="A14" s="11"/>
    </row>
    <row r="15" customFormat="false" ht="14.25" hidden="false" customHeight="false" outlineLevel="0" collapsed="false">
      <c r="A15" s="11"/>
      <c r="C15" s="13" t="s">
        <v>16</v>
      </c>
      <c r="D15" s="13"/>
      <c r="E15" s="13"/>
      <c r="F15" s="13"/>
      <c r="G15" s="13"/>
      <c r="H15" s="13"/>
      <c r="J15" s="13" t="s">
        <v>17</v>
      </c>
      <c r="K15" s="13"/>
      <c r="L15" s="13"/>
      <c r="M15" s="13"/>
      <c r="N15" s="13"/>
      <c r="O15" s="13"/>
      <c r="Q15" s="14" t="s">
        <v>18</v>
      </c>
      <c r="R15" s="14"/>
      <c r="S15" s="14"/>
      <c r="T15" s="14"/>
    </row>
    <row r="16" customFormat="false" ht="13.5" hidden="false" customHeight="true" outlineLevel="0" collapsed="false">
      <c r="A16" s="11"/>
      <c r="C16" s="49"/>
      <c r="D16" s="49"/>
      <c r="E16" s="49"/>
      <c r="F16" s="49"/>
      <c r="G16" s="49"/>
      <c r="H16" s="49"/>
      <c r="I16" s="32"/>
      <c r="J16" s="50" t="n">
        <f aca="false">C16*(J4-J8)/(C8-C12)</f>
        <v>0</v>
      </c>
      <c r="K16" s="51" t="n">
        <f aca="false">C16*(K4-K8)/(D8-D12)</f>
        <v>0</v>
      </c>
      <c r="L16" s="51" t="n">
        <f aca="false">$C16*(L4-L8)/(E8-E12)</f>
        <v>0</v>
      </c>
      <c r="M16" s="51" t="n">
        <f aca="false">$C16*(M4-M8)/(G8-G12)</f>
        <v>0</v>
      </c>
      <c r="N16" s="51" t="n">
        <f aca="false">$C16*(N4-N8)/(H8-H12)</f>
        <v>0</v>
      </c>
      <c r="O16" s="52" t="n">
        <f aca="false">C16*(O4-O8)/(H8-H12)</f>
        <v>0</v>
      </c>
      <c r="Q16" s="21" t="e">
        <f aca="false">IF(V5&gt;0,CONCATENATE("less ",V5),CONCATENATE("more ",V5))</f>
        <v>#DIV/0!</v>
      </c>
      <c r="R16" s="21"/>
      <c r="S16" s="53" t="e">
        <f aca="false">IF(X5&gt;0,CONCATENATE("less ",X5),CONCATENATE("more ",X5))</f>
        <v>#DIV/0!</v>
      </c>
      <c r="T16" s="53"/>
    </row>
    <row r="17" customFormat="false" ht="13.5" hidden="false" customHeight="true" outlineLevel="0" collapsed="false">
      <c r="A17" s="11"/>
      <c r="C17" s="49"/>
      <c r="D17" s="49"/>
      <c r="E17" s="49"/>
      <c r="F17" s="49"/>
      <c r="G17" s="49"/>
      <c r="H17" s="49"/>
      <c r="I17" s="32"/>
      <c r="J17" s="50" t="n">
        <f aca="false">C16*(J5-J9)/(C9-C13)</f>
        <v>0</v>
      </c>
      <c r="K17" s="51" t="n">
        <f aca="false">C16*(K5-K9)/(D9-D13)</f>
        <v>0</v>
      </c>
      <c r="L17" s="51" t="n">
        <f aca="false">$C16*(L5-L9)/(E9-E13)</f>
        <v>0</v>
      </c>
      <c r="M17" s="51" t="n">
        <f aca="false">$C16*(M5-M9)/(G9-G13)</f>
        <v>0</v>
      </c>
      <c r="N17" s="51" t="n">
        <f aca="false">$C16*(N5-N9)/(H9-H13)</f>
        <v>0</v>
      </c>
      <c r="O17" s="52" t="n">
        <f aca="false">C16*(O5-O9)/(H9-H13)</f>
        <v>0</v>
      </c>
      <c r="Q17" s="53" t="e">
        <f aca="false">IF(V6&gt;0,CONCATENATE("less ",V6),CONCATENATE("more ",V6))</f>
        <v>#DIV/0!</v>
      </c>
      <c r="R17" s="53"/>
      <c r="S17" s="53" t="e">
        <f aca="false">IF(X6&gt;0,CONCATENATE("less ",X6),CONCATENATE("more ",X6))</f>
        <v>#DIV/0!</v>
      </c>
      <c r="T17" s="53"/>
    </row>
    <row r="18" customFormat="false" ht="30" hidden="false" customHeight="true" outlineLevel="0" collapsed="false">
      <c r="A18" s="54"/>
      <c r="C18" s="55"/>
      <c r="D18" s="55"/>
      <c r="E18" s="55"/>
      <c r="F18" s="55"/>
      <c r="G18" s="55"/>
      <c r="H18" s="55"/>
      <c r="I18" s="32"/>
      <c r="J18" s="56"/>
      <c r="K18" s="56"/>
      <c r="L18" s="56"/>
      <c r="M18" s="56"/>
      <c r="N18" s="56"/>
      <c r="O18" s="56"/>
      <c r="Q18" s="31"/>
      <c r="R18" s="31"/>
      <c r="S18" s="31"/>
      <c r="T18" s="31"/>
    </row>
    <row r="19" customFormat="false" ht="13.5" hidden="false" customHeight="true" outlineLevel="0" collapsed="false">
      <c r="A19" s="11" t="n">
        <v>8201</v>
      </c>
      <c r="C19" s="12" t="s">
        <v>5</v>
      </c>
      <c r="D19" s="12"/>
      <c r="E19" s="12"/>
      <c r="F19" s="12"/>
      <c r="G19" s="12"/>
      <c r="H19" s="12"/>
      <c r="J19" s="13" t="s">
        <v>6</v>
      </c>
      <c r="K19" s="13"/>
      <c r="L19" s="13"/>
      <c r="M19" s="13"/>
      <c r="N19" s="13"/>
      <c r="O19" s="13"/>
      <c r="Q19" s="14" t="s">
        <v>7</v>
      </c>
      <c r="R19" s="14"/>
      <c r="S19" s="14"/>
      <c r="T19" s="14"/>
      <c r="V19" s="2" t="n">
        <v>1</v>
      </c>
      <c r="W19" s="2" t="n">
        <v>2</v>
      </c>
      <c r="X19" s="2" t="n">
        <v>3</v>
      </c>
      <c r="Y19" s="2" t="n">
        <v>5</v>
      </c>
    </row>
    <row r="20" customFormat="false" ht="13.5" hidden="false" customHeight="true" outlineLevel="0" collapsed="false">
      <c r="A20" s="11"/>
      <c r="C20" s="15" t="s">
        <v>19</v>
      </c>
      <c r="D20" s="15"/>
      <c r="E20" s="15"/>
      <c r="F20" s="16" t="s">
        <v>19</v>
      </c>
      <c r="G20" s="16"/>
      <c r="H20" s="16"/>
      <c r="J20" s="17" t="n">
        <v>2.7</v>
      </c>
      <c r="K20" s="18" t="n">
        <v>3</v>
      </c>
      <c r="L20" s="18" t="n">
        <v>2.75</v>
      </c>
      <c r="M20" s="19" t="n">
        <v>2.75</v>
      </c>
      <c r="N20" s="19" t="n">
        <v>3</v>
      </c>
      <c r="O20" s="20" t="n">
        <v>2.7</v>
      </c>
      <c r="Q20" s="21" t="n">
        <f aca="false">MIN(J32:L32)/$M$1</f>
        <v>0</v>
      </c>
      <c r="R20" s="21"/>
      <c r="S20" s="21" t="n">
        <f aca="false">MIN(M32:O32)/$M$1</f>
        <v>0</v>
      </c>
      <c r="T20" s="21"/>
      <c r="V20" s="22" t="s">
        <v>9</v>
      </c>
      <c r="W20" s="22"/>
      <c r="X20" s="22"/>
    </row>
    <row r="21" customFormat="false" ht="13.5" hidden="false" customHeight="true" outlineLevel="0" collapsed="false">
      <c r="A21" s="11"/>
      <c r="C21" s="23" t="s">
        <v>19</v>
      </c>
      <c r="D21" s="23"/>
      <c r="E21" s="23"/>
      <c r="F21" s="24" t="s">
        <v>19</v>
      </c>
      <c r="G21" s="24"/>
      <c r="H21" s="24"/>
      <c r="J21" s="25" t="n">
        <v>2.7</v>
      </c>
      <c r="K21" s="26" t="n">
        <v>3</v>
      </c>
      <c r="L21" s="26" t="n">
        <v>2.7</v>
      </c>
      <c r="M21" s="27" t="n">
        <v>2.7</v>
      </c>
      <c r="N21" s="27" t="n">
        <v>3</v>
      </c>
      <c r="O21" s="28" t="n">
        <v>2.7</v>
      </c>
      <c r="Q21" s="29" t="n">
        <f aca="false">MIN(J33:L33)/$M$1</f>
        <v>0</v>
      </c>
      <c r="R21" s="29"/>
      <c r="S21" s="29" t="n">
        <f aca="false">MIN(M33:O33)/$M$1</f>
        <v>0</v>
      </c>
      <c r="T21" s="29"/>
      <c r="V21" s="30" t="e">
        <f aca="false">ROUNDUP(INDEX(LINEST(J28:L28,V19:X19,,1),1,1)*$Y$1,1)</f>
        <v>#DIV/0!</v>
      </c>
      <c r="W21" s="30"/>
      <c r="X21" s="31" t="e">
        <f aca="false">-ROUNDUP(INDEX(LINEST(M28:O28,V19:X19,,1),1,1)*$Y$1,1)</f>
        <v>#DIV/0!</v>
      </c>
    </row>
    <row r="22" customFormat="false" ht="13.5" hidden="false" customHeight="true" outlineLevel="0" collapsed="false">
      <c r="A22" s="11"/>
      <c r="J22" s="32"/>
      <c r="K22" s="32"/>
      <c r="L22" s="32"/>
      <c r="M22" s="32"/>
      <c r="N22" s="32"/>
      <c r="O22" s="32"/>
      <c r="V22" s="30" t="e">
        <f aca="false">ROUNDUP(INDEX(LINEST(J29:L29,V19:X19,,1),1,1)*$Y$1,1)</f>
        <v>#DIV/0!</v>
      </c>
      <c r="W22" s="30"/>
      <c r="X22" s="31" t="e">
        <f aca="false">-ROUNDUP(INDEX(LINEST(M29:O29,V19:X19,,1),1,1)*$Y$1,1)</f>
        <v>#DIV/0!</v>
      </c>
    </row>
    <row r="23" customFormat="false" ht="13.5" hidden="false" customHeight="true" outlineLevel="0" collapsed="false">
      <c r="A23" s="11"/>
      <c r="C23" s="13" t="s">
        <v>10</v>
      </c>
      <c r="D23" s="13"/>
      <c r="E23" s="13"/>
      <c r="F23" s="13"/>
      <c r="G23" s="13"/>
      <c r="H23" s="13"/>
      <c r="J23" s="33" t="s">
        <v>11</v>
      </c>
      <c r="K23" s="33"/>
      <c r="L23" s="33"/>
      <c r="M23" s="33"/>
      <c r="N23" s="33"/>
      <c r="O23" s="33"/>
      <c r="Q23" s="14" t="s">
        <v>12</v>
      </c>
      <c r="R23" s="14"/>
      <c r="S23" s="14"/>
      <c r="T23" s="14"/>
    </row>
    <row r="24" customFormat="false" ht="13.5" hidden="false" customHeight="true" outlineLevel="0" collapsed="false">
      <c r="A24" s="11"/>
      <c r="C24" s="17" t="n">
        <v>2.72</v>
      </c>
      <c r="D24" s="18" t="n">
        <v>2.73</v>
      </c>
      <c r="E24" s="18" t="n">
        <v>2.68</v>
      </c>
      <c r="F24" s="19" t="n">
        <v>2.74</v>
      </c>
      <c r="G24" s="19" t="n">
        <v>2.72</v>
      </c>
      <c r="H24" s="20" t="n">
        <v>2.69</v>
      </c>
      <c r="J24" s="34" t="n">
        <v>0.2</v>
      </c>
      <c r="K24" s="35" t="n">
        <v>0.2</v>
      </c>
      <c r="L24" s="35" t="n">
        <v>0.2</v>
      </c>
      <c r="M24" s="36" t="n">
        <v>0.2</v>
      </c>
      <c r="N24" s="36" t="n">
        <v>0.2</v>
      </c>
      <c r="O24" s="37" t="n">
        <v>0.2</v>
      </c>
      <c r="Q24" s="38" t="e">
        <f aca="false">SUM(J28:O28)/SUM(J28:O29)</f>
        <v>#DIV/0!</v>
      </c>
      <c r="R24" s="38"/>
      <c r="S24" s="38"/>
      <c r="T24" s="38"/>
    </row>
    <row r="25" customFormat="false" ht="13.5" hidden="false" customHeight="true" outlineLevel="0" collapsed="false">
      <c r="A25" s="11"/>
      <c r="C25" s="25" t="n">
        <v>2.68</v>
      </c>
      <c r="D25" s="26" t="n">
        <v>2.69</v>
      </c>
      <c r="E25" s="26" t="n">
        <v>2.65</v>
      </c>
      <c r="F25" s="27" t="n">
        <v>2.63</v>
      </c>
      <c r="G25" s="27" t="n">
        <v>2.63</v>
      </c>
      <c r="H25" s="28" t="n">
        <v>2.67</v>
      </c>
      <c r="J25" s="40" t="n">
        <v>0.2</v>
      </c>
      <c r="K25" s="41" t="n">
        <v>0.2</v>
      </c>
      <c r="L25" s="41" t="n">
        <v>0.2</v>
      </c>
      <c r="M25" s="42" t="n">
        <v>0.2</v>
      </c>
      <c r="N25" s="42" t="n">
        <v>0.2</v>
      </c>
      <c r="O25" s="43" t="n">
        <v>0.2</v>
      </c>
      <c r="Q25" s="38" t="e">
        <f aca="false">SUM(J29:O29)/SUM(J28:O29)</f>
        <v>#DIV/0!</v>
      </c>
      <c r="R25" s="38"/>
      <c r="S25" s="38"/>
      <c r="T25" s="38"/>
    </row>
    <row r="26" customFormat="false" ht="12.8" hidden="false" customHeight="false" outlineLevel="0" collapsed="false">
      <c r="A26" s="11"/>
      <c r="C26" s="32"/>
      <c r="D26" s="32"/>
      <c r="E26" s="32"/>
      <c r="F26" s="32"/>
      <c r="G26" s="32"/>
      <c r="H26" s="32"/>
    </row>
    <row r="27" customFormat="false" ht="12.8" hidden="false" customHeight="false" outlineLevel="0" collapsed="false">
      <c r="A27" s="11"/>
      <c r="C27" s="33" t="s">
        <v>13</v>
      </c>
      <c r="D27" s="33"/>
      <c r="E27" s="33"/>
      <c r="F27" s="33"/>
      <c r="G27" s="33"/>
      <c r="H27" s="33"/>
      <c r="J27" s="13" t="s">
        <v>14</v>
      </c>
      <c r="K27" s="13"/>
      <c r="L27" s="13"/>
      <c r="M27" s="13"/>
      <c r="N27" s="13"/>
      <c r="O27" s="13"/>
      <c r="Q27" s="14" t="s">
        <v>15</v>
      </c>
      <c r="R27" s="14"/>
      <c r="S27" s="14"/>
      <c r="T27" s="14"/>
      <c r="AK27" s="13" t="s">
        <v>14</v>
      </c>
      <c r="AL27" s="13"/>
      <c r="AM27" s="13"/>
      <c r="AN27" s="13"/>
      <c r="AO27" s="13"/>
      <c r="AP27" s="13"/>
      <c r="AQ27" s="13"/>
      <c r="AR27" s="13"/>
    </row>
    <row r="28" customFormat="false" ht="12.8" hidden="false" customHeight="false" outlineLevel="0" collapsed="false">
      <c r="A28" s="11"/>
      <c r="C28" s="17" t="n">
        <v>2.24</v>
      </c>
      <c r="D28" s="18" t="n">
        <v>2.5</v>
      </c>
      <c r="E28" s="18" t="n">
        <v>2.57</v>
      </c>
      <c r="F28" s="19"/>
      <c r="G28" s="19"/>
      <c r="H28" s="20" t="n">
        <v>1.93</v>
      </c>
      <c r="J28" s="44" t="e">
        <f aca="false">((C24-C28)/($C32*$F$1))/(J20-J24)</f>
        <v>#DIV/0!</v>
      </c>
      <c r="K28" s="45" t="e">
        <f aca="false">((D24-D28)/($C32*$F$1))/(K20-K24)</f>
        <v>#DIV/0!</v>
      </c>
      <c r="L28" s="45" t="e">
        <f aca="false">((E24-E28)/($C32*$F$1))/(L20-L24)</f>
        <v>#DIV/0!</v>
      </c>
      <c r="M28" s="45" t="e">
        <f aca="false">((F24-F28)/($C32*$F$1))/(M20-M24)</f>
        <v>#DIV/0!</v>
      </c>
      <c r="N28" s="45" t="e">
        <f aca="false">((G24-G28)/($C32*$F$1))/(N20-N24)</f>
        <v>#DIV/0!</v>
      </c>
      <c r="O28" s="46" t="e">
        <f aca="false">((H24-H28)/($C32*$F$1))/(O20-O24)</f>
        <v>#DIV/0!</v>
      </c>
      <c r="Q28" s="47" t="e">
        <f aca="false">SUM(J28:L29)/SUM(J28:O29)</f>
        <v>#DIV/0!</v>
      </c>
      <c r="R28" s="47"/>
      <c r="S28" s="47" t="e">
        <f aca="false">SUM(M28:O29)/SUM(J28:O29)</f>
        <v>#DIV/0!</v>
      </c>
      <c r="T28" s="47"/>
      <c r="AK28" s="48" t="e">
        <f aca="false">AVERAGE(J28:L28)</f>
        <v>#DIV/0!</v>
      </c>
      <c r="AL28" s="48"/>
      <c r="AM28" s="48"/>
      <c r="AN28" s="48"/>
      <c r="AO28" s="48" t="e">
        <f aca="false">AVERAGE(M28:O28)</f>
        <v>#DIV/0!</v>
      </c>
      <c r="AP28" s="48"/>
      <c r="AQ28" s="48"/>
      <c r="AR28" s="48"/>
    </row>
    <row r="29" customFormat="false" ht="12.8" hidden="false" customHeight="false" outlineLevel="0" collapsed="false">
      <c r="A29" s="11"/>
      <c r="C29" s="25" t="n">
        <v>2.13</v>
      </c>
      <c r="D29" s="26" t="n">
        <v>1.97</v>
      </c>
      <c r="E29" s="26" t="n">
        <v>2.17</v>
      </c>
      <c r="F29" s="27" t="n">
        <v>2.19</v>
      </c>
      <c r="G29" s="27" t="n">
        <v>2.4</v>
      </c>
      <c r="H29" s="28" t="n">
        <v>2.28</v>
      </c>
      <c r="J29" s="44" t="e">
        <f aca="false">((C25-C29)/($C32*$F$1))/(J21-J25)</f>
        <v>#DIV/0!</v>
      </c>
      <c r="K29" s="45" t="e">
        <f aca="false">((D25-D29)/($C32*$F$1))/(K21-K25)</f>
        <v>#DIV/0!</v>
      </c>
      <c r="L29" s="45" t="e">
        <f aca="false">((E25-E29)/($C32*$F$1))/(L21-L25)</f>
        <v>#DIV/0!</v>
      </c>
      <c r="M29" s="45" t="e">
        <f aca="false">((F25-F29)/($C32*$F$1))/(M21-M25)</f>
        <v>#DIV/0!</v>
      </c>
      <c r="N29" s="45" t="e">
        <f aca="false">((G25-G29)/($C32*$F$1))/(N21-N25)</f>
        <v>#DIV/0!</v>
      </c>
      <c r="O29" s="46" t="e">
        <f aca="false">((H25-H29)/($C32*$F$1))/(O21-O25)</f>
        <v>#DIV/0!</v>
      </c>
      <c r="Q29" s="47"/>
      <c r="R29" s="47"/>
      <c r="S29" s="47"/>
      <c r="T29" s="47"/>
      <c r="AK29" s="48" t="e">
        <f aca="false">AVERAGE(J29:L29)</f>
        <v>#DIV/0!</v>
      </c>
      <c r="AL29" s="48"/>
      <c r="AM29" s="48"/>
      <c r="AN29" s="48"/>
      <c r="AO29" s="48" t="e">
        <f aca="false">AVERAGE(M29:O29)</f>
        <v>#DIV/0!</v>
      </c>
      <c r="AP29" s="48"/>
      <c r="AQ29" s="48"/>
      <c r="AR29" s="48"/>
    </row>
    <row r="30" customFormat="false" ht="12.8" hidden="false" customHeight="false" outlineLevel="0" collapsed="false">
      <c r="A30" s="11"/>
    </row>
    <row r="31" customFormat="false" ht="12.8" hidden="false" customHeight="false" outlineLevel="0" collapsed="false">
      <c r="A31" s="11"/>
      <c r="C31" s="13" t="s">
        <v>16</v>
      </c>
      <c r="D31" s="13"/>
      <c r="E31" s="13"/>
      <c r="F31" s="13"/>
      <c r="G31" s="13"/>
      <c r="H31" s="13"/>
      <c r="J31" s="13" t="s">
        <v>17</v>
      </c>
      <c r="K31" s="13"/>
      <c r="L31" s="13"/>
      <c r="M31" s="13"/>
      <c r="N31" s="13"/>
      <c r="O31" s="13"/>
      <c r="Q31" s="14" t="s">
        <v>18</v>
      </c>
      <c r="R31" s="14"/>
      <c r="S31" s="14"/>
      <c r="T31" s="14"/>
    </row>
    <row r="32" customFormat="false" ht="12.8" hidden="false" customHeight="false" outlineLevel="0" collapsed="false">
      <c r="A32" s="11"/>
      <c r="C32" s="57"/>
      <c r="D32" s="57"/>
      <c r="E32" s="57"/>
      <c r="F32" s="57"/>
      <c r="G32" s="57"/>
      <c r="H32" s="57"/>
      <c r="I32" s="32"/>
      <c r="J32" s="50" t="n">
        <f aca="false">C32*(J20-J24)/(C24-C28)</f>
        <v>0</v>
      </c>
      <c r="K32" s="51" t="n">
        <f aca="false">C32*(K20-K24)/(D24-D28)</f>
        <v>0</v>
      </c>
      <c r="L32" s="51" t="n">
        <f aca="false">$C32*(L20-L24)/(E24-E28)</f>
        <v>0</v>
      </c>
      <c r="M32" s="51" t="n">
        <f aca="false">$C32*(M20-M24)/(G24-G28)</f>
        <v>0</v>
      </c>
      <c r="N32" s="51" t="n">
        <f aca="false">$C32*(N20-N24)/(H24-H28)</f>
        <v>0</v>
      </c>
      <c r="O32" s="52" t="n">
        <f aca="false">C32*(O20-O24)/(H24-H28)</f>
        <v>0</v>
      </c>
      <c r="Q32" s="21" t="e">
        <f aca="false">IF(V21&gt;0,CONCATENATE("less ",V21),CONCATENATE("more ",V21))</f>
        <v>#DIV/0!</v>
      </c>
      <c r="R32" s="21"/>
      <c r="S32" s="53" t="e">
        <f aca="false">IF(X21&gt;0,CONCATENATE("less ",X21),CONCATENATE("more ",X21))</f>
        <v>#DIV/0!</v>
      </c>
      <c r="T32" s="53"/>
    </row>
    <row r="33" customFormat="false" ht="12.8" hidden="false" customHeight="false" outlineLevel="0" collapsed="false">
      <c r="A33" s="11"/>
      <c r="C33" s="57"/>
      <c r="D33" s="57"/>
      <c r="E33" s="57"/>
      <c r="F33" s="57"/>
      <c r="G33" s="57"/>
      <c r="H33" s="57"/>
      <c r="I33" s="32"/>
      <c r="J33" s="50" t="n">
        <f aca="false">C32*(J21-J25)/(C25-C29)</f>
        <v>0</v>
      </c>
      <c r="K33" s="51" t="n">
        <f aca="false">C32*(K21-K25)/(D25-D29)</f>
        <v>0</v>
      </c>
      <c r="L33" s="51" t="n">
        <f aca="false">$C32*(L21-L25)/(E25-E29)</f>
        <v>0</v>
      </c>
      <c r="M33" s="51" t="n">
        <f aca="false">$C32*(M21-M25)/(G25-G29)</f>
        <v>0</v>
      </c>
      <c r="N33" s="51" t="n">
        <f aca="false">$C32*(N21-N25)/(H25-H29)</f>
        <v>0</v>
      </c>
      <c r="O33" s="52" t="n">
        <f aca="false">C32*(O21-O25)/(H25-H29)</f>
        <v>0</v>
      </c>
      <c r="Q33" s="53" t="e">
        <f aca="false">IF(V22&gt;0,CONCATENATE("less ",V22),CONCATENATE("more ",V22))</f>
        <v>#DIV/0!</v>
      </c>
      <c r="R33" s="53"/>
      <c r="S33" s="53" t="e">
        <f aca="false">IF(X22&gt;0,CONCATENATE("less ",X22),CONCATENATE("more ",X22))</f>
        <v>#DIV/0!</v>
      </c>
      <c r="T33" s="53"/>
    </row>
    <row r="34" customFormat="false" ht="30" hidden="false" customHeight="true" outlineLevel="0" collapsed="false">
      <c r="A34" s="54"/>
      <c r="C34" s="55"/>
      <c r="D34" s="55"/>
      <c r="E34" s="55"/>
      <c r="F34" s="55"/>
      <c r="G34" s="55"/>
      <c r="H34" s="55"/>
      <c r="I34" s="32"/>
      <c r="J34" s="56"/>
      <c r="K34" s="56"/>
      <c r="L34" s="56"/>
      <c r="M34" s="56"/>
      <c r="N34" s="56"/>
      <c r="O34" s="56"/>
      <c r="Q34" s="31"/>
      <c r="R34" s="31"/>
      <c r="S34" s="31"/>
      <c r="T34" s="31"/>
    </row>
    <row r="35" customFormat="false" ht="13.5" hidden="false" customHeight="true" outlineLevel="0" collapsed="false">
      <c r="A35" s="11" t="n">
        <v>8202</v>
      </c>
      <c r="C35" s="12" t="s">
        <v>5</v>
      </c>
      <c r="D35" s="12"/>
      <c r="E35" s="12"/>
      <c r="F35" s="12"/>
      <c r="G35" s="12"/>
      <c r="H35" s="12"/>
      <c r="J35" s="13" t="s">
        <v>6</v>
      </c>
      <c r="K35" s="13"/>
      <c r="L35" s="13"/>
      <c r="M35" s="13"/>
      <c r="N35" s="13"/>
      <c r="O35" s="13"/>
      <c r="Q35" s="14" t="s">
        <v>7</v>
      </c>
      <c r="R35" s="14"/>
      <c r="S35" s="14"/>
      <c r="T35" s="14"/>
      <c r="V35" s="2" t="n">
        <v>1</v>
      </c>
      <c r="W35" s="2" t="n">
        <v>2</v>
      </c>
      <c r="X35" s="2" t="n">
        <v>3</v>
      </c>
      <c r="Y35" s="2" t="n">
        <v>5</v>
      </c>
    </row>
    <row r="36" customFormat="false" ht="13.5" hidden="false" customHeight="true" outlineLevel="0" collapsed="false">
      <c r="A36" s="11"/>
      <c r="C36" s="15" t="s">
        <v>19</v>
      </c>
      <c r="D36" s="15"/>
      <c r="E36" s="15"/>
      <c r="F36" s="16" t="s">
        <v>19</v>
      </c>
      <c r="G36" s="16"/>
      <c r="H36" s="16"/>
      <c r="J36" s="17" t="n">
        <v>2.7</v>
      </c>
      <c r="K36" s="18" t="n">
        <v>3</v>
      </c>
      <c r="L36" s="18" t="n">
        <v>2.75</v>
      </c>
      <c r="M36" s="19" t="n">
        <v>2.75</v>
      </c>
      <c r="N36" s="19" t="n">
        <v>3</v>
      </c>
      <c r="O36" s="20" t="n">
        <v>2.7</v>
      </c>
      <c r="Q36" s="21" t="n">
        <f aca="false">MIN(J48:L48)/$M$1</f>
        <v>-0</v>
      </c>
      <c r="R36" s="21"/>
      <c r="S36" s="21" t="e">
        <f aca="false">MIN(M48:O48)/$M$1</f>
        <v>#DIV/0!</v>
      </c>
      <c r="T36" s="21"/>
      <c r="V36" s="22" t="s">
        <v>9</v>
      </c>
      <c r="W36" s="22"/>
      <c r="X36" s="22"/>
    </row>
    <row r="37" customFormat="false" ht="13.5" hidden="false" customHeight="true" outlineLevel="0" collapsed="false">
      <c r="A37" s="11"/>
      <c r="C37" s="23" t="s">
        <v>19</v>
      </c>
      <c r="D37" s="23"/>
      <c r="E37" s="23"/>
      <c r="F37" s="24" t="s">
        <v>19</v>
      </c>
      <c r="G37" s="24"/>
      <c r="H37" s="24"/>
      <c r="J37" s="25" t="n">
        <v>2.7</v>
      </c>
      <c r="K37" s="26" t="n">
        <v>3</v>
      </c>
      <c r="L37" s="26" t="n">
        <v>2.7</v>
      </c>
      <c r="M37" s="27" t="n">
        <v>2.7</v>
      </c>
      <c r="N37" s="27" t="n">
        <v>3</v>
      </c>
      <c r="O37" s="28" t="n">
        <v>2.7</v>
      </c>
      <c r="Q37" s="29" t="n">
        <f aca="false">MIN(J49:L49)/$M$1</f>
        <v>0</v>
      </c>
      <c r="R37" s="29"/>
      <c r="S37" s="29" t="n">
        <f aca="false">MIN(M49:O49)/$M$1</f>
        <v>-0</v>
      </c>
      <c r="T37" s="29"/>
      <c r="V37" s="30" t="e">
        <f aca="false">ROUNDUP(INDEX(LINEST(J44:L44,V35:X35,,1),1,1)*$Y$1,1)</f>
        <v>#DIV/0!</v>
      </c>
      <c r="W37" s="30"/>
      <c r="X37" s="31" t="e">
        <f aca="false">-ROUNDUP(INDEX(LINEST(M44:O44,V35:X35,,1),1,1)*$Y$1,1)</f>
        <v>#DIV/0!</v>
      </c>
    </row>
    <row r="38" customFormat="false" ht="13.5" hidden="false" customHeight="true" outlineLevel="0" collapsed="false">
      <c r="A38" s="11"/>
      <c r="J38" s="32"/>
      <c r="K38" s="32"/>
      <c r="L38" s="32"/>
      <c r="M38" s="32"/>
      <c r="N38" s="32"/>
      <c r="O38" s="32"/>
      <c r="V38" s="30" t="e">
        <f aca="false">ROUNDUP(INDEX(LINEST(J45:L45,V35:X35,,1),1,1)*$Y$1,1)</f>
        <v>#DIV/0!</v>
      </c>
      <c r="W38" s="30"/>
      <c r="X38" s="31" t="e">
        <f aca="false">-ROUNDUP(INDEX(LINEST(M45:O45,V35:X35,,1),1,1)*$Y$1,1)</f>
        <v>#DIV/0!</v>
      </c>
    </row>
    <row r="39" customFormat="false" ht="13.5" hidden="false" customHeight="true" outlineLevel="0" collapsed="false">
      <c r="A39" s="11"/>
      <c r="C39" s="13" t="s">
        <v>10</v>
      </c>
      <c r="D39" s="13"/>
      <c r="E39" s="13"/>
      <c r="F39" s="13"/>
      <c r="G39" s="13"/>
      <c r="H39" s="13"/>
      <c r="J39" s="33" t="s">
        <v>11</v>
      </c>
      <c r="K39" s="33"/>
      <c r="L39" s="33"/>
      <c r="M39" s="33"/>
      <c r="N39" s="33"/>
      <c r="O39" s="33"/>
      <c r="Q39" s="14" t="s">
        <v>12</v>
      </c>
      <c r="R39" s="14"/>
      <c r="S39" s="14"/>
      <c r="T39" s="14"/>
    </row>
    <row r="40" customFormat="false" ht="13.5" hidden="false" customHeight="true" outlineLevel="0" collapsed="false">
      <c r="A40" s="11"/>
      <c r="C40" s="17" t="n">
        <v>2.6</v>
      </c>
      <c r="D40" s="18" t="n">
        <v>2.75</v>
      </c>
      <c r="E40" s="18" t="n">
        <v>2.74</v>
      </c>
      <c r="F40" s="19" t="n">
        <v>2.76</v>
      </c>
      <c r="G40" s="19" t="n">
        <v>2.74</v>
      </c>
      <c r="H40" s="20" t="n">
        <v>2.75</v>
      </c>
      <c r="J40" s="34" t="n">
        <v>0.2</v>
      </c>
      <c r="K40" s="35" t="n">
        <v>0.2</v>
      </c>
      <c r="L40" s="35" t="n">
        <v>0.2</v>
      </c>
      <c r="M40" s="36" t="n">
        <v>0.2</v>
      </c>
      <c r="N40" s="36" t="n">
        <v>0.2</v>
      </c>
      <c r="O40" s="37" t="n">
        <v>0.2</v>
      </c>
      <c r="Q40" s="38" t="e">
        <f aca="false">SUM(J44:O44)/SUM(J44:O45)</f>
        <v>#DIV/0!</v>
      </c>
      <c r="R40" s="38"/>
      <c r="S40" s="38"/>
      <c r="T40" s="38"/>
    </row>
    <row r="41" customFormat="false" ht="13.5" hidden="false" customHeight="true" outlineLevel="0" collapsed="false">
      <c r="A41" s="11"/>
      <c r="C41" s="25" t="n">
        <v>2.76</v>
      </c>
      <c r="D41" s="26" t="n">
        <v>2.68</v>
      </c>
      <c r="E41" s="26" t="n">
        <v>2.68</v>
      </c>
      <c r="F41" s="27" t="n">
        <v>2.7</v>
      </c>
      <c r="G41" s="27" t="n">
        <v>2.67</v>
      </c>
      <c r="H41" s="28" t="n">
        <v>2.71</v>
      </c>
      <c r="J41" s="40" t="n">
        <v>0.2</v>
      </c>
      <c r="K41" s="41" t="n">
        <v>0.2</v>
      </c>
      <c r="L41" s="41" t="n">
        <v>0.2</v>
      </c>
      <c r="M41" s="42" t="n">
        <v>0.2</v>
      </c>
      <c r="N41" s="42" t="n">
        <v>0.2</v>
      </c>
      <c r="O41" s="43" t="n">
        <v>0.2</v>
      </c>
      <c r="Q41" s="38" t="e">
        <f aca="false">SUM(J45:O45)/SUM(J44:O45)</f>
        <v>#DIV/0!</v>
      </c>
      <c r="R41" s="38"/>
      <c r="S41" s="38"/>
      <c r="T41" s="38"/>
    </row>
    <row r="42" customFormat="false" ht="12.8" hidden="false" customHeight="false" outlineLevel="0" collapsed="false">
      <c r="A42" s="11"/>
      <c r="C42" s="32"/>
      <c r="D42" s="32"/>
      <c r="E42" s="32"/>
      <c r="F42" s="32"/>
      <c r="G42" s="32"/>
      <c r="H42" s="32"/>
    </row>
    <row r="43" customFormat="false" ht="13.5" hidden="false" customHeight="true" outlineLevel="0" collapsed="false">
      <c r="A43" s="11"/>
      <c r="C43" s="33" t="s">
        <v>13</v>
      </c>
      <c r="D43" s="33"/>
      <c r="E43" s="33"/>
      <c r="F43" s="33"/>
      <c r="G43" s="33"/>
      <c r="H43" s="33"/>
      <c r="J43" s="13" t="s">
        <v>14</v>
      </c>
      <c r="K43" s="13"/>
      <c r="L43" s="13"/>
      <c r="M43" s="13"/>
      <c r="N43" s="13"/>
      <c r="O43" s="13"/>
      <c r="Q43" s="14" t="s">
        <v>15</v>
      </c>
      <c r="R43" s="14"/>
      <c r="S43" s="14"/>
      <c r="T43" s="14"/>
      <c r="AK43" s="13" t="s">
        <v>14</v>
      </c>
      <c r="AL43" s="13"/>
      <c r="AM43" s="13"/>
      <c r="AN43" s="13"/>
      <c r="AO43" s="13"/>
      <c r="AP43" s="13"/>
      <c r="AQ43" s="13"/>
      <c r="AR43" s="13"/>
    </row>
    <row r="44" customFormat="false" ht="13.5" hidden="false" customHeight="true" outlineLevel="0" collapsed="false">
      <c r="A44" s="11"/>
      <c r="C44" s="17" t="n">
        <v>2.74</v>
      </c>
      <c r="D44" s="18" t="n">
        <v>2.85</v>
      </c>
      <c r="E44" s="18" t="n">
        <v>2.81</v>
      </c>
      <c r="F44" s="19" t="n">
        <v>2.76</v>
      </c>
      <c r="G44" s="19" t="n">
        <v>2.84</v>
      </c>
      <c r="H44" s="20" t="n">
        <v>2.75</v>
      </c>
      <c r="J44" s="44" t="e">
        <f aca="false">((C40-C44)/($C48*$F$1))/(J36-J40)</f>
        <v>#DIV/0!</v>
      </c>
      <c r="K44" s="45" t="e">
        <f aca="false">((D40-D44)/($C48*$F$1))/(K36-K40)</f>
        <v>#DIV/0!</v>
      </c>
      <c r="L44" s="45" t="e">
        <f aca="false">((E40-E44)/($C48*$F$1))/(L36-L40)</f>
        <v>#DIV/0!</v>
      </c>
      <c r="M44" s="45" t="e">
        <f aca="false">((F40-F44)/($C48*$F$1))/(M36-M40)</f>
        <v>#DIV/0!</v>
      </c>
      <c r="N44" s="45" t="e">
        <f aca="false">((G40-G44)/($C48*$F$1))/(N36-N40)</f>
        <v>#DIV/0!</v>
      </c>
      <c r="O44" s="46" t="e">
        <f aca="false">((H40-H44)/($C48*$F$1))/(O36-O40)</f>
        <v>#DIV/0!</v>
      </c>
      <c r="Q44" s="47" t="e">
        <f aca="false">SUM(J44:L45)/SUM(J44:O45)</f>
        <v>#DIV/0!</v>
      </c>
      <c r="R44" s="47"/>
      <c r="S44" s="47" t="e">
        <f aca="false">SUM(M44:O45)/SUM(J44:O45)</f>
        <v>#DIV/0!</v>
      </c>
      <c r="T44" s="47"/>
      <c r="AK44" s="48" t="e">
        <f aca="false">AVERAGE(J44:L44)</f>
        <v>#DIV/0!</v>
      </c>
      <c r="AL44" s="48"/>
      <c r="AM44" s="48"/>
      <c r="AN44" s="48"/>
      <c r="AO44" s="48" t="e">
        <f aca="false">AVERAGE(M44:O44)</f>
        <v>#DIV/0!</v>
      </c>
      <c r="AP44" s="48"/>
      <c r="AQ44" s="48"/>
      <c r="AR44" s="48"/>
    </row>
    <row r="45" customFormat="false" ht="12.8" hidden="false" customHeight="false" outlineLevel="0" collapsed="false">
      <c r="A45" s="11"/>
      <c r="C45" s="25" t="n">
        <v>2.68</v>
      </c>
      <c r="D45" s="26" t="n">
        <v>2.59</v>
      </c>
      <c r="E45" s="26" t="n">
        <v>2.62</v>
      </c>
      <c r="F45" s="27" t="n">
        <v>2.56</v>
      </c>
      <c r="G45" s="27" t="n">
        <v>2.71</v>
      </c>
      <c r="H45" s="28" t="n">
        <v>2.69</v>
      </c>
      <c r="J45" s="44" t="e">
        <f aca="false">((C41-C45)/($C48*$F$1))/(J37-J41)</f>
        <v>#DIV/0!</v>
      </c>
      <c r="K45" s="45" t="e">
        <f aca="false">((D41-D45)/($C48*$F$1))/(K37-K41)</f>
        <v>#DIV/0!</v>
      </c>
      <c r="L45" s="45" t="e">
        <f aca="false">((E41-E45)/($C48*$F$1))/(L37-L41)</f>
        <v>#DIV/0!</v>
      </c>
      <c r="M45" s="45" t="e">
        <f aca="false">((F41-F45)/($C48*$F$1))/(M37-M41)</f>
        <v>#DIV/0!</v>
      </c>
      <c r="N45" s="45" t="e">
        <f aca="false">((G41-G45)/($C48*$F$1))/(N37-N41)</f>
        <v>#DIV/0!</v>
      </c>
      <c r="O45" s="46" t="e">
        <f aca="false">((H41-H45)/($C48*$F$1))/(O37-O41)</f>
        <v>#DIV/0!</v>
      </c>
      <c r="Q45" s="47"/>
      <c r="R45" s="47"/>
      <c r="S45" s="47"/>
      <c r="T45" s="47"/>
      <c r="AK45" s="48" t="e">
        <f aca="false">AVERAGE(J45:L45)</f>
        <v>#DIV/0!</v>
      </c>
      <c r="AL45" s="48"/>
      <c r="AM45" s="48"/>
      <c r="AN45" s="48"/>
      <c r="AO45" s="48" t="e">
        <f aca="false">AVERAGE(M45:O45)</f>
        <v>#DIV/0!</v>
      </c>
      <c r="AP45" s="48"/>
      <c r="AQ45" s="48"/>
      <c r="AR45" s="48"/>
    </row>
    <row r="46" customFormat="false" ht="12.8" hidden="false" customHeight="false" outlineLevel="0" collapsed="false">
      <c r="A46" s="11"/>
    </row>
    <row r="47" customFormat="false" ht="12.8" hidden="false" customHeight="false" outlineLevel="0" collapsed="false">
      <c r="A47" s="11"/>
      <c r="C47" s="13" t="s">
        <v>16</v>
      </c>
      <c r="D47" s="13"/>
      <c r="E47" s="13"/>
      <c r="F47" s="13"/>
      <c r="G47" s="13"/>
      <c r="H47" s="13"/>
      <c r="J47" s="13" t="s">
        <v>17</v>
      </c>
      <c r="K47" s="13"/>
      <c r="L47" s="13"/>
      <c r="M47" s="13"/>
      <c r="N47" s="13"/>
      <c r="O47" s="13"/>
      <c r="Q47" s="14" t="s">
        <v>18</v>
      </c>
      <c r="R47" s="14"/>
      <c r="S47" s="14"/>
      <c r="T47" s="14"/>
    </row>
    <row r="48" customFormat="false" ht="13.5" hidden="false" customHeight="true" outlineLevel="0" collapsed="false">
      <c r="A48" s="11"/>
      <c r="C48" s="49"/>
      <c r="D48" s="49"/>
      <c r="E48" s="49"/>
      <c r="F48" s="49"/>
      <c r="G48" s="49"/>
      <c r="H48" s="49"/>
      <c r="I48" s="32"/>
      <c r="J48" s="50" t="n">
        <f aca="false">C48*(J36-J40)/(C40-C44)</f>
        <v>-0</v>
      </c>
      <c r="K48" s="51" t="n">
        <f aca="false">C48*(K36-K40)/(D40-D44)</f>
        <v>-0</v>
      </c>
      <c r="L48" s="51" t="n">
        <f aca="false">$C48*(L36-L40)/(E40-E44)</f>
        <v>-0</v>
      </c>
      <c r="M48" s="51" t="n">
        <f aca="false">$C48*(M36-M40)/(G40-G44)</f>
        <v>-0</v>
      </c>
      <c r="N48" s="51" t="e">
        <f aca="false">$C48*(N36-N40)/(H40-H44)</f>
        <v>#DIV/0!</v>
      </c>
      <c r="O48" s="52" t="e">
        <f aca="false">C48*(O36-O40)/(H40-H44)</f>
        <v>#DIV/0!</v>
      </c>
      <c r="Q48" s="21" t="e">
        <f aca="false">IF(V37&gt;0,CONCATENATE("less ",V37),CONCATENATE("more ",V37))</f>
        <v>#DIV/0!</v>
      </c>
      <c r="R48" s="21"/>
      <c r="S48" s="53" t="e">
        <f aca="false">IF(X37&gt;0,CONCATENATE("less ",X37),CONCATENATE("more ",X37))</f>
        <v>#DIV/0!</v>
      </c>
      <c r="T48" s="53"/>
    </row>
    <row r="49" customFormat="false" ht="13.5" hidden="false" customHeight="true" outlineLevel="0" collapsed="false">
      <c r="A49" s="11"/>
      <c r="C49" s="49"/>
      <c r="D49" s="49"/>
      <c r="E49" s="49"/>
      <c r="F49" s="49"/>
      <c r="G49" s="49"/>
      <c r="H49" s="49"/>
      <c r="I49" s="32"/>
      <c r="J49" s="50" t="n">
        <f aca="false">C48*(J37-J41)/(C41-C45)</f>
        <v>0</v>
      </c>
      <c r="K49" s="51" t="n">
        <f aca="false">C48*(K37-K41)/(D41-D45)</f>
        <v>0</v>
      </c>
      <c r="L49" s="51" t="n">
        <f aca="false">$C48*(L37-L41)/(E41-E45)</f>
        <v>0</v>
      </c>
      <c r="M49" s="51" t="n">
        <f aca="false">$C48*(M37-M41)/(G41-G45)</f>
        <v>-0</v>
      </c>
      <c r="N49" s="51" t="n">
        <f aca="false">$C48*(N37-N41)/(H41-H45)</f>
        <v>0</v>
      </c>
      <c r="O49" s="52" t="n">
        <f aca="false">C48*(O37-O41)/(H41-H45)</f>
        <v>0</v>
      </c>
      <c r="Q49" s="53" t="e">
        <f aca="false">IF(V38&gt;0,CONCATENATE("less ",V38),CONCATENATE("more ",V38))</f>
        <v>#DIV/0!</v>
      </c>
      <c r="R49" s="53"/>
      <c r="S49" s="53" t="e">
        <f aca="false">IF(X38&gt;0,CONCATENATE("less ",X38),CONCATENATE("more ",X38))</f>
        <v>#DIV/0!</v>
      </c>
      <c r="T49" s="53"/>
    </row>
    <row r="50" customFormat="false" ht="30" hidden="false" customHeight="true" outlineLevel="0" collapsed="false">
      <c r="A50" s="54"/>
      <c r="C50" s="55"/>
      <c r="D50" s="55"/>
      <c r="E50" s="55"/>
      <c r="F50" s="55"/>
      <c r="G50" s="55"/>
      <c r="H50" s="55"/>
      <c r="I50" s="32"/>
      <c r="J50" s="56"/>
      <c r="K50" s="56"/>
      <c r="L50" s="56"/>
      <c r="M50" s="56"/>
      <c r="N50" s="56"/>
      <c r="O50" s="56"/>
      <c r="Q50" s="31"/>
      <c r="R50" s="31"/>
      <c r="S50" s="31"/>
      <c r="T50" s="31"/>
    </row>
    <row r="51" customFormat="false" ht="13.5" hidden="false" customHeight="true" outlineLevel="0" collapsed="false">
      <c r="A51" s="11" t="n">
        <v>8401</v>
      </c>
      <c r="C51" s="12" t="s">
        <v>5</v>
      </c>
      <c r="D51" s="12"/>
      <c r="E51" s="12"/>
      <c r="F51" s="12"/>
      <c r="G51" s="12"/>
      <c r="H51" s="12"/>
      <c r="J51" s="13" t="s">
        <v>6</v>
      </c>
      <c r="K51" s="13"/>
      <c r="L51" s="13"/>
      <c r="M51" s="13"/>
      <c r="N51" s="13"/>
      <c r="O51" s="13"/>
      <c r="Q51" s="13" t="s">
        <v>7</v>
      </c>
      <c r="R51" s="13"/>
      <c r="S51" s="13"/>
      <c r="T51" s="13"/>
      <c r="V51" s="2" t="n">
        <v>1</v>
      </c>
      <c r="W51" s="2" t="n">
        <v>2</v>
      </c>
      <c r="X51" s="2" t="n">
        <v>3</v>
      </c>
    </row>
    <row r="52" customFormat="false" ht="13.5" hidden="false" customHeight="true" outlineLevel="0" collapsed="false">
      <c r="A52" s="11"/>
      <c r="C52" s="15" t="s">
        <v>19</v>
      </c>
      <c r="D52" s="15"/>
      <c r="E52" s="15"/>
      <c r="F52" s="16" t="s">
        <v>19</v>
      </c>
      <c r="G52" s="16"/>
      <c r="H52" s="16"/>
      <c r="J52" s="17" t="n">
        <v>2.7</v>
      </c>
      <c r="K52" s="18" t="n">
        <v>3</v>
      </c>
      <c r="L52" s="18" t="n">
        <v>2.75</v>
      </c>
      <c r="M52" s="19" t="n">
        <v>2.75</v>
      </c>
      <c r="N52" s="19" t="n">
        <v>3</v>
      </c>
      <c r="O52" s="20" t="n">
        <v>2.7</v>
      </c>
      <c r="Q52" s="21" t="n">
        <f aca="false">MIN(J64:L64)/$M$1</f>
        <v>0</v>
      </c>
      <c r="R52" s="21"/>
      <c r="S52" s="21" t="n">
        <f aca="false">MIN(M64:O64)/$M$1</f>
        <v>0</v>
      </c>
      <c r="T52" s="21"/>
      <c r="V52" s="22" t="s">
        <v>9</v>
      </c>
      <c r="W52" s="22"/>
      <c r="X52" s="22"/>
    </row>
    <row r="53" customFormat="false" ht="13.5" hidden="false" customHeight="true" outlineLevel="0" collapsed="false">
      <c r="A53" s="11"/>
      <c r="C53" s="23" t="s">
        <v>20</v>
      </c>
      <c r="D53" s="23"/>
      <c r="E53" s="23"/>
      <c r="F53" s="24" t="s">
        <v>20</v>
      </c>
      <c r="G53" s="24"/>
      <c r="H53" s="24"/>
      <c r="J53" s="25" t="n">
        <v>2.7</v>
      </c>
      <c r="K53" s="26" t="n">
        <v>3</v>
      </c>
      <c r="L53" s="26" t="n">
        <v>2.7</v>
      </c>
      <c r="M53" s="27" t="n">
        <v>2.7</v>
      </c>
      <c r="N53" s="27" t="n">
        <v>3</v>
      </c>
      <c r="O53" s="28" t="n">
        <v>2.7</v>
      </c>
      <c r="Q53" s="29" t="n">
        <f aca="false">MIN(J65:L65)/$M$1</f>
        <v>0</v>
      </c>
      <c r="R53" s="29"/>
      <c r="S53" s="29" t="n">
        <f aca="false">MIN(M65:O65)/$M$1</f>
        <v>0</v>
      </c>
      <c r="T53" s="29"/>
      <c r="V53" s="30" t="e">
        <f aca="false">ROUNDUP(INDEX(LINEST(J60:L60,V51:X51,,1),1,1)*$Y$1,1)</f>
        <v>#DIV/0!</v>
      </c>
      <c r="W53" s="30"/>
      <c r="X53" s="31" t="e">
        <f aca="false">-ROUNDUP(INDEX(LINEST(M60:O60,V51:X51,,1),1,1)*$Y$1,1)</f>
        <v>#VALUE!</v>
      </c>
    </row>
    <row r="54" customFormat="false" ht="13.5" hidden="false" customHeight="true" outlineLevel="0" collapsed="false">
      <c r="A54" s="11"/>
      <c r="J54" s="32"/>
      <c r="K54" s="32"/>
      <c r="L54" s="32"/>
      <c r="M54" s="32"/>
      <c r="N54" s="32"/>
      <c r="O54" s="32"/>
      <c r="V54" s="30" t="e">
        <f aca="false">ROUNDUP(INDEX(LINEST(J61:L61,V51:X51,,1),1,1)*$Y$1,1)</f>
        <v>#DIV/0!</v>
      </c>
      <c r="W54" s="30"/>
      <c r="X54" s="31" t="e">
        <f aca="false">-ROUNDUP(INDEX(LINEST(M61:O61,V51:X51,,1),1,1)*$Y$1,1)</f>
        <v>#DIV/0!</v>
      </c>
    </row>
    <row r="55" customFormat="false" ht="13.5" hidden="false" customHeight="true" outlineLevel="0" collapsed="false">
      <c r="A55" s="11"/>
      <c r="C55" s="13" t="s">
        <v>10</v>
      </c>
      <c r="D55" s="13"/>
      <c r="E55" s="13"/>
      <c r="F55" s="13"/>
      <c r="G55" s="13"/>
      <c r="H55" s="13"/>
      <c r="J55" s="33" t="s">
        <v>11</v>
      </c>
      <c r="K55" s="33"/>
      <c r="L55" s="33"/>
      <c r="M55" s="33"/>
      <c r="N55" s="33"/>
      <c r="O55" s="33"/>
      <c r="Q55" s="13" t="s">
        <v>12</v>
      </c>
      <c r="R55" s="13"/>
      <c r="S55" s="13"/>
      <c r="T55" s="13"/>
    </row>
    <row r="56" customFormat="false" ht="13.5" hidden="false" customHeight="true" outlineLevel="0" collapsed="false">
      <c r="A56" s="11"/>
      <c r="C56" s="17" t="n">
        <v>2.71</v>
      </c>
      <c r="D56" s="18" t="n">
        <v>2.7</v>
      </c>
      <c r="E56" s="18" t="n">
        <v>2.69</v>
      </c>
      <c r="F56" s="19" t="s">
        <v>21</v>
      </c>
      <c r="G56" s="19" t="n">
        <v>2.73</v>
      </c>
      <c r="H56" s="20" t="n">
        <v>2.71</v>
      </c>
      <c r="J56" s="34" t="n">
        <v>0.2</v>
      </c>
      <c r="K56" s="35" t="n">
        <v>0.2</v>
      </c>
      <c r="L56" s="35" t="n">
        <v>0.2</v>
      </c>
      <c r="M56" s="36" t="n">
        <v>0.2</v>
      </c>
      <c r="N56" s="36" t="n">
        <v>0.2</v>
      </c>
      <c r="O56" s="37" t="n">
        <v>0.2</v>
      </c>
      <c r="Q56" s="38" t="e">
        <f aca="false">SUM(J60:O60)/SUM(J60:O61)</f>
        <v>#DIV/0!</v>
      </c>
      <c r="R56" s="38"/>
      <c r="S56" s="38"/>
      <c r="T56" s="38"/>
    </row>
    <row r="57" customFormat="false" ht="13.5" hidden="false" customHeight="true" outlineLevel="0" collapsed="false">
      <c r="A57" s="11"/>
      <c r="C57" s="25" t="n">
        <v>2.61</v>
      </c>
      <c r="D57" s="26" t="n">
        <v>2.55</v>
      </c>
      <c r="E57" s="26" t="n">
        <v>2.6</v>
      </c>
      <c r="F57" s="27" t="n">
        <v>2.64</v>
      </c>
      <c r="G57" s="27" t="n">
        <v>2.61</v>
      </c>
      <c r="H57" s="28" t="n">
        <v>2.7</v>
      </c>
      <c r="J57" s="40" t="n">
        <v>0.2</v>
      </c>
      <c r="K57" s="41" t="n">
        <v>0.2</v>
      </c>
      <c r="L57" s="41" t="n">
        <v>0.2</v>
      </c>
      <c r="M57" s="42" t="n">
        <v>0.2</v>
      </c>
      <c r="N57" s="42" t="n">
        <v>0.2</v>
      </c>
      <c r="O57" s="43" t="n">
        <v>0.2</v>
      </c>
      <c r="Q57" s="38" t="e">
        <f aca="false">SUM(J61:O61)/SUM(J60:O61)</f>
        <v>#DIV/0!</v>
      </c>
      <c r="R57" s="38"/>
      <c r="S57" s="38"/>
      <c r="T57" s="38"/>
    </row>
    <row r="58" customFormat="false" ht="12.8" hidden="false" customHeight="false" outlineLevel="0" collapsed="false">
      <c r="A58" s="11"/>
      <c r="C58" s="32"/>
      <c r="D58" s="32"/>
      <c r="E58" s="32"/>
      <c r="F58" s="32"/>
      <c r="G58" s="32"/>
      <c r="H58" s="32"/>
    </row>
    <row r="59" customFormat="false" ht="12.8" hidden="false" customHeight="false" outlineLevel="0" collapsed="false">
      <c r="A59" s="11"/>
      <c r="C59" s="33" t="s">
        <v>13</v>
      </c>
      <c r="D59" s="33"/>
      <c r="E59" s="33"/>
      <c r="F59" s="33"/>
      <c r="G59" s="33"/>
      <c r="H59" s="33"/>
      <c r="J59" s="13" t="s">
        <v>14</v>
      </c>
      <c r="K59" s="13"/>
      <c r="L59" s="13"/>
      <c r="M59" s="13"/>
      <c r="N59" s="13"/>
      <c r="O59" s="13"/>
      <c r="Q59" s="13" t="s">
        <v>15</v>
      </c>
      <c r="R59" s="13"/>
      <c r="S59" s="13"/>
      <c r="T59" s="13"/>
      <c r="AK59" s="13" t="s">
        <v>14</v>
      </c>
      <c r="AL59" s="13"/>
      <c r="AM59" s="13"/>
      <c r="AN59" s="13"/>
      <c r="AO59" s="13"/>
      <c r="AP59" s="13"/>
      <c r="AQ59" s="13"/>
      <c r="AR59" s="13"/>
    </row>
    <row r="60" customFormat="false" ht="12.8" hidden="false" customHeight="false" outlineLevel="0" collapsed="false">
      <c r="A60" s="11"/>
      <c r="C60" s="17" t="n">
        <v>2.52</v>
      </c>
      <c r="D60" s="18" t="n">
        <v>2.72</v>
      </c>
      <c r="E60" s="18" t="n">
        <v>2.64</v>
      </c>
      <c r="F60" s="19" t="n">
        <v>2.63</v>
      </c>
      <c r="G60" s="19" t="n">
        <v>2</v>
      </c>
      <c r="H60" s="20" t="n">
        <v>2.48</v>
      </c>
      <c r="J60" s="44" t="e">
        <f aca="false">((C56-C60)/($C64*$F$1))/(J52-J56)</f>
        <v>#DIV/0!</v>
      </c>
      <c r="K60" s="45" t="e">
        <f aca="false">((D56-D60)/($C64*$F$1))/(K52-K56)</f>
        <v>#DIV/0!</v>
      </c>
      <c r="L60" s="45" t="e">
        <f aca="false">((E56-E60)/($C64*$F$1))/(L52-L56)</f>
        <v>#DIV/0!</v>
      </c>
      <c r="M60" s="45" t="e">
        <f aca="false">((F56-F60)/($C64*$F$1))/(M52-M56)</f>
        <v>#VALUE!</v>
      </c>
      <c r="N60" s="45" t="e">
        <f aca="false">((G56-G60)/($C64*$F$1))/(N52-N56)</f>
        <v>#DIV/0!</v>
      </c>
      <c r="O60" s="46" t="e">
        <f aca="false">((H56-H60)/($C64*$F$1))/(O52-O56)</f>
        <v>#DIV/0!</v>
      </c>
      <c r="Q60" s="47" t="e">
        <f aca="false">SUM(J60:L61)/SUM(J60:O61)</f>
        <v>#DIV/0!</v>
      </c>
      <c r="R60" s="47"/>
      <c r="S60" s="47" t="e">
        <f aca="false">SUM(M60:O61)/SUM(J60:O61)</f>
        <v>#VALUE!</v>
      </c>
      <c r="T60" s="47"/>
      <c r="AK60" s="48" t="e">
        <f aca="false">AVERAGE(J60:L60)</f>
        <v>#DIV/0!</v>
      </c>
      <c r="AL60" s="48"/>
      <c r="AM60" s="48"/>
      <c r="AN60" s="48"/>
      <c r="AO60" s="48" t="e">
        <f aca="false">AVERAGE(M60:O60)</f>
        <v>#VALUE!</v>
      </c>
      <c r="AP60" s="48"/>
      <c r="AQ60" s="48"/>
      <c r="AR60" s="48"/>
    </row>
    <row r="61" customFormat="false" ht="12.8" hidden="false" customHeight="false" outlineLevel="0" collapsed="false">
      <c r="A61" s="11"/>
      <c r="C61" s="25"/>
      <c r="D61" s="26"/>
      <c r="E61" s="26"/>
      <c r="F61" s="27" t="n">
        <v>2.4</v>
      </c>
      <c r="G61" s="27" t="n">
        <v>2.55</v>
      </c>
      <c r="H61" s="28" t="n">
        <v>2.6</v>
      </c>
      <c r="J61" s="44" t="e">
        <f aca="false">((C57-C61)/($C64*$F$1))/(J53-J57)</f>
        <v>#DIV/0!</v>
      </c>
      <c r="K61" s="45" t="e">
        <f aca="false">((D57-D61)/($C64*$F$1))/(K53-K57)</f>
        <v>#DIV/0!</v>
      </c>
      <c r="L61" s="45" t="e">
        <f aca="false">((E57-E61)/($C64*$F$1))/(L53-L57)</f>
        <v>#DIV/0!</v>
      </c>
      <c r="M61" s="45" t="e">
        <f aca="false">((F57-F61)/($C64*$F$1))/(M53-M57)</f>
        <v>#DIV/0!</v>
      </c>
      <c r="N61" s="45" t="e">
        <f aca="false">((G57-G61)/($C64*$F$1))/(N53-N57)</f>
        <v>#DIV/0!</v>
      </c>
      <c r="O61" s="46" t="e">
        <f aca="false">((H57-H61)/($C64*$F$1))/(O53-O57)</f>
        <v>#DIV/0!</v>
      </c>
      <c r="Q61" s="47"/>
      <c r="R61" s="47"/>
      <c r="S61" s="47"/>
      <c r="T61" s="47"/>
      <c r="AK61" s="48" t="e">
        <f aca="false">AVERAGE(J61:L61)</f>
        <v>#DIV/0!</v>
      </c>
      <c r="AL61" s="48"/>
      <c r="AM61" s="48"/>
      <c r="AN61" s="48"/>
      <c r="AO61" s="48" t="e">
        <f aca="false">AVERAGE(M61:O61)</f>
        <v>#DIV/0!</v>
      </c>
      <c r="AP61" s="48"/>
      <c r="AQ61" s="48"/>
      <c r="AR61" s="48"/>
    </row>
    <row r="62" customFormat="false" ht="12.8" hidden="false" customHeight="false" outlineLevel="0" collapsed="false">
      <c r="A62" s="11"/>
    </row>
    <row r="63" customFormat="false" ht="12.8" hidden="false" customHeight="false" outlineLevel="0" collapsed="false">
      <c r="A63" s="11"/>
      <c r="C63" s="13" t="s">
        <v>16</v>
      </c>
      <c r="D63" s="13"/>
      <c r="E63" s="13"/>
      <c r="F63" s="13"/>
      <c r="G63" s="13"/>
      <c r="H63" s="13"/>
      <c r="J63" s="13" t="s">
        <v>17</v>
      </c>
      <c r="K63" s="13"/>
      <c r="L63" s="13"/>
      <c r="M63" s="13"/>
      <c r="N63" s="13"/>
      <c r="O63" s="13"/>
      <c r="Q63" s="13" t="s">
        <v>18</v>
      </c>
      <c r="R63" s="13"/>
      <c r="S63" s="13"/>
      <c r="T63" s="13"/>
    </row>
    <row r="64" customFormat="false" ht="12.8" hidden="false" customHeight="false" outlineLevel="0" collapsed="false">
      <c r="A64" s="11"/>
      <c r="C64" s="57"/>
      <c r="D64" s="57"/>
      <c r="E64" s="57"/>
      <c r="F64" s="57"/>
      <c r="G64" s="57"/>
      <c r="H64" s="57"/>
      <c r="I64" s="32"/>
      <c r="J64" s="50" t="n">
        <f aca="false">C64*(J52-J56)/(C56-C60)</f>
        <v>0</v>
      </c>
      <c r="K64" s="51" t="n">
        <f aca="false">C64*(K52-K56)/(D56-D60)</f>
        <v>-0</v>
      </c>
      <c r="L64" s="51" t="n">
        <f aca="false">$C64*(L52-L56)/(E56-E60)</f>
        <v>0</v>
      </c>
      <c r="M64" s="51" t="n">
        <f aca="false">$C64*(M52-M56)/(G56-G60)</f>
        <v>0</v>
      </c>
      <c r="N64" s="51" t="n">
        <f aca="false">$C64*(N52-N56)/(H56-H60)</f>
        <v>0</v>
      </c>
      <c r="O64" s="52" t="n">
        <f aca="false">C64*(O52-O56)/(H56-H60)</f>
        <v>0</v>
      </c>
      <c r="Q64" s="21" t="e">
        <f aca="false">IF(V53&gt;0,CONCATENATE("less ",V53),CONCATENATE("more ",V53))</f>
        <v>#DIV/0!</v>
      </c>
      <c r="R64" s="21"/>
      <c r="S64" s="53" t="e">
        <f aca="false">IF(X53&gt;0,CONCATENATE("less ",X53),CONCATENATE("more ",X53))</f>
        <v>#VALUE!</v>
      </c>
      <c r="T64" s="53"/>
    </row>
    <row r="65" customFormat="false" ht="12.8" hidden="false" customHeight="false" outlineLevel="0" collapsed="false">
      <c r="A65" s="11"/>
      <c r="C65" s="57"/>
      <c r="D65" s="57"/>
      <c r="E65" s="57"/>
      <c r="F65" s="57"/>
      <c r="G65" s="57"/>
      <c r="H65" s="57"/>
      <c r="I65" s="32"/>
      <c r="J65" s="50" t="n">
        <f aca="false">C64*(J53-J57)/(C57-C61)</f>
        <v>0</v>
      </c>
      <c r="K65" s="51" t="n">
        <f aca="false">C64*(K53-K57)/(D57-D61)</f>
        <v>0</v>
      </c>
      <c r="L65" s="51" t="n">
        <f aca="false">$C64*(L53-L57)/(E57-E61)</f>
        <v>0</v>
      </c>
      <c r="M65" s="51" t="n">
        <f aca="false">$C64*(M53-M57)/(G57-G61)</f>
        <v>0</v>
      </c>
      <c r="N65" s="51" t="n">
        <f aca="false">$C64*(N53-N57)/(H57-H61)</f>
        <v>0</v>
      </c>
      <c r="O65" s="52" t="n">
        <f aca="false">C64*(O53-O57)/(H57-H61)</f>
        <v>0</v>
      </c>
      <c r="Q65" s="53" t="e">
        <f aca="false">IF(V54&gt;0,CONCATENATE("less ",V54),CONCATENATE("more ",V54))</f>
        <v>#DIV/0!</v>
      </c>
      <c r="R65" s="53"/>
      <c r="S65" s="53" t="e">
        <f aca="false">IF(X54&gt;0,CONCATENATE("less ",X54),CONCATENATE("more ",X54))</f>
        <v>#DIV/0!</v>
      </c>
      <c r="T65" s="53"/>
    </row>
    <row r="66" customFormat="false" ht="30" hidden="false" customHeight="true" outlineLevel="0" collapsed="false">
      <c r="A66" s="54"/>
      <c r="C66" s="55"/>
      <c r="D66" s="55"/>
      <c r="E66" s="55"/>
      <c r="F66" s="55"/>
      <c r="G66" s="55"/>
      <c r="H66" s="55"/>
      <c r="I66" s="32"/>
      <c r="J66" s="56"/>
      <c r="K66" s="56"/>
      <c r="L66" s="56"/>
      <c r="M66" s="56"/>
      <c r="N66" s="56"/>
      <c r="O66" s="56"/>
      <c r="Q66" s="31"/>
      <c r="R66" s="31"/>
      <c r="S66" s="31"/>
      <c r="T66" s="31"/>
    </row>
    <row r="67" customFormat="false" ht="13.5" hidden="false" customHeight="true" outlineLevel="0" collapsed="false">
      <c r="A67" s="11" t="n">
        <v>8402</v>
      </c>
      <c r="C67" s="12" t="s">
        <v>5</v>
      </c>
      <c r="D67" s="12"/>
      <c r="E67" s="12"/>
      <c r="F67" s="12"/>
      <c r="G67" s="12"/>
      <c r="H67" s="12"/>
      <c r="J67" s="13" t="s">
        <v>6</v>
      </c>
      <c r="K67" s="13"/>
      <c r="L67" s="13"/>
      <c r="M67" s="13"/>
      <c r="N67" s="13"/>
      <c r="O67" s="13"/>
      <c r="Q67" s="13" t="s">
        <v>7</v>
      </c>
      <c r="R67" s="13"/>
      <c r="S67" s="13"/>
      <c r="T67" s="13"/>
      <c r="V67" s="2" t="n">
        <v>1</v>
      </c>
      <c r="W67" s="2" t="n">
        <v>2</v>
      </c>
      <c r="X67" s="2" t="n">
        <v>3</v>
      </c>
    </row>
    <row r="68" customFormat="false" ht="13.5" hidden="false" customHeight="true" outlineLevel="0" collapsed="false">
      <c r="A68" s="11"/>
      <c r="C68" s="15" t="s">
        <v>19</v>
      </c>
      <c r="D68" s="15"/>
      <c r="E68" s="15"/>
      <c r="F68" s="16" t="s">
        <v>19</v>
      </c>
      <c r="G68" s="16"/>
      <c r="H68" s="16"/>
      <c r="J68" s="17" t="n">
        <v>2.7</v>
      </c>
      <c r="K68" s="18" t="n">
        <v>3</v>
      </c>
      <c r="L68" s="18" t="n">
        <v>2.75</v>
      </c>
      <c r="M68" s="19" t="n">
        <v>2.75</v>
      </c>
      <c r="N68" s="19" t="n">
        <v>3</v>
      </c>
      <c r="O68" s="20" t="n">
        <v>2.7</v>
      </c>
      <c r="Q68" s="21" t="n">
        <f aca="false">MIN(J80:L80)/$M$1</f>
        <v>0</v>
      </c>
      <c r="R68" s="21"/>
      <c r="S68" s="21" t="n">
        <f aca="false">MIN(M80:O80)/$M$1</f>
        <v>-0</v>
      </c>
      <c r="T68" s="21"/>
      <c r="V68" s="22" t="s">
        <v>9</v>
      </c>
      <c r="W68" s="22"/>
      <c r="X68" s="22"/>
    </row>
    <row r="69" customFormat="false" ht="13.5" hidden="false" customHeight="true" outlineLevel="0" collapsed="false">
      <c r="A69" s="11"/>
      <c r="C69" s="23" t="s">
        <v>20</v>
      </c>
      <c r="D69" s="23"/>
      <c r="E69" s="23"/>
      <c r="F69" s="24" t="s">
        <v>20</v>
      </c>
      <c r="G69" s="24"/>
      <c r="H69" s="24"/>
      <c r="J69" s="25" t="n">
        <v>2.7</v>
      </c>
      <c r="K69" s="26" t="n">
        <v>3</v>
      </c>
      <c r="L69" s="26" t="n">
        <v>2.7</v>
      </c>
      <c r="M69" s="27" t="n">
        <v>2.7</v>
      </c>
      <c r="N69" s="27" t="n">
        <v>3</v>
      </c>
      <c r="O69" s="28" t="n">
        <v>2.7</v>
      </c>
      <c r="Q69" s="29" t="n">
        <f aca="false">MIN(J81:L81)/$M$1</f>
        <v>0</v>
      </c>
      <c r="R69" s="29"/>
      <c r="S69" s="29" t="n">
        <f aca="false">MIN(M81:O81)/$M$1</f>
        <v>0</v>
      </c>
      <c r="T69" s="29"/>
      <c r="V69" s="30" t="e">
        <f aca="false">ROUNDUP(INDEX(LINEST(J76:L76,V67:X67,,1),1,1)*$Y$1,1)</f>
        <v>#DIV/0!</v>
      </c>
      <c r="W69" s="30"/>
      <c r="X69" s="31" t="e">
        <f aca="false">-ROUNDUP(INDEX(LINEST(M76:O76,V67:X67,,1),1,1)*$Y$1,1)</f>
        <v>#DIV/0!</v>
      </c>
    </row>
    <row r="70" customFormat="false" ht="13.5" hidden="false" customHeight="true" outlineLevel="0" collapsed="false">
      <c r="A70" s="11"/>
      <c r="J70" s="32"/>
      <c r="K70" s="32"/>
      <c r="L70" s="32"/>
      <c r="M70" s="32"/>
      <c r="N70" s="32"/>
      <c r="O70" s="32"/>
      <c r="V70" s="30" t="e">
        <f aca="false">ROUNDUP(INDEX(LINEST(J77:L77,V67:X67,,1),1,1)*$Y$1,1)</f>
        <v>#DIV/0!</v>
      </c>
      <c r="W70" s="30"/>
      <c r="X70" s="31" t="e">
        <f aca="false">-ROUNDUP(INDEX(LINEST(M77:O77,V67:X67,,1),1,1)*$Y$1,1)</f>
        <v>#DIV/0!</v>
      </c>
    </row>
    <row r="71" customFormat="false" ht="13.5" hidden="false" customHeight="true" outlineLevel="0" collapsed="false">
      <c r="A71" s="11"/>
      <c r="C71" s="13"/>
      <c r="D71" s="13"/>
      <c r="E71" s="13"/>
      <c r="F71" s="13"/>
      <c r="G71" s="13"/>
      <c r="H71" s="13"/>
      <c r="J71" s="33" t="s">
        <v>11</v>
      </c>
      <c r="K71" s="33"/>
      <c r="L71" s="33"/>
      <c r="M71" s="33"/>
      <c r="N71" s="33"/>
      <c r="O71" s="33"/>
      <c r="Q71" s="13" t="s">
        <v>12</v>
      </c>
      <c r="R71" s="13"/>
      <c r="S71" s="13"/>
      <c r="T71" s="13"/>
    </row>
    <row r="72" customFormat="false" ht="13.5" hidden="false" customHeight="true" outlineLevel="0" collapsed="false">
      <c r="A72" s="11"/>
      <c r="C72" s="17" t="n">
        <v>2.72</v>
      </c>
      <c r="D72" s="18" t="n">
        <v>2.68</v>
      </c>
      <c r="E72" s="18" t="n">
        <v>2.72</v>
      </c>
      <c r="F72" s="19" t="n">
        <v>2.7</v>
      </c>
      <c r="G72" s="19" t="n">
        <v>2.74</v>
      </c>
      <c r="H72" s="20" t="n">
        <v>2.72</v>
      </c>
      <c r="J72" s="34" t="n">
        <v>0.2</v>
      </c>
      <c r="K72" s="35" t="n">
        <v>0.2</v>
      </c>
      <c r="L72" s="35" t="n">
        <v>0.2</v>
      </c>
      <c r="M72" s="36" t="n">
        <v>0.2</v>
      </c>
      <c r="N72" s="36" t="n">
        <v>0.2</v>
      </c>
      <c r="O72" s="37" t="n">
        <v>0.2</v>
      </c>
      <c r="Q72" s="38" t="e">
        <f aca="false">SUM(J76:O76)/SUM(J76:O77)</f>
        <v>#DIV/0!</v>
      </c>
      <c r="R72" s="38"/>
      <c r="S72" s="38"/>
      <c r="T72" s="38"/>
    </row>
    <row r="73" customFormat="false" ht="13.5" hidden="false" customHeight="true" outlineLevel="0" collapsed="false">
      <c r="A73" s="11"/>
      <c r="C73" s="25" t="n">
        <v>2.62</v>
      </c>
      <c r="D73" s="26" t="n">
        <v>2.59</v>
      </c>
      <c r="E73" s="26" t="n">
        <v>2.6</v>
      </c>
      <c r="F73" s="27" t="n">
        <v>2.59</v>
      </c>
      <c r="G73" s="27" t="n">
        <v>2.62</v>
      </c>
      <c r="H73" s="28" t="n">
        <v>2.68</v>
      </c>
      <c r="J73" s="40" t="n">
        <v>0.2</v>
      </c>
      <c r="K73" s="41" t="n">
        <v>0.2</v>
      </c>
      <c r="L73" s="41" t="n">
        <v>0.2</v>
      </c>
      <c r="M73" s="42" t="n">
        <v>0.2</v>
      </c>
      <c r="N73" s="42" t="n">
        <v>0.2</v>
      </c>
      <c r="O73" s="43" t="n">
        <v>0.2</v>
      </c>
      <c r="Q73" s="38" t="e">
        <f aca="false">SUM(J77:O77)/SUM(J76:O77)</f>
        <v>#DIV/0!</v>
      </c>
      <c r="R73" s="38"/>
      <c r="S73" s="38"/>
      <c r="T73" s="38"/>
    </row>
    <row r="74" customFormat="false" ht="12.8" hidden="false" customHeight="false" outlineLevel="0" collapsed="false">
      <c r="A74" s="11"/>
      <c r="C74" s="32"/>
      <c r="D74" s="32"/>
      <c r="E74" s="32"/>
      <c r="F74" s="32"/>
      <c r="G74" s="32"/>
      <c r="H74" s="32"/>
    </row>
    <row r="75" customFormat="false" ht="12.8" hidden="false" customHeight="false" outlineLevel="0" collapsed="false">
      <c r="A75" s="11"/>
      <c r="C75" s="33" t="s">
        <v>13</v>
      </c>
      <c r="D75" s="33"/>
      <c r="E75" s="33"/>
      <c r="F75" s="33"/>
      <c r="G75" s="33"/>
      <c r="H75" s="33"/>
      <c r="J75" s="13" t="s">
        <v>14</v>
      </c>
      <c r="K75" s="13"/>
      <c r="L75" s="13"/>
      <c r="M75" s="13"/>
      <c r="N75" s="13"/>
      <c r="O75" s="13"/>
      <c r="Q75" s="13" t="s">
        <v>15</v>
      </c>
      <c r="R75" s="13"/>
      <c r="S75" s="13"/>
      <c r="T75" s="13"/>
      <c r="AK75" s="13" t="s">
        <v>14</v>
      </c>
      <c r="AL75" s="13"/>
      <c r="AM75" s="13"/>
      <c r="AN75" s="13"/>
      <c r="AO75" s="13"/>
      <c r="AP75" s="13"/>
      <c r="AQ75" s="13"/>
      <c r="AR75" s="13"/>
    </row>
    <row r="76" customFormat="false" ht="12.8" hidden="false" customHeight="false" outlineLevel="0" collapsed="false">
      <c r="A76" s="11"/>
      <c r="C76" s="17" t="n">
        <v>2.61</v>
      </c>
      <c r="D76" s="18" t="n">
        <v>1.92</v>
      </c>
      <c r="E76" s="18" t="n">
        <v>2.88</v>
      </c>
      <c r="F76" s="19" t="n">
        <v>2.9</v>
      </c>
      <c r="G76" s="19" t="n">
        <v>2.94</v>
      </c>
      <c r="H76" s="20" t="n">
        <v>2.48</v>
      </c>
      <c r="J76" s="44" t="e">
        <f aca="false">((C72-C76)/($C80*$F$1))/(J68-J72)</f>
        <v>#DIV/0!</v>
      </c>
      <c r="K76" s="45" t="e">
        <f aca="false">((D72-D76)/($C80*$F$1))/(K68-K72)</f>
        <v>#DIV/0!</v>
      </c>
      <c r="L76" s="45" t="e">
        <f aca="false">((E72-E76)/($C80*$F$1))/(L68-L72)</f>
        <v>#DIV/0!</v>
      </c>
      <c r="M76" s="45" t="e">
        <f aca="false">((F72-F76)/($C80*$F$1))/(M68-M72)</f>
        <v>#DIV/0!</v>
      </c>
      <c r="N76" s="45" t="e">
        <f aca="false">((G72-G76)/($C80*$F$1))/(N68-N72)</f>
        <v>#DIV/0!</v>
      </c>
      <c r="O76" s="46" t="e">
        <f aca="false">((H72-H76)/($C80*$F$1))/(O68-O72)</f>
        <v>#DIV/0!</v>
      </c>
      <c r="Q76" s="47" t="e">
        <f aca="false">SUM(J76:L77)/SUM(J76:O77)</f>
        <v>#DIV/0!</v>
      </c>
      <c r="R76" s="47"/>
      <c r="S76" s="47" t="e">
        <f aca="false">SUM(M76:O77)/SUM(J76:O77)</f>
        <v>#DIV/0!</v>
      </c>
      <c r="T76" s="47"/>
      <c r="AK76" s="48" t="e">
        <f aca="false">AVERAGE(J76:L76)</f>
        <v>#DIV/0!</v>
      </c>
      <c r="AL76" s="48"/>
      <c r="AM76" s="48"/>
      <c r="AN76" s="48"/>
      <c r="AO76" s="48" t="e">
        <f aca="false">AVERAGE(M76:O76)</f>
        <v>#DIV/0!</v>
      </c>
      <c r="AP76" s="48"/>
      <c r="AQ76" s="48"/>
      <c r="AR76" s="48"/>
    </row>
    <row r="77" customFormat="false" ht="12.8" hidden="false" customHeight="false" outlineLevel="0" collapsed="false">
      <c r="A77" s="11"/>
      <c r="C77" s="25" t="n">
        <v>2.55</v>
      </c>
      <c r="D77" s="26" t="n">
        <v>2.6</v>
      </c>
      <c r="E77" s="26" t="n">
        <v>2.65</v>
      </c>
      <c r="F77" s="27" t="n">
        <v>2.61</v>
      </c>
      <c r="G77" s="27" t="n">
        <v>2.51</v>
      </c>
      <c r="H77" s="28" t="n">
        <v>2.57</v>
      </c>
      <c r="J77" s="44" t="e">
        <f aca="false">((C73-C77)/($C80*$F$1))/(J69-J73)</f>
        <v>#DIV/0!</v>
      </c>
      <c r="K77" s="45" t="e">
        <f aca="false">((D73-D77)/($C80*$F$1))/(K69-K73)</f>
        <v>#DIV/0!</v>
      </c>
      <c r="L77" s="45" t="e">
        <f aca="false">((E73-E77)/($C80*$F$1))/(L69-L73)</f>
        <v>#DIV/0!</v>
      </c>
      <c r="M77" s="45" t="e">
        <f aca="false">((F73-F77)/($C80*$F$1))/(M69-M73)</f>
        <v>#DIV/0!</v>
      </c>
      <c r="N77" s="45" t="e">
        <f aca="false">((G73-G77)/($C80*$F$1))/(N69-N73)</f>
        <v>#DIV/0!</v>
      </c>
      <c r="O77" s="46" t="e">
        <f aca="false">((H73-H77)/($C80*$F$1))/(O69-O73)</f>
        <v>#DIV/0!</v>
      </c>
      <c r="Q77" s="47"/>
      <c r="R77" s="47"/>
      <c r="S77" s="47"/>
      <c r="T77" s="47"/>
      <c r="AK77" s="48" t="e">
        <f aca="false">AVERAGE(J77:L77)</f>
        <v>#DIV/0!</v>
      </c>
      <c r="AL77" s="48"/>
      <c r="AM77" s="48"/>
      <c r="AN77" s="48"/>
      <c r="AO77" s="48" t="e">
        <f aca="false">AVERAGE(M77:O77)</f>
        <v>#DIV/0!</v>
      </c>
      <c r="AP77" s="48"/>
      <c r="AQ77" s="48"/>
      <c r="AR77" s="48"/>
    </row>
    <row r="78" customFormat="false" ht="12.8" hidden="false" customHeight="false" outlineLevel="0" collapsed="false">
      <c r="A78" s="11"/>
    </row>
    <row r="79" customFormat="false" ht="12.8" hidden="false" customHeight="false" outlineLevel="0" collapsed="false">
      <c r="A79" s="11"/>
      <c r="C79" s="13" t="s">
        <v>16</v>
      </c>
      <c r="D79" s="13"/>
      <c r="E79" s="13"/>
      <c r="F79" s="13"/>
      <c r="G79" s="13"/>
      <c r="H79" s="13"/>
      <c r="J79" s="13" t="s">
        <v>17</v>
      </c>
      <c r="K79" s="13"/>
      <c r="L79" s="13"/>
      <c r="M79" s="13"/>
      <c r="N79" s="13"/>
      <c r="O79" s="13"/>
      <c r="Q79" s="13" t="s">
        <v>18</v>
      </c>
      <c r="R79" s="13"/>
      <c r="S79" s="13"/>
      <c r="T79" s="13"/>
    </row>
    <row r="80" customFormat="false" ht="12.8" hidden="false" customHeight="false" outlineLevel="0" collapsed="false">
      <c r="A80" s="11"/>
      <c r="C80" s="49"/>
      <c r="D80" s="49"/>
      <c r="E80" s="49"/>
      <c r="F80" s="49"/>
      <c r="G80" s="49"/>
      <c r="H80" s="49"/>
      <c r="I80" s="32"/>
      <c r="J80" s="50" t="n">
        <f aca="false">C80*(J68-J72)/(C72-C76)</f>
        <v>0</v>
      </c>
      <c r="K80" s="51" t="n">
        <f aca="false">C80*(K68-K72)/(D72-D76)</f>
        <v>0</v>
      </c>
      <c r="L80" s="51" t="n">
        <f aca="false">$C80*(L68-L72)/(E72-E76)</f>
        <v>-0</v>
      </c>
      <c r="M80" s="51" t="n">
        <f aca="false">$C80*(M68-M72)/(G72-G76)</f>
        <v>-0</v>
      </c>
      <c r="N80" s="51" t="n">
        <f aca="false">$C80*(N68-N72)/(H72-H76)</f>
        <v>0</v>
      </c>
      <c r="O80" s="52" t="n">
        <f aca="false">C80*(O68-O72)/(H72-H76)</f>
        <v>0</v>
      </c>
      <c r="Q80" s="21" t="e">
        <f aca="false">IF(V69&gt;0,CONCATENATE("less ",V69),CONCATENATE("more ",V69))</f>
        <v>#DIV/0!</v>
      </c>
      <c r="R80" s="21"/>
      <c r="S80" s="53" t="e">
        <f aca="false">IF(X69&gt;0,CONCATENATE("less ",X69),CONCATENATE("more ",X69))</f>
        <v>#DIV/0!</v>
      </c>
      <c r="T80" s="53"/>
    </row>
    <row r="81" customFormat="false" ht="12.8" hidden="false" customHeight="false" outlineLevel="0" collapsed="false">
      <c r="A81" s="11"/>
      <c r="C81" s="49"/>
      <c r="D81" s="49"/>
      <c r="E81" s="49"/>
      <c r="F81" s="49"/>
      <c r="G81" s="49"/>
      <c r="H81" s="49"/>
      <c r="I81" s="32"/>
      <c r="J81" s="50" t="n">
        <f aca="false">C80*(J69-J73)/(C73-C77)</f>
        <v>0</v>
      </c>
      <c r="K81" s="51" t="n">
        <f aca="false">C80*(K69-K73)/(D73-D77)</f>
        <v>-0</v>
      </c>
      <c r="L81" s="51" t="n">
        <f aca="false">$C80*(L69-L73)/(E73-E77)</f>
        <v>-0</v>
      </c>
      <c r="M81" s="51" t="n">
        <f aca="false">$C80*(M69-M73)/(G73-G77)</f>
        <v>0</v>
      </c>
      <c r="N81" s="51" t="n">
        <f aca="false">$C80*(N69-N73)/(H73-H77)</f>
        <v>0</v>
      </c>
      <c r="O81" s="52" t="n">
        <f aca="false">C80*(O69-O73)/(H73-H77)</f>
        <v>0</v>
      </c>
      <c r="Q81" s="53" t="e">
        <f aca="false">IF(V70&gt;0,CONCATENATE("less ",V70),CONCATENATE("more ",V70))</f>
        <v>#DIV/0!</v>
      </c>
      <c r="R81" s="53"/>
      <c r="S81" s="53" t="e">
        <f aca="false">IF(X70&gt;0,CONCATENATE("less ",X70),CONCATENATE("more ",X70))</f>
        <v>#DIV/0!</v>
      </c>
      <c r="T81" s="53"/>
    </row>
    <row r="82" customFormat="false" ht="30" hidden="false" customHeight="true" outlineLevel="0" collapsed="false">
      <c r="A82" s="54"/>
      <c r="C82" s="55"/>
      <c r="D82" s="55"/>
      <c r="E82" s="55"/>
      <c r="F82" s="55"/>
      <c r="G82" s="55"/>
      <c r="H82" s="55"/>
      <c r="I82" s="32"/>
      <c r="J82" s="56"/>
      <c r="K82" s="56"/>
      <c r="L82" s="56"/>
      <c r="M82" s="56"/>
      <c r="N82" s="56"/>
      <c r="O82" s="56"/>
      <c r="Q82" s="31"/>
      <c r="R82" s="31"/>
      <c r="S82" s="31"/>
      <c r="T82" s="31"/>
    </row>
    <row r="83" customFormat="false" ht="13.5" hidden="false" customHeight="true" outlineLevel="0" collapsed="false">
      <c r="A83" s="11" t="n">
        <v>8501</v>
      </c>
      <c r="C83" s="12" t="s">
        <v>5</v>
      </c>
      <c r="D83" s="12"/>
      <c r="E83" s="12"/>
      <c r="F83" s="12"/>
      <c r="G83" s="12"/>
      <c r="H83" s="12"/>
      <c r="J83" s="13" t="s">
        <v>6</v>
      </c>
      <c r="K83" s="13"/>
      <c r="L83" s="13"/>
      <c r="M83" s="13"/>
      <c r="N83" s="13"/>
      <c r="O83" s="13"/>
      <c r="Q83" s="13" t="s">
        <v>7</v>
      </c>
      <c r="R83" s="13"/>
      <c r="S83" s="13"/>
      <c r="T83" s="13"/>
      <c r="V83" s="2" t="n">
        <v>1</v>
      </c>
      <c r="W83" s="2" t="n">
        <v>2</v>
      </c>
      <c r="X83" s="2" t="n">
        <v>3</v>
      </c>
    </row>
    <row r="84" customFormat="false" ht="13.5" hidden="false" customHeight="true" outlineLevel="0" collapsed="false">
      <c r="A84" s="11"/>
      <c r="C84" s="15" t="s">
        <v>8</v>
      </c>
      <c r="D84" s="15"/>
      <c r="E84" s="15"/>
      <c r="F84" s="16" t="s">
        <v>8</v>
      </c>
      <c r="G84" s="16"/>
      <c r="H84" s="16"/>
      <c r="J84" s="17" t="n">
        <v>2.7</v>
      </c>
      <c r="K84" s="18" t="n">
        <v>3</v>
      </c>
      <c r="L84" s="18" t="n">
        <v>2.75</v>
      </c>
      <c r="M84" s="19" t="n">
        <v>2.75</v>
      </c>
      <c r="N84" s="19" t="n">
        <v>3</v>
      </c>
      <c r="O84" s="20" t="n">
        <v>2.7</v>
      </c>
      <c r="Q84" s="21" t="n">
        <f aca="false">MIN(J96:L96)/$M$1</f>
        <v>0</v>
      </c>
      <c r="R84" s="21"/>
      <c r="S84" s="21" t="n">
        <f aca="false">MIN(M96:O96)/$M$1</f>
        <v>-0</v>
      </c>
      <c r="T84" s="21"/>
      <c r="V84" s="22" t="s">
        <v>9</v>
      </c>
      <c r="W84" s="22"/>
      <c r="X84" s="22"/>
    </row>
    <row r="85" customFormat="false" ht="13.5" hidden="false" customHeight="true" outlineLevel="0" collapsed="false">
      <c r="A85" s="11"/>
      <c r="C85" s="23" t="s">
        <v>19</v>
      </c>
      <c r="D85" s="23"/>
      <c r="E85" s="23"/>
      <c r="F85" s="24" t="s">
        <v>19</v>
      </c>
      <c r="G85" s="24"/>
      <c r="H85" s="24"/>
      <c r="J85" s="25" t="n">
        <v>2.7</v>
      </c>
      <c r="K85" s="26" t="n">
        <v>3</v>
      </c>
      <c r="L85" s="26" t="n">
        <v>2.7</v>
      </c>
      <c r="M85" s="27" t="n">
        <v>2.7</v>
      </c>
      <c r="N85" s="27" t="n">
        <v>3</v>
      </c>
      <c r="O85" s="28" t="n">
        <v>2.7</v>
      </c>
      <c r="Q85" s="29" t="n">
        <f aca="false">MIN(J97:L97)/$M$1</f>
        <v>0</v>
      </c>
      <c r="R85" s="29"/>
      <c r="S85" s="29" t="n">
        <f aca="false">MIN(M97:O97)/$M$1</f>
        <v>0</v>
      </c>
      <c r="T85" s="29"/>
      <c r="V85" s="30" t="e">
        <f aca="false">ROUNDUP(INDEX(LINEST(J92:L92,V83:X83,,1),1,1)*$Y$1,1)</f>
        <v>#DIV/0!</v>
      </c>
      <c r="W85" s="30"/>
      <c r="X85" s="31" t="e">
        <f aca="false">-ROUNDUP(INDEX(LINEST(M92:O92,V83:X83,,1),1,1)*$Y$1,1)</f>
        <v>#DIV/0!</v>
      </c>
    </row>
    <row r="86" customFormat="false" ht="13.5" hidden="false" customHeight="true" outlineLevel="0" collapsed="false">
      <c r="A86" s="11"/>
      <c r="J86" s="32"/>
      <c r="K86" s="32"/>
      <c r="L86" s="32"/>
      <c r="M86" s="32"/>
      <c r="N86" s="32"/>
      <c r="O86" s="32"/>
      <c r="V86" s="30" t="e">
        <f aca="false">ROUNDUP(INDEX(LINEST(J93:L93,V83:X83,,1),1,1)*$Y$1,1)</f>
        <v>#DIV/0!</v>
      </c>
      <c r="W86" s="30"/>
      <c r="X86" s="31" t="e">
        <f aca="false">-ROUNDUP(INDEX(LINEST(M93:O93,V83:X83,,1),1,1)*$Y$1,1)</f>
        <v>#DIV/0!</v>
      </c>
    </row>
    <row r="87" customFormat="false" ht="13.5" hidden="false" customHeight="true" outlineLevel="0" collapsed="false">
      <c r="A87" s="11"/>
      <c r="C87" s="13" t="s">
        <v>10</v>
      </c>
      <c r="D87" s="13"/>
      <c r="E87" s="13"/>
      <c r="F87" s="13"/>
      <c r="G87" s="13"/>
      <c r="H87" s="13"/>
      <c r="J87" s="33" t="s">
        <v>11</v>
      </c>
      <c r="K87" s="33"/>
      <c r="L87" s="33"/>
      <c r="M87" s="33"/>
      <c r="N87" s="33"/>
      <c r="O87" s="33"/>
      <c r="Q87" s="13" t="s">
        <v>12</v>
      </c>
      <c r="R87" s="13"/>
      <c r="S87" s="13"/>
      <c r="T87" s="13"/>
    </row>
    <row r="88" customFormat="false" ht="13.5" hidden="false" customHeight="true" outlineLevel="0" collapsed="false">
      <c r="A88" s="11"/>
      <c r="C88" s="17" t="n">
        <v>2.68</v>
      </c>
      <c r="D88" s="18" t="n">
        <v>2.74</v>
      </c>
      <c r="E88" s="18" t="n">
        <v>2.68</v>
      </c>
      <c r="F88" s="19" t="n">
        <v>2.69</v>
      </c>
      <c r="G88" s="19" t="n">
        <v>2.61</v>
      </c>
      <c r="H88" s="20" t="n">
        <v>2.63</v>
      </c>
      <c r="J88" s="34" t="n">
        <v>0.2</v>
      </c>
      <c r="K88" s="35" t="n">
        <v>0.2</v>
      </c>
      <c r="L88" s="35" t="n">
        <v>0.2</v>
      </c>
      <c r="M88" s="36" t="n">
        <v>0.2</v>
      </c>
      <c r="N88" s="36" t="n">
        <v>0.2</v>
      </c>
      <c r="O88" s="37" t="n">
        <v>0.2</v>
      </c>
      <c r="Q88" s="38" t="e">
        <f aca="false">SUM(J92:O92)/SUM(J92:O93)</f>
        <v>#DIV/0!</v>
      </c>
      <c r="R88" s="38"/>
      <c r="S88" s="38"/>
      <c r="T88" s="38"/>
    </row>
    <row r="89" customFormat="false" ht="13.5" hidden="false" customHeight="true" outlineLevel="0" collapsed="false">
      <c r="A89" s="11"/>
      <c r="C89" s="25" t="n">
        <v>2.78</v>
      </c>
      <c r="D89" s="26" t="n">
        <v>2.62</v>
      </c>
      <c r="E89" s="26" t="n">
        <v>2.8</v>
      </c>
      <c r="F89" s="27" t="n">
        <v>2.74</v>
      </c>
      <c r="G89" s="27" t="n">
        <v>2.71</v>
      </c>
      <c r="H89" s="28" t="n">
        <v>2.72</v>
      </c>
      <c r="J89" s="40" t="n">
        <v>0.2</v>
      </c>
      <c r="K89" s="41" t="n">
        <v>0.2</v>
      </c>
      <c r="L89" s="41" t="n">
        <v>0.2</v>
      </c>
      <c r="M89" s="42" t="n">
        <v>0.2</v>
      </c>
      <c r="N89" s="42" t="n">
        <v>0.2</v>
      </c>
      <c r="O89" s="43" t="n">
        <v>0.2</v>
      </c>
      <c r="Q89" s="38" t="e">
        <f aca="false">SUM(J93:O93)/SUM(J92:O93)</f>
        <v>#DIV/0!</v>
      </c>
      <c r="R89" s="38"/>
      <c r="S89" s="38"/>
      <c r="T89" s="38"/>
    </row>
    <row r="90" customFormat="false" ht="12.8" hidden="false" customHeight="false" outlineLevel="0" collapsed="false">
      <c r="A90" s="11"/>
      <c r="C90" s="32"/>
      <c r="D90" s="32"/>
      <c r="E90" s="32"/>
      <c r="F90" s="32"/>
      <c r="G90" s="32"/>
      <c r="H90" s="32"/>
    </row>
    <row r="91" customFormat="false" ht="12.8" hidden="false" customHeight="false" outlineLevel="0" collapsed="false">
      <c r="A91" s="11"/>
      <c r="C91" s="33" t="s">
        <v>13</v>
      </c>
      <c r="D91" s="33"/>
      <c r="E91" s="33"/>
      <c r="F91" s="33"/>
      <c r="G91" s="33"/>
      <c r="H91" s="33"/>
      <c r="J91" s="13" t="s">
        <v>14</v>
      </c>
      <c r="K91" s="13"/>
      <c r="L91" s="13"/>
      <c r="M91" s="13"/>
      <c r="N91" s="13"/>
      <c r="O91" s="13"/>
      <c r="Q91" s="13" t="s">
        <v>15</v>
      </c>
      <c r="R91" s="13"/>
      <c r="S91" s="13"/>
      <c r="T91" s="13"/>
      <c r="AK91" s="13" t="s">
        <v>14</v>
      </c>
      <c r="AL91" s="13"/>
      <c r="AM91" s="13"/>
      <c r="AN91" s="13"/>
      <c r="AO91" s="13"/>
      <c r="AP91" s="13"/>
      <c r="AQ91" s="13"/>
      <c r="AR91" s="13"/>
    </row>
    <row r="92" customFormat="false" ht="12.8" hidden="false" customHeight="false" outlineLevel="0" collapsed="false">
      <c r="A92" s="11"/>
      <c r="C92" s="17" t="n">
        <v>2.59</v>
      </c>
      <c r="D92" s="18" t="n">
        <v>2.79</v>
      </c>
      <c r="E92" s="18" t="n">
        <v>2.31</v>
      </c>
      <c r="F92" s="19" t="n">
        <v>2.68</v>
      </c>
      <c r="G92" s="19" t="n">
        <v>2.69</v>
      </c>
      <c r="H92" s="20" t="n">
        <v>2.56</v>
      </c>
      <c r="J92" s="44" t="e">
        <f aca="false">((C88-C92)/($C96*$F$1))/(J84-J88)</f>
        <v>#DIV/0!</v>
      </c>
      <c r="K92" s="45" t="e">
        <f aca="false">((D88-D92)/($C96*$F$1))/(K84-K88)</f>
        <v>#DIV/0!</v>
      </c>
      <c r="L92" s="45" t="e">
        <f aca="false">((E88-E92)/($C96*$F$1))/(L84-L88)</f>
        <v>#DIV/0!</v>
      </c>
      <c r="M92" s="45" t="e">
        <f aca="false">((F88-F92)/($C96*$F$1))/(M84-M88)</f>
        <v>#DIV/0!</v>
      </c>
      <c r="N92" s="45" t="e">
        <f aca="false">((G88-G92)/($C96*$F$1))/(N84-N88)</f>
        <v>#DIV/0!</v>
      </c>
      <c r="O92" s="46" t="e">
        <f aca="false">((H88-H92)/($C96*$F$1))/(O84-O88)</f>
        <v>#DIV/0!</v>
      </c>
      <c r="Q92" s="47" t="e">
        <f aca="false">SUM(J92:L93)/SUM(J92:O93)</f>
        <v>#DIV/0!</v>
      </c>
      <c r="R92" s="47"/>
      <c r="S92" s="47" t="e">
        <f aca="false">SUM(M92:O93)/SUM(J92:O93)</f>
        <v>#DIV/0!</v>
      </c>
      <c r="T92" s="47"/>
      <c r="AK92" s="48" t="e">
        <f aca="false">AVERAGE(J92:L92)</f>
        <v>#DIV/0!</v>
      </c>
      <c r="AL92" s="48"/>
      <c r="AM92" s="48"/>
      <c r="AN92" s="48"/>
      <c r="AO92" s="48" t="e">
        <f aca="false">AVERAGE(M92:O92)</f>
        <v>#DIV/0!</v>
      </c>
      <c r="AP92" s="48"/>
      <c r="AQ92" s="48"/>
      <c r="AR92" s="48"/>
    </row>
    <row r="93" customFormat="false" ht="12.8" hidden="false" customHeight="false" outlineLevel="0" collapsed="false">
      <c r="A93" s="11"/>
      <c r="C93" s="25" t="n">
        <v>2.65</v>
      </c>
      <c r="D93" s="26" t="n">
        <v>2.52</v>
      </c>
      <c r="E93" s="26" t="n">
        <v>2.51</v>
      </c>
      <c r="F93" s="27" t="n">
        <v>2.41</v>
      </c>
      <c r="G93" s="27" t="n">
        <v>2.62</v>
      </c>
      <c r="H93" s="28" t="n">
        <v>2.67</v>
      </c>
      <c r="J93" s="44" t="e">
        <f aca="false">((C89-C93)/($C96*$F$1))/(J85-J89)</f>
        <v>#DIV/0!</v>
      </c>
      <c r="K93" s="45" t="e">
        <f aca="false">((D89-D93)/($C96*$F$1))/(K85-K89)</f>
        <v>#DIV/0!</v>
      </c>
      <c r="L93" s="45" t="e">
        <f aca="false">((E89-E93)/($C96*$F$1))/(L85-L89)</f>
        <v>#DIV/0!</v>
      </c>
      <c r="M93" s="45" t="e">
        <f aca="false">((F89-F93)/($C96*$F$1))/(M85-M89)</f>
        <v>#DIV/0!</v>
      </c>
      <c r="N93" s="45" t="e">
        <f aca="false">((G89-G93)/($C96*$F$1))/(N85-N89)</f>
        <v>#DIV/0!</v>
      </c>
      <c r="O93" s="46" t="e">
        <f aca="false">((H89-H93)/($C96*$F$1))/(O85-O89)</f>
        <v>#DIV/0!</v>
      </c>
      <c r="Q93" s="47"/>
      <c r="R93" s="47"/>
      <c r="S93" s="47"/>
      <c r="T93" s="47"/>
      <c r="AK93" s="48" t="e">
        <f aca="false">AVERAGE(J93:L93)</f>
        <v>#DIV/0!</v>
      </c>
      <c r="AL93" s="48"/>
      <c r="AM93" s="48"/>
      <c r="AN93" s="48"/>
      <c r="AO93" s="48" t="e">
        <f aca="false">AVERAGE(M93:O93)</f>
        <v>#DIV/0!</v>
      </c>
      <c r="AP93" s="48"/>
      <c r="AQ93" s="48"/>
      <c r="AR93" s="48"/>
    </row>
    <row r="94" customFormat="false" ht="12.8" hidden="false" customHeight="false" outlineLevel="0" collapsed="false">
      <c r="A94" s="11"/>
    </row>
    <row r="95" customFormat="false" ht="12.8" hidden="false" customHeight="false" outlineLevel="0" collapsed="false">
      <c r="A95" s="11"/>
      <c r="C95" s="13" t="s">
        <v>16</v>
      </c>
      <c r="D95" s="13"/>
      <c r="E95" s="13"/>
      <c r="F95" s="13"/>
      <c r="G95" s="13"/>
      <c r="H95" s="13"/>
      <c r="J95" s="13" t="s">
        <v>17</v>
      </c>
      <c r="K95" s="13"/>
      <c r="L95" s="13"/>
      <c r="M95" s="13"/>
      <c r="N95" s="13"/>
      <c r="O95" s="13"/>
      <c r="Q95" s="13" t="s">
        <v>18</v>
      </c>
      <c r="R95" s="13"/>
      <c r="S95" s="13"/>
      <c r="T95" s="13"/>
    </row>
    <row r="96" customFormat="false" ht="12.8" hidden="false" customHeight="false" outlineLevel="0" collapsed="false">
      <c r="A96" s="11"/>
      <c r="C96" s="49"/>
      <c r="D96" s="49"/>
      <c r="E96" s="49"/>
      <c r="F96" s="49"/>
      <c r="G96" s="49"/>
      <c r="H96" s="49"/>
      <c r="I96" s="32"/>
      <c r="J96" s="50" t="n">
        <f aca="false">C96*(J84-J88)/(C88-C92)</f>
        <v>0</v>
      </c>
      <c r="K96" s="51" t="n">
        <f aca="false">C96*(K84-K88)/(D88-D92)</f>
        <v>-0</v>
      </c>
      <c r="L96" s="51" t="n">
        <f aca="false">$C96*(L84-L88)/(E88-E92)</f>
        <v>0</v>
      </c>
      <c r="M96" s="51" t="n">
        <f aca="false">$C96*(M84-M88)/(G88-G92)</f>
        <v>-0</v>
      </c>
      <c r="N96" s="51" t="n">
        <f aca="false">$C96*(N84-N88)/(H88-H92)</f>
        <v>0</v>
      </c>
      <c r="O96" s="52" t="n">
        <f aca="false">C96*(O84-O88)/(H88-H92)</f>
        <v>0</v>
      </c>
      <c r="Q96" s="21" t="e">
        <f aca="false">IF(V85&gt;0,CONCATENATE("less ",V85),CONCATENATE("more ",V85))</f>
        <v>#DIV/0!</v>
      </c>
      <c r="R96" s="21"/>
      <c r="S96" s="53" t="e">
        <f aca="false">IF(X85&gt;0,CONCATENATE("less ",X85),CONCATENATE("more ",X85))</f>
        <v>#DIV/0!</v>
      </c>
      <c r="T96" s="53"/>
    </row>
    <row r="97" customFormat="false" ht="12.8" hidden="false" customHeight="false" outlineLevel="0" collapsed="false">
      <c r="A97" s="11"/>
      <c r="C97" s="49"/>
      <c r="D97" s="49"/>
      <c r="E97" s="49"/>
      <c r="F97" s="49"/>
      <c r="G97" s="49"/>
      <c r="H97" s="49"/>
      <c r="I97" s="32"/>
      <c r="J97" s="50" t="n">
        <f aca="false">C96*(J85-J89)/(C89-C93)</f>
        <v>0</v>
      </c>
      <c r="K97" s="51" t="n">
        <f aca="false">C96*(K85-K89)/(D89-D93)</f>
        <v>0</v>
      </c>
      <c r="L97" s="51" t="n">
        <f aca="false">$C96*(L85-L89)/(E89-E93)</f>
        <v>0</v>
      </c>
      <c r="M97" s="51" t="n">
        <f aca="false">$C96*(M85-M89)/(G89-G93)</f>
        <v>0</v>
      </c>
      <c r="N97" s="51" t="n">
        <f aca="false">$C96*(N85-N89)/(H89-H93)</f>
        <v>0</v>
      </c>
      <c r="O97" s="52" t="n">
        <f aca="false">C96*(O85-O89)/(H89-H93)</f>
        <v>0</v>
      </c>
      <c r="Q97" s="53" t="e">
        <f aca="false">IF(V86&gt;0,CONCATENATE("less ",V86),CONCATENATE("more ",V86))</f>
        <v>#DIV/0!</v>
      </c>
      <c r="R97" s="53"/>
      <c r="S97" s="53" t="e">
        <f aca="false">IF(X86&gt;0,CONCATENATE("less ",X86),CONCATENATE("more ",X86))</f>
        <v>#DIV/0!</v>
      </c>
      <c r="T97" s="53"/>
    </row>
    <row r="98" customFormat="false" ht="30" hidden="false" customHeight="true" outlineLevel="0" collapsed="false">
      <c r="A98" s="54"/>
      <c r="C98" s="55"/>
      <c r="D98" s="55"/>
      <c r="E98" s="55"/>
      <c r="F98" s="55"/>
      <c r="G98" s="55"/>
      <c r="H98" s="55"/>
      <c r="I98" s="32"/>
      <c r="J98" s="56"/>
      <c r="K98" s="56"/>
      <c r="L98" s="56"/>
      <c r="M98" s="56"/>
      <c r="N98" s="56"/>
      <c r="O98" s="56"/>
      <c r="Q98" s="31"/>
      <c r="R98" s="31"/>
      <c r="S98" s="31"/>
      <c r="T98" s="31"/>
    </row>
    <row r="99" customFormat="false" ht="13.5" hidden="false" customHeight="true" outlineLevel="0" collapsed="false">
      <c r="A99" s="11" t="n">
        <v>8502</v>
      </c>
      <c r="C99" s="12" t="s">
        <v>5</v>
      </c>
      <c r="D99" s="12"/>
      <c r="E99" s="12"/>
      <c r="F99" s="12"/>
      <c r="G99" s="12"/>
      <c r="H99" s="12"/>
      <c r="J99" s="13" t="s">
        <v>6</v>
      </c>
      <c r="K99" s="13"/>
      <c r="L99" s="13"/>
      <c r="M99" s="13"/>
      <c r="N99" s="13"/>
      <c r="O99" s="13"/>
      <c r="Q99" s="13" t="s">
        <v>7</v>
      </c>
      <c r="R99" s="13"/>
      <c r="S99" s="13"/>
      <c r="T99" s="13"/>
      <c r="V99" s="2" t="n">
        <v>1</v>
      </c>
      <c r="W99" s="2" t="n">
        <v>2</v>
      </c>
      <c r="X99" s="2" t="n">
        <v>3</v>
      </c>
    </row>
    <row r="100" customFormat="false" ht="13.5" hidden="false" customHeight="true" outlineLevel="0" collapsed="false">
      <c r="A100" s="11"/>
      <c r="C100" s="15" t="s">
        <v>8</v>
      </c>
      <c r="D100" s="15"/>
      <c r="E100" s="15"/>
      <c r="F100" s="16" t="s">
        <v>8</v>
      </c>
      <c r="G100" s="16"/>
      <c r="H100" s="16"/>
      <c r="J100" s="17" t="n">
        <v>2.7</v>
      </c>
      <c r="K100" s="18" t="n">
        <v>3</v>
      </c>
      <c r="L100" s="18" t="n">
        <v>2.75</v>
      </c>
      <c r="M100" s="19" t="n">
        <v>2.75</v>
      </c>
      <c r="N100" s="19" t="n">
        <v>3</v>
      </c>
      <c r="O100" s="20" t="n">
        <v>2.7</v>
      </c>
      <c r="Q100" s="21" t="n">
        <f aca="false">MIN(J112:L112)/$M$1</f>
        <v>0</v>
      </c>
      <c r="R100" s="21"/>
      <c r="S100" s="21" t="n">
        <f aca="false">MIN(M112:O112)/$M$1</f>
        <v>0</v>
      </c>
      <c r="T100" s="21"/>
      <c r="V100" s="22" t="s">
        <v>9</v>
      </c>
      <c r="W100" s="22"/>
      <c r="X100" s="22"/>
    </row>
    <row r="101" customFormat="false" ht="13.5" hidden="false" customHeight="true" outlineLevel="0" collapsed="false">
      <c r="A101" s="11"/>
      <c r="C101" s="23" t="s">
        <v>19</v>
      </c>
      <c r="D101" s="23"/>
      <c r="E101" s="23"/>
      <c r="F101" s="24" t="s">
        <v>19</v>
      </c>
      <c r="G101" s="24"/>
      <c r="H101" s="24"/>
      <c r="J101" s="25" t="n">
        <v>2.7</v>
      </c>
      <c r="K101" s="26" t="n">
        <v>3</v>
      </c>
      <c r="L101" s="26" t="n">
        <v>2.7</v>
      </c>
      <c r="M101" s="27" t="n">
        <v>2.7</v>
      </c>
      <c r="N101" s="27" t="n">
        <v>3</v>
      </c>
      <c r="O101" s="28" t="n">
        <v>2.7</v>
      </c>
      <c r="Q101" s="29" t="n">
        <f aca="false">MIN(J113:L113)/$M$1</f>
        <v>0</v>
      </c>
      <c r="R101" s="29"/>
      <c r="S101" s="29" t="n">
        <f aca="false">MIN(M113:O113)/$M$1</f>
        <v>0</v>
      </c>
      <c r="T101" s="29"/>
      <c r="V101" s="30" t="e">
        <f aca="false">ROUNDUP(INDEX(LINEST(J108:L108,V99:X99,,1),1,1)*$Y$1,1)</f>
        <v>#DIV/0!</v>
      </c>
      <c r="W101" s="30"/>
      <c r="X101" s="31" t="e">
        <f aca="false">-ROUNDUP(INDEX(LINEST(M108:O108,V99:X99,,1),1,1)*$Y$1,1)</f>
        <v>#DIV/0!</v>
      </c>
    </row>
    <row r="102" customFormat="false" ht="13.5" hidden="false" customHeight="true" outlineLevel="0" collapsed="false">
      <c r="A102" s="11"/>
      <c r="J102" s="32"/>
      <c r="K102" s="32"/>
      <c r="L102" s="32"/>
      <c r="M102" s="32"/>
      <c r="N102" s="32"/>
      <c r="O102" s="32"/>
      <c r="V102" s="30" t="e">
        <f aca="false">ROUNDUP(INDEX(LINEST(J109:L109,V99:X99,,1),1,1)*$Y$1,1)</f>
        <v>#DIV/0!</v>
      </c>
      <c r="W102" s="30"/>
      <c r="X102" s="31" t="e">
        <f aca="false">-ROUNDUP(INDEX(LINEST(M109:O109,V99:X99,,1),1,1)*$Y$1,1)</f>
        <v>#DIV/0!</v>
      </c>
    </row>
    <row r="103" customFormat="false" ht="13.5" hidden="false" customHeight="true" outlineLevel="0" collapsed="false">
      <c r="A103" s="11"/>
      <c r="C103" s="13" t="s">
        <v>10</v>
      </c>
      <c r="D103" s="13"/>
      <c r="E103" s="13"/>
      <c r="F103" s="13"/>
      <c r="G103" s="13"/>
      <c r="H103" s="13"/>
      <c r="J103" s="33" t="s">
        <v>11</v>
      </c>
      <c r="K103" s="33"/>
      <c r="L103" s="33"/>
      <c r="M103" s="33"/>
      <c r="N103" s="33"/>
      <c r="O103" s="33"/>
      <c r="Q103" s="13" t="s">
        <v>12</v>
      </c>
      <c r="R103" s="13"/>
      <c r="S103" s="13"/>
      <c r="T103" s="13"/>
    </row>
    <row r="104" customFormat="false" ht="13.5" hidden="false" customHeight="true" outlineLevel="0" collapsed="false">
      <c r="A104" s="11"/>
      <c r="C104" s="17" t="n">
        <v>2.69</v>
      </c>
      <c r="D104" s="18" t="n">
        <v>2.7</v>
      </c>
      <c r="E104" s="18" t="n">
        <v>2.7</v>
      </c>
      <c r="F104" s="19" t="n">
        <v>2.7</v>
      </c>
      <c r="G104" s="19" t="n">
        <v>2.69</v>
      </c>
      <c r="H104" s="20" t="n">
        <v>2.75</v>
      </c>
      <c r="J104" s="34" t="n">
        <v>0.2</v>
      </c>
      <c r="K104" s="35" t="n">
        <v>0.2</v>
      </c>
      <c r="L104" s="35" t="n">
        <v>0.2</v>
      </c>
      <c r="M104" s="36" t="n">
        <v>0.2</v>
      </c>
      <c r="N104" s="36" t="n">
        <v>0.2</v>
      </c>
      <c r="O104" s="37" t="n">
        <v>0.2</v>
      </c>
      <c r="Q104" s="38" t="e">
        <f aca="false">SUM(J108:O108)/SUM(J108:O109)</f>
        <v>#DIV/0!</v>
      </c>
      <c r="R104" s="38"/>
      <c r="S104" s="38"/>
      <c r="T104" s="38"/>
    </row>
    <row r="105" customFormat="false" ht="13.5" hidden="false" customHeight="true" outlineLevel="0" collapsed="false">
      <c r="A105" s="11"/>
      <c r="C105" s="25" t="n">
        <v>2.62</v>
      </c>
      <c r="D105" s="26" t="n">
        <v>2.58</v>
      </c>
      <c r="E105" s="26" t="n">
        <v>2.69</v>
      </c>
      <c r="F105" s="27" t="n">
        <v>2.59</v>
      </c>
      <c r="G105" s="27" t="n">
        <v>2.63</v>
      </c>
      <c r="H105" s="28" t="n">
        <v>2.72</v>
      </c>
      <c r="J105" s="40" t="n">
        <v>0.2</v>
      </c>
      <c r="K105" s="41" t="n">
        <v>0.2</v>
      </c>
      <c r="L105" s="41" t="n">
        <v>0.2</v>
      </c>
      <c r="M105" s="42" t="n">
        <v>0.2</v>
      </c>
      <c r="N105" s="42" t="n">
        <v>0.2</v>
      </c>
      <c r="O105" s="43" t="n">
        <v>0.2</v>
      </c>
      <c r="Q105" s="38" t="e">
        <f aca="false">SUM(J109:O109)/SUM(J108:O109)</f>
        <v>#DIV/0!</v>
      </c>
      <c r="R105" s="38"/>
      <c r="S105" s="38"/>
      <c r="T105" s="38"/>
    </row>
    <row r="106" customFormat="false" ht="12.8" hidden="false" customHeight="false" outlineLevel="0" collapsed="false">
      <c r="A106" s="11"/>
      <c r="C106" s="32"/>
      <c r="D106" s="32"/>
      <c r="E106" s="32"/>
      <c r="F106" s="32"/>
      <c r="G106" s="32"/>
      <c r="H106" s="32"/>
    </row>
    <row r="107" customFormat="false" ht="12.8" hidden="false" customHeight="false" outlineLevel="0" collapsed="false">
      <c r="A107" s="11"/>
      <c r="C107" s="33" t="s">
        <v>13</v>
      </c>
      <c r="D107" s="33"/>
      <c r="E107" s="33"/>
      <c r="F107" s="33"/>
      <c r="G107" s="33"/>
      <c r="H107" s="33"/>
      <c r="J107" s="13" t="s">
        <v>14</v>
      </c>
      <c r="K107" s="13"/>
      <c r="L107" s="13"/>
      <c r="M107" s="13"/>
      <c r="N107" s="13"/>
      <c r="O107" s="13"/>
      <c r="Q107" s="13" t="s">
        <v>15</v>
      </c>
      <c r="R107" s="13"/>
      <c r="S107" s="13"/>
      <c r="T107" s="13"/>
      <c r="AK107" s="13" t="s">
        <v>14</v>
      </c>
      <c r="AL107" s="13"/>
      <c r="AM107" s="13"/>
      <c r="AN107" s="13"/>
      <c r="AO107" s="13"/>
      <c r="AP107" s="13"/>
      <c r="AQ107" s="13"/>
      <c r="AR107" s="13"/>
    </row>
    <row r="108" customFormat="false" ht="12.8" hidden="false" customHeight="false" outlineLevel="0" collapsed="false">
      <c r="A108" s="11"/>
      <c r="C108" s="17"/>
      <c r="D108" s="18"/>
      <c r="E108" s="18"/>
      <c r="F108" s="19"/>
      <c r="G108" s="19"/>
      <c r="H108" s="20"/>
      <c r="J108" s="44" t="e">
        <f aca="false">((C104-C108)/($C112*$F$1))/(J100-J104)</f>
        <v>#DIV/0!</v>
      </c>
      <c r="K108" s="45" t="e">
        <f aca="false">((D104-D108)/($C112*$F$1))/(K100-K104)</f>
        <v>#DIV/0!</v>
      </c>
      <c r="L108" s="45" t="e">
        <f aca="false">((E104-E108)/($C112*$F$1))/(L100-L104)</f>
        <v>#DIV/0!</v>
      </c>
      <c r="M108" s="45" t="e">
        <f aca="false">((F104-F108)/($C112*$F$1))/(M100-M104)</f>
        <v>#DIV/0!</v>
      </c>
      <c r="N108" s="45" t="e">
        <f aca="false">((G104-G108)/($C112*$F$1))/(N100-N104)</f>
        <v>#DIV/0!</v>
      </c>
      <c r="O108" s="46" t="e">
        <f aca="false">((H104-H108)/($C112*$F$1))/(O100-O104)</f>
        <v>#DIV/0!</v>
      </c>
      <c r="Q108" s="47" t="e">
        <f aca="false">SUM(J108:L109)/SUM(J108:O109)</f>
        <v>#DIV/0!</v>
      </c>
      <c r="R108" s="47"/>
      <c r="S108" s="47" t="e">
        <f aca="false">SUM(M108:O109)/SUM(J108:O109)</f>
        <v>#DIV/0!</v>
      </c>
      <c r="T108" s="47"/>
      <c r="AK108" s="48" t="e">
        <f aca="false">AVERAGE(J108:L108)</f>
        <v>#DIV/0!</v>
      </c>
      <c r="AL108" s="48"/>
      <c r="AM108" s="48"/>
      <c r="AN108" s="48"/>
      <c r="AO108" s="48" t="e">
        <f aca="false">AVERAGE(M108:O108)</f>
        <v>#DIV/0!</v>
      </c>
      <c r="AP108" s="48"/>
      <c r="AQ108" s="48"/>
      <c r="AR108" s="48"/>
    </row>
    <row r="109" customFormat="false" ht="12.8" hidden="false" customHeight="false" outlineLevel="0" collapsed="false">
      <c r="A109" s="11"/>
      <c r="C109" s="25"/>
      <c r="D109" s="26"/>
      <c r="E109" s="26"/>
      <c r="F109" s="27"/>
      <c r="G109" s="27"/>
      <c r="H109" s="28"/>
      <c r="J109" s="44" t="e">
        <f aca="false">((C105-C109)/($C112*$F$1))/(J101-J105)</f>
        <v>#DIV/0!</v>
      </c>
      <c r="K109" s="45" t="e">
        <f aca="false">((D105-D109)/($C112*$F$1))/(K101-K105)</f>
        <v>#DIV/0!</v>
      </c>
      <c r="L109" s="45" t="e">
        <f aca="false">((E105-E109)/($C112*$F$1))/(L101-L105)</f>
        <v>#DIV/0!</v>
      </c>
      <c r="M109" s="45" t="e">
        <f aca="false">((F105-F109)/($C112*$F$1))/(M101-M105)</f>
        <v>#DIV/0!</v>
      </c>
      <c r="N109" s="45" t="e">
        <f aca="false">((G105-G109)/($C112*$F$1))/(N101-N105)</f>
        <v>#DIV/0!</v>
      </c>
      <c r="O109" s="46" t="e">
        <f aca="false">((H105-H109)/($C112*$F$1))/(O101-O105)</f>
        <v>#DIV/0!</v>
      </c>
      <c r="Q109" s="47"/>
      <c r="R109" s="47"/>
      <c r="S109" s="47"/>
      <c r="T109" s="47"/>
      <c r="AK109" s="48" t="e">
        <f aca="false">AVERAGE(J109:L109)</f>
        <v>#DIV/0!</v>
      </c>
      <c r="AL109" s="48"/>
      <c r="AM109" s="48"/>
      <c r="AN109" s="48"/>
      <c r="AO109" s="48" t="e">
        <f aca="false">AVERAGE(M109:O109)</f>
        <v>#DIV/0!</v>
      </c>
      <c r="AP109" s="48"/>
      <c r="AQ109" s="48"/>
      <c r="AR109" s="48"/>
    </row>
    <row r="110" customFormat="false" ht="12.8" hidden="false" customHeight="false" outlineLevel="0" collapsed="false">
      <c r="A110" s="11"/>
    </row>
    <row r="111" customFormat="false" ht="12.8" hidden="false" customHeight="false" outlineLevel="0" collapsed="false">
      <c r="A111" s="11"/>
      <c r="C111" s="13" t="s">
        <v>16</v>
      </c>
      <c r="D111" s="13"/>
      <c r="E111" s="13"/>
      <c r="F111" s="13"/>
      <c r="G111" s="13"/>
      <c r="H111" s="13"/>
      <c r="J111" s="13" t="s">
        <v>17</v>
      </c>
      <c r="K111" s="13"/>
      <c r="L111" s="13"/>
      <c r="M111" s="13"/>
      <c r="N111" s="13"/>
      <c r="O111" s="13"/>
      <c r="Q111" s="13" t="s">
        <v>18</v>
      </c>
      <c r="R111" s="13"/>
      <c r="S111" s="13"/>
      <c r="T111" s="13"/>
    </row>
    <row r="112" customFormat="false" ht="12.8" hidden="false" customHeight="false" outlineLevel="0" collapsed="false">
      <c r="A112" s="11"/>
      <c r="C112" s="57"/>
      <c r="D112" s="57"/>
      <c r="E112" s="57"/>
      <c r="F112" s="57"/>
      <c r="G112" s="57"/>
      <c r="H112" s="57"/>
      <c r="I112" s="32"/>
      <c r="J112" s="50" t="n">
        <f aca="false">C112*(J100-J104)/(C104-C108)</f>
        <v>0</v>
      </c>
      <c r="K112" s="51" t="n">
        <f aca="false">C112*(K100-K104)/(D104-D108)</f>
        <v>0</v>
      </c>
      <c r="L112" s="51" t="n">
        <f aca="false">$C112*(L100-L104)/(E104-E108)</f>
        <v>0</v>
      </c>
      <c r="M112" s="51" t="n">
        <f aca="false">$C112*(M100-M104)/(G104-G108)</f>
        <v>0</v>
      </c>
      <c r="N112" s="51" t="n">
        <f aca="false">$C112*(N100-N104)/(H104-H108)</f>
        <v>0</v>
      </c>
      <c r="O112" s="52" t="n">
        <f aca="false">C112*(O100-O104)/(H104-H108)</f>
        <v>0</v>
      </c>
      <c r="Q112" s="21" t="e">
        <f aca="false">IF(V101&gt;0,CONCATENATE("less ",V101),CONCATENATE("more ",V101))</f>
        <v>#DIV/0!</v>
      </c>
      <c r="R112" s="21"/>
      <c r="S112" s="53" t="e">
        <f aca="false">IF(X101&gt;0,CONCATENATE("less ",X101),CONCATENATE("more ",X101))</f>
        <v>#DIV/0!</v>
      </c>
      <c r="T112" s="53"/>
    </row>
    <row r="113" customFormat="false" ht="12.8" hidden="false" customHeight="false" outlineLevel="0" collapsed="false">
      <c r="A113" s="11"/>
      <c r="C113" s="57"/>
      <c r="D113" s="57"/>
      <c r="E113" s="57"/>
      <c r="F113" s="57"/>
      <c r="G113" s="57"/>
      <c r="H113" s="57"/>
      <c r="I113" s="32"/>
      <c r="J113" s="50" t="n">
        <f aca="false">C112*(J101-J105)/(C105-C109)</f>
        <v>0</v>
      </c>
      <c r="K113" s="51" t="n">
        <f aca="false">C112*(K101-K105)/(D105-D109)</f>
        <v>0</v>
      </c>
      <c r="L113" s="51" t="n">
        <f aca="false">$C112*(L101-L105)/(E105-E109)</f>
        <v>0</v>
      </c>
      <c r="M113" s="51" t="n">
        <f aca="false">$C112*(M101-M105)/(G105-G109)</f>
        <v>0</v>
      </c>
      <c r="N113" s="51" t="n">
        <f aca="false">$C112*(N101-N105)/(H105-H109)</f>
        <v>0</v>
      </c>
      <c r="O113" s="52" t="n">
        <f aca="false">C112*(O101-O105)/(H105-H109)</f>
        <v>0</v>
      </c>
      <c r="Q113" s="53" t="e">
        <f aca="false">IF(V102&gt;0,CONCATENATE("less ",V102),CONCATENATE("more ",V102))</f>
        <v>#DIV/0!</v>
      </c>
      <c r="R113" s="53"/>
      <c r="S113" s="53" t="e">
        <f aca="false">IF(X102&gt;0,CONCATENATE("less ",X102),CONCATENATE("more ",X102))</f>
        <v>#DIV/0!</v>
      </c>
      <c r="T113" s="53"/>
    </row>
    <row r="114" customFormat="false" ht="30" hidden="false" customHeight="true" outlineLevel="0" collapsed="false">
      <c r="A114" s="54"/>
      <c r="C114" s="55"/>
      <c r="D114" s="55"/>
      <c r="E114" s="55"/>
      <c r="F114" s="55"/>
      <c r="G114" s="55"/>
      <c r="H114" s="55"/>
      <c r="I114" s="32"/>
      <c r="J114" s="56"/>
      <c r="K114" s="56"/>
      <c r="L114" s="56"/>
      <c r="M114" s="56"/>
      <c r="N114" s="56"/>
      <c r="O114" s="56"/>
      <c r="Q114" s="31"/>
      <c r="R114" s="31"/>
      <c r="S114" s="31"/>
      <c r="T114" s="31"/>
    </row>
    <row r="115" customFormat="false" ht="13.5" hidden="false" customHeight="true" outlineLevel="0" collapsed="false">
      <c r="A115" s="11" t="n">
        <v>8203</v>
      </c>
      <c r="C115" s="12" t="s">
        <v>5</v>
      </c>
      <c r="D115" s="12"/>
      <c r="E115" s="12"/>
      <c r="F115" s="12"/>
      <c r="G115" s="12"/>
      <c r="H115" s="12"/>
      <c r="J115" s="13" t="s">
        <v>6</v>
      </c>
      <c r="K115" s="13"/>
      <c r="L115" s="13"/>
      <c r="M115" s="13"/>
      <c r="N115" s="13"/>
      <c r="O115" s="13"/>
      <c r="Q115" s="13" t="s">
        <v>7</v>
      </c>
      <c r="R115" s="13"/>
      <c r="S115" s="13"/>
      <c r="T115" s="13"/>
      <c r="V115" s="2" t="n">
        <v>1</v>
      </c>
      <c r="W115" s="2" t="n">
        <v>2</v>
      </c>
      <c r="X115" s="2" t="n">
        <v>3</v>
      </c>
    </row>
    <row r="116" customFormat="false" ht="13.5" hidden="false" customHeight="true" outlineLevel="0" collapsed="false">
      <c r="A116" s="11"/>
      <c r="C116" s="15" t="s">
        <v>19</v>
      </c>
      <c r="D116" s="15"/>
      <c r="E116" s="15"/>
      <c r="F116" s="16" t="s">
        <v>19</v>
      </c>
      <c r="G116" s="16"/>
      <c r="H116" s="16"/>
      <c r="J116" s="17" t="n">
        <v>2.7</v>
      </c>
      <c r="K116" s="18" t="n">
        <v>3</v>
      </c>
      <c r="L116" s="18" t="n">
        <v>2.75</v>
      </c>
      <c r="M116" s="19" t="n">
        <v>2.75</v>
      </c>
      <c r="N116" s="19" t="n">
        <v>3</v>
      </c>
      <c r="O116" s="20" t="n">
        <v>2.7</v>
      </c>
      <c r="Q116" s="21" t="n">
        <f aca="false">MIN(J128:L128)/$M$1</f>
        <v>0</v>
      </c>
      <c r="R116" s="21"/>
      <c r="S116" s="21" t="n">
        <f aca="false">MIN(M128:O128)/$M$1</f>
        <v>0</v>
      </c>
      <c r="T116" s="21"/>
      <c r="V116" s="22" t="s">
        <v>9</v>
      </c>
      <c r="W116" s="22"/>
      <c r="X116" s="22"/>
    </row>
    <row r="117" customFormat="false" ht="13.5" hidden="false" customHeight="true" outlineLevel="0" collapsed="false">
      <c r="A117" s="11"/>
      <c r="C117" s="23" t="s">
        <v>19</v>
      </c>
      <c r="D117" s="23"/>
      <c r="E117" s="23"/>
      <c r="F117" s="24" t="s">
        <v>19</v>
      </c>
      <c r="G117" s="24"/>
      <c r="H117" s="24"/>
      <c r="J117" s="25" t="n">
        <v>2.7</v>
      </c>
      <c r="K117" s="26" t="n">
        <v>3</v>
      </c>
      <c r="L117" s="26" t="n">
        <v>2.7</v>
      </c>
      <c r="M117" s="27" t="n">
        <v>2.7</v>
      </c>
      <c r="N117" s="27" t="n">
        <v>3</v>
      </c>
      <c r="O117" s="28" t="n">
        <v>2.7</v>
      </c>
      <c r="Q117" s="29" t="n">
        <f aca="false">MIN(J129:L129)/$M$1</f>
        <v>0</v>
      </c>
      <c r="R117" s="29"/>
      <c r="S117" s="29" t="n">
        <f aca="false">MIN(M129:O129)/$M$1</f>
        <v>0</v>
      </c>
      <c r="T117" s="29"/>
      <c r="V117" s="30" t="e">
        <f aca="false">ROUNDUP(INDEX(LINEST(J124:L124,V115:X115,,1),1,1)*$Y$1,1)</f>
        <v>#DIV/0!</v>
      </c>
      <c r="W117" s="30"/>
      <c r="X117" s="31" t="e">
        <f aca="false">-ROUNDUP(INDEX(LINEST(M124:O124,V115:X115,,1),1,1)*$Y$1,1)</f>
        <v>#DIV/0!</v>
      </c>
    </row>
    <row r="118" customFormat="false" ht="13.5" hidden="false" customHeight="true" outlineLevel="0" collapsed="false">
      <c r="A118" s="11"/>
      <c r="J118" s="32"/>
      <c r="K118" s="32"/>
      <c r="L118" s="32"/>
      <c r="M118" s="32"/>
      <c r="N118" s="32"/>
      <c r="O118" s="32"/>
      <c r="V118" s="30" t="e">
        <f aca="false">ROUNDUP(INDEX(LINEST(J125:L125,V115:X115,,1),1,1)*$Y$1,1)</f>
        <v>#DIV/0!</v>
      </c>
      <c r="W118" s="30"/>
      <c r="X118" s="31" t="e">
        <f aca="false">-ROUNDUP(INDEX(LINEST(M125:O125,V115:X115,,1),1,1)*$Y$1,1)</f>
        <v>#DIV/0!</v>
      </c>
    </row>
    <row r="119" customFormat="false" ht="13.5" hidden="false" customHeight="true" outlineLevel="0" collapsed="false">
      <c r="A119" s="11"/>
      <c r="C119" s="13" t="s">
        <v>10</v>
      </c>
      <c r="D119" s="13"/>
      <c r="E119" s="13"/>
      <c r="F119" s="13"/>
      <c r="G119" s="13"/>
      <c r="H119" s="13"/>
      <c r="J119" s="33" t="s">
        <v>11</v>
      </c>
      <c r="K119" s="33"/>
      <c r="L119" s="33"/>
      <c r="M119" s="33"/>
      <c r="N119" s="33"/>
      <c r="O119" s="33"/>
      <c r="Q119" s="13" t="s">
        <v>12</v>
      </c>
      <c r="R119" s="13"/>
      <c r="S119" s="13"/>
      <c r="T119" s="13"/>
    </row>
    <row r="120" customFormat="false" ht="13.5" hidden="false" customHeight="true" outlineLevel="0" collapsed="false">
      <c r="A120" s="11"/>
      <c r="C120" s="17" t="n">
        <v>2.66</v>
      </c>
      <c r="D120" s="18" t="n">
        <v>2.61</v>
      </c>
      <c r="E120" s="18" t="n">
        <v>2.73</v>
      </c>
      <c r="F120" s="19" t="n">
        <v>2.71</v>
      </c>
      <c r="G120" s="19" t="n">
        <v>2.65</v>
      </c>
      <c r="H120" s="20" t="n">
        <v>2.6</v>
      </c>
      <c r="J120" s="34" t="n">
        <v>0.2</v>
      </c>
      <c r="K120" s="35" t="n">
        <v>0.2</v>
      </c>
      <c r="L120" s="35" t="n">
        <v>0.2</v>
      </c>
      <c r="M120" s="36" t="n">
        <v>0.2</v>
      </c>
      <c r="N120" s="36" t="n">
        <v>0.2</v>
      </c>
      <c r="O120" s="37" t="n">
        <v>0.2</v>
      </c>
      <c r="Q120" s="38" t="e">
        <f aca="false">SUM(J124:O124)/SUM(J124:O125)</f>
        <v>#DIV/0!</v>
      </c>
      <c r="R120" s="38"/>
      <c r="S120" s="38"/>
      <c r="T120" s="38"/>
    </row>
    <row r="121" customFormat="false" ht="13.5" hidden="false" customHeight="true" outlineLevel="0" collapsed="false">
      <c r="A121" s="11"/>
      <c r="C121" s="25" t="n">
        <v>2.67</v>
      </c>
      <c r="D121" s="26" t="n">
        <v>2.65</v>
      </c>
      <c r="E121" s="26" t="n">
        <v>2.65</v>
      </c>
      <c r="F121" s="27" t="n">
        <v>2.67</v>
      </c>
      <c r="G121" s="27" t="n">
        <v>2.63</v>
      </c>
      <c r="H121" s="28" t="n">
        <v>2.57</v>
      </c>
      <c r="J121" s="40" t="n">
        <v>0.2</v>
      </c>
      <c r="K121" s="41" t="n">
        <v>0.2</v>
      </c>
      <c r="L121" s="41" t="n">
        <v>0.2</v>
      </c>
      <c r="M121" s="42" t="n">
        <v>0.2</v>
      </c>
      <c r="N121" s="42" t="n">
        <v>0.2</v>
      </c>
      <c r="O121" s="43" t="n">
        <v>0.2</v>
      </c>
      <c r="Q121" s="38" t="e">
        <f aca="false">SUM(J125:O125)/SUM(J124:O125)</f>
        <v>#DIV/0!</v>
      </c>
      <c r="R121" s="38"/>
      <c r="S121" s="38"/>
      <c r="T121" s="38"/>
    </row>
    <row r="122" customFormat="false" ht="12.8" hidden="false" customHeight="false" outlineLevel="0" collapsed="false">
      <c r="A122" s="11"/>
      <c r="C122" s="32"/>
      <c r="D122" s="32"/>
      <c r="E122" s="32"/>
      <c r="F122" s="32"/>
      <c r="G122" s="32"/>
      <c r="H122" s="32"/>
    </row>
    <row r="123" customFormat="false" ht="12.8" hidden="false" customHeight="false" outlineLevel="0" collapsed="false">
      <c r="A123" s="11"/>
      <c r="C123" s="33" t="s">
        <v>13</v>
      </c>
      <c r="D123" s="33"/>
      <c r="E123" s="33"/>
      <c r="F123" s="33"/>
      <c r="G123" s="33"/>
      <c r="H123" s="33"/>
      <c r="J123" s="13" t="s">
        <v>14</v>
      </c>
      <c r="K123" s="13"/>
      <c r="L123" s="13"/>
      <c r="M123" s="13"/>
      <c r="N123" s="13"/>
      <c r="O123" s="13"/>
      <c r="Q123" s="13" t="s">
        <v>15</v>
      </c>
      <c r="R123" s="13"/>
      <c r="S123" s="13"/>
      <c r="T123" s="13"/>
      <c r="AK123" s="13" t="s">
        <v>14</v>
      </c>
      <c r="AL123" s="13"/>
      <c r="AM123" s="13"/>
      <c r="AN123" s="13"/>
      <c r="AO123" s="13"/>
      <c r="AP123" s="13"/>
      <c r="AQ123" s="13"/>
      <c r="AR123" s="13"/>
    </row>
    <row r="124" customFormat="false" ht="12.8" hidden="false" customHeight="false" outlineLevel="0" collapsed="false">
      <c r="A124" s="11"/>
      <c r="C124" s="17"/>
      <c r="D124" s="18"/>
      <c r="E124" s="18"/>
      <c r="F124" s="19"/>
      <c r="G124" s="19"/>
      <c r="H124" s="20"/>
      <c r="J124" s="44" t="e">
        <f aca="false">((C120-C124)/($C128*$F$1))/(J116-J120)</f>
        <v>#DIV/0!</v>
      </c>
      <c r="K124" s="45" t="e">
        <f aca="false">((D120-D124)/($C128*$F$1))/(K116-K120)</f>
        <v>#DIV/0!</v>
      </c>
      <c r="L124" s="45" t="e">
        <f aca="false">((E120-E124)/($C128*$F$1))/(L116-L120)</f>
        <v>#DIV/0!</v>
      </c>
      <c r="M124" s="45" t="e">
        <f aca="false">((F120-F124)/($C128*$F$1))/(M116-M120)</f>
        <v>#DIV/0!</v>
      </c>
      <c r="N124" s="45" t="e">
        <f aca="false">((G120-G124)/($C128*$F$1))/(N116-N120)</f>
        <v>#DIV/0!</v>
      </c>
      <c r="O124" s="46" t="e">
        <f aca="false">((H120-H124)/($C128*$F$1))/(O116-O120)</f>
        <v>#DIV/0!</v>
      </c>
      <c r="Q124" s="47" t="e">
        <f aca="false">SUM(J124:L125)/SUM(J124:O125)</f>
        <v>#DIV/0!</v>
      </c>
      <c r="R124" s="47"/>
      <c r="S124" s="47" t="e">
        <f aca="false">SUM(M124:O125)/SUM(J124:O125)</f>
        <v>#DIV/0!</v>
      </c>
      <c r="T124" s="47"/>
      <c r="AK124" s="48" t="e">
        <f aca="false">AVERAGE(J124:L124)</f>
        <v>#DIV/0!</v>
      </c>
      <c r="AL124" s="48"/>
      <c r="AM124" s="48"/>
      <c r="AN124" s="48"/>
      <c r="AO124" s="48" t="e">
        <f aca="false">AVERAGE(M124:O124)</f>
        <v>#DIV/0!</v>
      </c>
      <c r="AP124" s="48"/>
      <c r="AQ124" s="48"/>
      <c r="AR124" s="48"/>
    </row>
    <row r="125" customFormat="false" ht="12.8" hidden="false" customHeight="false" outlineLevel="0" collapsed="false">
      <c r="A125" s="11"/>
      <c r="C125" s="25"/>
      <c r="D125" s="26"/>
      <c r="E125" s="26"/>
      <c r="F125" s="27"/>
      <c r="G125" s="27"/>
      <c r="H125" s="28"/>
      <c r="J125" s="44" t="e">
        <f aca="false">((C121-C125)/($C128*$F$1))/(J117-J121)</f>
        <v>#DIV/0!</v>
      </c>
      <c r="K125" s="45" t="e">
        <f aca="false">((D121-D125)/($C128*$F$1))/(K117-K121)</f>
        <v>#DIV/0!</v>
      </c>
      <c r="L125" s="45" t="e">
        <f aca="false">((E121-E125)/($C128*$F$1))/(L117-L121)</f>
        <v>#DIV/0!</v>
      </c>
      <c r="M125" s="45" t="e">
        <f aca="false">((F121-F125)/($C128*$F$1))/(M117-M121)</f>
        <v>#DIV/0!</v>
      </c>
      <c r="N125" s="45" t="e">
        <f aca="false">((G121-G125)/($C128*$F$1))/(N117-N121)</f>
        <v>#DIV/0!</v>
      </c>
      <c r="O125" s="46" t="e">
        <f aca="false">((H121-H125)/($C128*$F$1))/(O117-O121)</f>
        <v>#DIV/0!</v>
      </c>
      <c r="Q125" s="47"/>
      <c r="R125" s="47"/>
      <c r="S125" s="47"/>
      <c r="T125" s="47"/>
      <c r="AK125" s="48" t="e">
        <f aca="false">AVERAGE(J125:L125)</f>
        <v>#DIV/0!</v>
      </c>
      <c r="AL125" s="48"/>
      <c r="AM125" s="48"/>
      <c r="AN125" s="48"/>
      <c r="AO125" s="48" t="e">
        <f aca="false">AVERAGE(M125:O125)</f>
        <v>#DIV/0!</v>
      </c>
      <c r="AP125" s="48"/>
      <c r="AQ125" s="48"/>
      <c r="AR125" s="48"/>
    </row>
    <row r="126" customFormat="false" ht="12.8" hidden="false" customHeight="false" outlineLevel="0" collapsed="false">
      <c r="A126" s="11"/>
    </row>
    <row r="127" customFormat="false" ht="12.8" hidden="false" customHeight="false" outlineLevel="0" collapsed="false">
      <c r="A127" s="11"/>
      <c r="C127" s="13" t="s">
        <v>16</v>
      </c>
      <c r="D127" s="13"/>
      <c r="E127" s="13"/>
      <c r="F127" s="13"/>
      <c r="G127" s="13"/>
      <c r="H127" s="13"/>
      <c r="J127" s="13" t="s">
        <v>17</v>
      </c>
      <c r="K127" s="13"/>
      <c r="L127" s="13"/>
      <c r="M127" s="13"/>
      <c r="N127" s="13"/>
      <c r="O127" s="13"/>
      <c r="Q127" s="13" t="s">
        <v>18</v>
      </c>
      <c r="R127" s="13"/>
      <c r="S127" s="13"/>
      <c r="T127" s="13"/>
    </row>
    <row r="128" customFormat="false" ht="12.8" hidden="false" customHeight="false" outlineLevel="0" collapsed="false">
      <c r="A128" s="11"/>
      <c r="C128" s="57"/>
      <c r="D128" s="57"/>
      <c r="E128" s="57"/>
      <c r="F128" s="57"/>
      <c r="G128" s="57"/>
      <c r="H128" s="57"/>
      <c r="I128" s="32"/>
      <c r="J128" s="50" t="n">
        <f aca="false">C128*(J116-J120)/(C120-C124)</f>
        <v>0</v>
      </c>
      <c r="K128" s="51" t="n">
        <f aca="false">C128*(K116-K120)/(D120-D124)</f>
        <v>0</v>
      </c>
      <c r="L128" s="51" t="n">
        <f aca="false">$C128*(L116-L120)/(E120-E124)</f>
        <v>0</v>
      </c>
      <c r="M128" s="51" t="n">
        <f aca="false">$C128*(M116-M120)/(G120-G124)</f>
        <v>0</v>
      </c>
      <c r="N128" s="51" t="n">
        <f aca="false">$C128*(N116-N120)/(H120-H124)</f>
        <v>0</v>
      </c>
      <c r="O128" s="52" t="n">
        <f aca="false">C128*(O116-O120)/(H120-H124)</f>
        <v>0</v>
      </c>
      <c r="Q128" s="21" t="e">
        <f aca="false">IF(V117&gt;0,CONCATENATE("less ",V117),CONCATENATE("more ",V117))</f>
        <v>#DIV/0!</v>
      </c>
      <c r="R128" s="21"/>
      <c r="S128" s="53" t="e">
        <f aca="false">IF(X117&gt;0,CONCATENATE("less ",X117),CONCATENATE("more ",X117))</f>
        <v>#DIV/0!</v>
      </c>
      <c r="T128" s="53"/>
    </row>
    <row r="129" customFormat="false" ht="12.8" hidden="false" customHeight="false" outlineLevel="0" collapsed="false">
      <c r="A129" s="11"/>
      <c r="C129" s="57"/>
      <c r="D129" s="57"/>
      <c r="E129" s="57"/>
      <c r="F129" s="57"/>
      <c r="G129" s="57"/>
      <c r="H129" s="57"/>
      <c r="I129" s="32"/>
      <c r="J129" s="50" t="n">
        <f aca="false">C128*(J117-J121)/(C121-C125)</f>
        <v>0</v>
      </c>
      <c r="K129" s="51" t="n">
        <f aca="false">C128*(K117-K121)/(D121-D125)</f>
        <v>0</v>
      </c>
      <c r="L129" s="51" t="n">
        <f aca="false">$C128*(L117-L121)/(E121-E125)</f>
        <v>0</v>
      </c>
      <c r="M129" s="51" t="n">
        <f aca="false">$C128*(M117-M121)/(G121-G125)</f>
        <v>0</v>
      </c>
      <c r="N129" s="51" t="n">
        <f aca="false">$C128*(N117-N121)/(H121-H125)</f>
        <v>0</v>
      </c>
      <c r="O129" s="52" t="n">
        <f aca="false">C128*(O117-O121)/(H121-H125)</f>
        <v>0</v>
      </c>
      <c r="Q129" s="53" t="e">
        <f aca="false">IF(V118&gt;0,CONCATENATE("less ",V118),CONCATENATE("more ",V118))</f>
        <v>#DIV/0!</v>
      </c>
      <c r="R129" s="53"/>
      <c r="S129" s="53" t="e">
        <f aca="false">IF(X118&gt;0,CONCATENATE("less ",X118),CONCATENATE("more ",X118))</f>
        <v>#DIV/0!</v>
      </c>
      <c r="T129" s="53"/>
    </row>
    <row r="130" customFormat="false" ht="30" hidden="false" customHeight="true" outlineLevel="0" collapsed="false">
      <c r="A130" s="54"/>
      <c r="C130" s="55"/>
      <c r="D130" s="55"/>
      <c r="E130" s="55"/>
      <c r="F130" s="55"/>
      <c r="G130" s="55"/>
      <c r="H130" s="55"/>
      <c r="I130" s="32"/>
      <c r="J130" s="56"/>
      <c r="K130" s="56"/>
      <c r="L130" s="56"/>
      <c r="M130" s="56"/>
      <c r="N130" s="56"/>
      <c r="O130" s="56"/>
      <c r="Q130" s="31"/>
      <c r="R130" s="31"/>
      <c r="S130" s="31"/>
      <c r="T130" s="31"/>
    </row>
    <row r="131" customFormat="false" ht="13.5" hidden="false" customHeight="true" outlineLevel="0" collapsed="false">
      <c r="A131" s="11" t="n">
        <v>8204</v>
      </c>
      <c r="C131" s="13" t="s">
        <v>5</v>
      </c>
      <c r="D131" s="13"/>
      <c r="E131" s="13"/>
      <c r="F131" s="13"/>
      <c r="G131" s="13"/>
      <c r="H131" s="13"/>
      <c r="J131" s="13" t="s">
        <v>6</v>
      </c>
      <c r="K131" s="13"/>
      <c r="L131" s="13"/>
      <c r="M131" s="13"/>
      <c r="N131" s="13"/>
      <c r="O131" s="13"/>
      <c r="Q131" s="13" t="s">
        <v>7</v>
      </c>
      <c r="R131" s="13"/>
      <c r="S131" s="13"/>
      <c r="T131" s="13"/>
      <c r="V131" s="2" t="n">
        <v>1</v>
      </c>
      <c r="W131" s="2" t="n">
        <v>2</v>
      </c>
      <c r="X131" s="2" t="n">
        <v>3</v>
      </c>
    </row>
    <row r="132" customFormat="false" ht="13.5" hidden="false" customHeight="true" outlineLevel="0" collapsed="false">
      <c r="A132" s="11"/>
      <c r="C132" s="15" t="s">
        <v>19</v>
      </c>
      <c r="D132" s="15"/>
      <c r="E132" s="15"/>
      <c r="F132" s="16" t="s">
        <v>19</v>
      </c>
      <c r="G132" s="16"/>
      <c r="H132" s="16"/>
      <c r="J132" s="17" t="n">
        <v>2.7</v>
      </c>
      <c r="K132" s="18" t="n">
        <v>3</v>
      </c>
      <c r="L132" s="18" t="n">
        <v>2.75</v>
      </c>
      <c r="M132" s="19" t="n">
        <v>2.75</v>
      </c>
      <c r="N132" s="19" t="n">
        <v>3</v>
      </c>
      <c r="O132" s="20" t="n">
        <v>2.7</v>
      </c>
      <c r="Q132" s="53" t="n">
        <f aca="false">MIN(J144:L144)/$M$1</f>
        <v>0</v>
      </c>
      <c r="R132" s="53"/>
      <c r="S132" s="29" t="n">
        <f aca="false">MIN(M144:O144)/$M$1</f>
        <v>0</v>
      </c>
      <c r="T132" s="29"/>
      <c r="V132" s="22" t="s">
        <v>9</v>
      </c>
      <c r="W132" s="22"/>
      <c r="X132" s="22"/>
    </row>
    <row r="133" customFormat="false" ht="13.5" hidden="false" customHeight="true" outlineLevel="0" collapsed="false">
      <c r="A133" s="11"/>
      <c r="C133" s="23" t="s">
        <v>19</v>
      </c>
      <c r="D133" s="23"/>
      <c r="E133" s="23"/>
      <c r="F133" s="24" t="s">
        <v>19</v>
      </c>
      <c r="G133" s="24"/>
      <c r="H133" s="24"/>
      <c r="J133" s="25" t="n">
        <v>2.7</v>
      </c>
      <c r="K133" s="26" t="n">
        <v>3</v>
      </c>
      <c r="L133" s="26" t="n">
        <v>2.7</v>
      </c>
      <c r="M133" s="27" t="n">
        <v>2.7</v>
      </c>
      <c r="N133" s="27" t="n">
        <v>3</v>
      </c>
      <c r="O133" s="28" t="n">
        <v>2.7</v>
      </c>
      <c r="Q133" s="53" t="n">
        <f aca="false">MIN(J145:L145)/$M$1</f>
        <v>0</v>
      </c>
      <c r="R133" s="53"/>
      <c r="S133" s="29" t="n">
        <f aca="false">MIN(M145:O145)/$M$1</f>
        <v>0</v>
      </c>
      <c r="T133" s="29"/>
      <c r="V133" s="30" t="e">
        <f aca="false">ROUNDUP(INDEX(LINEST(J140:L140,V131:X131,,1),1,1)*$Y$1,1)</f>
        <v>#DIV/0!</v>
      </c>
      <c r="W133" s="30"/>
      <c r="X133" s="31" t="e">
        <f aca="false">-ROUNDUP(INDEX(LINEST(M140:O140,V131:X131,,1),1,1)*$Y$1,1)</f>
        <v>#DIV/0!</v>
      </c>
    </row>
    <row r="134" customFormat="false" ht="13.5" hidden="false" customHeight="true" outlineLevel="0" collapsed="false">
      <c r="A134" s="11"/>
      <c r="J134" s="32"/>
      <c r="K134" s="32"/>
      <c r="L134" s="32"/>
      <c r="M134" s="32"/>
      <c r="N134" s="32"/>
      <c r="O134" s="32"/>
      <c r="V134" s="30" t="e">
        <f aca="false">ROUNDUP(INDEX(LINEST(J141:L141,V131:X131,,1),1,1)*$Y$1,1)</f>
        <v>#DIV/0!</v>
      </c>
      <c r="W134" s="30"/>
      <c r="X134" s="31" t="e">
        <f aca="false">-ROUNDUP(INDEX(LINEST(M141:O141,V131:X131,,1),1,1)*$Y$1,1)</f>
        <v>#DIV/0!</v>
      </c>
    </row>
    <row r="135" customFormat="false" ht="13.5" hidden="false" customHeight="true" outlineLevel="0" collapsed="false">
      <c r="A135" s="11"/>
      <c r="C135" s="13" t="s">
        <v>10</v>
      </c>
      <c r="D135" s="13"/>
      <c r="E135" s="13"/>
      <c r="F135" s="13"/>
      <c r="G135" s="13"/>
      <c r="H135" s="13"/>
      <c r="J135" s="33" t="s">
        <v>11</v>
      </c>
      <c r="K135" s="33"/>
      <c r="L135" s="33"/>
      <c r="M135" s="33"/>
      <c r="N135" s="33"/>
      <c r="O135" s="33"/>
      <c r="Q135" s="13" t="s">
        <v>12</v>
      </c>
      <c r="R135" s="13"/>
      <c r="S135" s="13"/>
      <c r="T135" s="13"/>
    </row>
    <row r="136" customFormat="false" ht="13.5" hidden="false" customHeight="true" outlineLevel="0" collapsed="false">
      <c r="A136" s="11"/>
      <c r="C136" s="17" t="n">
        <v>2.66</v>
      </c>
      <c r="D136" s="18" t="n">
        <v>2.71</v>
      </c>
      <c r="E136" s="18" t="n">
        <v>2.7</v>
      </c>
      <c r="F136" s="19" t="n">
        <v>2.7</v>
      </c>
      <c r="G136" s="19" t="n">
        <v>2.64</v>
      </c>
      <c r="H136" s="20" t="n">
        <v>2.66</v>
      </c>
      <c r="J136" s="34" t="n">
        <v>0.2</v>
      </c>
      <c r="K136" s="35" t="n">
        <v>0.2</v>
      </c>
      <c r="L136" s="35" t="n">
        <v>0.2</v>
      </c>
      <c r="M136" s="36" t="n">
        <v>0.2</v>
      </c>
      <c r="N136" s="36" t="n">
        <v>0.2</v>
      </c>
      <c r="O136" s="37" t="n">
        <v>0.2</v>
      </c>
      <c r="Q136" s="38" t="e">
        <f aca="false">SUM(J140:O140)/SUM(J140:O141)</f>
        <v>#DIV/0!</v>
      </c>
      <c r="R136" s="38"/>
      <c r="S136" s="38"/>
      <c r="T136" s="38"/>
    </row>
    <row r="137" customFormat="false" ht="13.5" hidden="false" customHeight="true" outlineLevel="0" collapsed="false">
      <c r="A137" s="11"/>
      <c r="C137" s="25" t="n">
        <v>2.65</v>
      </c>
      <c r="D137" s="26" t="n">
        <v>2.65</v>
      </c>
      <c r="E137" s="26" t="n">
        <v>2.61</v>
      </c>
      <c r="F137" s="27" t="n">
        <v>2.57</v>
      </c>
      <c r="G137" s="27" t="n">
        <v>2.62</v>
      </c>
      <c r="H137" s="28" t="n">
        <v>2.63</v>
      </c>
      <c r="J137" s="40" t="n">
        <v>0.2</v>
      </c>
      <c r="K137" s="41" t="n">
        <v>0.2</v>
      </c>
      <c r="L137" s="41" t="n">
        <v>0.2</v>
      </c>
      <c r="M137" s="42" t="n">
        <v>0.2</v>
      </c>
      <c r="N137" s="42" t="n">
        <v>0.2</v>
      </c>
      <c r="O137" s="43" t="n">
        <v>0.2</v>
      </c>
      <c r="Q137" s="38" t="e">
        <f aca="false">SUM(J141:O141)/SUM(J140:O141)</f>
        <v>#DIV/0!</v>
      </c>
      <c r="R137" s="38"/>
      <c r="S137" s="38"/>
      <c r="T137" s="38"/>
    </row>
    <row r="138" customFormat="false" ht="12.8" hidden="false" customHeight="false" outlineLevel="0" collapsed="false">
      <c r="A138" s="11"/>
      <c r="C138" s="32"/>
      <c r="D138" s="32"/>
      <c r="E138" s="32"/>
      <c r="F138" s="32"/>
      <c r="G138" s="32"/>
      <c r="H138" s="32"/>
    </row>
    <row r="139" customFormat="false" ht="12.8" hidden="false" customHeight="false" outlineLevel="0" collapsed="false">
      <c r="A139" s="11"/>
      <c r="C139" s="33" t="s">
        <v>13</v>
      </c>
      <c r="D139" s="33"/>
      <c r="E139" s="33"/>
      <c r="F139" s="33"/>
      <c r="G139" s="33"/>
      <c r="H139" s="33"/>
      <c r="J139" s="13" t="s">
        <v>14</v>
      </c>
      <c r="K139" s="13"/>
      <c r="L139" s="13"/>
      <c r="M139" s="13"/>
      <c r="N139" s="13"/>
      <c r="O139" s="13"/>
      <c r="Q139" s="13" t="s">
        <v>15</v>
      </c>
      <c r="R139" s="13"/>
      <c r="S139" s="13"/>
      <c r="T139" s="13"/>
      <c r="AK139" s="13" t="s">
        <v>14</v>
      </c>
      <c r="AL139" s="13"/>
      <c r="AM139" s="13"/>
      <c r="AN139" s="13"/>
      <c r="AO139" s="13"/>
      <c r="AP139" s="13"/>
      <c r="AQ139" s="13"/>
      <c r="AR139" s="13"/>
    </row>
    <row r="140" customFormat="false" ht="12.8" hidden="false" customHeight="false" outlineLevel="0" collapsed="false">
      <c r="A140" s="11"/>
      <c r="C140" s="34"/>
      <c r="D140" s="35"/>
      <c r="E140" s="35"/>
      <c r="F140" s="36"/>
      <c r="G140" s="36"/>
      <c r="H140" s="37"/>
      <c r="J140" s="44" t="e">
        <f aca="false">((C136-C140)/($C144*$F$1))/(J132-J136)</f>
        <v>#DIV/0!</v>
      </c>
      <c r="K140" s="45" t="e">
        <f aca="false">((D136-D140)/($C144*$F$1))/(K132-K136)</f>
        <v>#DIV/0!</v>
      </c>
      <c r="L140" s="45" t="e">
        <f aca="false">((E136-E140)/($C144*$F$1))/(L132-L136)</f>
        <v>#DIV/0!</v>
      </c>
      <c r="M140" s="45" t="e">
        <f aca="false">((F136-F140)/($C144*$F$1))/(M132-M136)</f>
        <v>#DIV/0!</v>
      </c>
      <c r="N140" s="45" t="e">
        <f aca="false">((G136-G140)/($C144*$F$1))/(N132-N136)</f>
        <v>#DIV/0!</v>
      </c>
      <c r="O140" s="46" t="e">
        <f aca="false">((H136-H140)/($C144*$F$1))/(O132-O136)</f>
        <v>#DIV/0!</v>
      </c>
      <c r="Q140" s="47" t="e">
        <f aca="false">SUM(J140:L141)/SUM(J140:O141)</f>
        <v>#DIV/0!</v>
      </c>
      <c r="R140" s="47"/>
      <c r="S140" s="47" t="e">
        <f aca="false">SUM(M140:O141)/SUM(J140:O141)</f>
        <v>#DIV/0!</v>
      </c>
      <c r="T140" s="47"/>
      <c r="AK140" s="48" t="e">
        <f aca="false">AVERAGE(J140:L140)</f>
        <v>#DIV/0!</v>
      </c>
      <c r="AL140" s="48"/>
      <c r="AM140" s="48"/>
      <c r="AN140" s="48"/>
      <c r="AO140" s="48" t="e">
        <f aca="false">AVERAGE(M140:O140)</f>
        <v>#DIV/0!</v>
      </c>
      <c r="AP140" s="48"/>
      <c r="AQ140" s="48"/>
      <c r="AR140" s="48"/>
    </row>
    <row r="141" customFormat="false" ht="12.8" hidden="false" customHeight="false" outlineLevel="0" collapsed="false">
      <c r="A141" s="11"/>
      <c r="C141" s="58"/>
      <c r="D141" s="59"/>
      <c r="E141" s="59"/>
      <c r="F141" s="42"/>
      <c r="G141" s="42"/>
      <c r="H141" s="43"/>
      <c r="I141" s="39"/>
      <c r="J141" s="44" t="e">
        <f aca="false">((C137-C141)/($C144*$F$1))/(J133-J137)</f>
        <v>#DIV/0!</v>
      </c>
      <c r="K141" s="45" t="e">
        <f aca="false">((D137-D141)/($C144*$F$1))/(K133-K137)</f>
        <v>#DIV/0!</v>
      </c>
      <c r="L141" s="45" t="e">
        <f aca="false">((E137-E141)/($C144*$F$1))/(L133-L137)</f>
        <v>#DIV/0!</v>
      </c>
      <c r="M141" s="45" t="e">
        <f aca="false">((F137-F141)/($C144*$F$1))/(M133-M137)</f>
        <v>#DIV/0!</v>
      </c>
      <c r="N141" s="45" t="e">
        <f aca="false">((G137-G141)/($C144*$F$1))/(N133-N137)</f>
        <v>#DIV/0!</v>
      </c>
      <c r="O141" s="46" t="e">
        <f aca="false">((H137-H141)/($C144*$F$1))/(O133-O137)</f>
        <v>#DIV/0!</v>
      </c>
      <c r="Q141" s="47"/>
      <c r="R141" s="47"/>
      <c r="S141" s="47"/>
      <c r="T141" s="47"/>
      <c r="AK141" s="48" t="e">
        <f aca="false">AVERAGE(J141:L141)</f>
        <v>#DIV/0!</v>
      </c>
      <c r="AL141" s="48"/>
      <c r="AM141" s="48"/>
      <c r="AN141" s="48"/>
      <c r="AO141" s="48" t="e">
        <f aca="false">AVERAGE(M141:O141)</f>
        <v>#DIV/0!</v>
      </c>
      <c r="AP141" s="48"/>
      <c r="AQ141" s="48"/>
      <c r="AR141" s="48"/>
    </row>
    <row r="142" customFormat="false" ht="12.8" hidden="false" customHeight="false" outlineLevel="0" collapsed="false">
      <c r="A142" s="11"/>
    </row>
    <row r="143" customFormat="false" ht="12.8" hidden="false" customHeight="false" outlineLevel="0" collapsed="false">
      <c r="A143" s="11"/>
      <c r="C143" s="13" t="s">
        <v>16</v>
      </c>
      <c r="D143" s="13"/>
      <c r="E143" s="13"/>
      <c r="F143" s="13"/>
      <c r="G143" s="13"/>
      <c r="H143" s="13"/>
      <c r="J143" s="13" t="s">
        <v>17</v>
      </c>
      <c r="K143" s="13"/>
      <c r="L143" s="13"/>
      <c r="M143" s="13"/>
      <c r="N143" s="13"/>
      <c r="O143" s="13"/>
      <c r="Q143" s="13" t="s">
        <v>18</v>
      </c>
      <c r="R143" s="13"/>
      <c r="S143" s="13"/>
      <c r="T143" s="13"/>
    </row>
    <row r="144" customFormat="false" ht="12.8" hidden="false" customHeight="false" outlineLevel="0" collapsed="false">
      <c r="A144" s="11"/>
      <c r="C144" s="57"/>
      <c r="D144" s="57"/>
      <c r="E144" s="57"/>
      <c r="F144" s="57"/>
      <c r="G144" s="57"/>
      <c r="H144" s="57"/>
      <c r="I144" s="32"/>
      <c r="J144" s="50" t="n">
        <f aca="false">C144*(J132-J136)/(C136-C140)</f>
        <v>0</v>
      </c>
      <c r="K144" s="51" t="n">
        <f aca="false">C144*(K132-K136)/(D136-D140)</f>
        <v>0</v>
      </c>
      <c r="L144" s="51" t="n">
        <f aca="false">$C144*(L132-L136)/(E136-E140)</f>
        <v>0</v>
      </c>
      <c r="M144" s="51" t="n">
        <f aca="false">$C144*(M132-M136)/(G136-G140)</f>
        <v>0</v>
      </c>
      <c r="N144" s="51" t="n">
        <f aca="false">$C144*(N132-N136)/(H136-H140)</f>
        <v>0</v>
      </c>
      <c r="O144" s="52" t="n">
        <f aca="false">C144*(O132-O136)/(H136-H140)</f>
        <v>0</v>
      </c>
      <c r="Q144" s="21" t="e">
        <f aca="false">IF(V133&gt;0,CONCATENATE("less ",V133),CONCATENATE("more ",V133))</f>
        <v>#DIV/0!</v>
      </c>
      <c r="R144" s="21"/>
      <c r="S144" s="53" t="e">
        <f aca="false">IF(X133&gt;0,CONCATENATE("less ",X133),CONCATENATE("more ",X133))</f>
        <v>#DIV/0!</v>
      </c>
      <c r="T144" s="53"/>
    </row>
    <row r="145" customFormat="false" ht="12.8" hidden="false" customHeight="false" outlineLevel="0" collapsed="false">
      <c r="A145" s="11"/>
      <c r="C145" s="57"/>
      <c r="D145" s="57"/>
      <c r="E145" s="57"/>
      <c r="F145" s="57"/>
      <c r="G145" s="57"/>
      <c r="H145" s="57"/>
      <c r="I145" s="32"/>
      <c r="J145" s="50" t="n">
        <f aca="false">C144*(J133-J137)/(C137-C141)</f>
        <v>0</v>
      </c>
      <c r="K145" s="51" t="n">
        <f aca="false">C144*(K133-K137)/(D137-D141)</f>
        <v>0</v>
      </c>
      <c r="L145" s="51" t="n">
        <f aca="false">$C144*(L133-L137)/(E137-E141)</f>
        <v>0</v>
      </c>
      <c r="M145" s="51" t="n">
        <f aca="false">$C144*(M133-M137)/(G137-G141)</f>
        <v>0</v>
      </c>
      <c r="N145" s="51" t="n">
        <f aca="false">$C144*(N133-N137)/(H137-H141)</f>
        <v>0</v>
      </c>
      <c r="O145" s="52" t="n">
        <f aca="false">C144*(O133-O137)/(H137-H141)</f>
        <v>0</v>
      </c>
      <c r="Q145" s="53" t="e">
        <f aca="false">IF(V134&gt;0,CONCATENATE("less ",V134),CONCATENATE("more ",V134))</f>
        <v>#DIV/0!</v>
      </c>
      <c r="R145" s="53"/>
      <c r="S145" s="53" t="e">
        <f aca="false">IF(X134&gt;0,CONCATENATE("less ",X134),CONCATENATE("more ",X134))</f>
        <v>#DIV/0!</v>
      </c>
      <c r="T145" s="53"/>
    </row>
    <row r="146" customFormat="false" ht="30" hidden="false" customHeight="true" outlineLevel="0" collapsed="false">
      <c r="A146" s="54"/>
      <c r="C146" s="55"/>
      <c r="D146" s="55"/>
      <c r="E146" s="55"/>
      <c r="F146" s="55"/>
      <c r="G146" s="55"/>
      <c r="H146" s="55"/>
      <c r="I146" s="32"/>
      <c r="J146" s="56"/>
      <c r="K146" s="56"/>
      <c r="L146" s="56"/>
      <c r="M146" s="56"/>
      <c r="N146" s="56"/>
      <c r="O146" s="56"/>
      <c r="Q146" s="31"/>
      <c r="R146" s="31"/>
      <c r="S146" s="31"/>
      <c r="T146" s="31"/>
    </row>
    <row r="147" customFormat="false" ht="13.5" hidden="false" customHeight="true" outlineLevel="0" collapsed="false">
      <c r="A147" s="11" t="n">
        <v>8205</v>
      </c>
      <c r="C147" s="13" t="s">
        <v>5</v>
      </c>
      <c r="D147" s="13"/>
      <c r="E147" s="13"/>
      <c r="F147" s="13"/>
      <c r="G147" s="13"/>
      <c r="H147" s="13"/>
      <c r="J147" s="13" t="s">
        <v>6</v>
      </c>
      <c r="K147" s="13"/>
      <c r="L147" s="13"/>
      <c r="M147" s="13"/>
      <c r="N147" s="13"/>
      <c r="O147" s="13"/>
      <c r="Q147" s="13" t="s">
        <v>7</v>
      </c>
      <c r="R147" s="13"/>
      <c r="S147" s="13"/>
      <c r="T147" s="13"/>
      <c r="V147" s="2" t="n">
        <v>1</v>
      </c>
      <c r="W147" s="2" t="n">
        <v>2</v>
      </c>
      <c r="X147" s="2" t="n">
        <v>3</v>
      </c>
    </row>
    <row r="148" customFormat="false" ht="13.5" hidden="false" customHeight="true" outlineLevel="0" collapsed="false">
      <c r="A148" s="11"/>
      <c r="C148" s="15" t="s">
        <v>19</v>
      </c>
      <c r="D148" s="15"/>
      <c r="E148" s="15"/>
      <c r="F148" s="16" t="s">
        <v>19</v>
      </c>
      <c r="G148" s="16"/>
      <c r="H148" s="16"/>
      <c r="J148" s="17" t="n">
        <v>2.7</v>
      </c>
      <c r="K148" s="18" t="n">
        <v>3</v>
      </c>
      <c r="L148" s="18" t="n">
        <v>2.75</v>
      </c>
      <c r="M148" s="19" t="n">
        <v>2.75</v>
      </c>
      <c r="N148" s="19" t="n">
        <v>3</v>
      </c>
      <c r="O148" s="20" t="n">
        <v>2.7</v>
      </c>
      <c r="Q148" s="53" t="n">
        <f aca="false">MIN(J160:L160)/$M$1</f>
        <v>0</v>
      </c>
      <c r="R148" s="53"/>
      <c r="S148" s="29" t="n">
        <f aca="false">MIN(M160:O160)/$M$1</f>
        <v>0</v>
      </c>
      <c r="T148" s="29"/>
      <c r="V148" s="22" t="s">
        <v>9</v>
      </c>
      <c r="W148" s="22"/>
      <c r="X148" s="22"/>
    </row>
    <row r="149" customFormat="false" ht="13.5" hidden="false" customHeight="true" outlineLevel="0" collapsed="false">
      <c r="A149" s="11"/>
      <c r="C149" s="23" t="s">
        <v>19</v>
      </c>
      <c r="D149" s="23"/>
      <c r="E149" s="23"/>
      <c r="F149" s="24" t="s">
        <v>19</v>
      </c>
      <c r="G149" s="24"/>
      <c r="H149" s="24"/>
      <c r="J149" s="25" t="n">
        <v>2.7</v>
      </c>
      <c r="K149" s="26" t="n">
        <v>3</v>
      </c>
      <c r="L149" s="26" t="n">
        <v>2.7</v>
      </c>
      <c r="M149" s="27" t="n">
        <v>2.7</v>
      </c>
      <c r="N149" s="27" t="n">
        <v>3</v>
      </c>
      <c r="O149" s="28" t="n">
        <v>2.7</v>
      </c>
      <c r="Q149" s="53" t="n">
        <f aca="false">MIN(J161:L161)/$M$1</f>
        <v>0</v>
      </c>
      <c r="R149" s="53"/>
      <c r="S149" s="29" t="n">
        <f aca="false">MIN(M161:O161)/$M$1</f>
        <v>0</v>
      </c>
      <c r="T149" s="29"/>
      <c r="V149" s="30" t="e">
        <f aca="false">ROUNDUP(INDEX(LINEST(J156:L156,V147:X147,,1),1,1)*$Y$1,1)</f>
        <v>#DIV/0!</v>
      </c>
      <c r="W149" s="30"/>
      <c r="X149" s="31" t="e">
        <f aca="false">-ROUNDUP(INDEX(LINEST(M156:O156,V147:X147,,1),1,1)*$Y$1,1)</f>
        <v>#DIV/0!</v>
      </c>
    </row>
    <row r="150" customFormat="false" ht="13.5" hidden="false" customHeight="true" outlineLevel="0" collapsed="false">
      <c r="A150" s="11"/>
      <c r="J150" s="32"/>
      <c r="K150" s="32"/>
      <c r="L150" s="32"/>
      <c r="M150" s="32"/>
      <c r="N150" s="32"/>
      <c r="O150" s="32"/>
      <c r="V150" s="30" t="e">
        <f aca="false">ROUNDUP(INDEX(LINEST(J157:L157,V147:X147,,1),1,1)*$Y$1,1)</f>
        <v>#DIV/0!</v>
      </c>
      <c r="W150" s="30"/>
      <c r="X150" s="31" t="e">
        <f aca="false">-ROUNDUP(INDEX(LINEST(M157:O157,V147:X147,,1),1,1)*$Y$1,1)</f>
        <v>#DIV/0!</v>
      </c>
    </row>
    <row r="151" customFormat="false" ht="13.5" hidden="false" customHeight="true" outlineLevel="0" collapsed="false">
      <c r="A151" s="11"/>
      <c r="C151" s="13" t="s">
        <v>10</v>
      </c>
      <c r="D151" s="13"/>
      <c r="E151" s="13"/>
      <c r="F151" s="13"/>
      <c r="G151" s="13"/>
      <c r="H151" s="13"/>
      <c r="J151" s="33" t="s">
        <v>11</v>
      </c>
      <c r="K151" s="33"/>
      <c r="L151" s="33"/>
      <c r="M151" s="33"/>
      <c r="N151" s="33"/>
      <c r="O151" s="33"/>
      <c r="Q151" s="13" t="s">
        <v>12</v>
      </c>
      <c r="R151" s="13"/>
      <c r="S151" s="13"/>
      <c r="T151" s="13"/>
    </row>
    <row r="152" customFormat="false" ht="13.5" hidden="false" customHeight="true" outlineLevel="0" collapsed="false">
      <c r="A152" s="11"/>
      <c r="C152" s="17" t="n">
        <v>2.66</v>
      </c>
      <c r="D152" s="18" t="n">
        <v>2.7</v>
      </c>
      <c r="E152" s="18" t="n">
        <v>2.71</v>
      </c>
      <c r="F152" s="19" t="n">
        <v>2.74</v>
      </c>
      <c r="G152" s="19" t="n">
        <v>2.74</v>
      </c>
      <c r="H152" s="20" t="n">
        <v>2.71</v>
      </c>
      <c r="J152" s="34" t="n">
        <v>0.2</v>
      </c>
      <c r="K152" s="35" t="n">
        <v>0.2</v>
      </c>
      <c r="L152" s="35" t="n">
        <v>0.2</v>
      </c>
      <c r="M152" s="36" t="n">
        <v>0.2</v>
      </c>
      <c r="N152" s="36" t="n">
        <v>0.2</v>
      </c>
      <c r="O152" s="37" t="n">
        <v>0.2</v>
      </c>
      <c r="Q152" s="38" t="e">
        <f aca="false">SUM(J156:O156)/SUM(J156:O157)</f>
        <v>#DIV/0!</v>
      </c>
      <c r="R152" s="38"/>
      <c r="S152" s="38"/>
      <c r="T152" s="38"/>
    </row>
    <row r="153" customFormat="false" ht="13.5" hidden="false" customHeight="true" outlineLevel="0" collapsed="false">
      <c r="A153" s="11"/>
      <c r="C153" s="25" t="n">
        <v>2.65</v>
      </c>
      <c r="D153" s="26" t="n">
        <v>2.66</v>
      </c>
      <c r="E153" s="26" t="n">
        <v>2.66</v>
      </c>
      <c r="F153" s="27" t="n">
        <v>2.61</v>
      </c>
      <c r="G153" s="27" t="n">
        <v>2.67</v>
      </c>
      <c r="H153" s="28" t="n">
        <v>2.63</v>
      </c>
      <c r="J153" s="40" t="n">
        <v>0.2</v>
      </c>
      <c r="K153" s="41" t="n">
        <v>0.2</v>
      </c>
      <c r="L153" s="41" t="n">
        <v>0.2</v>
      </c>
      <c r="M153" s="42" t="n">
        <v>0.2</v>
      </c>
      <c r="N153" s="42" t="n">
        <v>0.2</v>
      </c>
      <c r="O153" s="43" t="n">
        <v>0.2</v>
      </c>
      <c r="Q153" s="38" t="e">
        <f aca="false">SUM(J157:O157)/SUM(J156:O157)</f>
        <v>#DIV/0!</v>
      </c>
      <c r="R153" s="38"/>
      <c r="S153" s="38"/>
      <c r="T153" s="38"/>
    </row>
    <row r="154" customFormat="false" ht="12.8" hidden="false" customHeight="false" outlineLevel="0" collapsed="false">
      <c r="A154" s="11"/>
      <c r="C154" s="32"/>
      <c r="D154" s="32"/>
      <c r="E154" s="32"/>
      <c r="F154" s="32"/>
      <c r="G154" s="32"/>
      <c r="H154" s="32"/>
    </row>
    <row r="155" customFormat="false" ht="12.8" hidden="false" customHeight="false" outlineLevel="0" collapsed="false">
      <c r="A155" s="11"/>
      <c r="C155" s="33" t="s">
        <v>13</v>
      </c>
      <c r="D155" s="33"/>
      <c r="E155" s="33"/>
      <c r="F155" s="33"/>
      <c r="G155" s="33"/>
      <c r="H155" s="33"/>
      <c r="J155" s="13" t="s">
        <v>14</v>
      </c>
      <c r="K155" s="13"/>
      <c r="L155" s="13"/>
      <c r="M155" s="13"/>
      <c r="N155" s="13"/>
      <c r="O155" s="13"/>
      <c r="Q155" s="13" t="s">
        <v>15</v>
      </c>
      <c r="R155" s="13"/>
      <c r="S155" s="13"/>
      <c r="T155" s="13"/>
      <c r="AK155" s="13" t="s">
        <v>14</v>
      </c>
      <c r="AL155" s="13"/>
      <c r="AM155" s="13"/>
      <c r="AN155" s="13"/>
      <c r="AO155" s="13"/>
      <c r="AP155" s="13"/>
      <c r="AQ155" s="13"/>
      <c r="AR155" s="13"/>
    </row>
    <row r="156" customFormat="false" ht="12.8" hidden="false" customHeight="false" outlineLevel="0" collapsed="false">
      <c r="A156" s="11"/>
      <c r="C156" s="34"/>
      <c r="D156" s="35"/>
      <c r="E156" s="35"/>
      <c r="F156" s="36"/>
      <c r="G156" s="36"/>
      <c r="H156" s="37"/>
      <c r="J156" s="44" t="e">
        <f aca="false">((C152-C156)/($C160*$F$1))/(J148-J152)</f>
        <v>#DIV/0!</v>
      </c>
      <c r="K156" s="45" t="e">
        <f aca="false">((D152-D156)/($C160*$F$1))/(K148-K152)</f>
        <v>#DIV/0!</v>
      </c>
      <c r="L156" s="45" t="e">
        <f aca="false">((E152-E156)/($C160*$F$1))/(L148-L152)</f>
        <v>#DIV/0!</v>
      </c>
      <c r="M156" s="45" t="e">
        <f aca="false">((F152-F156)/($C160*$F$1))/(M148-M152)</f>
        <v>#DIV/0!</v>
      </c>
      <c r="N156" s="45" t="e">
        <f aca="false">((G152-G156)/($C160*$F$1))/(N148-N152)</f>
        <v>#DIV/0!</v>
      </c>
      <c r="O156" s="46" t="e">
        <f aca="false">((H152-H156)/($C160*$F$1))/(O148-O152)</f>
        <v>#DIV/0!</v>
      </c>
      <c r="Q156" s="47" t="e">
        <f aca="false">SUM(J156:L157)/SUM(J156:O157)</f>
        <v>#DIV/0!</v>
      </c>
      <c r="R156" s="47"/>
      <c r="S156" s="47" t="e">
        <f aca="false">SUM(M156:O157)/SUM(J156:O157)</f>
        <v>#DIV/0!</v>
      </c>
      <c r="T156" s="47"/>
      <c r="AK156" s="48" t="e">
        <f aca="false">AVERAGE(J156:L156)</f>
        <v>#DIV/0!</v>
      </c>
      <c r="AL156" s="48"/>
      <c r="AM156" s="48"/>
      <c r="AN156" s="48"/>
      <c r="AO156" s="48" t="e">
        <f aca="false">AVERAGE(M156:O156)</f>
        <v>#DIV/0!</v>
      </c>
      <c r="AP156" s="48"/>
      <c r="AQ156" s="48"/>
      <c r="AR156" s="48"/>
    </row>
    <row r="157" customFormat="false" ht="12.8" hidden="false" customHeight="false" outlineLevel="0" collapsed="false">
      <c r="A157" s="11"/>
      <c r="C157" s="58"/>
      <c r="D157" s="59"/>
      <c r="E157" s="59"/>
      <c r="F157" s="42"/>
      <c r="G157" s="42"/>
      <c r="H157" s="43"/>
      <c r="I157" s="39"/>
      <c r="J157" s="44" t="e">
        <f aca="false">((C153-C157)/($C160*$F$1))/(J149-J153)</f>
        <v>#DIV/0!</v>
      </c>
      <c r="K157" s="45" t="e">
        <f aca="false">((D153-D157)/($C160*$F$1))/(K149-K153)</f>
        <v>#DIV/0!</v>
      </c>
      <c r="L157" s="45" t="e">
        <f aca="false">((E153-E157)/($C160*$F$1))/(L149-L153)</f>
        <v>#DIV/0!</v>
      </c>
      <c r="M157" s="45" t="e">
        <f aca="false">((F153-F157)/($C160*$F$1))/(M149-M153)</f>
        <v>#DIV/0!</v>
      </c>
      <c r="N157" s="45" t="e">
        <f aca="false">((G153-G157)/($C160*$F$1))/(N149-N153)</f>
        <v>#DIV/0!</v>
      </c>
      <c r="O157" s="46" t="e">
        <f aca="false">((H153-H157)/($C160*$F$1))/(O149-O153)</f>
        <v>#DIV/0!</v>
      </c>
      <c r="Q157" s="47"/>
      <c r="R157" s="47"/>
      <c r="S157" s="47"/>
      <c r="T157" s="47"/>
      <c r="AK157" s="48" t="e">
        <f aca="false">AVERAGE(J157:L157)</f>
        <v>#DIV/0!</v>
      </c>
      <c r="AL157" s="48"/>
      <c r="AM157" s="48"/>
      <c r="AN157" s="48"/>
      <c r="AO157" s="48" t="e">
        <f aca="false">AVERAGE(M157:O157)</f>
        <v>#DIV/0!</v>
      </c>
      <c r="AP157" s="48"/>
      <c r="AQ157" s="48"/>
      <c r="AR157" s="48"/>
    </row>
    <row r="158" customFormat="false" ht="12.8" hidden="false" customHeight="false" outlineLevel="0" collapsed="false">
      <c r="A158" s="11"/>
    </row>
    <row r="159" customFormat="false" ht="12.8" hidden="false" customHeight="false" outlineLevel="0" collapsed="false">
      <c r="A159" s="11"/>
      <c r="C159" s="13" t="s">
        <v>16</v>
      </c>
      <c r="D159" s="13"/>
      <c r="E159" s="13"/>
      <c r="F159" s="13"/>
      <c r="G159" s="13"/>
      <c r="H159" s="13"/>
      <c r="J159" s="13" t="s">
        <v>17</v>
      </c>
      <c r="K159" s="13"/>
      <c r="L159" s="13"/>
      <c r="M159" s="13"/>
      <c r="N159" s="13"/>
      <c r="O159" s="13"/>
      <c r="Q159" s="13" t="s">
        <v>18</v>
      </c>
      <c r="R159" s="13"/>
      <c r="S159" s="13"/>
      <c r="T159" s="13"/>
    </row>
    <row r="160" customFormat="false" ht="12.8" hidden="false" customHeight="false" outlineLevel="0" collapsed="false">
      <c r="A160" s="11"/>
      <c r="C160" s="57"/>
      <c r="D160" s="57"/>
      <c r="E160" s="57"/>
      <c r="F160" s="57"/>
      <c r="G160" s="57"/>
      <c r="H160" s="57"/>
      <c r="I160" s="32"/>
      <c r="J160" s="50" t="n">
        <f aca="false">C160*(J148-J152)/(C152-C156)</f>
        <v>0</v>
      </c>
      <c r="K160" s="51" t="n">
        <f aca="false">C160*(K148-K152)/(D152-D156)</f>
        <v>0</v>
      </c>
      <c r="L160" s="51" t="n">
        <f aca="false">$C160*(L148-L152)/(E152-E156)</f>
        <v>0</v>
      </c>
      <c r="M160" s="51" t="n">
        <f aca="false">$C160*(M148-M152)/(G152-G156)</f>
        <v>0</v>
      </c>
      <c r="N160" s="51" t="n">
        <f aca="false">$C160*(N148-N152)/(H152-H156)</f>
        <v>0</v>
      </c>
      <c r="O160" s="52" t="n">
        <f aca="false">C160*(O148-O152)/(H152-H156)</f>
        <v>0</v>
      </c>
      <c r="Q160" s="21" t="e">
        <f aca="false">IF(V149&gt;0,CONCATENATE("less ",V149),CONCATENATE("more ",V149))</f>
        <v>#DIV/0!</v>
      </c>
      <c r="R160" s="21"/>
      <c r="S160" s="53" t="e">
        <f aca="false">IF(X149&gt;0,CONCATENATE("less ",X149),CONCATENATE("more ",X149))</f>
        <v>#DIV/0!</v>
      </c>
      <c r="T160" s="53"/>
    </row>
    <row r="161" customFormat="false" ht="12.8" hidden="false" customHeight="false" outlineLevel="0" collapsed="false">
      <c r="A161" s="11"/>
      <c r="C161" s="57"/>
      <c r="D161" s="57"/>
      <c r="E161" s="57"/>
      <c r="F161" s="57"/>
      <c r="G161" s="57"/>
      <c r="H161" s="57"/>
      <c r="I161" s="32"/>
      <c r="J161" s="50" t="n">
        <f aca="false">C160*(J149-J153)/(C153-C157)</f>
        <v>0</v>
      </c>
      <c r="K161" s="51" t="n">
        <f aca="false">C160*(K149-K153)/(D153-D157)</f>
        <v>0</v>
      </c>
      <c r="L161" s="51" t="n">
        <f aca="false">$C160*(L149-L153)/(E153-E157)</f>
        <v>0</v>
      </c>
      <c r="M161" s="51" t="n">
        <f aca="false">$C160*(M149-M153)/(G153-G157)</f>
        <v>0</v>
      </c>
      <c r="N161" s="51" t="n">
        <f aca="false">$C160*(N149-N153)/(H153-H157)</f>
        <v>0</v>
      </c>
      <c r="O161" s="52" t="n">
        <f aca="false">C160*(O149-O153)/(H153-H157)</f>
        <v>0</v>
      </c>
      <c r="Q161" s="53" t="e">
        <f aca="false">IF(V150&gt;0,CONCATENATE("less ",V150),CONCATENATE("more ",V150))</f>
        <v>#DIV/0!</v>
      </c>
      <c r="R161" s="53"/>
      <c r="S161" s="53" t="e">
        <f aca="false">IF(X150&gt;0,CONCATENATE("less ",X150),CONCATENATE("more ",X150))</f>
        <v>#DIV/0!</v>
      </c>
      <c r="T161" s="53"/>
    </row>
  </sheetData>
  <mergeCells count="388">
    <mergeCell ref="C1:E1"/>
    <mergeCell ref="F1:H1"/>
    <mergeCell ref="J1:L1"/>
    <mergeCell ref="M1:O1"/>
    <mergeCell ref="Q1:T1"/>
    <mergeCell ref="V1:X1"/>
    <mergeCell ref="Y1:AB1"/>
    <mergeCell ref="AD1:AH1"/>
    <mergeCell ref="A3:A17"/>
    <mergeCell ref="C3:H3"/>
    <mergeCell ref="J3:O3"/>
    <mergeCell ref="Q3:T3"/>
    <mergeCell ref="C4:E4"/>
    <mergeCell ref="F4:H4"/>
    <mergeCell ref="Q4:R4"/>
    <mergeCell ref="S4:T4"/>
    <mergeCell ref="V4:X4"/>
    <mergeCell ref="C5:E5"/>
    <mergeCell ref="F5:H5"/>
    <mergeCell ref="Q5:R5"/>
    <mergeCell ref="S5:T5"/>
    <mergeCell ref="V5:W5"/>
    <mergeCell ref="V6:W6"/>
    <mergeCell ref="C7:H7"/>
    <mergeCell ref="J7:O7"/>
    <mergeCell ref="Q7:T7"/>
    <mergeCell ref="Q8:T8"/>
    <mergeCell ref="Q9:T9"/>
    <mergeCell ref="C11:H11"/>
    <mergeCell ref="J11:O11"/>
    <mergeCell ref="Q11:T11"/>
    <mergeCell ref="AK11:AR11"/>
    <mergeCell ref="Q12:R13"/>
    <mergeCell ref="S12:T13"/>
    <mergeCell ref="AK12:AN12"/>
    <mergeCell ref="AO12:AR12"/>
    <mergeCell ref="AK13:AN13"/>
    <mergeCell ref="AO13:AR13"/>
    <mergeCell ref="C15:H15"/>
    <mergeCell ref="J15:O15"/>
    <mergeCell ref="Q15:T15"/>
    <mergeCell ref="C16:H17"/>
    <mergeCell ref="Q16:R16"/>
    <mergeCell ref="S16:T16"/>
    <mergeCell ref="Q17:R17"/>
    <mergeCell ref="S17:T17"/>
    <mergeCell ref="A19:A33"/>
    <mergeCell ref="C19:H19"/>
    <mergeCell ref="J19:O19"/>
    <mergeCell ref="Q19:T19"/>
    <mergeCell ref="C20:E20"/>
    <mergeCell ref="F20:H20"/>
    <mergeCell ref="Q20:R20"/>
    <mergeCell ref="S20:T20"/>
    <mergeCell ref="V20:X20"/>
    <mergeCell ref="C21:E21"/>
    <mergeCell ref="F21:H21"/>
    <mergeCell ref="Q21:R21"/>
    <mergeCell ref="S21:T21"/>
    <mergeCell ref="V21:W21"/>
    <mergeCell ref="V22:W22"/>
    <mergeCell ref="C23:H23"/>
    <mergeCell ref="J23:O23"/>
    <mergeCell ref="Q23:T23"/>
    <mergeCell ref="Q24:T24"/>
    <mergeCell ref="Q25:T25"/>
    <mergeCell ref="C27:H27"/>
    <mergeCell ref="J27:O27"/>
    <mergeCell ref="Q27:T27"/>
    <mergeCell ref="AK27:AR27"/>
    <mergeCell ref="Q28:R29"/>
    <mergeCell ref="S28:T29"/>
    <mergeCell ref="AK28:AN28"/>
    <mergeCell ref="AO28:AR28"/>
    <mergeCell ref="AK29:AN29"/>
    <mergeCell ref="AO29:AR29"/>
    <mergeCell ref="C31:H31"/>
    <mergeCell ref="J31:O31"/>
    <mergeCell ref="Q31:T31"/>
    <mergeCell ref="C32:H33"/>
    <mergeCell ref="Q32:R32"/>
    <mergeCell ref="S32:T32"/>
    <mergeCell ref="Q33:R33"/>
    <mergeCell ref="S33:T33"/>
    <mergeCell ref="A35:A49"/>
    <mergeCell ref="C35:H35"/>
    <mergeCell ref="J35:O35"/>
    <mergeCell ref="Q35:T35"/>
    <mergeCell ref="C36:E36"/>
    <mergeCell ref="F36:H36"/>
    <mergeCell ref="Q36:R36"/>
    <mergeCell ref="S36:T36"/>
    <mergeCell ref="V36:X36"/>
    <mergeCell ref="C37:E37"/>
    <mergeCell ref="F37:H37"/>
    <mergeCell ref="Q37:R37"/>
    <mergeCell ref="S37:T37"/>
    <mergeCell ref="V37:W37"/>
    <mergeCell ref="V38:W38"/>
    <mergeCell ref="C39:H39"/>
    <mergeCell ref="J39:O39"/>
    <mergeCell ref="Q39:T39"/>
    <mergeCell ref="Q40:T40"/>
    <mergeCell ref="Q41:T41"/>
    <mergeCell ref="C43:H43"/>
    <mergeCell ref="J43:O43"/>
    <mergeCell ref="Q43:T43"/>
    <mergeCell ref="AK43:AR43"/>
    <mergeCell ref="Q44:R45"/>
    <mergeCell ref="S44:T45"/>
    <mergeCell ref="AK44:AN44"/>
    <mergeCell ref="AO44:AR44"/>
    <mergeCell ref="AK45:AN45"/>
    <mergeCell ref="AO45:AR45"/>
    <mergeCell ref="C47:H47"/>
    <mergeCell ref="J47:O47"/>
    <mergeCell ref="Q47:T47"/>
    <mergeCell ref="C48:H49"/>
    <mergeCell ref="Q48:R48"/>
    <mergeCell ref="S48:T48"/>
    <mergeCell ref="Q49:R49"/>
    <mergeCell ref="S49:T49"/>
    <mergeCell ref="A51:A65"/>
    <mergeCell ref="C51:H51"/>
    <mergeCell ref="J51:O51"/>
    <mergeCell ref="Q51:T51"/>
    <mergeCell ref="C52:E52"/>
    <mergeCell ref="F52:H52"/>
    <mergeCell ref="Q52:R52"/>
    <mergeCell ref="S52:T52"/>
    <mergeCell ref="V52:X52"/>
    <mergeCell ref="C53:E53"/>
    <mergeCell ref="F53:H53"/>
    <mergeCell ref="Q53:R53"/>
    <mergeCell ref="S53:T53"/>
    <mergeCell ref="V53:W53"/>
    <mergeCell ref="V54:W54"/>
    <mergeCell ref="C55:H55"/>
    <mergeCell ref="J55:O55"/>
    <mergeCell ref="Q55:T55"/>
    <mergeCell ref="Q56:T56"/>
    <mergeCell ref="Q57:T57"/>
    <mergeCell ref="C59:H59"/>
    <mergeCell ref="J59:O59"/>
    <mergeCell ref="Q59:T59"/>
    <mergeCell ref="AK59:AR59"/>
    <mergeCell ref="Q60:R61"/>
    <mergeCell ref="S60:T61"/>
    <mergeCell ref="AK60:AN60"/>
    <mergeCell ref="AO60:AR60"/>
    <mergeCell ref="AK61:AN61"/>
    <mergeCell ref="AO61:AR61"/>
    <mergeCell ref="C63:H63"/>
    <mergeCell ref="J63:O63"/>
    <mergeCell ref="Q63:T63"/>
    <mergeCell ref="C64:H65"/>
    <mergeCell ref="Q64:R64"/>
    <mergeCell ref="S64:T64"/>
    <mergeCell ref="Q65:R65"/>
    <mergeCell ref="S65:T65"/>
    <mergeCell ref="A67:A81"/>
    <mergeCell ref="C67:H67"/>
    <mergeCell ref="J67:O67"/>
    <mergeCell ref="Q67:T67"/>
    <mergeCell ref="C68:E68"/>
    <mergeCell ref="F68:H68"/>
    <mergeCell ref="Q68:R68"/>
    <mergeCell ref="S68:T68"/>
    <mergeCell ref="V68:X68"/>
    <mergeCell ref="C69:E69"/>
    <mergeCell ref="F69:H69"/>
    <mergeCell ref="Q69:R69"/>
    <mergeCell ref="S69:T69"/>
    <mergeCell ref="V69:W69"/>
    <mergeCell ref="V70:W70"/>
    <mergeCell ref="C71:H71"/>
    <mergeCell ref="J71:O71"/>
    <mergeCell ref="Q71:T71"/>
    <mergeCell ref="Q72:T72"/>
    <mergeCell ref="Q73:T73"/>
    <mergeCell ref="C75:H75"/>
    <mergeCell ref="J75:O75"/>
    <mergeCell ref="Q75:T75"/>
    <mergeCell ref="AK75:AR75"/>
    <mergeCell ref="Q76:R77"/>
    <mergeCell ref="S76:T77"/>
    <mergeCell ref="AK76:AN76"/>
    <mergeCell ref="AO76:AR76"/>
    <mergeCell ref="AK77:AN77"/>
    <mergeCell ref="AO77:AR77"/>
    <mergeCell ref="C79:H79"/>
    <mergeCell ref="J79:O79"/>
    <mergeCell ref="Q79:T79"/>
    <mergeCell ref="C80:H81"/>
    <mergeCell ref="Q80:R80"/>
    <mergeCell ref="S80:T80"/>
    <mergeCell ref="Q81:R81"/>
    <mergeCell ref="S81:T81"/>
    <mergeCell ref="A83:A97"/>
    <mergeCell ref="C83:H83"/>
    <mergeCell ref="J83:O83"/>
    <mergeCell ref="Q83:T83"/>
    <mergeCell ref="C84:E84"/>
    <mergeCell ref="F84:H84"/>
    <mergeCell ref="Q84:R84"/>
    <mergeCell ref="S84:T84"/>
    <mergeCell ref="V84:X84"/>
    <mergeCell ref="C85:E85"/>
    <mergeCell ref="F85:H85"/>
    <mergeCell ref="Q85:R85"/>
    <mergeCell ref="S85:T85"/>
    <mergeCell ref="V85:W85"/>
    <mergeCell ref="V86:W86"/>
    <mergeCell ref="C87:H87"/>
    <mergeCell ref="J87:O87"/>
    <mergeCell ref="Q87:T87"/>
    <mergeCell ref="Q88:T88"/>
    <mergeCell ref="Q89:T89"/>
    <mergeCell ref="C91:H91"/>
    <mergeCell ref="J91:O91"/>
    <mergeCell ref="Q91:T91"/>
    <mergeCell ref="AK91:AR91"/>
    <mergeCell ref="Q92:R93"/>
    <mergeCell ref="S92:T93"/>
    <mergeCell ref="AK92:AN92"/>
    <mergeCell ref="AO92:AR92"/>
    <mergeCell ref="AK93:AN93"/>
    <mergeCell ref="AO93:AR93"/>
    <mergeCell ref="C95:H95"/>
    <mergeCell ref="J95:O95"/>
    <mergeCell ref="Q95:T95"/>
    <mergeCell ref="C96:H97"/>
    <mergeCell ref="Q96:R96"/>
    <mergeCell ref="S96:T96"/>
    <mergeCell ref="Q97:R97"/>
    <mergeCell ref="S97:T97"/>
    <mergeCell ref="A99:A113"/>
    <mergeCell ref="C99:H99"/>
    <mergeCell ref="J99:O99"/>
    <mergeCell ref="Q99:T99"/>
    <mergeCell ref="C100:E100"/>
    <mergeCell ref="F100:H100"/>
    <mergeCell ref="Q100:R100"/>
    <mergeCell ref="S100:T100"/>
    <mergeCell ref="V100:X100"/>
    <mergeCell ref="C101:E101"/>
    <mergeCell ref="F101:H101"/>
    <mergeCell ref="Q101:R101"/>
    <mergeCell ref="S101:T101"/>
    <mergeCell ref="V101:W101"/>
    <mergeCell ref="V102:W102"/>
    <mergeCell ref="C103:H103"/>
    <mergeCell ref="J103:O103"/>
    <mergeCell ref="Q103:T103"/>
    <mergeCell ref="Q104:T104"/>
    <mergeCell ref="Q105:T105"/>
    <mergeCell ref="C107:H107"/>
    <mergeCell ref="J107:O107"/>
    <mergeCell ref="Q107:T107"/>
    <mergeCell ref="AK107:AR107"/>
    <mergeCell ref="Q108:R109"/>
    <mergeCell ref="S108:T109"/>
    <mergeCell ref="AK108:AN108"/>
    <mergeCell ref="AO108:AR108"/>
    <mergeCell ref="AK109:AN109"/>
    <mergeCell ref="AO109:AR109"/>
    <mergeCell ref="C111:H111"/>
    <mergeCell ref="J111:O111"/>
    <mergeCell ref="Q111:T111"/>
    <mergeCell ref="C112:H113"/>
    <mergeCell ref="Q112:R112"/>
    <mergeCell ref="S112:T112"/>
    <mergeCell ref="Q113:R113"/>
    <mergeCell ref="S113:T113"/>
    <mergeCell ref="A115:A129"/>
    <mergeCell ref="C115:H115"/>
    <mergeCell ref="J115:O115"/>
    <mergeCell ref="Q115:T115"/>
    <mergeCell ref="C116:E116"/>
    <mergeCell ref="F116:H116"/>
    <mergeCell ref="Q116:R116"/>
    <mergeCell ref="S116:T116"/>
    <mergeCell ref="V116:X116"/>
    <mergeCell ref="C117:E117"/>
    <mergeCell ref="F117:H117"/>
    <mergeCell ref="Q117:R117"/>
    <mergeCell ref="S117:T117"/>
    <mergeCell ref="V117:W117"/>
    <mergeCell ref="V118:W118"/>
    <mergeCell ref="C119:H119"/>
    <mergeCell ref="J119:O119"/>
    <mergeCell ref="Q119:T119"/>
    <mergeCell ref="Q120:T120"/>
    <mergeCell ref="Q121:T121"/>
    <mergeCell ref="C123:H123"/>
    <mergeCell ref="J123:O123"/>
    <mergeCell ref="Q123:T123"/>
    <mergeCell ref="AK123:AR123"/>
    <mergeCell ref="Q124:R125"/>
    <mergeCell ref="S124:T125"/>
    <mergeCell ref="AK124:AN124"/>
    <mergeCell ref="AO124:AR124"/>
    <mergeCell ref="AK125:AN125"/>
    <mergeCell ref="AO125:AR125"/>
    <mergeCell ref="C127:H127"/>
    <mergeCell ref="J127:O127"/>
    <mergeCell ref="Q127:T127"/>
    <mergeCell ref="C128:H129"/>
    <mergeCell ref="Q128:R128"/>
    <mergeCell ref="S128:T128"/>
    <mergeCell ref="Q129:R129"/>
    <mergeCell ref="S129:T129"/>
    <mergeCell ref="A131:A145"/>
    <mergeCell ref="C131:H131"/>
    <mergeCell ref="J131:O131"/>
    <mergeCell ref="Q131:T131"/>
    <mergeCell ref="C132:E132"/>
    <mergeCell ref="F132:H132"/>
    <mergeCell ref="Q132:R132"/>
    <mergeCell ref="S132:T132"/>
    <mergeCell ref="V132:X132"/>
    <mergeCell ref="C133:E133"/>
    <mergeCell ref="F133:H133"/>
    <mergeCell ref="Q133:R133"/>
    <mergeCell ref="S133:T133"/>
    <mergeCell ref="V133:W133"/>
    <mergeCell ref="V134:W134"/>
    <mergeCell ref="C135:H135"/>
    <mergeCell ref="J135:O135"/>
    <mergeCell ref="Q135:T135"/>
    <mergeCell ref="Q136:T136"/>
    <mergeCell ref="Q137:T137"/>
    <mergeCell ref="C139:H139"/>
    <mergeCell ref="J139:O139"/>
    <mergeCell ref="Q139:T139"/>
    <mergeCell ref="AK139:AR139"/>
    <mergeCell ref="Q140:R141"/>
    <mergeCell ref="S140:T141"/>
    <mergeCell ref="AK140:AN140"/>
    <mergeCell ref="AO140:AR140"/>
    <mergeCell ref="AK141:AN141"/>
    <mergeCell ref="AO141:AR141"/>
    <mergeCell ref="C143:H143"/>
    <mergeCell ref="J143:O143"/>
    <mergeCell ref="Q143:T143"/>
    <mergeCell ref="C144:H145"/>
    <mergeCell ref="Q144:R144"/>
    <mergeCell ref="S144:T144"/>
    <mergeCell ref="Q145:R145"/>
    <mergeCell ref="S145:T145"/>
    <mergeCell ref="A147:A161"/>
    <mergeCell ref="C147:H147"/>
    <mergeCell ref="J147:O147"/>
    <mergeCell ref="Q147:T147"/>
    <mergeCell ref="C148:E148"/>
    <mergeCell ref="F148:H148"/>
    <mergeCell ref="Q148:R148"/>
    <mergeCell ref="S148:T148"/>
    <mergeCell ref="V148:X148"/>
    <mergeCell ref="C149:E149"/>
    <mergeCell ref="F149:H149"/>
    <mergeCell ref="Q149:R149"/>
    <mergeCell ref="S149:T149"/>
    <mergeCell ref="V149:W149"/>
    <mergeCell ref="V150:W150"/>
    <mergeCell ref="C151:H151"/>
    <mergeCell ref="J151:O151"/>
    <mergeCell ref="Q151:T151"/>
    <mergeCell ref="Q152:T152"/>
    <mergeCell ref="Q153:T153"/>
    <mergeCell ref="C155:H155"/>
    <mergeCell ref="J155:O155"/>
    <mergeCell ref="Q155:T155"/>
    <mergeCell ref="AK155:AR155"/>
    <mergeCell ref="Q156:R157"/>
    <mergeCell ref="S156:T157"/>
    <mergeCell ref="AK156:AN156"/>
    <mergeCell ref="AO156:AR156"/>
    <mergeCell ref="AK157:AN157"/>
    <mergeCell ref="AO157:AR157"/>
    <mergeCell ref="C159:H159"/>
    <mergeCell ref="J159:O159"/>
    <mergeCell ref="Q159:T159"/>
    <mergeCell ref="C160:H161"/>
    <mergeCell ref="Q160:R160"/>
    <mergeCell ref="S160:T160"/>
    <mergeCell ref="Q161:R161"/>
    <mergeCell ref="S161:T161"/>
  </mergeCells>
  <conditionalFormatting sqref="Q4:T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Q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2 Q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T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2:T1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O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8:T5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4:T6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0:T8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2:T8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2:T11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8:T12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92 AO92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:AR93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 AO12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:AR125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 AO60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:AR6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 AO44"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:AR45"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 AO12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:AR13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30:T130"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0:T130"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4:T145"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40 AO140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"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:AR141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3:O13"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6 AK76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:AR77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:O16"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L34"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O50"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L50"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O66"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L66"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O98"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L98"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O114"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L114"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O130"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L130"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9:O29"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2:O3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0:T21"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Q25"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T25"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8 Q28"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8:T29"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8 AK28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:AR2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5:O45"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8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9"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9:L49"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8:O49"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6:T37"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Q41"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T41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4 Q44"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4:T4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1:O61"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4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5"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5:L65"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4:O65"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2:T53"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Q57"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T57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0 S60"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0:T6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7:O77"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6:O77"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76:O77"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0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1"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1:L81"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0:O81"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8:T69"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Q73"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T73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76 S76"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6:T7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X6"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1:X22"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7:X38"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3:X54"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69:X70"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85:X86"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01:X102"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17:X118"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33:X134"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6:T97"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3:O93"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2:O93"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2:O93"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7"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7:L97"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6:O97"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4:T85"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Q89"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T8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92 S92"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2:T93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9:O109"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3"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3:L113"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2:O113"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0:T101"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Q105"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T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08 S108"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8:T109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8 AK108"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:AR109"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5:O125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8"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9"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9:L129"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8:O129"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6:T117"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Q121"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T121"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24 Q124"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4:T125"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1:O141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4"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5"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5:L145"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4:O145"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2:T133"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Q137"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T137"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40 Q140"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0:T141"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6:T18"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8"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7:L18"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7"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2:T34"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2:O33"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3:L33"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60:T161"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56 AO156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"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:AR157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6:O146"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6:L146"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9:X150"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57:O157"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1"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1:L161"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0:O161"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8:T149"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Q153"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T15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56 S156"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6:T157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A6099"/>
    <pageSetUpPr fitToPage="true"/>
  </sheetPr>
  <dimension ref="A1:AR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8671875" defaultRowHeight="12.75" zeroHeight="false" outlineLevelRow="0" outlineLevelCol="0"/>
  <cols>
    <col collapsed="false" customWidth="true" hidden="false" outlineLevel="0" max="1" min="1" style="1" width="9.29"/>
    <col collapsed="false" customWidth="false" hidden="false" outlineLevel="0" max="9" min="2" style="2" width="5.86"/>
    <col collapsed="false" customWidth="true" hidden="false" outlineLevel="0" max="15" min="10" style="2" width="7.71"/>
    <col collapsed="false" customWidth="false" hidden="false" outlineLevel="0" max="1024" min="16" style="2" width="5.86"/>
  </cols>
  <sheetData>
    <row r="1" s="4" customFormat="true" ht="45.35" hidden="false" customHeight="true" outlineLevel="0" collapsed="false">
      <c r="A1" s="3" t="n">
        <v>708</v>
      </c>
      <c r="C1" s="5" t="s">
        <v>0</v>
      </c>
      <c r="D1" s="5"/>
      <c r="E1" s="5"/>
      <c r="F1" s="6" t="n">
        <v>13.65</v>
      </c>
      <c r="G1" s="6"/>
      <c r="H1" s="6"/>
      <c r="J1" s="5" t="s">
        <v>1</v>
      </c>
      <c r="K1" s="5"/>
      <c r="L1" s="5"/>
      <c r="M1" s="7" t="n">
        <v>12</v>
      </c>
      <c r="N1" s="7"/>
      <c r="O1" s="7"/>
      <c r="Q1" s="8" t="s">
        <v>2</v>
      </c>
      <c r="R1" s="8"/>
      <c r="S1" s="8"/>
      <c r="T1" s="8"/>
      <c r="V1" s="5" t="s">
        <v>3</v>
      </c>
      <c r="W1" s="5"/>
      <c r="X1" s="5"/>
      <c r="Y1" s="9" t="n">
        <v>300</v>
      </c>
      <c r="Z1" s="9"/>
      <c r="AA1" s="9"/>
      <c r="AB1" s="9"/>
      <c r="AD1" s="10" t="s">
        <v>4</v>
      </c>
      <c r="AE1" s="10"/>
      <c r="AF1" s="10"/>
      <c r="AG1" s="10"/>
      <c r="AH1" s="10"/>
    </row>
    <row r="2" customFormat="false" ht="30" hidden="false" customHeight="true" outlineLevel="0" collapsed="false"/>
    <row r="3" customFormat="false" ht="13.5" hidden="false" customHeight="true" outlineLevel="0" collapsed="false">
      <c r="A3" s="11" t="n">
        <v>8405</v>
      </c>
      <c r="C3" s="12" t="s">
        <v>5</v>
      </c>
      <c r="D3" s="12"/>
      <c r="E3" s="12"/>
      <c r="F3" s="12"/>
      <c r="G3" s="12"/>
      <c r="H3" s="12"/>
      <c r="J3" s="13" t="s">
        <v>6</v>
      </c>
      <c r="K3" s="13"/>
      <c r="L3" s="13"/>
      <c r="M3" s="13"/>
      <c r="N3" s="13"/>
      <c r="O3" s="13"/>
      <c r="Q3" s="14" t="s">
        <v>7</v>
      </c>
      <c r="R3" s="14"/>
      <c r="S3" s="14"/>
      <c r="T3" s="14"/>
      <c r="V3" s="2" t="n">
        <v>1</v>
      </c>
      <c r="W3" s="2" t="n">
        <v>2</v>
      </c>
      <c r="X3" s="2" t="n">
        <v>3</v>
      </c>
    </row>
    <row r="4" customFormat="false" ht="13.5" hidden="false" customHeight="true" outlineLevel="0" collapsed="false">
      <c r="A4" s="11"/>
      <c r="C4" s="15" t="s">
        <v>19</v>
      </c>
      <c r="D4" s="15"/>
      <c r="E4" s="15"/>
      <c r="F4" s="16" t="s">
        <v>19</v>
      </c>
      <c r="G4" s="16"/>
      <c r="H4" s="16"/>
      <c r="J4" s="17" t="n">
        <v>2.7</v>
      </c>
      <c r="K4" s="18" t="n">
        <v>3</v>
      </c>
      <c r="L4" s="18" t="n">
        <v>2.75</v>
      </c>
      <c r="M4" s="19" t="n">
        <v>2.75</v>
      </c>
      <c r="N4" s="19" t="n">
        <v>3</v>
      </c>
      <c r="O4" s="20" t="n">
        <v>2.7</v>
      </c>
      <c r="Q4" s="21" t="n">
        <f aca="false">MIN(J16:L16)/$M$1</f>
        <v>0</v>
      </c>
      <c r="R4" s="21"/>
      <c r="S4" s="21" t="n">
        <f aca="false">MIN(M16:O16)/$M$1</f>
        <v>0</v>
      </c>
      <c r="T4" s="21"/>
      <c r="V4" s="22" t="s">
        <v>9</v>
      </c>
      <c r="W4" s="22"/>
      <c r="X4" s="22"/>
    </row>
    <row r="5" customFormat="false" ht="13.5" hidden="false" customHeight="true" outlineLevel="0" collapsed="false">
      <c r="A5" s="11"/>
      <c r="C5" s="23" t="s">
        <v>20</v>
      </c>
      <c r="D5" s="23"/>
      <c r="E5" s="23"/>
      <c r="F5" s="24" t="s">
        <v>20</v>
      </c>
      <c r="G5" s="24"/>
      <c r="H5" s="24"/>
      <c r="J5" s="25" t="n">
        <v>2.7</v>
      </c>
      <c r="K5" s="26" t="n">
        <v>3</v>
      </c>
      <c r="L5" s="26" t="n">
        <v>2.7</v>
      </c>
      <c r="M5" s="27" t="n">
        <v>2.7</v>
      </c>
      <c r="N5" s="27" t="n">
        <v>3</v>
      </c>
      <c r="O5" s="28" t="n">
        <v>2.7</v>
      </c>
      <c r="Q5" s="29" t="n">
        <f aca="false">MIN(J17:L17)/$M$1</f>
        <v>0</v>
      </c>
      <c r="R5" s="29"/>
      <c r="S5" s="29" t="n">
        <f aca="false">MIN(M17:O17)/$M$1</f>
        <v>0</v>
      </c>
      <c r="T5" s="29"/>
      <c r="V5" s="30" t="e">
        <f aca="false">ROUNDUP(INDEX(LINEST(J12:L12,V3:X3,,1),1,1)*$Y$1,1)</f>
        <v>#DIV/0!</v>
      </c>
      <c r="W5" s="30"/>
      <c r="X5" s="31" t="e">
        <f aca="false">-ROUNDUP(INDEX(LINEST(M12:O12,V3:X3,,1),1,1)*$Y$1,1)</f>
        <v>#DIV/0!</v>
      </c>
    </row>
    <row r="6" customFormat="false" ht="13.5" hidden="false" customHeight="true" outlineLevel="0" collapsed="false">
      <c r="A6" s="11"/>
      <c r="J6" s="32"/>
      <c r="K6" s="32"/>
      <c r="L6" s="32"/>
      <c r="M6" s="32"/>
      <c r="N6" s="32"/>
      <c r="O6" s="32"/>
      <c r="V6" s="30" t="e">
        <f aca="false">ROUNDUP(INDEX(LINEST(J13:L13,V3:X3,,1),1,1)*$Y$1,1)</f>
        <v>#DIV/0!</v>
      </c>
      <c r="W6" s="30"/>
      <c r="X6" s="31" t="e">
        <f aca="false">-ROUNDUP(INDEX(LINEST(M13:O13,V3:X3,,1),1,1)*$Y$1,1)</f>
        <v>#DIV/0!</v>
      </c>
    </row>
    <row r="7" customFormat="false" ht="13.5" hidden="false" customHeight="true" outlineLevel="0" collapsed="false">
      <c r="A7" s="11"/>
      <c r="C7" s="13" t="s">
        <v>10</v>
      </c>
      <c r="D7" s="13"/>
      <c r="E7" s="13"/>
      <c r="F7" s="13"/>
      <c r="G7" s="13"/>
      <c r="H7" s="13"/>
      <c r="J7" s="33" t="s">
        <v>11</v>
      </c>
      <c r="K7" s="33"/>
      <c r="L7" s="33"/>
      <c r="M7" s="33"/>
      <c r="N7" s="33"/>
      <c r="O7" s="33"/>
      <c r="Q7" s="14" t="s">
        <v>12</v>
      </c>
      <c r="R7" s="14"/>
      <c r="S7" s="14"/>
      <c r="T7" s="14"/>
    </row>
    <row r="8" customFormat="false" ht="13.5" hidden="false" customHeight="true" outlineLevel="0" collapsed="false">
      <c r="A8" s="11"/>
      <c r="C8" s="17" t="n">
        <v>2.7</v>
      </c>
      <c r="D8" s="18" t="n">
        <v>2.7</v>
      </c>
      <c r="E8" s="18" t="n">
        <v>2.69</v>
      </c>
      <c r="F8" s="19" t="n">
        <v>2.71</v>
      </c>
      <c r="G8" s="19" t="n">
        <v>2.73</v>
      </c>
      <c r="H8" s="20" t="n">
        <v>2.72</v>
      </c>
      <c r="J8" s="34" t="n">
        <v>0.2</v>
      </c>
      <c r="K8" s="35" t="n">
        <v>0.2</v>
      </c>
      <c r="L8" s="35" t="n">
        <v>0.2</v>
      </c>
      <c r="M8" s="36" t="n">
        <v>0.2</v>
      </c>
      <c r="N8" s="36" t="n">
        <v>0.2</v>
      </c>
      <c r="O8" s="37" t="n">
        <v>0.2</v>
      </c>
      <c r="Q8" s="38" t="e">
        <f aca="false">SUM(J12:O12)/SUM(J12:O13)</f>
        <v>#DIV/0!</v>
      </c>
      <c r="R8" s="38"/>
      <c r="S8" s="38"/>
      <c r="T8" s="38"/>
    </row>
    <row r="9" customFormat="false" ht="13.5" hidden="false" customHeight="true" outlineLevel="0" collapsed="false">
      <c r="A9" s="11"/>
      <c r="C9" s="25" t="n">
        <v>2.65</v>
      </c>
      <c r="D9" s="26" t="n">
        <v>2.65</v>
      </c>
      <c r="E9" s="26" t="n">
        <v>2.66</v>
      </c>
      <c r="F9" s="27" t="n">
        <v>2.68</v>
      </c>
      <c r="G9" s="27" t="n">
        <v>2.64</v>
      </c>
      <c r="H9" s="28" t="n">
        <v>2.68</v>
      </c>
      <c r="I9" s="39"/>
      <c r="J9" s="40" t="n">
        <v>0.2</v>
      </c>
      <c r="K9" s="41" t="n">
        <v>0.2</v>
      </c>
      <c r="L9" s="41" t="n">
        <v>0.2</v>
      </c>
      <c r="M9" s="42" t="n">
        <v>0.2</v>
      </c>
      <c r="N9" s="42" t="n">
        <v>0.2</v>
      </c>
      <c r="O9" s="43" t="n">
        <v>0.2</v>
      </c>
      <c r="Q9" s="38" t="e">
        <f aca="false">SUM(J13:O13)/SUM(J12:O13)</f>
        <v>#DIV/0!</v>
      </c>
      <c r="R9" s="38"/>
      <c r="S9" s="38"/>
      <c r="T9" s="38"/>
    </row>
    <row r="10" customFormat="false" ht="12.8" hidden="false" customHeight="false" outlineLevel="0" collapsed="false">
      <c r="A10" s="11"/>
      <c r="C10" s="32"/>
      <c r="D10" s="32"/>
      <c r="E10" s="32"/>
      <c r="F10" s="32"/>
      <c r="G10" s="32"/>
      <c r="H10" s="32"/>
    </row>
    <row r="11" customFormat="false" ht="12.8" hidden="false" customHeight="false" outlineLevel="0" collapsed="false">
      <c r="A11" s="11"/>
      <c r="C11" s="33" t="s">
        <v>13</v>
      </c>
      <c r="D11" s="33"/>
      <c r="E11" s="33"/>
      <c r="F11" s="33"/>
      <c r="G11" s="33"/>
      <c r="H11" s="33"/>
      <c r="J11" s="13" t="s">
        <v>14</v>
      </c>
      <c r="K11" s="13"/>
      <c r="L11" s="13"/>
      <c r="M11" s="13"/>
      <c r="N11" s="13"/>
      <c r="O11" s="13"/>
      <c r="Q11" s="14" t="s">
        <v>15</v>
      </c>
      <c r="R11" s="14"/>
      <c r="S11" s="14"/>
      <c r="T11" s="14"/>
      <c r="AK11" s="13" t="s">
        <v>14</v>
      </c>
      <c r="AL11" s="13"/>
      <c r="AM11" s="13"/>
      <c r="AN11" s="13"/>
      <c r="AO11" s="13"/>
      <c r="AP11" s="13"/>
      <c r="AQ11" s="13"/>
      <c r="AR11" s="13"/>
    </row>
    <row r="12" customFormat="false" ht="12.8" hidden="false" customHeight="false" outlineLevel="0" collapsed="false">
      <c r="A12" s="11"/>
      <c r="C12" s="17"/>
      <c r="D12" s="18"/>
      <c r="E12" s="18"/>
      <c r="F12" s="19"/>
      <c r="G12" s="19"/>
      <c r="H12" s="20"/>
      <c r="J12" s="44" t="e">
        <f aca="false">((C8-C12)/($C16*$F$1))/(J4-J8)</f>
        <v>#DIV/0!</v>
      </c>
      <c r="K12" s="45" t="e">
        <f aca="false">((D8-D12)/($C16*$F$1))/(K4-K8)</f>
        <v>#DIV/0!</v>
      </c>
      <c r="L12" s="45" t="e">
        <f aca="false">((E8-E12)/($C16*$F$1))/(L4-L8)</f>
        <v>#DIV/0!</v>
      </c>
      <c r="M12" s="45" t="e">
        <f aca="false">((F8-F12)/($C16*$F$1))/(M4-M8)</f>
        <v>#DIV/0!</v>
      </c>
      <c r="N12" s="45" t="e">
        <f aca="false">((G8-G12)/($C16*$F$1))/(N4-N8)</f>
        <v>#DIV/0!</v>
      </c>
      <c r="O12" s="46" t="e">
        <f aca="false">((H8-H12)/($C16*$F$1))/(O4-O8)</f>
        <v>#DIV/0!</v>
      </c>
      <c r="Q12" s="47" t="e">
        <f aca="false">SUM(J12:L13)/SUM(J12:O13)</f>
        <v>#DIV/0!</v>
      </c>
      <c r="R12" s="47"/>
      <c r="S12" s="47" t="e">
        <f aca="false">SUM(M12:O13)/SUM(J12:O13)</f>
        <v>#DIV/0!</v>
      </c>
      <c r="T12" s="47"/>
      <c r="AK12" s="48" t="e">
        <f aca="false">AVERAGE(J12:L12)</f>
        <v>#DIV/0!</v>
      </c>
      <c r="AL12" s="48"/>
      <c r="AM12" s="48"/>
      <c r="AN12" s="48"/>
      <c r="AO12" s="48" t="e">
        <f aca="false">AVERAGE(M12:O12)</f>
        <v>#DIV/0!</v>
      </c>
      <c r="AP12" s="48"/>
      <c r="AQ12" s="48"/>
      <c r="AR12" s="48"/>
    </row>
    <row r="13" customFormat="false" ht="12.8" hidden="false" customHeight="false" outlineLevel="0" collapsed="false">
      <c r="A13" s="11"/>
      <c r="C13" s="25"/>
      <c r="D13" s="18"/>
      <c r="E13" s="18"/>
      <c r="F13" s="19"/>
      <c r="G13" s="19"/>
      <c r="H13" s="20"/>
      <c r="J13" s="44" t="e">
        <f aca="false">((C9-C13)/($C16*$F$1))/(J5-J9)</f>
        <v>#DIV/0!</v>
      </c>
      <c r="K13" s="45" t="e">
        <f aca="false">((D9-D13)/($C16*$F$1))/(K5-K9)</f>
        <v>#DIV/0!</v>
      </c>
      <c r="L13" s="45" t="e">
        <f aca="false">((E9-E13)/($C16*$F$1))/(L5-L9)</f>
        <v>#DIV/0!</v>
      </c>
      <c r="M13" s="45" t="e">
        <f aca="false">((F9-F13)/($C16*$F$1))/(M5-M9)</f>
        <v>#DIV/0!</v>
      </c>
      <c r="N13" s="45" t="e">
        <f aca="false">((G9-G13)/($C16*$F$1))/(N5-N9)</f>
        <v>#DIV/0!</v>
      </c>
      <c r="O13" s="46" t="e">
        <f aca="false">((H9-H13)/($C16*$F$1))/(O5-O9)</f>
        <v>#DIV/0!</v>
      </c>
      <c r="Q13" s="47"/>
      <c r="R13" s="47"/>
      <c r="S13" s="47"/>
      <c r="T13" s="47"/>
      <c r="AK13" s="48" t="e">
        <f aca="false">AVERAGE(J13:L13)</f>
        <v>#DIV/0!</v>
      </c>
      <c r="AL13" s="48"/>
      <c r="AM13" s="48"/>
      <c r="AN13" s="48"/>
      <c r="AO13" s="48" t="e">
        <f aca="false">AVERAGE(M13:O13)</f>
        <v>#DIV/0!</v>
      </c>
      <c r="AP13" s="48"/>
      <c r="AQ13" s="48"/>
      <c r="AR13" s="48"/>
    </row>
    <row r="14" customFormat="false" ht="12.8" hidden="false" customHeight="false" outlineLevel="0" collapsed="false">
      <c r="A14" s="11"/>
    </row>
    <row r="15" customFormat="false" ht="12.8" hidden="false" customHeight="false" outlineLevel="0" collapsed="false">
      <c r="A15" s="11"/>
      <c r="C15" s="13" t="s">
        <v>16</v>
      </c>
      <c r="D15" s="13"/>
      <c r="E15" s="13"/>
      <c r="F15" s="13"/>
      <c r="G15" s="13"/>
      <c r="H15" s="13"/>
      <c r="J15" s="13" t="s">
        <v>17</v>
      </c>
      <c r="K15" s="13"/>
      <c r="L15" s="13"/>
      <c r="M15" s="13"/>
      <c r="N15" s="13"/>
      <c r="O15" s="13"/>
      <c r="Q15" s="14" t="s">
        <v>18</v>
      </c>
      <c r="R15" s="14"/>
      <c r="S15" s="14"/>
      <c r="T15" s="14"/>
    </row>
    <row r="16" customFormat="false" ht="13.5" hidden="false" customHeight="true" outlineLevel="0" collapsed="false">
      <c r="A16" s="11"/>
      <c r="C16" s="49"/>
      <c r="D16" s="49"/>
      <c r="E16" s="49"/>
      <c r="F16" s="49"/>
      <c r="G16" s="49"/>
      <c r="H16" s="49"/>
      <c r="I16" s="32"/>
      <c r="J16" s="50" t="n">
        <f aca="false">C16*(J4-J8)/(C8-C12)</f>
        <v>0</v>
      </c>
      <c r="K16" s="51" t="n">
        <f aca="false">C16*(K4-K8)/(D8-D12)</f>
        <v>0</v>
      </c>
      <c r="L16" s="51" t="n">
        <f aca="false">$C16*(L4-L8)/(E8-E12)</f>
        <v>0</v>
      </c>
      <c r="M16" s="51" t="n">
        <f aca="false">$C16*(M4-M8)/(G8-G12)</f>
        <v>0</v>
      </c>
      <c r="N16" s="51" t="n">
        <f aca="false">$C16*(N4-N8)/(H8-H12)</f>
        <v>0</v>
      </c>
      <c r="O16" s="52" t="n">
        <f aca="false">C16*(O4-O8)/(H8-H12)</f>
        <v>0</v>
      </c>
      <c r="Q16" s="21" t="e">
        <f aca="false">IF(V5&gt;0,CONCATENATE("less ",V5),CONCATENATE("more ",V5))</f>
        <v>#DIV/0!</v>
      </c>
      <c r="R16" s="21"/>
      <c r="S16" s="53" t="e">
        <f aca="false">IF(X5&gt;0,CONCATENATE("less ",X5),CONCATENATE("more ",X5))</f>
        <v>#DIV/0!</v>
      </c>
      <c r="T16" s="53"/>
    </row>
    <row r="17" customFormat="false" ht="13.5" hidden="false" customHeight="true" outlineLevel="0" collapsed="false">
      <c r="A17" s="11"/>
      <c r="C17" s="49"/>
      <c r="D17" s="49"/>
      <c r="E17" s="49"/>
      <c r="F17" s="49"/>
      <c r="G17" s="49"/>
      <c r="H17" s="49"/>
      <c r="I17" s="32"/>
      <c r="J17" s="50" t="n">
        <f aca="false">C16*(J5-J9)/(C9-C13)</f>
        <v>0</v>
      </c>
      <c r="K17" s="51" t="n">
        <f aca="false">C16*(K5-K9)/(D9-D13)</f>
        <v>0</v>
      </c>
      <c r="L17" s="51" t="n">
        <f aca="false">$C16*(L5-L9)/(E9-E13)</f>
        <v>0</v>
      </c>
      <c r="M17" s="51" t="n">
        <f aca="false">$C16*(M5-M9)/(G9-G13)</f>
        <v>0</v>
      </c>
      <c r="N17" s="51" t="n">
        <f aca="false">$C16*(N5-N9)/(H9-H13)</f>
        <v>0</v>
      </c>
      <c r="O17" s="52" t="n">
        <f aca="false">C16*(O5-O9)/(H9-H13)</f>
        <v>0</v>
      </c>
      <c r="Q17" s="53" t="e">
        <f aca="false">IF(V6&gt;0,CONCATENATE("less ",V6),CONCATENATE("more ",V6))</f>
        <v>#DIV/0!</v>
      </c>
      <c r="R17" s="53"/>
      <c r="S17" s="53" t="e">
        <f aca="false">IF(X6&gt;0,CONCATENATE("less ",X6),CONCATENATE("more ",X6))</f>
        <v>#DIV/0!</v>
      </c>
      <c r="T17" s="53"/>
    </row>
    <row r="18" customFormat="false" ht="30" hidden="false" customHeight="true" outlineLevel="0" collapsed="false">
      <c r="A18" s="54"/>
      <c r="C18" s="55"/>
      <c r="D18" s="55"/>
      <c r="E18" s="55"/>
      <c r="F18" s="55"/>
      <c r="G18" s="55"/>
      <c r="H18" s="55"/>
      <c r="I18" s="32"/>
      <c r="J18" s="56"/>
      <c r="K18" s="56"/>
      <c r="L18" s="56"/>
      <c r="M18" s="56"/>
      <c r="N18" s="56"/>
      <c r="O18" s="56"/>
      <c r="Q18" s="31"/>
      <c r="R18" s="31"/>
      <c r="S18" s="31"/>
      <c r="T18" s="31"/>
    </row>
    <row r="19" customFormat="false" ht="13.5" hidden="false" customHeight="true" outlineLevel="0" collapsed="false">
      <c r="A19" s="11" t="n">
        <v>8403</v>
      </c>
      <c r="C19" s="12" t="s">
        <v>5</v>
      </c>
      <c r="D19" s="12"/>
      <c r="E19" s="12"/>
      <c r="F19" s="12"/>
      <c r="G19" s="12"/>
      <c r="H19" s="12"/>
      <c r="J19" s="13" t="s">
        <v>6</v>
      </c>
      <c r="K19" s="13"/>
      <c r="L19" s="13"/>
      <c r="M19" s="13"/>
      <c r="N19" s="13"/>
      <c r="O19" s="13"/>
      <c r="Q19" s="14" t="s">
        <v>7</v>
      </c>
      <c r="R19" s="14"/>
      <c r="S19" s="14"/>
      <c r="T19" s="14"/>
      <c r="V19" s="2" t="n">
        <v>1</v>
      </c>
      <c r="W19" s="2" t="n">
        <v>2</v>
      </c>
      <c r="X19" s="2" t="n">
        <v>3</v>
      </c>
      <c r="Y19" s="2" t="n">
        <v>5</v>
      </c>
    </row>
    <row r="20" customFormat="false" ht="13.5" hidden="false" customHeight="true" outlineLevel="0" collapsed="false">
      <c r="A20" s="11"/>
      <c r="C20" s="15" t="s">
        <v>19</v>
      </c>
      <c r="D20" s="15"/>
      <c r="E20" s="15"/>
      <c r="F20" s="16" t="s">
        <v>19</v>
      </c>
      <c r="G20" s="16"/>
      <c r="H20" s="16"/>
      <c r="J20" s="17" t="n">
        <v>2.7</v>
      </c>
      <c r="K20" s="18" t="n">
        <v>3</v>
      </c>
      <c r="L20" s="18" t="n">
        <v>2.75</v>
      </c>
      <c r="M20" s="19" t="n">
        <v>2.75</v>
      </c>
      <c r="N20" s="19" t="n">
        <v>3</v>
      </c>
      <c r="O20" s="20" t="n">
        <v>2.7</v>
      </c>
      <c r="Q20" s="21" t="n">
        <f aca="false">MIN(J32:L32)/$M$1</f>
        <v>0</v>
      </c>
      <c r="R20" s="21"/>
      <c r="S20" s="21" t="n">
        <f aca="false">MIN(M32:O32)/$M$1</f>
        <v>0</v>
      </c>
      <c r="T20" s="21"/>
      <c r="V20" s="22" t="s">
        <v>9</v>
      </c>
      <c r="W20" s="22"/>
      <c r="X20" s="22"/>
    </row>
    <row r="21" customFormat="false" ht="13.5" hidden="false" customHeight="true" outlineLevel="0" collapsed="false">
      <c r="A21" s="11"/>
      <c r="C21" s="23" t="s">
        <v>20</v>
      </c>
      <c r="D21" s="23"/>
      <c r="E21" s="23"/>
      <c r="F21" s="24" t="s">
        <v>20</v>
      </c>
      <c r="G21" s="24"/>
      <c r="H21" s="24"/>
      <c r="J21" s="25" t="n">
        <v>2.7</v>
      </c>
      <c r="K21" s="26" t="n">
        <v>3</v>
      </c>
      <c r="L21" s="26" t="n">
        <v>2.7</v>
      </c>
      <c r="M21" s="27" t="n">
        <v>2.7</v>
      </c>
      <c r="N21" s="27" t="n">
        <v>3</v>
      </c>
      <c r="O21" s="28" t="n">
        <v>2.7</v>
      </c>
      <c r="Q21" s="29" t="n">
        <f aca="false">MIN(J33:L33)/$M$1</f>
        <v>0</v>
      </c>
      <c r="R21" s="29"/>
      <c r="S21" s="29" t="n">
        <f aca="false">MIN(M33:O33)/$M$1</f>
        <v>0</v>
      </c>
      <c r="T21" s="29"/>
      <c r="V21" s="30" t="e">
        <f aca="false">ROUNDUP(INDEX(LINEST(J28:L28,V19:X19,,1),1,1)*$Y$1,1)</f>
        <v>#DIV/0!</v>
      </c>
      <c r="W21" s="30"/>
      <c r="X21" s="31" t="e">
        <f aca="false">-ROUNDUP(INDEX(LINEST(M28:O28,V19:X19,,1),1,1)*$Y$1,1)</f>
        <v>#DIV/0!</v>
      </c>
    </row>
    <row r="22" customFormat="false" ht="13.5" hidden="false" customHeight="true" outlineLevel="0" collapsed="false">
      <c r="A22" s="11"/>
      <c r="J22" s="32"/>
      <c r="K22" s="32"/>
      <c r="L22" s="32"/>
      <c r="M22" s="32"/>
      <c r="N22" s="32"/>
      <c r="O22" s="32"/>
      <c r="V22" s="30" t="e">
        <f aca="false">ROUNDUP(INDEX(LINEST(J29:L29,V19:X19,,1),1,1)*$Y$1,1)</f>
        <v>#DIV/0!</v>
      </c>
      <c r="W22" s="30"/>
      <c r="X22" s="31" t="e">
        <f aca="false">-ROUNDUP(INDEX(LINEST(M29:O29,V19:X19,,1),1,1)*$Y$1,1)</f>
        <v>#DIV/0!</v>
      </c>
    </row>
    <row r="23" customFormat="false" ht="13.5" hidden="false" customHeight="true" outlineLevel="0" collapsed="false">
      <c r="A23" s="11"/>
      <c r="C23" s="13" t="s">
        <v>10</v>
      </c>
      <c r="D23" s="13"/>
      <c r="E23" s="13"/>
      <c r="F23" s="13"/>
      <c r="G23" s="13"/>
      <c r="H23" s="13"/>
      <c r="J23" s="33" t="s">
        <v>11</v>
      </c>
      <c r="K23" s="33"/>
      <c r="L23" s="33"/>
      <c r="M23" s="33"/>
      <c r="N23" s="33"/>
      <c r="O23" s="33"/>
      <c r="Q23" s="14" t="s">
        <v>12</v>
      </c>
      <c r="R23" s="14"/>
      <c r="S23" s="14"/>
      <c r="T23" s="14"/>
    </row>
    <row r="24" customFormat="false" ht="13.5" hidden="false" customHeight="true" outlineLevel="0" collapsed="false">
      <c r="A24" s="11"/>
      <c r="C24" s="17" t="n">
        <v>2.74</v>
      </c>
      <c r="D24" s="18" t="n">
        <v>2.72</v>
      </c>
      <c r="E24" s="18" t="n">
        <v>2.69</v>
      </c>
      <c r="F24" s="19" t="n">
        <v>2.75</v>
      </c>
      <c r="G24" s="19" t="n">
        <v>2.72</v>
      </c>
      <c r="H24" s="20" t="n">
        <v>2.72</v>
      </c>
      <c r="J24" s="34" t="n">
        <v>0.2</v>
      </c>
      <c r="K24" s="35" t="n">
        <v>0.2</v>
      </c>
      <c r="L24" s="35" t="n">
        <v>0.2</v>
      </c>
      <c r="M24" s="36" t="n">
        <v>0.2</v>
      </c>
      <c r="N24" s="36" t="n">
        <v>0.2</v>
      </c>
      <c r="O24" s="37" t="n">
        <v>0.2</v>
      </c>
      <c r="Q24" s="38" t="e">
        <f aca="false">SUM(J28:O28)/SUM(J28:O29)</f>
        <v>#DIV/0!</v>
      </c>
      <c r="R24" s="38"/>
      <c r="S24" s="38"/>
      <c r="T24" s="38"/>
    </row>
    <row r="25" customFormat="false" ht="13.5" hidden="false" customHeight="true" outlineLevel="0" collapsed="false">
      <c r="A25" s="11"/>
      <c r="C25" s="25" t="n">
        <v>2.6</v>
      </c>
      <c r="D25" s="26" t="n">
        <v>2.59</v>
      </c>
      <c r="E25" s="26" t="n">
        <v>2.65</v>
      </c>
      <c r="F25" s="27" t="n">
        <v>2.6</v>
      </c>
      <c r="G25" s="27" t="n">
        <v>2.6</v>
      </c>
      <c r="H25" s="28" t="n">
        <v>2.61</v>
      </c>
      <c r="J25" s="40" t="n">
        <v>0.2</v>
      </c>
      <c r="K25" s="41" t="n">
        <v>0.2</v>
      </c>
      <c r="L25" s="41" t="n">
        <v>0.2</v>
      </c>
      <c r="M25" s="42" t="n">
        <v>0.2</v>
      </c>
      <c r="N25" s="42" t="n">
        <v>0.2</v>
      </c>
      <c r="O25" s="43" t="n">
        <v>0.2</v>
      </c>
      <c r="Q25" s="38" t="e">
        <f aca="false">SUM(J29:O29)/SUM(J28:O29)</f>
        <v>#DIV/0!</v>
      </c>
      <c r="R25" s="38"/>
      <c r="S25" s="38"/>
      <c r="T25" s="38"/>
    </row>
    <row r="26" customFormat="false" ht="12.8" hidden="false" customHeight="false" outlineLevel="0" collapsed="false">
      <c r="A26" s="11"/>
      <c r="C26" s="32"/>
      <c r="D26" s="32"/>
      <c r="E26" s="32"/>
      <c r="F26" s="32"/>
      <c r="G26" s="32"/>
      <c r="H26" s="32"/>
    </row>
    <row r="27" customFormat="false" ht="12.8" hidden="false" customHeight="false" outlineLevel="0" collapsed="false">
      <c r="A27" s="11"/>
      <c r="C27" s="33" t="s">
        <v>13</v>
      </c>
      <c r="D27" s="33"/>
      <c r="E27" s="33"/>
      <c r="F27" s="33"/>
      <c r="G27" s="33"/>
      <c r="H27" s="33"/>
      <c r="J27" s="13" t="s">
        <v>14</v>
      </c>
      <c r="K27" s="13"/>
      <c r="L27" s="13"/>
      <c r="M27" s="13"/>
      <c r="N27" s="13"/>
      <c r="O27" s="13"/>
      <c r="Q27" s="14" t="s">
        <v>15</v>
      </c>
      <c r="R27" s="14"/>
      <c r="S27" s="14"/>
      <c r="T27" s="14"/>
      <c r="AK27" s="13" t="s">
        <v>14</v>
      </c>
      <c r="AL27" s="13"/>
      <c r="AM27" s="13"/>
      <c r="AN27" s="13"/>
      <c r="AO27" s="13"/>
      <c r="AP27" s="13"/>
      <c r="AQ27" s="13"/>
      <c r="AR27" s="13"/>
    </row>
    <row r="28" customFormat="false" ht="12.8" hidden="false" customHeight="false" outlineLevel="0" collapsed="false">
      <c r="A28" s="11"/>
      <c r="C28" s="17"/>
      <c r="D28" s="18"/>
      <c r="E28" s="18"/>
      <c r="F28" s="19"/>
      <c r="G28" s="19"/>
      <c r="H28" s="20"/>
      <c r="J28" s="44" t="e">
        <f aca="false">((C24-C28)/($C32*$F$1))/(J20-J24)</f>
        <v>#DIV/0!</v>
      </c>
      <c r="K28" s="45" t="e">
        <f aca="false">((D24-D28)/($C32*$F$1))/(K20-K24)</f>
        <v>#DIV/0!</v>
      </c>
      <c r="L28" s="45" t="e">
        <f aca="false">((E24-E28)/($C32*$F$1))/(L20-L24)</f>
        <v>#DIV/0!</v>
      </c>
      <c r="M28" s="45" t="e">
        <f aca="false">((F24-F28)/($C32*$F$1))/(M20-M24)</f>
        <v>#DIV/0!</v>
      </c>
      <c r="N28" s="45" t="e">
        <f aca="false">((G24-G28)/($C32*$F$1))/(N20-N24)</f>
        <v>#DIV/0!</v>
      </c>
      <c r="O28" s="46" t="e">
        <f aca="false">((H24-H28)/($C32*$F$1))/(O20-O24)</f>
        <v>#DIV/0!</v>
      </c>
      <c r="Q28" s="47" t="e">
        <f aca="false">SUM(J28:L29)/SUM(J28:O29)</f>
        <v>#DIV/0!</v>
      </c>
      <c r="R28" s="47"/>
      <c r="S28" s="47" t="e">
        <f aca="false">SUM(M28:O29)/SUM(J28:O29)</f>
        <v>#DIV/0!</v>
      </c>
      <c r="T28" s="47"/>
      <c r="AK28" s="48" t="e">
        <f aca="false">AVERAGE(J28:L28)</f>
        <v>#DIV/0!</v>
      </c>
      <c r="AL28" s="48"/>
      <c r="AM28" s="48"/>
      <c r="AN28" s="48"/>
      <c r="AO28" s="48" t="e">
        <f aca="false">AVERAGE(M28:O28)</f>
        <v>#DIV/0!</v>
      </c>
      <c r="AP28" s="48"/>
      <c r="AQ28" s="48"/>
      <c r="AR28" s="48"/>
    </row>
    <row r="29" customFormat="false" ht="12.8" hidden="false" customHeight="false" outlineLevel="0" collapsed="false">
      <c r="A29" s="11"/>
      <c r="C29" s="25"/>
      <c r="D29" s="26"/>
      <c r="E29" s="26"/>
      <c r="F29" s="27"/>
      <c r="G29" s="27"/>
      <c r="H29" s="28"/>
      <c r="J29" s="44" t="e">
        <f aca="false">((C25-C29)/($C32*$F$1))/(J21-J25)</f>
        <v>#DIV/0!</v>
      </c>
      <c r="K29" s="45" t="e">
        <f aca="false">((D25-D29)/($C32*$F$1))/(K21-K25)</f>
        <v>#DIV/0!</v>
      </c>
      <c r="L29" s="45" t="e">
        <f aca="false">((E25-E29)/($C32*$F$1))/(L21-L25)</f>
        <v>#DIV/0!</v>
      </c>
      <c r="M29" s="45" t="e">
        <f aca="false">((F25-F29)/($C32*$F$1))/(M21-M25)</f>
        <v>#DIV/0!</v>
      </c>
      <c r="N29" s="45" t="e">
        <f aca="false">((G25-G29)/($C32*$F$1))/(N21-N25)</f>
        <v>#DIV/0!</v>
      </c>
      <c r="O29" s="46" t="e">
        <f aca="false">((H25-H29)/($C32*$F$1))/(O21-O25)</f>
        <v>#DIV/0!</v>
      </c>
      <c r="Q29" s="47"/>
      <c r="R29" s="47"/>
      <c r="S29" s="47"/>
      <c r="T29" s="47"/>
      <c r="AK29" s="48" t="e">
        <f aca="false">AVERAGE(J29:L29)</f>
        <v>#DIV/0!</v>
      </c>
      <c r="AL29" s="48"/>
      <c r="AM29" s="48"/>
      <c r="AN29" s="48"/>
      <c r="AO29" s="48" t="e">
        <f aca="false">AVERAGE(M29:O29)</f>
        <v>#DIV/0!</v>
      </c>
      <c r="AP29" s="48"/>
      <c r="AQ29" s="48"/>
      <c r="AR29" s="48"/>
    </row>
    <row r="30" customFormat="false" ht="12.8" hidden="false" customHeight="false" outlineLevel="0" collapsed="false">
      <c r="A30" s="11"/>
    </row>
    <row r="31" customFormat="false" ht="12.8" hidden="false" customHeight="false" outlineLevel="0" collapsed="false">
      <c r="A31" s="11"/>
      <c r="C31" s="13" t="s">
        <v>16</v>
      </c>
      <c r="D31" s="13"/>
      <c r="E31" s="13"/>
      <c r="F31" s="13"/>
      <c r="G31" s="13"/>
      <c r="H31" s="13"/>
      <c r="J31" s="13" t="s">
        <v>17</v>
      </c>
      <c r="K31" s="13"/>
      <c r="L31" s="13"/>
      <c r="M31" s="13"/>
      <c r="N31" s="13"/>
      <c r="O31" s="13"/>
      <c r="Q31" s="14" t="s">
        <v>18</v>
      </c>
      <c r="R31" s="14"/>
      <c r="S31" s="14"/>
      <c r="T31" s="14"/>
    </row>
    <row r="32" customFormat="false" ht="12.8" hidden="false" customHeight="false" outlineLevel="0" collapsed="false">
      <c r="A32" s="11"/>
      <c r="C32" s="57"/>
      <c r="D32" s="57"/>
      <c r="E32" s="57"/>
      <c r="F32" s="57"/>
      <c r="G32" s="57"/>
      <c r="H32" s="57"/>
      <c r="I32" s="32"/>
      <c r="J32" s="50" t="n">
        <f aca="false">C32*(J20-J24)/(C24-C28)</f>
        <v>0</v>
      </c>
      <c r="K32" s="51" t="n">
        <f aca="false">C32*(K20-K24)/(D24-D28)</f>
        <v>0</v>
      </c>
      <c r="L32" s="51" t="n">
        <f aca="false">$C32*(L20-L24)/(E24-E28)</f>
        <v>0</v>
      </c>
      <c r="M32" s="51" t="n">
        <f aca="false">$C32*(M20-M24)/(G24-G28)</f>
        <v>0</v>
      </c>
      <c r="N32" s="51" t="n">
        <f aca="false">$C32*(N20-N24)/(H24-H28)</f>
        <v>0</v>
      </c>
      <c r="O32" s="52" t="n">
        <f aca="false">C32*(O20-O24)/(H24-H28)</f>
        <v>0</v>
      </c>
      <c r="Q32" s="21" t="e">
        <f aca="false">IF(V21&gt;0,CONCATENATE("less ",V21),CONCATENATE("more ",V21))</f>
        <v>#DIV/0!</v>
      </c>
      <c r="R32" s="21"/>
      <c r="S32" s="53" t="e">
        <f aca="false">IF(X21&gt;0,CONCATENATE("less ",X21),CONCATENATE("more ",X21))</f>
        <v>#DIV/0!</v>
      </c>
      <c r="T32" s="53"/>
    </row>
    <row r="33" customFormat="false" ht="12.8" hidden="false" customHeight="false" outlineLevel="0" collapsed="false">
      <c r="A33" s="11"/>
      <c r="C33" s="57"/>
      <c r="D33" s="57"/>
      <c r="E33" s="57"/>
      <c r="F33" s="57"/>
      <c r="G33" s="57"/>
      <c r="H33" s="57"/>
      <c r="I33" s="32"/>
      <c r="J33" s="50" t="n">
        <f aca="false">C32*(J21-J25)/(C25-C29)</f>
        <v>0</v>
      </c>
      <c r="K33" s="51" t="n">
        <f aca="false">C32*(K21-K25)/(D25-D29)</f>
        <v>0</v>
      </c>
      <c r="L33" s="51" t="n">
        <f aca="false">$C32*(L21-L25)/(E25-E29)</f>
        <v>0</v>
      </c>
      <c r="M33" s="51" t="n">
        <f aca="false">$C32*(M21-M25)/(G25-G29)</f>
        <v>0</v>
      </c>
      <c r="N33" s="51" t="n">
        <f aca="false">$C32*(N21-N25)/(H25-H29)</f>
        <v>0</v>
      </c>
      <c r="O33" s="52" t="n">
        <f aca="false">C32*(O21-O25)/(H25-H29)</f>
        <v>0</v>
      </c>
      <c r="Q33" s="53" t="e">
        <f aca="false">IF(V22&gt;0,CONCATENATE("less ",V22),CONCATENATE("more ",V22))</f>
        <v>#DIV/0!</v>
      </c>
      <c r="R33" s="53"/>
      <c r="S33" s="53" t="e">
        <f aca="false">IF(X22&gt;0,CONCATENATE("less ",X22),CONCATENATE("more ",X22))</f>
        <v>#DIV/0!</v>
      </c>
      <c r="T33" s="53"/>
    </row>
    <row r="34" customFormat="false" ht="30" hidden="false" customHeight="true" outlineLevel="0" collapsed="false">
      <c r="A34" s="54"/>
      <c r="C34" s="55"/>
      <c r="D34" s="55"/>
      <c r="E34" s="55"/>
      <c r="F34" s="55"/>
      <c r="G34" s="55"/>
      <c r="H34" s="55"/>
      <c r="I34" s="32"/>
      <c r="J34" s="56"/>
      <c r="K34" s="56"/>
      <c r="L34" s="56"/>
      <c r="M34" s="56"/>
      <c r="N34" s="56"/>
      <c r="O34" s="56"/>
      <c r="Q34" s="31"/>
      <c r="R34" s="31"/>
      <c r="S34" s="31"/>
      <c r="T34" s="31"/>
    </row>
    <row r="35" customFormat="false" ht="13.5" hidden="false" customHeight="true" outlineLevel="0" collapsed="false">
      <c r="A35" s="11" t="n">
        <v>8404</v>
      </c>
      <c r="C35" s="12" t="s">
        <v>5</v>
      </c>
      <c r="D35" s="12"/>
      <c r="E35" s="12"/>
      <c r="F35" s="12"/>
      <c r="G35" s="12"/>
      <c r="H35" s="12"/>
      <c r="J35" s="13" t="s">
        <v>6</v>
      </c>
      <c r="K35" s="13"/>
      <c r="L35" s="13"/>
      <c r="M35" s="13"/>
      <c r="N35" s="13"/>
      <c r="O35" s="13"/>
      <c r="Q35" s="14" t="s">
        <v>7</v>
      </c>
      <c r="R35" s="14"/>
      <c r="S35" s="14"/>
      <c r="T35" s="14"/>
      <c r="V35" s="2" t="n">
        <v>1</v>
      </c>
      <c r="W35" s="2" t="n">
        <v>2</v>
      </c>
      <c r="X35" s="2" t="n">
        <v>3</v>
      </c>
      <c r="Y35" s="2" t="n">
        <v>5</v>
      </c>
    </row>
    <row r="36" customFormat="false" ht="13.5" hidden="false" customHeight="true" outlineLevel="0" collapsed="false">
      <c r="A36" s="11"/>
      <c r="C36" s="15" t="s">
        <v>19</v>
      </c>
      <c r="D36" s="15"/>
      <c r="E36" s="15"/>
      <c r="F36" s="16" t="s">
        <v>19</v>
      </c>
      <c r="G36" s="16"/>
      <c r="H36" s="16"/>
      <c r="J36" s="17" t="n">
        <v>2.7</v>
      </c>
      <c r="K36" s="18" t="n">
        <v>3</v>
      </c>
      <c r="L36" s="18" t="n">
        <v>2.75</v>
      </c>
      <c r="M36" s="19" t="n">
        <v>2.75</v>
      </c>
      <c r="N36" s="19" t="n">
        <v>3</v>
      </c>
      <c r="O36" s="20" t="n">
        <v>2.7</v>
      </c>
      <c r="Q36" s="21" t="n">
        <f aca="false">MIN(J48:L48)/$M$1</f>
        <v>0</v>
      </c>
      <c r="R36" s="21"/>
      <c r="S36" s="21" t="n">
        <f aca="false">MIN(M48:O48)/$M$1</f>
        <v>0</v>
      </c>
      <c r="T36" s="21"/>
      <c r="V36" s="22" t="s">
        <v>9</v>
      </c>
      <c r="W36" s="22"/>
      <c r="X36" s="22"/>
    </row>
    <row r="37" customFormat="false" ht="13.5" hidden="false" customHeight="true" outlineLevel="0" collapsed="false">
      <c r="A37" s="11"/>
      <c r="C37" s="23" t="s">
        <v>20</v>
      </c>
      <c r="D37" s="23"/>
      <c r="E37" s="23"/>
      <c r="F37" s="24" t="s">
        <v>20</v>
      </c>
      <c r="G37" s="24"/>
      <c r="H37" s="24"/>
      <c r="J37" s="25" t="n">
        <v>2.7</v>
      </c>
      <c r="K37" s="26" t="n">
        <v>3</v>
      </c>
      <c r="L37" s="26" t="n">
        <v>2.7</v>
      </c>
      <c r="M37" s="27" t="n">
        <v>2.7</v>
      </c>
      <c r="N37" s="27" t="n">
        <v>3</v>
      </c>
      <c r="O37" s="28" t="n">
        <v>2.7</v>
      </c>
      <c r="Q37" s="29" t="n">
        <f aca="false">MIN(J49:L49)/$M$1</f>
        <v>0</v>
      </c>
      <c r="R37" s="29"/>
      <c r="S37" s="29" t="n">
        <f aca="false">MIN(M49:O49)/$M$1</f>
        <v>0</v>
      </c>
      <c r="T37" s="29"/>
      <c r="V37" s="30" t="e">
        <f aca="false">ROUNDUP(INDEX(LINEST(J44:L44,V35:X35,,1),1,1)*$Y$1,1)</f>
        <v>#DIV/0!</v>
      </c>
      <c r="W37" s="30"/>
      <c r="X37" s="31" t="e">
        <f aca="false">-ROUNDUP(INDEX(LINEST(M44:O44,V35:X35,,1),1,1)*$Y$1,1)</f>
        <v>#DIV/0!</v>
      </c>
    </row>
    <row r="38" customFormat="false" ht="13.5" hidden="false" customHeight="true" outlineLevel="0" collapsed="false">
      <c r="A38" s="11"/>
      <c r="J38" s="32"/>
      <c r="K38" s="32"/>
      <c r="L38" s="32"/>
      <c r="M38" s="32"/>
      <c r="N38" s="32"/>
      <c r="O38" s="32"/>
      <c r="V38" s="30" t="e">
        <f aca="false">ROUNDUP(INDEX(LINEST(J45:L45,V35:X35,,1),1,1)*$Y$1,1)</f>
        <v>#DIV/0!</v>
      </c>
      <c r="W38" s="30"/>
      <c r="X38" s="31" t="e">
        <f aca="false">-ROUNDUP(INDEX(LINEST(M45:O45,V35:X35,,1),1,1)*$Y$1,1)</f>
        <v>#DIV/0!</v>
      </c>
    </row>
    <row r="39" customFormat="false" ht="13.5" hidden="false" customHeight="true" outlineLevel="0" collapsed="false">
      <c r="A39" s="11"/>
      <c r="C39" s="13" t="s">
        <v>10</v>
      </c>
      <c r="D39" s="13"/>
      <c r="E39" s="13"/>
      <c r="F39" s="13"/>
      <c r="G39" s="13"/>
      <c r="H39" s="13"/>
      <c r="J39" s="33" t="s">
        <v>11</v>
      </c>
      <c r="K39" s="33"/>
      <c r="L39" s="33"/>
      <c r="M39" s="33"/>
      <c r="N39" s="33"/>
      <c r="O39" s="33"/>
      <c r="Q39" s="14" t="s">
        <v>12</v>
      </c>
      <c r="R39" s="14"/>
      <c r="S39" s="14"/>
      <c r="T39" s="14"/>
    </row>
    <row r="40" customFormat="false" ht="13.5" hidden="false" customHeight="true" outlineLevel="0" collapsed="false">
      <c r="A40" s="11"/>
      <c r="C40" s="17" t="n">
        <v>2.68</v>
      </c>
      <c r="D40" s="18" t="n">
        <v>2.71</v>
      </c>
      <c r="E40" s="18" t="n">
        <v>2.73</v>
      </c>
      <c r="F40" s="19" t="n">
        <v>2.72</v>
      </c>
      <c r="G40" s="19" t="n">
        <v>2.68</v>
      </c>
      <c r="H40" s="20" t="n">
        <v>2.64</v>
      </c>
      <c r="J40" s="34" t="n">
        <v>0.2</v>
      </c>
      <c r="K40" s="35" t="n">
        <v>0.2</v>
      </c>
      <c r="L40" s="35" t="n">
        <v>0.2</v>
      </c>
      <c r="M40" s="36" t="n">
        <v>0.2</v>
      </c>
      <c r="N40" s="36" t="n">
        <v>0.2</v>
      </c>
      <c r="O40" s="37" t="n">
        <v>0.2</v>
      </c>
      <c r="Q40" s="38" t="e">
        <f aca="false">SUM(J44:O44)/SUM(J44:O45)</f>
        <v>#DIV/0!</v>
      </c>
      <c r="R40" s="38"/>
      <c r="S40" s="38"/>
      <c r="T40" s="38"/>
    </row>
    <row r="41" customFormat="false" ht="13.5" hidden="false" customHeight="true" outlineLevel="0" collapsed="false">
      <c r="A41" s="11"/>
      <c r="C41" s="25" t="n">
        <v>2.64</v>
      </c>
      <c r="D41" s="26" t="n">
        <v>2.66</v>
      </c>
      <c r="E41" s="26" t="n">
        <v>2.61</v>
      </c>
      <c r="F41" s="27" t="n">
        <v>2.61</v>
      </c>
      <c r="G41" s="27" t="n">
        <v>2.63</v>
      </c>
      <c r="H41" s="28" t="n">
        <v>2.67</v>
      </c>
      <c r="J41" s="40" t="n">
        <v>0.2</v>
      </c>
      <c r="K41" s="41" t="n">
        <v>0.2</v>
      </c>
      <c r="L41" s="41" t="n">
        <v>0.2</v>
      </c>
      <c r="M41" s="42" t="n">
        <v>0.2</v>
      </c>
      <c r="N41" s="42" t="n">
        <v>0.2</v>
      </c>
      <c r="O41" s="43" t="n">
        <v>0.2</v>
      </c>
      <c r="Q41" s="38" t="e">
        <f aca="false">SUM(J45:O45)/SUM(J44:O45)</f>
        <v>#DIV/0!</v>
      </c>
      <c r="R41" s="38"/>
      <c r="S41" s="38"/>
      <c r="T41" s="38"/>
    </row>
    <row r="42" customFormat="false" ht="12.8" hidden="false" customHeight="false" outlineLevel="0" collapsed="false">
      <c r="A42" s="11"/>
      <c r="C42" s="32"/>
      <c r="D42" s="32"/>
      <c r="E42" s="32"/>
      <c r="F42" s="32"/>
      <c r="G42" s="32"/>
      <c r="H42" s="32"/>
    </row>
    <row r="43" customFormat="false" ht="13.5" hidden="false" customHeight="true" outlineLevel="0" collapsed="false">
      <c r="A43" s="11"/>
      <c r="C43" s="33" t="s">
        <v>13</v>
      </c>
      <c r="D43" s="33"/>
      <c r="E43" s="33"/>
      <c r="F43" s="33"/>
      <c r="G43" s="33"/>
      <c r="H43" s="33"/>
      <c r="J43" s="13" t="s">
        <v>14</v>
      </c>
      <c r="K43" s="13"/>
      <c r="L43" s="13"/>
      <c r="M43" s="13"/>
      <c r="N43" s="13"/>
      <c r="O43" s="13"/>
      <c r="Q43" s="14" t="s">
        <v>15</v>
      </c>
      <c r="R43" s="14"/>
      <c r="S43" s="14"/>
      <c r="T43" s="14"/>
      <c r="AK43" s="13" t="s">
        <v>14</v>
      </c>
      <c r="AL43" s="13"/>
      <c r="AM43" s="13"/>
      <c r="AN43" s="13"/>
      <c r="AO43" s="13"/>
      <c r="AP43" s="13"/>
      <c r="AQ43" s="13"/>
      <c r="AR43" s="13"/>
    </row>
    <row r="44" customFormat="false" ht="13.5" hidden="false" customHeight="true" outlineLevel="0" collapsed="false">
      <c r="A44" s="11"/>
      <c r="C44" s="17"/>
      <c r="D44" s="18"/>
      <c r="E44" s="18"/>
      <c r="F44" s="19"/>
      <c r="G44" s="19"/>
      <c r="H44" s="20"/>
      <c r="J44" s="44" t="e">
        <f aca="false">((C40-C44)/($C48*$F$1))/(J36-J40)</f>
        <v>#DIV/0!</v>
      </c>
      <c r="K44" s="45" t="e">
        <f aca="false">((D40-D44)/($C48*$F$1))/(K36-K40)</f>
        <v>#DIV/0!</v>
      </c>
      <c r="L44" s="45" t="e">
        <f aca="false">((E40-E44)/($C48*$F$1))/(L36-L40)</f>
        <v>#DIV/0!</v>
      </c>
      <c r="M44" s="45" t="e">
        <f aca="false">((F40-F44)/($C48*$F$1))/(M36-M40)</f>
        <v>#DIV/0!</v>
      </c>
      <c r="N44" s="45" t="e">
        <f aca="false">((G40-G44)/($C48*$F$1))/(N36-N40)</f>
        <v>#DIV/0!</v>
      </c>
      <c r="O44" s="46" t="e">
        <f aca="false">((H40-H44)/($C48*$F$1))/(O36-O40)</f>
        <v>#DIV/0!</v>
      </c>
      <c r="Q44" s="47" t="e">
        <f aca="false">SUM(J44:L45)/SUM(J44:O45)</f>
        <v>#DIV/0!</v>
      </c>
      <c r="R44" s="47"/>
      <c r="S44" s="47" t="e">
        <f aca="false">SUM(M44:O45)/SUM(J44:O45)</f>
        <v>#DIV/0!</v>
      </c>
      <c r="T44" s="47"/>
      <c r="AK44" s="48" t="e">
        <f aca="false">AVERAGE(J44:L44)</f>
        <v>#DIV/0!</v>
      </c>
      <c r="AL44" s="48"/>
      <c r="AM44" s="48"/>
      <c r="AN44" s="48"/>
      <c r="AO44" s="48" t="e">
        <f aca="false">AVERAGE(M44:O44)</f>
        <v>#DIV/0!</v>
      </c>
      <c r="AP44" s="48"/>
      <c r="AQ44" s="48"/>
      <c r="AR44" s="48"/>
    </row>
    <row r="45" customFormat="false" ht="12.8" hidden="false" customHeight="false" outlineLevel="0" collapsed="false">
      <c r="A45" s="11"/>
      <c r="C45" s="25"/>
      <c r="D45" s="26"/>
      <c r="E45" s="26"/>
      <c r="F45" s="27"/>
      <c r="G45" s="27"/>
      <c r="H45" s="28"/>
      <c r="J45" s="44" t="e">
        <f aca="false">((C41-C45)/($C48*$F$1))/(J37-J41)</f>
        <v>#DIV/0!</v>
      </c>
      <c r="K45" s="45" t="e">
        <f aca="false">((D41-D45)/($C48*$F$1))/(K37-K41)</f>
        <v>#DIV/0!</v>
      </c>
      <c r="L45" s="45" t="e">
        <f aca="false">((E41-E45)/($C48*$F$1))/(L37-L41)</f>
        <v>#DIV/0!</v>
      </c>
      <c r="M45" s="45" t="e">
        <f aca="false">((F41-F45)/($C48*$F$1))/(M37-M41)</f>
        <v>#DIV/0!</v>
      </c>
      <c r="N45" s="45" t="e">
        <f aca="false">((G41-G45)/($C48*$F$1))/(N37-N41)</f>
        <v>#DIV/0!</v>
      </c>
      <c r="O45" s="46" t="e">
        <f aca="false">((H41-H45)/($C48*$F$1))/(O37-O41)</f>
        <v>#DIV/0!</v>
      </c>
      <c r="Q45" s="47"/>
      <c r="R45" s="47"/>
      <c r="S45" s="47"/>
      <c r="T45" s="47"/>
      <c r="AK45" s="48" t="e">
        <f aca="false">AVERAGE(J45:L45)</f>
        <v>#DIV/0!</v>
      </c>
      <c r="AL45" s="48"/>
      <c r="AM45" s="48"/>
      <c r="AN45" s="48"/>
      <c r="AO45" s="48" t="e">
        <f aca="false">AVERAGE(M45:O45)</f>
        <v>#DIV/0!</v>
      </c>
      <c r="AP45" s="48"/>
      <c r="AQ45" s="48"/>
      <c r="AR45" s="48"/>
    </row>
    <row r="46" customFormat="false" ht="12.8" hidden="false" customHeight="false" outlineLevel="0" collapsed="false">
      <c r="A46" s="11"/>
    </row>
    <row r="47" customFormat="false" ht="12.8" hidden="false" customHeight="false" outlineLevel="0" collapsed="false">
      <c r="A47" s="11"/>
      <c r="C47" s="13" t="s">
        <v>16</v>
      </c>
      <c r="D47" s="13"/>
      <c r="E47" s="13"/>
      <c r="F47" s="13"/>
      <c r="G47" s="13"/>
      <c r="H47" s="13"/>
      <c r="J47" s="13" t="s">
        <v>17</v>
      </c>
      <c r="K47" s="13"/>
      <c r="L47" s="13"/>
      <c r="M47" s="13"/>
      <c r="N47" s="13"/>
      <c r="O47" s="13"/>
      <c r="Q47" s="14" t="s">
        <v>18</v>
      </c>
      <c r="R47" s="14"/>
      <c r="S47" s="14"/>
      <c r="T47" s="14"/>
    </row>
    <row r="48" customFormat="false" ht="13.5" hidden="false" customHeight="true" outlineLevel="0" collapsed="false">
      <c r="A48" s="11"/>
      <c r="C48" s="49"/>
      <c r="D48" s="49"/>
      <c r="E48" s="49"/>
      <c r="F48" s="49"/>
      <c r="G48" s="49"/>
      <c r="H48" s="49"/>
      <c r="I48" s="32"/>
      <c r="J48" s="50" t="n">
        <f aca="false">C48*(J36-J40)/(C40-C44)</f>
        <v>0</v>
      </c>
      <c r="K48" s="51" t="n">
        <f aca="false">C48*(K36-K40)/(D40-D44)</f>
        <v>0</v>
      </c>
      <c r="L48" s="51" t="n">
        <f aca="false">$C48*(L36-L40)/(E40-E44)</f>
        <v>0</v>
      </c>
      <c r="M48" s="51" t="n">
        <f aca="false">$C48*(M36-M40)/(G40-G44)</f>
        <v>0</v>
      </c>
      <c r="N48" s="51" t="n">
        <f aca="false">$C48*(N36-N40)/(H40-H44)</f>
        <v>0</v>
      </c>
      <c r="O48" s="52" t="n">
        <f aca="false">C48*(O36-O40)/(H40-H44)</f>
        <v>0</v>
      </c>
      <c r="Q48" s="21" t="e">
        <f aca="false">IF(V37&gt;0,CONCATENATE("less ",V37),CONCATENATE("more ",V37))</f>
        <v>#DIV/0!</v>
      </c>
      <c r="R48" s="21"/>
      <c r="S48" s="53" t="e">
        <f aca="false">IF(X37&gt;0,CONCATENATE("less ",X37),CONCATENATE("more ",X37))</f>
        <v>#DIV/0!</v>
      </c>
      <c r="T48" s="53"/>
    </row>
    <row r="49" customFormat="false" ht="13.5" hidden="false" customHeight="true" outlineLevel="0" collapsed="false">
      <c r="A49" s="11"/>
      <c r="C49" s="49"/>
      <c r="D49" s="49"/>
      <c r="E49" s="49"/>
      <c r="F49" s="49"/>
      <c r="G49" s="49"/>
      <c r="H49" s="49"/>
      <c r="I49" s="32"/>
      <c r="J49" s="50" t="n">
        <f aca="false">C48*(J37-J41)/(C41-C45)</f>
        <v>0</v>
      </c>
      <c r="K49" s="51" t="n">
        <f aca="false">C48*(K37-K41)/(D41-D45)</f>
        <v>0</v>
      </c>
      <c r="L49" s="51" t="n">
        <f aca="false">$C48*(L37-L41)/(E41-E45)</f>
        <v>0</v>
      </c>
      <c r="M49" s="51" t="n">
        <f aca="false">$C48*(M37-M41)/(G41-G45)</f>
        <v>0</v>
      </c>
      <c r="N49" s="51" t="n">
        <f aca="false">$C48*(N37-N41)/(H41-H45)</f>
        <v>0</v>
      </c>
      <c r="O49" s="52" t="n">
        <f aca="false">C48*(O37-O41)/(H41-H45)</f>
        <v>0</v>
      </c>
      <c r="Q49" s="53" t="e">
        <f aca="false">IF(V38&gt;0,CONCATENATE("less ",V38),CONCATENATE("more ",V38))</f>
        <v>#DIV/0!</v>
      </c>
      <c r="R49" s="53"/>
      <c r="S49" s="53" t="e">
        <f aca="false">IF(X38&gt;0,CONCATENATE("less ",X38),CONCATENATE("more ",X38))</f>
        <v>#DIV/0!</v>
      </c>
      <c r="T49" s="53"/>
    </row>
    <row r="50" customFormat="false" ht="30" hidden="false" customHeight="true" outlineLevel="0" collapsed="false">
      <c r="A50" s="54"/>
      <c r="C50" s="55"/>
      <c r="D50" s="55"/>
      <c r="E50" s="55"/>
      <c r="F50" s="55"/>
      <c r="G50" s="55"/>
      <c r="H50" s="55"/>
      <c r="I50" s="32"/>
      <c r="J50" s="56"/>
      <c r="K50" s="56"/>
      <c r="L50" s="56"/>
      <c r="M50" s="56"/>
      <c r="N50" s="56"/>
      <c r="O50" s="56"/>
      <c r="Q50" s="31"/>
      <c r="R50" s="31"/>
      <c r="S50" s="31"/>
      <c r="T50" s="31"/>
    </row>
    <row r="51" customFormat="false" ht="13.5" hidden="false" customHeight="true" outlineLevel="0" collapsed="false">
      <c r="A51" s="11" t="n">
        <v>8206</v>
      </c>
      <c r="C51" s="12" t="s">
        <v>5</v>
      </c>
      <c r="D51" s="12"/>
      <c r="E51" s="12"/>
      <c r="F51" s="12"/>
      <c r="G51" s="12"/>
      <c r="H51" s="12"/>
      <c r="J51" s="13" t="s">
        <v>6</v>
      </c>
      <c r="K51" s="13"/>
      <c r="L51" s="13"/>
      <c r="M51" s="13"/>
      <c r="N51" s="13"/>
      <c r="O51" s="13"/>
      <c r="Q51" s="13" t="s">
        <v>7</v>
      </c>
      <c r="R51" s="13"/>
      <c r="S51" s="13"/>
      <c r="T51" s="13"/>
      <c r="V51" s="2" t="n">
        <v>1</v>
      </c>
      <c r="W51" s="2" t="n">
        <v>2</v>
      </c>
      <c r="X51" s="2" t="n">
        <v>3</v>
      </c>
    </row>
    <row r="52" customFormat="false" ht="13.5" hidden="false" customHeight="true" outlineLevel="0" collapsed="false">
      <c r="A52" s="11"/>
      <c r="C52" s="15" t="s">
        <v>19</v>
      </c>
      <c r="D52" s="15"/>
      <c r="E52" s="15"/>
      <c r="F52" s="16" t="s">
        <v>19</v>
      </c>
      <c r="G52" s="16"/>
      <c r="H52" s="16"/>
      <c r="J52" s="17" t="n">
        <v>2.7</v>
      </c>
      <c r="K52" s="18" t="n">
        <v>3</v>
      </c>
      <c r="L52" s="18" t="n">
        <v>2.75</v>
      </c>
      <c r="M52" s="19" t="n">
        <v>2.75</v>
      </c>
      <c r="N52" s="19" t="n">
        <v>3</v>
      </c>
      <c r="O52" s="20" t="n">
        <v>2.7</v>
      </c>
      <c r="Q52" s="21" t="n">
        <f aca="false">MIN(J64:L64)/$M$1</f>
        <v>0</v>
      </c>
      <c r="R52" s="21"/>
      <c r="S52" s="21" t="n">
        <f aca="false">MIN(M64:O64)/$M$1</f>
        <v>-0</v>
      </c>
      <c r="T52" s="21"/>
      <c r="V52" s="22" t="s">
        <v>9</v>
      </c>
      <c r="W52" s="22"/>
      <c r="X52" s="22"/>
    </row>
    <row r="53" customFormat="false" ht="13.5" hidden="false" customHeight="true" outlineLevel="0" collapsed="false">
      <c r="A53" s="11"/>
      <c r="C53" s="23" t="s">
        <v>19</v>
      </c>
      <c r="D53" s="23"/>
      <c r="E53" s="23"/>
      <c r="F53" s="24" t="s">
        <v>19</v>
      </c>
      <c r="G53" s="24"/>
      <c r="H53" s="24"/>
      <c r="J53" s="25" t="n">
        <v>2.7</v>
      </c>
      <c r="K53" s="26" t="n">
        <v>3</v>
      </c>
      <c r="L53" s="26" t="n">
        <v>2.7</v>
      </c>
      <c r="M53" s="27" t="n">
        <v>2.7</v>
      </c>
      <c r="N53" s="27" t="n">
        <v>3</v>
      </c>
      <c r="O53" s="28" t="n">
        <v>2.7</v>
      </c>
      <c r="Q53" s="29" t="n">
        <f aca="false">MIN(J65:L65)/$M$1</f>
        <v>0</v>
      </c>
      <c r="R53" s="29"/>
      <c r="S53" s="29" t="n">
        <f aca="false">MIN(M65:O65)/$M$1</f>
        <v>-0</v>
      </c>
      <c r="T53" s="29"/>
      <c r="V53" s="30" t="e">
        <f aca="false">ROUNDUP(INDEX(LINEST(J60:L60,V51:X51,,1),1,1)*$Y$1,1)</f>
        <v>#DIV/0!</v>
      </c>
      <c r="W53" s="30"/>
      <c r="X53" s="31" t="e">
        <f aca="false">-ROUNDUP(INDEX(LINEST(M60:O60,V51:X51,,1),1,1)*$Y$1,1)</f>
        <v>#DIV/0!</v>
      </c>
    </row>
    <row r="54" customFormat="false" ht="13.5" hidden="false" customHeight="true" outlineLevel="0" collapsed="false">
      <c r="A54" s="11"/>
      <c r="J54" s="32"/>
      <c r="K54" s="32"/>
      <c r="L54" s="32"/>
      <c r="M54" s="32"/>
      <c r="N54" s="32"/>
      <c r="O54" s="32"/>
      <c r="V54" s="30" t="e">
        <f aca="false">ROUNDUP(INDEX(LINEST(J61:L61,V51:X51,,1),1,1)*$Y$1,1)</f>
        <v>#DIV/0!</v>
      </c>
      <c r="W54" s="30"/>
      <c r="X54" s="31" t="e">
        <f aca="false">-ROUNDUP(INDEX(LINEST(M61:O61,V51:X51,,1),1,1)*$Y$1,1)</f>
        <v>#DIV/0!</v>
      </c>
    </row>
    <row r="55" customFormat="false" ht="13.5" hidden="false" customHeight="true" outlineLevel="0" collapsed="false">
      <c r="A55" s="11"/>
      <c r="C55" s="13" t="s">
        <v>10</v>
      </c>
      <c r="D55" s="13"/>
      <c r="E55" s="13"/>
      <c r="F55" s="13"/>
      <c r="G55" s="13"/>
      <c r="H55" s="13"/>
      <c r="J55" s="33" t="s">
        <v>11</v>
      </c>
      <c r="K55" s="33"/>
      <c r="L55" s="33"/>
      <c r="M55" s="33"/>
      <c r="N55" s="33"/>
      <c r="O55" s="33"/>
      <c r="Q55" s="13" t="s">
        <v>12</v>
      </c>
      <c r="R55" s="13"/>
      <c r="S55" s="13"/>
      <c r="T55" s="13"/>
    </row>
    <row r="56" customFormat="false" ht="13.5" hidden="false" customHeight="true" outlineLevel="0" collapsed="false">
      <c r="A56" s="11"/>
      <c r="C56" s="17" t="n">
        <v>2.72</v>
      </c>
      <c r="D56" s="18" t="n">
        <v>2.7</v>
      </c>
      <c r="E56" s="18" t="n">
        <v>2.67</v>
      </c>
      <c r="F56" s="19" t="n">
        <v>2.71</v>
      </c>
      <c r="G56" s="19" t="n">
        <v>2.72</v>
      </c>
      <c r="H56" s="20" t="n">
        <v>2.73</v>
      </c>
      <c r="J56" s="34" t="n">
        <v>0.2</v>
      </c>
      <c r="K56" s="35" t="n">
        <v>0.2</v>
      </c>
      <c r="L56" s="35" t="n">
        <v>0.2</v>
      </c>
      <c r="M56" s="36" t="n">
        <v>0.2</v>
      </c>
      <c r="N56" s="36" t="n">
        <v>0.2</v>
      </c>
      <c r="O56" s="37" t="n">
        <v>0.2</v>
      </c>
      <c r="Q56" s="38" t="e">
        <f aca="false">SUM(J60:O60)/SUM(J60:O61)</f>
        <v>#DIV/0!</v>
      </c>
      <c r="R56" s="38"/>
      <c r="S56" s="38"/>
      <c r="T56" s="38"/>
    </row>
    <row r="57" customFormat="false" ht="13.5" hidden="false" customHeight="true" outlineLevel="0" collapsed="false">
      <c r="A57" s="11"/>
      <c r="C57" s="25" t="n">
        <v>2.7</v>
      </c>
      <c r="D57" s="26" t="n">
        <v>2.69</v>
      </c>
      <c r="E57" s="26" t="n">
        <v>2.72</v>
      </c>
      <c r="F57" s="27" t="n">
        <v>2.68</v>
      </c>
      <c r="G57" s="27" t="n">
        <v>2.71</v>
      </c>
      <c r="H57" s="28" t="n">
        <v>2.69</v>
      </c>
      <c r="J57" s="40" t="n">
        <v>0.2</v>
      </c>
      <c r="K57" s="41" t="n">
        <v>0.2</v>
      </c>
      <c r="L57" s="41" t="n">
        <v>0.2</v>
      </c>
      <c r="M57" s="42" t="n">
        <v>0.2</v>
      </c>
      <c r="N57" s="42" t="n">
        <v>0.2</v>
      </c>
      <c r="O57" s="43" t="n">
        <v>0.2</v>
      </c>
      <c r="Q57" s="38" t="e">
        <f aca="false">SUM(J61:O61)/SUM(J60:O61)</f>
        <v>#DIV/0!</v>
      </c>
      <c r="R57" s="38"/>
      <c r="S57" s="38"/>
      <c r="T57" s="38"/>
    </row>
    <row r="58" customFormat="false" ht="12.8" hidden="false" customHeight="false" outlineLevel="0" collapsed="false">
      <c r="A58" s="11"/>
      <c r="C58" s="32"/>
      <c r="D58" s="32"/>
      <c r="E58" s="32"/>
      <c r="F58" s="32"/>
      <c r="G58" s="32"/>
      <c r="H58" s="32"/>
    </row>
    <row r="59" customFormat="false" ht="12.8" hidden="false" customHeight="false" outlineLevel="0" collapsed="false">
      <c r="A59" s="11"/>
      <c r="C59" s="33" t="s">
        <v>13</v>
      </c>
      <c r="D59" s="33"/>
      <c r="E59" s="33"/>
      <c r="F59" s="33"/>
      <c r="G59" s="33"/>
      <c r="H59" s="33"/>
      <c r="J59" s="13" t="s">
        <v>14</v>
      </c>
      <c r="K59" s="13"/>
      <c r="L59" s="13"/>
      <c r="M59" s="13"/>
      <c r="N59" s="13"/>
      <c r="O59" s="13"/>
      <c r="Q59" s="13" t="s">
        <v>15</v>
      </c>
      <c r="R59" s="13"/>
      <c r="S59" s="13"/>
      <c r="T59" s="13"/>
      <c r="AK59" s="13" t="s">
        <v>14</v>
      </c>
      <c r="AL59" s="13"/>
      <c r="AM59" s="13"/>
      <c r="AN59" s="13"/>
      <c r="AO59" s="13"/>
      <c r="AP59" s="13"/>
      <c r="AQ59" s="13"/>
      <c r="AR59" s="13"/>
    </row>
    <row r="60" customFormat="false" ht="12.8" hidden="false" customHeight="false" outlineLevel="0" collapsed="false">
      <c r="A60" s="11"/>
      <c r="C60" s="17" t="n">
        <v>2.13</v>
      </c>
      <c r="D60" s="18" t="n">
        <v>2.72</v>
      </c>
      <c r="E60" s="18" t="n">
        <v>2.66</v>
      </c>
      <c r="F60" s="19" t="n">
        <v>2.43</v>
      </c>
      <c r="G60" s="19" t="n">
        <v>2.79</v>
      </c>
      <c r="H60" s="20" t="n">
        <v>2.24</v>
      </c>
      <c r="J60" s="44" t="e">
        <f aca="false">((C56-C60)/($C64*$F$1))/(J52-J56)</f>
        <v>#DIV/0!</v>
      </c>
      <c r="K60" s="45" t="e">
        <f aca="false">((D56-D60)/($C64*$F$1))/(K52-K56)</f>
        <v>#DIV/0!</v>
      </c>
      <c r="L60" s="45" t="e">
        <f aca="false">((E56-E60)/($C64*$F$1))/(L52-L56)</f>
        <v>#DIV/0!</v>
      </c>
      <c r="M60" s="45" t="e">
        <f aca="false">((F56-F60)/($C64*$F$1))/(M52-M56)</f>
        <v>#DIV/0!</v>
      </c>
      <c r="N60" s="45" t="e">
        <f aca="false">((G56-G60)/($C64*$F$1))/(N52-N56)</f>
        <v>#DIV/0!</v>
      </c>
      <c r="O60" s="46" t="e">
        <f aca="false">((H56-H60)/($C64*$F$1))/(O52-O56)</f>
        <v>#DIV/0!</v>
      </c>
      <c r="Q60" s="47" t="e">
        <f aca="false">SUM(J60:L61)/SUM(J60:O61)</f>
        <v>#DIV/0!</v>
      </c>
      <c r="R60" s="47"/>
      <c r="S60" s="47" t="e">
        <f aca="false">SUM(M60:O61)/SUM(J60:O61)</f>
        <v>#DIV/0!</v>
      </c>
      <c r="T60" s="47"/>
      <c r="AK60" s="48" t="e">
        <f aca="false">AVERAGE(J60:L60)</f>
        <v>#DIV/0!</v>
      </c>
      <c r="AL60" s="48"/>
      <c r="AM60" s="48"/>
      <c r="AN60" s="48"/>
      <c r="AO60" s="48" t="e">
        <f aca="false">AVERAGE(M60:O60)</f>
        <v>#DIV/0!</v>
      </c>
      <c r="AP60" s="48"/>
      <c r="AQ60" s="48"/>
      <c r="AR60" s="48"/>
    </row>
    <row r="61" customFormat="false" ht="12.8" hidden="false" customHeight="false" outlineLevel="0" collapsed="false">
      <c r="A61" s="11"/>
      <c r="C61" s="25"/>
      <c r="D61" s="26"/>
      <c r="E61" s="26"/>
      <c r="F61" s="27" t="n">
        <v>2.15</v>
      </c>
      <c r="G61" s="27" t="n">
        <v>2.8</v>
      </c>
      <c r="H61" s="28" t="n">
        <v>2.49</v>
      </c>
      <c r="J61" s="44" t="e">
        <f aca="false">((C57-C61)/($C64*$F$1))/(J53-J57)</f>
        <v>#DIV/0!</v>
      </c>
      <c r="K61" s="45" t="e">
        <f aca="false">((D57-D61)/($C64*$F$1))/(K53-K57)</f>
        <v>#DIV/0!</v>
      </c>
      <c r="L61" s="45" t="e">
        <f aca="false">((E57-E61)/($C64*$F$1))/(L53-L57)</f>
        <v>#DIV/0!</v>
      </c>
      <c r="M61" s="45" t="e">
        <f aca="false">((F57-F61)/($C64*$F$1))/(M53-M57)</f>
        <v>#DIV/0!</v>
      </c>
      <c r="N61" s="45" t="e">
        <f aca="false">((G57-G61)/($C64*$F$1))/(N53-N57)</f>
        <v>#DIV/0!</v>
      </c>
      <c r="O61" s="46" t="e">
        <f aca="false">((H57-H61)/($C64*$F$1))/(O53-O57)</f>
        <v>#DIV/0!</v>
      </c>
      <c r="Q61" s="47"/>
      <c r="R61" s="47"/>
      <c r="S61" s="47"/>
      <c r="T61" s="47"/>
      <c r="AK61" s="48" t="e">
        <f aca="false">AVERAGE(J61:L61)</f>
        <v>#DIV/0!</v>
      </c>
      <c r="AL61" s="48"/>
      <c r="AM61" s="48"/>
      <c r="AN61" s="48"/>
      <c r="AO61" s="48" t="e">
        <f aca="false">AVERAGE(M61:O61)</f>
        <v>#DIV/0!</v>
      </c>
      <c r="AP61" s="48"/>
      <c r="AQ61" s="48"/>
      <c r="AR61" s="48"/>
    </row>
    <row r="62" customFormat="false" ht="12.8" hidden="false" customHeight="false" outlineLevel="0" collapsed="false">
      <c r="A62" s="11"/>
    </row>
    <row r="63" customFormat="false" ht="12.8" hidden="false" customHeight="false" outlineLevel="0" collapsed="false">
      <c r="A63" s="11"/>
      <c r="C63" s="13" t="s">
        <v>16</v>
      </c>
      <c r="D63" s="13"/>
      <c r="E63" s="13"/>
      <c r="F63" s="13"/>
      <c r="G63" s="13"/>
      <c r="H63" s="13"/>
      <c r="J63" s="13" t="s">
        <v>17</v>
      </c>
      <c r="K63" s="13"/>
      <c r="L63" s="13"/>
      <c r="M63" s="13"/>
      <c r="N63" s="13"/>
      <c r="O63" s="13"/>
      <c r="Q63" s="13" t="s">
        <v>18</v>
      </c>
      <c r="R63" s="13"/>
      <c r="S63" s="13"/>
      <c r="T63" s="13"/>
    </row>
    <row r="64" customFormat="false" ht="12.8" hidden="false" customHeight="false" outlineLevel="0" collapsed="false">
      <c r="A64" s="11"/>
      <c r="C64" s="57"/>
      <c r="D64" s="57"/>
      <c r="E64" s="57"/>
      <c r="F64" s="57"/>
      <c r="G64" s="57"/>
      <c r="H64" s="57"/>
      <c r="I64" s="32"/>
      <c r="J64" s="50" t="n">
        <f aca="false">C64*(J52-J56)/(C56-C60)</f>
        <v>0</v>
      </c>
      <c r="K64" s="51" t="n">
        <f aca="false">C64*(K52-K56)/(D56-D60)</f>
        <v>-0</v>
      </c>
      <c r="L64" s="51" t="n">
        <f aca="false">$C64*(L52-L56)/(E56-E60)</f>
        <v>0</v>
      </c>
      <c r="M64" s="51" t="n">
        <f aca="false">$C64*(M52-M56)/(G56-G60)</f>
        <v>-0</v>
      </c>
      <c r="N64" s="51" t="n">
        <f aca="false">$C64*(N52-N56)/(H56-H60)</f>
        <v>0</v>
      </c>
      <c r="O64" s="52" t="n">
        <f aca="false">C64*(O52-O56)/(H56-H60)</f>
        <v>0</v>
      </c>
      <c r="Q64" s="21" t="e">
        <f aca="false">IF(V53&gt;0,CONCATENATE("less ",V53),CONCATENATE("more ",V53))</f>
        <v>#DIV/0!</v>
      </c>
      <c r="R64" s="21"/>
      <c r="S64" s="53" t="e">
        <f aca="false">IF(X53&gt;0,CONCATENATE("less ",X53),CONCATENATE("more ",X53))</f>
        <v>#DIV/0!</v>
      </c>
      <c r="T64" s="53"/>
    </row>
    <row r="65" customFormat="false" ht="12.8" hidden="false" customHeight="false" outlineLevel="0" collapsed="false">
      <c r="A65" s="11"/>
      <c r="C65" s="57"/>
      <c r="D65" s="57"/>
      <c r="E65" s="57"/>
      <c r="F65" s="57"/>
      <c r="G65" s="57"/>
      <c r="H65" s="57"/>
      <c r="I65" s="32"/>
      <c r="J65" s="50" t="n">
        <f aca="false">C64*(J53-J57)/(C57-C61)</f>
        <v>0</v>
      </c>
      <c r="K65" s="51" t="n">
        <f aca="false">C64*(K53-K57)/(D57-D61)</f>
        <v>0</v>
      </c>
      <c r="L65" s="51" t="n">
        <f aca="false">$C64*(L53-L57)/(E57-E61)</f>
        <v>0</v>
      </c>
      <c r="M65" s="51" t="n">
        <f aca="false">$C64*(M53-M57)/(G57-G61)</f>
        <v>-0</v>
      </c>
      <c r="N65" s="51" t="n">
        <f aca="false">$C64*(N53-N57)/(H57-H61)</f>
        <v>0</v>
      </c>
      <c r="O65" s="52" t="n">
        <f aca="false">C64*(O53-O57)/(H57-H61)</f>
        <v>0</v>
      </c>
      <c r="Q65" s="53" t="e">
        <f aca="false">IF(V54&gt;0,CONCATENATE("less ",V54),CONCATENATE("more ",V54))</f>
        <v>#DIV/0!</v>
      </c>
      <c r="R65" s="53"/>
      <c r="S65" s="53" t="e">
        <f aca="false">IF(X54&gt;0,CONCATENATE("less ",X54),CONCATENATE("more ",X54))</f>
        <v>#DIV/0!</v>
      </c>
      <c r="T65" s="53"/>
    </row>
    <row r="66" customFormat="false" ht="30" hidden="false" customHeight="true" outlineLevel="0" collapsed="false">
      <c r="A66" s="54"/>
      <c r="C66" s="55"/>
      <c r="D66" s="55"/>
      <c r="E66" s="55"/>
      <c r="F66" s="55"/>
      <c r="G66" s="55"/>
      <c r="H66" s="55"/>
      <c r="I66" s="32"/>
      <c r="J66" s="56"/>
      <c r="K66" s="56"/>
      <c r="L66" s="56"/>
      <c r="M66" s="56"/>
      <c r="N66" s="56"/>
      <c r="O66" s="56"/>
      <c r="Q66" s="31"/>
      <c r="R66" s="31"/>
      <c r="S66" s="31"/>
      <c r="T66" s="31"/>
    </row>
    <row r="67" customFormat="false" ht="13.5" hidden="false" customHeight="true" outlineLevel="0" collapsed="false">
      <c r="A67" s="11" t="n">
        <v>8207</v>
      </c>
      <c r="C67" s="12" t="s">
        <v>5</v>
      </c>
      <c r="D67" s="12"/>
      <c r="E67" s="12"/>
      <c r="F67" s="12"/>
      <c r="G67" s="12"/>
      <c r="H67" s="12"/>
      <c r="J67" s="13" t="s">
        <v>6</v>
      </c>
      <c r="K67" s="13"/>
      <c r="L67" s="13"/>
      <c r="M67" s="13"/>
      <c r="N67" s="13"/>
      <c r="O67" s="13"/>
      <c r="Q67" s="13" t="s">
        <v>7</v>
      </c>
      <c r="R67" s="13"/>
      <c r="S67" s="13"/>
      <c r="T67" s="13"/>
      <c r="V67" s="2" t="n">
        <v>1</v>
      </c>
      <c r="W67" s="2" t="n">
        <v>2</v>
      </c>
      <c r="X67" s="2" t="n">
        <v>3</v>
      </c>
    </row>
    <row r="68" customFormat="false" ht="13.5" hidden="false" customHeight="true" outlineLevel="0" collapsed="false">
      <c r="A68" s="11"/>
      <c r="C68" s="15" t="s">
        <v>19</v>
      </c>
      <c r="D68" s="15"/>
      <c r="E68" s="15"/>
      <c r="F68" s="16" t="s">
        <v>19</v>
      </c>
      <c r="G68" s="16"/>
      <c r="H68" s="16"/>
      <c r="J68" s="17" t="n">
        <v>2.7</v>
      </c>
      <c r="K68" s="18" t="n">
        <v>3</v>
      </c>
      <c r="L68" s="18" t="n">
        <v>2.75</v>
      </c>
      <c r="M68" s="19" t="n">
        <v>2.75</v>
      </c>
      <c r="N68" s="19" t="n">
        <v>3</v>
      </c>
      <c r="O68" s="20" t="n">
        <v>2.7</v>
      </c>
      <c r="Q68" s="21" t="n">
        <f aca="false">MIN(J80:L80)/$M$1</f>
        <v>0</v>
      </c>
      <c r="R68" s="21"/>
      <c r="S68" s="21" t="n">
        <f aca="false">MIN(M80:O80)/$M$1</f>
        <v>-0</v>
      </c>
      <c r="T68" s="21"/>
      <c r="V68" s="22" t="s">
        <v>9</v>
      </c>
      <c r="W68" s="22"/>
      <c r="X68" s="22"/>
    </row>
    <row r="69" customFormat="false" ht="13.5" hidden="false" customHeight="true" outlineLevel="0" collapsed="false">
      <c r="A69" s="11"/>
      <c r="C69" s="23" t="s">
        <v>19</v>
      </c>
      <c r="D69" s="23"/>
      <c r="E69" s="23"/>
      <c r="F69" s="24" t="s">
        <v>19</v>
      </c>
      <c r="G69" s="24"/>
      <c r="H69" s="24"/>
      <c r="J69" s="25" t="n">
        <v>2.7</v>
      </c>
      <c r="K69" s="26" t="n">
        <v>3</v>
      </c>
      <c r="L69" s="26" t="n">
        <v>2.7</v>
      </c>
      <c r="M69" s="27" t="n">
        <v>2.7</v>
      </c>
      <c r="N69" s="27" t="n">
        <v>3</v>
      </c>
      <c r="O69" s="28" t="n">
        <v>2.7</v>
      </c>
      <c r="Q69" s="29" t="n">
        <f aca="false">MIN(J81:L81)/$M$1</f>
        <v>0</v>
      </c>
      <c r="R69" s="29"/>
      <c r="S69" s="29" t="n">
        <f aca="false">MIN(M81:O81)/$M$1</f>
        <v>0</v>
      </c>
      <c r="T69" s="29"/>
      <c r="V69" s="30" t="e">
        <f aca="false">ROUNDUP(INDEX(LINEST(J76:L76,V67:X67,,1),1,1)*$Y$1,1)</f>
        <v>#DIV/0!</v>
      </c>
      <c r="W69" s="30"/>
      <c r="X69" s="31" t="e">
        <f aca="false">-ROUNDUP(INDEX(LINEST(M76:O76,V67:X67,,1),1,1)*$Y$1,1)</f>
        <v>#DIV/0!</v>
      </c>
    </row>
    <row r="70" customFormat="false" ht="13.5" hidden="false" customHeight="true" outlineLevel="0" collapsed="false">
      <c r="A70" s="11"/>
      <c r="J70" s="32"/>
      <c r="K70" s="32"/>
      <c r="L70" s="32"/>
      <c r="M70" s="32"/>
      <c r="N70" s="32"/>
      <c r="O70" s="32"/>
      <c r="V70" s="30" t="e">
        <f aca="false">ROUNDUP(INDEX(LINEST(J77:L77,V67:X67,,1),1,1)*$Y$1,1)</f>
        <v>#DIV/0!</v>
      </c>
      <c r="W70" s="30"/>
      <c r="X70" s="31" t="e">
        <f aca="false">-ROUNDUP(INDEX(LINEST(M77:O77,V67:X67,,1),1,1)*$Y$1,1)</f>
        <v>#DIV/0!</v>
      </c>
    </row>
    <row r="71" customFormat="false" ht="13.5" hidden="false" customHeight="true" outlineLevel="0" collapsed="false">
      <c r="A71" s="11"/>
      <c r="C71" s="13"/>
      <c r="D71" s="13"/>
      <c r="E71" s="13"/>
      <c r="F71" s="13"/>
      <c r="G71" s="13"/>
      <c r="H71" s="13"/>
      <c r="J71" s="33" t="s">
        <v>11</v>
      </c>
      <c r="K71" s="33"/>
      <c r="L71" s="33"/>
      <c r="M71" s="33"/>
      <c r="N71" s="33"/>
      <c r="O71" s="33"/>
      <c r="Q71" s="13" t="s">
        <v>12</v>
      </c>
      <c r="R71" s="13"/>
      <c r="S71" s="13"/>
      <c r="T71" s="13"/>
    </row>
    <row r="72" customFormat="false" ht="13.5" hidden="false" customHeight="true" outlineLevel="0" collapsed="false">
      <c r="A72" s="11"/>
      <c r="C72" s="17" t="n">
        <v>2.73</v>
      </c>
      <c r="D72" s="18" t="n">
        <v>2.72</v>
      </c>
      <c r="E72" s="18" t="n">
        <v>2.74</v>
      </c>
      <c r="F72" s="19" t="n">
        <v>2.73</v>
      </c>
      <c r="G72" s="19" t="n">
        <v>2.74</v>
      </c>
      <c r="H72" s="20" t="n">
        <v>2.74</v>
      </c>
      <c r="J72" s="34" t="n">
        <v>0.2</v>
      </c>
      <c r="K72" s="35" t="n">
        <v>0.2</v>
      </c>
      <c r="L72" s="35" t="n">
        <v>0.2</v>
      </c>
      <c r="M72" s="36" t="n">
        <v>0.2</v>
      </c>
      <c r="N72" s="36" t="n">
        <v>0.2</v>
      </c>
      <c r="O72" s="37" t="n">
        <v>0.2</v>
      </c>
      <c r="Q72" s="38" t="e">
        <f aca="false">SUM(J76:O76)/SUM(J76:O77)</f>
        <v>#DIV/0!</v>
      </c>
      <c r="R72" s="38"/>
      <c r="S72" s="38"/>
      <c r="T72" s="38"/>
    </row>
    <row r="73" customFormat="false" ht="13.5" hidden="false" customHeight="true" outlineLevel="0" collapsed="false">
      <c r="A73" s="11"/>
      <c r="C73" s="25" t="n">
        <v>2.69</v>
      </c>
      <c r="D73" s="26" t="n">
        <v>2.69</v>
      </c>
      <c r="E73" s="26" t="n">
        <v>2.66</v>
      </c>
      <c r="F73" s="27" t="n">
        <v>2.67</v>
      </c>
      <c r="G73" s="27" t="n">
        <v>2.68</v>
      </c>
      <c r="H73" s="28" t="n">
        <v>2.68</v>
      </c>
      <c r="J73" s="40" t="n">
        <v>0.2</v>
      </c>
      <c r="K73" s="41" t="n">
        <v>0.2</v>
      </c>
      <c r="L73" s="41" t="n">
        <v>0.2</v>
      </c>
      <c r="M73" s="42" t="n">
        <v>0.2</v>
      </c>
      <c r="N73" s="42" t="n">
        <v>0.2</v>
      </c>
      <c r="O73" s="43" t="n">
        <v>0.2</v>
      </c>
      <c r="Q73" s="38" t="e">
        <f aca="false">SUM(J77:O77)/SUM(J76:O77)</f>
        <v>#DIV/0!</v>
      </c>
      <c r="R73" s="38"/>
      <c r="S73" s="38"/>
      <c r="T73" s="38"/>
    </row>
    <row r="74" customFormat="false" ht="12.8" hidden="false" customHeight="false" outlineLevel="0" collapsed="false">
      <c r="A74" s="11"/>
      <c r="C74" s="32"/>
      <c r="D74" s="32"/>
      <c r="E74" s="32"/>
      <c r="F74" s="32"/>
      <c r="G74" s="32"/>
      <c r="H74" s="32"/>
    </row>
    <row r="75" customFormat="false" ht="12.8" hidden="false" customHeight="false" outlineLevel="0" collapsed="false">
      <c r="A75" s="11"/>
      <c r="C75" s="33" t="s">
        <v>13</v>
      </c>
      <c r="D75" s="33"/>
      <c r="E75" s="33"/>
      <c r="F75" s="33"/>
      <c r="G75" s="33"/>
      <c r="H75" s="33"/>
      <c r="J75" s="13" t="s">
        <v>14</v>
      </c>
      <c r="K75" s="13"/>
      <c r="L75" s="13"/>
      <c r="M75" s="13"/>
      <c r="N75" s="13"/>
      <c r="O75" s="13"/>
      <c r="Q75" s="13" t="s">
        <v>15</v>
      </c>
      <c r="R75" s="13"/>
      <c r="S75" s="13"/>
      <c r="T75" s="13"/>
      <c r="AK75" s="13" t="s">
        <v>14</v>
      </c>
      <c r="AL75" s="13"/>
      <c r="AM75" s="13"/>
      <c r="AN75" s="13"/>
      <c r="AO75" s="13"/>
      <c r="AP75" s="13"/>
      <c r="AQ75" s="13"/>
      <c r="AR75" s="13"/>
    </row>
    <row r="76" customFormat="false" ht="12.8" hidden="false" customHeight="false" outlineLevel="0" collapsed="false">
      <c r="A76" s="11"/>
      <c r="C76" s="17" t="n">
        <v>2.32</v>
      </c>
      <c r="D76" s="18" t="n">
        <v>2.82</v>
      </c>
      <c r="E76" s="18" t="n">
        <v>2.98</v>
      </c>
      <c r="F76" s="19" t="n">
        <v>2.26</v>
      </c>
      <c r="G76" s="19" t="n">
        <v>2.79</v>
      </c>
      <c r="H76" s="20" t="n">
        <v>2.28</v>
      </c>
      <c r="J76" s="44" t="e">
        <f aca="false">((C72-C76)/($C80*$F$1))/(J68-J72)</f>
        <v>#DIV/0!</v>
      </c>
      <c r="K76" s="45" t="e">
        <f aca="false">((D72-D76)/($C80*$F$1))/(K68-K72)</f>
        <v>#DIV/0!</v>
      </c>
      <c r="L76" s="45" t="e">
        <f aca="false">((E72-E76)/($C80*$F$1))/(L68-L72)</f>
        <v>#DIV/0!</v>
      </c>
      <c r="M76" s="45" t="e">
        <f aca="false">((F72-F76)/($C80*$F$1))/(M68-M72)</f>
        <v>#DIV/0!</v>
      </c>
      <c r="N76" s="45" t="e">
        <f aca="false">((G72-G76)/($C80*$F$1))/(N68-N72)</f>
        <v>#DIV/0!</v>
      </c>
      <c r="O76" s="46" t="e">
        <f aca="false">((H72-H76)/($C80*$F$1))/(O68-O72)</f>
        <v>#DIV/0!</v>
      </c>
      <c r="Q76" s="47" t="e">
        <f aca="false">SUM(J76:L77)/SUM(J76:O77)</f>
        <v>#DIV/0!</v>
      </c>
      <c r="R76" s="47"/>
      <c r="S76" s="47" t="e">
        <f aca="false">SUM(M76:O77)/SUM(J76:O77)</f>
        <v>#DIV/0!</v>
      </c>
      <c r="T76" s="47"/>
      <c r="AK76" s="48" t="e">
        <f aca="false">AVERAGE(J76:L76)</f>
        <v>#DIV/0!</v>
      </c>
      <c r="AL76" s="48"/>
      <c r="AM76" s="48"/>
      <c r="AN76" s="48"/>
      <c r="AO76" s="48" t="e">
        <f aca="false">AVERAGE(M76:O76)</f>
        <v>#DIV/0!</v>
      </c>
      <c r="AP76" s="48"/>
      <c r="AQ76" s="48"/>
      <c r="AR76" s="48"/>
    </row>
    <row r="77" customFormat="false" ht="12.8" hidden="false" customHeight="false" outlineLevel="0" collapsed="false">
      <c r="A77" s="11"/>
      <c r="C77" s="25" t="n">
        <v>2.22</v>
      </c>
      <c r="D77" s="26" t="n">
        <v>2.19</v>
      </c>
      <c r="E77" s="26" t="n">
        <v>2.61</v>
      </c>
      <c r="F77" s="27" t="n">
        <v>2.2</v>
      </c>
      <c r="G77" s="27" t="n">
        <v>2.4</v>
      </c>
      <c r="H77" s="28" t="n">
        <v>2.16</v>
      </c>
      <c r="J77" s="44" t="e">
        <f aca="false">((C73-C77)/($C80*$F$1))/(J69-J73)</f>
        <v>#DIV/0!</v>
      </c>
      <c r="K77" s="45" t="e">
        <f aca="false">((D73-D77)/($C80*$F$1))/(K69-K73)</f>
        <v>#DIV/0!</v>
      </c>
      <c r="L77" s="45" t="e">
        <f aca="false">((E73-E77)/($C80*$F$1))/(L69-L73)</f>
        <v>#DIV/0!</v>
      </c>
      <c r="M77" s="45" t="e">
        <f aca="false">((F73-F77)/($C80*$F$1))/(M69-M73)</f>
        <v>#DIV/0!</v>
      </c>
      <c r="N77" s="45" t="e">
        <f aca="false">((G73-G77)/($C80*$F$1))/(N69-N73)</f>
        <v>#DIV/0!</v>
      </c>
      <c r="O77" s="46" t="e">
        <f aca="false">((H73-H77)/($C80*$F$1))/(O69-O73)</f>
        <v>#DIV/0!</v>
      </c>
      <c r="Q77" s="47"/>
      <c r="R77" s="47"/>
      <c r="S77" s="47"/>
      <c r="T77" s="47"/>
      <c r="AK77" s="48" t="e">
        <f aca="false">AVERAGE(J77:L77)</f>
        <v>#DIV/0!</v>
      </c>
      <c r="AL77" s="48"/>
      <c r="AM77" s="48"/>
      <c r="AN77" s="48"/>
      <c r="AO77" s="48" t="e">
        <f aca="false">AVERAGE(M77:O77)</f>
        <v>#DIV/0!</v>
      </c>
      <c r="AP77" s="48"/>
      <c r="AQ77" s="48"/>
      <c r="AR77" s="48"/>
    </row>
    <row r="78" customFormat="false" ht="12.8" hidden="false" customHeight="false" outlineLevel="0" collapsed="false">
      <c r="A78" s="11"/>
    </row>
    <row r="79" customFormat="false" ht="12.8" hidden="false" customHeight="false" outlineLevel="0" collapsed="false">
      <c r="A79" s="11"/>
      <c r="C79" s="13" t="s">
        <v>16</v>
      </c>
      <c r="D79" s="13"/>
      <c r="E79" s="13"/>
      <c r="F79" s="13"/>
      <c r="G79" s="13"/>
      <c r="H79" s="13"/>
      <c r="J79" s="13" t="s">
        <v>17</v>
      </c>
      <c r="K79" s="13"/>
      <c r="L79" s="13"/>
      <c r="M79" s="13"/>
      <c r="N79" s="13"/>
      <c r="O79" s="13"/>
      <c r="Q79" s="13" t="s">
        <v>18</v>
      </c>
      <c r="R79" s="13"/>
      <c r="S79" s="13"/>
      <c r="T79" s="13"/>
    </row>
    <row r="80" customFormat="false" ht="12.8" hidden="false" customHeight="false" outlineLevel="0" collapsed="false">
      <c r="A80" s="11"/>
      <c r="C80" s="49"/>
      <c r="D80" s="49"/>
      <c r="E80" s="49"/>
      <c r="F80" s="49"/>
      <c r="G80" s="49"/>
      <c r="H80" s="49"/>
      <c r="I80" s="32"/>
      <c r="J80" s="50" t="n">
        <f aca="false">C80*(J68-J72)/(C72-C76)</f>
        <v>0</v>
      </c>
      <c r="K80" s="51" t="n">
        <f aca="false">C80*(K68-K72)/(D72-D76)</f>
        <v>-0</v>
      </c>
      <c r="L80" s="51" t="n">
        <f aca="false">$C80*(L68-L72)/(E72-E76)</f>
        <v>-0</v>
      </c>
      <c r="M80" s="51" t="n">
        <f aca="false">$C80*(M68-M72)/(G72-G76)</f>
        <v>-0</v>
      </c>
      <c r="N80" s="51" t="n">
        <f aca="false">$C80*(N68-N72)/(H72-H76)</f>
        <v>0</v>
      </c>
      <c r="O80" s="52" t="n">
        <f aca="false">C80*(O68-O72)/(H72-H76)</f>
        <v>0</v>
      </c>
      <c r="Q80" s="21" t="e">
        <f aca="false">IF(V69&gt;0,CONCATENATE("less ",V69),CONCATENATE("more ",V69))</f>
        <v>#DIV/0!</v>
      </c>
      <c r="R80" s="21"/>
      <c r="S80" s="53" t="e">
        <f aca="false">IF(X69&gt;0,CONCATENATE("less ",X69),CONCATENATE("more ",X69))</f>
        <v>#DIV/0!</v>
      </c>
      <c r="T80" s="53"/>
    </row>
    <row r="81" customFormat="false" ht="12.8" hidden="false" customHeight="false" outlineLevel="0" collapsed="false">
      <c r="A81" s="11"/>
      <c r="C81" s="49"/>
      <c r="D81" s="49"/>
      <c r="E81" s="49"/>
      <c r="F81" s="49"/>
      <c r="G81" s="49"/>
      <c r="H81" s="49"/>
      <c r="I81" s="32"/>
      <c r="J81" s="50" t="n">
        <f aca="false">C80*(J69-J73)/(C73-C77)</f>
        <v>0</v>
      </c>
      <c r="K81" s="51" t="n">
        <f aca="false">C80*(K69-K73)/(D73-D77)</f>
        <v>0</v>
      </c>
      <c r="L81" s="51" t="n">
        <f aca="false">$C80*(L69-L73)/(E73-E77)</f>
        <v>0</v>
      </c>
      <c r="M81" s="51" t="n">
        <f aca="false">$C80*(M69-M73)/(G73-G77)</f>
        <v>0</v>
      </c>
      <c r="N81" s="51" t="n">
        <f aca="false">$C80*(N69-N73)/(H73-H77)</f>
        <v>0</v>
      </c>
      <c r="O81" s="52" t="n">
        <f aca="false">C80*(O69-O73)/(H73-H77)</f>
        <v>0</v>
      </c>
      <c r="Q81" s="53" t="e">
        <f aca="false">IF(V70&gt;0,CONCATENATE("less ",V70),CONCATENATE("more ",V70))</f>
        <v>#DIV/0!</v>
      </c>
      <c r="R81" s="53"/>
      <c r="S81" s="53" t="e">
        <f aca="false">IF(X70&gt;0,CONCATENATE("less ",X70),CONCATENATE("more ",X70))</f>
        <v>#DIV/0!</v>
      </c>
      <c r="T81" s="53"/>
    </row>
    <row r="82" customFormat="false" ht="30" hidden="false" customHeight="true" outlineLevel="0" collapsed="false">
      <c r="A82" s="54"/>
      <c r="C82" s="55"/>
      <c r="D82" s="55"/>
      <c r="E82" s="55"/>
      <c r="F82" s="55"/>
      <c r="G82" s="55"/>
      <c r="H82" s="55"/>
      <c r="I82" s="32"/>
      <c r="J82" s="56"/>
      <c r="K82" s="56"/>
      <c r="L82" s="56"/>
      <c r="M82" s="56"/>
      <c r="N82" s="56"/>
      <c r="O82" s="56"/>
      <c r="Q82" s="31"/>
      <c r="R82" s="31"/>
      <c r="S82" s="31"/>
      <c r="T82" s="31"/>
    </row>
    <row r="83" customFormat="false" ht="13.5" hidden="false" customHeight="true" outlineLevel="0" collapsed="false">
      <c r="A83" s="11" t="n">
        <v>8208</v>
      </c>
      <c r="C83" s="12" t="s">
        <v>5</v>
      </c>
      <c r="D83" s="12"/>
      <c r="E83" s="12"/>
      <c r="F83" s="12"/>
      <c r="G83" s="12"/>
      <c r="H83" s="12"/>
      <c r="J83" s="13" t="s">
        <v>6</v>
      </c>
      <c r="K83" s="13"/>
      <c r="L83" s="13"/>
      <c r="M83" s="13"/>
      <c r="N83" s="13"/>
      <c r="O83" s="13"/>
      <c r="Q83" s="13" t="s">
        <v>7</v>
      </c>
      <c r="R83" s="13"/>
      <c r="S83" s="13"/>
      <c r="T83" s="13"/>
      <c r="V83" s="2" t="n">
        <v>1</v>
      </c>
      <c r="W83" s="2" t="n">
        <v>2</v>
      </c>
      <c r="X83" s="2" t="n">
        <v>3</v>
      </c>
    </row>
    <row r="84" customFormat="false" ht="13.5" hidden="false" customHeight="true" outlineLevel="0" collapsed="false">
      <c r="A84" s="11"/>
      <c r="C84" s="15" t="s">
        <v>19</v>
      </c>
      <c r="D84" s="15"/>
      <c r="E84" s="15"/>
      <c r="F84" s="16" t="s">
        <v>19</v>
      </c>
      <c r="G84" s="16"/>
      <c r="H84" s="16"/>
      <c r="J84" s="17" t="n">
        <v>2.7</v>
      </c>
      <c r="K84" s="18" t="n">
        <v>3</v>
      </c>
      <c r="L84" s="18" t="n">
        <v>2.75</v>
      </c>
      <c r="M84" s="19" t="n">
        <v>2.75</v>
      </c>
      <c r="N84" s="19" t="n">
        <v>3</v>
      </c>
      <c r="O84" s="20" t="n">
        <v>2.7</v>
      </c>
      <c r="Q84" s="21" t="n">
        <f aca="false">MIN(J96:L96)/$M$1</f>
        <v>0</v>
      </c>
      <c r="R84" s="21"/>
      <c r="S84" s="21" t="n">
        <f aca="false">MIN(M96:O96)/$M$1</f>
        <v>0</v>
      </c>
      <c r="T84" s="21"/>
      <c r="V84" s="22" t="s">
        <v>9</v>
      </c>
      <c r="W84" s="22"/>
      <c r="X84" s="22"/>
    </row>
    <row r="85" customFormat="false" ht="13.5" hidden="false" customHeight="true" outlineLevel="0" collapsed="false">
      <c r="A85" s="11"/>
      <c r="C85" s="23" t="s">
        <v>19</v>
      </c>
      <c r="D85" s="23"/>
      <c r="E85" s="23"/>
      <c r="F85" s="24" t="s">
        <v>19</v>
      </c>
      <c r="G85" s="24"/>
      <c r="H85" s="24"/>
      <c r="J85" s="25" t="n">
        <v>2.7</v>
      </c>
      <c r="K85" s="26" t="n">
        <v>3</v>
      </c>
      <c r="L85" s="26" t="n">
        <v>2.7</v>
      </c>
      <c r="M85" s="27" t="n">
        <v>2.7</v>
      </c>
      <c r="N85" s="27" t="n">
        <v>3</v>
      </c>
      <c r="O85" s="28" t="n">
        <v>2.7</v>
      </c>
      <c r="Q85" s="29" t="n">
        <f aca="false">MIN(J97:L97)/$M$1</f>
        <v>0</v>
      </c>
      <c r="R85" s="29"/>
      <c r="S85" s="29" t="n">
        <f aca="false">MIN(M97:O97)/$M$1</f>
        <v>0</v>
      </c>
      <c r="T85" s="29"/>
      <c r="V85" s="30" t="e">
        <f aca="false">ROUNDUP(INDEX(LINEST(J92:L92,V83:X83,,1),1,1)*$Y$1,1)</f>
        <v>#DIV/0!</v>
      </c>
      <c r="W85" s="30"/>
      <c r="X85" s="31" t="e">
        <f aca="false">-ROUNDUP(INDEX(LINEST(M92:O92,V83:X83,,1),1,1)*$Y$1,1)</f>
        <v>#DIV/0!</v>
      </c>
    </row>
    <row r="86" customFormat="false" ht="13.5" hidden="false" customHeight="true" outlineLevel="0" collapsed="false">
      <c r="A86" s="11"/>
      <c r="J86" s="32"/>
      <c r="K86" s="32"/>
      <c r="L86" s="32"/>
      <c r="M86" s="32"/>
      <c r="N86" s="32"/>
      <c r="O86" s="32"/>
      <c r="V86" s="30" t="e">
        <f aca="false">ROUNDUP(INDEX(LINEST(J93:L93,V83:X83,,1),1,1)*$Y$1,1)</f>
        <v>#DIV/0!</v>
      </c>
      <c r="W86" s="30"/>
      <c r="X86" s="31" t="e">
        <f aca="false">-ROUNDUP(INDEX(LINEST(M93:O93,V83:X83,,1),1,1)*$Y$1,1)</f>
        <v>#DIV/0!</v>
      </c>
    </row>
    <row r="87" customFormat="false" ht="13.5" hidden="false" customHeight="true" outlineLevel="0" collapsed="false">
      <c r="A87" s="11"/>
      <c r="C87" s="13" t="s">
        <v>10</v>
      </c>
      <c r="D87" s="13"/>
      <c r="E87" s="13"/>
      <c r="F87" s="13"/>
      <c r="G87" s="13"/>
      <c r="H87" s="13"/>
      <c r="J87" s="33" t="s">
        <v>11</v>
      </c>
      <c r="K87" s="33"/>
      <c r="L87" s="33"/>
      <c r="M87" s="33"/>
      <c r="N87" s="33"/>
      <c r="O87" s="33"/>
      <c r="Q87" s="13" t="s">
        <v>12</v>
      </c>
      <c r="R87" s="13"/>
      <c r="S87" s="13"/>
      <c r="T87" s="13"/>
    </row>
    <row r="88" customFormat="false" ht="13.5" hidden="false" customHeight="true" outlineLevel="0" collapsed="false">
      <c r="A88" s="11"/>
      <c r="C88" s="17" t="n">
        <v>2.73</v>
      </c>
      <c r="D88" s="18" t="n">
        <v>2.81</v>
      </c>
      <c r="E88" s="18" t="n">
        <v>2.7</v>
      </c>
      <c r="F88" s="19" t="n">
        <v>2.67</v>
      </c>
      <c r="G88" s="19" t="n">
        <v>2.74</v>
      </c>
      <c r="H88" s="20" t="n">
        <v>2.81</v>
      </c>
      <c r="J88" s="34" t="n">
        <v>0.2</v>
      </c>
      <c r="K88" s="35" t="n">
        <v>0.2</v>
      </c>
      <c r="L88" s="35" t="n">
        <v>0.2</v>
      </c>
      <c r="M88" s="36" t="n">
        <v>0.2</v>
      </c>
      <c r="N88" s="36" t="n">
        <v>0.2</v>
      </c>
      <c r="O88" s="37" t="n">
        <v>0.2</v>
      </c>
      <c r="Q88" s="38" t="e">
        <f aca="false">SUM(J92:O92)/SUM(J92:O93)</f>
        <v>#DIV/0!</v>
      </c>
      <c r="R88" s="38"/>
      <c r="S88" s="38"/>
      <c r="T88" s="38"/>
    </row>
    <row r="89" customFormat="false" ht="13.5" hidden="false" customHeight="true" outlineLevel="0" collapsed="false">
      <c r="A89" s="11"/>
      <c r="C89" s="25" t="n">
        <v>2.8</v>
      </c>
      <c r="D89" s="26" t="n">
        <v>2.7</v>
      </c>
      <c r="E89" s="26" t="n">
        <v>2.66</v>
      </c>
      <c r="F89" s="27" t="n">
        <v>2.63</v>
      </c>
      <c r="G89" s="27" t="n">
        <v>2.63</v>
      </c>
      <c r="H89" s="28" t="n">
        <v>2.72</v>
      </c>
      <c r="J89" s="40" t="n">
        <v>0.2</v>
      </c>
      <c r="K89" s="41" t="n">
        <v>0.2</v>
      </c>
      <c r="L89" s="41" t="n">
        <v>0.2</v>
      </c>
      <c r="M89" s="42" t="n">
        <v>0.2</v>
      </c>
      <c r="N89" s="42" t="n">
        <v>0.2</v>
      </c>
      <c r="O89" s="43" t="n">
        <v>0.2</v>
      </c>
      <c r="Q89" s="38" t="e">
        <f aca="false">SUM(J93:O93)/SUM(J92:O93)</f>
        <v>#DIV/0!</v>
      </c>
      <c r="R89" s="38"/>
      <c r="S89" s="38"/>
      <c r="T89" s="38"/>
    </row>
    <row r="90" customFormat="false" ht="12.8" hidden="false" customHeight="false" outlineLevel="0" collapsed="false">
      <c r="A90" s="11"/>
      <c r="C90" s="32"/>
      <c r="D90" s="32"/>
      <c r="E90" s="32"/>
      <c r="F90" s="32"/>
      <c r="G90" s="32"/>
      <c r="H90" s="32"/>
    </row>
    <row r="91" customFormat="false" ht="12.8" hidden="false" customHeight="false" outlineLevel="0" collapsed="false">
      <c r="A91" s="11"/>
      <c r="C91" s="33" t="s">
        <v>13</v>
      </c>
      <c r="D91" s="33"/>
      <c r="E91" s="33"/>
      <c r="F91" s="33"/>
      <c r="G91" s="33"/>
      <c r="H91" s="33"/>
      <c r="J91" s="13" t="s">
        <v>14</v>
      </c>
      <c r="K91" s="13"/>
      <c r="L91" s="13"/>
      <c r="M91" s="13"/>
      <c r="N91" s="13"/>
      <c r="O91" s="13"/>
      <c r="Q91" s="13" t="s">
        <v>15</v>
      </c>
      <c r="R91" s="13"/>
      <c r="S91" s="13"/>
      <c r="T91" s="13"/>
      <c r="AK91" s="13" t="s">
        <v>14</v>
      </c>
      <c r="AL91" s="13"/>
      <c r="AM91" s="13"/>
      <c r="AN91" s="13"/>
      <c r="AO91" s="13"/>
      <c r="AP91" s="13"/>
      <c r="AQ91" s="13"/>
      <c r="AR91" s="13"/>
    </row>
    <row r="92" customFormat="false" ht="12.8" hidden="false" customHeight="false" outlineLevel="0" collapsed="false">
      <c r="A92" s="11"/>
      <c r="C92" s="17"/>
      <c r="D92" s="18"/>
      <c r="E92" s="18"/>
      <c r="F92" s="19"/>
      <c r="G92" s="19"/>
      <c r="H92" s="20"/>
      <c r="J92" s="44" t="e">
        <f aca="false">((C88-C92)/($C96*$F$1))/(J84-J88)</f>
        <v>#DIV/0!</v>
      </c>
      <c r="K92" s="45" t="e">
        <f aca="false">((D88-D92)/($C96*$F$1))/(K84-K88)</f>
        <v>#DIV/0!</v>
      </c>
      <c r="L92" s="45" t="e">
        <f aca="false">((E88-E92)/($C96*$F$1))/(L84-L88)</f>
        <v>#DIV/0!</v>
      </c>
      <c r="M92" s="45" t="e">
        <f aca="false">((F88-F92)/($C96*$F$1))/(M84-M88)</f>
        <v>#DIV/0!</v>
      </c>
      <c r="N92" s="45" t="e">
        <f aca="false">((G88-G92)/($C96*$F$1))/(N84-N88)</f>
        <v>#DIV/0!</v>
      </c>
      <c r="O92" s="46" t="e">
        <f aca="false">((H88-H92)/($C96*$F$1))/(O84-O88)</f>
        <v>#DIV/0!</v>
      </c>
      <c r="Q92" s="47" t="e">
        <f aca="false">SUM(J92:L93)/SUM(J92:O93)</f>
        <v>#DIV/0!</v>
      </c>
      <c r="R92" s="47"/>
      <c r="S92" s="47" t="e">
        <f aca="false">SUM(M92:O93)/SUM(J92:O93)</f>
        <v>#DIV/0!</v>
      </c>
      <c r="T92" s="47"/>
      <c r="AK92" s="48" t="e">
        <f aca="false">AVERAGE(J92:L92)</f>
        <v>#DIV/0!</v>
      </c>
      <c r="AL92" s="48"/>
      <c r="AM92" s="48"/>
      <c r="AN92" s="48"/>
      <c r="AO92" s="48" t="e">
        <f aca="false">AVERAGE(M92:O92)</f>
        <v>#DIV/0!</v>
      </c>
      <c r="AP92" s="48"/>
      <c r="AQ92" s="48"/>
      <c r="AR92" s="48"/>
    </row>
    <row r="93" customFormat="false" ht="12.8" hidden="false" customHeight="false" outlineLevel="0" collapsed="false">
      <c r="A93" s="11"/>
      <c r="C93" s="25"/>
      <c r="D93" s="26"/>
      <c r="E93" s="26"/>
      <c r="F93" s="27"/>
      <c r="G93" s="27"/>
      <c r="H93" s="28"/>
      <c r="J93" s="44" t="e">
        <f aca="false">((C89-C93)/($C96*$F$1))/(J85-J89)</f>
        <v>#DIV/0!</v>
      </c>
      <c r="K93" s="45" t="e">
        <f aca="false">((D89-D93)/($C96*$F$1))/(K85-K89)</f>
        <v>#DIV/0!</v>
      </c>
      <c r="L93" s="45" t="e">
        <f aca="false">((E89-E93)/($C96*$F$1))/(L85-L89)</f>
        <v>#DIV/0!</v>
      </c>
      <c r="M93" s="45" t="e">
        <f aca="false">((F89-F93)/($C96*$F$1))/(M85-M89)</f>
        <v>#DIV/0!</v>
      </c>
      <c r="N93" s="45" t="e">
        <f aca="false">((G89-G93)/($C96*$F$1))/(N85-N89)</f>
        <v>#DIV/0!</v>
      </c>
      <c r="O93" s="46" t="e">
        <f aca="false">((H89-H93)/($C96*$F$1))/(O85-O89)</f>
        <v>#DIV/0!</v>
      </c>
      <c r="Q93" s="47"/>
      <c r="R93" s="47"/>
      <c r="S93" s="47"/>
      <c r="T93" s="47"/>
      <c r="AK93" s="48" t="e">
        <f aca="false">AVERAGE(J93:L93)</f>
        <v>#DIV/0!</v>
      </c>
      <c r="AL93" s="48"/>
      <c r="AM93" s="48"/>
      <c r="AN93" s="48"/>
      <c r="AO93" s="48" t="e">
        <f aca="false">AVERAGE(M93:O93)</f>
        <v>#DIV/0!</v>
      </c>
      <c r="AP93" s="48"/>
      <c r="AQ93" s="48"/>
      <c r="AR93" s="48"/>
    </row>
    <row r="94" customFormat="false" ht="12.8" hidden="false" customHeight="false" outlineLevel="0" collapsed="false">
      <c r="A94" s="11"/>
    </row>
    <row r="95" customFormat="false" ht="12.8" hidden="false" customHeight="false" outlineLevel="0" collapsed="false">
      <c r="A95" s="11"/>
      <c r="C95" s="13" t="s">
        <v>16</v>
      </c>
      <c r="D95" s="13"/>
      <c r="E95" s="13"/>
      <c r="F95" s="13"/>
      <c r="G95" s="13"/>
      <c r="H95" s="13"/>
      <c r="J95" s="13" t="s">
        <v>17</v>
      </c>
      <c r="K95" s="13"/>
      <c r="L95" s="13"/>
      <c r="M95" s="13"/>
      <c r="N95" s="13"/>
      <c r="O95" s="13"/>
      <c r="Q95" s="13" t="s">
        <v>18</v>
      </c>
      <c r="R95" s="13"/>
      <c r="S95" s="13"/>
      <c r="T95" s="13"/>
    </row>
    <row r="96" customFormat="false" ht="12.8" hidden="false" customHeight="false" outlineLevel="0" collapsed="false">
      <c r="A96" s="11"/>
      <c r="C96" s="49"/>
      <c r="D96" s="49"/>
      <c r="E96" s="49"/>
      <c r="F96" s="49"/>
      <c r="G96" s="49"/>
      <c r="H96" s="49"/>
      <c r="I96" s="32"/>
      <c r="J96" s="50" t="n">
        <f aca="false">C96*(J84-J88)/(C88-C92)</f>
        <v>0</v>
      </c>
      <c r="K96" s="51" t="n">
        <f aca="false">C96*(K84-K88)/(D88-D92)</f>
        <v>0</v>
      </c>
      <c r="L96" s="51" t="n">
        <f aca="false">$C96*(L84-L88)/(E88-E92)</f>
        <v>0</v>
      </c>
      <c r="M96" s="51" t="n">
        <f aca="false">$C96*(M84-M88)/(G88-G92)</f>
        <v>0</v>
      </c>
      <c r="N96" s="51" t="n">
        <f aca="false">$C96*(N84-N88)/(H88-H92)</f>
        <v>0</v>
      </c>
      <c r="O96" s="52" t="n">
        <f aca="false">C96*(O84-O88)/(H88-H92)</f>
        <v>0</v>
      </c>
      <c r="Q96" s="21" t="e">
        <f aca="false">IF(V85&gt;0,CONCATENATE("less ",V85),CONCATENATE("more ",V85))</f>
        <v>#DIV/0!</v>
      </c>
      <c r="R96" s="21"/>
      <c r="S96" s="53" t="e">
        <f aca="false">IF(X85&gt;0,CONCATENATE("less ",X85),CONCATENATE("more ",X85))</f>
        <v>#DIV/0!</v>
      </c>
      <c r="T96" s="53"/>
    </row>
    <row r="97" customFormat="false" ht="12.8" hidden="false" customHeight="false" outlineLevel="0" collapsed="false">
      <c r="A97" s="11"/>
      <c r="C97" s="49"/>
      <c r="D97" s="49"/>
      <c r="E97" s="49"/>
      <c r="F97" s="49"/>
      <c r="G97" s="49"/>
      <c r="H97" s="49"/>
      <c r="I97" s="32"/>
      <c r="J97" s="50" t="n">
        <f aca="false">C96*(J85-J89)/(C89-C93)</f>
        <v>0</v>
      </c>
      <c r="K97" s="51" t="n">
        <f aca="false">C96*(K85-K89)/(D89-D93)</f>
        <v>0</v>
      </c>
      <c r="L97" s="51" t="n">
        <f aca="false">$C96*(L85-L89)/(E89-E93)</f>
        <v>0</v>
      </c>
      <c r="M97" s="51" t="n">
        <f aca="false">$C96*(M85-M89)/(G89-G93)</f>
        <v>0</v>
      </c>
      <c r="N97" s="51" t="n">
        <f aca="false">$C96*(N85-N89)/(H89-H93)</f>
        <v>0</v>
      </c>
      <c r="O97" s="52" t="n">
        <f aca="false">C96*(O85-O89)/(H89-H93)</f>
        <v>0</v>
      </c>
      <c r="Q97" s="53" t="e">
        <f aca="false">IF(V86&gt;0,CONCATENATE("less ",V86),CONCATENATE("more ",V86))</f>
        <v>#DIV/0!</v>
      </c>
      <c r="R97" s="53"/>
      <c r="S97" s="53" t="e">
        <f aca="false">IF(X86&gt;0,CONCATENATE("less ",X86),CONCATENATE("more ",X86))</f>
        <v>#DIV/0!</v>
      </c>
      <c r="T97" s="53"/>
    </row>
    <row r="98" customFormat="false" ht="30" hidden="false" customHeight="true" outlineLevel="0" collapsed="false">
      <c r="A98" s="54"/>
      <c r="C98" s="55"/>
      <c r="D98" s="55"/>
      <c r="E98" s="55"/>
      <c r="F98" s="55"/>
      <c r="G98" s="55"/>
      <c r="H98" s="55"/>
      <c r="I98" s="32"/>
      <c r="J98" s="56"/>
      <c r="K98" s="56"/>
      <c r="L98" s="56"/>
      <c r="M98" s="56"/>
      <c r="N98" s="56"/>
      <c r="O98" s="56"/>
      <c r="Q98" s="31"/>
      <c r="R98" s="31"/>
      <c r="S98" s="31"/>
      <c r="T98" s="31"/>
    </row>
    <row r="99" customFormat="false" ht="13.5" hidden="false" customHeight="true" outlineLevel="0" collapsed="false">
      <c r="A99" s="11" t="n">
        <v>8209</v>
      </c>
      <c r="C99" s="12" t="s">
        <v>5</v>
      </c>
      <c r="D99" s="12"/>
      <c r="E99" s="12"/>
      <c r="F99" s="12"/>
      <c r="G99" s="12"/>
      <c r="H99" s="12"/>
      <c r="J99" s="13" t="s">
        <v>6</v>
      </c>
      <c r="K99" s="13"/>
      <c r="L99" s="13"/>
      <c r="M99" s="13"/>
      <c r="N99" s="13"/>
      <c r="O99" s="13"/>
      <c r="Q99" s="13" t="s">
        <v>7</v>
      </c>
      <c r="R99" s="13"/>
      <c r="S99" s="13"/>
      <c r="T99" s="13"/>
      <c r="V99" s="2" t="n">
        <v>1</v>
      </c>
      <c r="W99" s="2" t="n">
        <v>2</v>
      </c>
      <c r="X99" s="2" t="n">
        <v>3</v>
      </c>
    </row>
    <row r="100" customFormat="false" ht="13.5" hidden="false" customHeight="true" outlineLevel="0" collapsed="false">
      <c r="A100" s="11"/>
      <c r="C100" s="15" t="s">
        <v>19</v>
      </c>
      <c r="D100" s="15"/>
      <c r="E100" s="15"/>
      <c r="F100" s="16" t="s">
        <v>19</v>
      </c>
      <c r="G100" s="16"/>
      <c r="H100" s="16"/>
      <c r="J100" s="17" t="n">
        <v>2.7</v>
      </c>
      <c r="K100" s="18" t="n">
        <v>3</v>
      </c>
      <c r="L100" s="18" t="n">
        <v>2.75</v>
      </c>
      <c r="M100" s="19" t="n">
        <v>2.75</v>
      </c>
      <c r="N100" s="19" t="n">
        <v>3</v>
      </c>
      <c r="O100" s="20" t="n">
        <v>2.7</v>
      </c>
      <c r="Q100" s="21" t="n">
        <f aca="false">MIN(J112:L112)/$M$1</f>
        <v>0</v>
      </c>
      <c r="R100" s="21"/>
      <c r="S100" s="21" t="n">
        <f aca="false">MIN(M112:O112)/$M$1</f>
        <v>0</v>
      </c>
      <c r="T100" s="21"/>
      <c r="V100" s="22" t="s">
        <v>9</v>
      </c>
      <c r="W100" s="22"/>
      <c r="X100" s="22"/>
    </row>
    <row r="101" customFormat="false" ht="13.5" hidden="false" customHeight="true" outlineLevel="0" collapsed="false">
      <c r="A101" s="11"/>
      <c r="C101" s="23" t="s">
        <v>19</v>
      </c>
      <c r="D101" s="23"/>
      <c r="E101" s="23"/>
      <c r="F101" s="24" t="s">
        <v>19</v>
      </c>
      <c r="G101" s="24"/>
      <c r="H101" s="24"/>
      <c r="J101" s="25" t="n">
        <v>2.7</v>
      </c>
      <c r="K101" s="26" t="n">
        <v>3</v>
      </c>
      <c r="L101" s="26" t="n">
        <v>2.7</v>
      </c>
      <c r="M101" s="27" t="n">
        <v>2.7</v>
      </c>
      <c r="N101" s="27" t="n">
        <v>3</v>
      </c>
      <c r="O101" s="28" t="n">
        <v>2.7</v>
      </c>
      <c r="Q101" s="29" t="n">
        <f aca="false">MIN(J113:L113)/$M$1</f>
        <v>0</v>
      </c>
      <c r="R101" s="29"/>
      <c r="S101" s="29" t="n">
        <f aca="false">MIN(M113:O113)/$M$1</f>
        <v>0</v>
      </c>
      <c r="T101" s="29"/>
      <c r="V101" s="30" t="e">
        <f aca="false">ROUNDUP(INDEX(LINEST(J108:L108,V99:X99,,1),1,1)*$Y$1,1)</f>
        <v>#DIV/0!</v>
      </c>
      <c r="W101" s="30"/>
      <c r="X101" s="31" t="e">
        <f aca="false">-ROUNDUP(INDEX(LINEST(M108:O108,V99:X99,,1),1,1)*$Y$1,1)</f>
        <v>#DIV/0!</v>
      </c>
    </row>
    <row r="102" customFormat="false" ht="13.5" hidden="false" customHeight="true" outlineLevel="0" collapsed="false">
      <c r="A102" s="11"/>
      <c r="J102" s="32"/>
      <c r="K102" s="32"/>
      <c r="L102" s="32"/>
      <c r="M102" s="32"/>
      <c r="N102" s="32"/>
      <c r="O102" s="32"/>
      <c r="V102" s="30" t="e">
        <f aca="false">ROUNDUP(INDEX(LINEST(J109:L109,V99:X99,,1),1,1)*$Y$1,1)</f>
        <v>#DIV/0!</v>
      </c>
      <c r="W102" s="30"/>
      <c r="X102" s="31" t="e">
        <f aca="false">-ROUNDUP(INDEX(LINEST(M109:O109,V99:X99,,1),1,1)*$Y$1,1)</f>
        <v>#DIV/0!</v>
      </c>
    </row>
    <row r="103" customFormat="false" ht="13.5" hidden="false" customHeight="true" outlineLevel="0" collapsed="false">
      <c r="A103" s="11"/>
      <c r="C103" s="13" t="s">
        <v>10</v>
      </c>
      <c r="D103" s="13"/>
      <c r="E103" s="13"/>
      <c r="F103" s="13"/>
      <c r="G103" s="13"/>
      <c r="H103" s="13"/>
      <c r="J103" s="33" t="s">
        <v>11</v>
      </c>
      <c r="K103" s="33"/>
      <c r="L103" s="33"/>
      <c r="M103" s="33"/>
      <c r="N103" s="33"/>
      <c r="O103" s="33"/>
      <c r="Q103" s="13" t="s">
        <v>12</v>
      </c>
      <c r="R103" s="13"/>
      <c r="S103" s="13"/>
      <c r="T103" s="13"/>
    </row>
    <row r="104" customFormat="false" ht="13.5" hidden="false" customHeight="true" outlineLevel="0" collapsed="false">
      <c r="A104" s="11"/>
      <c r="C104" s="17" t="n">
        <v>2.76</v>
      </c>
      <c r="D104" s="18" t="n">
        <v>2.77</v>
      </c>
      <c r="E104" s="18" t="n">
        <v>2.77</v>
      </c>
      <c r="F104" s="19" t="n">
        <v>2.76</v>
      </c>
      <c r="G104" s="19" t="n">
        <v>2.75</v>
      </c>
      <c r="H104" s="20" t="n">
        <v>2.75</v>
      </c>
      <c r="J104" s="34" t="n">
        <v>0.2</v>
      </c>
      <c r="K104" s="35" t="n">
        <v>0.2</v>
      </c>
      <c r="L104" s="35" t="n">
        <v>0.2</v>
      </c>
      <c r="M104" s="36" t="n">
        <v>0.2</v>
      </c>
      <c r="N104" s="36" t="n">
        <v>0.2</v>
      </c>
      <c r="O104" s="37" t="n">
        <v>0.2</v>
      </c>
      <c r="Q104" s="38" t="e">
        <f aca="false">SUM(J108:O108)/SUM(J108:O109)</f>
        <v>#DIV/0!</v>
      </c>
      <c r="R104" s="38"/>
      <c r="S104" s="38"/>
      <c r="T104" s="38"/>
    </row>
    <row r="105" customFormat="false" ht="13.5" hidden="false" customHeight="true" outlineLevel="0" collapsed="false">
      <c r="A105" s="11"/>
      <c r="C105" s="25" t="n">
        <v>2.68</v>
      </c>
      <c r="D105" s="26" t="n">
        <v>2.66</v>
      </c>
      <c r="E105" s="26" t="n">
        <v>2.67</v>
      </c>
      <c r="F105" s="27" t="n">
        <v>2.62</v>
      </c>
      <c r="G105" s="27" t="n">
        <v>2.68</v>
      </c>
      <c r="H105" s="28" t="n">
        <v>2.72</v>
      </c>
      <c r="J105" s="40" t="n">
        <v>0.2</v>
      </c>
      <c r="K105" s="41" t="n">
        <v>0.2</v>
      </c>
      <c r="L105" s="41" t="n">
        <v>0.2</v>
      </c>
      <c r="M105" s="42" t="n">
        <v>0.2</v>
      </c>
      <c r="N105" s="42" t="n">
        <v>0.2</v>
      </c>
      <c r="O105" s="43" t="n">
        <v>0.2</v>
      </c>
      <c r="Q105" s="38" t="e">
        <f aca="false">SUM(J109:O109)/SUM(J108:O109)</f>
        <v>#DIV/0!</v>
      </c>
      <c r="R105" s="38"/>
      <c r="S105" s="38"/>
      <c r="T105" s="38"/>
    </row>
    <row r="106" customFormat="false" ht="12.8" hidden="false" customHeight="false" outlineLevel="0" collapsed="false">
      <c r="A106" s="11"/>
      <c r="C106" s="32"/>
      <c r="D106" s="32"/>
      <c r="E106" s="32"/>
      <c r="F106" s="32"/>
      <c r="G106" s="32"/>
      <c r="H106" s="32"/>
    </row>
    <row r="107" customFormat="false" ht="12.8" hidden="false" customHeight="false" outlineLevel="0" collapsed="false">
      <c r="A107" s="11"/>
      <c r="C107" s="33" t="s">
        <v>13</v>
      </c>
      <c r="D107" s="33"/>
      <c r="E107" s="33"/>
      <c r="F107" s="33"/>
      <c r="G107" s="33"/>
      <c r="H107" s="33"/>
      <c r="J107" s="13" t="s">
        <v>14</v>
      </c>
      <c r="K107" s="13"/>
      <c r="L107" s="13"/>
      <c r="M107" s="13"/>
      <c r="N107" s="13"/>
      <c r="O107" s="13"/>
      <c r="Q107" s="13" t="s">
        <v>15</v>
      </c>
      <c r="R107" s="13"/>
      <c r="S107" s="13"/>
      <c r="T107" s="13"/>
      <c r="AK107" s="13" t="s">
        <v>14</v>
      </c>
      <c r="AL107" s="13"/>
      <c r="AM107" s="13"/>
      <c r="AN107" s="13"/>
      <c r="AO107" s="13"/>
      <c r="AP107" s="13"/>
      <c r="AQ107" s="13"/>
      <c r="AR107" s="13"/>
    </row>
    <row r="108" customFormat="false" ht="12.8" hidden="false" customHeight="false" outlineLevel="0" collapsed="false">
      <c r="A108" s="11"/>
      <c r="C108" s="17"/>
      <c r="D108" s="18"/>
      <c r="E108" s="18"/>
      <c r="F108" s="19"/>
      <c r="G108" s="19"/>
      <c r="H108" s="20"/>
      <c r="J108" s="44" t="e">
        <f aca="false">((C104-C108)/($C112*$F$1))/(J100-J104)</f>
        <v>#DIV/0!</v>
      </c>
      <c r="K108" s="45" t="e">
        <f aca="false">((D104-D108)/($C112*$F$1))/(K100-K104)</f>
        <v>#DIV/0!</v>
      </c>
      <c r="L108" s="45" t="e">
        <f aca="false">((E104-E108)/($C112*$F$1))/(L100-L104)</f>
        <v>#DIV/0!</v>
      </c>
      <c r="M108" s="45" t="e">
        <f aca="false">((F104-F108)/($C112*$F$1))/(M100-M104)</f>
        <v>#DIV/0!</v>
      </c>
      <c r="N108" s="45" t="e">
        <f aca="false">((G104-G108)/($C112*$F$1))/(N100-N104)</f>
        <v>#DIV/0!</v>
      </c>
      <c r="O108" s="46" t="e">
        <f aca="false">((H104-H108)/($C112*$F$1))/(O100-O104)</f>
        <v>#DIV/0!</v>
      </c>
      <c r="Q108" s="47" t="e">
        <f aca="false">SUM(J108:L109)/SUM(J108:O109)</f>
        <v>#DIV/0!</v>
      </c>
      <c r="R108" s="47"/>
      <c r="S108" s="47" t="e">
        <f aca="false">SUM(M108:O109)/SUM(J108:O109)</f>
        <v>#DIV/0!</v>
      </c>
      <c r="T108" s="47"/>
      <c r="AK108" s="48" t="e">
        <f aca="false">AVERAGE(J108:L108)</f>
        <v>#DIV/0!</v>
      </c>
      <c r="AL108" s="48"/>
      <c r="AM108" s="48"/>
      <c r="AN108" s="48"/>
      <c r="AO108" s="48" t="e">
        <f aca="false">AVERAGE(M108:O108)</f>
        <v>#DIV/0!</v>
      </c>
      <c r="AP108" s="48"/>
      <c r="AQ108" s="48"/>
      <c r="AR108" s="48"/>
    </row>
    <row r="109" customFormat="false" ht="12.8" hidden="false" customHeight="false" outlineLevel="0" collapsed="false">
      <c r="A109" s="11"/>
      <c r="C109" s="25"/>
      <c r="D109" s="26"/>
      <c r="E109" s="26"/>
      <c r="F109" s="27"/>
      <c r="G109" s="27"/>
      <c r="H109" s="28"/>
      <c r="J109" s="44" t="e">
        <f aca="false">((C105-C109)/($C112*$F$1))/(J101-J105)</f>
        <v>#DIV/0!</v>
      </c>
      <c r="K109" s="45" t="e">
        <f aca="false">((D105-D109)/($C112*$F$1))/(K101-K105)</f>
        <v>#DIV/0!</v>
      </c>
      <c r="L109" s="45" t="e">
        <f aca="false">((E105-E109)/($C112*$F$1))/(L101-L105)</f>
        <v>#DIV/0!</v>
      </c>
      <c r="M109" s="45" t="e">
        <f aca="false">((F105-F109)/($C112*$F$1))/(M101-M105)</f>
        <v>#DIV/0!</v>
      </c>
      <c r="N109" s="45" t="e">
        <f aca="false">((G105-G109)/($C112*$F$1))/(N101-N105)</f>
        <v>#DIV/0!</v>
      </c>
      <c r="O109" s="46" t="e">
        <f aca="false">((H105-H109)/($C112*$F$1))/(O101-O105)</f>
        <v>#DIV/0!</v>
      </c>
      <c r="Q109" s="47"/>
      <c r="R109" s="47"/>
      <c r="S109" s="47"/>
      <c r="T109" s="47"/>
      <c r="AK109" s="48" t="e">
        <f aca="false">AVERAGE(J109:L109)</f>
        <v>#DIV/0!</v>
      </c>
      <c r="AL109" s="48"/>
      <c r="AM109" s="48"/>
      <c r="AN109" s="48"/>
      <c r="AO109" s="48" t="e">
        <f aca="false">AVERAGE(M109:O109)</f>
        <v>#DIV/0!</v>
      </c>
      <c r="AP109" s="48"/>
      <c r="AQ109" s="48"/>
      <c r="AR109" s="48"/>
    </row>
    <row r="110" customFormat="false" ht="12.8" hidden="false" customHeight="false" outlineLevel="0" collapsed="false">
      <c r="A110" s="11"/>
    </row>
    <row r="111" customFormat="false" ht="12.8" hidden="false" customHeight="false" outlineLevel="0" collapsed="false">
      <c r="A111" s="11"/>
      <c r="C111" s="13" t="s">
        <v>16</v>
      </c>
      <c r="D111" s="13"/>
      <c r="E111" s="13"/>
      <c r="F111" s="13"/>
      <c r="G111" s="13"/>
      <c r="H111" s="13"/>
      <c r="J111" s="13" t="s">
        <v>17</v>
      </c>
      <c r="K111" s="13"/>
      <c r="L111" s="13"/>
      <c r="M111" s="13"/>
      <c r="N111" s="13"/>
      <c r="O111" s="13"/>
      <c r="Q111" s="13" t="s">
        <v>18</v>
      </c>
      <c r="R111" s="13"/>
      <c r="S111" s="13"/>
      <c r="T111" s="13"/>
    </row>
    <row r="112" customFormat="false" ht="12.8" hidden="false" customHeight="false" outlineLevel="0" collapsed="false">
      <c r="A112" s="11"/>
      <c r="C112" s="57"/>
      <c r="D112" s="57"/>
      <c r="E112" s="57"/>
      <c r="F112" s="57"/>
      <c r="G112" s="57"/>
      <c r="H112" s="57"/>
      <c r="I112" s="32"/>
      <c r="J112" s="50" t="n">
        <f aca="false">C112*(J100-J104)/(C104-C108)</f>
        <v>0</v>
      </c>
      <c r="K112" s="51" t="n">
        <f aca="false">C112*(K100-K104)/(D104-D108)</f>
        <v>0</v>
      </c>
      <c r="L112" s="51" t="n">
        <f aca="false">$C112*(L100-L104)/(E104-E108)</f>
        <v>0</v>
      </c>
      <c r="M112" s="51" t="n">
        <f aca="false">$C112*(M100-M104)/(G104-G108)</f>
        <v>0</v>
      </c>
      <c r="N112" s="51" t="n">
        <f aca="false">$C112*(N100-N104)/(H104-H108)</f>
        <v>0</v>
      </c>
      <c r="O112" s="52" t="n">
        <f aca="false">C112*(O100-O104)/(H104-H108)</f>
        <v>0</v>
      </c>
      <c r="Q112" s="21" t="e">
        <f aca="false">IF(V101&gt;0,CONCATENATE("less ",V101),CONCATENATE("more ",V101))</f>
        <v>#DIV/0!</v>
      </c>
      <c r="R112" s="21"/>
      <c r="S112" s="53" t="e">
        <f aca="false">IF(X101&gt;0,CONCATENATE("less ",X101),CONCATENATE("more ",X101))</f>
        <v>#DIV/0!</v>
      </c>
      <c r="T112" s="53"/>
    </row>
    <row r="113" customFormat="false" ht="12.8" hidden="false" customHeight="false" outlineLevel="0" collapsed="false">
      <c r="A113" s="11"/>
      <c r="C113" s="57"/>
      <c r="D113" s="57"/>
      <c r="E113" s="57"/>
      <c r="F113" s="57"/>
      <c r="G113" s="57"/>
      <c r="H113" s="57"/>
      <c r="I113" s="32"/>
      <c r="J113" s="50" t="n">
        <f aca="false">C112*(J101-J105)/(C105-C109)</f>
        <v>0</v>
      </c>
      <c r="K113" s="51" t="n">
        <f aca="false">C112*(K101-K105)/(D105-D109)</f>
        <v>0</v>
      </c>
      <c r="L113" s="51" t="n">
        <f aca="false">$C112*(L101-L105)/(E105-E109)</f>
        <v>0</v>
      </c>
      <c r="M113" s="51" t="n">
        <f aca="false">$C112*(M101-M105)/(G105-G109)</f>
        <v>0</v>
      </c>
      <c r="N113" s="51" t="n">
        <f aca="false">$C112*(N101-N105)/(H105-H109)</f>
        <v>0</v>
      </c>
      <c r="O113" s="52" t="n">
        <f aca="false">C112*(O101-O105)/(H105-H109)</f>
        <v>0</v>
      </c>
      <c r="Q113" s="53" t="e">
        <f aca="false">IF(V102&gt;0,CONCATENATE("less ",V102),CONCATENATE("more ",V102))</f>
        <v>#DIV/0!</v>
      </c>
      <c r="R113" s="53"/>
      <c r="S113" s="53" t="e">
        <f aca="false">IF(X102&gt;0,CONCATENATE("less ",X102),CONCATENATE("more ",X102))</f>
        <v>#DIV/0!</v>
      </c>
      <c r="T113" s="53"/>
    </row>
    <row r="114" customFormat="false" ht="30" hidden="false" customHeight="true" outlineLevel="0" collapsed="false">
      <c r="A114" s="54"/>
      <c r="C114" s="55"/>
      <c r="D114" s="55"/>
      <c r="E114" s="55"/>
      <c r="F114" s="55"/>
      <c r="G114" s="55"/>
      <c r="H114" s="55"/>
      <c r="I114" s="32"/>
      <c r="J114" s="56"/>
      <c r="K114" s="56"/>
      <c r="L114" s="56"/>
      <c r="M114" s="56"/>
      <c r="N114" s="56"/>
      <c r="O114" s="56"/>
      <c r="Q114" s="31"/>
      <c r="R114" s="31"/>
      <c r="S114" s="31"/>
      <c r="T114" s="31"/>
    </row>
    <row r="115" customFormat="false" ht="13.5" hidden="false" customHeight="true" outlineLevel="0" collapsed="false">
      <c r="A115" s="11" t="n">
        <v>8102</v>
      </c>
      <c r="C115" s="12" t="s">
        <v>5</v>
      </c>
      <c r="D115" s="12"/>
      <c r="E115" s="12"/>
      <c r="F115" s="12"/>
      <c r="G115" s="12"/>
      <c r="H115" s="12"/>
      <c r="J115" s="13" t="s">
        <v>6</v>
      </c>
      <c r="K115" s="13"/>
      <c r="L115" s="13"/>
      <c r="M115" s="13"/>
      <c r="N115" s="13"/>
      <c r="O115" s="13"/>
      <c r="Q115" s="13" t="s">
        <v>7</v>
      </c>
      <c r="R115" s="13"/>
      <c r="S115" s="13"/>
      <c r="T115" s="13"/>
      <c r="V115" s="2" t="n">
        <v>1</v>
      </c>
      <c r="W115" s="2" t="n">
        <v>2</v>
      </c>
      <c r="X115" s="2" t="n">
        <v>3</v>
      </c>
    </row>
    <row r="116" customFormat="false" ht="13.5" hidden="false" customHeight="true" outlineLevel="0" collapsed="false">
      <c r="A116" s="11"/>
      <c r="C116" s="15" t="s">
        <v>8</v>
      </c>
      <c r="D116" s="15"/>
      <c r="E116" s="15"/>
      <c r="F116" s="16" t="s">
        <v>8</v>
      </c>
      <c r="G116" s="16"/>
      <c r="H116" s="16"/>
      <c r="J116" s="17" t="n">
        <v>2.7</v>
      </c>
      <c r="K116" s="18" t="n">
        <v>3</v>
      </c>
      <c r="L116" s="18" t="n">
        <v>2.75</v>
      </c>
      <c r="M116" s="19" t="n">
        <v>2.75</v>
      </c>
      <c r="N116" s="19" t="n">
        <v>3</v>
      </c>
      <c r="O116" s="20" t="n">
        <v>2.7</v>
      </c>
      <c r="Q116" s="21" t="n">
        <f aca="false">MIN(J128:L128)/$M$1</f>
        <v>0</v>
      </c>
      <c r="R116" s="21"/>
      <c r="S116" s="21" t="n">
        <f aca="false">MIN(M128:O128)/$M$1</f>
        <v>-0</v>
      </c>
      <c r="T116" s="21"/>
      <c r="V116" s="22" t="s">
        <v>9</v>
      </c>
      <c r="W116" s="22"/>
      <c r="X116" s="22"/>
    </row>
    <row r="117" customFormat="false" ht="13.5" hidden="false" customHeight="true" outlineLevel="0" collapsed="false">
      <c r="A117" s="11"/>
      <c r="C117" s="23" t="s">
        <v>8</v>
      </c>
      <c r="D117" s="23"/>
      <c r="E117" s="23"/>
      <c r="F117" s="24" t="s">
        <v>8</v>
      </c>
      <c r="G117" s="24"/>
      <c r="H117" s="24"/>
      <c r="J117" s="25" t="n">
        <v>2.7</v>
      </c>
      <c r="K117" s="26" t="n">
        <v>3</v>
      </c>
      <c r="L117" s="26" t="n">
        <v>2.7</v>
      </c>
      <c r="M117" s="27" t="n">
        <v>2.7</v>
      </c>
      <c r="N117" s="27" t="n">
        <v>3</v>
      </c>
      <c r="O117" s="28" t="n">
        <v>2.7</v>
      </c>
      <c r="Q117" s="29" t="n">
        <f aca="false">MIN(J129:L129)/$M$1</f>
        <v>0</v>
      </c>
      <c r="R117" s="29"/>
      <c r="S117" s="29" t="n">
        <f aca="false">MIN(M129:O129)/$M$1</f>
        <v>0</v>
      </c>
      <c r="T117" s="29"/>
      <c r="V117" s="30" t="e">
        <f aca="false">ROUNDUP(INDEX(LINEST(J124:L124,V115:X115,,1),1,1)*$Y$1,1)</f>
        <v>#DIV/0!</v>
      </c>
      <c r="W117" s="30"/>
      <c r="X117" s="31" t="e">
        <f aca="false">-ROUNDUP(INDEX(LINEST(M124:O124,V115:X115,,1),1,1)*$Y$1,1)</f>
        <v>#DIV/0!</v>
      </c>
    </row>
    <row r="118" customFormat="false" ht="13.5" hidden="false" customHeight="true" outlineLevel="0" collapsed="false">
      <c r="A118" s="11"/>
      <c r="J118" s="32"/>
      <c r="K118" s="32"/>
      <c r="L118" s="32"/>
      <c r="M118" s="32"/>
      <c r="N118" s="32"/>
      <c r="O118" s="32"/>
      <c r="V118" s="30" t="e">
        <f aca="false">ROUNDUP(INDEX(LINEST(J125:L125,V115:X115,,1),1,1)*$Y$1,1)</f>
        <v>#DIV/0!</v>
      </c>
      <c r="W118" s="30"/>
      <c r="X118" s="31" t="e">
        <f aca="false">-ROUNDUP(INDEX(LINEST(M125:O125,V115:X115,,1),1,1)*$Y$1,1)</f>
        <v>#DIV/0!</v>
      </c>
    </row>
    <row r="119" customFormat="false" ht="13.5" hidden="false" customHeight="true" outlineLevel="0" collapsed="false">
      <c r="A119" s="11"/>
      <c r="C119" s="13" t="s">
        <v>10</v>
      </c>
      <c r="D119" s="13"/>
      <c r="E119" s="13"/>
      <c r="F119" s="13"/>
      <c r="G119" s="13"/>
      <c r="H119" s="13"/>
      <c r="J119" s="33" t="s">
        <v>11</v>
      </c>
      <c r="K119" s="33"/>
      <c r="L119" s="33"/>
      <c r="M119" s="33"/>
      <c r="N119" s="33"/>
      <c r="O119" s="33"/>
      <c r="Q119" s="13" t="s">
        <v>12</v>
      </c>
      <c r="R119" s="13"/>
      <c r="S119" s="13"/>
      <c r="T119" s="13"/>
    </row>
    <row r="120" customFormat="false" ht="13.5" hidden="false" customHeight="true" outlineLevel="0" collapsed="false">
      <c r="A120" s="11"/>
      <c r="C120" s="17" t="n">
        <v>2.63</v>
      </c>
      <c r="D120" s="18" t="n">
        <v>2.56</v>
      </c>
      <c r="E120" s="18" t="n">
        <v>2.57</v>
      </c>
      <c r="F120" s="19" t="n">
        <v>2.49</v>
      </c>
      <c r="G120" s="19" t="n">
        <v>2.67</v>
      </c>
      <c r="H120" s="20" t="n">
        <v>2.66</v>
      </c>
      <c r="J120" s="34" t="n">
        <v>0.2</v>
      </c>
      <c r="K120" s="35" t="n">
        <v>0.2</v>
      </c>
      <c r="L120" s="35" t="n">
        <v>0.2</v>
      </c>
      <c r="M120" s="36" t="n">
        <v>0.2</v>
      </c>
      <c r="N120" s="36" t="n">
        <v>0.2</v>
      </c>
      <c r="O120" s="37" t="n">
        <v>0.2</v>
      </c>
      <c r="Q120" s="38" t="e">
        <f aca="false">SUM(J124:O124)/SUM(J124:O125)</f>
        <v>#DIV/0!</v>
      </c>
      <c r="R120" s="38"/>
      <c r="S120" s="38"/>
      <c r="T120" s="38"/>
    </row>
    <row r="121" customFormat="false" ht="13.5" hidden="false" customHeight="true" outlineLevel="0" collapsed="false">
      <c r="A121" s="11"/>
      <c r="C121" s="25" t="n">
        <v>2.6</v>
      </c>
      <c r="D121" s="26" t="n">
        <v>2.59</v>
      </c>
      <c r="E121" s="26" t="n">
        <v>2.63</v>
      </c>
      <c r="F121" s="27" t="n">
        <v>2.59</v>
      </c>
      <c r="G121" s="27" t="n">
        <v>2.62</v>
      </c>
      <c r="H121" s="28" t="n">
        <v>2.6</v>
      </c>
      <c r="J121" s="40" t="n">
        <v>0.2</v>
      </c>
      <c r="K121" s="41" t="n">
        <v>0.2</v>
      </c>
      <c r="L121" s="41" t="n">
        <v>0.2</v>
      </c>
      <c r="M121" s="42" t="n">
        <v>0.2</v>
      </c>
      <c r="N121" s="42" t="n">
        <v>0.2</v>
      </c>
      <c r="O121" s="43" t="n">
        <v>0.2</v>
      </c>
      <c r="Q121" s="38" t="e">
        <f aca="false">SUM(J125:O125)/SUM(J124:O125)</f>
        <v>#DIV/0!</v>
      </c>
      <c r="R121" s="38"/>
      <c r="S121" s="38"/>
      <c r="T121" s="38"/>
    </row>
    <row r="122" customFormat="false" ht="12.8" hidden="false" customHeight="false" outlineLevel="0" collapsed="false">
      <c r="A122" s="11"/>
      <c r="C122" s="32"/>
      <c r="D122" s="32"/>
      <c r="E122" s="32"/>
      <c r="F122" s="32"/>
      <c r="G122" s="32"/>
      <c r="H122" s="32"/>
    </row>
    <row r="123" customFormat="false" ht="12.8" hidden="false" customHeight="false" outlineLevel="0" collapsed="false">
      <c r="A123" s="11"/>
      <c r="C123" s="33"/>
      <c r="D123" s="33"/>
      <c r="E123" s="33"/>
      <c r="F123" s="33"/>
      <c r="G123" s="33"/>
      <c r="H123" s="33"/>
      <c r="J123" s="13" t="s">
        <v>14</v>
      </c>
      <c r="K123" s="13"/>
      <c r="L123" s="13"/>
      <c r="M123" s="13"/>
      <c r="N123" s="13"/>
      <c r="O123" s="13"/>
      <c r="Q123" s="13" t="s">
        <v>15</v>
      </c>
      <c r="R123" s="13"/>
      <c r="S123" s="13"/>
      <c r="T123" s="13"/>
      <c r="AK123" s="13" t="s">
        <v>14</v>
      </c>
      <c r="AL123" s="13"/>
      <c r="AM123" s="13"/>
      <c r="AN123" s="13"/>
      <c r="AO123" s="13"/>
      <c r="AP123" s="13"/>
      <c r="AQ123" s="13"/>
      <c r="AR123" s="13"/>
    </row>
    <row r="124" customFormat="false" ht="12.8" hidden="false" customHeight="false" outlineLevel="0" collapsed="false">
      <c r="A124" s="11"/>
      <c r="C124" s="17" t="n">
        <v>2.05</v>
      </c>
      <c r="D124" s="18" t="n">
        <v>2.67</v>
      </c>
      <c r="E124" s="18" t="n">
        <v>2.74</v>
      </c>
      <c r="F124" s="19" t="n">
        <v>2.83</v>
      </c>
      <c r="G124" s="19" t="n">
        <v>2.83</v>
      </c>
      <c r="H124" s="20" t="n">
        <v>2.94</v>
      </c>
      <c r="I124" s="2" t="n">
        <v>2.49</v>
      </c>
      <c r="J124" s="44" t="e">
        <f aca="false">((C120-C124)/($C128*$F$1))/(J116-J120)</f>
        <v>#DIV/0!</v>
      </c>
      <c r="K124" s="45" t="e">
        <f aca="false">((D120-D124)/($C128*$F$1))/(K116-K120)</f>
        <v>#DIV/0!</v>
      </c>
      <c r="L124" s="45" t="e">
        <f aca="false">((E120-E124)/($C128*$F$1))/(L116-L120)</f>
        <v>#DIV/0!</v>
      </c>
      <c r="M124" s="45" t="e">
        <f aca="false">((F120-F124)/($C128*$F$1))/(M116-M120)</f>
        <v>#DIV/0!</v>
      </c>
      <c r="N124" s="45" t="e">
        <f aca="false">((G120-G124)/($C128*$F$1))/(N116-N120)</f>
        <v>#DIV/0!</v>
      </c>
      <c r="O124" s="46" t="e">
        <f aca="false">((H120-H124)/($C128*$F$1))/(O116-O120)</f>
        <v>#DIV/0!</v>
      </c>
      <c r="Q124" s="47" t="e">
        <f aca="false">SUM(J124:L125)/SUM(J124:O125)</f>
        <v>#DIV/0!</v>
      </c>
      <c r="R124" s="47"/>
      <c r="S124" s="47" t="e">
        <f aca="false">SUM(M124:O125)/SUM(J124:O125)</f>
        <v>#DIV/0!</v>
      </c>
      <c r="T124" s="47"/>
      <c r="AK124" s="48" t="e">
        <f aca="false">AVERAGE(J124:L124)</f>
        <v>#DIV/0!</v>
      </c>
      <c r="AL124" s="48"/>
      <c r="AM124" s="48"/>
      <c r="AN124" s="48"/>
      <c r="AO124" s="48" t="e">
        <f aca="false">AVERAGE(M124:O124)</f>
        <v>#DIV/0!</v>
      </c>
      <c r="AP124" s="48"/>
      <c r="AQ124" s="48"/>
      <c r="AR124" s="48"/>
    </row>
    <row r="125" customFormat="false" ht="12.8" hidden="false" customHeight="false" outlineLevel="0" collapsed="false">
      <c r="A125" s="11"/>
      <c r="C125" s="25" t="n">
        <v>1.74</v>
      </c>
      <c r="D125" s="26" t="n">
        <v>2.12</v>
      </c>
      <c r="E125" s="26" t="n">
        <v>2.3</v>
      </c>
      <c r="F125" s="27" t="n">
        <v>1.51</v>
      </c>
      <c r="G125" s="27" t="n">
        <v>2.05</v>
      </c>
      <c r="H125" s="28" t="n">
        <v>2.11</v>
      </c>
      <c r="J125" s="44" t="e">
        <f aca="false">((C121-C125)/($C128*$F$1))/(J117-J121)</f>
        <v>#DIV/0!</v>
      </c>
      <c r="K125" s="45" t="e">
        <f aca="false">((D121-D125)/($C128*$F$1))/(K117-K121)</f>
        <v>#DIV/0!</v>
      </c>
      <c r="L125" s="45" t="e">
        <f aca="false">((E121-E125)/($C128*$F$1))/(L117-L121)</f>
        <v>#DIV/0!</v>
      </c>
      <c r="M125" s="45" t="e">
        <f aca="false">((F121-F125)/($C128*$F$1))/(M117-M121)</f>
        <v>#DIV/0!</v>
      </c>
      <c r="N125" s="45" t="e">
        <f aca="false">((G121-G125)/($C128*$F$1))/(N117-N121)</f>
        <v>#DIV/0!</v>
      </c>
      <c r="O125" s="46" t="e">
        <f aca="false">((H121-H125)/($C128*$F$1))/(O117-O121)</f>
        <v>#DIV/0!</v>
      </c>
      <c r="Q125" s="47"/>
      <c r="R125" s="47"/>
      <c r="S125" s="47"/>
      <c r="T125" s="47"/>
      <c r="AK125" s="48" t="e">
        <f aca="false">AVERAGE(J125:L125)</f>
        <v>#DIV/0!</v>
      </c>
      <c r="AL125" s="48"/>
      <c r="AM125" s="48"/>
      <c r="AN125" s="48"/>
      <c r="AO125" s="48" t="e">
        <f aca="false">AVERAGE(M125:O125)</f>
        <v>#DIV/0!</v>
      </c>
      <c r="AP125" s="48"/>
      <c r="AQ125" s="48"/>
      <c r="AR125" s="48"/>
    </row>
    <row r="126" customFormat="false" ht="12.8" hidden="false" customHeight="false" outlineLevel="0" collapsed="false">
      <c r="A126" s="11"/>
    </row>
    <row r="127" customFormat="false" ht="12.8" hidden="false" customHeight="false" outlineLevel="0" collapsed="false">
      <c r="A127" s="11"/>
      <c r="C127" s="13" t="s">
        <v>16</v>
      </c>
      <c r="D127" s="13"/>
      <c r="E127" s="13"/>
      <c r="F127" s="13"/>
      <c r="G127" s="13"/>
      <c r="H127" s="13"/>
      <c r="J127" s="13" t="s">
        <v>17</v>
      </c>
      <c r="K127" s="13"/>
      <c r="L127" s="13"/>
      <c r="M127" s="13"/>
      <c r="N127" s="13"/>
      <c r="O127" s="13"/>
      <c r="Q127" s="13" t="s">
        <v>18</v>
      </c>
      <c r="R127" s="13"/>
      <c r="S127" s="13"/>
      <c r="T127" s="13"/>
    </row>
    <row r="128" customFormat="false" ht="12.8" hidden="false" customHeight="false" outlineLevel="0" collapsed="false">
      <c r="A128" s="11"/>
      <c r="C128" s="57"/>
      <c r="D128" s="57"/>
      <c r="E128" s="57"/>
      <c r="F128" s="57"/>
      <c r="G128" s="57"/>
      <c r="H128" s="57"/>
      <c r="I128" s="32"/>
      <c r="J128" s="50" t="n">
        <f aca="false">C128*(J116-J120)/(C120-C124)</f>
        <v>0</v>
      </c>
      <c r="K128" s="51" t="n">
        <f aca="false">C128*(K116-K120)/(D120-D124)</f>
        <v>-0</v>
      </c>
      <c r="L128" s="51" t="n">
        <f aca="false">$C128*(L116-L120)/(E120-E124)</f>
        <v>-0</v>
      </c>
      <c r="M128" s="51" t="n">
        <f aca="false">$C128*(M116-M120)/(G120-G124)</f>
        <v>-0</v>
      </c>
      <c r="N128" s="51" t="n">
        <f aca="false">$C128*(N116-N120)/(H120-H124)</f>
        <v>-0</v>
      </c>
      <c r="O128" s="52" t="n">
        <f aca="false">C128*(O116-O120)/(H120-H124)</f>
        <v>-0</v>
      </c>
      <c r="Q128" s="21" t="e">
        <f aca="false">IF(V117&gt;0,CONCATENATE("less ",V117),CONCATENATE("more ",V117))</f>
        <v>#DIV/0!</v>
      </c>
      <c r="R128" s="21"/>
      <c r="S128" s="53" t="e">
        <f aca="false">IF(X117&gt;0,CONCATENATE("less ",X117),CONCATENATE("more ",X117))</f>
        <v>#DIV/0!</v>
      </c>
      <c r="T128" s="53"/>
    </row>
    <row r="129" customFormat="false" ht="12.8" hidden="false" customHeight="false" outlineLevel="0" collapsed="false">
      <c r="A129" s="11"/>
      <c r="C129" s="57"/>
      <c r="D129" s="57"/>
      <c r="E129" s="57"/>
      <c r="F129" s="57"/>
      <c r="G129" s="57"/>
      <c r="H129" s="57"/>
      <c r="I129" s="32"/>
      <c r="J129" s="50" t="n">
        <f aca="false">C128*(J117-J121)/(C121-C125)</f>
        <v>0</v>
      </c>
      <c r="K129" s="51" t="n">
        <f aca="false">C128*(K117-K121)/(D121-D125)</f>
        <v>0</v>
      </c>
      <c r="L129" s="51" t="n">
        <f aca="false">$C128*(L117-L121)/(E121-E125)</f>
        <v>0</v>
      </c>
      <c r="M129" s="51" t="n">
        <f aca="false">$C128*(M117-M121)/(G121-G125)</f>
        <v>0</v>
      </c>
      <c r="N129" s="51" t="n">
        <f aca="false">$C128*(N117-N121)/(H121-H125)</f>
        <v>0</v>
      </c>
      <c r="O129" s="52" t="n">
        <f aca="false">C128*(O117-O121)/(H121-H125)</f>
        <v>0</v>
      </c>
      <c r="Q129" s="53" t="e">
        <f aca="false">IF(V118&gt;0,CONCATENATE("less ",V118),CONCATENATE("more ",V118))</f>
        <v>#DIV/0!</v>
      </c>
      <c r="R129" s="53"/>
      <c r="S129" s="53" t="e">
        <f aca="false">IF(X118&gt;0,CONCATENATE("less ",X118),CONCATENATE("more ",X118))</f>
        <v>#DIV/0!</v>
      </c>
      <c r="T129" s="53"/>
    </row>
    <row r="130" customFormat="false" ht="30" hidden="false" customHeight="true" outlineLevel="0" collapsed="false">
      <c r="A130" s="54"/>
      <c r="C130" s="55"/>
      <c r="D130" s="55"/>
      <c r="E130" s="55"/>
      <c r="F130" s="55"/>
      <c r="G130" s="55"/>
      <c r="H130" s="55"/>
      <c r="I130" s="32"/>
      <c r="J130" s="56"/>
      <c r="K130" s="56"/>
      <c r="L130" s="56"/>
      <c r="M130" s="56"/>
      <c r="N130" s="56"/>
      <c r="O130" s="56"/>
      <c r="Q130" s="31"/>
      <c r="R130" s="31"/>
      <c r="S130" s="31"/>
      <c r="T130" s="31"/>
    </row>
    <row r="131" customFormat="false" ht="13.5" hidden="false" customHeight="true" outlineLevel="0" collapsed="false">
      <c r="A131" s="11" t="n">
        <v>8104</v>
      </c>
      <c r="C131" s="13" t="s">
        <v>5</v>
      </c>
      <c r="D131" s="13"/>
      <c r="E131" s="13"/>
      <c r="F131" s="13"/>
      <c r="G131" s="13"/>
      <c r="H131" s="13"/>
      <c r="J131" s="13" t="s">
        <v>6</v>
      </c>
      <c r="K131" s="13"/>
      <c r="L131" s="13"/>
      <c r="M131" s="13"/>
      <c r="N131" s="13"/>
      <c r="O131" s="13"/>
      <c r="Q131" s="13" t="s">
        <v>7</v>
      </c>
      <c r="R131" s="13"/>
      <c r="S131" s="13"/>
      <c r="T131" s="13"/>
      <c r="V131" s="2" t="n">
        <v>1</v>
      </c>
      <c r="W131" s="2" t="n">
        <v>2</v>
      </c>
      <c r="X131" s="2" t="n">
        <v>3</v>
      </c>
    </row>
    <row r="132" customFormat="false" ht="13.5" hidden="false" customHeight="true" outlineLevel="0" collapsed="false">
      <c r="A132" s="11"/>
      <c r="C132" s="15" t="s">
        <v>8</v>
      </c>
      <c r="D132" s="15"/>
      <c r="E132" s="15"/>
      <c r="F132" s="16" t="s">
        <v>8</v>
      </c>
      <c r="G132" s="16"/>
      <c r="H132" s="16"/>
      <c r="J132" s="17" t="n">
        <v>2.7</v>
      </c>
      <c r="K132" s="18" t="n">
        <v>3</v>
      </c>
      <c r="L132" s="18" t="n">
        <v>2.75</v>
      </c>
      <c r="M132" s="19" t="n">
        <v>2.75</v>
      </c>
      <c r="N132" s="19" t="n">
        <v>3</v>
      </c>
      <c r="O132" s="20" t="n">
        <v>2.7</v>
      </c>
      <c r="Q132" s="53" t="n">
        <f aca="false">MIN(J144:L144)/$M$1</f>
        <v>0</v>
      </c>
      <c r="R132" s="53"/>
      <c r="S132" s="29" t="n">
        <f aca="false">MIN(M144:O144)/$M$1</f>
        <v>0</v>
      </c>
      <c r="T132" s="29"/>
      <c r="V132" s="22" t="s">
        <v>9</v>
      </c>
      <c r="W132" s="22"/>
      <c r="X132" s="22"/>
    </row>
    <row r="133" customFormat="false" ht="13.5" hidden="false" customHeight="true" outlineLevel="0" collapsed="false">
      <c r="A133" s="11"/>
      <c r="C133" s="23" t="s">
        <v>8</v>
      </c>
      <c r="D133" s="23"/>
      <c r="E133" s="23"/>
      <c r="F133" s="24" t="s">
        <v>8</v>
      </c>
      <c r="G133" s="24"/>
      <c r="H133" s="24"/>
      <c r="J133" s="25" t="n">
        <v>2.7</v>
      </c>
      <c r="K133" s="26" t="n">
        <v>3</v>
      </c>
      <c r="L133" s="26" t="n">
        <v>2.7</v>
      </c>
      <c r="M133" s="27" t="n">
        <v>2.7</v>
      </c>
      <c r="N133" s="27" t="n">
        <v>3</v>
      </c>
      <c r="O133" s="28" t="n">
        <v>2.7</v>
      </c>
      <c r="Q133" s="53" t="n">
        <f aca="false">MIN(J145:L145)/$M$1</f>
        <v>-0</v>
      </c>
      <c r="R133" s="53"/>
      <c r="S133" s="29" t="n">
        <f aca="false">MIN(M145:O145)/$M$1</f>
        <v>0</v>
      </c>
      <c r="T133" s="29"/>
      <c r="V133" s="30" t="e">
        <f aca="false">ROUNDUP(INDEX(LINEST(J140:L140,V131:X131,,1),1,1)*$Y$1,1)</f>
        <v>#DIV/0!</v>
      </c>
      <c r="W133" s="30"/>
      <c r="X133" s="31" t="e">
        <f aca="false">-ROUNDUP(INDEX(LINEST(M140:O140,V131:X131,,1),1,1)*$Y$1,1)</f>
        <v>#DIV/0!</v>
      </c>
    </row>
    <row r="134" customFormat="false" ht="13.5" hidden="false" customHeight="true" outlineLevel="0" collapsed="false">
      <c r="A134" s="11"/>
      <c r="J134" s="32"/>
      <c r="K134" s="32"/>
      <c r="L134" s="32"/>
      <c r="M134" s="32"/>
      <c r="N134" s="32"/>
      <c r="O134" s="32"/>
      <c r="V134" s="30" t="e">
        <f aca="false">ROUNDUP(INDEX(LINEST(J141:L141,V131:X131,,1),1,1)*$Y$1,1)</f>
        <v>#DIV/0!</v>
      </c>
      <c r="W134" s="30"/>
      <c r="X134" s="31" t="e">
        <f aca="false">-ROUNDUP(INDEX(LINEST(M141:O141,V131:X131,,1),1,1)*$Y$1,1)</f>
        <v>#DIV/0!</v>
      </c>
    </row>
    <row r="135" customFormat="false" ht="13.5" hidden="false" customHeight="true" outlineLevel="0" collapsed="false">
      <c r="A135" s="11"/>
      <c r="C135" s="13" t="s">
        <v>10</v>
      </c>
      <c r="D135" s="13"/>
      <c r="E135" s="13"/>
      <c r="F135" s="13"/>
      <c r="G135" s="13"/>
      <c r="H135" s="13"/>
      <c r="J135" s="33" t="s">
        <v>11</v>
      </c>
      <c r="K135" s="33"/>
      <c r="L135" s="33"/>
      <c r="M135" s="33"/>
      <c r="N135" s="33"/>
      <c r="O135" s="33"/>
      <c r="Q135" s="13" t="s">
        <v>12</v>
      </c>
      <c r="R135" s="13"/>
      <c r="S135" s="13"/>
      <c r="T135" s="13"/>
    </row>
    <row r="136" customFormat="false" ht="13.5" hidden="false" customHeight="true" outlineLevel="0" collapsed="false">
      <c r="A136" s="11"/>
      <c r="C136" s="17" t="n">
        <v>2.7</v>
      </c>
      <c r="D136" s="18" t="n">
        <v>2.64</v>
      </c>
      <c r="E136" s="18" t="n">
        <v>2.57</v>
      </c>
      <c r="F136" s="19" t="n">
        <v>2.75</v>
      </c>
      <c r="G136" s="19" t="n">
        <v>2.54</v>
      </c>
      <c r="H136" s="20" t="n">
        <v>2.59</v>
      </c>
      <c r="J136" s="34" t="n">
        <v>0.2</v>
      </c>
      <c r="K136" s="35" t="n">
        <v>0.2</v>
      </c>
      <c r="L136" s="35" t="n">
        <v>0.2</v>
      </c>
      <c r="M136" s="36" t="n">
        <v>0.2</v>
      </c>
      <c r="N136" s="36" t="n">
        <v>0.2</v>
      </c>
      <c r="O136" s="37" t="n">
        <v>0.2</v>
      </c>
      <c r="Q136" s="38" t="e">
        <f aca="false">SUM(J140:O140)/SUM(J140:O141)</f>
        <v>#DIV/0!</v>
      </c>
      <c r="R136" s="38"/>
      <c r="S136" s="38"/>
      <c r="T136" s="38"/>
    </row>
    <row r="137" customFormat="false" ht="13.5" hidden="false" customHeight="true" outlineLevel="0" collapsed="false">
      <c r="A137" s="11"/>
      <c r="C137" s="25" t="n">
        <v>2.72</v>
      </c>
      <c r="D137" s="26" t="n">
        <v>2.63</v>
      </c>
      <c r="E137" s="26" t="n">
        <v>2.68</v>
      </c>
      <c r="F137" s="27" t="n">
        <v>2.46</v>
      </c>
      <c r="G137" s="27" t="n">
        <v>2.57</v>
      </c>
      <c r="H137" s="28" t="n">
        <v>2.59</v>
      </c>
      <c r="J137" s="40" t="n">
        <v>0.2</v>
      </c>
      <c r="K137" s="41" t="n">
        <v>0.2</v>
      </c>
      <c r="L137" s="41" t="n">
        <v>0.2</v>
      </c>
      <c r="M137" s="42" t="n">
        <v>0.2</v>
      </c>
      <c r="N137" s="42" t="n">
        <v>0.2</v>
      </c>
      <c r="O137" s="43" t="n">
        <v>0.2</v>
      </c>
      <c r="Q137" s="38" t="e">
        <f aca="false">SUM(J141:O141)/SUM(J140:O141)</f>
        <v>#DIV/0!</v>
      </c>
      <c r="R137" s="38"/>
      <c r="S137" s="38"/>
      <c r="T137" s="38"/>
    </row>
    <row r="138" customFormat="false" ht="12.8" hidden="false" customHeight="false" outlineLevel="0" collapsed="false">
      <c r="A138" s="11"/>
      <c r="C138" s="32"/>
      <c r="D138" s="32"/>
      <c r="E138" s="32"/>
      <c r="F138" s="32"/>
      <c r="G138" s="32"/>
      <c r="H138" s="32"/>
    </row>
    <row r="139" customFormat="false" ht="12.8" hidden="false" customHeight="false" outlineLevel="0" collapsed="false">
      <c r="A139" s="11"/>
      <c r="C139" s="33" t="s">
        <v>13</v>
      </c>
      <c r="D139" s="33"/>
      <c r="E139" s="33"/>
      <c r="F139" s="33"/>
      <c r="G139" s="33"/>
      <c r="H139" s="33"/>
      <c r="J139" s="13" t="s">
        <v>14</v>
      </c>
      <c r="K139" s="13"/>
      <c r="L139" s="13"/>
      <c r="M139" s="13"/>
      <c r="N139" s="13"/>
      <c r="O139" s="13"/>
      <c r="Q139" s="13" t="s">
        <v>15</v>
      </c>
      <c r="R139" s="13"/>
      <c r="S139" s="13"/>
      <c r="T139" s="13"/>
      <c r="AK139" s="13" t="s">
        <v>14</v>
      </c>
      <c r="AL139" s="13"/>
      <c r="AM139" s="13"/>
      <c r="AN139" s="13"/>
      <c r="AO139" s="13"/>
      <c r="AP139" s="13"/>
      <c r="AQ139" s="13"/>
      <c r="AR139" s="13"/>
    </row>
    <row r="140" customFormat="false" ht="12.8" hidden="false" customHeight="false" outlineLevel="0" collapsed="false">
      <c r="A140" s="11"/>
      <c r="C140" s="60" t="n">
        <v>2.02</v>
      </c>
      <c r="D140" s="61" t="n">
        <v>2.54</v>
      </c>
      <c r="E140" s="61" t="n">
        <v>2.77</v>
      </c>
      <c r="F140" s="62" t="n">
        <v>2.47</v>
      </c>
      <c r="G140" s="62" t="n">
        <v>2.36</v>
      </c>
      <c r="H140" s="63" t="n">
        <v>1.82</v>
      </c>
      <c r="J140" s="44" t="e">
        <f aca="false">((C136-C140)/($C144*$F$1))/(J132-J136)</f>
        <v>#DIV/0!</v>
      </c>
      <c r="K140" s="45" t="e">
        <f aca="false">((D136-D140)/($C144*$F$1))/(K132-K136)</f>
        <v>#DIV/0!</v>
      </c>
      <c r="L140" s="45" t="e">
        <f aca="false">((E136-E140)/($C144*$F$1))/(L132-L136)</f>
        <v>#DIV/0!</v>
      </c>
      <c r="M140" s="45" t="e">
        <f aca="false">((F136-F140)/($C144*$F$1))/(M132-M136)</f>
        <v>#DIV/0!</v>
      </c>
      <c r="N140" s="45" t="e">
        <f aca="false">((G136-G140)/($C144*$F$1))/(N132-N136)</f>
        <v>#DIV/0!</v>
      </c>
      <c r="O140" s="46" t="e">
        <f aca="false">((H136-H140)/($C144*$F$1))/(O132-O136)</f>
        <v>#DIV/0!</v>
      </c>
      <c r="Q140" s="47" t="e">
        <f aca="false">SUM(J140:L141)/SUM(J140:O141)</f>
        <v>#DIV/0!</v>
      </c>
      <c r="R140" s="47"/>
      <c r="S140" s="47" t="e">
        <f aca="false">SUM(M140:O141)/SUM(J140:O141)</f>
        <v>#DIV/0!</v>
      </c>
      <c r="T140" s="47"/>
      <c r="AK140" s="48" t="e">
        <f aca="false">AVERAGE(J140:L140)</f>
        <v>#DIV/0!</v>
      </c>
      <c r="AL140" s="48"/>
      <c r="AM140" s="48"/>
      <c r="AN140" s="48"/>
      <c r="AO140" s="48" t="e">
        <f aca="false">AVERAGE(M140:O140)</f>
        <v>#DIV/0!</v>
      </c>
      <c r="AP140" s="48"/>
      <c r="AQ140" s="48"/>
      <c r="AR140" s="48"/>
    </row>
    <row r="141" customFormat="false" ht="12.8" hidden="false" customHeight="false" outlineLevel="0" collapsed="false">
      <c r="A141" s="11"/>
      <c r="C141" s="64" t="n">
        <v>2.86</v>
      </c>
      <c r="D141" s="65" t="n">
        <v>1.99</v>
      </c>
      <c r="E141" s="65" t="n">
        <v>2.47</v>
      </c>
      <c r="F141" s="66" t="n">
        <v>1.95</v>
      </c>
      <c r="G141" s="66" t="n">
        <v>2.39</v>
      </c>
      <c r="H141" s="67" t="n">
        <v>2.22</v>
      </c>
      <c r="I141" s="39"/>
      <c r="J141" s="44" t="e">
        <f aca="false">((C137-C141)/($C144*$F$1))/(J133-J137)</f>
        <v>#DIV/0!</v>
      </c>
      <c r="K141" s="45" t="e">
        <f aca="false">((D137-D141)/($C144*$F$1))/(K133-K137)</f>
        <v>#DIV/0!</v>
      </c>
      <c r="L141" s="45" t="e">
        <f aca="false">((E137-E141)/($C144*$F$1))/(L133-L137)</f>
        <v>#DIV/0!</v>
      </c>
      <c r="M141" s="45" t="e">
        <f aca="false">((F137-F141)/($C144*$F$1))/(M133-M137)</f>
        <v>#DIV/0!</v>
      </c>
      <c r="N141" s="45" t="e">
        <f aca="false">((G137-G141)/($C144*$F$1))/(N133-N137)</f>
        <v>#DIV/0!</v>
      </c>
      <c r="O141" s="46" t="e">
        <f aca="false">((H137-H141)/($C144*$F$1))/(O133-O137)</f>
        <v>#DIV/0!</v>
      </c>
      <c r="Q141" s="47"/>
      <c r="R141" s="47"/>
      <c r="S141" s="47"/>
      <c r="T141" s="47"/>
      <c r="AK141" s="48" t="e">
        <f aca="false">AVERAGE(J141:L141)</f>
        <v>#DIV/0!</v>
      </c>
      <c r="AL141" s="48"/>
      <c r="AM141" s="48"/>
      <c r="AN141" s="48"/>
      <c r="AO141" s="48" t="e">
        <f aca="false">AVERAGE(M141:O141)</f>
        <v>#DIV/0!</v>
      </c>
      <c r="AP141" s="48"/>
      <c r="AQ141" s="48"/>
      <c r="AR141" s="48"/>
    </row>
    <row r="142" customFormat="false" ht="12.8" hidden="false" customHeight="false" outlineLevel="0" collapsed="false">
      <c r="A142" s="11"/>
    </row>
    <row r="143" customFormat="false" ht="12.8" hidden="false" customHeight="false" outlineLevel="0" collapsed="false">
      <c r="A143" s="11"/>
      <c r="C143" s="13" t="s">
        <v>16</v>
      </c>
      <c r="D143" s="13"/>
      <c r="E143" s="13"/>
      <c r="F143" s="13"/>
      <c r="G143" s="13"/>
      <c r="H143" s="13"/>
      <c r="J143" s="13" t="s">
        <v>17</v>
      </c>
      <c r="K143" s="13"/>
      <c r="L143" s="13"/>
      <c r="M143" s="13"/>
      <c r="N143" s="13"/>
      <c r="O143" s="13"/>
      <c r="Q143" s="13" t="s">
        <v>18</v>
      </c>
      <c r="R143" s="13"/>
      <c r="S143" s="13"/>
      <c r="T143" s="13"/>
    </row>
    <row r="144" customFormat="false" ht="12.8" hidden="false" customHeight="false" outlineLevel="0" collapsed="false">
      <c r="A144" s="11"/>
      <c r="C144" s="57"/>
      <c r="D144" s="57"/>
      <c r="E144" s="57"/>
      <c r="F144" s="57"/>
      <c r="G144" s="57"/>
      <c r="H144" s="57"/>
      <c r="I144" s="32"/>
      <c r="J144" s="50" t="n">
        <f aca="false">C144*(J132-J136)/(C136-C140)</f>
        <v>0</v>
      </c>
      <c r="K144" s="51" t="n">
        <f aca="false">C144*(K132-K136)/(D136-D140)</f>
        <v>0</v>
      </c>
      <c r="L144" s="51" t="n">
        <f aca="false">$C144*(L132-L136)/(E136-E140)</f>
        <v>-0</v>
      </c>
      <c r="M144" s="51" t="n">
        <f aca="false">$C144*(M132-M136)/(G136-G140)</f>
        <v>0</v>
      </c>
      <c r="N144" s="51" t="n">
        <f aca="false">$C144*(N132-N136)/(H136-H140)</f>
        <v>0</v>
      </c>
      <c r="O144" s="52" t="n">
        <f aca="false">C144*(O132-O136)/(H136-H140)</f>
        <v>0</v>
      </c>
      <c r="Q144" s="21" t="e">
        <f aca="false">IF(V133&gt;0,CONCATENATE("less ",V133),CONCATENATE("more ",V133))</f>
        <v>#DIV/0!</v>
      </c>
      <c r="R144" s="21"/>
      <c r="S144" s="53" t="e">
        <f aca="false">IF(X133&gt;0,CONCATENATE("less ",X133),CONCATENATE("more ",X133))</f>
        <v>#DIV/0!</v>
      </c>
      <c r="T144" s="53"/>
    </row>
    <row r="145" customFormat="false" ht="12.8" hidden="false" customHeight="false" outlineLevel="0" collapsed="false">
      <c r="A145" s="11"/>
      <c r="C145" s="57"/>
      <c r="D145" s="57"/>
      <c r="E145" s="57"/>
      <c r="F145" s="57"/>
      <c r="G145" s="57"/>
      <c r="H145" s="57"/>
      <c r="I145" s="32"/>
      <c r="J145" s="50" t="n">
        <f aca="false">C144*(J133-J137)/(C137-C141)</f>
        <v>-0</v>
      </c>
      <c r="K145" s="51" t="n">
        <f aca="false">C144*(K133-K137)/(D137-D141)</f>
        <v>0</v>
      </c>
      <c r="L145" s="51" t="n">
        <f aca="false">$C144*(L133-L137)/(E137-E141)</f>
        <v>0</v>
      </c>
      <c r="M145" s="51" t="n">
        <f aca="false">$C144*(M133-M137)/(G137-G141)</f>
        <v>0</v>
      </c>
      <c r="N145" s="51" t="n">
        <f aca="false">$C144*(N133-N137)/(H137-H141)</f>
        <v>0</v>
      </c>
      <c r="O145" s="52" t="n">
        <f aca="false">C144*(O133-O137)/(H137-H141)</f>
        <v>0</v>
      </c>
      <c r="Q145" s="53" t="e">
        <f aca="false">IF(V134&gt;0,CONCATENATE("less ",V134),CONCATENATE("more ",V134))</f>
        <v>#DIV/0!</v>
      </c>
      <c r="R145" s="53"/>
      <c r="S145" s="53" t="e">
        <f aca="false">IF(X134&gt;0,CONCATENATE("less ",X134),CONCATENATE("more ",X134))</f>
        <v>#DIV/0!</v>
      </c>
      <c r="T145" s="53"/>
    </row>
    <row r="146" customFormat="false" ht="30" hidden="false" customHeight="true" outlineLevel="0" collapsed="false">
      <c r="A146" s="54"/>
      <c r="C146" s="55"/>
      <c r="D146" s="55"/>
      <c r="E146" s="55"/>
      <c r="F146" s="55"/>
      <c r="G146" s="55"/>
      <c r="H146" s="55"/>
      <c r="I146" s="32"/>
      <c r="J146" s="56"/>
      <c r="K146" s="56"/>
      <c r="L146" s="56"/>
      <c r="M146" s="56"/>
      <c r="N146" s="56"/>
      <c r="O146" s="56"/>
      <c r="Q146" s="31"/>
      <c r="R146" s="31"/>
      <c r="S146" s="31"/>
      <c r="T146" s="31"/>
    </row>
    <row r="147" customFormat="false" ht="13.5" hidden="false" customHeight="true" outlineLevel="0" collapsed="false">
      <c r="A147" s="11" t="n">
        <v>8211</v>
      </c>
      <c r="C147" s="13" t="s">
        <v>5</v>
      </c>
      <c r="D147" s="13"/>
      <c r="E147" s="13"/>
      <c r="F147" s="13"/>
      <c r="G147" s="13"/>
      <c r="H147" s="13"/>
      <c r="J147" s="13" t="s">
        <v>6</v>
      </c>
      <c r="K147" s="13"/>
      <c r="L147" s="13"/>
      <c r="M147" s="13"/>
      <c r="N147" s="13"/>
      <c r="O147" s="13"/>
      <c r="Q147" s="13" t="s">
        <v>7</v>
      </c>
      <c r="R147" s="13"/>
      <c r="S147" s="13"/>
      <c r="T147" s="13"/>
      <c r="V147" s="2" t="n">
        <v>1</v>
      </c>
      <c r="W147" s="2" t="n">
        <v>2</v>
      </c>
      <c r="X147" s="2" t="n">
        <v>3</v>
      </c>
    </row>
    <row r="148" customFormat="false" ht="13.5" hidden="false" customHeight="true" outlineLevel="0" collapsed="false">
      <c r="A148" s="11"/>
      <c r="C148" s="15" t="s">
        <v>19</v>
      </c>
      <c r="D148" s="15"/>
      <c r="E148" s="15"/>
      <c r="F148" s="16" t="s">
        <v>19</v>
      </c>
      <c r="G148" s="16"/>
      <c r="H148" s="16"/>
      <c r="J148" s="17" t="n">
        <v>2.7</v>
      </c>
      <c r="K148" s="18" t="n">
        <v>3</v>
      </c>
      <c r="L148" s="18" t="n">
        <v>2.75</v>
      </c>
      <c r="M148" s="19" t="n">
        <v>2.75</v>
      </c>
      <c r="N148" s="19" t="n">
        <v>3</v>
      </c>
      <c r="O148" s="20" t="n">
        <v>2.7</v>
      </c>
      <c r="Q148" s="53" t="n">
        <f aca="false">MIN(J160:L160)/$M$1</f>
        <v>0</v>
      </c>
      <c r="R148" s="53"/>
      <c r="S148" s="29" t="n">
        <f aca="false">MIN(M160:O160)/$M$1</f>
        <v>0</v>
      </c>
      <c r="T148" s="29"/>
      <c r="V148" s="22" t="s">
        <v>9</v>
      </c>
      <c r="W148" s="22"/>
      <c r="X148" s="22"/>
    </row>
    <row r="149" customFormat="false" ht="13.5" hidden="false" customHeight="true" outlineLevel="0" collapsed="false">
      <c r="A149" s="11"/>
      <c r="C149" s="23" t="s">
        <v>19</v>
      </c>
      <c r="D149" s="23"/>
      <c r="E149" s="23"/>
      <c r="F149" s="24" t="s">
        <v>19</v>
      </c>
      <c r="G149" s="24"/>
      <c r="H149" s="24"/>
      <c r="J149" s="25" t="n">
        <v>2.7</v>
      </c>
      <c r="K149" s="26" t="n">
        <v>3</v>
      </c>
      <c r="L149" s="26" t="n">
        <v>2.7</v>
      </c>
      <c r="M149" s="27" t="n">
        <v>2.7</v>
      </c>
      <c r="N149" s="27" t="n">
        <v>3</v>
      </c>
      <c r="O149" s="28" t="n">
        <v>2.7</v>
      </c>
      <c r="Q149" s="53" t="n">
        <f aca="false">MIN(J161:L161)/$M$1</f>
        <v>0</v>
      </c>
      <c r="R149" s="53"/>
      <c r="S149" s="29" t="n">
        <f aca="false">MIN(M161:O161)/$M$1</f>
        <v>0</v>
      </c>
      <c r="T149" s="29"/>
      <c r="V149" s="30" t="e">
        <f aca="false">ROUNDUP(INDEX(LINEST(J156:L156,V147:X147,,1),1,1)*$Y$1,1)</f>
        <v>#DIV/0!</v>
      </c>
      <c r="W149" s="30"/>
      <c r="X149" s="31" t="e">
        <f aca="false">-ROUNDUP(INDEX(LINEST(M156:O156,V147:X147,,1),1,1)*$Y$1,1)</f>
        <v>#DIV/0!</v>
      </c>
    </row>
    <row r="150" customFormat="false" ht="13.5" hidden="false" customHeight="true" outlineLevel="0" collapsed="false">
      <c r="A150" s="11"/>
      <c r="J150" s="32"/>
      <c r="K150" s="32"/>
      <c r="L150" s="32"/>
      <c r="M150" s="32"/>
      <c r="N150" s="32"/>
      <c r="O150" s="32"/>
      <c r="V150" s="30" t="e">
        <f aca="false">ROUNDUP(INDEX(LINEST(J157:L157,V147:X147,,1),1,1)*$Y$1,1)</f>
        <v>#DIV/0!</v>
      </c>
      <c r="W150" s="30"/>
      <c r="X150" s="31" t="e">
        <f aca="false">-ROUNDUP(INDEX(LINEST(M157:O157,V147:X147,,1),1,1)*$Y$1,1)</f>
        <v>#DIV/0!</v>
      </c>
    </row>
    <row r="151" customFormat="false" ht="13.5" hidden="false" customHeight="true" outlineLevel="0" collapsed="false">
      <c r="A151" s="11"/>
      <c r="C151" s="13" t="s">
        <v>10</v>
      </c>
      <c r="D151" s="13"/>
      <c r="E151" s="13"/>
      <c r="F151" s="13"/>
      <c r="G151" s="13"/>
      <c r="H151" s="13"/>
      <c r="J151" s="33" t="s">
        <v>11</v>
      </c>
      <c r="K151" s="33"/>
      <c r="L151" s="33"/>
      <c r="M151" s="33"/>
      <c r="N151" s="33"/>
      <c r="O151" s="33"/>
      <c r="Q151" s="13" t="s">
        <v>12</v>
      </c>
      <c r="R151" s="13"/>
      <c r="S151" s="13"/>
      <c r="T151" s="13"/>
    </row>
    <row r="152" customFormat="false" ht="13.5" hidden="false" customHeight="true" outlineLevel="0" collapsed="false">
      <c r="A152" s="11"/>
      <c r="C152" s="17" t="n">
        <v>2.69</v>
      </c>
      <c r="D152" s="18" t="n">
        <v>2.565</v>
      </c>
      <c r="E152" s="18" t="n">
        <v>2.51</v>
      </c>
      <c r="F152" s="19" t="n">
        <v>2.7</v>
      </c>
      <c r="G152" s="19" t="n">
        <v>2.61</v>
      </c>
      <c r="H152" s="20" t="n">
        <v>2.69</v>
      </c>
      <c r="J152" s="34" t="n">
        <v>0.2</v>
      </c>
      <c r="K152" s="35" t="n">
        <v>0.2</v>
      </c>
      <c r="L152" s="35" t="n">
        <v>0.2</v>
      </c>
      <c r="M152" s="36" t="n">
        <v>0.2</v>
      </c>
      <c r="N152" s="36" t="n">
        <v>0.2</v>
      </c>
      <c r="O152" s="37" t="n">
        <v>0.2</v>
      </c>
      <c r="Q152" s="38" t="e">
        <f aca="false">SUM(J156:O156)/SUM(J156:O157)</f>
        <v>#DIV/0!</v>
      </c>
      <c r="R152" s="38"/>
      <c r="S152" s="38"/>
      <c r="T152" s="38"/>
    </row>
    <row r="153" customFormat="false" ht="13.5" hidden="false" customHeight="true" outlineLevel="0" collapsed="false">
      <c r="A153" s="11"/>
      <c r="C153" s="25" t="n">
        <v>2.61</v>
      </c>
      <c r="D153" s="26" t="n">
        <v>2.61</v>
      </c>
      <c r="E153" s="26" t="n">
        <v>2.69</v>
      </c>
      <c r="F153" s="27" t="n">
        <v>2.65</v>
      </c>
      <c r="G153" s="27" t="n">
        <v>2.62</v>
      </c>
      <c r="H153" s="28" t="n">
        <v>2.66</v>
      </c>
      <c r="J153" s="40" t="n">
        <v>0.2</v>
      </c>
      <c r="K153" s="41" t="n">
        <v>0.2</v>
      </c>
      <c r="L153" s="41" t="n">
        <v>0.2</v>
      </c>
      <c r="M153" s="42" t="n">
        <v>0.2</v>
      </c>
      <c r="N153" s="42" t="n">
        <v>0.2</v>
      </c>
      <c r="O153" s="43" t="n">
        <v>0.2</v>
      </c>
      <c r="Q153" s="38" t="e">
        <f aca="false">SUM(J157:O157)/SUM(J156:O157)</f>
        <v>#DIV/0!</v>
      </c>
      <c r="R153" s="38"/>
      <c r="S153" s="38"/>
      <c r="T153" s="38"/>
    </row>
    <row r="154" customFormat="false" ht="12.8" hidden="false" customHeight="false" outlineLevel="0" collapsed="false">
      <c r="A154" s="11"/>
      <c r="C154" s="32"/>
      <c r="D154" s="32"/>
      <c r="E154" s="32"/>
      <c r="F154" s="32"/>
      <c r="G154" s="32"/>
      <c r="H154" s="32"/>
    </row>
    <row r="155" customFormat="false" ht="12.8" hidden="false" customHeight="false" outlineLevel="0" collapsed="false">
      <c r="A155" s="11"/>
      <c r="C155" s="33" t="s">
        <v>13</v>
      </c>
      <c r="D155" s="33"/>
      <c r="E155" s="33"/>
      <c r="F155" s="33"/>
      <c r="G155" s="33"/>
      <c r="H155" s="33"/>
      <c r="J155" s="13" t="s">
        <v>14</v>
      </c>
      <c r="K155" s="13"/>
      <c r="L155" s="13"/>
      <c r="M155" s="13"/>
      <c r="N155" s="13"/>
      <c r="O155" s="13"/>
      <c r="Q155" s="13" t="s">
        <v>15</v>
      </c>
      <c r="R155" s="13"/>
      <c r="S155" s="13"/>
      <c r="T155" s="13"/>
      <c r="AK155" s="13" t="s">
        <v>14</v>
      </c>
      <c r="AL155" s="13"/>
      <c r="AM155" s="13"/>
      <c r="AN155" s="13"/>
      <c r="AO155" s="13"/>
      <c r="AP155" s="13"/>
      <c r="AQ155" s="13"/>
      <c r="AR155" s="13"/>
    </row>
    <row r="156" customFormat="false" ht="12.8" hidden="false" customHeight="false" outlineLevel="0" collapsed="false">
      <c r="A156" s="11"/>
      <c r="C156" s="34"/>
      <c r="D156" s="35"/>
      <c r="E156" s="35"/>
      <c r="F156" s="36"/>
      <c r="G156" s="36"/>
      <c r="H156" s="37"/>
      <c r="J156" s="44" t="e">
        <f aca="false">((C152-C156)/($C160*$F$1))/(J148-J152)</f>
        <v>#DIV/0!</v>
      </c>
      <c r="K156" s="45" t="e">
        <f aca="false">((D152-D156)/($C160*$F$1))/(K148-K152)</f>
        <v>#DIV/0!</v>
      </c>
      <c r="L156" s="45" t="e">
        <f aca="false">((E152-E156)/($C160*$F$1))/(L148-L152)</f>
        <v>#DIV/0!</v>
      </c>
      <c r="M156" s="45" t="e">
        <f aca="false">((F152-F156)/($C160*$F$1))/(M148-M152)</f>
        <v>#DIV/0!</v>
      </c>
      <c r="N156" s="45" t="e">
        <f aca="false">((G152-G156)/($C160*$F$1))/(N148-N152)</f>
        <v>#DIV/0!</v>
      </c>
      <c r="O156" s="46" t="e">
        <f aca="false">((H152-H156)/($C160*$F$1))/(O148-O152)</f>
        <v>#DIV/0!</v>
      </c>
      <c r="Q156" s="47" t="e">
        <f aca="false">SUM(J156:L157)/SUM(J156:O157)</f>
        <v>#DIV/0!</v>
      </c>
      <c r="R156" s="47"/>
      <c r="S156" s="47" t="e">
        <f aca="false">SUM(M156:O157)/SUM(J156:O157)</f>
        <v>#DIV/0!</v>
      </c>
      <c r="T156" s="47"/>
      <c r="AK156" s="48" t="e">
        <f aca="false">AVERAGE(J156:L156)</f>
        <v>#DIV/0!</v>
      </c>
      <c r="AL156" s="48"/>
      <c r="AM156" s="48"/>
      <c r="AN156" s="48"/>
      <c r="AO156" s="48" t="e">
        <f aca="false">AVERAGE(M156:O156)</f>
        <v>#DIV/0!</v>
      </c>
      <c r="AP156" s="48"/>
      <c r="AQ156" s="48"/>
      <c r="AR156" s="48"/>
    </row>
    <row r="157" customFormat="false" ht="12.8" hidden="false" customHeight="false" outlineLevel="0" collapsed="false">
      <c r="A157" s="11"/>
      <c r="C157" s="58"/>
      <c r="D157" s="59"/>
      <c r="E157" s="59"/>
      <c r="F157" s="42"/>
      <c r="G157" s="42"/>
      <c r="H157" s="43"/>
      <c r="I157" s="39"/>
      <c r="J157" s="44" t="e">
        <f aca="false">((C153-C157)/($C160*$F$1))/(J149-J153)</f>
        <v>#DIV/0!</v>
      </c>
      <c r="K157" s="45" t="e">
        <f aca="false">((D153-D157)/($C160*$F$1))/(K149-K153)</f>
        <v>#DIV/0!</v>
      </c>
      <c r="L157" s="45" t="e">
        <f aca="false">((E153-E157)/($C160*$F$1))/(L149-L153)</f>
        <v>#DIV/0!</v>
      </c>
      <c r="M157" s="45" t="e">
        <f aca="false">((F153-F157)/($C160*$F$1))/(M149-M153)</f>
        <v>#DIV/0!</v>
      </c>
      <c r="N157" s="45" t="e">
        <f aca="false">((G153-G157)/($C160*$F$1))/(N149-N153)</f>
        <v>#DIV/0!</v>
      </c>
      <c r="O157" s="46" t="e">
        <f aca="false">((H153-H157)/($C160*$F$1))/(O149-O153)</f>
        <v>#DIV/0!</v>
      </c>
      <c r="Q157" s="47"/>
      <c r="R157" s="47"/>
      <c r="S157" s="47"/>
      <c r="T157" s="47"/>
      <c r="AK157" s="48" t="e">
        <f aca="false">AVERAGE(J157:L157)</f>
        <v>#DIV/0!</v>
      </c>
      <c r="AL157" s="48"/>
      <c r="AM157" s="48"/>
      <c r="AN157" s="48"/>
      <c r="AO157" s="48" t="e">
        <f aca="false">AVERAGE(M157:O157)</f>
        <v>#DIV/0!</v>
      </c>
      <c r="AP157" s="48"/>
      <c r="AQ157" s="48"/>
      <c r="AR157" s="48"/>
    </row>
    <row r="158" customFormat="false" ht="12.8" hidden="false" customHeight="false" outlineLevel="0" collapsed="false">
      <c r="A158" s="11"/>
    </row>
    <row r="159" customFormat="false" ht="12.8" hidden="false" customHeight="false" outlineLevel="0" collapsed="false">
      <c r="A159" s="11"/>
      <c r="C159" s="13" t="s">
        <v>16</v>
      </c>
      <c r="D159" s="13"/>
      <c r="E159" s="13"/>
      <c r="F159" s="13"/>
      <c r="G159" s="13"/>
      <c r="H159" s="13"/>
      <c r="J159" s="13" t="s">
        <v>17</v>
      </c>
      <c r="K159" s="13"/>
      <c r="L159" s="13"/>
      <c r="M159" s="13"/>
      <c r="N159" s="13"/>
      <c r="O159" s="13"/>
      <c r="Q159" s="13" t="s">
        <v>18</v>
      </c>
      <c r="R159" s="13"/>
      <c r="S159" s="13"/>
      <c r="T159" s="13"/>
    </row>
    <row r="160" customFormat="false" ht="12.8" hidden="false" customHeight="false" outlineLevel="0" collapsed="false">
      <c r="A160" s="11"/>
      <c r="C160" s="57"/>
      <c r="D160" s="57"/>
      <c r="E160" s="57"/>
      <c r="F160" s="57"/>
      <c r="G160" s="57"/>
      <c r="H160" s="57"/>
      <c r="I160" s="32"/>
      <c r="J160" s="50" t="n">
        <f aca="false">C160*(J148-J152)/(C152-C156)</f>
        <v>0</v>
      </c>
      <c r="K160" s="51" t="n">
        <f aca="false">C160*(K148-K152)/(D152-D156)</f>
        <v>0</v>
      </c>
      <c r="L160" s="51" t="n">
        <f aca="false">$C160*(L148-L152)/(E152-E156)</f>
        <v>0</v>
      </c>
      <c r="M160" s="51" t="n">
        <f aca="false">$C160*(M148-M152)/(G152-G156)</f>
        <v>0</v>
      </c>
      <c r="N160" s="51" t="n">
        <f aca="false">$C160*(N148-N152)/(H152-H156)</f>
        <v>0</v>
      </c>
      <c r="O160" s="52" t="n">
        <f aca="false">C160*(O148-O152)/(H152-H156)</f>
        <v>0</v>
      </c>
      <c r="Q160" s="21" t="e">
        <f aca="false">IF(V149&gt;0,CONCATENATE("less ",V149),CONCATENATE("more ",V149))</f>
        <v>#DIV/0!</v>
      </c>
      <c r="R160" s="21"/>
      <c r="S160" s="53" t="e">
        <f aca="false">IF(X149&gt;0,CONCATENATE("less ",X149),CONCATENATE("more ",X149))</f>
        <v>#DIV/0!</v>
      </c>
      <c r="T160" s="53"/>
    </row>
    <row r="161" customFormat="false" ht="12.8" hidden="false" customHeight="false" outlineLevel="0" collapsed="false">
      <c r="A161" s="11"/>
      <c r="C161" s="57"/>
      <c r="D161" s="57"/>
      <c r="E161" s="57"/>
      <c r="F161" s="57"/>
      <c r="G161" s="57"/>
      <c r="H161" s="57"/>
      <c r="I161" s="32"/>
      <c r="J161" s="50" t="n">
        <f aca="false">C160*(J149-J153)/(C153-C157)</f>
        <v>0</v>
      </c>
      <c r="K161" s="51" t="n">
        <f aca="false">C160*(K149-K153)/(D153-D157)</f>
        <v>0</v>
      </c>
      <c r="L161" s="51" t="n">
        <f aca="false">$C160*(L149-L153)/(E153-E157)</f>
        <v>0</v>
      </c>
      <c r="M161" s="51" t="n">
        <f aca="false">$C160*(M149-M153)/(G153-G157)</f>
        <v>0</v>
      </c>
      <c r="N161" s="51" t="n">
        <f aca="false">$C160*(N149-N153)/(H153-H157)</f>
        <v>0</v>
      </c>
      <c r="O161" s="52" t="n">
        <f aca="false">C160*(O149-O153)/(H153-H157)</f>
        <v>0</v>
      </c>
      <c r="Q161" s="53" t="e">
        <f aca="false">IF(V150&gt;0,CONCATENATE("less ",V150),CONCATENATE("more ",V150))</f>
        <v>#DIV/0!</v>
      </c>
      <c r="R161" s="53"/>
      <c r="S161" s="53" t="e">
        <f aca="false">IF(X150&gt;0,CONCATENATE("less ",X150),CONCATENATE("more ",X150))</f>
        <v>#DIV/0!</v>
      </c>
      <c r="T161" s="53"/>
    </row>
  </sheetData>
  <mergeCells count="388">
    <mergeCell ref="C1:E1"/>
    <mergeCell ref="F1:H1"/>
    <mergeCell ref="J1:L1"/>
    <mergeCell ref="M1:O1"/>
    <mergeCell ref="Q1:T1"/>
    <mergeCell ref="V1:X1"/>
    <mergeCell ref="Y1:AB1"/>
    <mergeCell ref="AD1:AH1"/>
    <mergeCell ref="A3:A17"/>
    <mergeCell ref="C3:H3"/>
    <mergeCell ref="J3:O3"/>
    <mergeCell ref="Q3:T3"/>
    <mergeCell ref="C4:E4"/>
    <mergeCell ref="F4:H4"/>
    <mergeCell ref="Q4:R4"/>
    <mergeCell ref="S4:T4"/>
    <mergeCell ref="V4:X4"/>
    <mergeCell ref="C5:E5"/>
    <mergeCell ref="F5:H5"/>
    <mergeCell ref="Q5:R5"/>
    <mergeCell ref="S5:T5"/>
    <mergeCell ref="V5:W5"/>
    <mergeCell ref="V6:W6"/>
    <mergeCell ref="C7:H7"/>
    <mergeCell ref="J7:O7"/>
    <mergeCell ref="Q7:T7"/>
    <mergeCell ref="Q8:T8"/>
    <mergeCell ref="Q9:T9"/>
    <mergeCell ref="C11:H11"/>
    <mergeCell ref="J11:O11"/>
    <mergeCell ref="Q11:T11"/>
    <mergeCell ref="AK11:AR11"/>
    <mergeCell ref="Q12:R13"/>
    <mergeCell ref="S12:T13"/>
    <mergeCell ref="AK12:AN12"/>
    <mergeCell ref="AO12:AR12"/>
    <mergeCell ref="AK13:AN13"/>
    <mergeCell ref="AO13:AR13"/>
    <mergeCell ref="C15:H15"/>
    <mergeCell ref="J15:O15"/>
    <mergeCell ref="Q15:T15"/>
    <mergeCell ref="C16:H17"/>
    <mergeCell ref="Q16:R16"/>
    <mergeCell ref="S16:T16"/>
    <mergeCell ref="Q17:R17"/>
    <mergeCell ref="S17:T17"/>
    <mergeCell ref="A19:A33"/>
    <mergeCell ref="C19:H19"/>
    <mergeCell ref="J19:O19"/>
    <mergeCell ref="Q19:T19"/>
    <mergeCell ref="C20:E20"/>
    <mergeCell ref="F20:H20"/>
    <mergeCell ref="Q20:R20"/>
    <mergeCell ref="S20:T20"/>
    <mergeCell ref="V20:X20"/>
    <mergeCell ref="C21:E21"/>
    <mergeCell ref="F21:H21"/>
    <mergeCell ref="Q21:R21"/>
    <mergeCell ref="S21:T21"/>
    <mergeCell ref="V21:W21"/>
    <mergeCell ref="V22:W22"/>
    <mergeCell ref="C23:H23"/>
    <mergeCell ref="J23:O23"/>
    <mergeCell ref="Q23:T23"/>
    <mergeCell ref="Q24:T24"/>
    <mergeCell ref="Q25:T25"/>
    <mergeCell ref="C27:H27"/>
    <mergeCell ref="J27:O27"/>
    <mergeCell ref="Q27:T27"/>
    <mergeCell ref="AK27:AR27"/>
    <mergeCell ref="Q28:R29"/>
    <mergeCell ref="S28:T29"/>
    <mergeCell ref="AK28:AN28"/>
    <mergeCell ref="AO28:AR28"/>
    <mergeCell ref="AK29:AN29"/>
    <mergeCell ref="AO29:AR29"/>
    <mergeCell ref="C31:H31"/>
    <mergeCell ref="J31:O31"/>
    <mergeCell ref="Q31:T31"/>
    <mergeCell ref="C32:H33"/>
    <mergeCell ref="Q32:R32"/>
    <mergeCell ref="S32:T32"/>
    <mergeCell ref="Q33:R33"/>
    <mergeCell ref="S33:T33"/>
    <mergeCell ref="A35:A49"/>
    <mergeCell ref="C35:H35"/>
    <mergeCell ref="J35:O35"/>
    <mergeCell ref="Q35:T35"/>
    <mergeCell ref="C36:E36"/>
    <mergeCell ref="F36:H36"/>
    <mergeCell ref="Q36:R36"/>
    <mergeCell ref="S36:T36"/>
    <mergeCell ref="V36:X36"/>
    <mergeCell ref="C37:E37"/>
    <mergeCell ref="F37:H37"/>
    <mergeCell ref="Q37:R37"/>
    <mergeCell ref="S37:T37"/>
    <mergeCell ref="V37:W37"/>
    <mergeCell ref="V38:W38"/>
    <mergeCell ref="C39:H39"/>
    <mergeCell ref="J39:O39"/>
    <mergeCell ref="Q39:T39"/>
    <mergeCell ref="Q40:T40"/>
    <mergeCell ref="Q41:T41"/>
    <mergeCell ref="C43:H43"/>
    <mergeCell ref="J43:O43"/>
    <mergeCell ref="Q43:T43"/>
    <mergeCell ref="AK43:AR43"/>
    <mergeCell ref="Q44:R45"/>
    <mergeCell ref="S44:T45"/>
    <mergeCell ref="AK44:AN44"/>
    <mergeCell ref="AO44:AR44"/>
    <mergeCell ref="AK45:AN45"/>
    <mergeCell ref="AO45:AR45"/>
    <mergeCell ref="C47:H47"/>
    <mergeCell ref="J47:O47"/>
    <mergeCell ref="Q47:T47"/>
    <mergeCell ref="C48:H49"/>
    <mergeCell ref="Q48:R48"/>
    <mergeCell ref="S48:T48"/>
    <mergeCell ref="Q49:R49"/>
    <mergeCell ref="S49:T49"/>
    <mergeCell ref="A51:A65"/>
    <mergeCell ref="C51:H51"/>
    <mergeCell ref="J51:O51"/>
    <mergeCell ref="Q51:T51"/>
    <mergeCell ref="C52:E52"/>
    <mergeCell ref="F52:H52"/>
    <mergeCell ref="Q52:R52"/>
    <mergeCell ref="S52:T52"/>
    <mergeCell ref="V52:X52"/>
    <mergeCell ref="C53:E53"/>
    <mergeCell ref="F53:H53"/>
    <mergeCell ref="Q53:R53"/>
    <mergeCell ref="S53:T53"/>
    <mergeCell ref="V53:W53"/>
    <mergeCell ref="V54:W54"/>
    <mergeCell ref="C55:H55"/>
    <mergeCell ref="J55:O55"/>
    <mergeCell ref="Q55:T55"/>
    <mergeCell ref="Q56:T56"/>
    <mergeCell ref="Q57:T57"/>
    <mergeCell ref="C59:H59"/>
    <mergeCell ref="J59:O59"/>
    <mergeCell ref="Q59:T59"/>
    <mergeCell ref="AK59:AR59"/>
    <mergeCell ref="Q60:R61"/>
    <mergeCell ref="S60:T61"/>
    <mergeCell ref="AK60:AN60"/>
    <mergeCell ref="AO60:AR60"/>
    <mergeCell ref="AK61:AN61"/>
    <mergeCell ref="AO61:AR61"/>
    <mergeCell ref="C63:H63"/>
    <mergeCell ref="J63:O63"/>
    <mergeCell ref="Q63:T63"/>
    <mergeCell ref="C64:H65"/>
    <mergeCell ref="Q64:R64"/>
    <mergeCell ref="S64:T64"/>
    <mergeCell ref="Q65:R65"/>
    <mergeCell ref="S65:T65"/>
    <mergeCell ref="A67:A81"/>
    <mergeCell ref="C67:H67"/>
    <mergeCell ref="J67:O67"/>
    <mergeCell ref="Q67:T67"/>
    <mergeCell ref="C68:E68"/>
    <mergeCell ref="F68:H68"/>
    <mergeCell ref="Q68:R68"/>
    <mergeCell ref="S68:T68"/>
    <mergeCell ref="V68:X68"/>
    <mergeCell ref="C69:E69"/>
    <mergeCell ref="F69:H69"/>
    <mergeCell ref="Q69:R69"/>
    <mergeCell ref="S69:T69"/>
    <mergeCell ref="V69:W69"/>
    <mergeCell ref="V70:W70"/>
    <mergeCell ref="C71:H71"/>
    <mergeCell ref="J71:O71"/>
    <mergeCell ref="Q71:T71"/>
    <mergeCell ref="Q72:T72"/>
    <mergeCell ref="Q73:T73"/>
    <mergeCell ref="C75:H75"/>
    <mergeCell ref="J75:O75"/>
    <mergeCell ref="Q75:T75"/>
    <mergeCell ref="AK75:AR75"/>
    <mergeCell ref="Q76:R77"/>
    <mergeCell ref="S76:T77"/>
    <mergeCell ref="AK76:AN76"/>
    <mergeCell ref="AO76:AR76"/>
    <mergeCell ref="AK77:AN77"/>
    <mergeCell ref="AO77:AR77"/>
    <mergeCell ref="C79:H79"/>
    <mergeCell ref="J79:O79"/>
    <mergeCell ref="Q79:T79"/>
    <mergeCell ref="C80:H81"/>
    <mergeCell ref="Q80:R80"/>
    <mergeCell ref="S80:T80"/>
    <mergeCell ref="Q81:R81"/>
    <mergeCell ref="S81:T81"/>
    <mergeCell ref="A83:A97"/>
    <mergeCell ref="C83:H83"/>
    <mergeCell ref="J83:O83"/>
    <mergeCell ref="Q83:T83"/>
    <mergeCell ref="C84:E84"/>
    <mergeCell ref="F84:H84"/>
    <mergeCell ref="Q84:R84"/>
    <mergeCell ref="S84:T84"/>
    <mergeCell ref="V84:X84"/>
    <mergeCell ref="C85:E85"/>
    <mergeCell ref="F85:H85"/>
    <mergeCell ref="Q85:R85"/>
    <mergeCell ref="S85:T85"/>
    <mergeCell ref="V85:W85"/>
    <mergeCell ref="V86:W86"/>
    <mergeCell ref="C87:H87"/>
    <mergeCell ref="J87:O87"/>
    <mergeCell ref="Q87:T87"/>
    <mergeCell ref="Q88:T88"/>
    <mergeCell ref="Q89:T89"/>
    <mergeCell ref="C91:H91"/>
    <mergeCell ref="J91:O91"/>
    <mergeCell ref="Q91:T91"/>
    <mergeCell ref="AK91:AR91"/>
    <mergeCell ref="Q92:R93"/>
    <mergeCell ref="S92:T93"/>
    <mergeCell ref="AK92:AN92"/>
    <mergeCell ref="AO92:AR92"/>
    <mergeCell ref="AK93:AN93"/>
    <mergeCell ref="AO93:AR93"/>
    <mergeCell ref="C95:H95"/>
    <mergeCell ref="J95:O95"/>
    <mergeCell ref="Q95:T95"/>
    <mergeCell ref="C96:H97"/>
    <mergeCell ref="Q96:R96"/>
    <mergeCell ref="S96:T96"/>
    <mergeCell ref="Q97:R97"/>
    <mergeCell ref="S97:T97"/>
    <mergeCell ref="A99:A113"/>
    <mergeCell ref="C99:H99"/>
    <mergeCell ref="J99:O99"/>
    <mergeCell ref="Q99:T99"/>
    <mergeCell ref="C100:E100"/>
    <mergeCell ref="F100:H100"/>
    <mergeCell ref="Q100:R100"/>
    <mergeCell ref="S100:T100"/>
    <mergeCell ref="V100:X100"/>
    <mergeCell ref="C101:E101"/>
    <mergeCell ref="F101:H101"/>
    <mergeCell ref="Q101:R101"/>
    <mergeCell ref="S101:T101"/>
    <mergeCell ref="V101:W101"/>
    <mergeCell ref="V102:W102"/>
    <mergeCell ref="C103:H103"/>
    <mergeCell ref="J103:O103"/>
    <mergeCell ref="Q103:T103"/>
    <mergeCell ref="Q104:T104"/>
    <mergeCell ref="Q105:T105"/>
    <mergeCell ref="C107:H107"/>
    <mergeCell ref="J107:O107"/>
    <mergeCell ref="Q107:T107"/>
    <mergeCell ref="AK107:AR107"/>
    <mergeCell ref="Q108:R109"/>
    <mergeCell ref="S108:T109"/>
    <mergeCell ref="AK108:AN108"/>
    <mergeCell ref="AO108:AR108"/>
    <mergeCell ref="AK109:AN109"/>
    <mergeCell ref="AO109:AR109"/>
    <mergeCell ref="C111:H111"/>
    <mergeCell ref="J111:O111"/>
    <mergeCell ref="Q111:T111"/>
    <mergeCell ref="C112:H113"/>
    <mergeCell ref="Q112:R112"/>
    <mergeCell ref="S112:T112"/>
    <mergeCell ref="Q113:R113"/>
    <mergeCell ref="S113:T113"/>
    <mergeCell ref="A115:A129"/>
    <mergeCell ref="C115:H115"/>
    <mergeCell ref="J115:O115"/>
    <mergeCell ref="Q115:T115"/>
    <mergeCell ref="C116:E116"/>
    <mergeCell ref="F116:H116"/>
    <mergeCell ref="Q116:R116"/>
    <mergeCell ref="S116:T116"/>
    <mergeCell ref="V116:X116"/>
    <mergeCell ref="C117:E117"/>
    <mergeCell ref="F117:H117"/>
    <mergeCell ref="Q117:R117"/>
    <mergeCell ref="S117:T117"/>
    <mergeCell ref="V117:W117"/>
    <mergeCell ref="V118:W118"/>
    <mergeCell ref="C119:H119"/>
    <mergeCell ref="J119:O119"/>
    <mergeCell ref="Q119:T119"/>
    <mergeCell ref="Q120:T120"/>
    <mergeCell ref="Q121:T121"/>
    <mergeCell ref="C123:H123"/>
    <mergeCell ref="J123:O123"/>
    <mergeCell ref="Q123:T123"/>
    <mergeCell ref="AK123:AR123"/>
    <mergeCell ref="Q124:R125"/>
    <mergeCell ref="S124:T125"/>
    <mergeCell ref="AK124:AN124"/>
    <mergeCell ref="AO124:AR124"/>
    <mergeCell ref="AK125:AN125"/>
    <mergeCell ref="AO125:AR125"/>
    <mergeCell ref="C127:H127"/>
    <mergeCell ref="J127:O127"/>
    <mergeCell ref="Q127:T127"/>
    <mergeCell ref="C128:H129"/>
    <mergeCell ref="Q128:R128"/>
    <mergeCell ref="S128:T128"/>
    <mergeCell ref="Q129:R129"/>
    <mergeCell ref="S129:T129"/>
    <mergeCell ref="A131:A145"/>
    <mergeCell ref="C131:H131"/>
    <mergeCell ref="J131:O131"/>
    <mergeCell ref="Q131:T131"/>
    <mergeCell ref="C132:E132"/>
    <mergeCell ref="F132:H132"/>
    <mergeCell ref="Q132:R132"/>
    <mergeCell ref="S132:T132"/>
    <mergeCell ref="V132:X132"/>
    <mergeCell ref="C133:E133"/>
    <mergeCell ref="F133:H133"/>
    <mergeCell ref="Q133:R133"/>
    <mergeCell ref="S133:T133"/>
    <mergeCell ref="V133:W133"/>
    <mergeCell ref="V134:W134"/>
    <mergeCell ref="C135:H135"/>
    <mergeCell ref="J135:O135"/>
    <mergeCell ref="Q135:T135"/>
    <mergeCell ref="Q136:T136"/>
    <mergeCell ref="Q137:T137"/>
    <mergeCell ref="C139:H139"/>
    <mergeCell ref="J139:O139"/>
    <mergeCell ref="Q139:T139"/>
    <mergeCell ref="AK139:AR139"/>
    <mergeCell ref="Q140:R141"/>
    <mergeCell ref="S140:T141"/>
    <mergeCell ref="AK140:AN140"/>
    <mergeCell ref="AO140:AR140"/>
    <mergeCell ref="AK141:AN141"/>
    <mergeCell ref="AO141:AR141"/>
    <mergeCell ref="C143:H143"/>
    <mergeCell ref="J143:O143"/>
    <mergeCell ref="Q143:T143"/>
    <mergeCell ref="C144:H145"/>
    <mergeCell ref="Q144:R144"/>
    <mergeCell ref="S144:T144"/>
    <mergeCell ref="Q145:R145"/>
    <mergeCell ref="S145:T145"/>
    <mergeCell ref="A147:A161"/>
    <mergeCell ref="C147:H147"/>
    <mergeCell ref="J147:O147"/>
    <mergeCell ref="Q147:T147"/>
    <mergeCell ref="C148:E148"/>
    <mergeCell ref="F148:H148"/>
    <mergeCell ref="Q148:R148"/>
    <mergeCell ref="S148:T148"/>
    <mergeCell ref="V148:X148"/>
    <mergeCell ref="C149:E149"/>
    <mergeCell ref="F149:H149"/>
    <mergeCell ref="Q149:R149"/>
    <mergeCell ref="S149:T149"/>
    <mergeCell ref="V149:W149"/>
    <mergeCell ref="V150:W150"/>
    <mergeCell ref="C151:H151"/>
    <mergeCell ref="J151:O151"/>
    <mergeCell ref="Q151:T151"/>
    <mergeCell ref="Q152:T152"/>
    <mergeCell ref="Q153:T153"/>
    <mergeCell ref="C155:H155"/>
    <mergeCell ref="J155:O155"/>
    <mergeCell ref="Q155:T155"/>
    <mergeCell ref="AK155:AR155"/>
    <mergeCell ref="Q156:R157"/>
    <mergeCell ref="S156:T157"/>
    <mergeCell ref="AK156:AN156"/>
    <mergeCell ref="AO156:AR156"/>
    <mergeCell ref="AK157:AN157"/>
    <mergeCell ref="AO157:AR157"/>
    <mergeCell ref="C159:H159"/>
    <mergeCell ref="J159:O159"/>
    <mergeCell ref="Q159:T159"/>
    <mergeCell ref="C160:H161"/>
    <mergeCell ref="Q160:R160"/>
    <mergeCell ref="S160:T160"/>
    <mergeCell ref="Q161:R161"/>
    <mergeCell ref="S161:T161"/>
  </mergeCells>
  <conditionalFormatting sqref="Q4:T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Q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2 Q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T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2:T1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O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8:T5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4:T6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0:T8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2:T8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2:T11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8:T12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92 AO92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:AR93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 AO12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:AR125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 AO60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:AR6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 AO44"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:AR45"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 AO12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:AR13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30:T130"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0:T130"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4:T145"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40 AO140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"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:AR141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3:O13"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6 AK76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:AR77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:O16"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L34"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O50"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L50"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O66"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L66"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O98"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L98"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O114"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L114"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O130"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L130"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9:O29"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2:O3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0:T21"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Q25"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T25"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8 Q28"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8:T29"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8 AK28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:AR2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5:O45"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8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9"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9:L49"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8:O49"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6:T37"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Q41"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T41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4 Q44"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4:T4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1:O61"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4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5"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5:L65"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4:O65"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2:T53"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Q57"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T57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0 S60"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0:T6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7:O77"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6:O77"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76:O77"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0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1"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1:L81"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0:O81"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8:T69"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Q73"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T73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76 S76"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6:T7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X6"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1:X22"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7:X38"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3:X54"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69:X70"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85:X86"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01:X102"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17:X118"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33:X134"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6:T97"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3:O93"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2:O93"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2:O93"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7"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7:L97"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6:O97"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4:T85"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Q89"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T8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92 S92"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2:T93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9:O109"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3"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3:L113"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2:O113"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0:T101"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Q105"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T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08 S108"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8:T109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8 AK108"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:AR109"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5:O125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8"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9"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9:L129"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8:O129"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6:T117"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Q121"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T121"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24 Q124"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4:T125"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1:O141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4"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5"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5:L145"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4:O145"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2:T133"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Q137"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T137"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40 Q140"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0:T141"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6:T18"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8"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7:L18"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7"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2:T34"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2:O33"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3:L33"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60:T161"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56 AO156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"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:AR157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6:O146"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6:L146"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9:X150"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57:O157"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1"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1:L161"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0:O161"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8:T149"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Q153"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T15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56 S156"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6:T157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3339</TotalTime>
  <Application>LibreOffice/7.0.6.2$Windows_X86_64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2021-07-16T08:15:56Z</dcterms:created>
  <dc:creator>Stefano.Rapisarda</dc:creator>
  <dc:description/>
  <dc:language>en-GB</dc:language>
  <cp:lastModifiedBy/>
  <dcterms:modified xsi:type="dcterms:W3CDTF">2021-08-22T14:17:07Z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