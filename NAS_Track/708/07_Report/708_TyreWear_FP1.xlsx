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_rels/externalLink3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5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E WEAR REPORT" sheetId="1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function="false" hidden="false" localSheetId="0" name="_xlnm.Print_Area" vbProcedure="false">'TIRE WEAR REPORT'!$A$1:$AJ$97</definedName>
    <definedName function="false" hidden="false" name="aa" vbProcedure="false">[2]gtpemm4!#ref!</definedName>
    <definedName function="false" hidden="false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ckermann_Setting" vbProcedure="false">#REF!</definedName>
    <definedName function="false" hidden="false" name="Aileron" vbProcedure="false">'[3]Data 2'!$B$64:$M$64</definedName>
    <definedName function="false" hidden="false" name="Aktuell" vbProcedure="false">2</definedName>
    <definedName function="false" hidden="false" name="Alarme_Ess_Lap" vbProcedure="false">[4]Data!$B$14</definedName>
    <definedName function="false" hidden="false" name="all_sorted" vbProcedure="false">#REF!</definedName>
    <definedName function="false" hidden="false" name="all_unsorted" vbProcedure="false">#REF!</definedName>
    <definedName function="false" hidden="false" name="Amortisseurs" vbProcedure="false">'[3]Data 2'!$B$22</definedName>
    <definedName function="false" hidden="false" name="Angle_Secondaire" vbProcedure="false">'[3]Data 2'!$C$36:$I$36</definedName>
    <definedName function="false" hidden="false" name="aufbaublatt" vbProcedure="false">#REF!</definedName>
    <definedName function="false" hidden="false" name="bar" vbProcedure="false">[6]TYRE_PRESSURE!$AO$4</definedName>
    <definedName function="false" hidden="false" name="BAR_Ar" vbProcedure="false">'[3]Data 2'!$B$33:$F$33</definedName>
    <definedName function="false" hidden="false" name="BAR_Av" vbProcedure="false">'[3]Data 2'!$B$32:$H$32</definedName>
    <definedName function="false" hidden="false" name="bb" vbProcedure="false">[2]gtpemm4!#ref!</definedName>
    <definedName function="false" hidden="false" name="bbb" vbProcedure="false">[2]gtpemm4!#ref!</definedName>
    <definedName function="false" hidden="false" name="Bump_and_Rebound_Settings" vbProcedure="false">#REF!</definedName>
    <definedName function="false" hidden="false" name="Bump_High_Speed" vbProcedure="false">'[3]Data 2'!$C$28:$AZ$28</definedName>
    <definedName function="false" hidden="false" name="Bump_Low_Speed" vbProcedure="false">'[3]Data 2'!$C$27:$Z$27</definedName>
    <definedName function="false" hidden="false" name="Canards" vbProcedure="false">'[3]Data 2'!$B$45:$D$45</definedName>
    <definedName function="false" hidden="false" name="Capacité" vbProcedure="false">[4]Data!$B$11</definedName>
    <definedName function="false" hidden="false" name="ccc" vbProcedure="false">[2]gtpemm4!#ref!</definedName>
    <definedName function="false" hidden="false" name="chefmech" vbProcedure="false">#REF!</definedName>
    <definedName function="false" hidden="false" name="ChgtPneu" vbProcedure="false">'[3]Data 2'!$B$56:$D$56</definedName>
    <definedName function="false" hidden="false" name="Chgt_Pneus" vbProcedure="false">[4]Data!$B$13:$D$13</definedName>
    <definedName function="false" hidden="false" name="Chgt_Pneus_Relai_2" vbProcedure="false">'[3]R (RS)'!$CH$11</definedName>
    <definedName function="false" hidden="false" name="Chgt_Pneus_Relai_22" vbProcedure="false">'[3]R (RS)'!$CH$80</definedName>
    <definedName function="false" hidden="false" name="Chgt_Pneus_Relai_3" vbProcedure="false">'[3]R (RS)'!$CP$11</definedName>
    <definedName function="false" hidden="false" name="Chgt_Pneus_Relai_32" vbProcedure="false">'[3]R (RS)'!$CP$80</definedName>
    <definedName function="false" hidden="false" name="Chgt_Pneus_Relai_33" vbProcedure="false">'[3]R (RS)'!$CP$149</definedName>
    <definedName function="false" hidden="false" name="Chgt_Pneus_Relai_4" vbProcedure="false">'[3]R (RS)'!$CX$11</definedName>
    <definedName function="false" hidden="false" name="Chgt_Pneus_Relai_42" vbProcedure="false">'[3]R (RS)'!$CX$80</definedName>
    <definedName function="false" hidden="false" name="Chgt_Pneus_Relai_43" vbProcedure="false">'[3]R (RS)'!$CX$149</definedName>
    <definedName function="false" hidden="false" name="Chgt_Pneus_Relai_44" vbProcedure="false">'[3]R (RS)'!$CX$218</definedName>
    <definedName function="false" hidden="false" name="Chgt_Pneus_Relai_5" vbProcedure="false">'[3]R (RS)'!$DF$11</definedName>
    <definedName function="false" hidden="false" name="Chgt_Pneus_Relai_52" vbProcedure="false">'[3]R (RS)'!$DF$80</definedName>
    <definedName function="false" hidden="false" name="Chgt_Pneus_Relai_53" vbProcedure="false">'[3]R (RS)'!$DF$149</definedName>
    <definedName function="false" hidden="false" name="Chgt_Pneus_Relai_54" vbProcedure="false">'[3]R (RS)'!$DF$218</definedName>
    <definedName function="false" hidden="false" name="Chgt_Pneus_Relai_55" vbProcedure="false">'[3]R (RS)'!$DF$287</definedName>
    <definedName function="false" hidden="false" name="Chgt_Pneus_Relai_6" vbProcedure="false">'[3]R (RS)'!$DN$11</definedName>
    <definedName function="false" hidden="false" name="Chgt_Pneus_Relai_62" vbProcedure="false">'[3]R (RS)'!$DN$80</definedName>
    <definedName function="false" hidden="false" name="Chgt_Pneus_Relai_63" vbProcedure="false">'[3]R (RS)'!$DN$149</definedName>
    <definedName function="false" hidden="false" name="Chgt_Pneus_Relai_64" vbProcedure="false">'[3]R (RS)'!$DN$218</definedName>
    <definedName function="false" hidden="false" name="Chgt_Pneus_Relai_65" vbProcedure="false">'[3]R (RS)'!$DN$287</definedName>
    <definedName function="false" hidden="false" name="Chgt_Pneus_Relai_66" vbProcedure="false">'[3]R (RS)'!$DN$356</definedName>
    <definedName function="false" hidden="false" name="Chgt_Pneus_Relai_7" vbProcedure="false">'[3]R (RS)'!$DV$11</definedName>
    <definedName function="false" hidden="false" name="Chgt_Pneus_Relai_72" vbProcedure="false">'[3]R (RS)'!$DV$80</definedName>
    <definedName function="false" hidden="false" name="Chgt_Pneus_Relai_73" vbProcedure="false">'[3]R (RS)'!$DV$149</definedName>
    <definedName function="false" hidden="false" name="Chgt_Pneus_Relai_74" vbProcedure="false">'[3]R (RS)'!$DV$218</definedName>
    <definedName function="false" hidden="false" name="Chgt_Pneus_Relai_75" vbProcedure="false">'[3]R (RS)'!$DV$287</definedName>
    <definedName function="false" hidden="false" name="Chgt_Pneus_Relai_76" vbProcedure="false">'[3]R (RS)'!$DV$356</definedName>
    <definedName function="false" hidden="false" name="Chgt_Pneus_Relai_77" vbProcedure="false">'[3]R (RS)'!$DV$425</definedName>
    <definedName function="false" hidden="false" name="Chgt_Pneus_Relai_8" vbProcedure="false">'[3]R (RS)'!$ED$11</definedName>
    <definedName function="false" hidden="false" name="Chgt_Pneus_Relai_82" vbProcedure="false">'[3]R (RS)'!$ED$80</definedName>
    <definedName function="false" hidden="false" name="Chgt_Pneus_Relai_83" vbProcedure="false">'[3]R (RS)'!$ED$149</definedName>
    <definedName function="false" hidden="false" name="Chgt_Pneus_Relai_84" vbProcedure="false">'[3]R (RS)'!$ED$218</definedName>
    <definedName function="false" hidden="false" name="Chgt_Pneus_Relai_85" vbProcedure="false">'[3]R (RS)'!$ED$287</definedName>
    <definedName function="false" hidden="false" name="Chgt_Pneus_Relai_86" vbProcedure="false">'[3]R (RS)'!$ED$356</definedName>
    <definedName function="false" hidden="false" name="Chgt_Pneus_Relai_87" vbProcedure="false">'[3]R (RS)'!$ED$425</definedName>
    <definedName function="false" hidden="false" name="Chgt_Pneus_Relai_88" vbProcedure="false">'[3]R (RS)'!$ED$494</definedName>
    <definedName function="false" hidden="false" name="Choix_O" vbProcedure="false">[7]Data!$B$15</definedName>
    <definedName function="false" hidden="false" name="Choix_Sim" vbProcedure="false">[4]Data!$B$15:$C$15</definedName>
    <definedName function="false" hidden="false" name="Chrono_Pil_1" vbProcedure="false">'[3]R (RS)'!$CM$3</definedName>
    <definedName function="false" hidden="false" name="Chrono_Pil_2" vbProcedure="false">'[3]R (RS)'!$CM$4</definedName>
    <definedName function="false" hidden="false" name="Chrono_Pil_3" vbProcedure="false">'[3]R (RS)'!$CM$5</definedName>
    <definedName function="false" hidden="false" name="Chrono_Pil_4" vbProcedure="false">'[3]R (RS)'!$CM$6</definedName>
    <definedName function="false" hidden="false" name="Clutch" vbProcedure="false">'[3]Data 2'!$B$10:$E$10</definedName>
    <definedName function="false" hidden="false" name="CoefPn1" vbProcedure="false">#REF!</definedName>
    <definedName function="false" hidden="false" name="CoefPn2" vbProcedure="false">#REF!</definedName>
    <definedName function="false" hidden="false" name="CoefPn3" vbProcedure="false">#REF!</definedName>
    <definedName function="false" hidden="false" name="CoefPn4" vbProcedure="false">#REF!</definedName>
    <definedName function="false" hidden="false" name="Coef_Chrono_Pneus_2" vbProcedure="false">'[3]R (RS)'!$DH$4</definedName>
    <definedName function="false" hidden="false" name="Coef_Chrono_Pneus_3" vbProcedure="false">'[3]R (RS)'!$DH$5</definedName>
    <definedName function="false" hidden="false" name="Coef_Chrono_Pneus_4" vbProcedure="false">'[3]R (RS)'!$DH$6</definedName>
    <definedName function="false" hidden="false" name="Conso_Pil_1" vbProcedure="false">'[3]R (RS)'!$CI$3</definedName>
    <definedName function="false" hidden="false" name="Conso_Pil_2" vbProcedure="false">'[3]R (RS)'!$CI$4</definedName>
    <definedName function="false" hidden="false" name="Conso_Pil_3" vbProcedure="false">'[3]R (RS)'!$CI$5</definedName>
    <definedName function="false" hidden="false" name="Conso_Pil_4" vbProcedure="false">'[3]R (RS)'!$CI$6</definedName>
    <definedName function="false" hidden="false" name="Conso_SC" vbProcedure="false">'[3]R (RS)'!$EC$3</definedName>
    <definedName function="false" hidden="false" name="ConsPil1" vbProcedure="false">#REF!</definedName>
    <definedName function="false" hidden="false" name="ConsPil2" vbProcedure="false">#REF!</definedName>
    <definedName function="false" hidden="false" name="ConsPil3" vbProcedure="false">#REF!</definedName>
    <definedName function="false" hidden="false" name="ConsPil4" vbProcedure="false">#REF!</definedName>
    <definedName function="false" hidden="false" name="ConsSC" vbProcedure="false">#REF!</definedName>
    <definedName function="false" hidden="false" name="const" vbProcedure="false">[6]TYRE_PRESSURE!$AO$3</definedName>
    <definedName function="false" hidden="false" name="Consumption" vbProcedure="false">'[8]allg.'!$B$13</definedName>
    <definedName function="false" hidden="false" name="consumption_std" vbProcedure="false">'[9]601'!$P$6:$P$11</definedName>
    <definedName function="false" hidden="false" name="consumption_std2" vbProcedure="false">#REF!</definedName>
    <definedName function="false" hidden="false" name="consumption_yellow" vbProcedure="false">'[9]601'!$P$12:$P$14</definedName>
    <definedName function="false" hidden="false" name="consumption_yellow2" vbProcedure="false">#REF!</definedName>
    <definedName function="false" hidden="false" name="conv" vbProcedure="false">#REF!</definedName>
    <definedName function="false" hidden="false" name="Couteau" vbProcedure="false">'[3]Data 2'!$B$34:$F$34</definedName>
    <definedName function="false" hidden="false" name="Data2003" vbProcedure="false">[10]Database!$J$5:$AI$15</definedName>
    <definedName function="false" hidden="false" name="Daten" vbProcedure="false">#REF!</definedName>
    <definedName function="false" hidden="false" name="ddd" vbProcedure="false">[2]gtpemm4!#ref!</definedName>
    <definedName function="false" hidden="false" name="Debit_Ess" vbProcedure="false">'[3]R (RS)'!$EC$4</definedName>
    <definedName function="false" hidden="false" name="Densité" vbProcedure="false">[4]Data!$B$20</definedName>
    <definedName function="false" hidden="false" name="Differential_Plate_Configuration" vbProcedure="false">#REF!</definedName>
    <definedName function="false" hidden="false" name="Differential_Preloads" vbProcedure="false">#REF!</definedName>
    <definedName function="false" hidden="false" name="Differential_Ramps" vbProcedure="false">#REF!</definedName>
    <definedName function="false" hidden="false" name="Drivers" vbProcedure="false">[3]Cover!$R$53:$R$56</definedName>
    <definedName function="false" hidden="false" name="DriversShort" vbProcedure="false">[3]Cover!$AP$53:$AP$56</definedName>
    <definedName function="false" hidden="false" name="dropgear" vbProcedure="false">[11]List!$G$3:$K$4</definedName>
    <definedName function="false" hidden="false" name="eee" vbProcedure="false">[12]gtpemm4!#ref!</definedName>
    <definedName function="false" hidden="false" name="Empattement" vbProcedure="false">'[3]Data 2'!$B$6</definedName>
    <definedName function="false" hidden="false" name="EndRace" vbProcedure="false">#REF!</definedName>
    <definedName function="false" hidden="false" name="Engines" vbProcedure="false">'[3]Data 2'!$B$9:$L$9</definedName>
    <definedName function="false" hidden="false" name="Equerre_BF" vbProcedure="false">'[3]Data 2'!$B$65:$D$65</definedName>
    <definedName function="false" hidden="false" name="Events2003" vbProcedure="false">[10]Database!$J$5:$J$15</definedName>
    <definedName function="false" hidden="false" name="Faces" vbProcedure="false">'[3]Data 2'!$B$21:$D$21</definedName>
    <definedName function="false" hidden="false" name="fahrer" vbProcedure="false">'[9]601'!$Q$6:$Q$10</definedName>
    <definedName function="false" hidden="false" name="Fahrzeug" vbProcedure="false">#REF!</definedName>
    <definedName function="false" hidden="false" name="FARB_Stiffness" vbProcedure="false">#REF!</definedName>
    <definedName function="false" hidden="false" name="FARB_Table" vbProcedure="false">#REF!</definedName>
    <definedName function="false" hidden="false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Final_Drive_Ratio" vbProcedure="false">#REF!</definedName>
    <definedName function="false" hidden="false" name="Fin_course" vbProcedure="false">'[3]R (RS)'!$DB$6</definedName>
    <definedName function="false" hidden="false" name="Flap1" vbProcedure="false">'[3]Data 2'!$B$42:$F$42</definedName>
    <definedName function="false" hidden="false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name="Front_Brake_Ducts" vbProcedure="false">#REF!</definedName>
    <definedName function="false" hidden="false" name="Front_Brake_Type" vbProcedure="false">#REF!</definedName>
    <definedName function="false" hidden="false" name="Front_Caster_Setup" vbProcedure="false">#REF!</definedName>
    <definedName function="false" hidden="false" name="Front_Damper_Type" vbProcedure="false">#REF!</definedName>
    <definedName function="false" hidden="false" name="Front_Spring_Stiffness" vbProcedure="false">#REF!</definedName>
    <definedName function="false" hidden="false" name="Front_Torsion_Springs" vbProcedure="false">#REF!</definedName>
    <definedName function="false" hidden="false" name="Front_Wing_Gurneys" vbProcedure="false">#REF!</definedName>
    <definedName function="false" hidden="false" name="Front_Wing_Type" vbProcedure="false">#REF!</definedName>
    <definedName function="false" hidden="false" name="ftwing" vbProcedure="false">'[14]data vehicle'!$u$5:#REF!</definedName>
    <definedName function="false" hidden="false" name="gear1" vbProcedure="false">[11]List!$M$3:$Q$6</definedName>
    <definedName function="false" hidden="false" name="gear2" vbProcedure="false">[11]List!$S$3:$W$28</definedName>
    <definedName function="false" hidden="false" name="gear3" vbProcedure="false">[11]List!$Y$3:$AC$28</definedName>
    <definedName function="false" hidden="false" name="gear4" vbProcedure="false">[11]List!$AE$3:$AI$28</definedName>
    <definedName function="false" hidden="false" name="gear5" vbProcedure="false">[11]List!$AK$3:$AO$28</definedName>
    <definedName function="false" hidden="false" name="gear6" vbProcedure="false">[11]List!$AQ$3:$AU$28</definedName>
    <definedName function="false" hidden="false" name="Gearbox" vbProcedure="false">'[3]Data 2'!$B$11:$L$11</definedName>
    <definedName function="false" hidden="false" name="Gommes" vbProcedure="false">[4]Data!$B$7:$I$7</definedName>
    <definedName function="false" hidden="false" name="Ingenieur" vbProcedure="false">#REF!</definedName>
    <definedName function="false" hidden="false" name="Intervention" vbProcedure="false">'[3]Data 2'!$B$52:$C$52</definedName>
    <definedName function="false" hidden="false" name="Jahr" vbProcedure="false">#REF!</definedName>
    <definedName function="false" hidden="false" name="Lame" vbProcedure="false">'[3]Data 2'!$B$63:$D$63</definedName>
    <definedName function="false" hidden="false" name="LapLength" vbProcedure="false">'[8]allg.'!$B$14</definedName>
    <definedName function="false" hidden="false" name="laptimes" vbProcedure="false">'[9]601'!$M$12:$M$15</definedName>
    <definedName function="false" hidden="false" name="laptimes2" vbProcedure="false">#REF!</definedName>
    <definedName function="false" hidden="false" name="lap_lenght" vbProcedure="false">[15]brake_wear!#ref!</definedName>
    <definedName function="false" hidden="false" name="lap_lenght2" vbProcedure="false">[15]brake_wear!#ref!</definedName>
    <definedName function="false" hidden="false" name="Levier" vbProcedure="false">'[3]Data 2'!$B$35:$D$35</definedName>
    <definedName function="false" hidden="fals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MAR" vbProcedure="false">'[3]Data 2'!$C$39:$E$39</definedName>
    <definedName function="false" hidden="false" name="Marge_Ess_Relai_1" vbProcedure="false">'[3]R (RS)'!$BV$12</definedName>
    <definedName function="false" hidden="false" name="Marge_Ess_Relai_2" vbProcedure="false">'[3]R (RS)'!$CD$12</definedName>
    <definedName function="false" hidden="false" name="Marge_Ess_Relai_22" vbProcedure="false">'[3]R (RS)'!$CD$81</definedName>
    <definedName function="false" hidden="false" name="Marge_Ess_Relai_3" vbProcedure="false">'[3]R (RS)'!$CL$12</definedName>
    <definedName function="false" hidden="false" name="Marge_Ess_Relai_32" vbProcedure="false">'[3]R (RS)'!$CL$81</definedName>
    <definedName function="false" hidden="false" name="Marge_Ess_Relai_33" vbProcedure="false">'[3]R (RS)'!$CL$150</definedName>
    <definedName function="false" hidden="false" name="Marge_Ess_Relai_4" vbProcedure="false">'[3]R (RS)'!$CT$12</definedName>
    <definedName function="false" hidden="false" name="Marge_Ess_Relai_42" vbProcedure="false">'[3]R (RS)'!$CT$81</definedName>
    <definedName function="false" hidden="false" name="Marge_Ess_Relai_43" vbProcedure="false">'[3]R (RS)'!$CT$150</definedName>
    <definedName function="false" hidden="false" name="Marge_Ess_Relai_44" vbProcedure="false">'[3]R (RS)'!$CT$219</definedName>
    <definedName function="false" hidden="false" name="Marge_Ess_Relai_5" vbProcedure="false">'[3]R (RS)'!$DB$12</definedName>
    <definedName function="false" hidden="false" name="Marge_Ess_Relai_52" vbProcedure="false">'[3]R (RS)'!$DB$81</definedName>
    <definedName function="false" hidden="false" name="Marge_Ess_Relai_53" vbProcedure="false">'[3]R (RS)'!$DB$150</definedName>
    <definedName function="false" hidden="false" name="Marge_Ess_Relai_54" vbProcedure="false">'[3]R (RS)'!$DB$219</definedName>
    <definedName function="false" hidden="false" name="Marge_Ess_Relai_55" vbProcedure="false">'[3]R (RS)'!$DB$288</definedName>
    <definedName function="false" hidden="false" name="Marge_Ess_Relai_6" vbProcedure="false">'[3]R (RS)'!$DJ$12</definedName>
    <definedName function="false" hidden="false" name="Marge_Ess_Relai_62" vbProcedure="false">'[3]R (RS)'!$DJ$81</definedName>
    <definedName function="false" hidden="false" name="Marge_Ess_Relai_63" vbProcedure="false">'[3]R (RS)'!$DJ$150</definedName>
    <definedName function="false" hidden="false" name="Marge_Ess_Relai_64" vbProcedure="false">'[3]R (RS)'!$DJ$219</definedName>
    <definedName function="false" hidden="false" name="Marge_Ess_Relai_65" vbProcedure="false">'[3]R (RS)'!$DJ$288</definedName>
    <definedName function="false" hidden="false" name="Marge_Ess_Relai_66" vbProcedure="false">'[3]R (RS)'!$DJ$357</definedName>
    <definedName function="false" hidden="false" name="Marge_Ess_Relai_7" vbProcedure="false">'[3]R (RS)'!$DR$12</definedName>
    <definedName function="false" hidden="false" name="Marge_Ess_Relai_72" vbProcedure="false">'[3]R (RS)'!$DR$81</definedName>
    <definedName function="false" hidden="false" name="Marge_Ess_Relai_73" vbProcedure="false">'[3]R (RS)'!$DR$150</definedName>
    <definedName function="false" hidden="false" name="Marge_Ess_Relai_74" vbProcedure="false">'[3]R (RS)'!$DR$219</definedName>
    <definedName function="false" hidden="false" name="Marge_Ess_Relai_75" vbProcedure="false">'[3]R (RS)'!$DR$288</definedName>
    <definedName function="false" hidden="false" name="Marge_Ess_Relai_76" vbProcedure="false">'[3]R (RS)'!$DR$357</definedName>
    <definedName function="false" hidden="false" name="Marge_Ess_Relai_77" vbProcedure="false">'[3]R (RS)'!$DR$426</definedName>
    <definedName function="false" hidden="false" name="Master_Cylinder_Sizes" vbProcedure="false">#REF!</definedName>
    <definedName function="false" hidden="false" name="MAV" vbProcedure="false">'[3]Data 2'!$C$37:$D$37</definedName>
    <definedName function="false" hidden="false" name="Max_Oil_Lev" vbProcedure="false">[4]Data!$B$18</definedName>
    <definedName function="false" hidden="false" name="messtech" vbProcedure="false">#REF!</definedName>
    <definedName function="false" hidden="false" name="Messungen" vbProcedure="false">#REF!</definedName>
    <definedName function="false" hidden="false" name="micha" vbProcedure="false">[2]gtpemm4!#ref!</definedName>
    <definedName function="false" hidden="false" name="NomPil1" vbProcedure="false">#REF!</definedName>
    <definedName function="false" hidden="false" name="NomPil2" vbProcedure="false">#REF!</definedName>
    <definedName function="false" hidden="false" name="NomPil3" vbProcedure="false">#REF!</definedName>
    <definedName function="false" hidden="false" name="NomPil4" vbProcedure="false">#REF!</definedName>
    <definedName function="false" hidden="false" name="PAR" vbProcedure="false">'[3]Data 2'!$C$38:$I$38</definedName>
    <definedName function="false" hidden="false" name="PAV" vbProcedure="false">'[3]Data 2'!$C$36:$I$36</definedName>
    <definedName function="false" hidden="false" name="Persiennes" vbProcedure="false">'[3]Data 2'!$B$47:$C$47</definedName>
    <definedName function="false" hidden="false" name="Pilotes" vbProcedure="false">[4]Resume!$O$3:$O$7</definedName>
    <definedName function="false" hidden="false" name="Pil_1" vbProcedure="false">'[3]R (RS)'!$BV$3</definedName>
    <definedName function="false" hidden="false" name="Pil_2" vbProcedure="false">'[3]R (RS)'!$BV$4</definedName>
    <definedName function="false" hidden="false" name="Pil_3" vbProcedure="false">'[3]R (RS)'!$BV$5</definedName>
    <definedName function="false" hidden="false" name="Pil_4" vbProcedure="false">'[3]R (RS)'!$BV$6</definedName>
    <definedName function="false" hidden="false" name="Pil_Relai_1" vbProcedure="false">'[3]R (RS)'!$BV$11</definedName>
    <definedName function="false" hidden="false" name="Pil_Relai_12" vbProcedure="false">'[3]R (RS)'!$BV$80</definedName>
    <definedName function="false" hidden="false" name="Pil_Relai_2" vbProcedure="false">'[3]R (RS)'!$CD$11</definedName>
    <definedName function="false" hidden="false" name="Pil_Relai_22" vbProcedure="false">'[3]R (RS)'!$CD$80</definedName>
    <definedName function="false" hidden="false" name="Pil_Relai_23" vbProcedure="false">'[3]R (RS)'!$CD$149</definedName>
    <definedName function="false" hidden="false" name="Pil_Relai_3" vbProcedure="false">'[3]R (RS)'!$CL$11</definedName>
    <definedName function="false" hidden="false" name="Pil_Relai_32" vbProcedure="false">'[3]R (RS)'!$CL$80</definedName>
    <definedName function="false" hidden="false" name="Pil_Relai_33" vbProcedure="false">'[3]R (RS)'!$CL$149</definedName>
    <definedName function="false" hidden="false" name="Pil_Relai_34" vbProcedure="false">'[3]R (RS)'!$CL$218</definedName>
    <definedName function="false" hidden="false" name="Pil_Relai_4" vbProcedure="false">'[3]R (RS)'!$CT$11</definedName>
    <definedName function="false" hidden="false" name="Pil_Relai_42" vbProcedure="false">'[3]R (RS)'!$CT$80</definedName>
    <definedName function="false" hidden="false" name="Pil_Relai_43" vbProcedure="false">'[3]R (RS)'!$CT$149</definedName>
    <definedName function="false" hidden="false" name="Pil_Relai_44" vbProcedure="false">'[3]R (RS)'!$CT$218</definedName>
    <definedName function="false" hidden="false" name="Pil_Relai_45" vbProcedure="false">'[3]R (RS)'!$CT$287</definedName>
    <definedName function="false" hidden="false" name="Pil_Relai_5" vbProcedure="false">'[3]R (RS)'!$DB$11</definedName>
    <definedName function="false" hidden="false" name="Pil_Relai_52" vbProcedure="false">'[3]R (RS)'!$DB$80</definedName>
    <definedName function="false" hidden="false" name="Pil_Relai_53" vbProcedure="false">'[3]R (RS)'!$DB$149</definedName>
    <definedName function="false" hidden="false" name="Pil_Relai_54" vbProcedure="false">'[3]R (RS)'!$DB$218</definedName>
    <definedName function="false" hidden="false" name="Pil_Relai_55" vbProcedure="false">'[3]R (RS)'!$DB$287</definedName>
    <definedName function="false" hidden="false" name="Pil_Relai_56" vbProcedure="false">'[3]R (RS)'!$DB$356</definedName>
    <definedName function="false" hidden="false" name="Pil_Relai_6" vbProcedure="false">'[3]R (RS)'!$DJ$11</definedName>
    <definedName function="false" hidden="false" name="Pil_Relai_62" vbProcedure="false">'[3]R (RS)'!$DJ$80</definedName>
    <definedName function="false" hidden="false" name="Pil_Relai_63" vbProcedure="false">'[3]R (RS)'!$DJ$149</definedName>
    <definedName function="false" hidden="false" name="Pil_Relai_64" vbProcedure="false">'[3]R (RS)'!$DJ$218</definedName>
    <definedName function="false" hidden="false" name="Pil_Relai_65" vbProcedure="false">'[3]R (RS)'!$DJ$287</definedName>
    <definedName function="false" hidden="false" name="Pil_Relai_66" vbProcedure="false">'[3]R (RS)'!$DJ$356</definedName>
    <definedName function="false" hidden="false" name="Pil_Relai_67" vbProcedure="false">'[3]R (RS)'!$DJ$425</definedName>
    <definedName function="false" hidden="false" name="Pil_Relai_7" vbProcedure="false">'[3]R (RS)'!$DR$11</definedName>
    <definedName function="false" hidden="false" name="Pil_Relai_72" vbProcedure="false">'[3]R (RS)'!$DR$80</definedName>
    <definedName function="false" hidden="false" name="Pil_Relai_73" vbProcedure="false">'[3]R (RS)'!$DR$149</definedName>
    <definedName function="false" hidden="false" name="Pil_Relai_74" vbProcedure="false">'[3]R (RS)'!$DR$218</definedName>
    <definedName function="false" hidden="false" name="Pil_Relai_75" vbProcedure="false">'[3]R (RS)'!$DR$287</definedName>
    <definedName function="false" hidden="false" name="Pil_Relai_76" vbProcedure="false">'[3]R (RS)'!$DR$356</definedName>
    <definedName function="false" hidden="false" name="Pil_Relai_77" vbProcedure="false">'[3]R (RS)'!$DR$425</definedName>
    <definedName function="false" hidden="false" name="Pil_Relai_78" vbProcedure="false">'[3]R (RS)'!$DR$494</definedName>
    <definedName function="false" hidden="false" name="Pil_Relai_8" vbProcedure="false">'[3]R (RS)'!$DZ$11</definedName>
    <definedName function="false" hidden="false" name="Pil_Relai_82" vbProcedure="false">'[3]R (RS)'!$DZ$80</definedName>
    <definedName function="false" hidden="false" name="Pil_Relai_83" vbProcedure="false">'[3]R (RS)'!$DZ$149</definedName>
    <definedName function="false" hidden="false" name="Pil_Relai_84" vbProcedure="false">'[3]R (RS)'!$DZ$218</definedName>
    <definedName function="false" hidden="false" name="Pil_Relai_85" vbProcedure="false">'[3]R (RS)'!$DZ$287</definedName>
    <definedName function="false" hidden="false" name="Pil_Relai_86" vbProcedure="false">'[3]R (RS)'!$DZ$356</definedName>
    <definedName function="false" hidden="false" name="Pil_Relai_87" vbProcedure="false">'[3]R (RS)'!$DZ$425</definedName>
    <definedName function="false" hidden="false" name="Pil_Relai_88" vbProcedure="false">'[3]R (RS)'!$DZ$494</definedName>
    <definedName function="false" hidden="false" name="Piste" vbProcedure="false">[4]Data!$B$4:$AP$4</definedName>
    <definedName function="false" hidden="false" name="Pistes" vbProcedure="false">'[3]Data 2'!$B$1:$L$1</definedName>
    <definedName function="false" hidden="false" name="PitTiIncDriOut" vbProcedure="false">[4]Resume!$AN$4</definedName>
    <definedName function="false" hidden="false" name="Poissons" vbProcedure="false">'[3]Data 2'!$B$46:$C$46</definedName>
    <definedName function="false" hidden="false" name="Position_Secondaire" vbProcedure="false">'[3]Data 2'!$C$37:$D$37,'[3]Data 2'!$C$39:$E$39</definedName>
    <definedName function="false" hidden="false" name="p_20" vbProcedure="false">[6]TYRE_PRESSURE!$AO$1</definedName>
    <definedName function="false" hidden="false" name="QEss" vbProcedure="false">#REF!</definedName>
    <definedName function="false" hidden="false" name="Rampes" vbProcedure="false">'[3]Data 2'!$B$20:$K$20</definedName>
    <definedName function="false" hidden="false" name="RARB_Stiffness" vbProcedure="false">#REF!</definedName>
    <definedName function="false" hidden="false" name="RARB_Table" vbProcedure="false">#REF!</definedName>
    <definedName function="false" hidden="false" name="RatioGB_1st" vbProcedure="false">'[3]Data 2'!$D$14</definedName>
    <definedName function="false" hidden="false" name="RatioGB_3rd" vbProcedure="false">'[3]Data 2'!$D$16:$F$16</definedName>
    <definedName function="false" hidden="false" name="RatioGB_456th" vbProcedure="false">'[3]Data 2'!$H$18:$Y$18</definedName>
    <definedName function="false" hidden="false" name="RatioGB_Final_Drive" vbProcedure="false">'[3]Data 2'!$B$13:$C$13</definedName>
    <definedName function="false" hidden="false" name="RatioGB_Input" vbProcedure="false">'[3]Data 2'!$B$12:$C$12</definedName>
    <definedName function="false" hidden="false" name="Ratio_Sets" vbProcedure="false">#REF!</definedName>
    <definedName function="false" hidden="false" name="reardiff" vbProcedure="false">[11]List!$A$3:$E$4</definedName>
    <definedName function="false" hidden="false" name="Rear_Brake_Ducts" vbProcedure="false">#REF!</definedName>
    <definedName function="false" hidden="false" name="Rear_Brake_Type" vbProcedure="false">#REF!</definedName>
    <definedName function="false" hidden="false" name="Rear_Damper_Type" vbProcedure="false">#REF!</definedName>
    <definedName function="false" hidden="false" name="Rear_Spring_Stiffness" vbProcedure="false">#REF!</definedName>
    <definedName function="false" hidden="false" name="Rear_Torsion_Springs" vbProcedure="false">#REF!</definedName>
    <definedName function="false" hidden="false" name="Rear_Wing_Gurneys" vbProcedure="false">#REF!</definedName>
    <definedName function="false" hidden="false" name="Rear_Wing_Type" vbProcedure="false">#REF!</definedName>
    <definedName function="false" hidden="false" name="Rebound_High_Speed" vbProcedure="false">'[3]Data 2'!$C$30:$AZ$30</definedName>
    <definedName function="false" hidden="false" name="Rebound_Low_Speed" vbProcedure="false">'[3]Data 2'!$C$29:$Z$29</definedName>
    <definedName function="false" hidden="false" name="reifenumfang" vbProcedure="false">#REF!</definedName>
    <definedName function="false" hidden="false" name="Reifenumfang2" vbProcedure="false">#REF!</definedName>
    <definedName function="false" hidden="false" name="Reifenumfang3" vbProcedure="false">#REF!</definedName>
    <definedName function="false" hidden="false" name="Rennstrecke" vbProcedure="false">#REF!</definedName>
    <definedName function="false" hidden="false" name="Rims_Set" vbProcedure="false">[3]tyres!#ref!</definedName>
    <definedName function="false" hidden="false" name="RLWB_Fwd_Leg" vbProcedure="false">#REF!</definedName>
    <definedName function="false" hidden="false" name="RLWB_Rear_Leg" vbProcedure="false">#REF!</definedName>
    <definedName function="false" hidden="false" name="rpm" vbProcedure="false">'[16]list 6'!$o$1</definedName>
    <definedName function="false" hidden="false" name="rrwing" vbProcedure="false">'[14]data vehicle'!$y$5:#REF!</definedName>
    <definedName function="false" hidden="false" name="RTWB_Fwd_Leg" vbProcedure="false">#REF!</definedName>
    <definedName function="false" hidden="false" name="RTWB_Rear_Leg" vbProcedure="false">#REF!</definedName>
    <definedName function="false" hidden="false" name="rundenlaenge" vbProcedure="false">#REF!</definedName>
    <definedName function="false" hidden="false" name="Schaltdrehzahl" vbProcedure="false">#REF!</definedName>
    <definedName function="false" hidden="false" name="SeriennummerDSM" vbProcedure="false">16</definedName>
    <definedName function="false" hidden="false" name="SeriennummerZOC1" vbProcedure="false">0</definedName>
    <definedName function="false" hidden="false" name="SeriennummerZOC2" vbProcedure="false">311</definedName>
    <definedName function="false" hidden="false" name="SeriennummerZOC3" vbProcedure="false">0</definedName>
    <definedName function="false" hidden="false" name="SeriennummerZOC4" vbProcedure="false">0</definedName>
    <definedName function="false" hidden="false" name="Shift_Point" vbProcedure="false">'[3]Data 2'!$B$19:$T$19</definedName>
    <definedName function="false" hidden="false" name="Sprache" vbProcedure="false">#REF!</definedName>
    <definedName function="false" hidden="false" name="Springs" vbProcedure="false">'[3]Data 2'!$B$31:$K$31</definedName>
    <definedName function="false" hidden="false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t" vbProcedure="false">[6]TYRE_PRESSURE!$AO$2</definedName>
    <definedName function="false" hidden="false" name="test" vbProcedure="false">[2]gtpemm4!#ref!</definedName>
    <definedName function="false" hidden="false" name="Toe_Settings" vbProcedure="false">#REF!</definedName>
    <definedName function="false" hidden="false" name="Tps2Pn" vbProcedure="false">#REF!</definedName>
    <definedName function="false" hidden="false" name="Tps4Pn" vbProcedure="false">#REF!</definedName>
    <definedName function="false" hidden="false" name="TpsAccoup" vbProcedure="false">#REF!</definedName>
    <definedName function="false" hidden="false" name="TpsPil1" vbProcedure="false">#REF!</definedName>
    <definedName function="false" hidden="false" name="TpsPil2" vbProcedure="false">#REF!</definedName>
    <definedName function="false" hidden="false" name="TpsPil3" vbProcedure="false">#REF!</definedName>
    <definedName function="false" hidden="false" name="TpsPil4" vbProcedure="false">#REF!</definedName>
    <definedName function="false" hidden="false" name="TpsPit" vbProcedure="false">#REF!</definedName>
    <definedName function="false" hidden="false" name="TpsSC" vbProcedure="false">#REF!</definedName>
    <definedName function="false" hidden="false" name="TpsStart" vbProcedure="false">#REF!</definedName>
    <definedName function="false" hidden="false" name="Tps_Chgt_2_Pneus" vbProcedure="false">'[3]R (RS)'!$CT$3</definedName>
    <definedName function="false" hidden="false" name="Tps_Chgt_4_Pneus" vbProcedure="false">'[3]R (RS)'!$CT$4</definedName>
    <definedName function="false" hidden="false" name="Tps_Max_Pil" vbProcedure="false">[4]Data!$B$17</definedName>
    <definedName function="false" hidden="false" name="Tps_Min_Pil" vbProcedure="false">[4]Data!$B$16</definedName>
    <definedName function="false" hidden="false" name="Tps_Pass_Box" vbProcedure="false">'[3]R (RS)'!$EC$1</definedName>
    <definedName function="false" hidden="false" name="Track" vbProcedure="false">[4]Data!$B$10:$D$10</definedName>
    <definedName function="false" hidden="false" name="Trains" vbProcedure="false">[3]Tyres!$BJ$19:$BJ$29</definedName>
    <definedName function="false" hidden="false" name="Tyres" vbProcedure="false">'[3]Data 2'!$B$8:$H$8</definedName>
    <definedName function="false" hidden="false" name="ueb_dg" vbProcedure="false">#REF!</definedName>
    <definedName function="false" hidden="false" name="ueb_ha" vbProcedure="false">#REF!</definedName>
    <definedName function="false" hidden="false" name="Verbrauch" vbProcedure="false">#REF!</definedName>
    <definedName function="false" hidden="false" name="Versuchsname" vbProcedure="false">#REF!</definedName>
    <definedName function="false" hidden="false" name="Vol_Reservoir" vbProcedure="false">'[3]R (RS)'!$EC$5</definedName>
    <definedName function="false" hidden="false" name="Weather" vbProcedure="false">'[3]Data 2'!$B$4:$F$4</definedName>
    <definedName function="false" hidden="false" name="WeatherTrack" vbProcedure="false">'[3]Data 2'!$B$5:$D$5</definedName>
    <definedName function="false" hidden="false" name="Wing_Settings" vbProcedure="false">#REF!</definedName>
    <definedName function="false" hidden="false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xlnm.Extract" vbProcedure="false">[13]tabelle3!#ref!</definedName>
    <definedName function="false" hidden="false" name="_xlnm.Print_Area" vbProcedure="false">#REF!</definedName>
    <definedName function="false" hidden="false" localSheetId="0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bar" vbProcedure="false">[5]TYRE_PRESSURE!$AO$4</definedName>
    <definedName function="false" hidden="false" localSheetId="0" name="const" vbProcedure="false">[5]TYRE_PRESSURE!$AO$3</definedName>
    <definedName function="false" hidden="false" localSheetId="0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0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p_20" vbProcedure="false">[5]TYRE_PRESSURE!$AO$1</definedName>
    <definedName function="false" hidden="false" localSheetId="0" name="Rims_Set" vbProcedure="false">[3]tyres!#ref!</definedName>
    <definedName function="false" hidden="false" localSheetId="0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t" vbProcedure="false">[5]TYRE_PRESSURE!$AO$2</definedName>
    <definedName function="false" hidden="false" localSheetId="0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sharedStrings.xml><?xml version="1.0" encoding="utf-8"?>
<sst xmlns="http://schemas.openxmlformats.org/spreadsheetml/2006/main" count="151" uniqueCount="20">
  <si>
    <t xml:space="preserve">LAP DISTANCE</t>
  </si>
  <si>
    <t xml:space="preserve">STINT</t>
  </si>
  <si>
    <t xml:space="preserve">COEFFICIENT</t>
  </si>
  <si>
    <t xml:space="preserve">not sensitive 100 - very sensitive 1000</t>
  </si>
  <si>
    <t xml:space="preserve">COMPOUND</t>
  </si>
  <si>
    <t xml:space="preserve">NEW MEASUREMENTS</t>
  </si>
  <si>
    <t xml:space="preserve">TIRE LIFE (STINT)_min</t>
  </si>
  <si>
    <t xml:space="preserve">MH</t>
  </si>
  <si>
    <t xml:space="preserve">CAMBER SLOPE</t>
  </si>
  <si>
    <t xml:space="preserve">INITIAL MEASUREMENTS</t>
  </si>
  <si>
    <t xml:space="preserve">OLD MEASUREMENTS</t>
  </si>
  <si>
    <t xml:space="preserve">F/R WEAR BALANCE_ave</t>
  </si>
  <si>
    <t xml:space="preserve">FINAL MEASUREMENTS</t>
  </si>
  <si>
    <t xml:space="preserve">% WEAR /KM</t>
  </si>
  <si>
    <t xml:space="preserve">L/R WEAR BALANCE_ave</t>
  </si>
  <si>
    <t xml:space="preserve">LAPS</t>
  </si>
  <si>
    <t xml:space="preserve">TIRE LIFE (lap)</t>
  </si>
  <si>
    <t xml:space="preserve">CAMBER ADJUSTMENT</t>
  </si>
  <si>
    <t xml:space="preserve">S H</t>
  </si>
  <si>
    <t xml:space="preserve">M 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</si>
</sst>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0.00"/>
    <numFmt numFmtId="168" formatCode="0.0"/>
    <numFmt numFmtId="169" formatCode="0.0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Narrow"/>
      <family val="2"/>
      <charset val="1"/>
    </font>
    <font>
      <sz val="33"/>
      <color rgb="FF00000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sz val="14"/>
      <color rgb="FF000000"/>
      <name val="Arial Narrow"/>
      <family val="2"/>
      <charset val="1"/>
    </font>
    <font>
      <u val="single"/>
      <sz val="10"/>
      <color rgb="FF000000"/>
      <name val="Arial Narrow"/>
      <family val="2"/>
      <charset val="1"/>
    </font>
    <font>
      <b val="true"/>
      <sz val="9"/>
      <color rgb="FFFFFFFF"/>
      <name val="Arial Narrow"/>
      <family val="2"/>
      <charset val="1"/>
    </font>
    <font>
      <sz val="10"/>
      <color rgb="FFFF0000"/>
      <name val="Arial Narrow"/>
      <family val="2"/>
      <charset val="1"/>
    </font>
    <font>
      <sz val="10"/>
      <color rgb="FF00B050"/>
      <name val="Arial Narrow"/>
      <family val="2"/>
      <charset val="1"/>
    </font>
    <font>
      <sz val="10"/>
      <color rgb="FF0000FF"/>
      <name val="Arial Narrow"/>
      <family val="2"/>
      <charset val="1"/>
    </font>
    <font>
      <sz val="10"/>
      <color rgb="FFFFC000"/>
      <name val="Arial Narrow"/>
      <family val="2"/>
      <charset val="1"/>
    </font>
    <font>
      <sz val="10"/>
      <color rgb="FF0070C0"/>
      <name val="Arial Narrow"/>
      <family val="2"/>
      <charset val="1"/>
    </font>
    <font>
      <sz val="8"/>
      <color rgb="FF000000"/>
      <name val="Tahoma"/>
      <family val="2"/>
      <charset val="1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hair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center" textRotation="9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ourcentag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3.xml"/><Relationship Id="rId4" Type="http://schemas.openxmlformats.org/officeDocument/2006/relationships/externalLink" Target="externalLinks/externalLink4.xml"/><Relationship Id="rId5" Type="http://schemas.openxmlformats.org/officeDocument/2006/relationships/externalLink" Target="externalLinks/externalLink6.xml"/><Relationship Id="rId6" Type="http://schemas.openxmlformats.org/officeDocument/2006/relationships/externalLink" Target="externalLinks/externalLink7.xml"/><Relationship Id="rId7" Type="http://schemas.openxmlformats.org/officeDocument/2006/relationships/externalLink" Target="externalLinks/externalLink8.xml"/><Relationship Id="rId8" Type="http://schemas.openxmlformats.org/officeDocument/2006/relationships/externalLink" Target="externalLinks/externalLink9.xml"/><Relationship Id="rId9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5.xml"/><Relationship Id="rId12" Type="http://schemas.openxmlformats.org/officeDocument/2006/relationships/sharedStrings" Target="sharedStrings.xml"/>
</Relationships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6217870257038"/>
          <c:y val="0.0766294358829351"/>
          <c:w val="0.766952264381885"/>
          <c:h val="0.844903152834724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REPORT'!$C$12:$E$12</c:f>
              <c:numCache>
                <c:formatCode>General</c:formatCode>
                <c:ptCount val="3"/>
                <c:pt idx="0">
                  <c:v>2.19</c:v>
                </c:pt>
                <c:pt idx="1">
                  <c:v>2.81</c:v>
                </c:pt>
                <c:pt idx="2">
                  <c:v>2.88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REPORT'!$C$13:$E$13</c:f>
              <c:numCache>
                <c:formatCode>General</c:formatCode>
                <c:ptCount val="3"/>
                <c:pt idx="0">
                  <c:v>2.46</c:v>
                </c:pt>
                <c:pt idx="1">
                  <c:v>2.2</c:v>
                </c:pt>
                <c:pt idx="2">
                  <c:v>2.4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557020"/>
        <c:axId val="93226340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REPORT'!$J$12:$L$12</c:f>
              <c:numCache>
                <c:formatCode>General</c:formatCode>
                <c:ptCount val="3"/>
                <c:pt idx="0">
                  <c:v>0.00144016177159626</c:v>
                </c:pt>
                <c:pt idx="1">
                  <c:v>0.000299446552313313</c:v>
                </c:pt>
                <c:pt idx="2">
                  <c:v>0.000232096981723813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REPORT'!$J$13:$L$13</c:f>
              <c:numCache>
                <c:formatCode>General</c:formatCode>
                <c:ptCount val="3"/>
                <c:pt idx="0">
                  <c:v>0.000710216764074868</c:v>
                </c:pt>
                <c:pt idx="1">
                  <c:v>0.00100402667540346</c:v>
                </c:pt>
                <c:pt idx="2">
                  <c:v>0.00080885798130749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762582"/>
        <c:axId val="16336827"/>
      </c:lineChart>
      <c:catAx>
        <c:axId val="615570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226340"/>
        <c:crosses val="autoZero"/>
        <c:auto val="1"/>
        <c:lblAlgn val="ctr"/>
        <c:lblOffset val="100"/>
        <c:noMultiLvlLbl val="0"/>
      </c:catAx>
      <c:valAx>
        <c:axId val="9322634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557020"/>
        <c:crosses val="autoZero"/>
        <c:crossBetween val="between"/>
        <c:majorUnit val="1"/>
      </c:valAx>
      <c:catAx>
        <c:axId val="1176258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336827"/>
        <c:auto val="1"/>
        <c:lblAlgn val="ctr"/>
        <c:lblOffset val="100"/>
        <c:noMultiLvlLbl val="0"/>
      </c:catAx>
      <c:valAx>
        <c:axId val="1633682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76258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REPORT'!$F$12:$H$12</c:f>
              <c:numCache>
                <c:formatCode>General</c:formatCode>
                <c:ptCount val="3"/>
                <c:pt idx="0">
                  <c:v>3.06</c:v>
                </c:pt>
                <c:pt idx="1">
                  <c:v>3.16</c:v>
                </c:pt>
                <c:pt idx="2">
                  <c:v>2.72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REPORT'!$F$13:$H$13</c:f>
              <c:numCache>
                <c:formatCode>General</c:formatCode>
                <c:ptCount val="3"/>
                <c:pt idx="0">
                  <c:v>2.33</c:v>
                </c:pt>
                <c:pt idx="1">
                  <c:v>2.8</c:v>
                </c:pt>
                <c:pt idx="2">
                  <c:v>2.91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497592"/>
        <c:axId val="21749743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REPORT'!$M$12:$O$12</c:f>
              <c:numCache>
                <c:formatCode>General</c:formatCode>
                <c:ptCount val="3"/>
                <c:pt idx="0">
                  <c:v>-0.000154731321149209</c:v>
                </c:pt>
                <c:pt idx="1">
                  <c:v>-0.000317061055390567</c:v>
                </c:pt>
                <c:pt idx="2">
                  <c:v>0.000493206086163103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REPORT'!$M$13:$O$13</c:f>
              <c:numCache>
                <c:formatCode>General</c:formatCode>
                <c:ptCount val="3"/>
                <c:pt idx="0">
                  <c:v>0.00118369460679145</c:v>
                </c:pt>
                <c:pt idx="1">
                  <c:v>0.000158530527695284</c:v>
                </c:pt>
                <c:pt idx="2">
                  <c:v>5.9184730339572E-005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74125"/>
        <c:axId val="86024148"/>
      </c:lineChart>
      <c:catAx>
        <c:axId val="80497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749743"/>
        <c:crosses val="autoZero"/>
        <c:auto val="1"/>
        <c:lblAlgn val="ctr"/>
        <c:lblOffset val="100"/>
        <c:noMultiLvlLbl val="0"/>
      </c:catAx>
      <c:valAx>
        <c:axId val="2174974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497592"/>
        <c:crosses val="autoZero"/>
        <c:crossBetween val="between"/>
        <c:majorUnit val="1"/>
      </c:valAx>
      <c:catAx>
        <c:axId val="1947412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024148"/>
        <c:auto val="1"/>
        <c:lblAlgn val="ctr"/>
        <c:lblOffset val="100"/>
        <c:noMultiLvlLbl val="0"/>
      </c:catAx>
      <c:valAx>
        <c:axId val="8602414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47412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REPORT'!$C$28:$E$28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REPORT'!$C$29:$E$29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374325"/>
        <c:axId val="21937255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REPORT'!$J$28:$L$28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REPORT'!$J$29:$L$29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847701"/>
        <c:axId val="54684436"/>
      </c:lineChart>
      <c:catAx>
        <c:axId val="453743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937255"/>
        <c:crosses val="autoZero"/>
        <c:auto val="1"/>
        <c:lblAlgn val="ctr"/>
        <c:lblOffset val="100"/>
        <c:noMultiLvlLbl val="0"/>
      </c:catAx>
      <c:valAx>
        <c:axId val="2193725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374325"/>
        <c:crosses val="autoZero"/>
        <c:crossBetween val="between"/>
        <c:majorUnit val="1"/>
      </c:valAx>
      <c:catAx>
        <c:axId val="4384770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684436"/>
        <c:auto val="1"/>
        <c:lblAlgn val="ctr"/>
        <c:lblOffset val="100"/>
        <c:noMultiLvlLbl val="0"/>
      </c:catAx>
      <c:valAx>
        <c:axId val="5468443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84770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REPORT'!$F$28:$H$28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REPORT'!$F$29:$H$29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576314"/>
        <c:axId val="3338840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REPORT'!$M$28:$O$28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REPORT'!$M$29:$O$29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48913"/>
        <c:axId val="14128177"/>
      </c:lineChart>
      <c:catAx>
        <c:axId val="285763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388406"/>
        <c:crosses val="autoZero"/>
        <c:auto val="1"/>
        <c:lblAlgn val="ctr"/>
        <c:lblOffset val="100"/>
        <c:noMultiLvlLbl val="0"/>
      </c:catAx>
      <c:valAx>
        <c:axId val="3338840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576314"/>
        <c:crosses val="autoZero"/>
        <c:crossBetween val="between"/>
        <c:majorUnit val="1"/>
      </c:valAx>
      <c:catAx>
        <c:axId val="9674891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128177"/>
        <c:auto val="1"/>
        <c:lblAlgn val="ctr"/>
        <c:lblOffset val="100"/>
        <c:noMultiLvlLbl val="0"/>
      </c:catAx>
      <c:valAx>
        <c:axId val="1412817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74891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REPORT'!$C$44:$E$44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REPORT'!$C$45:$E$45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7933"/>
        <c:axId val="3441895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REPORT'!$J$44:$L$44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REPORT'!$J$45:$L$45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043439"/>
        <c:axId val="90557297"/>
      </c:lineChart>
      <c:catAx>
        <c:axId val="59779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18958"/>
        <c:crosses val="autoZero"/>
        <c:auto val="1"/>
        <c:lblAlgn val="ctr"/>
        <c:lblOffset val="100"/>
        <c:noMultiLvlLbl val="0"/>
      </c:catAx>
      <c:valAx>
        <c:axId val="3441895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77933"/>
        <c:crosses val="autoZero"/>
        <c:crossBetween val="between"/>
        <c:majorUnit val="1"/>
      </c:valAx>
      <c:catAx>
        <c:axId val="6604343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557297"/>
        <c:auto val="1"/>
        <c:lblAlgn val="ctr"/>
        <c:lblOffset val="100"/>
        <c:noMultiLvlLbl val="0"/>
      </c:catAx>
      <c:valAx>
        <c:axId val="9055729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04343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REPORT'!$F$44:$H$44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REPORT'!$F$45:$H$45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16976"/>
        <c:axId val="6061474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REPORT'!$M$44:$O$44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REPORT'!$M$45:$O$45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806732"/>
        <c:axId val="50419535"/>
      </c:lineChart>
      <c:catAx>
        <c:axId val="5071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614748"/>
        <c:crosses val="autoZero"/>
        <c:auto val="1"/>
        <c:lblAlgn val="ctr"/>
        <c:lblOffset val="100"/>
        <c:noMultiLvlLbl val="0"/>
      </c:catAx>
      <c:valAx>
        <c:axId val="6061474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716976"/>
        <c:crosses val="autoZero"/>
        <c:crossBetween val="between"/>
        <c:majorUnit val="1"/>
      </c:valAx>
      <c:catAx>
        <c:axId val="6080673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419535"/>
        <c:auto val="1"/>
        <c:lblAlgn val="ctr"/>
        <c:lblOffset val="100"/>
        <c:noMultiLvlLbl val="0"/>
      </c:catAx>
      <c:valAx>
        <c:axId val="5041953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80673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REPORT'!$C$60:$E$60</c:f>
              <c:numCache>
                <c:formatCode>General</c:formatCode>
                <c:ptCount val="3"/>
                <c:pt idx="0">
                  <c:v>1.77</c:v>
                </c:pt>
                <c:pt idx="1">
                  <c:v>2.16</c:v>
                </c:pt>
                <c:pt idx="2">
                  <c:v>2.6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REPORT'!$C$61:$E$61</c:f>
              <c:numCache>
                <c:formatCode>General</c:formatCode>
                <c:ptCount val="3"/>
                <c:pt idx="0">
                  <c:v>2.18</c:v>
                </c:pt>
                <c:pt idx="1">
                  <c:v>1.82</c:v>
                </c:pt>
                <c:pt idx="2">
                  <c:v>2.28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700266"/>
        <c:axId val="1170554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REPORT'!$J$60:$L$60</c:f>
              <c:numCache>
                <c:formatCode>General</c:formatCode>
                <c:ptCount val="3"/>
                <c:pt idx="0">
                  <c:v>0.00220209852524715</c:v>
                </c:pt>
                <c:pt idx="1">
                  <c:v>0.00149961309982025</c:v>
                </c:pt>
                <c:pt idx="2">
                  <c:v>0.000823316995979742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REPORT'!$J$61:$L$61</c:f>
              <c:numCache>
                <c:formatCode>General</c:formatCode>
                <c:ptCount val="3"/>
                <c:pt idx="0">
                  <c:v>0.00126900592980344</c:v>
                </c:pt>
                <c:pt idx="1">
                  <c:v>0.00159958730647493</c:v>
                </c:pt>
                <c:pt idx="2">
                  <c:v>0.000877107039717087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244073"/>
        <c:axId val="71283550"/>
      </c:lineChart>
      <c:catAx>
        <c:axId val="827002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705544"/>
        <c:crosses val="autoZero"/>
        <c:auto val="1"/>
        <c:lblAlgn val="ctr"/>
        <c:lblOffset val="100"/>
        <c:noMultiLvlLbl val="0"/>
      </c:catAx>
      <c:valAx>
        <c:axId val="1170554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700266"/>
        <c:crosses val="autoZero"/>
        <c:crossBetween val="between"/>
        <c:majorUnit val="1"/>
      </c:valAx>
      <c:catAx>
        <c:axId val="1724407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283550"/>
        <c:auto val="1"/>
        <c:lblAlgn val="ctr"/>
        <c:lblOffset val="100"/>
        <c:noMultiLvlLbl val="0"/>
      </c:catAx>
      <c:valAx>
        <c:axId val="7128355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24407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REPORT'!$F$60:$H$60</c:f>
              <c:numCache>
                <c:formatCode>General</c:formatCode>
                <c:ptCount val="3"/>
                <c:pt idx="0">
                  <c:v>2.13</c:v>
                </c:pt>
                <c:pt idx="1">
                  <c:v>2.79</c:v>
                </c:pt>
                <c:pt idx="2">
                  <c:v>2.53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REPORT'!$F$61:$H$61</c:f>
              <c:numCache>
                <c:formatCode>General</c:formatCode>
                <c:ptCount val="3"/>
                <c:pt idx="0">
                  <c:v>2.04</c:v>
                </c:pt>
                <c:pt idx="1">
                  <c:v>2.36</c:v>
                </c:pt>
                <c:pt idx="2">
                  <c:v>2.61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347157"/>
        <c:axId val="8818325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REPORT'!$M$60:$O$60</c:f>
              <c:numCache>
                <c:formatCode>General</c:formatCode>
                <c:ptCount val="3"/>
                <c:pt idx="0">
                  <c:v>0.0015917461922275</c:v>
                </c:pt>
                <c:pt idx="1">
                  <c:v>0.000449883929946074</c:v>
                </c:pt>
                <c:pt idx="2">
                  <c:v>0.000914430743534835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REPORT'!$M$61:$O$61</c:f>
              <c:numCache>
                <c:formatCode>General</c:formatCode>
                <c:ptCount val="3"/>
                <c:pt idx="0">
                  <c:v>0.00141830074507444</c:v>
                </c:pt>
                <c:pt idx="1">
                  <c:v>0.000716481814358562</c:v>
                </c:pt>
                <c:pt idx="2">
                  <c:v>0.000410560741995232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47528"/>
        <c:axId val="55603476"/>
      </c:lineChart>
      <c:catAx>
        <c:axId val="583471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183258"/>
        <c:crosses val="autoZero"/>
        <c:auto val="1"/>
        <c:lblAlgn val="ctr"/>
        <c:lblOffset val="100"/>
        <c:noMultiLvlLbl val="0"/>
      </c:catAx>
      <c:valAx>
        <c:axId val="8818325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347157"/>
        <c:crosses val="autoZero"/>
        <c:crossBetween val="between"/>
        <c:majorUnit val="1"/>
      </c:valAx>
      <c:catAx>
        <c:axId val="401475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603476"/>
        <c:auto val="1"/>
        <c:lblAlgn val="ctr"/>
        <c:lblOffset val="100"/>
        <c:noMultiLvlLbl val="0"/>
      </c:catAx>
      <c:valAx>
        <c:axId val="5560347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14752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REPORT'!$C$76:$E$76</c:f>
              <c:numCache>
                <c:formatCode>General</c:formatCode>
                <c:ptCount val="3"/>
                <c:pt idx="0">
                  <c:v>2.39</c:v>
                </c:pt>
                <c:pt idx="1">
                  <c:v>3.04</c:v>
                </c:pt>
                <c:pt idx="2">
                  <c:v>3.61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REPORT'!$C$77:$E$77</c:f>
              <c:numCache>
                <c:formatCode>General</c:formatCode>
                <c:ptCount val="3"/>
                <c:pt idx="0">
                  <c:v>2.56</c:v>
                </c:pt>
                <c:pt idx="1">
                  <c:v>2.75</c:v>
                </c:pt>
                <c:pt idx="2">
                  <c:v>3.71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164887"/>
        <c:axId val="9632315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REPORT'!$J$76:$L$76</c:f>
              <c:numCache>
                <c:formatCode>General</c:formatCode>
                <c:ptCount val="3"/>
                <c:pt idx="0">
                  <c:v>0.00122993267736924</c:v>
                </c:pt>
                <c:pt idx="1">
                  <c:v>-0.000327519666592686</c:v>
                </c:pt>
                <c:pt idx="2">
                  <c:v>-0.00114235233192189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REPORT'!$J$77:$L$77</c:f>
              <c:numCache>
                <c:formatCode>General</c:formatCode>
                <c:ptCount val="3"/>
                <c:pt idx="0">
                  <c:v>0.000431555325392715</c:v>
                </c:pt>
                <c:pt idx="1">
                  <c:v>5.77975882222383E-005</c:v>
                </c:pt>
                <c:pt idx="2">
                  <c:v>-0.00198515449680649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594104"/>
        <c:axId val="22572812"/>
      </c:lineChart>
      <c:catAx>
        <c:axId val="551648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323151"/>
        <c:crosses val="autoZero"/>
        <c:auto val="1"/>
        <c:lblAlgn val="ctr"/>
        <c:lblOffset val="100"/>
        <c:noMultiLvlLbl val="0"/>
      </c:catAx>
      <c:valAx>
        <c:axId val="9632315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164887"/>
        <c:crosses val="autoZero"/>
        <c:crossBetween val="between"/>
        <c:majorUnit val="1"/>
      </c:valAx>
      <c:catAx>
        <c:axId val="675941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572812"/>
        <c:auto val="1"/>
        <c:lblAlgn val="ctr"/>
        <c:lblOffset val="100"/>
        <c:noMultiLvlLbl val="0"/>
      </c:catAx>
      <c:valAx>
        <c:axId val="2257281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59410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REPORT'!$F$76:$H$76</c:f>
              <c:numCache>
                <c:formatCode>General</c:formatCode>
                <c:ptCount val="3"/>
                <c:pt idx="0">
                  <c:v>2.98</c:v>
                </c:pt>
                <c:pt idx="1">
                  <c:v>3.22</c:v>
                </c:pt>
                <c:pt idx="2">
                  <c:v>2.94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REPORT'!$F$77:$H$77</c:f>
              <c:numCache>
                <c:formatCode>General</c:formatCode>
                <c:ptCount val="3"/>
                <c:pt idx="0">
                  <c:v>3.11</c:v>
                </c:pt>
                <c:pt idx="1">
                  <c:v>3.16</c:v>
                </c:pt>
                <c:pt idx="2">
                  <c:v>3.15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039511"/>
        <c:axId val="7823232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REPORT'!$M$76:$O$76</c:f>
              <c:numCache>
                <c:formatCode>General</c:formatCode>
                <c:ptCount val="3"/>
                <c:pt idx="0">
                  <c:v>0</c:v>
                </c:pt>
                <c:pt idx="1">
                  <c:v>-0.000481646568518656</c:v>
                </c:pt>
                <c:pt idx="2">
                  <c:v>0.000107888831348179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REPORT'!$M$77:$O$77</c:f>
              <c:numCache>
                <c:formatCode>General</c:formatCode>
                <c:ptCount val="3"/>
                <c:pt idx="0">
                  <c:v>-0.000582599689280166</c:v>
                </c:pt>
                <c:pt idx="1">
                  <c:v>-0.000828432097852088</c:v>
                </c:pt>
                <c:pt idx="2">
                  <c:v>-0.000733644053167616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487504"/>
        <c:axId val="68706440"/>
      </c:lineChart>
      <c:catAx>
        <c:axId val="130395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232326"/>
        <c:crosses val="autoZero"/>
        <c:auto val="1"/>
        <c:lblAlgn val="ctr"/>
        <c:lblOffset val="100"/>
        <c:noMultiLvlLbl val="0"/>
      </c:catAx>
      <c:valAx>
        <c:axId val="7823232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039511"/>
        <c:crosses val="autoZero"/>
        <c:crossBetween val="between"/>
        <c:majorUnit val="1"/>
      </c:valAx>
      <c:catAx>
        <c:axId val="384875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706440"/>
        <c:auto val="1"/>
        <c:lblAlgn val="ctr"/>
        <c:lblOffset val="100"/>
        <c:noMultiLvlLbl val="0"/>
      </c:catAx>
      <c:valAx>
        <c:axId val="6870644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48750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REPORT'!$C$92:$E$92</c:f>
              <c:numCache>
                <c:formatCode>General</c:formatCode>
                <c:ptCount val="3"/>
                <c:pt idx="0">
                  <c:v>1.41</c:v>
                </c:pt>
                <c:pt idx="1">
                  <c:v>2.21</c:v>
                </c:pt>
                <c:pt idx="2">
                  <c:v>3.94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REPORT'!$C$93:$E$93</c:f>
              <c:numCache>
                <c:formatCode>General</c:formatCode>
                <c:ptCount val="3"/>
                <c:pt idx="0">
                  <c:v>2.33</c:v>
                </c:pt>
                <c:pt idx="1">
                  <c:v>2.26</c:v>
                </c:pt>
                <c:pt idx="2">
                  <c:v>2.96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827374"/>
        <c:axId val="6597452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REPORT'!$J$92:$L$92</c:f>
              <c:numCache>
                <c:formatCode>General</c:formatCode>
                <c:ptCount val="3"/>
                <c:pt idx="0">
                  <c:v>0.00232121672892082</c:v>
                </c:pt>
                <c:pt idx="1">
                  <c:v>0.00114119493340931</c:v>
                </c:pt>
                <c:pt idx="2">
                  <c:v>-0.00128188315260581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REPORT'!$J$93:$L$93</c:f>
              <c:numCache>
                <c:formatCode>General</c:formatCode>
                <c:ptCount val="3"/>
                <c:pt idx="0">
                  <c:v>0.000675797275508592</c:v>
                </c:pt>
                <c:pt idx="1">
                  <c:v>0.000747679439130237</c:v>
                </c:pt>
                <c:pt idx="2">
                  <c:v>-0.00022036867679628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073384"/>
        <c:axId val="34638925"/>
      </c:lineChart>
      <c:catAx>
        <c:axId val="308273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974522"/>
        <c:crosses val="autoZero"/>
        <c:auto val="1"/>
        <c:lblAlgn val="ctr"/>
        <c:lblOffset val="100"/>
        <c:noMultiLvlLbl val="0"/>
      </c:catAx>
      <c:valAx>
        <c:axId val="6597452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827374"/>
        <c:crosses val="autoZero"/>
        <c:crossBetween val="between"/>
        <c:majorUnit val="1"/>
      </c:valAx>
      <c:catAx>
        <c:axId val="770733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638925"/>
        <c:auto val="1"/>
        <c:lblAlgn val="ctr"/>
        <c:lblOffset val="100"/>
        <c:noMultiLvlLbl val="0"/>
      </c:catAx>
      <c:valAx>
        <c:axId val="3463892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07338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REPORT'!$F$92:$H$92</c:f>
              <c:numCache>
                <c:formatCode>General</c:formatCode>
                <c:ptCount val="3"/>
                <c:pt idx="0">
                  <c:v>2.61</c:v>
                </c:pt>
                <c:pt idx="1">
                  <c:v>2.87</c:v>
                </c:pt>
                <c:pt idx="2">
                  <c:v>2.84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REPORT'!$F$93:$H$93</c:f>
              <c:numCache>
                <c:formatCode>General</c:formatCode>
                <c:ptCount val="3"/>
                <c:pt idx="0">
                  <c:v>2.5</c:v>
                </c:pt>
                <c:pt idx="1">
                  <c:v>2.74</c:v>
                </c:pt>
                <c:pt idx="2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444"/>
        <c:axId val="40163552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REPORT'!$M$92:$O$92</c:f>
              <c:numCache>
                <c:formatCode>General</c:formatCode>
                <c:ptCount val="3"/>
                <c:pt idx="0">
                  <c:v>0.000619336804067977</c:v>
                </c:pt>
                <c:pt idx="1">
                  <c:v>0.000118054648283721</c:v>
                </c:pt>
                <c:pt idx="2">
                  <c:v>8.81474707185121E-005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REPORT'!$M$93:$O$93</c:f>
              <c:numCache>
                <c:formatCode>General</c:formatCode>
                <c:ptCount val="3"/>
                <c:pt idx="0">
                  <c:v>0.000352589882874049</c:v>
                </c:pt>
                <c:pt idx="1">
                  <c:v>0</c:v>
                </c:pt>
                <c:pt idx="2">
                  <c:v>-0.000455428598712312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758639"/>
        <c:axId val="55510981"/>
      </c:lineChart>
      <c:catAx>
        <c:axId val="504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163552"/>
        <c:crosses val="autoZero"/>
        <c:auto val="1"/>
        <c:lblAlgn val="ctr"/>
        <c:lblOffset val="100"/>
        <c:noMultiLvlLbl val="0"/>
      </c:catAx>
      <c:valAx>
        <c:axId val="4016355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444"/>
        <c:crosses val="autoZero"/>
        <c:crossBetween val="between"/>
        <c:majorUnit val="1"/>
      </c:valAx>
      <c:catAx>
        <c:axId val="4375863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510981"/>
        <c:auto val="1"/>
        <c:lblAlgn val="ctr"/>
        <c:lblOffset val="100"/>
        <c:noMultiLvlLbl val="0"/>
      </c:catAx>
      <c:valAx>
        <c:axId val="5551098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75863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REPORT'!$C$108:$E$108</c:f>
              <c:numCache>
                <c:formatCode>General</c:formatCode>
                <c:ptCount val="3"/>
                <c:pt idx="0">
                  <c:v>1.86</c:v>
                </c:pt>
                <c:pt idx="1">
                  <c:v>2.62</c:v>
                </c:pt>
                <c:pt idx="2">
                  <c:v>3.22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REPORT'!$C$109:$E$109</c:f>
              <c:numCache>
                <c:formatCode>General</c:formatCode>
                <c:ptCount val="3"/>
                <c:pt idx="0">
                  <c:v>2.67</c:v>
                </c:pt>
                <c:pt idx="1">
                  <c:v>2.9</c:v>
                </c:pt>
                <c:pt idx="2">
                  <c:v>2.67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138195"/>
        <c:axId val="45165430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REPORT'!$J$108:$L$108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REPORT'!$J$109:$L$109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51026"/>
        <c:axId val="7549986"/>
      </c:lineChart>
      <c:catAx>
        <c:axId val="141381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165430"/>
        <c:crosses val="autoZero"/>
        <c:auto val="1"/>
        <c:lblAlgn val="ctr"/>
        <c:lblOffset val="100"/>
        <c:noMultiLvlLbl val="0"/>
      </c:catAx>
      <c:valAx>
        <c:axId val="4516543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138195"/>
        <c:crosses val="autoZero"/>
        <c:crossBetween val="between"/>
        <c:majorUnit val="1"/>
      </c:valAx>
      <c:catAx>
        <c:axId val="905102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49986"/>
        <c:auto val="1"/>
        <c:lblAlgn val="ctr"/>
        <c:lblOffset val="100"/>
        <c:noMultiLvlLbl val="0"/>
      </c:catAx>
      <c:valAx>
        <c:axId val="754998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5102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REPORT'!$F$108:$H$108</c:f>
              <c:numCache>
                <c:formatCode>General</c:formatCode>
                <c:ptCount val="3"/>
                <c:pt idx="0">
                  <c:v>2.21</c:v>
                </c:pt>
                <c:pt idx="1">
                  <c:v>3.19</c:v>
                </c:pt>
                <c:pt idx="2">
                  <c:v>3.23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REPORT'!$F$109:$H$109</c:f>
              <c:numCache>
                <c:formatCode>General</c:formatCode>
                <c:ptCount val="3"/>
                <c:pt idx="0">
                  <c:v>2.67</c:v>
                </c:pt>
                <c:pt idx="1">
                  <c:v>2.97</c:v>
                </c:pt>
                <c:pt idx="2">
                  <c:v>3.15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728089"/>
        <c:axId val="94398802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REPORT'!$M$108:$O$108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REPORT'!$M$109:$O$109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16289"/>
        <c:axId val="49718367"/>
      </c:lineChart>
      <c:catAx>
        <c:axId val="887280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398802"/>
        <c:crosses val="autoZero"/>
        <c:auto val="1"/>
        <c:lblAlgn val="ctr"/>
        <c:lblOffset val="100"/>
        <c:noMultiLvlLbl val="0"/>
      </c:catAx>
      <c:valAx>
        <c:axId val="9439880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728089"/>
        <c:crosses val="autoZero"/>
        <c:crossBetween val="between"/>
        <c:majorUnit val="1"/>
      </c:valAx>
      <c:catAx>
        <c:axId val="771628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718367"/>
        <c:auto val="1"/>
        <c:lblAlgn val="ctr"/>
        <c:lblOffset val="100"/>
        <c:noMultiLvlLbl val="0"/>
      </c:catAx>
      <c:valAx>
        <c:axId val="49718367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1628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36852"/>
        <c:axId val="581426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715891"/>
        <c:axId val="44477922"/>
      </c:lineChart>
      <c:catAx>
        <c:axId val="424368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14262"/>
        <c:crosses val="autoZero"/>
        <c:auto val="1"/>
        <c:lblAlgn val="ctr"/>
        <c:lblOffset val="100"/>
        <c:noMultiLvlLbl val="0"/>
      </c:catAx>
      <c:valAx>
        <c:axId val="581426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436852"/>
        <c:crosses val="autoZero"/>
        <c:crossBetween val="between"/>
        <c:majorUnit val="1"/>
      </c:valAx>
      <c:catAx>
        <c:axId val="1571589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477922"/>
        <c:auto val="1"/>
        <c:lblAlgn val="ctr"/>
        <c:lblOffset val="100"/>
        <c:noMultiLvlLbl val="0"/>
      </c:catAx>
      <c:valAx>
        <c:axId val="4447792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71589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793466"/>
        <c:axId val="39452654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651862"/>
        <c:axId val="19023438"/>
      </c:lineChart>
      <c:catAx>
        <c:axId val="897934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452654"/>
        <c:crosses val="autoZero"/>
        <c:auto val="1"/>
        <c:lblAlgn val="ctr"/>
        <c:lblOffset val="100"/>
        <c:noMultiLvlLbl val="0"/>
      </c:catAx>
      <c:valAx>
        <c:axId val="3945265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793466"/>
        <c:crosses val="autoZero"/>
        <c:crossBetween val="between"/>
        <c:majorUnit val="1"/>
      </c:valAx>
      <c:catAx>
        <c:axId val="9965186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023438"/>
        <c:auto val="1"/>
        <c:lblAlgn val="ctr"/>
        <c:lblOffset val="100"/>
        <c:noMultiLvlLbl val="0"/>
      </c:catAx>
      <c:valAx>
        <c:axId val="1902343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65186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440029"/>
        <c:axId val="87893163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71458"/>
        <c:axId val="60550369"/>
      </c:lineChart>
      <c:catAx>
        <c:axId val="744400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893163"/>
        <c:crosses val="autoZero"/>
        <c:auto val="1"/>
        <c:lblAlgn val="ctr"/>
        <c:lblOffset val="100"/>
        <c:noMultiLvlLbl val="0"/>
      </c:catAx>
      <c:valAx>
        <c:axId val="8789316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440029"/>
        <c:crosses val="autoZero"/>
        <c:crossBetween val="between"/>
        <c:majorUnit val="1"/>
      </c:valAx>
      <c:catAx>
        <c:axId val="4557145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550369"/>
        <c:auto val="1"/>
        <c:lblAlgn val="ctr"/>
        <c:lblOffset val="100"/>
        <c:noMultiLvlLbl val="0"/>
      </c:catAx>
      <c:valAx>
        <c:axId val="6055036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57145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564864"/>
        <c:axId val="85645377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100294"/>
        <c:axId val="3454348"/>
      </c:lineChart>
      <c:catAx>
        <c:axId val="6656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645377"/>
        <c:crosses val="autoZero"/>
        <c:auto val="1"/>
        <c:lblAlgn val="ctr"/>
        <c:lblOffset val="100"/>
        <c:noMultiLvlLbl val="0"/>
      </c:catAx>
      <c:valAx>
        <c:axId val="8564537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564864"/>
        <c:crosses val="autoZero"/>
        <c:crossBetween val="between"/>
        <c:majorUnit val="1"/>
      </c:valAx>
      <c:catAx>
        <c:axId val="9110029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54348"/>
        <c:auto val="1"/>
        <c:lblAlgn val="ctr"/>
        <c:lblOffset val="100"/>
        <c:noMultiLvlLbl val="0"/>
      </c:catAx>
      <c:valAx>
        <c:axId val="345434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10029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487052"/>
        <c:axId val="8478392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12250"/>
        <c:axId val="35279789"/>
      </c:lineChart>
      <c:catAx>
        <c:axId val="694870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783928"/>
        <c:crosses val="autoZero"/>
        <c:auto val="1"/>
        <c:lblAlgn val="ctr"/>
        <c:lblOffset val="100"/>
        <c:noMultiLvlLbl val="0"/>
      </c:catAx>
      <c:valAx>
        <c:axId val="8478392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487052"/>
        <c:crosses val="autoZero"/>
        <c:crossBetween val="between"/>
        <c:majorUnit val="1"/>
      </c:valAx>
      <c:catAx>
        <c:axId val="1941225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279789"/>
        <c:auto val="1"/>
        <c:lblAlgn val="ctr"/>
        <c:lblOffset val="100"/>
        <c:noMultiLvlLbl val="0"/>
      </c:catAx>
      <c:valAx>
        <c:axId val="3527978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41225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692599"/>
        <c:axId val="6201616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194180"/>
        <c:axId val="49808054"/>
      </c:lineChart>
      <c:catAx>
        <c:axId val="196925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016161"/>
        <c:crosses val="autoZero"/>
        <c:auto val="1"/>
        <c:lblAlgn val="ctr"/>
        <c:lblOffset val="100"/>
        <c:noMultiLvlLbl val="0"/>
      </c:catAx>
      <c:valAx>
        <c:axId val="6201616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692599"/>
        <c:crosses val="autoZero"/>
        <c:crossBetween val="between"/>
        <c:majorUnit val="1"/>
      </c:valAx>
      <c:catAx>
        <c:axId val="191941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808054"/>
        <c:auto val="1"/>
        <c:lblAlgn val="ctr"/>
        <c:lblOffset val="100"/>
        <c:noMultiLvlLbl val="0"/>
      </c:catAx>
      <c:valAx>
        <c:axId val="4980805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19418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81.xml"/><Relationship Id="rId2" Type="http://schemas.openxmlformats.org/officeDocument/2006/relationships/chart" Target="../charts/chart282.xml"/><Relationship Id="rId3" Type="http://schemas.openxmlformats.org/officeDocument/2006/relationships/chart" Target="../charts/chart283.xml"/><Relationship Id="rId4" Type="http://schemas.openxmlformats.org/officeDocument/2006/relationships/chart" Target="../charts/chart284.xml"/><Relationship Id="rId5" Type="http://schemas.openxmlformats.org/officeDocument/2006/relationships/chart" Target="../charts/chart285.xml"/><Relationship Id="rId6" Type="http://schemas.openxmlformats.org/officeDocument/2006/relationships/chart" Target="../charts/chart286.xml"/><Relationship Id="rId7" Type="http://schemas.openxmlformats.org/officeDocument/2006/relationships/chart" Target="../charts/chart287.xml"/><Relationship Id="rId8" Type="http://schemas.openxmlformats.org/officeDocument/2006/relationships/chart" Target="../charts/chart288.xml"/><Relationship Id="rId9" Type="http://schemas.openxmlformats.org/officeDocument/2006/relationships/chart" Target="../charts/chart289.xml"/><Relationship Id="rId10" Type="http://schemas.openxmlformats.org/officeDocument/2006/relationships/chart" Target="../charts/chart290.xml"/><Relationship Id="rId11" Type="http://schemas.openxmlformats.org/officeDocument/2006/relationships/chart" Target="../charts/chart291.xml"/><Relationship Id="rId12" Type="http://schemas.openxmlformats.org/officeDocument/2006/relationships/chart" Target="../charts/chart292.xml"/><Relationship Id="rId13" Type="http://schemas.openxmlformats.org/officeDocument/2006/relationships/chart" Target="../charts/chart293.xml"/><Relationship Id="rId14" Type="http://schemas.openxmlformats.org/officeDocument/2006/relationships/chart" Target="../charts/chart294.xml"/><Relationship Id="rId15" Type="http://schemas.openxmlformats.org/officeDocument/2006/relationships/chart" Target="../charts/chart295.xml"/><Relationship Id="rId16" Type="http://schemas.openxmlformats.org/officeDocument/2006/relationships/chart" Target="../charts/chart296.xml"/><Relationship Id="rId17" Type="http://schemas.openxmlformats.org/officeDocument/2006/relationships/chart" Target="../charts/chart297.xml"/><Relationship Id="rId18" Type="http://schemas.openxmlformats.org/officeDocument/2006/relationships/chart" Target="../charts/chart298.xml"/><Relationship Id="rId19" Type="http://schemas.openxmlformats.org/officeDocument/2006/relationships/chart" Target="../charts/chart299.xml"/><Relationship Id="rId20" Type="http://schemas.openxmlformats.org/officeDocument/2006/relationships/chart" Target="../charts/chart30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187920</xdr:colOff>
      <xdr:row>2</xdr:row>
      <xdr:rowOff>9720</xdr:rowOff>
    </xdr:from>
    <xdr:to>
      <xdr:col>27</xdr:col>
      <xdr:colOff>235080</xdr:colOff>
      <xdr:row>16</xdr:row>
      <xdr:rowOff>145440</xdr:rowOff>
    </xdr:to>
    <xdr:graphicFrame>
      <xdr:nvGraphicFramePr>
        <xdr:cNvPr id="0" name="Graphique 2"/>
        <xdr:cNvGraphicFramePr/>
      </xdr:nvGraphicFramePr>
      <xdr:xfrm>
        <a:off x="9482400" y="966600"/>
        <a:ext cx="2940840" cy="254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313200</xdr:colOff>
      <xdr:row>2</xdr:row>
      <xdr:rowOff>10440</xdr:rowOff>
    </xdr:from>
    <xdr:to>
      <xdr:col>34</xdr:col>
      <xdr:colOff>267120</xdr:colOff>
      <xdr:row>16</xdr:row>
      <xdr:rowOff>146160</xdr:rowOff>
    </xdr:to>
    <xdr:graphicFrame>
      <xdr:nvGraphicFramePr>
        <xdr:cNvPr id="1" name="Graphique 3"/>
        <xdr:cNvGraphicFramePr/>
      </xdr:nvGraphicFramePr>
      <xdr:xfrm>
        <a:off x="12501360" y="967320"/>
        <a:ext cx="2847600" cy="254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285840</xdr:colOff>
      <xdr:row>18</xdr:row>
      <xdr:rowOff>0</xdr:rowOff>
    </xdr:from>
    <xdr:to>
      <xdr:col>27</xdr:col>
      <xdr:colOff>244080</xdr:colOff>
      <xdr:row>32</xdr:row>
      <xdr:rowOff>171000</xdr:rowOff>
    </xdr:to>
    <xdr:graphicFrame>
      <xdr:nvGraphicFramePr>
        <xdr:cNvPr id="2" name="Graphique 15"/>
        <xdr:cNvGraphicFramePr/>
      </xdr:nvGraphicFramePr>
      <xdr:xfrm>
        <a:off x="9580320" y="3919680"/>
        <a:ext cx="2851920" cy="259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338400</xdr:colOff>
      <xdr:row>18</xdr:row>
      <xdr:rowOff>0</xdr:rowOff>
    </xdr:from>
    <xdr:to>
      <xdr:col>34</xdr:col>
      <xdr:colOff>296640</xdr:colOff>
      <xdr:row>32</xdr:row>
      <xdr:rowOff>171000</xdr:rowOff>
    </xdr:to>
    <xdr:graphicFrame>
      <xdr:nvGraphicFramePr>
        <xdr:cNvPr id="3" name="Graphique 16"/>
        <xdr:cNvGraphicFramePr/>
      </xdr:nvGraphicFramePr>
      <xdr:xfrm>
        <a:off x="12526560" y="3919680"/>
        <a:ext cx="2851920" cy="259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380880</xdr:colOff>
      <xdr:row>34</xdr:row>
      <xdr:rowOff>13680</xdr:rowOff>
    </xdr:from>
    <xdr:to>
      <xdr:col>27</xdr:col>
      <xdr:colOff>339120</xdr:colOff>
      <xdr:row>48</xdr:row>
      <xdr:rowOff>171000</xdr:rowOff>
    </xdr:to>
    <xdr:graphicFrame>
      <xdr:nvGraphicFramePr>
        <xdr:cNvPr id="4" name="Graphique 17"/>
        <xdr:cNvGraphicFramePr/>
      </xdr:nvGraphicFramePr>
      <xdr:xfrm>
        <a:off x="9675360" y="6905160"/>
        <a:ext cx="2851920" cy="25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34</xdr:row>
      <xdr:rowOff>13680</xdr:rowOff>
    </xdr:from>
    <xdr:to>
      <xdr:col>34</xdr:col>
      <xdr:colOff>349920</xdr:colOff>
      <xdr:row>48</xdr:row>
      <xdr:rowOff>171000</xdr:rowOff>
    </xdr:to>
    <xdr:graphicFrame>
      <xdr:nvGraphicFramePr>
        <xdr:cNvPr id="5" name="Graphique 18"/>
        <xdr:cNvGraphicFramePr/>
      </xdr:nvGraphicFramePr>
      <xdr:xfrm>
        <a:off x="12601440" y="6905160"/>
        <a:ext cx="2830320" cy="25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50</xdr:row>
      <xdr:rowOff>360</xdr:rowOff>
    </xdr:from>
    <xdr:to>
      <xdr:col>27</xdr:col>
      <xdr:colOff>349920</xdr:colOff>
      <xdr:row>64</xdr:row>
      <xdr:rowOff>171360</xdr:rowOff>
    </xdr:to>
    <xdr:graphicFrame>
      <xdr:nvGraphicFramePr>
        <xdr:cNvPr id="6" name="Graphique 19"/>
        <xdr:cNvGraphicFramePr/>
      </xdr:nvGraphicFramePr>
      <xdr:xfrm>
        <a:off x="9707760" y="985428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50</xdr:row>
      <xdr:rowOff>360</xdr:rowOff>
    </xdr:from>
    <xdr:to>
      <xdr:col>34</xdr:col>
      <xdr:colOff>349920</xdr:colOff>
      <xdr:row>64</xdr:row>
      <xdr:rowOff>171360</xdr:rowOff>
    </xdr:to>
    <xdr:graphicFrame>
      <xdr:nvGraphicFramePr>
        <xdr:cNvPr id="7" name="Graphique 20"/>
        <xdr:cNvGraphicFramePr/>
      </xdr:nvGraphicFramePr>
      <xdr:xfrm>
        <a:off x="12601440" y="985428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0</xdr:colOff>
      <xdr:row>66</xdr:row>
      <xdr:rowOff>360</xdr:rowOff>
    </xdr:from>
    <xdr:to>
      <xdr:col>27</xdr:col>
      <xdr:colOff>349920</xdr:colOff>
      <xdr:row>80</xdr:row>
      <xdr:rowOff>171360</xdr:rowOff>
    </xdr:to>
    <xdr:graphicFrame>
      <xdr:nvGraphicFramePr>
        <xdr:cNvPr id="8" name="Graphique 21"/>
        <xdr:cNvGraphicFramePr/>
      </xdr:nvGraphicFramePr>
      <xdr:xfrm>
        <a:off x="9707760" y="1280700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66</xdr:row>
      <xdr:rowOff>360</xdr:rowOff>
    </xdr:from>
    <xdr:to>
      <xdr:col>34</xdr:col>
      <xdr:colOff>349920</xdr:colOff>
      <xdr:row>80</xdr:row>
      <xdr:rowOff>171360</xdr:rowOff>
    </xdr:to>
    <xdr:graphicFrame>
      <xdr:nvGraphicFramePr>
        <xdr:cNvPr id="9" name="Graphique 22"/>
        <xdr:cNvGraphicFramePr/>
      </xdr:nvGraphicFramePr>
      <xdr:xfrm>
        <a:off x="12601440" y="1280700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82</xdr:row>
      <xdr:rowOff>360</xdr:rowOff>
    </xdr:from>
    <xdr:to>
      <xdr:col>27</xdr:col>
      <xdr:colOff>349920</xdr:colOff>
      <xdr:row>97</xdr:row>
      <xdr:rowOff>8280</xdr:rowOff>
    </xdr:to>
    <xdr:graphicFrame>
      <xdr:nvGraphicFramePr>
        <xdr:cNvPr id="10" name="Graphique 21"/>
        <xdr:cNvGraphicFramePr/>
      </xdr:nvGraphicFramePr>
      <xdr:xfrm>
        <a:off x="9707760" y="15759720"/>
        <a:ext cx="2830320" cy="257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82</xdr:row>
      <xdr:rowOff>360</xdr:rowOff>
    </xdr:from>
    <xdr:to>
      <xdr:col>34</xdr:col>
      <xdr:colOff>349920</xdr:colOff>
      <xdr:row>97</xdr:row>
      <xdr:rowOff>8280</xdr:rowOff>
    </xdr:to>
    <xdr:graphicFrame>
      <xdr:nvGraphicFramePr>
        <xdr:cNvPr id="11" name="Graphique 22"/>
        <xdr:cNvGraphicFramePr/>
      </xdr:nvGraphicFramePr>
      <xdr:xfrm>
        <a:off x="12601440" y="15759720"/>
        <a:ext cx="2830320" cy="257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21</xdr:col>
      <xdr:colOff>0</xdr:colOff>
      <xdr:row>98</xdr:row>
      <xdr:rowOff>720</xdr:rowOff>
    </xdr:from>
    <xdr:to>
      <xdr:col>27</xdr:col>
      <xdr:colOff>349920</xdr:colOff>
      <xdr:row>112</xdr:row>
      <xdr:rowOff>171000</xdr:rowOff>
    </xdr:to>
    <xdr:graphicFrame>
      <xdr:nvGraphicFramePr>
        <xdr:cNvPr id="12" name="Graphique 21"/>
        <xdr:cNvGraphicFramePr/>
      </xdr:nvGraphicFramePr>
      <xdr:xfrm>
        <a:off x="9707760" y="18703800"/>
        <a:ext cx="2830320" cy="257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720</xdr:rowOff>
    </xdr:from>
    <xdr:to>
      <xdr:col>34</xdr:col>
      <xdr:colOff>349920</xdr:colOff>
      <xdr:row>112</xdr:row>
      <xdr:rowOff>171000</xdr:rowOff>
    </xdr:to>
    <xdr:graphicFrame>
      <xdr:nvGraphicFramePr>
        <xdr:cNvPr id="13" name="Graphique 22"/>
        <xdr:cNvGraphicFramePr/>
      </xdr:nvGraphicFramePr>
      <xdr:xfrm>
        <a:off x="12601440" y="18703800"/>
        <a:ext cx="2830320" cy="257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21</xdr:col>
      <xdr:colOff>0</xdr:colOff>
      <xdr:row>114</xdr:row>
      <xdr:rowOff>360</xdr:rowOff>
    </xdr:from>
    <xdr:to>
      <xdr:col>27</xdr:col>
      <xdr:colOff>349920</xdr:colOff>
      <xdr:row>128</xdr:row>
      <xdr:rowOff>171000</xdr:rowOff>
    </xdr:to>
    <xdr:graphicFrame>
      <xdr:nvGraphicFramePr>
        <xdr:cNvPr id="14" name="Graphique 21"/>
        <xdr:cNvGraphicFramePr/>
      </xdr:nvGraphicFramePr>
      <xdr:xfrm>
        <a:off x="9707760" y="2165616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114</xdr:row>
      <xdr:rowOff>360</xdr:rowOff>
    </xdr:from>
    <xdr:to>
      <xdr:col>34</xdr:col>
      <xdr:colOff>349920</xdr:colOff>
      <xdr:row>128</xdr:row>
      <xdr:rowOff>171000</xdr:rowOff>
    </xdr:to>
    <xdr:graphicFrame>
      <xdr:nvGraphicFramePr>
        <xdr:cNvPr id="15" name="Graphique 22"/>
        <xdr:cNvGraphicFramePr/>
      </xdr:nvGraphicFramePr>
      <xdr:xfrm>
        <a:off x="12601440" y="2165616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21</xdr:col>
      <xdr:colOff>0</xdr:colOff>
      <xdr:row>130</xdr:row>
      <xdr:rowOff>360</xdr:rowOff>
    </xdr:from>
    <xdr:to>
      <xdr:col>27</xdr:col>
      <xdr:colOff>349920</xdr:colOff>
      <xdr:row>144</xdr:row>
      <xdr:rowOff>171000</xdr:rowOff>
    </xdr:to>
    <xdr:graphicFrame>
      <xdr:nvGraphicFramePr>
        <xdr:cNvPr id="16" name="Graphique 21"/>
        <xdr:cNvGraphicFramePr/>
      </xdr:nvGraphicFramePr>
      <xdr:xfrm>
        <a:off x="9707760" y="2460888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130</xdr:row>
      <xdr:rowOff>360</xdr:rowOff>
    </xdr:from>
    <xdr:to>
      <xdr:col>34</xdr:col>
      <xdr:colOff>349920</xdr:colOff>
      <xdr:row>144</xdr:row>
      <xdr:rowOff>171000</xdr:rowOff>
    </xdr:to>
    <xdr:graphicFrame>
      <xdr:nvGraphicFramePr>
        <xdr:cNvPr id="17" name="Graphique 22"/>
        <xdr:cNvGraphicFramePr/>
      </xdr:nvGraphicFramePr>
      <xdr:xfrm>
        <a:off x="12601440" y="2460888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21</xdr:col>
      <xdr:colOff>0</xdr:colOff>
      <xdr:row>146</xdr:row>
      <xdr:rowOff>360</xdr:rowOff>
    </xdr:from>
    <xdr:to>
      <xdr:col>27</xdr:col>
      <xdr:colOff>349920</xdr:colOff>
      <xdr:row>160</xdr:row>
      <xdr:rowOff>171000</xdr:rowOff>
    </xdr:to>
    <xdr:graphicFrame>
      <xdr:nvGraphicFramePr>
        <xdr:cNvPr id="18" name="Graphique 21"/>
        <xdr:cNvGraphicFramePr/>
      </xdr:nvGraphicFramePr>
      <xdr:xfrm>
        <a:off x="9707760" y="2756160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146</xdr:row>
      <xdr:rowOff>360</xdr:rowOff>
    </xdr:from>
    <xdr:to>
      <xdr:col>34</xdr:col>
      <xdr:colOff>349920</xdr:colOff>
      <xdr:row>160</xdr:row>
      <xdr:rowOff>171000</xdr:rowOff>
    </xdr:to>
    <xdr:graphicFrame>
      <xdr:nvGraphicFramePr>
        <xdr:cNvPr id="19" name="Graphique 22"/>
        <xdr:cNvGraphicFramePr/>
      </xdr:nvGraphicFramePr>
      <xdr:xfrm>
        <a:off x="12601440" y="27561600"/>
        <a:ext cx="2830320" cy="25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C:/Users/mleroy/Documents/2014/Exploitation/Fichiers%20de%20travail/R1%20HTTT%20TB%20TOOLS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C:/Users/J&#233;r&#244;me/Documents/Sport%20auto%20-%20exploitation/01%20-%20Exploitation/00%20-%20Courses/03%20-%2016R01%20SILV/01%20-%20Running%20sheet/16R01%20SILV%20%2330%20Running%20Sheet.xlsm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D:/First%20Air/Documents%20and%20Settings/chris/My%20Documents/Events/Le%20Mans/History/Rennreport-Le%20Mans%20Race%20601JH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D:/First%20Air/FAHRVERSUCH/!RACE%20LMP/2002/KW24%20Le%20Mans/Strategie/Le%20Mans-Strategie_2002%20601%20JH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C:/Documents%20and%20Settings/chris/My%20Documents/1303/2005/DPR/Events/Tests/Paul%20Ricard%20051201/Paul%20Ricard%20050404/Paul%20Ricard050223/Sheets/AM%20Files/V6%20FRV6%20Race%20Report%20Imola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D:/First%20Air/Documents%20and%20Settings/chris/My%20Documents/Events/Monza/Audi%20Set%20Up/Gears/GBox_Audi%20R8_%202003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C:/Documents%20and%20Settings/chris/My%20Documents/1303/2005/DAMS/Sheets/Setup%20A1GP%20vPM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C:/Documents%20and%20Settings/chris/My%20Documents/1303/2005/DPR/Events/Tests/Paul%20Ricard%20051201/Paul%20Ricard%20050404/Paul%20Ricard050223/Sheets/AM%20Files/Tools/Gear%20ratios%20Master%20Dev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C:/Users/tbouvet/Documents/1%20-%20OAK/2%20-%20RACE%20AND%20TEST/2013/06%20-%20SILVERSTONE/08%20-%20RUNSHEET/R1%20HTTT%20TB%20TOOLS.xls" TargetMode="External"/>
</Relationships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JOB_LIST_D1"/>
      <sheetName val="TEST_D1"/>
      <sheetName val="MATRIX_P"/>
      <sheetName val="BRIEFING"/>
      <sheetName val="TIMING"/>
      <sheetName val="STRAT_43"/>
      <sheetName val="STRAT_44"/>
      <sheetName val="LAP SIM"/>
      <sheetName val="TYRE_PRESSURE"/>
      <sheetName val="PLANNING"/>
      <sheetName val="TYRE_PLAN"/>
      <sheetName val="RUN_1"/>
      <sheetName val="GRAPH_1"/>
      <sheetName val="WEIGHT"/>
      <sheetName val="BRAKE_43"/>
      <sheetName val="BRAKE_44"/>
      <sheetName val="MILEAGE"/>
      <sheetName val="TIRE MILEAGE"/>
      <sheetName val="CHANGES"/>
      <sheetName val="FIA"/>
      <sheetName val="RA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sume"/>
      <sheetName val="Pneus"/>
      <sheetName val="RS FP1"/>
      <sheetName val="RS FP2"/>
      <sheetName val="RS FP3"/>
      <sheetName val="RS Q"/>
      <sheetName val="RS Race"/>
      <sheetName val="Tire Pressure"/>
      <sheetName val="Tire Strategy"/>
      <sheetName val="Test plan FP1"/>
      <sheetName val="Test plan FP2"/>
      <sheetName val="Test plan FP3"/>
      <sheetName val="Tire Wear"/>
      <sheetName val="Check-list"/>
      <sheetName val="Refuelling"/>
      <sheetName val="Track temp.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lg."/>
      <sheetName val="Aufbaubl."/>
      <sheetName val="Setups"/>
      <sheetName val="Qualy 1&amp;2"/>
      <sheetName val="Res 1&amp;2"/>
      <sheetName val="Qualy 3&amp;4"/>
      <sheetName val="Res 3&amp;4"/>
      <sheetName val="WUP"/>
      <sheetName val="Res WUP"/>
      <sheetName val="RACE"/>
      <sheetName val="Res Race"/>
      <sheetName val="Fahrer"/>
      <sheetName val="Bremsenverschleiß-Poti"/>
      <sheetName val="Brake wea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601"/>
      <sheetName val="Fahrer"/>
      <sheetName val="Benzin"/>
      <sheetName val="Bremsenverschleiß"/>
      <sheetName val="Reifen"/>
      <sheetName val="Spare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Circuit Map"/>
      <sheetName val="Thursday AM Setup"/>
      <sheetName val="Thursday AM Run Sheet"/>
      <sheetName val="Thursday PM Setup"/>
      <sheetName val="Thursday PM Run Sheet"/>
      <sheetName val="Thursday Setdown"/>
      <sheetName val="Friday AM Setup"/>
      <sheetName val="Friday AM Run Sheet"/>
      <sheetName val="Qual 1 Setup"/>
      <sheetName val="Qual 1 Run Sheet"/>
      <sheetName val="Qual 2 Setup"/>
      <sheetName val="Qual 2 Run Sheet"/>
      <sheetName val="Friday Setdown"/>
      <sheetName val="Friday Joblist"/>
      <sheetName val="Race 1 Setup"/>
      <sheetName val="Race 1 Run Sheet"/>
      <sheetName val="Race 1 Setdown"/>
      <sheetName val="Race 2 Setup"/>
      <sheetName val="Race 2 Run Sheet"/>
      <sheetName val="Race 2 Setdown"/>
      <sheetName val="Database"/>
      <sheetName val="Ratio Selection"/>
      <sheetName val="Tyre Sheet"/>
      <sheetName val="Fuel Calc"/>
      <sheetName val="Roll Distribution"/>
      <sheetName val="Joblist 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Übersicht"/>
      <sheetName val="Grafik"/>
      <sheetName val="Gänge"/>
      <sheetName val="Gear Table"/>
      <sheetName val="Graph"/>
      <sheetName val="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etup combo"/>
      <sheetName val="Setup"/>
      <sheetName val="Data Save"/>
      <sheetName val="Data Vehicle"/>
      <sheetName val="Setup mecani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ist 6"/>
      <sheetName val="Master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JOB_LIST_D1"/>
      <sheetName val="TEST_D1"/>
      <sheetName val="MATRIX_P"/>
      <sheetName val="BRIEFING"/>
      <sheetName val="TIMING"/>
      <sheetName val="STRAT_43"/>
      <sheetName val="STRAT_44"/>
      <sheetName val="LAP SIM"/>
      <sheetName val="TYRE_PRESSURE"/>
      <sheetName val="PLANNING"/>
      <sheetName val="TYRE_PLAN"/>
      <sheetName val="RUN_1"/>
      <sheetName val="GRAPH_1"/>
      <sheetName val="WEIGHT"/>
      <sheetName val="BRAKE_43"/>
      <sheetName val="BRAKE_44"/>
      <sheetName val="MILEAGE"/>
      <sheetName val="TIRE MILEAGE"/>
      <sheetName val="CHANGES"/>
      <sheetName val="FIA"/>
      <sheetName val="RA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R161"/>
  <sheetViews>
    <sheetView showFormulas="false" showGridLines="false" showRowColHeaders="true" showZeros="true" rightToLeft="false" tabSelected="true" showOutlineSymbols="true" defaultGridColor="true" view="normal" topLeftCell="A80" colorId="64" zoomScale="120" zoomScaleNormal="120" zoomScalePageLayoutView="100" workbookViewId="0">
      <selection pane="topLeft" activeCell="D110" activeCellId="0" sqref="D110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5.35" hidden="false" customHeight="true" outlineLevel="0" collapsed="false">
      <c r="A1" s="3" t="n">
        <v>708</v>
      </c>
      <c r="C1" s="5" t="s">
        <v>0</v>
      </c>
      <c r="D1" s="5"/>
      <c r="E1" s="5"/>
      <c r="F1" s="6" t="n">
        <v>5.793</v>
      </c>
      <c r="G1" s="6"/>
      <c r="H1" s="6"/>
      <c r="J1" s="5" t="s">
        <v>1</v>
      </c>
      <c r="K1" s="5"/>
      <c r="L1" s="5"/>
      <c r="M1" s="7" t="n">
        <v>27</v>
      </c>
      <c r="N1" s="7"/>
      <c r="O1" s="7"/>
      <c r="V1" s="5" t="s">
        <v>2</v>
      </c>
      <c r="W1" s="5"/>
      <c r="X1" s="5"/>
      <c r="Y1" s="8" t="n">
        <v>300</v>
      </c>
      <c r="Z1" s="8"/>
      <c r="AA1" s="8"/>
      <c r="AB1" s="8"/>
      <c r="AD1" s="9" t="s">
        <v>3</v>
      </c>
    </row>
    <row r="2" customFormat="false" ht="30" hidden="false" customHeight="true" outlineLevel="0" collapsed="false"/>
    <row r="3" customFormat="false" ht="13.5" hidden="false" customHeight="true" outlineLevel="0" collapsed="false">
      <c r="A3" s="10" t="n">
        <v>8201</v>
      </c>
      <c r="C3" s="11" t="s">
        <v>4</v>
      </c>
      <c r="D3" s="11"/>
      <c r="E3" s="11"/>
      <c r="F3" s="11"/>
      <c r="G3" s="11"/>
      <c r="H3" s="11"/>
      <c r="J3" s="12" t="s">
        <v>5</v>
      </c>
      <c r="K3" s="12"/>
      <c r="L3" s="12"/>
      <c r="M3" s="12"/>
      <c r="N3" s="12"/>
      <c r="O3" s="12"/>
      <c r="Q3" s="13" t="s">
        <v>6</v>
      </c>
      <c r="R3" s="13"/>
      <c r="S3" s="13"/>
      <c r="T3" s="13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0"/>
      <c r="C4" s="14" t="s">
        <v>7</v>
      </c>
      <c r="D4" s="14"/>
      <c r="E4" s="14"/>
      <c r="F4" s="15" t="s">
        <v>7</v>
      </c>
      <c r="G4" s="15"/>
      <c r="H4" s="15"/>
      <c r="J4" s="16" t="n">
        <v>2.7</v>
      </c>
      <c r="K4" s="17" t="n">
        <v>3</v>
      </c>
      <c r="L4" s="17" t="n">
        <v>2.75</v>
      </c>
      <c r="M4" s="18" t="n">
        <v>2.75</v>
      </c>
      <c r="N4" s="18" t="n">
        <v>3</v>
      </c>
      <c r="O4" s="19" t="n">
        <v>2.7</v>
      </c>
      <c r="Q4" s="20" t="n">
        <f aca="false">MIN(J16:L16)/$M$1</f>
        <v>4.43937087772704</v>
      </c>
      <c r="R4" s="20"/>
      <c r="S4" s="20" t="n">
        <f aca="false">MIN(M16:O16)/$M$1</f>
        <v>-18.3641975308642</v>
      </c>
      <c r="T4" s="20"/>
      <c r="V4" s="21" t="s">
        <v>8</v>
      </c>
      <c r="W4" s="21"/>
      <c r="X4" s="21"/>
    </row>
    <row r="5" customFormat="false" ht="13.5" hidden="false" customHeight="true" outlineLevel="0" collapsed="false">
      <c r="A5" s="10"/>
      <c r="C5" s="22" t="s">
        <v>7</v>
      </c>
      <c r="D5" s="22"/>
      <c r="E5" s="22"/>
      <c r="F5" s="23" t="s">
        <v>7</v>
      </c>
      <c r="G5" s="23"/>
      <c r="H5" s="23"/>
      <c r="J5" s="24" t="n">
        <v>2.7</v>
      </c>
      <c r="K5" s="25" t="n">
        <v>3</v>
      </c>
      <c r="L5" s="25" t="n">
        <v>2.7</v>
      </c>
      <c r="M5" s="26" t="n">
        <v>2.7</v>
      </c>
      <c r="N5" s="26" t="n">
        <v>3</v>
      </c>
      <c r="O5" s="27" t="n">
        <v>2.7</v>
      </c>
      <c r="Q5" s="28" t="n">
        <f aca="false">MIN(J17:L17)/$M$1</f>
        <v>6.36777128005198</v>
      </c>
      <c r="R5" s="28"/>
      <c r="S5" s="28" t="n">
        <f aca="false">MIN(M17:O17)/$M$1</f>
        <v>36.0082304526748</v>
      </c>
      <c r="T5" s="28"/>
      <c r="V5" s="29" t="n">
        <f aca="false">ROUNDUP(INDEX(LINEST(J12:L12,V3:X3,,1),1,1)*$Y$1,1)</f>
        <v>-0.2</v>
      </c>
      <c r="W5" s="29"/>
      <c r="X5" s="30" t="n">
        <f aca="false">-ROUNDUP(INDEX(LINEST(M12:O12,V3:X3,,1),1,1)*$Y$1,1)</f>
        <v>-0.1</v>
      </c>
    </row>
    <row r="6" customFormat="false" ht="13.5" hidden="false" customHeight="true" outlineLevel="0" collapsed="false">
      <c r="A6" s="10"/>
      <c r="J6" s="31"/>
      <c r="K6" s="31"/>
      <c r="L6" s="31"/>
      <c r="M6" s="31"/>
      <c r="N6" s="31"/>
      <c r="O6" s="31"/>
      <c r="V6" s="29" t="n">
        <f aca="false">ROUNDUP(INDEX(LINEST(J13:L13,V3:X3,,1),1,1)*$Y$1,1)</f>
        <v>0.1</v>
      </c>
      <c r="W6" s="29"/>
      <c r="X6" s="30" t="n">
        <f aca="false">-ROUNDUP(INDEX(LINEST(M13:O13,V3:X3,,1),1,1)*$Y$1,1)</f>
        <v>0.2</v>
      </c>
    </row>
    <row r="7" customFormat="false" ht="13.5" hidden="false" customHeight="true" outlineLevel="0" collapsed="false">
      <c r="A7" s="10"/>
      <c r="C7" s="12" t="s">
        <v>9</v>
      </c>
      <c r="D7" s="12"/>
      <c r="E7" s="12"/>
      <c r="F7" s="12"/>
      <c r="G7" s="12"/>
      <c r="H7" s="12"/>
      <c r="J7" s="32" t="s">
        <v>10</v>
      </c>
      <c r="K7" s="32"/>
      <c r="L7" s="32"/>
      <c r="M7" s="32"/>
      <c r="N7" s="32"/>
      <c r="O7" s="32"/>
      <c r="Q7" s="13" t="s">
        <v>11</v>
      </c>
      <c r="R7" s="13"/>
      <c r="S7" s="13"/>
      <c r="T7" s="13"/>
    </row>
    <row r="8" customFormat="false" ht="13.5" hidden="false" customHeight="true" outlineLevel="0" collapsed="false">
      <c r="A8" s="10"/>
      <c r="C8" s="16" t="n">
        <v>2.92</v>
      </c>
      <c r="D8" s="17" t="n">
        <v>2.98</v>
      </c>
      <c r="E8" s="17" t="n">
        <v>3</v>
      </c>
      <c r="F8" s="18" t="n">
        <v>2.98</v>
      </c>
      <c r="G8" s="18" t="n">
        <v>2.98</v>
      </c>
      <c r="H8" s="19" t="n">
        <v>2.97</v>
      </c>
      <c r="J8" s="33" t="n">
        <v>0.2</v>
      </c>
      <c r="K8" s="34" t="n">
        <v>0.2</v>
      </c>
      <c r="L8" s="34" t="n">
        <v>0.2</v>
      </c>
      <c r="M8" s="35" t="n">
        <v>0.2</v>
      </c>
      <c r="N8" s="35" t="n">
        <v>0.2</v>
      </c>
      <c r="O8" s="36" t="n">
        <v>0.2</v>
      </c>
      <c r="Q8" s="37" t="n">
        <f aca="false">SUM(J12:O12)/SUM(J12:O13)</f>
        <v>0.33681033013571</v>
      </c>
      <c r="R8" s="37"/>
      <c r="S8" s="37"/>
      <c r="T8" s="37"/>
    </row>
    <row r="9" customFormat="false" ht="13.5" hidden="false" customHeight="true" outlineLevel="0" collapsed="false">
      <c r="A9" s="10"/>
      <c r="C9" s="24" t="n">
        <v>2.82</v>
      </c>
      <c r="D9" s="25" t="n">
        <v>2.77</v>
      </c>
      <c r="E9" s="25" t="n">
        <v>2.81</v>
      </c>
      <c r="F9" s="26" t="n">
        <v>2.93</v>
      </c>
      <c r="G9" s="26" t="n">
        <v>2.89</v>
      </c>
      <c r="H9" s="27" t="n">
        <v>2.94</v>
      </c>
      <c r="I9" s="38"/>
      <c r="J9" s="39" t="n">
        <v>0.2</v>
      </c>
      <c r="K9" s="40" t="n">
        <v>0.2</v>
      </c>
      <c r="L9" s="40" t="n">
        <v>0.2</v>
      </c>
      <c r="M9" s="41" t="n">
        <v>0.2</v>
      </c>
      <c r="N9" s="41" t="n">
        <v>0.2</v>
      </c>
      <c r="O9" s="42" t="n">
        <v>0.2</v>
      </c>
      <c r="Q9" s="37" t="n">
        <f aca="false">SUM(J13:O13)/SUM(J12:O13)</f>
        <v>0.66318966986429</v>
      </c>
      <c r="R9" s="37"/>
      <c r="S9" s="37"/>
      <c r="T9" s="37"/>
    </row>
    <row r="10" customFormat="false" ht="13.5" hidden="false" customHeight="false" outlineLevel="0" collapsed="false">
      <c r="A10" s="10"/>
      <c r="C10" s="31"/>
      <c r="D10" s="31"/>
      <c r="E10" s="31"/>
      <c r="F10" s="31"/>
      <c r="G10" s="31"/>
      <c r="H10" s="31"/>
    </row>
    <row r="11" customFormat="false" ht="14.25" hidden="false" customHeight="false" outlineLevel="0" collapsed="false">
      <c r="A11" s="10"/>
      <c r="C11" s="32" t="s">
        <v>12</v>
      </c>
      <c r="D11" s="32"/>
      <c r="E11" s="32"/>
      <c r="F11" s="32"/>
      <c r="G11" s="32"/>
      <c r="H11" s="32"/>
      <c r="J11" s="12" t="s">
        <v>13</v>
      </c>
      <c r="K11" s="12"/>
      <c r="L11" s="12"/>
      <c r="M11" s="12"/>
      <c r="N11" s="12"/>
      <c r="O11" s="12"/>
      <c r="Q11" s="13" t="s">
        <v>14</v>
      </c>
      <c r="R11" s="13"/>
      <c r="S11" s="13"/>
      <c r="T11" s="13"/>
      <c r="AK11" s="12" t="s">
        <v>13</v>
      </c>
      <c r="AL11" s="12"/>
      <c r="AM11" s="12"/>
      <c r="AN11" s="12"/>
      <c r="AO11" s="12"/>
      <c r="AP11" s="12"/>
      <c r="AQ11" s="12"/>
      <c r="AR11" s="12"/>
    </row>
    <row r="12" customFormat="false" ht="13.5" hidden="false" customHeight="false" outlineLevel="0" collapsed="false">
      <c r="A12" s="10"/>
      <c r="C12" s="16" t="n">
        <v>2.19</v>
      </c>
      <c r="D12" s="17" t="n">
        <v>2.81</v>
      </c>
      <c r="E12" s="17" t="n">
        <v>2.88</v>
      </c>
      <c r="F12" s="18" t="n">
        <v>3.06</v>
      </c>
      <c r="G12" s="18" t="n">
        <v>3.16</v>
      </c>
      <c r="H12" s="19" t="n">
        <v>2.72</v>
      </c>
      <c r="J12" s="43" t="n">
        <f aca="false">((C8-C12)/($C16*$F$1))/(J4-J8)</f>
        <v>0.00144016177159626</v>
      </c>
      <c r="K12" s="44" t="n">
        <f aca="false">((D8-D12)/($C16*$F$1))/(K4-K8)</f>
        <v>0.000299446552313313</v>
      </c>
      <c r="L12" s="44" t="n">
        <f aca="false">((E8-E12)/($C16*$F$1))/(L4-L8)</f>
        <v>0.000232096981723813</v>
      </c>
      <c r="M12" s="44" t="n">
        <f aca="false">((F8-F12)/($C16*$F$1))/(M4-M8)</f>
        <v>-0.000154731321149209</v>
      </c>
      <c r="N12" s="44" t="n">
        <f aca="false">((G8-G12)/($C16*$F$1))/(N4-N8)</f>
        <v>-0.000317061055390567</v>
      </c>
      <c r="O12" s="45" t="n">
        <f aca="false">((H8-H12)/($C16*$F$1))/(O4-O8)</f>
        <v>0.000493206086163103</v>
      </c>
      <c r="Q12" s="46" t="n">
        <f aca="false">SUM(J12:L13)/SUM(J12:O13)</f>
        <v>0.759561935756492</v>
      </c>
      <c r="R12" s="46"/>
      <c r="S12" s="46" t="n">
        <f aca="false">SUM(M12:O13)/SUM(J12:O13)</f>
        <v>0.240438064243508</v>
      </c>
      <c r="T12" s="46"/>
      <c r="AK12" s="47" t="n">
        <f aca="false">AVERAGE(J12:L12)</f>
        <v>0.000657235101877796</v>
      </c>
      <c r="AL12" s="47"/>
      <c r="AM12" s="47"/>
      <c r="AN12" s="47"/>
      <c r="AO12" s="47" t="n">
        <f aca="false">AVERAGE(M12:O12)</f>
        <v>7.13790320777586E-006</v>
      </c>
      <c r="AP12" s="47"/>
      <c r="AQ12" s="47"/>
      <c r="AR12" s="47"/>
    </row>
    <row r="13" customFormat="false" ht="12.8" hidden="false" customHeight="false" outlineLevel="0" collapsed="false">
      <c r="A13" s="10"/>
      <c r="C13" s="24" t="n">
        <v>2.46</v>
      </c>
      <c r="D13" s="17" t="n">
        <v>2.2</v>
      </c>
      <c r="E13" s="17" t="n">
        <v>2.4</v>
      </c>
      <c r="F13" s="18" t="n">
        <v>2.33</v>
      </c>
      <c r="G13" s="18" t="n">
        <v>2.8</v>
      </c>
      <c r="H13" s="19" t="n">
        <v>2.91</v>
      </c>
      <c r="J13" s="43" t="n">
        <f aca="false">((C9-C13)/($C16*$F$1))/(J5-J9)</f>
        <v>0.000710216764074868</v>
      </c>
      <c r="K13" s="44" t="n">
        <f aca="false">((D9-D13)/($C16*$F$1))/(K5-K9)</f>
        <v>0.00100402667540346</v>
      </c>
      <c r="L13" s="44" t="n">
        <f aca="false">((E9-E13)/($C16*$F$1))/(L5-L9)</f>
        <v>0.00080885798130749</v>
      </c>
      <c r="M13" s="44" t="n">
        <f aca="false">((F9-F13)/($C16*$F$1))/(M5-M9)</f>
        <v>0.00118369460679145</v>
      </c>
      <c r="N13" s="44" t="n">
        <f aca="false">((G9-G13)/($C16*$F$1))/(N5-N9)</f>
        <v>0.000158530527695284</v>
      </c>
      <c r="O13" s="45" t="n">
        <f aca="false">((H9-H13)/($C16*$F$1))/(O5-O9)</f>
        <v>5.9184730339572E-005</v>
      </c>
      <c r="Q13" s="46"/>
      <c r="R13" s="46"/>
      <c r="S13" s="46"/>
      <c r="T13" s="46"/>
      <c r="AK13" s="47" t="n">
        <f aca="false">AVERAGE(J13:L13)</f>
        <v>0.000841033806928606</v>
      </c>
      <c r="AL13" s="47"/>
      <c r="AM13" s="47"/>
      <c r="AN13" s="47"/>
      <c r="AO13" s="47" t="n">
        <f aca="false">AVERAGE(M13:O13)</f>
        <v>0.000467136621608768</v>
      </c>
      <c r="AP13" s="47"/>
      <c r="AQ13" s="47"/>
      <c r="AR13" s="47"/>
    </row>
    <row r="14" customFormat="false" ht="13.5" hidden="false" customHeight="false" outlineLevel="0" collapsed="false">
      <c r="A14" s="10"/>
    </row>
    <row r="15" customFormat="false" ht="14.25" hidden="false" customHeight="false" outlineLevel="0" collapsed="false">
      <c r="A15" s="10"/>
      <c r="C15" s="12" t="s">
        <v>15</v>
      </c>
      <c r="D15" s="12"/>
      <c r="E15" s="12"/>
      <c r="F15" s="12"/>
      <c r="G15" s="12"/>
      <c r="H15" s="12"/>
      <c r="J15" s="12" t="s">
        <v>16</v>
      </c>
      <c r="K15" s="12"/>
      <c r="L15" s="12"/>
      <c r="M15" s="12"/>
      <c r="N15" s="12"/>
      <c r="O15" s="12"/>
      <c r="Q15" s="13" t="s">
        <v>17</v>
      </c>
      <c r="R15" s="13"/>
      <c r="S15" s="13"/>
      <c r="T15" s="13"/>
    </row>
    <row r="16" customFormat="false" ht="13.5" hidden="false" customHeight="true" outlineLevel="0" collapsed="false">
      <c r="A16" s="10"/>
      <c r="C16" s="48" t="n">
        <v>35</v>
      </c>
      <c r="D16" s="48"/>
      <c r="E16" s="48"/>
      <c r="F16" s="48"/>
      <c r="G16" s="48"/>
      <c r="H16" s="48"/>
      <c r="I16" s="31"/>
      <c r="J16" s="49" t="n">
        <f aca="false">C16*(J4-J8)/(C8-C12)</f>
        <v>119.86301369863</v>
      </c>
      <c r="K16" s="50" t="n">
        <f aca="false">C16*(K4-K8)/(D8-D12)</f>
        <v>576.470588235294</v>
      </c>
      <c r="L16" s="50" t="n">
        <f aca="false">$C16*(L4-L8)/(E8-E12)</f>
        <v>743.749999999999</v>
      </c>
      <c r="M16" s="50" t="n">
        <f aca="false">$C16*(M4-M8)/(G8-G12)</f>
        <v>-495.833333333333</v>
      </c>
      <c r="N16" s="50" t="n">
        <f aca="false">$C16*(N4-N8)/(H8-H12)</f>
        <v>392</v>
      </c>
      <c r="O16" s="51" t="n">
        <f aca="false">C16*(O4-O8)/(H8-H12)</f>
        <v>350</v>
      </c>
      <c r="Q16" s="20" t="str">
        <f aca="false">IF(V5&gt;0,CONCATENATE("less ",V5),CONCATENATE("more ",V5))</f>
        <v>more -0.2</v>
      </c>
      <c r="R16" s="20"/>
      <c r="S16" s="52" t="str">
        <f aca="false">IF(X5&gt;0,CONCATENATE("less ",X5),CONCATENATE("more ",X5))</f>
        <v>more -0.1</v>
      </c>
      <c r="T16" s="52"/>
    </row>
    <row r="17" customFormat="false" ht="13.5" hidden="false" customHeight="true" outlineLevel="0" collapsed="false">
      <c r="A17" s="10"/>
      <c r="C17" s="48"/>
      <c r="D17" s="48"/>
      <c r="E17" s="48"/>
      <c r="F17" s="48"/>
      <c r="G17" s="48"/>
      <c r="H17" s="48"/>
      <c r="I17" s="31"/>
      <c r="J17" s="49" t="n">
        <f aca="false">C16*(J5-J9)/(C9-C13)</f>
        <v>243.055555555556</v>
      </c>
      <c r="K17" s="50" t="n">
        <f aca="false">C16*(K5-K9)/(D9-D13)</f>
        <v>171.929824561404</v>
      </c>
      <c r="L17" s="50" t="n">
        <f aca="false">$C16*(L5-L9)/(E9-E13)</f>
        <v>213.414634146341</v>
      </c>
      <c r="M17" s="50" t="n">
        <f aca="false">$C16*(M5-M9)/(G9-G13)</f>
        <v>972.222222222219</v>
      </c>
      <c r="N17" s="50" t="n">
        <f aca="false">$C16*(N5-N9)/(H9-H13)</f>
        <v>3266.66666666669</v>
      </c>
      <c r="O17" s="51" t="n">
        <f aca="false">C16*(O5-O9)/(H9-H13)</f>
        <v>2916.66666666669</v>
      </c>
      <c r="Q17" s="52" t="str">
        <f aca="false">IF(V6&gt;0,CONCATENATE("less ",V6),CONCATENATE("more ",V6))</f>
        <v>less 0.1</v>
      </c>
      <c r="R17" s="52"/>
      <c r="S17" s="52" t="str">
        <f aca="false">IF(X6&gt;0,CONCATENATE("less ",X6),CONCATENATE("more ",X6))</f>
        <v>less 0.2</v>
      </c>
      <c r="T17" s="52"/>
    </row>
    <row r="18" customFormat="false" ht="30" hidden="false" customHeight="true" outlineLevel="0" collapsed="false">
      <c r="A18" s="53"/>
      <c r="C18" s="54"/>
      <c r="D18" s="54"/>
      <c r="E18" s="54"/>
      <c r="F18" s="54"/>
      <c r="G18" s="54"/>
      <c r="H18" s="54"/>
      <c r="I18" s="31"/>
      <c r="J18" s="55"/>
      <c r="K18" s="55"/>
      <c r="L18" s="55"/>
      <c r="M18" s="55"/>
      <c r="N18" s="55"/>
      <c r="O18" s="55"/>
      <c r="Q18" s="30"/>
      <c r="R18" s="30"/>
      <c r="S18" s="30"/>
      <c r="T18" s="30"/>
    </row>
    <row r="19" customFormat="false" ht="13.5" hidden="false" customHeight="true" outlineLevel="0" collapsed="false">
      <c r="A19" s="10" t="n">
        <v>8407</v>
      </c>
      <c r="C19" s="11" t="s">
        <v>4</v>
      </c>
      <c r="D19" s="11"/>
      <c r="E19" s="11"/>
      <c r="F19" s="11"/>
      <c r="G19" s="11"/>
      <c r="H19" s="11"/>
      <c r="J19" s="12" t="s">
        <v>5</v>
      </c>
      <c r="K19" s="12"/>
      <c r="L19" s="12"/>
      <c r="M19" s="12"/>
      <c r="N19" s="12"/>
      <c r="O19" s="12"/>
      <c r="Q19" s="13" t="s">
        <v>6</v>
      </c>
      <c r="R19" s="13"/>
      <c r="S19" s="13"/>
      <c r="T19" s="13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0"/>
      <c r="C20" s="14"/>
      <c r="D20" s="14"/>
      <c r="E20" s="14"/>
      <c r="F20" s="15"/>
      <c r="G20" s="15"/>
      <c r="H20" s="15"/>
      <c r="J20" s="16" t="n">
        <v>2.7</v>
      </c>
      <c r="K20" s="17" t="n">
        <v>3</v>
      </c>
      <c r="L20" s="17" t="n">
        <v>2.75</v>
      </c>
      <c r="M20" s="18" t="n">
        <v>2.75</v>
      </c>
      <c r="N20" s="18" t="n">
        <v>3</v>
      </c>
      <c r="O20" s="19" t="n">
        <v>2.7</v>
      </c>
      <c r="Q20" s="20" t="n">
        <f aca="false">MIN(J32:L32)/$M$1</f>
        <v>0</v>
      </c>
      <c r="R20" s="20"/>
      <c r="S20" s="20" t="n">
        <f aca="false">MIN(M32:O32)/$M$1</f>
        <v>0</v>
      </c>
      <c r="T20" s="20"/>
      <c r="V20" s="21" t="s">
        <v>8</v>
      </c>
      <c r="W20" s="21"/>
      <c r="X20" s="21"/>
    </row>
    <row r="21" customFormat="false" ht="13.5" hidden="false" customHeight="true" outlineLevel="0" collapsed="false">
      <c r="A21" s="10"/>
      <c r="C21" s="22"/>
      <c r="D21" s="22"/>
      <c r="E21" s="22"/>
      <c r="F21" s="23"/>
      <c r="G21" s="23"/>
      <c r="H21" s="23"/>
      <c r="J21" s="24" t="n">
        <v>2.7</v>
      </c>
      <c r="K21" s="25" t="n">
        <v>3</v>
      </c>
      <c r="L21" s="25" t="n">
        <v>2.7</v>
      </c>
      <c r="M21" s="26" t="n">
        <v>2.7</v>
      </c>
      <c r="N21" s="26" t="n">
        <v>3</v>
      </c>
      <c r="O21" s="27" t="n">
        <v>2.7</v>
      </c>
      <c r="Q21" s="28" t="n">
        <f aca="false">MIN(J33:L33)/$M$1</f>
        <v>0</v>
      </c>
      <c r="R21" s="28"/>
      <c r="S21" s="28" t="n">
        <f aca="false">MIN(M33:O33)/$M$1</f>
        <v>0</v>
      </c>
      <c r="T21" s="28"/>
      <c r="V21" s="29" t="e">
        <f aca="false">ROUNDUP(INDEX(LINEST(J28:L28,V19:X19,,1),1,1)*$Y$1,1)</f>
        <v>#DIV/0!</v>
      </c>
      <c r="W21" s="29"/>
      <c r="X21" s="30" t="e">
        <f aca="false">-ROUNDUP(INDEX(LINEST(M28:O28,V19:X19,,1),1,1)*$Y$1,1)</f>
        <v>#DIV/0!</v>
      </c>
    </row>
    <row r="22" customFormat="false" ht="13.5" hidden="false" customHeight="true" outlineLevel="0" collapsed="false">
      <c r="A22" s="10"/>
      <c r="J22" s="31"/>
      <c r="K22" s="31"/>
      <c r="L22" s="31"/>
      <c r="M22" s="31"/>
      <c r="N22" s="31"/>
      <c r="O22" s="31"/>
      <c r="V22" s="29" t="e">
        <f aca="false">ROUNDUP(INDEX(LINEST(J29:L29,V19:X19,,1),1,1)*$Y$1,1)</f>
        <v>#DIV/0!</v>
      </c>
      <c r="W22" s="29"/>
      <c r="X22" s="30" t="e">
        <f aca="false">-ROUNDUP(INDEX(LINEST(M29:O29,V19:X19,,1),1,1)*$Y$1,1)</f>
        <v>#DIV/0!</v>
      </c>
    </row>
    <row r="23" customFormat="false" ht="13.5" hidden="false" customHeight="true" outlineLevel="0" collapsed="false">
      <c r="A23" s="10"/>
      <c r="C23" s="12" t="s">
        <v>9</v>
      </c>
      <c r="D23" s="12"/>
      <c r="E23" s="12"/>
      <c r="F23" s="12"/>
      <c r="G23" s="12"/>
      <c r="H23" s="12"/>
      <c r="J23" s="32" t="s">
        <v>10</v>
      </c>
      <c r="K23" s="32"/>
      <c r="L23" s="32"/>
      <c r="M23" s="32"/>
      <c r="N23" s="32"/>
      <c r="O23" s="32"/>
      <c r="Q23" s="13" t="s">
        <v>11</v>
      </c>
      <c r="R23" s="13"/>
      <c r="S23" s="13"/>
      <c r="T23" s="13"/>
    </row>
    <row r="24" customFormat="false" ht="13.5" hidden="false" customHeight="true" outlineLevel="0" collapsed="false">
      <c r="A24" s="10"/>
      <c r="C24" s="16" t="n">
        <v>2.92</v>
      </c>
      <c r="D24" s="17" t="n">
        <v>3</v>
      </c>
      <c r="E24" s="17" t="n">
        <v>2.91</v>
      </c>
      <c r="F24" s="18" t="n">
        <v>3.08</v>
      </c>
      <c r="G24" s="18" t="n">
        <v>2.93</v>
      </c>
      <c r="H24" s="19" t="n">
        <v>2.97</v>
      </c>
      <c r="J24" s="33" t="n">
        <v>0.2</v>
      </c>
      <c r="K24" s="34" t="n">
        <v>0.2</v>
      </c>
      <c r="L24" s="34" t="n">
        <v>0.2</v>
      </c>
      <c r="M24" s="35" t="n">
        <v>0.2</v>
      </c>
      <c r="N24" s="35" t="n">
        <v>0.2</v>
      </c>
      <c r="O24" s="36" t="n">
        <v>0.2</v>
      </c>
      <c r="Q24" s="37" t="e">
        <f aca="false">SUM(J28:O28)/SUM(J28:O29)</f>
        <v>#DIV/0!</v>
      </c>
      <c r="R24" s="37"/>
      <c r="S24" s="37"/>
      <c r="T24" s="37"/>
    </row>
    <row r="25" customFormat="false" ht="13.5" hidden="false" customHeight="true" outlineLevel="0" collapsed="false">
      <c r="A25" s="10"/>
      <c r="C25" s="24" t="n">
        <v>2.71</v>
      </c>
      <c r="D25" s="25" t="n">
        <v>2.79</v>
      </c>
      <c r="E25" s="25" t="n">
        <v>2.87</v>
      </c>
      <c r="F25" s="26" t="n">
        <v>2.78</v>
      </c>
      <c r="G25" s="26" t="n">
        <v>2.85</v>
      </c>
      <c r="H25" s="27" t="n">
        <v>2.85</v>
      </c>
      <c r="J25" s="39" t="n">
        <v>0.2</v>
      </c>
      <c r="K25" s="40" t="n">
        <v>0.2</v>
      </c>
      <c r="L25" s="40" t="n">
        <v>0.2</v>
      </c>
      <c r="M25" s="41" t="n">
        <v>0.2</v>
      </c>
      <c r="N25" s="41" t="n">
        <v>0.2</v>
      </c>
      <c r="O25" s="42" t="n">
        <v>0.2</v>
      </c>
      <c r="Q25" s="37" t="e">
        <f aca="false">SUM(J29:O29)/SUM(J28:O29)</f>
        <v>#DIV/0!</v>
      </c>
      <c r="R25" s="37"/>
      <c r="S25" s="37"/>
      <c r="T25" s="37"/>
    </row>
    <row r="26" customFormat="false" ht="13.5" hidden="false" customHeight="false" outlineLevel="0" collapsed="false">
      <c r="A26" s="10"/>
      <c r="C26" s="31"/>
      <c r="D26" s="31"/>
      <c r="E26" s="31"/>
      <c r="F26" s="31"/>
      <c r="G26" s="31"/>
      <c r="H26" s="31"/>
    </row>
    <row r="27" customFormat="false" ht="14.25" hidden="false" customHeight="false" outlineLevel="0" collapsed="false">
      <c r="A27" s="10"/>
      <c r="C27" s="32" t="s">
        <v>12</v>
      </c>
      <c r="D27" s="32"/>
      <c r="E27" s="32"/>
      <c r="F27" s="32"/>
      <c r="G27" s="32"/>
      <c r="H27" s="32"/>
      <c r="J27" s="12" t="s">
        <v>13</v>
      </c>
      <c r="K27" s="12"/>
      <c r="L27" s="12"/>
      <c r="M27" s="12"/>
      <c r="N27" s="12"/>
      <c r="O27" s="12"/>
      <c r="Q27" s="13" t="s">
        <v>14</v>
      </c>
      <c r="R27" s="13"/>
      <c r="S27" s="13"/>
      <c r="T27" s="13"/>
      <c r="AK27" s="12" t="s">
        <v>13</v>
      </c>
      <c r="AL27" s="12"/>
      <c r="AM27" s="12"/>
      <c r="AN27" s="12"/>
      <c r="AO27" s="12"/>
      <c r="AP27" s="12"/>
      <c r="AQ27" s="12"/>
      <c r="AR27" s="12"/>
    </row>
    <row r="28" customFormat="false" ht="13.5" hidden="false" customHeight="false" outlineLevel="0" collapsed="false">
      <c r="A28" s="10"/>
      <c r="C28" s="16"/>
      <c r="D28" s="17"/>
      <c r="E28" s="17"/>
      <c r="F28" s="18"/>
      <c r="G28" s="18"/>
      <c r="H28" s="19"/>
      <c r="J28" s="43" t="e">
        <f aca="false">((C24-C28)/($C32*$F$1))/(J20-J24)</f>
        <v>#DIV/0!</v>
      </c>
      <c r="K28" s="44" t="e">
        <f aca="false">((D24-D28)/($C32*$F$1))/(K20-K24)</f>
        <v>#DIV/0!</v>
      </c>
      <c r="L28" s="44" t="e">
        <f aca="false">((E24-E28)/($C32*$F$1))/(L20-L24)</f>
        <v>#DIV/0!</v>
      </c>
      <c r="M28" s="44" t="e">
        <f aca="false">((F24-F28)/($C32*$F$1))/(M20-M24)</f>
        <v>#DIV/0!</v>
      </c>
      <c r="N28" s="44" t="e">
        <f aca="false">((G24-G28)/($C32*$F$1))/(N20-N24)</f>
        <v>#DIV/0!</v>
      </c>
      <c r="O28" s="45" t="e">
        <f aca="false">((H24-H28)/($C32*$F$1))/(O20-O24)</f>
        <v>#DIV/0!</v>
      </c>
      <c r="Q28" s="46" t="e">
        <f aca="false">SUM(J28:L29)/SUM(J28:O29)</f>
        <v>#DIV/0!</v>
      </c>
      <c r="R28" s="46"/>
      <c r="S28" s="46" t="e">
        <f aca="false">SUM(M28:O29)/SUM(J28:O29)</f>
        <v>#DIV/0!</v>
      </c>
      <c r="T28" s="46"/>
      <c r="AK28" s="47" t="e">
        <f aca="false">AVERAGE(J28:L28)</f>
        <v>#DIV/0!</v>
      </c>
      <c r="AL28" s="47"/>
      <c r="AM28" s="47"/>
      <c r="AN28" s="47"/>
      <c r="AO28" s="47" t="e">
        <f aca="false">AVERAGE(M28:O28)</f>
        <v>#DIV/0!</v>
      </c>
      <c r="AP28" s="47"/>
      <c r="AQ28" s="47"/>
      <c r="AR28" s="47"/>
    </row>
    <row r="29" customFormat="false" ht="13.5" hidden="false" customHeight="false" outlineLevel="0" collapsed="false">
      <c r="A29" s="10"/>
      <c r="C29" s="24"/>
      <c r="D29" s="25"/>
      <c r="E29" s="25"/>
      <c r="F29" s="26"/>
      <c r="G29" s="26"/>
      <c r="H29" s="27"/>
      <c r="J29" s="43" t="e">
        <f aca="false">((C25-C29)/($C32*$F$1))/(J21-J25)</f>
        <v>#DIV/0!</v>
      </c>
      <c r="K29" s="44" t="e">
        <f aca="false">((D25-D29)/($C32*$F$1))/(K21-K25)</f>
        <v>#DIV/0!</v>
      </c>
      <c r="L29" s="44" t="e">
        <f aca="false">((E25-E29)/($C32*$F$1))/(L21-L25)</f>
        <v>#DIV/0!</v>
      </c>
      <c r="M29" s="44" t="e">
        <f aca="false">((F25-F29)/($C32*$F$1))/(M21-M25)</f>
        <v>#DIV/0!</v>
      </c>
      <c r="N29" s="44" t="e">
        <f aca="false">((G25-G29)/($C32*$F$1))/(N21-N25)</f>
        <v>#DIV/0!</v>
      </c>
      <c r="O29" s="45" t="e">
        <f aca="false">((H25-H29)/($C32*$F$1))/(O21-O25)</f>
        <v>#DIV/0!</v>
      </c>
      <c r="Q29" s="46"/>
      <c r="R29" s="46"/>
      <c r="S29" s="46"/>
      <c r="T29" s="46"/>
      <c r="AK29" s="47" t="e">
        <f aca="false">AVERAGE(J29:L29)</f>
        <v>#DIV/0!</v>
      </c>
      <c r="AL29" s="47"/>
      <c r="AM29" s="47"/>
      <c r="AN29" s="47"/>
      <c r="AO29" s="47" t="e">
        <f aca="false">AVERAGE(M29:O29)</f>
        <v>#DIV/0!</v>
      </c>
      <c r="AP29" s="47"/>
      <c r="AQ29" s="47"/>
      <c r="AR29" s="47"/>
    </row>
    <row r="30" customFormat="false" ht="13.5" hidden="false" customHeight="false" outlineLevel="0" collapsed="false">
      <c r="A30" s="10"/>
    </row>
    <row r="31" customFormat="false" ht="14.25" hidden="false" customHeight="false" outlineLevel="0" collapsed="false">
      <c r="A31" s="10"/>
      <c r="C31" s="12" t="s">
        <v>15</v>
      </c>
      <c r="D31" s="12"/>
      <c r="E31" s="12"/>
      <c r="F31" s="12"/>
      <c r="G31" s="12"/>
      <c r="H31" s="12"/>
      <c r="J31" s="12" t="s">
        <v>16</v>
      </c>
      <c r="K31" s="12"/>
      <c r="L31" s="12"/>
      <c r="M31" s="12"/>
      <c r="N31" s="12"/>
      <c r="O31" s="12"/>
      <c r="Q31" s="13" t="s">
        <v>17</v>
      </c>
      <c r="R31" s="13"/>
      <c r="S31" s="13"/>
      <c r="T31" s="13"/>
    </row>
    <row r="32" customFormat="false" ht="13.5" hidden="false" customHeight="false" outlineLevel="0" collapsed="false">
      <c r="A32" s="10"/>
      <c r="C32" s="8"/>
      <c r="D32" s="8"/>
      <c r="E32" s="8"/>
      <c r="F32" s="8"/>
      <c r="G32" s="8"/>
      <c r="H32" s="8"/>
      <c r="I32" s="31"/>
      <c r="J32" s="49" t="n">
        <f aca="false">C32*(J20-J24)/(C24-C28)</f>
        <v>0</v>
      </c>
      <c r="K32" s="50" t="n">
        <f aca="false">C32*(K20-K24)/(D24-D28)</f>
        <v>0</v>
      </c>
      <c r="L32" s="50" t="n">
        <f aca="false">$C32*(L20-L24)/(E24-E28)</f>
        <v>0</v>
      </c>
      <c r="M32" s="50" t="n">
        <f aca="false">$C32*(M20-M24)/(G24-G28)</f>
        <v>0</v>
      </c>
      <c r="N32" s="50" t="n">
        <f aca="false">$C32*(N20-N24)/(H24-H28)</f>
        <v>0</v>
      </c>
      <c r="O32" s="51" t="n">
        <f aca="false">C32*(O20-O24)/(H24-H28)</f>
        <v>0</v>
      </c>
      <c r="Q32" s="20" t="e">
        <f aca="false">IF(V21&gt;0,CONCATENATE("less ",V21),CONCATENATE("more ",V21))</f>
        <v>#DIV/0!</v>
      </c>
      <c r="R32" s="20"/>
      <c r="S32" s="52" t="e">
        <f aca="false">IF(X21&gt;0,CONCATENATE("less ",X21),CONCATENATE("more ",X21))</f>
        <v>#DIV/0!</v>
      </c>
      <c r="T32" s="52"/>
    </row>
    <row r="33" customFormat="false" ht="13.5" hidden="false" customHeight="false" outlineLevel="0" collapsed="false">
      <c r="A33" s="10"/>
      <c r="C33" s="8"/>
      <c r="D33" s="8"/>
      <c r="E33" s="8"/>
      <c r="F33" s="8"/>
      <c r="G33" s="8"/>
      <c r="H33" s="8"/>
      <c r="I33" s="31"/>
      <c r="J33" s="49" t="n">
        <f aca="false">C32*(J21-J25)/(C25-C29)</f>
        <v>0</v>
      </c>
      <c r="K33" s="50" t="n">
        <f aca="false">C32*(K21-K25)/(D25-D29)</f>
        <v>0</v>
      </c>
      <c r="L33" s="50" t="n">
        <f aca="false">$C32*(L21-L25)/(E25-E29)</f>
        <v>0</v>
      </c>
      <c r="M33" s="50" t="n">
        <f aca="false">$C32*(M21-M25)/(G25-G29)</f>
        <v>0</v>
      </c>
      <c r="N33" s="50" t="n">
        <f aca="false">$C32*(N21-N25)/(H25-H29)</f>
        <v>0</v>
      </c>
      <c r="O33" s="51" t="n">
        <f aca="false">C32*(O21-O25)/(H25-H29)</f>
        <v>0</v>
      </c>
      <c r="Q33" s="52" t="e">
        <f aca="false">IF(V22&gt;0,CONCATENATE("less ",V22),CONCATENATE("more ",V22))</f>
        <v>#DIV/0!</v>
      </c>
      <c r="R33" s="52"/>
      <c r="S33" s="52" t="e">
        <f aca="false">IF(X22&gt;0,CONCATENATE("less ",X22),CONCATENATE("more ",X22))</f>
        <v>#DIV/0!</v>
      </c>
      <c r="T33" s="52"/>
    </row>
    <row r="34" customFormat="false" ht="30" hidden="false" customHeight="true" outlineLevel="0" collapsed="false">
      <c r="A34" s="53"/>
      <c r="C34" s="54"/>
      <c r="D34" s="54"/>
      <c r="E34" s="54"/>
      <c r="F34" s="54"/>
      <c r="G34" s="54"/>
      <c r="H34" s="54"/>
      <c r="I34" s="31"/>
      <c r="J34" s="55"/>
      <c r="K34" s="55"/>
      <c r="L34" s="55"/>
      <c r="M34" s="55"/>
      <c r="N34" s="55"/>
      <c r="O34" s="55"/>
      <c r="Q34" s="30"/>
      <c r="R34" s="30"/>
      <c r="S34" s="30"/>
      <c r="T34" s="30"/>
    </row>
    <row r="35" customFormat="false" ht="13.5" hidden="false" customHeight="true" outlineLevel="0" collapsed="false">
      <c r="A35" s="10" t="n">
        <v>8301</v>
      </c>
      <c r="C35" s="11" t="s">
        <v>4</v>
      </c>
      <c r="D35" s="11"/>
      <c r="E35" s="11"/>
      <c r="F35" s="11"/>
      <c r="G35" s="11"/>
      <c r="H35" s="11"/>
      <c r="J35" s="12" t="s">
        <v>5</v>
      </c>
      <c r="K35" s="12"/>
      <c r="L35" s="12"/>
      <c r="M35" s="12"/>
      <c r="N35" s="12"/>
      <c r="O35" s="12"/>
      <c r="Q35" s="13" t="s">
        <v>6</v>
      </c>
      <c r="R35" s="13"/>
      <c r="S35" s="13"/>
      <c r="T35" s="13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0"/>
      <c r="C36" s="14"/>
      <c r="D36" s="14"/>
      <c r="E36" s="14"/>
      <c r="F36" s="15"/>
      <c r="G36" s="15"/>
      <c r="H36" s="15"/>
      <c r="J36" s="16" t="n">
        <v>2.7</v>
      </c>
      <c r="K36" s="17" t="n">
        <v>3</v>
      </c>
      <c r="L36" s="17" t="n">
        <v>2.75</v>
      </c>
      <c r="M36" s="18" t="n">
        <v>2.75</v>
      </c>
      <c r="N36" s="18" t="n">
        <v>3</v>
      </c>
      <c r="O36" s="19" t="n">
        <v>2.7</v>
      </c>
      <c r="Q36" s="20" t="n">
        <f aca="false">MIN(J48:L48)/$M$1</f>
        <v>0</v>
      </c>
      <c r="R36" s="20"/>
      <c r="S36" s="20" t="n">
        <f aca="false">MIN(M48:O48)/$M$1</f>
        <v>0</v>
      </c>
      <c r="T36" s="20"/>
      <c r="V36" s="21" t="s">
        <v>8</v>
      </c>
      <c r="W36" s="21"/>
      <c r="X36" s="21"/>
    </row>
    <row r="37" customFormat="false" ht="13.5" hidden="false" customHeight="true" outlineLevel="0" collapsed="false">
      <c r="A37" s="10"/>
      <c r="C37" s="22"/>
      <c r="D37" s="22"/>
      <c r="E37" s="22"/>
      <c r="F37" s="23"/>
      <c r="G37" s="23"/>
      <c r="H37" s="23"/>
      <c r="J37" s="24" t="n">
        <v>2.7</v>
      </c>
      <c r="K37" s="25" t="n">
        <v>3</v>
      </c>
      <c r="L37" s="25" t="n">
        <v>2.7</v>
      </c>
      <c r="M37" s="26" t="n">
        <v>2.7</v>
      </c>
      <c r="N37" s="26" t="n">
        <v>3</v>
      </c>
      <c r="O37" s="27" t="n">
        <v>2.7</v>
      </c>
      <c r="Q37" s="28" t="n">
        <f aca="false">MIN(J49:L49)/$M$1</f>
        <v>0</v>
      </c>
      <c r="R37" s="28"/>
      <c r="S37" s="28" t="n">
        <f aca="false">MIN(M49:O49)/$M$1</f>
        <v>0</v>
      </c>
      <c r="T37" s="28"/>
      <c r="V37" s="29" t="e">
        <f aca="false">ROUNDUP(INDEX(LINEST(J44:L44,V35:X35,,1),1,1)*$Y$1,1)</f>
        <v>#DIV/0!</v>
      </c>
      <c r="W37" s="29"/>
      <c r="X37" s="30" t="e">
        <f aca="false">-ROUNDUP(INDEX(LINEST(M44:O44,V35:X35,,1),1,1)*$Y$1,1)</f>
        <v>#DIV/0!</v>
      </c>
    </row>
    <row r="38" customFormat="false" ht="13.5" hidden="false" customHeight="true" outlineLevel="0" collapsed="false">
      <c r="A38" s="10"/>
      <c r="J38" s="31"/>
      <c r="K38" s="31"/>
      <c r="L38" s="31"/>
      <c r="M38" s="31"/>
      <c r="N38" s="31"/>
      <c r="O38" s="31"/>
      <c r="V38" s="29" t="e">
        <f aca="false">ROUNDUP(INDEX(LINEST(J45:L45,V35:X35,,1),1,1)*$Y$1,1)</f>
        <v>#DIV/0!</v>
      </c>
      <c r="W38" s="29"/>
      <c r="X38" s="30" t="e">
        <f aca="false">-ROUNDUP(INDEX(LINEST(M45:O45,V35:X35,,1),1,1)*$Y$1,1)</f>
        <v>#DIV/0!</v>
      </c>
    </row>
    <row r="39" customFormat="false" ht="13.5" hidden="false" customHeight="true" outlineLevel="0" collapsed="false">
      <c r="A39" s="10"/>
      <c r="C39" s="12" t="s">
        <v>9</v>
      </c>
      <c r="D39" s="12"/>
      <c r="E39" s="12"/>
      <c r="F39" s="12"/>
      <c r="G39" s="12"/>
      <c r="H39" s="12"/>
      <c r="J39" s="32" t="s">
        <v>10</v>
      </c>
      <c r="K39" s="32"/>
      <c r="L39" s="32"/>
      <c r="M39" s="32"/>
      <c r="N39" s="32"/>
      <c r="O39" s="32"/>
      <c r="Q39" s="13" t="s">
        <v>11</v>
      </c>
      <c r="R39" s="13"/>
      <c r="S39" s="13"/>
      <c r="T39" s="13"/>
    </row>
    <row r="40" customFormat="false" ht="13.5" hidden="false" customHeight="true" outlineLevel="0" collapsed="false">
      <c r="A40" s="10"/>
      <c r="C40" s="16" t="n">
        <v>2.94</v>
      </c>
      <c r="D40" s="17" t="n">
        <v>3</v>
      </c>
      <c r="E40" s="17" t="n">
        <v>2.97</v>
      </c>
      <c r="F40" s="18" t="n">
        <v>2.99</v>
      </c>
      <c r="G40" s="18" t="n">
        <v>2.96</v>
      </c>
      <c r="H40" s="19" t="n">
        <v>2.93</v>
      </c>
      <c r="J40" s="33" t="n">
        <v>0.2</v>
      </c>
      <c r="K40" s="34" t="n">
        <v>0.2</v>
      </c>
      <c r="L40" s="34" t="n">
        <v>0.2</v>
      </c>
      <c r="M40" s="35" t="n">
        <v>0.2</v>
      </c>
      <c r="N40" s="35" t="n">
        <v>0.2</v>
      </c>
      <c r="O40" s="36" t="n">
        <v>0.2</v>
      </c>
      <c r="Q40" s="37" t="e">
        <f aca="false">SUM(J44:O44)/SUM(J44:O45)</f>
        <v>#DIV/0!</v>
      </c>
      <c r="R40" s="37"/>
      <c r="S40" s="37"/>
      <c r="T40" s="37"/>
    </row>
    <row r="41" customFormat="false" ht="13.5" hidden="false" customHeight="true" outlineLevel="0" collapsed="false">
      <c r="A41" s="10"/>
      <c r="C41" s="24" t="n">
        <v>2.86</v>
      </c>
      <c r="D41" s="25" t="n">
        <v>2.83</v>
      </c>
      <c r="E41" s="25" t="n">
        <v>2.85</v>
      </c>
      <c r="F41" s="26" t="n">
        <v>2.8</v>
      </c>
      <c r="G41" s="26" t="n">
        <v>2.75</v>
      </c>
      <c r="H41" s="27" t="n">
        <v>2.78</v>
      </c>
      <c r="J41" s="39" t="n">
        <v>0.2</v>
      </c>
      <c r="K41" s="40" t="n">
        <v>0.2</v>
      </c>
      <c r="L41" s="40" t="n">
        <v>0.2</v>
      </c>
      <c r="M41" s="41" t="n">
        <v>0.2</v>
      </c>
      <c r="N41" s="41" t="n">
        <v>0.2</v>
      </c>
      <c r="O41" s="42" t="n">
        <v>0.2</v>
      </c>
      <c r="Q41" s="37" t="e">
        <f aca="false">SUM(J45:O45)/SUM(J44:O45)</f>
        <v>#DIV/0!</v>
      </c>
      <c r="R41" s="37"/>
      <c r="S41" s="37"/>
      <c r="T41" s="37"/>
    </row>
    <row r="42" customFormat="false" ht="13.5" hidden="false" customHeight="false" outlineLevel="0" collapsed="false">
      <c r="A42" s="10"/>
      <c r="C42" s="31"/>
      <c r="D42" s="31"/>
      <c r="E42" s="31"/>
      <c r="F42" s="31"/>
      <c r="G42" s="31"/>
      <c r="H42" s="31"/>
    </row>
    <row r="43" customFormat="false" ht="13.5" hidden="false" customHeight="true" outlineLevel="0" collapsed="false">
      <c r="A43" s="10"/>
      <c r="C43" s="32" t="s">
        <v>12</v>
      </c>
      <c r="D43" s="32"/>
      <c r="E43" s="32"/>
      <c r="F43" s="32"/>
      <c r="G43" s="32"/>
      <c r="H43" s="32"/>
      <c r="J43" s="12" t="s">
        <v>13</v>
      </c>
      <c r="K43" s="12"/>
      <c r="L43" s="12"/>
      <c r="M43" s="12"/>
      <c r="N43" s="12"/>
      <c r="O43" s="12"/>
      <c r="Q43" s="13" t="s">
        <v>14</v>
      </c>
      <c r="R43" s="13"/>
      <c r="S43" s="13"/>
      <c r="T43" s="13"/>
      <c r="AK43" s="12" t="s">
        <v>13</v>
      </c>
      <c r="AL43" s="12"/>
      <c r="AM43" s="12"/>
      <c r="AN43" s="12"/>
      <c r="AO43" s="12"/>
      <c r="AP43" s="12"/>
      <c r="AQ43" s="12"/>
      <c r="AR43" s="12"/>
    </row>
    <row r="44" customFormat="false" ht="13.5" hidden="false" customHeight="true" outlineLevel="0" collapsed="false">
      <c r="A44" s="10"/>
      <c r="C44" s="16"/>
      <c r="D44" s="17"/>
      <c r="E44" s="17"/>
      <c r="F44" s="18"/>
      <c r="G44" s="18"/>
      <c r="H44" s="19"/>
      <c r="J44" s="43" t="e">
        <f aca="false">((C40-C44)/($C48*$F$1))/(J36-J40)</f>
        <v>#DIV/0!</v>
      </c>
      <c r="K44" s="44" t="e">
        <f aca="false">((D40-D44)/($C48*$F$1))/(K36-K40)</f>
        <v>#DIV/0!</v>
      </c>
      <c r="L44" s="44" t="e">
        <f aca="false">((E40-E44)/($C48*$F$1))/(L36-L40)</f>
        <v>#DIV/0!</v>
      </c>
      <c r="M44" s="44" t="e">
        <f aca="false">((F40-F44)/($C48*$F$1))/(M36-M40)</f>
        <v>#DIV/0!</v>
      </c>
      <c r="N44" s="44" t="e">
        <f aca="false">((G40-G44)/($C48*$F$1))/(N36-N40)</f>
        <v>#DIV/0!</v>
      </c>
      <c r="O44" s="45" t="e">
        <f aca="false">((H40-H44)/($C48*$F$1))/(O36-O40)</f>
        <v>#DIV/0!</v>
      </c>
      <c r="Q44" s="46" t="e">
        <f aca="false">SUM(J44:L45)/SUM(J44:O45)</f>
        <v>#DIV/0!</v>
      </c>
      <c r="R44" s="46"/>
      <c r="S44" s="46" t="e">
        <f aca="false">SUM(M44:O45)/SUM(J44:O45)</f>
        <v>#DIV/0!</v>
      </c>
      <c r="T44" s="46"/>
      <c r="AK44" s="47" t="e">
        <f aca="false">AVERAGE(J44:L44)</f>
        <v>#DIV/0!</v>
      </c>
      <c r="AL44" s="47"/>
      <c r="AM44" s="47"/>
      <c r="AN44" s="47"/>
      <c r="AO44" s="47" t="e">
        <f aca="false">AVERAGE(M44:O44)</f>
        <v>#DIV/0!</v>
      </c>
      <c r="AP44" s="47"/>
      <c r="AQ44" s="47"/>
      <c r="AR44" s="47"/>
    </row>
    <row r="45" customFormat="false" ht="13.5" hidden="false" customHeight="false" outlineLevel="0" collapsed="false">
      <c r="A45" s="10"/>
      <c r="C45" s="24"/>
      <c r="D45" s="25"/>
      <c r="E45" s="25"/>
      <c r="F45" s="26"/>
      <c r="G45" s="26"/>
      <c r="H45" s="27"/>
      <c r="J45" s="43" t="e">
        <f aca="false">((C41-C45)/($C48*$F$1))/(J37-J41)</f>
        <v>#DIV/0!</v>
      </c>
      <c r="K45" s="44" t="e">
        <f aca="false">((D41-D45)/($C48*$F$1))/(K37-K41)</f>
        <v>#DIV/0!</v>
      </c>
      <c r="L45" s="44" t="e">
        <f aca="false">((E41-E45)/($C48*$F$1))/(L37-L41)</f>
        <v>#DIV/0!</v>
      </c>
      <c r="M45" s="44" t="e">
        <f aca="false">((F41-F45)/($C48*$F$1))/(M37-M41)</f>
        <v>#DIV/0!</v>
      </c>
      <c r="N45" s="44" t="e">
        <f aca="false">((G41-G45)/($C48*$F$1))/(N37-N41)</f>
        <v>#DIV/0!</v>
      </c>
      <c r="O45" s="45" t="e">
        <f aca="false">((H41-H45)/($C48*$F$1))/(O37-O41)</f>
        <v>#DIV/0!</v>
      </c>
      <c r="Q45" s="46"/>
      <c r="R45" s="46"/>
      <c r="S45" s="46"/>
      <c r="T45" s="46"/>
      <c r="AK45" s="47" t="e">
        <f aca="false">AVERAGE(J45:L45)</f>
        <v>#DIV/0!</v>
      </c>
      <c r="AL45" s="47"/>
      <c r="AM45" s="47"/>
      <c r="AN45" s="47"/>
      <c r="AO45" s="47" t="e">
        <f aca="false">AVERAGE(M45:O45)</f>
        <v>#DIV/0!</v>
      </c>
      <c r="AP45" s="47"/>
      <c r="AQ45" s="47"/>
      <c r="AR45" s="47"/>
    </row>
    <row r="46" customFormat="false" ht="13.5" hidden="false" customHeight="false" outlineLevel="0" collapsed="false">
      <c r="A46" s="10"/>
    </row>
    <row r="47" customFormat="false" ht="14.25" hidden="false" customHeight="false" outlineLevel="0" collapsed="false">
      <c r="A47" s="10"/>
      <c r="C47" s="12" t="s">
        <v>15</v>
      </c>
      <c r="D47" s="12"/>
      <c r="E47" s="12"/>
      <c r="F47" s="12"/>
      <c r="G47" s="12"/>
      <c r="H47" s="12"/>
      <c r="J47" s="12" t="s">
        <v>16</v>
      </c>
      <c r="K47" s="12"/>
      <c r="L47" s="12"/>
      <c r="M47" s="12"/>
      <c r="N47" s="12"/>
      <c r="O47" s="12"/>
      <c r="Q47" s="13" t="s">
        <v>17</v>
      </c>
      <c r="R47" s="13"/>
      <c r="S47" s="13"/>
      <c r="T47" s="13"/>
    </row>
    <row r="48" customFormat="false" ht="13.5" hidden="false" customHeight="true" outlineLevel="0" collapsed="false">
      <c r="A48" s="10"/>
      <c r="C48" s="48"/>
      <c r="D48" s="48"/>
      <c r="E48" s="48"/>
      <c r="F48" s="48"/>
      <c r="G48" s="48"/>
      <c r="H48" s="48"/>
      <c r="I48" s="31"/>
      <c r="J48" s="49" t="n">
        <f aca="false">C48*(J36-J40)/(C40-C44)</f>
        <v>0</v>
      </c>
      <c r="K48" s="50" t="n">
        <f aca="false">C48*(K36-K40)/(D40-D44)</f>
        <v>0</v>
      </c>
      <c r="L48" s="50" t="n">
        <f aca="false">$C48*(L36-L40)/(E40-E44)</f>
        <v>0</v>
      </c>
      <c r="M48" s="50" t="n">
        <f aca="false">$C48*(M36-M40)/(G40-G44)</f>
        <v>0</v>
      </c>
      <c r="N48" s="50" t="n">
        <f aca="false">$C48*(N36-N40)/(H40-H44)</f>
        <v>0</v>
      </c>
      <c r="O48" s="51" t="n">
        <f aca="false">C48*(O36-O40)/(H40-H44)</f>
        <v>0</v>
      </c>
      <c r="Q48" s="20" t="e">
        <f aca="false">IF(V37&gt;0,CONCATENATE("less ",V37),CONCATENATE("more ",V37))</f>
        <v>#DIV/0!</v>
      </c>
      <c r="R48" s="20"/>
      <c r="S48" s="52" t="e">
        <f aca="false">IF(X37&gt;0,CONCATENATE("less ",X37),CONCATENATE("more ",X37))</f>
        <v>#DIV/0!</v>
      </c>
      <c r="T48" s="52"/>
    </row>
    <row r="49" customFormat="false" ht="13.5" hidden="false" customHeight="true" outlineLevel="0" collapsed="false">
      <c r="A49" s="10"/>
      <c r="C49" s="48"/>
      <c r="D49" s="48"/>
      <c r="E49" s="48"/>
      <c r="F49" s="48"/>
      <c r="G49" s="48"/>
      <c r="H49" s="48"/>
      <c r="I49" s="31"/>
      <c r="J49" s="49" t="n">
        <f aca="false">C48*(J37-J41)/(C41-C45)</f>
        <v>0</v>
      </c>
      <c r="K49" s="50" t="n">
        <f aca="false">C48*(K37-K41)/(D41-D45)</f>
        <v>0</v>
      </c>
      <c r="L49" s="50" t="n">
        <f aca="false">$C48*(L37-L41)/(E41-E45)</f>
        <v>0</v>
      </c>
      <c r="M49" s="50" t="n">
        <f aca="false">$C48*(M37-M41)/(G41-G45)</f>
        <v>0</v>
      </c>
      <c r="N49" s="50" t="n">
        <f aca="false">$C48*(N37-N41)/(H41-H45)</f>
        <v>0</v>
      </c>
      <c r="O49" s="51" t="n">
        <f aca="false">C48*(O37-O41)/(H41-H45)</f>
        <v>0</v>
      </c>
      <c r="Q49" s="52" t="e">
        <f aca="false">IF(V38&gt;0,CONCATENATE("less ",V38),CONCATENATE("more ",V38))</f>
        <v>#DIV/0!</v>
      </c>
      <c r="R49" s="52"/>
      <c r="S49" s="52" t="e">
        <f aca="false">IF(X38&gt;0,CONCATENATE("less ",X38),CONCATENATE("more ",X38))</f>
        <v>#DIV/0!</v>
      </c>
      <c r="T49" s="52"/>
    </row>
    <row r="50" customFormat="false" ht="30" hidden="false" customHeight="true" outlineLevel="0" collapsed="false">
      <c r="A50" s="53"/>
      <c r="C50" s="54"/>
      <c r="D50" s="54"/>
      <c r="E50" s="54"/>
      <c r="F50" s="54"/>
      <c r="G50" s="54"/>
      <c r="H50" s="54"/>
      <c r="I50" s="31"/>
      <c r="J50" s="55"/>
      <c r="K50" s="55"/>
      <c r="L50" s="55"/>
      <c r="M50" s="55"/>
      <c r="N50" s="55"/>
      <c r="O50" s="55"/>
      <c r="Q50" s="30"/>
      <c r="R50" s="30"/>
      <c r="S50" s="30"/>
      <c r="T50" s="30"/>
    </row>
    <row r="51" customFormat="false" ht="13.5" hidden="false" customHeight="true" outlineLevel="0" collapsed="false">
      <c r="A51" s="10" t="n">
        <v>8401</v>
      </c>
      <c r="C51" s="11" t="s">
        <v>4</v>
      </c>
      <c r="D51" s="11"/>
      <c r="E51" s="11"/>
      <c r="F51" s="11"/>
      <c r="G51" s="11"/>
      <c r="H51" s="11"/>
      <c r="J51" s="12" t="s">
        <v>5</v>
      </c>
      <c r="K51" s="12"/>
      <c r="L51" s="12"/>
      <c r="M51" s="12"/>
      <c r="N51" s="12"/>
      <c r="O51" s="12"/>
      <c r="Q51" s="12" t="s">
        <v>6</v>
      </c>
      <c r="R51" s="12"/>
      <c r="S51" s="12"/>
      <c r="T51" s="12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0"/>
      <c r="C52" s="14" t="s">
        <v>18</v>
      </c>
      <c r="D52" s="14"/>
      <c r="E52" s="14"/>
      <c r="F52" s="15" t="s">
        <v>18</v>
      </c>
      <c r="G52" s="15"/>
      <c r="H52" s="15"/>
      <c r="J52" s="16" t="n">
        <v>2.7</v>
      </c>
      <c r="K52" s="17" t="n">
        <v>3</v>
      </c>
      <c r="L52" s="17" t="n">
        <v>2.75</v>
      </c>
      <c r="M52" s="18" t="n">
        <v>2.75</v>
      </c>
      <c r="N52" s="18" t="n">
        <v>3</v>
      </c>
      <c r="O52" s="19" t="n">
        <v>2.7</v>
      </c>
      <c r="Q52" s="20" t="n">
        <f aca="false">MIN(J64:L64)/$M$1</f>
        <v>2.90332705586943</v>
      </c>
      <c r="R52" s="20"/>
      <c r="S52" s="20" t="n">
        <f aca="false">MIN(M64:O64)/$M$1</f>
        <v>6.99168556311413</v>
      </c>
      <c r="T52" s="20"/>
      <c r="V52" s="21" t="s">
        <v>8</v>
      </c>
      <c r="W52" s="21"/>
      <c r="X52" s="21"/>
    </row>
    <row r="53" customFormat="false" ht="13.5" hidden="false" customHeight="true" outlineLevel="0" collapsed="false">
      <c r="A53" s="10"/>
      <c r="C53" s="22" t="s">
        <v>19</v>
      </c>
      <c r="D53" s="22"/>
      <c r="E53" s="22"/>
      <c r="F53" s="23" t="s">
        <v>19</v>
      </c>
      <c r="G53" s="23"/>
      <c r="H53" s="23"/>
      <c r="J53" s="24" t="n">
        <v>2.7</v>
      </c>
      <c r="K53" s="25" t="n">
        <v>3</v>
      </c>
      <c r="L53" s="25" t="n">
        <v>2.7</v>
      </c>
      <c r="M53" s="26" t="n">
        <v>2.7</v>
      </c>
      <c r="N53" s="26" t="n">
        <v>3</v>
      </c>
      <c r="O53" s="27" t="n">
        <v>2.7</v>
      </c>
      <c r="Q53" s="28" t="n">
        <f aca="false">MIN(J65:L65)/$M$1</f>
        <v>3.99691358024691</v>
      </c>
      <c r="R53" s="28"/>
      <c r="S53" s="28" t="n">
        <f aca="false">MIN(M65:O65)/$M$1</f>
        <v>7.96726959517657</v>
      </c>
      <c r="T53" s="28"/>
      <c r="V53" s="29" t="n">
        <f aca="false">ROUNDUP(INDEX(LINEST(J60:L60,V51:X51,,1),1,1)*$Y$1,1)</f>
        <v>-0.3</v>
      </c>
      <c r="W53" s="29"/>
      <c r="X53" s="30" t="n">
        <f aca="false">-ROUNDUP(INDEX(LINEST(M60:O60,V51:X51,,1),1,1)*$Y$1,1)</f>
        <v>0.2</v>
      </c>
    </row>
    <row r="54" customFormat="false" ht="13.5" hidden="false" customHeight="true" outlineLevel="0" collapsed="false">
      <c r="A54" s="10"/>
      <c r="J54" s="31"/>
      <c r="K54" s="31"/>
      <c r="L54" s="31"/>
      <c r="M54" s="31"/>
      <c r="N54" s="31"/>
      <c r="O54" s="31"/>
      <c r="V54" s="29" t="n">
        <f aca="false">ROUNDUP(INDEX(LINEST(J61:L61,V51:X51,,1),1,1)*$Y$1,1)</f>
        <v>-0.1</v>
      </c>
      <c r="W54" s="29"/>
      <c r="X54" s="30" t="n">
        <f aca="false">-ROUNDUP(INDEX(LINEST(M61:O61,V51:X51,,1),1,1)*$Y$1,1)</f>
        <v>0.2</v>
      </c>
    </row>
    <row r="55" customFormat="false" ht="13.5" hidden="false" customHeight="true" outlineLevel="0" collapsed="false">
      <c r="A55" s="10"/>
      <c r="C55" s="12" t="s">
        <v>9</v>
      </c>
      <c r="D55" s="12"/>
      <c r="E55" s="12"/>
      <c r="F55" s="12"/>
      <c r="G55" s="12"/>
      <c r="H55" s="12"/>
      <c r="J55" s="32" t="s">
        <v>10</v>
      </c>
      <c r="K55" s="32"/>
      <c r="L55" s="32"/>
      <c r="M55" s="32"/>
      <c r="N55" s="32"/>
      <c r="O55" s="32"/>
      <c r="Q55" s="12" t="s">
        <v>11</v>
      </c>
      <c r="R55" s="12"/>
      <c r="S55" s="12"/>
      <c r="T55" s="12"/>
    </row>
    <row r="56" customFormat="false" ht="13.5" hidden="false" customHeight="true" outlineLevel="0" collapsed="false">
      <c r="A56" s="10"/>
      <c r="C56" s="16" t="n">
        <v>2.95</v>
      </c>
      <c r="D56" s="17" t="n">
        <v>3.06</v>
      </c>
      <c r="E56" s="17" t="n">
        <v>3.05</v>
      </c>
      <c r="F56" s="18" t="n">
        <v>3</v>
      </c>
      <c r="G56" s="18" t="n">
        <v>3.06</v>
      </c>
      <c r="H56" s="19" t="n">
        <v>3.02</v>
      </c>
      <c r="J56" s="33" t="n">
        <v>0.2</v>
      </c>
      <c r="K56" s="34" t="n">
        <v>0.2</v>
      </c>
      <c r="L56" s="34" t="n">
        <v>0.2</v>
      </c>
      <c r="M56" s="35" t="n">
        <v>0.2</v>
      </c>
      <c r="N56" s="35" t="n">
        <v>0.2</v>
      </c>
      <c r="O56" s="36" t="n">
        <v>0.2</v>
      </c>
      <c r="Q56" s="37" t="n">
        <f aca="false">SUM(J60:O60)/SUM(J60:O61)</f>
        <v>0.543204850831246</v>
      </c>
      <c r="R56" s="37"/>
      <c r="S56" s="37"/>
      <c r="T56" s="37"/>
    </row>
    <row r="57" customFormat="false" ht="13.5" hidden="false" customHeight="true" outlineLevel="0" collapsed="false">
      <c r="A57" s="10"/>
      <c r="C57" s="24" t="n">
        <v>2.86</v>
      </c>
      <c r="D57" s="25" t="n">
        <v>2.78</v>
      </c>
      <c r="E57" s="25" t="n">
        <v>2.75</v>
      </c>
      <c r="F57" s="26" t="n">
        <v>2.8</v>
      </c>
      <c r="G57" s="26" t="n">
        <v>2.79</v>
      </c>
      <c r="H57" s="27" t="n">
        <v>2.83</v>
      </c>
      <c r="J57" s="39" t="n">
        <v>0.2</v>
      </c>
      <c r="K57" s="40" t="n">
        <v>0.2</v>
      </c>
      <c r="L57" s="40" t="n">
        <v>0.2</v>
      </c>
      <c r="M57" s="41" t="n">
        <v>0.2</v>
      </c>
      <c r="N57" s="41" t="n">
        <v>0.2</v>
      </c>
      <c r="O57" s="42" t="n">
        <v>0.2</v>
      </c>
      <c r="Q57" s="37" t="n">
        <f aca="false">SUM(J61:O61)/SUM(J60:O61)</f>
        <v>0.456795149168754</v>
      </c>
      <c r="R57" s="37"/>
      <c r="S57" s="37"/>
      <c r="T57" s="37"/>
    </row>
    <row r="58" customFormat="false" ht="13.5" hidden="false" customHeight="false" outlineLevel="0" collapsed="false">
      <c r="A58" s="10"/>
      <c r="C58" s="31"/>
      <c r="D58" s="31"/>
      <c r="E58" s="31"/>
      <c r="F58" s="31"/>
      <c r="G58" s="31"/>
      <c r="H58" s="31"/>
    </row>
    <row r="59" customFormat="false" ht="13.5" hidden="false" customHeight="false" outlineLevel="0" collapsed="false">
      <c r="A59" s="10"/>
      <c r="C59" s="32" t="s">
        <v>12</v>
      </c>
      <c r="D59" s="32"/>
      <c r="E59" s="32"/>
      <c r="F59" s="32"/>
      <c r="G59" s="32"/>
      <c r="H59" s="32"/>
      <c r="J59" s="12" t="s">
        <v>13</v>
      </c>
      <c r="K59" s="12"/>
      <c r="L59" s="12"/>
      <c r="M59" s="12"/>
      <c r="N59" s="12"/>
      <c r="O59" s="12"/>
      <c r="Q59" s="12" t="s">
        <v>14</v>
      </c>
      <c r="R59" s="12"/>
      <c r="S59" s="12"/>
      <c r="T59" s="12"/>
      <c r="AK59" s="12" t="s">
        <v>13</v>
      </c>
      <c r="AL59" s="12"/>
      <c r="AM59" s="12"/>
      <c r="AN59" s="12"/>
      <c r="AO59" s="12"/>
      <c r="AP59" s="12"/>
      <c r="AQ59" s="12"/>
      <c r="AR59" s="12"/>
    </row>
    <row r="60" customFormat="false" ht="13.5" hidden="false" customHeight="false" outlineLevel="0" collapsed="false">
      <c r="A60" s="10"/>
      <c r="C60" s="16" t="n">
        <v>1.77</v>
      </c>
      <c r="D60" s="17" t="n">
        <v>2.16</v>
      </c>
      <c r="E60" s="17" t="n">
        <v>2.6</v>
      </c>
      <c r="F60" s="18" t="n">
        <v>2.13</v>
      </c>
      <c r="G60" s="18" t="n">
        <v>2.79</v>
      </c>
      <c r="H60" s="19" t="n">
        <v>2.53</v>
      </c>
      <c r="J60" s="43" t="n">
        <f aca="false">((C56-C60)/($C64*$F$1))/(J52-J56)</f>
        <v>0.00220209852524715</v>
      </c>
      <c r="K60" s="44" t="n">
        <f aca="false">((D56-D60)/($C64*$F$1))/(K52-K56)</f>
        <v>0.00149961309982025</v>
      </c>
      <c r="L60" s="44" t="n">
        <f aca="false">((E56-E60)/($C64*$F$1))/(L52-L56)</f>
        <v>0.000823316995979742</v>
      </c>
      <c r="M60" s="44" t="n">
        <f aca="false">((F56-F60)/($C64*$F$1))/(M52-M56)</f>
        <v>0.0015917461922275</v>
      </c>
      <c r="N60" s="44" t="n">
        <f aca="false">((G56-G60)/($C64*$F$1))/(N52-N56)</f>
        <v>0.000449883929946074</v>
      </c>
      <c r="O60" s="45" t="n">
        <f aca="false">((H56-H60)/($C64*$F$1))/(O52-O56)</f>
        <v>0.000914430743534835</v>
      </c>
      <c r="Q60" s="46" t="n">
        <f aca="false">SUM(J60:L61)/SUM(J60:O61)</f>
        <v>0.600540879070827</v>
      </c>
      <c r="R60" s="46"/>
      <c r="S60" s="46" t="n">
        <f aca="false">SUM(M60:O61)/SUM(J60:O61)</f>
        <v>0.399459120929173</v>
      </c>
      <c r="T60" s="46"/>
      <c r="AK60" s="47" t="n">
        <f aca="false">AVERAGE(J60:L60)</f>
        <v>0.00150834287368238</v>
      </c>
      <c r="AL60" s="47"/>
      <c r="AM60" s="47"/>
      <c r="AN60" s="47"/>
      <c r="AO60" s="47" t="n">
        <f aca="false">AVERAGE(M60:O60)</f>
        <v>0.000985353621902804</v>
      </c>
      <c r="AP60" s="47"/>
      <c r="AQ60" s="47"/>
      <c r="AR60" s="47"/>
    </row>
    <row r="61" customFormat="false" ht="13.5" hidden="false" customHeight="false" outlineLevel="0" collapsed="false">
      <c r="A61" s="10"/>
      <c r="C61" s="24" t="n">
        <v>2.18</v>
      </c>
      <c r="D61" s="25" t="n">
        <v>1.82</v>
      </c>
      <c r="E61" s="25" t="n">
        <v>2.28</v>
      </c>
      <c r="F61" s="26" t="n">
        <v>2.04</v>
      </c>
      <c r="G61" s="26" t="n">
        <v>2.36</v>
      </c>
      <c r="H61" s="27" t="n">
        <v>2.61</v>
      </c>
      <c r="J61" s="43" t="n">
        <f aca="false">((C57-C61)/($C64*$F$1))/(J53-J57)</f>
        <v>0.00126900592980344</v>
      </c>
      <c r="K61" s="44" t="n">
        <f aca="false">((D57-D61)/($C64*$F$1))/(K53-K57)</f>
        <v>0.00159958730647493</v>
      </c>
      <c r="L61" s="44" t="n">
        <f aca="false">((E57-E61)/($C64*$F$1))/(L53-L57)</f>
        <v>0.000877107039717087</v>
      </c>
      <c r="M61" s="44" t="n">
        <f aca="false">((F57-F61)/($C64*$F$1))/(M53-M57)</f>
        <v>0.00141830074507444</v>
      </c>
      <c r="N61" s="44" t="n">
        <f aca="false">((G57-G61)/($C64*$F$1))/(N53-N57)</f>
        <v>0.000716481814358562</v>
      </c>
      <c r="O61" s="45" t="n">
        <f aca="false">((H57-H61)/($C64*$F$1))/(O53-O57)</f>
        <v>0.000410560741995232</v>
      </c>
      <c r="Q61" s="46"/>
      <c r="R61" s="46"/>
      <c r="S61" s="46"/>
      <c r="T61" s="46"/>
      <c r="AK61" s="47" t="n">
        <f aca="false">AVERAGE(J61:L61)</f>
        <v>0.00124856675866515</v>
      </c>
      <c r="AL61" s="47"/>
      <c r="AM61" s="47"/>
      <c r="AN61" s="47"/>
      <c r="AO61" s="47" t="n">
        <f aca="false">AVERAGE(M61:O61)</f>
        <v>0.000848447767142744</v>
      </c>
      <c r="AP61" s="47"/>
      <c r="AQ61" s="47"/>
      <c r="AR61" s="47"/>
    </row>
    <row r="62" customFormat="false" ht="13.5" hidden="false" customHeight="false" outlineLevel="0" collapsed="false">
      <c r="A62" s="10"/>
    </row>
    <row r="63" customFormat="false" ht="13.5" hidden="false" customHeight="false" outlineLevel="0" collapsed="false">
      <c r="A63" s="10"/>
      <c r="C63" s="12" t="s">
        <v>15</v>
      </c>
      <c r="D63" s="12"/>
      <c r="E63" s="12"/>
      <c r="F63" s="12"/>
      <c r="G63" s="12"/>
      <c r="H63" s="12"/>
      <c r="J63" s="12" t="s">
        <v>16</v>
      </c>
      <c r="K63" s="12"/>
      <c r="L63" s="12"/>
      <c r="M63" s="12"/>
      <c r="N63" s="12"/>
      <c r="O63" s="12"/>
      <c r="Q63" s="12" t="s">
        <v>17</v>
      </c>
      <c r="R63" s="12"/>
      <c r="S63" s="12"/>
      <c r="T63" s="12"/>
    </row>
    <row r="64" customFormat="false" ht="13.5" hidden="false" customHeight="false" outlineLevel="0" collapsed="false">
      <c r="A64" s="10"/>
      <c r="C64" s="8" t="n">
        <v>37</v>
      </c>
      <c r="D64" s="8"/>
      <c r="E64" s="8"/>
      <c r="F64" s="8"/>
      <c r="G64" s="8"/>
      <c r="H64" s="8"/>
      <c r="I64" s="31"/>
      <c r="J64" s="49" t="n">
        <f aca="false">C64*(J52-J56)/(C56-C60)</f>
        <v>78.3898305084746</v>
      </c>
      <c r="K64" s="50" t="n">
        <f aca="false">C64*(K52-K56)/(D56-D60)</f>
        <v>115.111111111111</v>
      </c>
      <c r="L64" s="50" t="n">
        <f aca="false">$C64*(L52-L56)/(E56-E60)</f>
        <v>209.666666666667</v>
      </c>
      <c r="M64" s="50" t="n">
        <f aca="false">$C64*(M52-M56)/(G56-G60)</f>
        <v>349.444444444444</v>
      </c>
      <c r="N64" s="50" t="n">
        <f aca="false">$C64*(N52-N56)/(H56-H60)</f>
        <v>211.428571428571</v>
      </c>
      <c r="O64" s="51" t="n">
        <f aca="false">C64*(O52-O56)/(H56-H60)</f>
        <v>188.775510204082</v>
      </c>
      <c r="Q64" s="20" t="str">
        <f aca="false">IF(V53&gt;0,CONCATENATE("less ",V53),CONCATENATE("more ",V53))</f>
        <v>more -0.3</v>
      </c>
      <c r="R64" s="20"/>
      <c r="S64" s="52" t="str">
        <f aca="false">IF(X53&gt;0,CONCATENATE("less ",X53),CONCATENATE("more ",X53))</f>
        <v>less 0.2</v>
      </c>
      <c r="T64" s="52"/>
    </row>
    <row r="65" customFormat="false" ht="13.5" hidden="false" customHeight="false" outlineLevel="0" collapsed="false">
      <c r="A65" s="10"/>
      <c r="C65" s="8"/>
      <c r="D65" s="8"/>
      <c r="E65" s="8"/>
      <c r="F65" s="8"/>
      <c r="G65" s="8"/>
      <c r="H65" s="8"/>
      <c r="I65" s="31"/>
      <c r="J65" s="49" t="n">
        <f aca="false">C64*(J53-J57)/(C57-C61)</f>
        <v>136.029411764706</v>
      </c>
      <c r="K65" s="50" t="n">
        <f aca="false">C64*(K53-K57)/(D57-D61)</f>
        <v>107.916666666667</v>
      </c>
      <c r="L65" s="50" t="n">
        <f aca="false">$C64*(L53-L57)/(E57-E61)</f>
        <v>196.808510638298</v>
      </c>
      <c r="M65" s="50" t="n">
        <f aca="false">$C64*(M53-M57)/(G57-G61)</f>
        <v>215.116279069767</v>
      </c>
      <c r="N65" s="50" t="n">
        <f aca="false">$C64*(N53-N57)/(H57-H61)</f>
        <v>470.90909090909</v>
      </c>
      <c r="O65" s="51" t="n">
        <f aca="false">C64*(O53-O57)/(H57-H61)</f>
        <v>420.454545454545</v>
      </c>
      <c r="Q65" s="52" t="str">
        <f aca="false">IF(V54&gt;0,CONCATENATE("less ",V54),CONCATENATE("more ",V54))</f>
        <v>more -0.1</v>
      </c>
      <c r="R65" s="52"/>
      <c r="S65" s="52" t="str">
        <f aca="false">IF(X54&gt;0,CONCATENATE("less ",X54),CONCATENATE("more ",X54))</f>
        <v>less 0.2</v>
      </c>
      <c r="T65" s="52"/>
    </row>
    <row r="66" customFormat="false" ht="30" hidden="false" customHeight="true" outlineLevel="0" collapsed="false">
      <c r="A66" s="53"/>
      <c r="C66" s="54"/>
      <c r="D66" s="54"/>
      <c r="E66" s="54"/>
      <c r="F66" s="54"/>
      <c r="G66" s="54"/>
      <c r="H66" s="54"/>
      <c r="I66" s="31"/>
      <c r="J66" s="55"/>
      <c r="K66" s="55"/>
      <c r="L66" s="55"/>
      <c r="M66" s="55"/>
      <c r="N66" s="55"/>
      <c r="O66" s="55"/>
      <c r="Q66" s="30"/>
      <c r="R66" s="30"/>
      <c r="S66" s="30"/>
      <c r="T66" s="30"/>
    </row>
    <row r="67" customFormat="false" ht="13.5" hidden="false" customHeight="true" outlineLevel="0" collapsed="false">
      <c r="A67" s="10" t="n">
        <v>8402</v>
      </c>
      <c r="C67" s="11" t="s">
        <v>4</v>
      </c>
      <c r="D67" s="11"/>
      <c r="E67" s="11"/>
      <c r="F67" s="11"/>
      <c r="G67" s="11"/>
      <c r="H67" s="11"/>
      <c r="J67" s="12" t="s">
        <v>5</v>
      </c>
      <c r="K67" s="12"/>
      <c r="L67" s="12"/>
      <c r="M67" s="12"/>
      <c r="N67" s="12"/>
      <c r="O67" s="12"/>
      <c r="Q67" s="12" t="s">
        <v>6</v>
      </c>
      <c r="R67" s="12"/>
      <c r="S67" s="12"/>
      <c r="T67" s="12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0"/>
      <c r="C68" s="14"/>
      <c r="D68" s="14"/>
      <c r="E68" s="14"/>
      <c r="F68" s="15"/>
      <c r="G68" s="15"/>
      <c r="H68" s="15"/>
      <c r="J68" s="16" t="n">
        <v>2.7</v>
      </c>
      <c r="K68" s="17" t="n">
        <v>3</v>
      </c>
      <c r="L68" s="17" t="n">
        <v>2.75</v>
      </c>
      <c r="M68" s="18" t="n">
        <v>2.75</v>
      </c>
      <c r="N68" s="18" t="n">
        <v>3</v>
      </c>
      <c r="O68" s="19" t="n">
        <v>2.7</v>
      </c>
      <c r="Q68" s="20" t="n">
        <f aca="false">MIN(J80:L80)/$M$1</f>
        <v>-19.520697167756</v>
      </c>
      <c r="R68" s="20"/>
      <c r="S68" s="20" t="n">
        <f aca="false">MIN(M80:O80)/$M$1</f>
        <v>-12.0888888888889</v>
      </c>
      <c r="T68" s="20"/>
      <c r="V68" s="21" t="s">
        <v>8</v>
      </c>
      <c r="W68" s="21"/>
      <c r="X68" s="21"/>
    </row>
    <row r="69" customFormat="false" ht="13.5" hidden="false" customHeight="true" outlineLevel="0" collapsed="false">
      <c r="A69" s="10"/>
      <c r="C69" s="22"/>
      <c r="D69" s="22"/>
      <c r="E69" s="22"/>
      <c r="F69" s="23"/>
      <c r="G69" s="23"/>
      <c r="H69" s="23"/>
      <c r="J69" s="24" t="n">
        <v>2.7</v>
      </c>
      <c r="K69" s="25" t="n">
        <v>3</v>
      </c>
      <c r="L69" s="25" t="n">
        <v>2.7</v>
      </c>
      <c r="M69" s="26" t="n">
        <v>2.7</v>
      </c>
      <c r="N69" s="26" t="n">
        <v>3</v>
      </c>
      <c r="O69" s="27" t="n">
        <v>2.7</v>
      </c>
      <c r="Q69" s="28" t="n">
        <f aca="false">MIN(J81:L81)/$M$1</f>
        <v>-3.22061191626409</v>
      </c>
      <c r="R69" s="28"/>
      <c r="S69" s="28" t="n">
        <f aca="false">MIN(M81:O81)/$M$1</f>
        <v>-9.760348583878</v>
      </c>
      <c r="T69" s="28"/>
      <c r="V69" s="29" t="n">
        <f aca="false">ROUNDUP(INDEX(LINEST(J76:L76,V67:X67,,1),1,1)*$Y$1,1)</f>
        <v>-0.4</v>
      </c>
      <c r="W69" s="29"/>
      <c r="X69" s="30" t="n">
        <f aca="false">-ROUNDUP(INDEX(LINEST(M76:O76,V67:X67,,1),1,1)*$Y$1,1)</f>
        <v>-0.1</v>
      </c>
    </row>
    <row r="70" customFormat="false" ht="13.5" hidden="false" customHeight="true" outlineLevel="0" collapsed="false">
      <c r="A70" s="10"/>
      <c r="J70" s="31"/>
      <c r="K70" s="31"/>
      <c r="L70" s="31"/>
      <c r="M70" s="31"/>
      <c r="N70" s="31"/>
      <c r="O70" s="31"/>
      <c r="V70" s="29" t="n">
        <f aca="false">ROUNDUP(INDEX(LINEST(J77:L77,V67:X67,,1),1,1)*$Y$1,1)</f>
        <v>-0.4</v>
      </c>
      <c r="W70" s="29"/>
      <c r="X70" s="30" t="n">
        <f aca="false">-ROUNDUP(INDEX(LINEST(M77:O77,V67:X67,,1),1,1)*$Y$1,1)</f>
        <v>0.1</v>
      </c>
    </row>
    <row r="71" customFormat="false" ht="13.5" hidden="false" customHeight="true" outlineLevel="0" collapsed="false">
      <c r="A71" s="10"/>
      <c r="C71" s="12"/>
      <c r="D71" s="12"/>
      <c r="E71" s="12"/>
      <c r="F71" s="12"/>
      <c r="G71" s="12"/>
      <c r="H71" s="12"/>
      <c r="J71" s="32" t="s">
        <v>10</v>
      </c>
      <c r="K71" s="32"/>
      <c r="L71" s="32"/>
      <c r="M71" s="32"/>
      <c r="N71" s="32"/>
      <c r="O71" s="32"/>
      <c r="Q71" s="12" t="s">
        <v>11</v>
      </c>
      <c r="R71" s="12"/>
      <c r="S71" s="12"/>
      <c r="T71" s="12"/>
    </row>
    <row r="72" customFormat="false" ht="13.5" hidden="false" customHeight="true" outlineLevel="0" collapsed="false">
      <c r="A72" s="10"/>
      <c r="C72" s="16" t="n">
        <v>2.96</v>
      </c>
      <c r="D72" s="17" t="n">
        <v>2.87</v>
      </c>
      <c r="E72" s="17" t="n">
        <v>3.07</v>
      </c>
      <c r="F72" s="18" t="n">
        <v>2.98</v>
      </c>
      <c r="G72" s="18" t="n">
        <v>2.97</v>
      </c>
      <c r="H72" s="19" t="n">
        <v>2.99</v>
      </c>
      <c r="J72" s="33" t="n">
        <v>0.2</v>
      </c>
      <c r="K72" s="34" t="n">
        <v>0.2</v>
      </c>
      <c r="L72" s="34" t="n">
        <v>0.2</v>
      </c>
      <c r="M72" s="35" t="n">
        <v>0.2</v>
      </c>
      <c r="N72" s="35" t="n">
        <v>0.2</v>
      </c>
      <c r="O72" s="36" t="n">
        <v>0.2</v>
      </c>
      <c r="Q72" s="37" t="n">
        <f aca="false">SUM(J76:O76)/SUM(J76:O77)</f>
        <v>0.144257613537071</v>
      </c>
      <c r="R72" s="37"/>
      <c r="S72" s="37"/>
      <c r="T72" s="37"/>
    </row>
    <row r="73" customFormat="false" ht="13.5" hidden="false" customHeight="true" outlineLevel="0" collapsed="false">
      <c r="A73" s="10"/>
      <c r="C73" s="24" t="n">
        <v>2.76</v>
      </c>
      <c r="D73" s="25" t="n">
        <v>2.78</v>
      </c>
      <c r="E73" s="25" t="n">
        <v>2.79</v>
      </c>
      <c r="F73" s="26" t="n">
        <v>2.84</v>
      </c>
      <c r="G73" s="26" t="n">
        <v>2.73</v>
      </c>
      <c r="H73" s="27" t="n">
        <v>2.81</v>
      </c>
      <c r="J73" s="39" t="n">
        <v>0.2</v>
      </c>
      <c r="K73" s="40" t="n">
        <v>0.2</v>
      </c>
      <c r="L73" s="40" t="n">
        <v>0.2</v>
      </c>
      <c r="M73" s="41" t="n">
        <v>0.2</v>
      </c>
      <c r="N73" s="41" t="n">
        <v>0.2</v>
      </c>
      <c r="O73" s="42" t="n">
        <v>0.2</v>
      </c>
      <c r="Q73" s="37" t="n">
        <f aca="false">SUM(J77:O77)/SUM(J76:O77)</f>
        <v>0.855742386462929</v>
      </c>
      <c r="R73" s="37"/>
      <c r="S73" s="37"/>
      <c r="T73" s="37"/>
    </row>
    <row r="74" customFormat="false" ht="13.5" hidden="false" customHeight="false" outlineLevel="0" collapsed="false">
      <c r="A74" s="10"/>
      <c r="C74" s="31"/>
      <c r="D74" s="31"/>
      <c r="E74" s="31"/>
      <c r="F74" s="31"/>
      <c r="G74" s="31"/>
      <c r="H74" s="31"/>
    </row>
    <row r="75" customFormat="false" ht="13.5" hidden="false" customHeight="false" outlineLevel="0" collapsed="false">
      <c r="A75" s="10"/>
      <c r="C75" s="32" t="s">
        <v>12</v>
      </c>
      <c r="D75" s="32"/>
      <c r="E75" s="32"/>
      <c r="F75" s="32"/>
      <c r="G75" s="32"/>
      <c r="H75" s="32"/>
      <c r="J75" s="12" t="s">
        <v>13</v>
      </c>
      <c r="K75" s="12"/>
      <c r="L75" s="12"/>
      <c r="M75" s="12"/>
      <c r="N75" s="12"/>
      <c r="O75" s="12"/>
      <c r="Q75" s="12" t="s">
        <v>14</v>
      </c>
      <c r="R75" s="12"/>
      <c r="S75" s="12"/>
      <c r="T75" s="12"/>
      <c r="AK75" s="12" t="s">
        <v>13</v>
      </c>
      <c r="AL75" s="12"/>
      <c r="AM75" s="12"/>
      <c r="AN75" s="12"/>
      <c r="AO75" s="12"/>
      <c r="AP75" s="12"/>
      <c r="AQ75" s="12"/>
      <c r="AR75" s="12"/>
    </row>
    <row r="76" customFormat="false" ht="13.5" hidden="false" customHeight="false" outlineLevel="0" collapsed="false">
      <c r="A76" s="10"/>
      <c r="C76" s="16" t="n">
        <v>2.39</v>
      </c>
      <c r="D76" s="17" t="n">
        <v>3.04</v>
      </c>
      <c r="E76" s="17" t="n">
        <v>3.61</v>
      </c>
      <c r="F76" s="18" t="n">
        <v>2.98</v>
      </c>
      <c r="G76" s="18" t="n">
        <v>3.22</v>
      </c>
      <c r="H76" s="19" t="n">
        <v>2.94</v>
      </c>
      <c r="J76" s="43" t="n">
        <f aca="false">((C72-C76)/($C80*$F$1))/(J68-J72)</f>
        <v>0.00122993267736924</v>
      </c>
      <c r="K76" s="44" t="n">
        <f aca="false">((D72-D76)/($C80*$F$1))/(K68-K72)</f>
        <v>-0.000327519666592686</v>
      </c>
      <c r="L76" s="44" t="n">
        <f aca="false">((E72-E76)/($C80*$F$1))/(L68-L72)</f>
        <v>-0.00114235233192189</v>
      </c>
      <c r="M76" s="44" t="n">
        <f aca="false">((F72-F76)/($C80*$F$1))/(M68-M72)</f>
        <v>0</v>
      </c>
      <c r="N76" s="44" t="n">
        <f aca="false">((G72-G76)/($C80*$F$1))/(N68-N72)</f>
        <v>-0.000481646568518656</v>
      </c>
      <c r="O76" s="45" t="n">
        <f aca="false">((H72-H76)/($C80*$F$1))/(O68-O72)</f>
        <v>0.000107888831348179</v>
      </c>
      <c r="Q76" s="46" t="n">
        <f aca="false">SUM(J76:L77)/SUM(J76:O77)</f>
        <v>0.408008865588305</v>
      </c>
      <c r="R76" s="46"/>
      <c r="S76" s="46" t="n">
        <f aca="false">SUM(M76:O77)/SUM(J76:O77)</f>
        <v>0.591991134411696</v>
      </c>
      <c r="T76" s="46"/>
      <c r="AK76" s="47" t="n">
        <f aca="false">AVERAGE(J76:L76)</f>
        <v>-7.99797737151137E-005</v>
      </c>
      <c r="AL76" s="47"/>
      <c r="AM76" s="47"/>
      <c r="AN76" s="47"/>
      <c r="AO76" s="47" t="n">
        <f aca="false">AVERAGE(M76:O76)</f>
        <v>-0.000124585912390159</v>
      </c>
      <c r="AP76" s="47"/>
      <c r="AQ76" s="47"/>
      <c r="AR76" s="47"/>
    </row>
    <row r="77" customFormat="false" ht="13.5" hidden="false" customHeight="false" outlineLevel="0" collapsed="false">
      <c r="A77" s="10"/>
      <c r="C77" s="24" t="n">
        <v>2.56</v>
      </c>
      <c r="D77" s="25" t="n">
        <v>2.75</v>
      </c>
      <c r="E77" s="25" t="n">
        <v>3.71</v>
      </c>
      <c r="F77" s="26" t="n">
        <v>3.11</v>
      </c>
      <c r="G77" s="26" t="n">
        <v>3.16</v>
      </c>
      <c r="H77" s="27" t="n">
        <v>3.15</v>
      </c>
      <c r="J77" s="43" t="n">
        <f aca="false">((C73-C77)/($C80*$F$1))/(J69-J73)</f>
        <v>0.000431555325392715</v>
      </c>
      <c r="K77" s="44" t="n">
        <f aca="false">((D73-D77)/($C80*$F$1))/(K69-K73)</f>
        <v>5.77975882222383E-005</v>
      </c>
      <c r="L77" s="44" t="n">
        <f aca="false">((E73-E77)/($C80*$F$1))/(L69-L73)</f>
        <v>-0.00198515449680649</v>
      </c>
      <c r="M77" s="44" t="n">
        <f aca="false">((F73-F77)/($C80*$F$1))/(M69-M73)</f>
        <v>-0.000582599689280166</v>
      </c>
      <c r="N77" s="44" t="n">
        <f aca="false">((G73-G77)/($C80*$F$1))/(N69-N73)</f>
        <v>-0.000828432097852088</v>
      </c>
      <c r="O77" s="45" t="n">
        <f aca="false">((H73-H77)/($C80*$F$1))/(O69-O73)</f>
        <v>-0.000733644053167616</v>
      </c>
      <c r="Q77" s="46"/>
      <c r="R77" s="46"/>
      <c r="S77" s="46"/>
      <c r="T77" s="46"/>
      <c r="AK77" s="47" t="n">
        <f aca="false">AVERAGE(J77:L77)</f>
        <v>-0.000498600527730512</v>
      </c>
      <c r="AL77" s="47"/>
      <c r="AM77" s="47"/>
      <c r="AN77" s="47"/>
      <c r="AO77" s="47" t="n">
        <f aca="false">AVERAGE(M77:O77)</f>
        <v>-0.000714891946766623</v>
      </c>
      <c r="AP77" s="47"/>
      <c r="AQ77" s="47"/>
      <c r="AR77" s="47"/>
    </row>
    <row r="78" customFormat="false" ht="13.5" hidden="false" customHeight="false" outlineLevel="0" collapsed="false">
      <c r="A78" s="10"/>
    </row>
    <row r="79" customFormat="false" ht="13.5" hidden="false" customHeight="false" outlineLevel="0" collapsed="false">
      <c r="A79" s="10"/>
      <c r="C79" s="12" t="s">
        <v>15</v>
      </c>
      <c r="D79" s="12"/>
      <c r="E79" s="12"/>
      <c r="F79" s="12"/>
      <c r="G79" s="12"/>
      <c r="H79" s="12"/>
      <c r="J79" s="12" t="s">
        <v>16</v>
      </c>
      <c r="K79" s="12"/>
      <c r="L79" s="12"/>
      <c r="M79" s="12"/>
      <c r="N79" s="12"/>
      <c r="O79" s="12"/>
      <c r="Q79" s="12" t="s">
        <v>17</v>
      </c>
      <c r="R79" s="12"/>
      <c r="S79" s="12"/>
      <c r="T79" s="12"/>
    </row>
    <row r="80" customFormat="false" ht="13.5" hidden="false" customHeight="false" outlineLevel="0" collapsed="false">
      <c r="A80" s="10"/>
      <c r="C80" s="48" t="n">
        <v>32</v>
      </c>
      <c r="D80" s="48"/>
      <c r="E80" s="48"/>
      <c r="F80" s="48"/>
      <c r="G80" s="48"/>
      <c r="H80" s="48"/>
      <c r="I80" s="31"/>
      <c r="J80" s="49" t="n">
        <f aca="false">C80*(J68-J72)/(C72-C76)</f>
        <v>140.350877192982</v>
      </c>
      <c r="K80" s="50" t="n">
        <f aca="false">C80*(K68-K72)/(D72-D76)</f>
        <v>-527.058823529412</v>
      </c>
      <c r="L80" s="50" t="n">
        <f aca="false">$C80*(L68-L72)/(E72-E76)</f>
        <v>-151.111111111111</v>
      </c>
      <c r="M80" s="50" t="n">
        <f aca="false">$C80*(M68-M72)/(G72-G76)</f>
        <v>-326.4</v>
      </c>
      <c r="N80" s="50" t="n">
        <f aca="false">$C80*(N68-N72)/(H72-H76)</f>
        <v>1791.99999999999</v>
      </c>
      <c r="O80" s="51" t="n">
        <f aca="false">C80*(O68-O72)/(H72-H76)</f>
        <v>1599.99999999999</v>
      </c>
      <c r="Q80" s="20" t="str">
        <f aca="false">IF(V69&gt;0,CONCATENATE("less ",V69),CONCATENATE("more ",V69))</f>
        <v>more -0.4</v>
      </c>
      <c r="R80" s="20"/>
      <c r="S80" s="52" t="str">
        <f aca="false">IF(X69&gt;0,CONCATENATE("less ",X69),CONCATENATE("more ",X69))</f>
        <v>more -0.1</v>
      </c>
      <c r="T80" s="52"/>
    </row>
    <row r="81" customFormat="false" ht="13.5" hidden="false" customHeight="false" outlineLevel="0" collapsed="false">
      <c r="A81" s="10"/>
      <c r="C81" s="48"/>
      <c r="D81" s="48"/>
      <c r="E81" s="48"/>
      <c r="F81" s="48"/>
      <c r="G81" s="48"/>
      <c r="H81" s="48"/>
      <c r="I81" s="31"/>
      <c r="J81" s="49" t="n">
        <f aca="false">C80*(J69-J73)/(C73-C77)</f>
        <v>400.000000000001</v>
      </c>
      <c r="K81" s="50" t="n">
        <f aca="false">C80*(K69-K73)/(D73-D77)</f>
        <v>2986.66666666669</v>
      </c>
      <c r="L81" s="50" t="n">
        <f aca="false">$C80*(L69-L73)/(E73-E77)</f>
        <v>-86.9565217391304</v>
      </c>
      <c r="M81" s="50" t="n">
        <f aca="false">$C80*(M69-M73)/(G73-G77)</f>
        <v>-186.046511627907</v>
      </c>
      <c r="N81" s="50" t="n">
        <f aca="false">$C80*(N69-N73)/(H73-H77)</f>
        <v>-263.529411764706</v>
      </c>
      <c r="O81" s="51" t="n">
        <f aca="false">C80*(O69-O73)/(H73-H77)</f>
        <v>-235.294117647059</v>
      </c>
      <c r="Q81" s="52" t="str">
        <f aca="false">IF(V70&gt;0,CONCATENATE("less ",V70),CONCATENATE("more ",V70))</f>
        <v>more -0.4</v>
      </c>
      <c r="R81" s="52"/>
      <c r="S81" s="52" t="str">
        <f aca="false">IF(X70&gt;0,CONCATENATE("less ",X70),CONCATENATE("more ",X70))</f>
        <v>less 0.1</v>
      </c>
      <c r="T81" s="52"/>
    </row>
    <row r="82" customFormat="false" ht="30" hidden="false" customHeight="true" outlineLevel="0" collapsed="false">
      <c r="A82" s="53"/>
      <c r="C82" s="54"/>
      <c r="D82" s="54"/>
      <c r="E82" s="54"/>
      <c r="F82" s="54"/>
      <c r="G82" s="54"/>
      <c r="H82" s="54"/>
      <c r="I82" s="31"/>
      <c r="J82" s="55"/>
      <c r="K82" s="55"/>
      <c r="L82" s="55"/>
      <c r="M82" s="55"/>
      <c r="N82" s="55"/>
      <c r="O82" s="55"/>
      <c r="Q82" s="30"/>
      <c r="R82" s="30"/>
      <c r="S82" s="30"/>
      <c r="T82" s="30"/>
    </row>
    <row r="83" customFormat="false" ht="13.5" hidden="false" customHeight="true" outlineLevel="0" collapsed="false">
      <c r="A83" s="10" t="n">
        <v>8403</v>
      </c>
      <c r="C83" s="11" t="s">
        <v>4</v>
      </c>
      <c r="D83" s="11"/>
      <c r="E83" s="11"/>
      <c r="F83" s="11"/>
      <c r="G83" s="11"/>
      <c r="H83" s="11"/>
      <c r="J83" s="12" t="s">
        <v>5</v>
      </c>
      <c r="K83" s="12"/>
      <c r="L83" s="12"/>
      <c r="M83" s="12"/>
      <c r="N83" s="12"/>
      <c r="O83" s="12"/>
      <c r="Q83" s="12" t="s">
        <v>6</v>
      </c>
      <c r="R83" s="12"/>
      <c r="S83" s="12"/>
      <c r="T83" s="12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0"/>
      <c r="C84" s="14"/>
      <c r="D84" s="14"/>
      <c r="E84" s="14"/>
      <c r="F84" s="15"/>
      <c r="G84" s="15"/>
      <c r="H84" s="15"/>
      <c r="J84" s="16" t="n">
        <v>2.7</v>
      </c>
      <c r="K84" s="17" t="n">
        <v>3</v>
      </c>
      <c r="L84" s="17" t="n">
        <v>2.75</v>
      </c>
      <c r="M84" s="18" t="n">
        <v>2.75</v>
      </c>
      <c r="N84" s="18" t="n">
        <v>3</v>
      </c>
      <c r="O84" s="19" t="n">
        <v>2.7</v>
      </c>
      <c r="Q84" s="20" t="n">
        <f aca="false">MIN(J96:L96)/$M$1</f>
        <v>-4.98751560549313</v>
      </c>
      <c r="R84" s="20"/>
      <c r="S84" s="20" t="n">
        <f aca="false">MIN(M96:O96)/$M$1</f>
        <v>49.3209876543211</v>
      </c>
      <c r="T84" s="20"/>
      <c r="V84" s="21" t="s">
        <v>8</v>
      </c>
      <c r="W84" s="21"/>
      <c r="X84" s="21"/>
    </row>
    <row r="85" customFormat="false" ht="13.5" hidden="false" customHeight="true" outlineLevel="0" collapsed="false">
      <c r="A85" s="10"/>
      <c r="C85" s="22"/>
      <c r="D85" s="22"/>
      <c r="E85" s="22"/>
      <c r="F85" s="23"/>
      <c r="G85" s="23"/>
      <c r="H85" s="23"/>
      <c r="J85" s="24" t="n">
        <v>2.7</v>
      </c>
      <c r="K85" s="25" t="n">
        <v>3</v>
      </c>
      <c r="L85" s="25" t="n">
        <v>2.7</v>
      </c>
      <c r="M85" s="26" t="n">
        <v>2.7</v>
      </c>
      <c r="N85" s="26" t="n">
        <v>3</v>
      </c>
      <c r="O85" s="27" t="n">
        <v>2.7</v>
      </c>
      <c r="Q85" s="28" t="n">
        <f aca="false">MIN(J97:L97)/$M$1</f>
        <v>-29.0123456790124</v>
      </c>
      <c r="R85" s="28"/>
      <c r="S85" s="28" t="e">
        <f aca="false">MIN(M97:O97)/$M$1</f>
        <v>#DIV/0!</v>
      </c>
      <c r="T85" s="28"/>
      <c r="V85" s="29" t="n">
        <f aca="false">ROUNDUP(INDEX(LINEST(J92:L92,V83:X83,,1),1,1)*$Y$1,1)</f>
        <v>-0.6</v>
      </c>
      <c r="W85" s="29"/>
      <c r="X85" s="30" t="n">
        <f aca="false">-ROUNDUP(INDEX(LINEST(M92:O92,V83:X83,,1),1,1)*$Y$1,1)</f>
        <v>0.1</v>
      </c>
    </row>
    <row r="86" customFormat="false" ht="13.5" hidden="false" customHeight="true" outlineLevel="0" collapsed="false">
      <c r="A86" s="10"/>
      <c r="J86" s="31"/>
      <c r="K86" s="31"/>
      <c r="L86" s="31"/>
      <c r="M86" s="31"/>
      <c r="N86" s="31"/>
      <c r="O86" s="31"/>
      <c r="V86" s="29" t="n">
        <f aca="false">ROUNDUP(INDEX(LINEST(J93:L93,V83:X83,,1),1,1)*$Y$1,1)</f>
        <v>-0.2</v>
      </c>
      <c r="W86" s="29"/>
      <c r="X86" s="30" t="n">
        <f aca="false">-ROUNDUP(INDEX(LINEST(M93:O93,V83:X83,,1),1,1)*$Y$1,1)</f>
        <v>0.2</v>
      </c>
    </row>
    <row r="87" customFormat="false" ht="13.5" hidden="false" customHeight="true" outlineLevel="0" collapsed="false">
      <c r="A87" s="10"/>
      <c r="C87" s="12" t="s">
        <v>9</v>
      </c>
      <c r="D87" s="12"/>
      <c r="E87" s="12"/>
      <c r="F87" s="12"/>
      <c r="G87" s="12"/>
      <c r="H87" s="12"/>
      <c r="J87" s="32" t="s">
        <v>10</v>
      </c>
      <c r="K87" s="32"/>
      <c r="L87" s="32"/>
      <c r="M87" s="32"/>
      <c r="N87" s="32"/>
      <c r="O87" s="32"/>
      <c r="Q87" s="12" t="s">
        <v>11</v>
      </c>
      <c r="R87" s="12"/>
      <c r="S87" s="12"/>
      <c r="T87" s="12"/>
    </row>
    <row r="88" customFormat="false" ht="13.5" hidden="false" customHeight="true" outlineLevel="0" collapsed="false">
      <c r="A88" s="10"/>
      <c r="C88" s="16" t="n">
        <v>2.99</v>
      </c>
      <c r="D88" s="17" t="n">
        <v>3.08</v>
      </c>
      <c r="E88" s="17" t="n">
        <v>3.05</v>
      </c>
      <c r="F88" s="18" t="n">
        <v>3.04</v>
      </c>
      <c r="G88" s="18" t="n">
        <v>2.96</v>
      </c>
      <c r="H88" s="19" t="n">
        <v>2.9</v>
      </c>
      <c r="J88" s="33" t="n">
        <v>0.2</v>
      </c>
      <c r="K88" s="34" t="n">
        <v>0.2</v>
      </c>
      <c r="L88" s="34" t="n">
        <v>0.2</v>
      </c>
      <c r="M88" s="35" t="n">
        <v>0.2</v>
      </c>
      <c r="N88" s="35" t="n">
        <v>0.2</v>
      </c>
      <c r="O88" s="36" t="n">
        <v>0.2</v>
      </c>
      <c r="Q88" s="37" t="n">
        <f aca="false">SUM(J92:O92)/SUM(J92:O93)</f>
        <v>0.732055750001879</v>
      </c>
      <c r="R88" s="37"/>
      <c r="S88" s="37"/>
      <c r="T88" s="37"/>
    </row>
    <row r="89" customFormat="false" ht="13.5" hidden="false" customHeight="true" outlineLevel="0" collapsed="false">
      <c r="A89" s="10"/>
      <c r="C89" s="24" t="n">
        <v>2.79</v>
      </c>
      <c r="D89" s="25" t="n">
        <v>2.83</v>
      </c>
      <c r="E89" s="25" t="n">
        <v>2.81</v>
      </c>
      <c r="F89" s="26" t="n">
        <v>2.74</v>
      </c>
      <c r="G89" s="26" t="n">
        <v>2.74</v>
      </c>
      <c r="H89" s="27" t="n">
        <v>2.79</v>
      </c>
      <c r="J89" s="39" t="n">
        <v>0.2</v>
      </c>
      <c r="K89" s="40" t="n">
        <v>0.2</v>
      </c>
      <c r="L89" s="40" t="n">
        <v>0.2</v>
      </c>
      <c r="M89" s="41" t="n">
        <v>0.2</v>
      </c>
      <c r="N89" s="41" t="n">
        <v>0.2</v>
      </c>
      <c r="O89" s="42" t="n">
        <v>0.2</v>
      </c>
      <c r="Q89" s="37" t="n">
        <f aca="false">SUM(J93:O93)/SUM(J92:O93)</f>
        <v>0.267944249998121</v>
      </c>
      <c r="R89" s="37"/>
      <c r="S89" s="37"/>
      <c r="T89" s="37"/>
    </row>
    <row r="90" customFormat="false" ht="13.5" hidden="false" customHeight="false" outlineLevel="0" collapsed="false">
      <c r="A90" s="10"/>
      <c r="C90" s="31"/>
      <c r="D90" s="31"/>
      <c r="E90" s="31"/>
      <c r="F90" s="31"/>
      <c r="G90" s="31"/>
      <c r="H90" s="31"/>
    </row>
    <row r="91" customFormat="false" ht="13.5" hidden="false" customHeight="false" outlineLevel="0" collapsed="false">
      <c r="A91" s="10"/>
      <c r="C91" s="32" t="s">
        <v>12</v>
      </c>
      <c r="D91" s="32"/>
      <c r="E91" s="32"/>
      <c r="F91" s="32"/>
      <c r="G91" s="32"/>
      <c r="H91" s="32"/>
      <c r="J91" s="12" t="s">
        <v>13</v>
      </c>
      <c r="K91" s="12"/>
      <c r="L91" s="12"/>
      <c r="M91" s="12"/>
      <c r="N91" s="12"/>
      <c r="O91" s="12"/>
      <c r="Q91" s="12" t="s">
        <v>14</v>
      </c>
      <c r="R91" s="12"/>
      <c r="S91" s="12"/>
      <c r="T91" s="12"/>
      <c r="AK91" s="12" t="s">
        <v>13</v>
      </c>
      <c r="AL91" s="12"/>
      <c r="AM91" s="12"/>
      <c r="AN91" s="12"/>
      <c r="AO91" s="12"/>
      <c r="AP91" s="12"/>
      <c r="AQ91" s="12"/>
      <c r="AR91" s="12"/>
    </row>
    <row r="92" customFormat="false" ht="13.5" hidden="false" customHeight="false" outlineLevel="0" collapsed="false">
      <c r="A92" s="10"/>
      <c r="C92" s="16" t="n">
        <v>1.41</v>
      </c>
      <c r="D92" s="17" t="n">
        <v>2.21</v>
      </c>
      <c r="E92" s="17" t="n">
        <v>3.94</v>
      </c>
      <c r="F92" s="18" t="n">
        <v>2.61</v>
      </c>
      <c r="G92" s="18" t="n">
        <v>2.87</v>
      </c>
      <c r="H92" s="19" t="n">
        <v>2.84</v>
      </c>
      <c r="J92" s="43" t="n">
        <f aca="false">((C88-C92)/($C96*$F$1))/(J84-J88)</f>
        <v>0.00232121672892082</v>
      </c>
      <c r="K92" s="44" t="n">
        <f aca="false">((D88-D92)/($C96*$F$1))/(K84-K88)</f>
        <v>0.00114119493340931</v>
      </c>
      <c r="L92" s="44" t="n">
        <f aca="false">((E88-E92)/($C96*$F$1))/(L84-L88)</f>
        <v>-0.00128188315260581</v>
      </c>
      <c r="M92" s="44" t="n">
        <f aca="false">((F88-F92)/($C96*$F$1))/(M84-M88)</f>
        <v>0.000619336804067977</v>
      </c>
      <c r="N92" s="44" t="n">
        <f aca="false">((G88-G92)/($C96*$F$1))/(N84-N88)</f>
        <v>0.000118054648283721</v>
      </c>
      <c r="O92" s="45" t="n">
        <f aca="false">((H88-H92)/($C96*$F$1))/(O84-O88)</f>
        <v>8.81474707185121E-005</v>
      </c>
      <c r="Q92" s="46" t="n">
        <f aca="false">SUM(J92:L93)/SUM(J92:O93)</f>
        <v>0.824003667895144</v>
      </c>
      <c r="R92" s="46"/>
      <c r="S92" s="46" t="n">
        <f aca="false">SUM(M92:O93)/SUM(J92:O93)</f>
        <v>0.175996332104856</v>
      </c>
      <c r="T92" s="46"/>
      <c r="AK92" s="47" t="n">
        <f aca="false">AVERAGE(J92:L92)</f>
        <v>0.000726842836574771</v>
      </c>
      <c r="AL92" s="47"/>
      <c r="AM92" s="47"/>
      <c r="AN92" s="47"/>
      <c r="AO92" s="47" t="n">
        <f aca="false">AVERAGE(M92:O92)</f>
        <v>0.000275179641023404</v>
      </c>
      <c r="AP92" s="47"/>
      <c r="AQ92" s="47"/>
      <c r="AR92" s="47"/>
    </row>
    <row r="93" customFormat="false" ht="12.8" hidden="false" customHeight="false" outlineLevel="0" collapsed="false">
      <c r="A93" s="10"/>
      <c r="C93" s="24" t="n">
        <v>2.33</v>
      </c>
      <c r="D93" s="25" t="n">
        <v>2.26</v>
      </c>
      <c r="E93" s="25" t="n">
        <v>2.96</v>
      </c>
      <c r="F93" s="26" t="n">
        <v>2.5</v>
      </c>
      <c r="G93" s="26" t="n">
        <v>2.74</v>
      </c>
      <c r="H93" s="27" t="n">
        <v>3.1</v>
      </c>
      <c r="J93" s="43" t="n">
        <f aca="false">((C89-C93)/($C96*$F$1))/(J85-J89)</f>
        <v>0.000675797275508592</v>
      </c>
      <c r="K93" s="44" t="n">
        <f aca="false">((D89-D93)/($C96*$F$1))/(K85-K89)</f>
        <v>0.000747679439130237</v>
      </c>
      <c r="L93" s="44" t="n">
        <f aca="false">((E89-E93)/($C96*$F$1))/(L85-L89)</f>
        <v>-0.00022036867679628</v>
      </c>
      <c r="M93" s="44" t="n">
        <f aca="false">((F89-F93)/($C96*$F$1))/(M85-M89)</f>
        <v>0.000352589882874049</v>
      </c>
      <c r="N93" s="44" t="n">
        <f aca="false">((G89-G93)/($C96*$F$1))/(N85-N89)</f>
        <v>0</v>
      </c>
      <c r="O93" s="45" t="n">
        <f aca="false">((H89-H93)/($C96*$F$1))/(O85-O89)</f>
        <v>-0.000455428598712312</v>
      </c>
      <c r="Q93" s="46"/>
      <c r="R93" s="46"/>
      <c r="S93" s="46"/>
      <c r="T93" s="46"/>
      <c r="AK93" s="47" t="n">
        <f aca="false">AVERAGE(J93:L93)</f>
        <v>0.000401036012614183</v>
      </c>
      <c r="AL93" s="47"/>
      <c r="AM93" s="47"/>
      <c r="AN93" s="47"/>
      <c r="AO93" s="47" t="n">
        <f aca="false">AVERAGE(M93:O93)</f>
        <v>-3.42795719460879E-005</v>
      </c>
      <c r="AP93" s="47"/>
      <c r="AQ93" s="47"/>
      <c r="AR93" s="47"/>
    </row>
    <row r="94" customFormat="false" ht="13.5" hidden="false" customHeight="false" outlineLevel="0" collapsed="false">
      <c r="A94" s="10"/>
    </row>
    <row r="95" customFormat="false" ht="13.5" hidden="false" customHeight="false" outlineLevel="0" collapsed="false">
      <c r="A95" s="10"/>
      <c r="C95" s="12" t="s">
        <v>15</v>
      </c>
      <c r="D95" s="12"/>
      <c r="E95" s="12"/>
      <c r="F95" s="12"/>
      <c r="G95" s="12"/>
      <c r="H95" s="12"/>
      <c r="J95" s="12" t="s">
        <v>16</v>
      </c>
      <c r="K95" s="12"/>
      <c r="L95" s="12"/>
      <c r="M95" s="12"/>
      <c r="N95" s="12"/>
      <c r="O95" s="12"/>
      <c r="Q95" s="12" t="s">
        <v>17</v>
      </c>
      <c r="R95" s="12"/>
      <c r="S95" s="12"/>
      <c r="T95" s="12"/>
    </row>
    <row r="96" customFormat="false" ht="13.5" hidden="false" customHeight="false" outlineLevel="0" collapsed="false">
      <c r="A96" s="10"/>
      <c r="C96" s="48" t="n">
        <v>47</v>
      </c>
      <c r="D96" s="48"/>
      <c r="E96" s="48"/>
      <c r="F96" s="48"/>
      <c r="G96" s="48"/>
      <c r="H96" s="48"/>
      <c r="I96" s="31"/>
      <c r="J96" s="49" t="n">
        <f aca="false">C96*(J84-J88)/(C88-C92)</f>
        <v>74.3670886075949</v>
      </c>
      <c r="K96" s="50" t="n">
        <f aca="false">C96*(K84-K88)/(D88-D92)</f>
        <v>151.264367816092</v>
      </c>
      <c r="L96" s="50" t="n">
        <f aca="false">$C96*(L84-L88)/(E88-E92)</f>
        <v>-134.662921348315</v>
      </c>
      <c r="M96" s="50" t="n">
        <f aca="false">$C96*(M84-M88)/(G88-G92)</f>
        <v>1331.66666666667</v>
      </c>
      <c r="N96" s="50" t="n">
        <f aca="false">$C96*(N84-N88)/(H88-H92)</f>
        <v>2193.33333333333</v>
      </c>
      <c r="O96" s="51" t="n">
        <f aca="false">C96*(O84-O88)/(H88-H92)</f>
        <v>1958.33333333333</v>
      </c>
      <c r="Q96" s="20" t="str">
        <f aca="false">IF(V85&gt;0,CONCATENATE("less ",V85),CONCATENATE("more ",V85))</f>
        <v>more -0.6</v>
      </c>
      <c r="R96" s="20"/>
      <c r="S96" s="52" t="str">
        <f aca="false">IF(X85&gt;0,CONCATENATE("less ",X85),CONCATENATE("more ",X85))</f>
        <v>less 0.1</v>
      </c>
      <c r="T96" s="52"/>
    </row>
    <row r="97" customFormat="false" ht="13.5" hidden="false" customHeight="false" outlineLevel="0" collapsed="false">
      <c r="A97" s="10"/>
      <c r="C97" s="48"/>
      <c r="D97" s="48"/>
      <c r="E97" s="48"/>
      <c r="F97" s="48"/>
      <c r="G97" s="48"/>
      <c r="H97" s="48"/>
      <c r="I97" s="31"/>
      <c r="J97" s="49" t="n">
        <f aca="false">C96*(J85-J89)/(C89-C93)</f>
        <v>255.434782608696</v>
      </c>
      <c r="K97" s="50" t="n">
        <f aca="false">C96*(K85-K89)/(D89-D93)</f>
        <v>230.877192982456</v>
      </c>
      <c r="L97" s="50" t="n">
        <f aca="false">$C96*(L85-L89)/(E89-E93)</f>
        <v>-783.333333333334</v>
      </c>
      <c r="M97" s="50" t="e">
        <f aca="false">$C96*(M85-M89)/(G89-G93)</f>
        <v>#DIV/0!</v>
      </c>
      <c r="N97" s="50" t="n">
        <f aca="false">$C96*(N85-N89)/(H89-H93)</f>
        <v>-424.516129032258</v>
      </c>
      <c r="O97" s="51" t="n">
        <f aca="false">C96*(O85-O89)/(H89-H93)</f>
        <v>-379.032258064516</v>
      </c>
      <c r="Q97" s="52" t="str">
        <f aca="false">IF(V86&gt;0,CONCATENATE("less ",V86),CONCATENATE("more ",V86))</f>
        <v>more -0.2</v>
      </c>
      <c r="R97" s="52"/>
      <c r="S97" s="52" t="str">
        <f aca="false">IF(X86&gt;0,CONCATENATE("less ",X86),CONCATENATE("more ",X86))</f>
        <v>less 0.2</v>
      </c>
      <c r="T97" s="52"/>
    </row>
    <row r="98" customFormat="false" ht="30" hidden="false" customHeight="true" outlineLevel="0" collapsed="false">
      <c r="A98" s="53"/>
      <c r="C98" s="54"/>
      <c r="D98" s="54"/>
      <c r="E98" s="54"/>
      <c r="F98" s="54"/>
      <c r="G98" s="54"/>
      <c r="H98" s="54"/>
      <c r="I98" s="31"/>
      <c r="J98" s="55"/>
      <c r="K98" s="55"/>
      <c r="L98" s="55"/>
      <c r="M98" s="55"/>
      <c r="N98" s="55"/>
      <c r="O98" s="55"/>
      <c r="Q98" s="30"/>
      <c r="R98" s="30"/>
      <c r="S98" s="30"/>
      <c r="T98" s="30"/>
    </row>
    <row r="99" customFormat="false" ht="13.5" hidden="false" customHeight="true" outlineLevel="0" collapsed="false">
      <c r="A99" s="10" t="n">
        <v>8404</v>
      </c>
      <c r="C99" s="11" t="s">
        <v>4</v>
      </c>
      <c r="D99" s="11"/>
      <c r="E99" s="11"/>
      <c r="F99" s="11"/>
      <c r="G99" s="11"/>
      <c r="H99" s="11"/>
      <c r="J99" s="12" t="s">
        <v>5</v>
      </c>
      <c r="K99" s="12"/>
      <c r="L99" s="12"/>
      <c r="M99" s="12"/>
      <c r="N99" s="12"/>
      <c r="O99" s="12"/>
      <c r="Q99" s="12" t="s">
        <v>6</v>
      </c>
      <c r="R99" s="12"/>
      <c r="S99" s="12"/>
      <c r="T99" s="12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0"/>
      <c r="C100" s="14"/>
      <c r="D100" s="14"/>
      <c r="E100" s="14"/>
      <c r="F100" s="15"/>
      <c r="G100" s="15"/>
      <c r="H100" s="15"/>
      <c r="J100" s="16" t="n">
        <v>2.7</v>
      </c>
      <c r="K100" s="17" t="n">
        <v>3</v>
      </c>
      <c r="L100" s="17" t="n">
        <v>2.75</v>
      </c>
      <c r="M100" s="18" t="n">
        <v>2.75</v>
      </c>
      <c r="N100" s="18" t="n">
        <v>3</v>
      </c>
      <c r="O100" s="19" t="n">
        <v>2.7</v>
      </c>
      <c r="Q100" s="20" t="n">
        <f aca="false">MIN(J112:L112)/$M$1</f>
        <v>0</v>
      </c>
      <c r="R100" s="20"/>
      <c r="S100" s="20" t="n">
        <f aca="false">MIN(M112:O112)/$M$1</f>
        <v>-0</v>
      </c>
      <c r="T100" s="20"/>
      <c r="V100" s="21" t="s">
        <v>8</v>
      </c>
      <c r="W100" s="21"/>
      <c r="X100" s="21"/>
    </row>
    <row r="101" customFormat="false" ht="13.5" hidden="false" customHeight="true" outlineLevel="0" collapsed="false">
      <c r="A101" s="10"/>
      <c r="C101" s="22"/>
      <c r="D101" s="22"/>
      <c r="E101" s="22"/>
      <c r="F101" s="23"/>
      <c r="G101" s="23"/>
      <c r="H101" s="23"/>
      <c r="J101" s="24" t="n">
        <v>2.7</v>
      </c>
      <c r="K101" s="25" t="n">
        <v>3</v>
      </c>
      <c r="L101" s="25" t="n">
        <v>2.7</v>
      </c>
      <c r="M101" s="26" t="n">
        <v>2.7</v>
      </c>
      <c r="N101" s="26" t="n">
        <v>3</v>
      </c>
      <c r="O101" s="27" t="n">
        <v>2.7</v>
      </c>
      <c r="Q101" s="28" t="n">
        <f aca="false">MIN(J113:L113)/$M$1</f>
        <v>0</v>
      </c>
      <c r="R101" s="28"/>
      <c r="S101" s="28" t="n">
        <f aca="false">MIN(M113:O113)/$M$1</f>
        <v>-0</v>
      </c>
      <c r="T101" s="28"/>
      <c r="V101" s="29" t="e">
        <f aca="false">ROUNDUP(INDEX(LINEST(J108:L108,V99:X99,,1),1,1)*$Y$1,1)</f>
        <v>#DIV/0!</v>
      </c>
      <c r="W101" s="29"/>
      <c r="X101" s="30" t="e">
        <f aca="false">-ROUNDUP(INDEX(LINEST(M108:O108,V99:X99,,1),1,1)*$Y$1,1)</f>
        <v>#DIV/0!</v>
      </c>
    </row>
    <row r="102" customFormat="false" ht="13.5" hidden="false" customHeight="true" outlineLevel="0" collapsed="false">
      <c r="A102" s="10"/>
      <c r="J102" s="31"/>
      <c r="K102" s="31"/>
      <c r="L102" s="31"/>
      <c r="M102" s="31"/>
      <c r="N102" s="31"/>
      <c r="O102" s="31"/>
      <c r="V102" s="29" t="e">
        <f aca="false">ROUNDUP(INDEX(LINEST(J109:L109,V99:X99,,1),1,1)*$Y$1,1)</f>
        <v>#DIV/0!</v>
      </c>
      <c r="W102" s="29"/>
      <c r="X102" s="30" t="e">
        <f aca="false">-ROUNDUP(INDEX(LINEST(M109:O109,V99:X99,,1),1,1)*$Y$1,1)</f>
        <v>#DIV/0!</v>
      </c>
    </row>
    <row r="103" customFormat="false" ht="13.5" hidden="false" customHeight="true" outlineLevel="0" collapsed="false">
      <c r="A103" s="10"/>
      <c r="C103" s="12" t="s">
        <v>9</v>
      </c>
      <c r="D103" s="12"/>
      <c r="E103" s="12"/>
      <c r="F103" s="12"/>
      <c r="G103" s="12"/>
      <c r="H103" s="12"/>
      <c r="J103" s="32" t="s">
        <v>10</v>
      </c>
      <c r="K103" s="32"/>
      <c r="L103" s="32"/>
      <c r="M103" s="32"/>
      <c r="N103" s="32"/>
      <c r="O103" s="32"/>
      <c r="Q103" s="12" t="s">
        <v>11</v>
      </c>
      <c r="R103" s="12"/>
      <c r="S103" s="12"/>
      <c r="T103" s="12"/>
    </row>
    <row r="104" customFormat="false" ht="13.5" hidden="false" customHeight="true" outlineLevel="0" collapsed="false">
      <c r="A104" s="10"/>
      <c r="C104" s="16" t="n">
        <v>2.95</v>
      </c>
      <c r="D104" s="17" t="n">
        <v>2.96</v>
      </c>
      <c r="E104" s="17" t="n">
        <v>2.93</v>
      </c>
      <c r="F104" s="18" t="n">
        <v>2.99</v>
      </c>
      <c r="G104" s="18" t="n">
        <v>2.97</v>
      </c>
      <c r="H104" s="19" t="n">
        <v>2.94</v>
      </c>
      <c r="J104" s="33" t="n">
        <v>0.2</v>
      </c>
      <c r="K104" s="34" t="n">
        <v>0.2</v>
      </c>
      <c r="L104" s="34" t="n">
        <v>0.2</v>
      </c>
      <c r="M104" s="35" t="n">
        <v>0.2</v>
      </c>
      <c r="N104" s="35" t="n">
        <v>0.2</v>
      </c>
      <c r="O104" s="36" t="n">
        <v>0.2</v>
      </c>
      <c r="Q104" s="37" t="e">
        <f aca="false">SUM(J108:O108)/SUM(J108:O109)</f>
        <v>#DIV/0!</v>
      </c>
      <c r="R104" s="37"/>
      <c r="S104" s="37"/>
      <c r="T104" s="37"/>
    </row>
    <row r="105" customFormat="false" ht="13.5" hidden="false" customHeight="true" outlineLevel="0" collapsed="false">
      <c r="A105" s="10"/>
      <c r="C105" s="24" t="n">
        <v>2.74</v>
      </c>
      <c r="D105" s="25" t="n">
        <v>2.77</v>
      </c>
      <c r="E105" s="25" t="n">
        <v>2.73</v>
      </c>
      <c r="F105" s="26" t="n">
        <v>2.76</v>
      </c>
      <c r="G105" s="26" t="n">
        <v>2.75</v>
      </c>
      <c r="H105" s="27" t="n">
        <v>2.76</v>
      </c>
      <c r="J105" s="39" t="n">
        <v>0.2</v>
      </c>
      <c r="K105" s="40" t="n">
        <v>0.2</v>
      </c>
      <c r="L105" s="40" t="n">
        <v>0.2</v>
      </c>
      <c r="M105" s="41" t="n">
        <v>0.2</v>
      </c>
      <c r="N105" s="41" t="n">
        <v>0.2</v>
      </c>
      <c r="O105" s="42" t="n">
        <v>0.2</v>
      </c>
      <c r="Q105" s="37" t="e">
        <f aca="false">SUM(J109:O109)/SUM(J108:O109)</f>
        <v>#DIV/0!</v>
      </c>
      <c r="R105" s="37"/>
      <c r="S105" s="37"/>
      <c r="T105" s="37"/>
    </row>
    <row r="106" customFormat="false" ht="13.5" hidden="false" customHeight="false" outlineLevel="0" collapsed="false">
      <c r="A106" s="10"/>
      <c r="C106" s="31"/>
      <c r="D106" s="31"/>
      <c r="E106" s="31"/>
      <c r="F106" s="31"/>
      <c r="G106" s="31"/>
      <c r="H106" s="31"/>
    </row>
    <row r="107" customFormat="false" ht="13.5" hidden="false" customHeight="false" outlineLevel="0" collapsed="false">
      <c r="A107" s="10"/>
      <c r="C107" s="32" t="s">
        <v>12</v>
      </c>
      <c r="D107" s="32"/>
      <c r="E107" s="32"/>
      <c r="F107" s="32"/>
      <c r="G107" s="32"/>
      <c r="H107" s="32"/>
      <c r="J107" s="12" t="s">
        <v>13</v>
      </c>
      <c r="K107" s="12"/>
      <c r="L107" s="12"/>
      <c r="M107" s="12"/>
      <c r="N107" s="12"/>
      <c r="O107" s="12"/>
      <c r="Q107" s="12" t="s">
        <v>14</v>
      </c>
      <c r="R107" s="12"/>
      <c r="S107" s="12"/>
      <c r="T107" s="12"/>
      <c r="AK107" s="12" t="s">
        <v>13</v>
      </c>
      <c r="AL107" s="12"/>
      <c r="AM107" s="12"/>
      <c r="AN107" s="12"/>
      <c r="AO107" s="12"/>
      <c r="AP107" s="12"/>
      <c r="AQ107" s="12"/>
      <c r="AR107" s="12"/>
    </row>
    <row r="108" customFormat="false" ht="13.5" hidden="false" customHeight="false" outlineLevel="0" collapsed="false">
      <c r="A108" s="10"/>
      <c r="C108" s="16" t="n">
        <v>1.86</v>
      </c>
      <c r="D108" s="17" t="n">
        <v>2.62</v>
      </c>
      <c r="E108" s="17" t="n">
        <v>3.22</v>
      </c>
      <c r="F108" s="18" t="n">
        <v>2.21</v>
      </c>
      <c r="G108" s="18" t="n">
        <v>3.19</v>
      </c>
      <c r="H108" s="19" t="n">
        <v>3.23</v>
      </c>
      <c r="J108" s="43" t="e">
        <f aca="false">((C104-C108)/($C112*$F$1))/(J100-J104)</f>
        <v>#DIV/0!</v>
      </c>
      <c r="K108" s="44" t="e">
        <f aca="false">((D104-D108)/($C112*$F$1))/(K100-K104)</f>
        <v>#DIV/0!</v>
      </c>
      <c r="L108" s="44" t="e">
        <f aca="false">((E104-E108)/($C112*$F$1))/(L100-L104)</f>
        <v>#DIV/0!</v>
      </c>
      <c r="M108" s="44" t="e">
        <f aca="false">((F104-F108)/($C112*$F$1))/(M100-M104)</f>
        <v>#DIV/0!</v>
      </c>
      <c r="N108" s="44" t="e">
        <f aca="false">((G104-G108)/($C112*$F$1))/(N100-N104)</f>
        <v>#DIV/0!</v>
      </c>
      <c r="O108" s="45" t="e">
        <f aca="false">((H104-H108)/($C112*$F$1))/(O100-O104)</f>
        <v>#DIV/0!</v>
      </c>
      <c r="Q108" s="46" t="e">
        <f aca="false">SUM(J108:L109)/SUM(J108:O109)</f>
        <v>#DIV/0!</v>
      </c>
      <c r="R108" s="46"/>
      <c r="S108" s="46" t="e">
        <f aca="false">SUM(M108:O109)/SUM(J108:O109)</f>
        <v>#DIV/0!</v>
      </c>
      <c r="T108" s="46"/>
      <c r="AK108" s="47" t="e">
        <f aca="false">AVERAGE(J108:L108)</f>
        <v>#DIV/0!</v>
      </c>
      <c r="AL108" s="47"/>
      <c r="AM108" s="47"/>
      <c r="AN108" s="47"/>
      <c r="AO108" s="47" t="e">
        <f aca="false">AVERAGE(M108:O108)</f>
        <v>#DIV/0!</v>
      </c>
      <c r="AP108" s="47"/>
      <c r="AQ108" s="47"/>
      <c r="AR108" s="47"/>
    </row>
    <row r="109" customFormat="false" ht="13.5" hidden="false" customHeight="false" outlineLevel="0" collapsed="false">
      <c r="A109" s="10"/>
      <c r="C109" s="24" t="n">
        <v>2.67</v>
      </c>
      <c r="D109" s="25" t="n">
        <v>2.9</v>
      </c>
      <c r="E109" s="25" t="n">
        <v>2.67</v>
      </c>
      <c r="F109" s="26" t="n">
        <v>2.67</v>
      </c>
      <c r="G109" s="26" t="n">
        <v>2.97</v>
      </c>
      <c r="H109" s="27" t="n">
        <v>3.15</v>
      </c>
      <c r="J109" s="43" t="e">
        <f aca="false">((C105-C109)/($C112*$F$1))/(J101-J105)</f>
        <v>#DIV/0!</v>
      </c>
      <c r="K109" s="44" t="e">
        <f aca="false">((D105-D109)/($C112*$F$1))/(K101-K105)</f>
        <v>#DIV/0!</v>
      </c>
      <c r="L109" s="44" t="e">
        <f aca="false">((E105-E109)/($C112*$F$1))/(L101-L105)</f>
        <v>#DIV/0!</v>
      </c>
      <c r="M109" s="44" t="e">
        <f aca="false">((F105-F109)/($C112*$F$1))/(M101-M105)</f>
        <v>#DIV/0!</v>
      </c>
      <c r="N109" s="44" t="e">
        <f aca="false">((G105-G109)/($C112*$F$1))/(N101-N105)</f>
        <v>#DIV/0!</v>
      </c>
      <c r="O109" s="45" t="e">
        <f aca="false">((H105-H109)/($C112*$F$1))/(O101-O105)</f>
        <v>#DIV/0!</v>
      </c>
      <c r="Q109" s="46"/>
      <c r="R109" s="46"/>
      <c r="S109" s="46"/>
      <c r="T109" s="46"/>
      <c r="AK109" s="47" t="e">
        <f aca="false">AVERAGE(J109:L109)</f>
        <v>#DIV/0!</v>
      </c>
      <c r="AL109" s="47"/>
      <c r="AM109" s="47"/>
      <c r="AN109" s="47"/>
      <c r="AO109" s="47" t="e">
        <f aca="false">AVERAGE(M109:O109)</f>
        <v>#DIV/0!</v>
      </c>
      <c r="AP109" s="47"/>
      <c r="AQ109" s="47"/>
      <c r="AR109" s="47"/>
    </row>
    <row r="110" customFormat="false" ht="13.5" hidden="false" customHeight="false" outlineLevel="0" collapsed="false">
      <c r="A110" s="10"/>
    </row>
    <row r="111" customFormat="false" ht="13.5" hidden="false" customHeight="false" outlineLevel="0" collapsed="false">
      <c r="A111" s="10"/>
      <c r="C111" s="12" t="s">
        <v>15</v>
      </c>
      <c r="D111" s="12"/>
      <c r="E111" s="12"/>
      <c r="F111" s="12"/>
      <c r="G111" s="12"/>
      <c r="H111" s="12"/>
      <c r="J111" s="12" t="s">
        <v>16</v>
      </c>
      <c r="K111" s="12"/>
      <c r="L111" s="12"/>
      <c r="M111" s="12"/>
      <c r="N111" s="12"/>
      <c r="O111" s="12"/>
      <c r="Q111" s="12" t="s">
        <v>17</v>
      </c>
      <c r="R111" s="12"/>
      <c r="S111" s="12"/>
      <c r="T111" s="12"/>
    </row>
    <row r="112" customFormat="false" ht="13.5" hidden="false" customHeight="false" outlineLevel="0" collapsed="false">
      <c r="A112" s="10"/>
      <c r="C112" s="8"/>
      <c r="D112" s="8"/>
      <c r="E112" s="8"/>
      <c r="F112" s="8"/>
      <c r="G112" s="8"/>
      <c r="H112" s="8"/>
      <c r="I112" s="31"/>
      <c r="J112" s="49" t="n">
        <f aca="false">C112*(J100-J104)/(C104-C108)</f>
        <v>0</v>
      </c>
      <c r="K112" s="50" t="n">
        <f aca="false">C112*(K100-K104)/(D104-D108)</f>
        <v>0</v>
      </c>
      <c r="L112" s="50" t="n">
        <f aca="false">$C112*(L100-L104)/(E104-E108)</f>
        <v>-0</v>
      </c>
      <c r="M112" s="50" t="n">
        <f aca="false">$C112*(M100-M104)/(G104-G108)</f>
        <v>-0</v>
      </c>
      <c r="N112" s="50" t="n">
        <f aca="false">$C112*(N100-N104)/(H104-H108)</f>
        <v>-0</v>
      </c>
      <c r="O112" s="51" t="n">
        <f aca="false">C112*(O100-O104)/(H104-H108)</f>
        <v>-0</v>
      </c>
      <c r="Q112" s="20" t="e">
        <f aca="false">IF(V101&gt;0,CONCATENATE("less ",V101),CONCATENATE("more ",V101))</f>
        <v>#DIV/0!</v>
      </c>
      <c r="R112" s="20"/>
      <c r="S112" s="52" t="e">
        <f aca="false">IF(X101&gt;0,CONCATENATE("less ",X101),CONCATENATE("more ",X101))</f>
        <v>#DIV/0!</v>
      </c>
      <c r="T112" s="52"/>
    </row>
    <row r="113" customFormat="false" ht="13.5" hidden="false" customHeight="false" outlineLevel="0" collapsed="false">
      <c r="A113" s="10"/>
      <c r="C113" s="8"/>
      <c r="D113" s="8"/>
      <c r="E113" s="8"/>
      <c r="F113" s="8"/>
      <c r="G113" s="8"/>
      <c r="H113" s="8"/>
      <c r="I113" s="31"/>
      <c r="J113" s="49" t="n">
        <f aca="false">C112*(J101-J105)/(C105-C109)</f>
        <v>0</v>
      </c>
      <c r="K113" s="50" t="n">
        <f aca="false">C112*(K101-K105)/(D105-D109)</f>
        <v>-0</v>
      </c>
      <c r="L113" s="50" t="n">
        <f aca="false">$C112*(L101-L105)/(E105-E109)</f>
        <v>0</v>
      </c>
      <c r="M113" s="50" t="n">
        <f aca="false">$C112*(M101-M105)/(G105-G109)</f>
        <v>-0</v>
      </c>
      <c r="N113" s="50" t="n">
        <f aca="false">$C112*(N101-N105)/(H105-H109)</f>
        <v>-0</v>
      </c>
      <c r="O113" s="51" t="n">
        <f aca="false">C112*(O101-O105)/(H105-H109)</f>
        <v>-0</v>
      </c>
      <c r="Q113" s="52" t="e">
        <f aca="false">IF(V102&gt;0,CONCATENATE("less ",V102),CONCATENATE("more ",V102))</f>
        <v>#DIV/0!</v>
      </c>
      <c r="R113" s="52"/>
      <c r="S113" s="52" t="e">
        <f aca="false">IF(X102&gt;0,CONCATENATE("less ",X102),CONCATENATE("more ",X102))</f>
        <v>#DIV/0!</v>
      </c>
      <c r="T113" s="52"/>
    </row>
    <row r="114" customFormat="false" ht="30" hidden="false" customHeight="true" outlineLevel="0" collapsed="false">
      <c r="A114" s="53"/>
      <c r="C114" s="54"/>
      <c r="D114" s="54"/>
      <c r="E114" s="54"/>
      <c r="F114" s="54"/>
      <c r="G114" s="54"/>
      <c r="H114" s="54"/>
      <c r="I114" s="31"/>
      <c r="J114" s="55"/>
      <c r="K114" s="55"/>
      <c r="L114" s="55"/>
      <c r="M114" s="55"/>
      <c r="N114" s="55"/>
      <c r="O114" s="55"/>
      <c r="Q114" s="30"/>
      <c r="R114" s="30"/>
      <c r="S114" s="30"/>
      <c r="T114" s="30"/>
    </row>
    <row r="115" customFormat="false" ht="13.5" hidden="false" customHeight="true" outlineLevel="0" collapsed="false">
      <c r="A115" s="10" t="n">
        <v>8403</v>
      </c>
      <c r="C115" s="11" t="s">
        <v>4</v>
      </c>
      <c r="D115" s="11"/>
      <c r="E115" s="11"/>
      <c r="F115" s="11"/>
      <c r="G115" s="11"/>
      <c r="H115" s="11"/>
      <c r="J115" s="12" t="s">
        <v>5</v>
      </c>
      <c r="K115" s="12"/>
      <c r="L115" s="12"/>
      <c r="M115" s="12"/>
      <c r="N115" s="12"/>
      <c r="O115" s="12"/>
      <c r="Q115" s="12" t="s">
        <v>6</v>
      </c>
      <c r="R115" s="12"/>
      <c r="S115" s="12"/>
      <c r="T115" s="12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0"/>
      <c r="C116" s="14"/>
      <c r="D116" s="14"/>
      <c r="E116" s="14"/>
      <c r="F116" s="15"/>
      <c r="G116" s="15"/>
      <c r="H116" s="15"/>
      <c r="J116" s="16" t="n">
        <v>2.7</v>
      </c>
      <c r="K116" s="17" t="n">
        <v>3</v>
      </c>
      <c r="L116" s="17" t="n">
        <v>2.75</v>
      </c>
      <c r="M116" s="18" t="n">
        <v>2.75</v>
      </c>
      <c r="N116" s="18" t="n">
        <v>3</v>
      </c>
      <c r="O116" s="19" t="n">
        <v>2.7</v>
      </c>
      <c r="Q116" s="20" t="n">
        <f aca="false">MIN(J128:L128)/$M$1</f>
        <v>0</v>
      </c>
      <c r="R116" s="20"/>
      <c r="S116" s="20" t="n">
        <f aca="false">MIN(M128:O128)/$M$1</f>
        <v>0</v>
      </c>
      <c r="T116" s="20"/>
      <c r="V116" s="21" t="s">
        <v>8</v>
      </c>
      <c r="W116" s="21"/>
      <c r="X116" s="21"/>
    </row>
    <row r="117" customFormat="false" ht="13.5" hidden="false" customHeight="true" outlineLevel="0" collapsed="false">
      <c r="A117" s="10"/>
      <c r="C117" s="22"/>
      <c r="D117" s="22"/>
      <c r="E117" s="22"/>
      <c r="F117" s="23"/>
      <c r="G117" s="23"/>
      <c r="H117" s="23"/>
      <c r="J117" s="24" t="n">
        <v>2.7</v>
      </c>
      <c r="K117" s="25" t="n">
        <v>3</v>
      </c>
      <c r="L117" s="25" t="n">
        <v>2.7</v>
      </c>
      <c r="M117" s="26" t="n">
        <v>2.7</v>
      </c>
      <c r="N117" s="26" t="n">
        <v>3</v>
      </c>
      <c r="O117" s="27" t="n">
        <v>2.7</v>
      </c>
      <c r="Q117" s="28" t="n">
        <f aca="false">MIN(J129:L129)/$M$1</f>
        <v>0</v>
      </c>
      <c r="R117" s="28"/>
      <c r="S117" s="28" t="n">
        <f aca="false">MIN(M129:O129)/$M$1</f>
        <v>0</v>
      </c>
      <c r="T117" s="28"/>
      <c r="V117" s="29" t="e">
        <f aca="false">ROUNDUP(INDEX(LINEST(J124:L124,V115:X115,,1),1,1)*$Y$1,1)</f>
        <v>#DIV/0!</v>
      </c>
      <c r="W117" s="29"/>
      <c r="X117" s="30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0"/>
      <c r="J118" s="31"/>
      <c r="K118" s="31"/>
      <c r="L118" s="31"/>
      <c r="M118" s="31"/>
      <c r="N118" s="31"/>
      <c r="O118" s="31"/>
      <c r="V118" s="29" t="e">
        <f aca="false">ROUNDUP(INDEX(LINEST(J125:L125,V115:X115,,1),1,1)*$Y$1,1)</f>
        <v>#DIV/0!</v>
      </c>
      <c r="W118" s="29"/>
      <c r="X118" s="30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0"/>
      <c r="C119" s="12" t="s">
        <v>9</v>
      </c>
      <c r="D119" s="12"/>
      <c r="E119" s="12"/>
      <c r="F119" s="12"/>
      <c r="G119" s="12"/>
      <c r="H119" s="12"/>
      <c r="J119" s="32" t="s">
        <v>10</v>
      </c>
      <c r="K119" s="32"/>
      <c r="L119" s="32"/>
      <c r="M119" s="32"/>
      <c r="N119" s="32"/>
      <c r="O119" s="32"/>
      <c r="Q119" s="12" t="s">
        <v>11</v>
      </c>
      <c r="R119" s="12"/>
      <c r="S119" s="12"/>
      <c r="T119" s="12"/>
    </row>
    <row r="120" customFormat="false" ht="13.5" hidden="false" customHeight="true" outlineLevel="0" collapsed="false">
      <c r="A120" s="10"/>
      <c r="C120" s="16" t="n">
        <v>2.99</v>
      </c>
      <c r="D120" s="17" t="n">
        <v>3.08</v>
      </c>
      <c r="E120" s="17" t="n">
        <v>3.05</v>
      </c>
      <c r="F120" s="18" t="n">
        <v>3.04</v>
      </c>
      <c r="G120" s="18" t="n">
        <v>2.96</v>
      </c>
      <c r="H120" s="19" t="n">
        <v>2.9</v>
      </c>
      <c r="J120" s="33" t="n">
        <v>0.2</v>
      </c>
      <c r="K120" s="34" t="n">
        <v>0.2</v>
      </c>
      <c r="L120" s="34" t="n">
        <v>0.2</v>
      </c>
      <c r="M120" s="35" t="n">
        <v>0.2</v>
      </c>
      <c r="N120" s="35" t="n">
        <v>0.2</v>
      </c>
      <c r="O120" s="36" t="n">
        <v>0.2</v>
      </c>
      <c r="Q120" s="37" t="e">
        <f aca="false">SUM(J124:O124)/SUM(J124:O125)</f>
        <v>#DIV/0!</v>
      </c>
      <c r="R120" s="37"/>
      <c r="S120" s="37"/>
      <c r="T120" s="37"/>
    </row>
    <row r="121" customFormat="false" ht="13.5" hidden="false" customHeight="true" outlineLevel="0" collapsed="false">
      <c r="A121" s="10"/>
      <c r="C121" s="24" t="n">
        <v>2.79</v>
      </c>
      <c r="D121" s="25" t="n">
        <v>2.83</v>
      </c>
      <c r="E121" s="25" t="n">
        <v>2.81</v>
      </c>
      <c r="F121" s="26" t="n">
        <v>2.74</v>
      </c>
      <c r="G121" s="26" t="n">
        <v>2.74</v>
      </c>
      <c r="H121" s="27" t="n">
        <v>2.79</v>
      </c>
      <c r="J121" s="39" t="n">
        <v>0.2</v>
      </c>
      <c r="K121" s="40" t="n">
        <v>0.2</v>
      </c>
      <c r="L121" s="40" t="n">
        <v>0.2</v>
      </c>
      <c r="M121" s="41" t="n">
        <v>0.2</v>
      </c>
      <c r="N121" s="41" t="n">
        <v>0.2</v>
      </c>
      <c r="O121" s="42" t="n">
        <v>0.2</v>
      </c>
      <c r="Q121" s="37" t="e">
        <f aca="false">SUM(J125:O125)/SUM(J124:O125)</f>
        <v>#DIV/0!</v>
      </c>
      <c r="R121" s="37"/>
      <c r="S121" s="37"/>
      <c r="T121" s="37"/>
    </row>
    <row r="122" customFormat="false" ht="13.5" hidden="false" customHeight="false" outlineLevel="0" collapsed="false">
      <c r="A122" s="10"/>
      <c r="C122" s="31"/>
      <c r="D122" s="31"/>
      <c r="E122" s="31"/>
      <c r="F122" s="31"/>
      <c r="G122" s="31"/>
      <c r="H122" s="31"/>
    </row>
    <row r="123" customFormat="false" ht="13.5" hidden="false" customHeight="false" outlineLevel="0" collapsed="false">
      <c r="A123" s="10"/>
      <c r="C123" s="32" t="s">
        <v>12</v>
      </c>
      <c r="D123" s="32"/>
      <c r="E123" s="32"/>
      <c r="F123" s="32"/>
      <c r="G123" s="32"/>
      <c r="H123" s="32"/>
      <c r="J123" s="12" t="s">
        <v>13</v>
      </c>
      <c r="K123" s="12"/>
      <c r="L123" s="12"/>
      <c r="M123" s="12"/>
      <c r="N123" s="12"/>
      <c r="O123" s="12"/>
      <c r="Q123" s="12" t="s">
        <v>14</v>
      </c>
      <c r="R123" s="12"/>
      <c r="S123" s="12"/>
      <c r="T123" s="12"/>
      <c r="AK123" s="12" t="s">
        <v>13</v>
      </c>
      <c r="AL123" s="12"/>
      <c r="AM123" s="12"/>
      <c r="AN123" s="12"/>
      <c r="AO123" s="12"/>
      <c r="AP123" s="12"/>
      <c r="AQ123" s="12"/>
      <c r="AR123" s="12"/>
    </row>
    <row r="124" customFormat="false" ht="13.5" hidden="false" customHeight="false" outlineLevel="0" collapsed="false">
      <c r="A124" s="10"/>
      <c r="C124" s="16"/>
      <c r="D124" s="17"/>
      <c r="E124" s="17"/>
      <c r="F124" s="18"/>
      <c r="G124" s="18"/>
      <c r="H124" s="19"/>
      <c r="J124" s="43" t="e">
        <f aca="false">((C120-C124)/($C128*$F$1))/(J116-J120)</f>
        <v>#DIV/0!</v>
      </c>
      <c r="K124" s="44" t="e">
        <f aca="false">((D120-D124)/($C128*$F$1))/(K116-K120)</f>
        <v>#DIV/0!</v>
      </c>
      <c r="L124" s="44" t="e">
        <f aca="false">((E120-E124)/($C128*$F$1))/(L116-L120)</f>
        <v>#DIV/0!</v>
      </c>
      <c r="M124" s="44" t="e">
        <f aca="false">((F120-F124)/($C128*$F$1))/(M116-M120)</f>
        <v>#DIV/0!</v>
      </c>
      <c r="N124" s="44" t="e">
        <f aca="false">((G120-G124)/($C128*$F$1))/(N116-N120)</f>
        <v>#DIV/0!</v>
      </c>
      <c r="O124" s="45" t="e">
        <f aca="false">((H120-H124)/($C128*$F$1))/(O116-O120)</f>
        <v>#DIV/0!</v>
      </c>
      <c r="Q124" s="46" t="e">
        <f aca="false">SUM(J124:L125)/SUM(J124:O125)</f>
        <v>#DIV/0!</v>
      </c>
      <c r="R124" s="46"/>
      <c r="S124" s="46" t="e">
        <f aca="false">SUM(M124:O125)/SUM(J124:O125)</f>
        <v>#DIV/0!</v>
      </c>
      <c r="T124" s="46"/>
      <c r="AK124" s="47" t="e">
        <f aca="false">AVERAGE(J124:L124)</f>
        <v>#DIV/0!</v>
      </c>
      <c r="AL124" s="47"/>
      <c r="AM124" s="47"/>
      <c r="AN124" s="47"/>
      <c r="AO124" s="47" t="e">
        <f aca="false">AVERAGE(M124:O124)</f>
        <v>#DIV/0!</v>
      </c>
      <c r="AP124" s="47"/>
      <c r="AQ124" s="47"/>
      <c r="AR124" s="47"/>
    </row>
    <row r="125" customFormat="false" ht="13.5" hidden="false" customHeight="false" outlineLevel="0" collapsed="false">
      <c r="A125" s="10"/>
      <c r="C125" s="24"/>
      <c r="D125" s="25"/>
      <c r="E125" s="25"/>
      <c r="F125" s="26"/>
      <c r="G125" s="26"/>
      <c r="H125" s="27"/>
      <c r="J125" s="43" t="e">
        <f aca="false">((C121-C125)/($C128*$F$1))/(J117-J121)</f>
        <v>#DIV/0!</v>
      </c>
      <c r="K125" s="44" t="e">
        <f aca="false">((D121-D125)/($C128*$F$1))/(K117-K121)</f>
        <v>#DIV/0!</v>
      </c>
      <c r="L125" s="44" t="e">
        <f aca="false">((E121-E125)/($C128*$F$1))/(L117-L121)</f>
        <v>#DIV/0!</v>
      </c>
      <c r="M125" s="44" t="e">
        <f aca="false">((F121-F125)/($C128*$F$1))/(M117-M121)</f>
        <v>#DIV/0!</v>
      </c>
      <c r="N125" s="44" t="e">
        <f aca="false">((G121-G125)/($C128*$F$1))/(N117-N121)</f>
        <v>#DIV/0!</v>
      </c>
      <c r="O125" s="45" t="e">
        <f aca="false">((H121-H125)/($C128*$F$1))/(O117-O121)</f>
        <v>#DIV/0!</v>
      </c>
      <c r="Q125" s="46"/>
      <c r="R125" s="46"/>
      <c r="S125" s="46"/>
      <c r="T125" s="46"/>
      <c r="AK125" s="47" t="e">
        <f aca="false">AVERAGE(J125:L125)</f>
        <v>#DIV/0!</v>
      </c>
      <c r="AL125" s="47"/>
      <c r="AM125" s="47"/>
      <c r="AN125" s="47"/>
      <c r="AO125" s="47" t="e">
        <f aca="false">AVERAGE(M125:O125)</f>
        <v>#DIV/0!</v>
      </c>
      <c r="AP125" s="47"/>
      <c r="AQ125" s="47"/>
      <c r="AR125" s="47"/>
    </row>
    <row r="126" customFormat="false" ht="13.5" hidden="false" customHeight="false" outlineLevel="0" collapsed="false">
      <c r="A126" s="10"/>
    </row>
    <row r="127" customFormat="false" ht="13.5" hidden="false" customHeight="false" outlineLevel="0" collapsed="false">
      <c r="A127" s="10"/>
      <c r="C127" s="12" t="s">
        <v>15</v>
      </c>
      <c r="D127" s="12"/>
      <c r="E127" s="12"/>
      <c r="F127" s="12"/>
      <c r="G127" s="12"/>
      <c r="H127" s="12"/>
      <c r="J127" s="12" t="s">
        <v>16</v>
      </c>
      <c r="K127" s="12"/>
      <c r="L127" s="12"/>
      <c r="M127" s="12"/>
      <c r="N127" s="12"/>
      <c r="O127" s="12"/>
      <c r="Q127" s="12" t="s">
        <v>17</v>
      </c>
      <c r="R127" s="12"/>
      <c r="S127" s="12"/>
      <c r="T127" s="12"/>
    </row>
    <row r="128" customFormat="false" ht="13.5" hidden="false" customHeight="false" outlineLevel="0" collapsed="false">
      <c r="A128" s="10"/>
      <c r="C128" s="8"/>
      <c r="D128" s="8"/>
      <c r="E128" s="8"/>
      <c r="F128" s="8"/>
      <c r="G128" s="8"/>
      <c r="H128" s="8"/>
      <c r="I128" s="31"/>
      <c r="J128" s="49" t="n">
        <f aca="false">C128*(J116-J120)/(C120-C124)</f>
        <v>0</v>
      </c>
      <c r="K128" s="50" t="n">
        <f aca="false">C128*(K116-K120)/(D120-D124)</f>
        <v>0</v>
      </c>
      <c r="L128" s="50" t="n">
        <f aca="false">$C128*(L116-L120)/(E120-E124)</f>
        <v>0</v>
      </c>
      <c r="M128" s="50" t="n">
        <f aca="false">$C128*(M116-M120)/(G120-G124)</f>
        <v>0</v>
      </c>
      <c r="N128" s="50" t="n">
        <f aca="false">$C128*(N116-N120)/(H120-H124)</f>
        <v>0</v>
      </c>
      <c r="O128" s="51" t="n">
        <f aca="false">C128*(O116-O120)/(H120-H124)</f>
        <v>0</v>
      </c>
      <c r="Q128" s="20" t="e">
        <f aca="false">IF(V117&gt;0,CONCATENATE("less ",V117),CONCATENATE("more ",V117))</f>
        <v>#DIV/0!</v>
      </c>
      <c r="R128" s="20"/>
      <c r="S128" s="52" t="e">
        <f aca="false">IF(X117&gt;0,CONCATENATE("less ",X117),CONCATENATE("more ",X117))</f>
        <v>#DIV/0!</v>
      </c>
      <c r="T128" s="52"/>
    </row>
    <row r="129" customFormat="false" ht="13.5" hidden="false" customHeight="false" outlineLevel="0" collapsed="false">
      <c r="A129" s="10"/>
      <c r="C129" s="8"/>
      <c r="D129" s="8"/>
      <c r="E129" s="8"/>
      <c r="F129" s="8"/>
      <c r="G129" s="8"/>
      <c r="H129" s="8"/>
      <c r="I129" s="31"/>
      <c r="J129" s="49" t="n">
        <f aca="false">C128*(J117-J121)/(C121-C125)</f>
        <v>0</v>
      </c>
      <c r="K129" s="50" t="n">
        <f aca="false">C128*(K117-K121)/(D121-D125)</f>
        <v>0</v>
      </c>
      <c r="L129" s="50" t="n">
        <f aca="false">$C128*(L117-L121)/(E121-E125)</f>
        <v>0</v>
      </c>
      <c r="M129" s="50" t="n">
        <f aca="false">$C128*(M117-M121)/(G121-G125)</f>
        <v>0</v>
      </c>
      <c r="N129" s="50" t="n">
        <f aca="false">$C128*(N117-N121)/(H121-H125)</f>
        <v>0</v>
      </c>
      <c r="O129" s="51" t="n">
        <f aca="false">C128*(O117-O121)/(H121-H125)</f>
        <v>0</v>
      </c>
      <c r="Q129" s="52" t="e">
        <f aca="false">IF(V118&gt;0,CONCATENATE("less ",V118),CONCATENATE("more ",V118))</f>
        <v>#DIV/0!</v>
      </c>
      <c r="R129" s="52"/>
      <c r="S129" s="52" t="e">
        <f aca="false">IF(X118&gt;0,CONCATENATE("less ",X118),CONCATENATE("more ",X118))</f>
        <v>#DIV/0!</v>
      </c>
      <c r="T129" s="52"/>
    </row>
    <row r="130" customFormat="false" ht="30" hidden="false" customHeight="true" outlineLevel="0" collapsed="false">
      <c r="A130" s="53"/>
      <c r="C130" s="54"/>
      <c r="D130" s="54"/>
      <c r="E130" s="54"/>
      <c r="F130" s="54"/>
      <c r="G130" s="54"/>
      <c r="H130" s="54"/>
      <c r="I130" s="31"/>
      <c r="J130" s="55"/>
      <c r="K130" s="55"/>
      <c r="L130" s="55"/>
      <c r="M130" s="55"/>
      <c r="N130" s="55"/>
      <c r="O130" s="55"/>
      <c r="Q130" s="30"/>
      <c r="R130" s="30"/>
      <c r="S130" s="30"/>
      <c r="T130" s="30"/>
    </row>
    <row r="131" customFormat="false" ht="13.5" hidden="false" customHeight="true" outlineLevel="0" collapsed="false">
      <c r="A131" s="10" t="n">
        <v>8405</v>
      </c>
      <c r="C131" s="12" t="s">
        <v>4</v>
      </c>
      <c r="D131" s="12"/>
      <c r="E131" s="12"/>
      <c r="F131" s="12"/>
      <c r="G131" s="12"/>
      <c r="H131" s="12"/>
      <c r="J131" s="12" t="s">
        <v>5</v>
      </c>
      <c r="K131" s="12"/>
      <c r="L131" s="12"/>
      <c r="M131" s="12"/>
      <c r="N131" s="12"/>
      <c r="O131" s="12"/>
      <c r="Q131" s="12" t="s">
        <v>6</v>
      </c>
      <c r="R131" s="12"/>
      <c r="S131" s="12"/>
      <c r="T131" s="12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0"/>
      <c r="C132" s="14"/>
      <c r="D132" s="14"/>
      <c r="E132" s="14"/>
      <c r="F132" s="15"/>
      <c r="G132" s="15"/>
      <c r="H132" s="15"/>
      <c r="J132" s="16" t="n">
        <v>2.7</v>
      </c>
      <c r="K132" s="17" t="n">
        <v>3</v>
      </c>
      <c r="L132" s="17" t="n">
        <v>2.75</v>
      </c>
      <c r="M132" s="18" t="n">
        <v>2.75</v>
      </c>
      <c r="N132" s="18" t="n">
        <v>3</v>
      </c>
      <c r="O132" s="19" t="n">
        <v>2.7</v>
      </c>
      <c r="Q132" s="52" t="n">
        <f aca="false">MIN(J144:L144)/$M$1</f>
        <v>0</v>
      </c>
      <c r="R132" s="52"/>
      <c r="S132" s="28" t="n">
        <f aca="false">MIN(M144:O144)/$M$1</f>
        <v>0</v>
      </c>
      <c r="T132" s="28"/>
      <c r="V132" s="21" t="s">
        <v>8</v>
      </c>
      <c r="W132" s="21"/>
      <c r="X132" s="21"/>
    </row>
    <row r="133" customFormat="false" ht="13.5" hidden="false" customHeight="true" outlineLevel="0" collapsed="false">
      <c r="A133" s="10"/>
      <c r="C133" s="22"/>
      <c r="D133" s="22"/>
      <c r="E133" s="22"/>
      <c r="F133" s="23"/>
      <c r="G133" s="23"/>
      <c r="H133" s="23"/>
      <c r="J133" s="24" t="n">
        <v>2.7</v>
      </c>
      <c r="K133" s="25" t="n">
        <v>3</v>
      </c>
      <c r="L133" s="25" t="n">
        <v>2.7</v>
      </c>
      <c r="M133" s="26" t="n">
        <v>2.7</v>
      </c>
      <c r="N133" s="26" t="n">
        <v>3</v>
      </c>
      <c r="O133" s="27" t="n">
        <v>2.7</v>
      </c>
      <c r="Q133" s="52" t="n">
        <f aca="false">MIN(J145:L145)/$M$1</f>
        <v>0</v>
      </c>
      <c r="R133" s="52"/>
      <c r="S133" s="28" t="n">
        <f aca="false">MIN(M145:O145)/$M$1</f>
        <v>0</v>
      </c>
      <c r="T133" s="28"/>
      <c r="V133" s="29" t="e">
        <f aca="false">ROUNDUP(INDEX(LINEST(J140:L140,V131:X131,,1),1,1)*$Y$1,1)</f>
        <v>#DIV/0!</v>
      </c>
      <c r="W133" s="29"/>
      <c r="X133" s="30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0"/>
      <c r="J134" s="31"/>
      <c r="K134" s="31"/>
      <c r="L134" s="31"/>
      <c r="M134" s="31"/>
      <c r="N134" s="31"/>
      <c r="O134" s="31"/>
      <c r="V134" s="29" t="e">
        <f aca="false">ROUNDUP(INDEX(LINEST(J141:L141,V131:X131,,1),1,1)*$Y$1,1)</f>
        <v>#DIV/0!</v>
      </c>
      <c r="W134" s="29"/>
      <c r="X134" s="30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0"/>
      <c r="C135" s="12" t="s">
        <v>9</v>
      </c>
      <c r="D135" s="12"/>
      <c r="E135" s="12"/>
      <c r="F135" s="12"/>
      <c r="G135" s="12"/>
      <c r="H135" s="12"/>
      <c r="J135" s="32" t="s">
        <v>10</v>
      </c>
      <c r="K135" s="32"/>
      <c r="L135" s="32"/>
      <c r="M135" s="32"/>
      <c r="N135" s="32"/>
      <c r="O135" s="32"/>
      <c r="Q135" s="12" t="s">
        <v>11</v>
      </c>
      <c r="R135" s="12"/>
      <c r="S135" s="12"/>
      <c r="T135" s="12"/>
    </row>
    <row r="136" customFormat="false" ht="13.5" hidden="false" customHeight="true" outlineLevel="0" collapsed="false">
      <c r="A136" s="10"/>
      <c r="C136" s="16" t="n">
        <v>3.1</v>
      </c>
      <c r="D136" s="17" t="n">
        <v>3.13</v>
      </c>
      <c r="E136" s="17" t="n">
        <v>3.08</v>
      </c>
      <c r="F136" s="18" t="n">
        <v>3.18</v>
      </c>
      <c r="G136" s="18" t="n">
        <v>3.18</v>
      </c>
      <c r="H136" s="19" t="n">
        <v>3.24</v>
      </c>
      <c r="J136" s="33" t="n">
        <v>0.2</v>
      </c>
      <c r="K136" s="34" t="n">
        <v>0.2</v>
      </c>
      <c r="L136" s="34" t="n">
        <v>0.2</v>
      </c>
      <c r="M136" s="35" t="n">
        <v>0.2</v>
      </c>
      <c r="N136" s="35" t="n">
        <v>0.2</v>
      </c>
      <c r="O136" s="36" t="n">
        <v>0.2</v>
      </c>
      <c r="Q136" s="37" t="e">
        <f aca="false">SUM(J140:O140)/SUM(J140:O141)</f>
        <v>#DIV/0!</v>
      </c>
      <c r="R136" s="37"/>
      <c r="S136" s="37"/>
      <c r="T136" s="37"/>
    </row>
    <row r="137" customFormat="false" ht="13.5" hidden="false" customHeight="true" outlineLevel="0" collapsed="false">
      <c r="A137" s="10"/>
      <c r="C137" s="24" t="n">
        <v>2.96</v>
      </c>
      <c r="D137" s="25" t="n">
        <v>2.88</v>
      </c>
      <c r="E137" s="25" t="n">
        <v>2.87</v>
      </c>
      <c r="F137" s="26" t="n">
        <v>2.82</v>
      </c>
      <c r="G137" s="26" t="n">
        <v>2.94</v>
      </c>
      <c r="H137" s="27" t="n">
        <v>2.9</v>
      </c>
      <c r="J137" s="39" t="n">
        <v>0.2</v>
      </c>
      <c r="K137" s="40" t="n">
        <v>0.2</v>
      </c>
      <c r="L137" s="40" t="n">
        <v>0.2</v>
      </c>
      <c r="M137" s="41" t="n">
        <v>0.2</v>
      </c>
      <c r="N137" s="41" t="n">
        <v>0.2</v>
      </c>
      <c r="O137" s="42" t="n">
        <v>0.2</v>
      </c>
      <c r="Q137" s="37" t="e">
        <f aca="false">SUM(J141:O141)/SUM(J140:O141)</f>
        <v>#DIV/0!</v>
      </c>
      <c r="R137" s="37"/>
      <c r="S137" s="37"/>
      <c r="T137" s="37"/>
    </row>
    <row r="138" customFormat="false" ht="13.5" hidden="false" customHeight="false" outlineLevel="0" collapsed="false">
      <c r="A138" s="10"/>
      <c r="C138" s="31"/>
      <c r="D138" s="31"/>
      <c r="E138" s="31"/>
      <c r="F138" s="31"/>
      <c r="G138" s="31"/>
      <c r="H138" s="31"/>
    </row>
    <row r="139" customFormat="false" ht="13.5" hidden="false" customHeight="false" outlineLevel="0" collapsed="false">
      <c r="A139" s="10"/>
      <c r="C139" s="32" t="s">
        <v>12</v>
      </c>
      <c r="D139" s="32"/>
      <c r="E139" s="32"/>
      <c r="F139" s="32"/>
      <c r="G139" s="32"/>
      <c r="H139" s="32"/>
      <c r="J139" s="12" t="s">
        <v>13</v>
      </c>
      <c r="K139" s="12"/>
      <c r="L139" s="12"/>
      <c r="M139" s="12"/>
      <c r="N139" s="12"/>
      <c r="O139" s="12"/>
      <c r="Q139" s="12" t="s">
        <v>14</v>
      </c>
      <c r="R139" s="12"/>
      <c r="S139" s="12"/>
      <c r="T139" s="12"/>
      <c r="AK139" s="12" t="s">
        <v>13</v>
      </c>
      <c r="AL139" s="12"/>
      <c r="AM139" s="12"/>
      <c r="AN139" s="12"/>
      <c r="AO139" s="12"/>
      <c r="AP139" s="12"/>
      <c r="AQ139" s="12"/>
      <c r="AR139" s="12"/>
    </row>
    <row r="140" customFormat="false" ht="13.5" hidden="false" customHeight="false" outlineLevel="0" collapsed="false">
      <c r="A140" s="10"/>
      <c r="C140" s="33"/>
      <c r="D140" s="34"/>
      <c r="E140" s="34"/>
      <c r="F140" s="35"/>
      <c r="G140" s="35"/>
      <c r="H140" s="36"/>
      <c r="J140" s="43" t="e">
        <f aca="false">((C136-C140)/($C144*$F$1))/(J132-J136)</f>
        <v>#DIV/0!</v>
      </c>
      <c r="K140" s="44" t="e">
        <f aca="false">((D136-D140)/($C144*$F$1))/(K132-K136)</f>
        <v>#DIV/0!</v>
      </c>
      <c r="L140" s="44" t="e">
        <f aca="false">((E136-E140)/($C144*$F$1))/(L132-L136)</f>
        <v>#DIV/0!</v>
      </c>
      <c r="M140" s="44" t="e">
        <f aca="false">((F136-F140)/($C144*$F$1))/(M132-M136)</f>
        <v>#DIV/0!</v>
      </c>
      <c r="N140" s="44" t="e">
        <f aca="false">((G136-G140)/($C144*$F$1))/(N132-N136)</f>
        <v>#DIV/0!</v>
      </c>
      <c r="O140" s="45" t="e">
        <f aca="false">((H136-H140)/($C144*$F$1))/(O132-O136)</f>
        <v>#DIV/0!</v>
      </c>
      <c r="Q140" s="46" t="e">
        <f aca="false">SUM(J140:L141)/SUM(J140:O141)</f>
        <v>#DIV/0!</v>
      </c>
      <c r="R140" s="46"/>
      <c r="S140" s="46" t="e">
        <f aca="false">SUM(M140:O141)/SUM(J140:O141)</f>
        <v>#DIV/0!</v>
      </c>
      <c r="T140" s="46"/>
      <c r="AK140" s="47" t="e">
        <f aca="false">AVERAGE(J140:L140)</f>
        <v>#DIV/0!</v>
      </c>
      <c r="AL140" s="47"/>
      <c r="AM140" s="47"/>
      <c r="AN140" s="47"/>
      <c r="AO140" s="47" t="e">
        <f aca="false">AVERAGE(M140:O140)</f>
        <v>#DIV/0!</v>
      </c>
      <c r="AP140" s="47"/>
      <c r="AQ140" s="47"/>
      <c r="AR140" s="47"/>
    </row>
    <row r="141" customFormat="false" ht="13.5" hidden="false" customHeight="false" outlineLevel="0" collapsed="false">
      <c r="A141" s="10"/>
      <c r="C141" s="56"/>
      <c r="D141" s="57"/>
      <c r="E141" s="57"/>
      <c r="F141" s="41"/>
      <c r="G141" s="41"/>
      <c r="H141" s="42"/>
      <c r="I141" s="38"/>
      <c r="J141" s="43" t="e">
        <f aca="false">((C137-C141)/($C144*$F$1))/(J133-J137)</f>
        <v>#DIV/0!</v>
      </c>
      <c r="K141" s="44" t="e">
        <f aca="false">((D137-D141)/($C144*$F$1))/(K133-K137)</f>
        <v>#DIV/0!</v>
      </c>
      <c r="L141" s="44" t="e">
        <f aca="false">((E137-E141)/($C144*$F$1))/(L133-L137)</f>
        <v>#DIV/0!</v>
      </c>
      <c r="M141" s="44" t="e">
        <f aca="false">((F137-F141)/($C144*$F$1))/(M133-M137)</f>
        <v>#DIV/0!</v>
      </c>
      <c r="N141" s="44" t="e">
        <f aca="false">((G137-G141)/($C144*$F$1))/(N133-N137)</f>
        <v>#DIV/0!</v>
      </c>
      <c r="O141" s="45" t="e">
        <f aca="false">((H137-H141)/($C144*$F$1))/(O133-O137)</f>
        <v>#DIV/0!</v>
      </c>
      <c r="Q141" s="46"/>
      <c r="R141" s="46"/>
      <c r="S141" s="46"/>
      <c r="T141" s="46"/>
      <c r="AK141" s="47" t="e">
        <f aca="false">AVERAGE(J141:L141)</f>
        <v>#DIV/0!</v>
      </c>
      <c r="AL141" s="47"/>
      <c r="AM141" s="47"/>
      <c r="AN141" s="47"/>
      <c r="AO141" s="47" t="e">
        <f aca="false">AVERAGE(M141:O141)</f>
        <v>#DIV/0!</v>
      </c>
      <c r="AP141" s="47"/>
      <c r="AQ141" s="47"/>
      <c r="AR141" s="47"/>
    </row>
    <row r="142" customFormat="false" ht="13.5" hidden="false" customHeight="false" outlineLevel="0" collapsed="false">
      <c r="A142" s="10"/>
    </row>
    <row r="143" customFormat="false" ht="13.5" hidden="false" customHeight="false" outlineLevel="0" collapsed="false">
      <c r="A143" s="10"/>
      <c r="C143" s="12" t="s">
        <v>15</v>
      </c>
      <c r="D143" s="12"/>
      <c r="E143" s="12"/>
      <c r="F143" s="12"/>
      <c r="G143" s="12"/>
      <c r="H143" s="12"/>
      <c r="J143" s="12" t="s">
        <v>16</v>
      </c>
      <c r="K143" s="12"/>
      <c r="L143" s="12"/>
      <c r="M143" s="12"/>
      <c r="N143" s="12"/>
      <c r="O143" s="12"/>
      <c r="Q143" s="12" t="s">
        <v>17</v>
      </c>
      <c r="R143" s="12"/>
      <c r="S143" s="12"/>
      <c r="T143" s="12"/>
    </row>
    <row r="144" customFormat="false" ht="13.5" hidden="false" customHeight="false" outlineLevel="0" collapsed="false">
      <c r="A144" s="10"/>
      <c r="C144" s="8"/>
      <c r="D144" s="8"/>
      <c r="E144" s="8"/>
      <c r="F144" s="8"/>
      <c r="G144" s="8"/>
      <c r="H144" s="8"/>
      <c r="I144" s="31"/>
      <c r="J144" s="49" t="n">
        <f aca="false">C144*(J132-J136)/(C136-C140)</f>
        <v>0</v>
      </c>
      <c r="K144" s="50" t="n">
        <f aca="false">C144*(K132-K136)/(D136-D140)</f>
        <v>0</v>
      </c>
      <c r="L144" s="50" t="n">
        <f aca="false">$C144*(L132-L136)/(E136-E140)</f>
        <v>0</v>
      </c>
      <c r="M144" s="50" t="n">
        <f aca="false">$C144*(M132-M136)/(G136-G140)</f>
        <v>0</v>
      </c>
      <c r="N144" s="50" t="n">
        <f aca="false">$C144*(N132-N136)/(H136-H140)</f>
        <v>0</v>
      </c>
      <c r="O144" s="51" t="n">
        <f aca="false">C144*(O132-O136)/(H136-H140)</f>
        <v>0</v>
      </c>
      <c r="Q144" s="20" t="e">
        <f aca="false">IF(V133&gt;0,CONCATENATE("less ",V133),CONCATENATE("more ",V133))</f>
        <v>#DIV/0!</v>
      </c>
      <c r="R144" s="20"/>
      <c r="S144" s="52" t="e">
        <f aca="false">IF(X133&gt;0,CONCATENATE("less ",X133),CONCATENATE("more ",X133))</f>
        <v>#DIV/0!</v>
      </c>
      <c r="T144" s="52"/>
    </row>
    <row r="145" customFormat="false" ht="13.5" hidden="false" customHeight="false" outlineLevel="0" collapsed="false">
      <c r="A145" s="10"/>
      <c r="C145" s="8"/>
      <c r="D145" s="8"/>
      <c r="E145" s="8"/>
      <c r="F145" s="8"/>
      <c r="G145" s="8"/>
      <c r="H145" s="8"/>
      <c r="I145" s="31"/>
      <c r="J145" s="49" t="n">
        <f aca="false">C144*(J133-J137)/(C137-C141)</f>
        <v>0</v>
      </c>
      <c r="K145" s="50" t="n">
        <f aca="false">C144*(K133-K137)/(D137-D141)</f>
        <v>0</v>
      </c>
      <c r="L145" s="50" t="n">
        <f aca="false">$C144*(L133-L137)/(E137-E141)</f>
        <v>0</v>
      </c>
      <c r="M145" s="50" t="n">
        <f aca="false">$C144*(M133-M137)/(G137-G141)</f>
        <v>0</v>
      </c>
      <c r="N145" s="50" t="n">
        <f aca="false">$C144*(N133-N137)/(H137-H141)</f>
        <v>0</v>
      </c>
      <c r="O145" s="51" t="n">
        <f aca="false">C144*(O133-O137)/(H137-H141)</f>
        <v>0</v>
      </c>
      <c r="Q145" s="52" t="e">
        <f aca="false">IF(V134&gt;0,CONCATENATE("less ",V134),CONCATENATE("more ",V134))</f>
        <v>#DIV/0!</v>
      </c>
      <c r="R145" s="52"/>
      <c r="S145" s="52" t="e">
        <f aca="false">IF(X134&gt;0,CONCATENATE("less ",X134),CONCATENATE("more ",X134))</f>
        <v>#DIV/0!</v>
      </c>
      <c r="T145" s="52"/>
    </row>
    <row r="146" customFormat="false" ht="30" hidden="false" customHeight="true" outlineLevel="0" collapsed="false">
      <c r="A146" s="53"/>
      <c r="C146" s="54"/>
      <c r="D146" s="54"/>
      <c r="E146" s="54"/>
      <c r="F146" s="54"/>
      <c r="G146" s="54"/>
      <c r="H146" s="54"/>
      <c r="I146" s="31"/>
      <c r="J146" s="55"/>
      <c r="K146" s="55"/>
      <c r="L146" s="55"/>
      <c r="M146" s="55"/>
      <c r="N146" s="55"/>
      <c r="O146" s="55"/>
      <c r="Q146" s="30"/>
      <c r="R146" s="30"/>
      <c r="S146" s="30"/>
      <c r="T146" s="30"/>
    </row>
    <row r="147" customFormat="false" ht="13.5" hidden="false" customHeight="true" outlineLevel="0" collapsed="false">
      <c r="A147" s="10" t="n">
        <v>8406</v>
      </c>
      <c r="C147" s="12" t="s">
        <v>4</v>
      </c>
      <c r="D147" s="12"/>
      <c r="E147" s="12"/>
      <c r="F147" s="12"/>
      <c r="G147" s="12"/>
      <c r="H147" s="12"/>
      <c r="J147" s="12" t="s">
        <v>5</v>
      </c>
      <c r="K147" s="12"/>
      <c r="L147" s="12"/>
      <c r="M147" s="12"/>
      <c r="N147" s="12"/>
      <c r="O147" s="12"/>
      <c r="Q147" s="12" t="s">
        <v>6</v>
      </c>
      <c r="R147" s="12"/>
      <c r="S147" s="12"/>
      <c r="T147" s="12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0"/>
      <c r="C148" s="14"/>
      <c r="D148" s="14"/>
      <c r="E148" s="14"/>
      <c r="F148" s="15"/>
      <c r="G148" s="15"/>
      <c r="H148" s="15"/>
      <c r="J148" s="16" t="n">
        <v>2.7</v>
      </c>
      <c r="K148" s="17" t="n">
        <v>3</v>
      </c>
      <c r="L148" s="17" t="n">
        <v>2.75</v>
      </c>
      <c r="M148" s="18" t="n">
        <v>2.75</v>
      </c>
      <c r="N148" s="18" t="n">
        <v>3</v>
      </c>
      <c r="O148" s="19" t="n">
        <v>2.7</v>
      </c>
      <c r="Q148" s="52" t="n">
        <f aca="false">MIN(J160:L160)/$M$1</f>
        <v>0</v>
      </c>
      <c r="R148" s="52"/>
      <c r="S148" s="28" t="n">
        <f aca="false">MIN(M160:O160)/$M$1</f>
        <v>0</v>
      </c>
      <c r="T148" s="28"/>
      <c r="V148" s="21" t="s">
        <v>8</v>
      </c>
      <c r="W148" s="21"/>
      <c r="X148" s="21"/>
    </row>
    <row r="149" customFormat="false" ht="13.5" hidden="false" customHeight="true" outlineLevel="0" collapsed="false">
      <c r="A149" s="10"/>
      <c r="C149" s="22"/>
      <c r="D149" s="22"/>
      <c r="E149" s="22"/>
      <c r="F149" s="23"/>
      <c r="G149" s="23"/>
      <c r="H149" s="23"/>
      <c r="J149" s="24" t="n">
        <v>2.7</v>
      </c>
      <c r="K149" s="25" t="n">
        <v>3</v>
      </c>
      <c r="L149" s="25" t="n">
        <v>2.7</v>
      </c>
      <c r="M149" s="26" t="n">
        <v>2.7</v>
      </c>
      <c r="N149" s="26" t="n">
        <v>3</v>
      </c>
      <c r="O149" s="27" t="n">
        <v>2.7</v>
      </c>
      <c r="Q149" s="52" t="n">
        <f aca="false">MIN(J161:L161)/$M$1</f>
        <v>0</v>
      </c>
      <c r="R149" s="52"/>
      <c r="S149" s="28" t="n">
        <f aca="false">MIN(M161:O161)/$M$1</f>
        <v>0</v>
      </c>
      <c r="T149" s="28"/>
      <c r="V149" s="29" t="e">
        <f aca="false">ROUNDUP(INDEX(LINEST(J156:L156,V147:X147,,1),1,1)*$Y$1,1)</f>
        <v>#DIV/0!</v>
      </c>
      <c r="W149" s="29"/>
      <c r="X149" s="30" t="e">
        <f aca="false">-ROUNDUP(INDEX(LINEST(M156:O156,V147:X147,,1),1,1)*$Y$1,1)</f>
        <v>#DIV/0!</v>
      </c>
    </row>
    <row r="150" customFormat="false" ht="13.5" hidden="false" customHeight="true" outlineLevel="0" collapsed="false">
      <c r="A150" s="10"/>
      <c r="J150" s="31"/>
      <c r="K150" s="31"/>
      <c r="L150" s="31"/>
      <c r="M150" s="31"/>
      <c r="N150" s="31"/>
      <c r="O150" s="31"/>
      <c r="V150" s="29" t="e">
        <f aca="false">ROUNDUP(INDEX(LINEST(J157:L157,V147:X147,,1),1,1)*$Y$1,1)</f>
        <v>#DIV/0!</v>
      </c>
      <c r="W150" s="29"/>
      <c r="X150" s="30" t="e">
        <f aca="false">-ROUNDUP(INDEX(LINEST(M157:O157,V147:X147,,1),1,1)*$Y$1,1)</f>
        <v>#DIV/0!</v>
      </c>
    </row>
    <row r="151" customFormat="false" ht="13.5" hidden="false" customHeight="true" outlineLevel="0" collapsed="false">
      <c r="A151" s="10"/>
      <c r="C151" s="12" t="s">
        <v>9</v>
      </c>
      <c r="D151" s="12"/>
      <c r="E151" s="12"/>
      <c r="F151" s="12"/>
      <c r="G151" s="12"/>
      <c r="H151" s="12"/>
      <c r="J151" s="32" t="s">
        <v>10</v>
      </c>
      <c r="K151" s="32"/>
      <c r="L151" s="32"/>
      <c r="M151" s="32"/>
      <c r="N151" s="32"/>
      <c r="O151" s="32"/>
      <c r="Q151" s="12" t="s">
        <v>11</v>
      </c>
      <c r="R151" s="12"/>
      <c r="S151" s="12"/>
      <c r="T151" s="12"/>
    </row>
    <row r="152" customFormat="false" ht="13.5" hidden="false" customHeight="true" outlineLevel="0" collapsed="false">
      <c r="A152" s="10"/>
      <c r="C152" s="16" t="n">
        <v>3.08</v>
      </c>
      <c r="D152" s="17" t="n">
        <v>3.07</v>
      </c>
      <c r="E152" s="17" t="n">
        <v>3</v>
      </c>
      <c r="F152" s="18" t="n">
        <v>2.88</v>
      </c>
      <c r="G152" s="18" t="n">
        <v>2.99</v>
      </c>
      <c r="H152" s="19" t="n">
        <v>2.89</v>
      </c>
      <c r="J152" s="33" t="n">
        <v>0.2</v>
      </c>
      <c r="K152" s="34" t="n">
        <v>0.2</v>
      </c>
      <c r="L152" s="34" t="n">
        <v>0.2</v>
      </c>
      <c r="M152" s="35" t="n">
        <v>0.2</v>
      </c>
      <c r="N152" s="35" t="n">
        <v>0.2</v>
      </c>
      <c r="O152" s="36" t="n">
        <v>0.2</v>
      </c>
      <c r="Q152" s="37" t="e">
        <f aca="false">SUM(J156:O156)/SUM(J156:O157)</f>
        <v>#DIV/0!</v>
      </c>
      <c r="R152" s="37"/>
      <c r="S152" s="37"/>
      <c r="T152" s="37"/>
    </row>
    <row r="153" customFormat="false" ht="13.5" hidden="false" customHeight="true" outlineLevel="0" collapsed="false">
      <c r="A153" s="10"/>
      <c r="C153" s="24" t="n">
        <v>2.82</v>
      </c>
      <c r="D153" s="25" t="n">
        <v>2.84</v>
      </c>
      <c r="E153" s="25" t="n">
        <v>2.7</v>
      </c>
      <c r="F153" s="26" t="n">
        <v>2.87</v>
      </c>
      <c r="G153" s="26" t="n">
        <v>2.8</v>
      </c>
      <c r="H153" s="27" t="n">
        <v>2.78</v>
      </c>
      <c r="J153" s="39" t="n">
        <v>0.2</v>
      </c>
      <c r="K153" s="40" t="n">
        <v>0.2</v>
      </c>
      <c r="L153" s="40" t="n">
        <v>0.2</v>
      </c>
      <c r="M153" s="41" t="n">
        <v>0.2</v>
      </c>
      <c r="N153" s="41" t="n">
        <v>0.2</v>
      </c>
      <c r="O153" s="42" t="n">
        <v>0.2</v>
      </c>
      <c r="Q153" s="37" t="e">
        <f aca="false">SUM(J157:O157)/SUM(J156:O157)</f>
        <v>#DIV/0!</v>
      </c>
      <c r="R153" s="37"/>
      <c r="S153" s="37"/>
      <c r="T153" s="37"/>
    </row>
    <row r="154" customFormat="false" ht="13.5" hidden="false" customHeight="false" outlineLevel="0" collapsed="false">
      <c r="A154" s="10"/>
      <c r="C154" s="31"/>
      <c r="D154" s="31"/>
      <c r="E154" s="31"/>
      <c r="F154" s="31"/>
      <c r="G154" s="31"/>
      <c r="H154" s="31"/>
    </row>
    <row r="155" customFormat="false" ht="13.5" hidden="false" customHeight="false" outlineLevel="0" collapsed="false">
      <c r="A155" s="10"/>
      <c r="C155" s="32" t="s">
        <v>12</v>
      </c>
      <c r="D155" s="32"/>
      <c r="E155" s="32"/>
      <c r="F155" s="32"/>
      <c r="G155" s="32"/>
      <c r="H155" s="32"/>
      <c r="J155" s="12" t="s">
        <v>13</v>
      </c>
      <c r="K155" s="12"/>
      <c r="L155" s="12"/>
      <c r="M155" s="12"/>
      <c r="N155" s="12"/>
      <c r="O155" s="12"/>
      <c r="Q155" s="12" t="s">
        <v>14</v>
      </c>
      <c r="R155" s="12"/>
      <c r="S155" s="12"/>
      <c r="T155" s="12"/>
      <c r="AK155" s="12" t="s">
        <v>13</v>
      </c>
      <c r="AL155" s="12"/>
      <c r="AM155" s="12"/>
      <c r="AN155" s="12"/>
      <c r="AO155" s="12"/>
      <c r="AP155" s="12"/>
      <c r="AQ155" s="12"/>
      <c r="AR155" s="12"/>
    </row>
    <row r="156" customFormat="false" ht="13.5" hidden="false" customHeight="false" outlineLevel="0" collapsed="false">
      <c r="A156" s="10"/>
      <c r="C156" s="33"/>
      <c r="D156" s="34"/>
      <c r="E156" s="34"/>
      <c r="F156" s="35"/>
      <c r="G156" s="35"/>
      <c r="H156" s="36"/>
      <c r="J156" s="43" t="e">
        <f aca="false">((C152-C156)/($C160*$F$1))/(J148-J152)</f>
        <v>#DIV/0!</v>
      </c>
      <c r="K156" s="44" t="e">
        <f aca="false">((D152-D156)/($C160*$F$1))/(K148-K152)</f>
        <v>#DIV/0!</v>
      </c>
      <c r="L156" s="44" t="e">
        <f aca="false">((E152-E156)/($C160*$F$1))/(L148-L152)</f>
        <v>#DIV/0!</v>
      </c>
      <c r="M156" s="44" t="e">
        <f aca="false">((F152-F156)/($C160*$F$1))/(M148-M152)</f>
        <v>#DIV/0!</v>
      </c>
      <c r="N156" s="44" t="e">
        <f aca="false">((G152-G156)/($C160*$F$1))/(N148-N152)</f>
        <v>#DIV/0!</v>
      </c>
      <c r="O156" s="45" t="e">
        <f aca="false">((H152-H156)/($C160*$F$1))/(O148-O152)</f>
        <v>#DIV/0!</v>
      </c>
      <c r="Q156" s="46" t="e">
        <f aca="false">SUM(J156:L157)/SUM(J156:O157)</f>
        <v>#DIV/0!</v>
      </c>
      <c r="R156" s="46"/>
      <c r="S156" s="46" t="e">
        <f aca="false">SUM(M156:O157)/SUM(J156:O157)</f>
        <v>#DIV/0!</v>
      </c>
      <c r="T156" s="46"/>
      <c r="AK156" s="47" t="e">
        <f aca="false">AVERAGE(J156:L156)</f>
        <v>#DIV/0!</v>
      </c>
      <c r="AL156" s="47"/>
      <c r="AM156" s="47"/>
      <c r="AN156" s="47"/>
      <c r="AO156" s="47" t="e">
        <f aca="false">AVERAGE(M156:O156)</f>
        <v>#DIV/0!</v>
      </c>
      <c r="AP156" s="47"/>
      <c r="AQ156" s="47"/>
      <c r="AR156" s="47"/>
    </row>
    <row r="157" customFormat="false" ht="13.5" hidden="false" customHeight="false" outlineLevel="0" collapsed="false">
      <c r="A157" s="10"/>
      <c r="C157" s="56"/>
      <c r="D157" s="57"/>
      <c r="E157" s="57"/>
      <c r="F157" s="41"/>
      <c r="G157" s="41"/>
      <c r="H157" s="42"/>
      <c r="I157" s="38"/>
      <c r="J157" s="43" t="e">
        <f aca="false">((C153-C157)/($C160*$F$1))/(J149-J153)</f>
        <v>#DIV/0!</v>
      </c>
      <c r="K157" s="44" t="e">
        <f aca="false">((D153-D157)/($C160*$F$1))/(K149-K153)</f>
        <v>#DIV/0!</v>
      </c>
      <c r="L157" s="44" t="e">
        <f aca="false">((E153-E157)/($C160*$F$1))/(L149-L153)</f>
        <v>#DIV/0!</v>
      </c>
      <c r="M157" s="44" t="e">
        <f aca="false">((F153-F157)/($C160*$F$1))/(M149-M153)</f>
        <v>#DIV/0!</v>
      </c>
      <c r="N157" s="44" t="e">
        <f aca="false">((G153-G157)/($C160*$F$1))/(N149-N153)</f>
        <v>#DIV/0!</v>
      </c>
      <c r="O157" s="45" t="e">
        <f aca="false">((H153-H157)/($C160*$F$1))/(O149-O153)</f>
        <v>#DIV/0!</v>
      </c>
      <c r="Q157" s="46"/>
      <c r="R157" s="46"/>
      <c r="S157" s="46"/>
      <c r="T157" s="46"/>
      <c r="AK157" s="47" t="e">
        <f aca="false">AVERAGE(J157:L157)</f>
        <v>#DIV/0!</v>
      </c>
      <c r="AL157" s="47"/>
      <c r="AM157" s="47"/>
      <c r="AN157" s="47"/>
      <c r="AO157" s="47" t="e">
        <f aca="false">AVERAGE(M157:O157)</f>
        <v>#DIV/0!</v>
      </c>
      <c r="AP157" s="47"/>
      <c r="AQ157" s="47"/>
      <c r="AR157" s="47"/>
    </row>
    <row r="158" customFormat="false" ht="13.5" hidden="false" customHeight="false" outlineLevel="0" collapsed="false">
      <c r="A158" s="10"/>
    </row>
    <row r="159" customFormat="false" ht="13.5" hidden="false" customHeight="false" outlineLevel="0" collapsed="false">
      <c r="A159" s="10"/>
      <c r="C159" s="12" t="s">
        <v>15</v>
      </c>
      <c r="D159" s="12"/>
      <c r="E159" s="12"/>
      <c r="F159" s="12"/>
      <c r="G159" s="12"/>
      <c r="H159" s="12"/>
      <c r="J159" s="12" t="s">
        <v>16</v>
      </c>
      <c r="K159" s="12"/>
      <c r="L159" s="12"/>
      <c r="M159" s="12"/>
      <c r="N159" s="12"/>
      <c r="O159" s="12"/>
      <c r="Q159" s="12" t="s">
        <v>17</v>
      </c>
      <c r="R159" s="12"/>
      <c r="S159" s="12"/>
      <c r="T159" s="12"/>
    </row>
    <row r="160" customFormat="false" ht="13.5" hidden="false" customHeight="false" outlineLevel="0" collapsed="false">
      <c r="A160" s="10"/>
      <c r="C160" s="8"/>
      <c r="D160" s="8"/>
      <c r="E160" s="8"/>
      <c r="F160" s="8"/>
      <c r="G160" s="8"/>
      <c r="H160" s="8"/>
      <c r="I160" s="31"/>
      <c r="J160" s="49" t="n">
        <f aca="false">C160*(J148-J152)/(C152-C156)</f>
        <v>0</v>
      </c>
      <c r="K160" s="50" t="n">
        <f aca="false">C160*(K148-K152)/(D152-D156)</f>
        <v>0</v>
      </c>
      <c r="L160" s="50" t="n">
        <f aca="false">$C160*(L148-L152)/(E152-E156)</f>
        <v>0</v>
      </c>
      <c r="M160" s="50" t="n">
        <f aca="false">$C160*(M148-M152)/(G152-G156)</f>
        <v>0</v>
      </c>
      <c r="N160" s="50" t="n">
        <f aca="false">$C160*(N148-N152)/(H152-H156)</f>
        <v>0</v>
      </c>
      <c r="O160" s="51" t="n">
        <f aca="false">C160*(O148-O152)/(H152-H156)</f>
        <v>0</v>
      </c>
      <c r="Q160" s="20" t="e">
        <f aca="false">IF(V149&gt;0,CONCATENATE("less ",V149),CONCATENATE("more ",V149))</f>
        <v>#DIV/0!</v>
      </c>
      <c r="R160" s="20"/>
      <c r="S160" s="52" t="e">
        <f aca="false">IF(X149&gt;0,CONCATENATE("less ",X149),CONCATENATE("more ",X149))</f>
        <v>#DIV/0!</v>
      </c>
      <c r="T160" s="52"/>
    </row>
    <row r="161" customFormat="false" ht="13.5" hidden="false" customHeight="false" outlineLevel="0" collapsed="false">
      <c r="A161" s="10"/>
      <c r="C161" s="8"/>
      <c r="D161" s="8"/>
      <c r="E161" s="8"/>
      <c r="F161" s="8"/>
      <c r="G161" s="8"/>
      <c r="H161" s="8"/>
      <c r="I161" s="31"/>
      <c r="J161" s="49" t="n">
        <f aca="false">C160*(J149-J153)/(C153-C157)</f>
        <v>0</v>
      </c>
      <c r="K161" s="50" t="n">
        <f aca="false">C160*(K149-K153)/(D153-D157)</f>
        <v>0</v>
      </c>
      <c r="L161" s="50" t="n">
        <f aca="false">$C160*(L149-L153)/(E153-E157)</f>
        <v>0</v>
      </c>
      <c r="M161" s="50" t="n">
        <f aca="false">$C160*(M149-M153)/(G153-G157)</f>
        <v>0</v>
      </c>
      <c r="N161" s="50" t="n">
        <f aca="false">$C160*(N149-N153)/(H153-H157)</f>
        <v>0</v>
      </c>
      <c r="O161" s="51" t="n">
        <f aca="false">C160*(O149-O153)/(H153-H157)</f>
        <v>0</v>
      </c>
      <c r="Q161" s="52" t="e">
        <f aca="false">IF(V150&gt;0,CONCATENATE("less ",V150),CONCATENATE("more ",V150))</f>
        <v>#DIV/0!</v>
      </c>
      <c r="R161" s="52"/>
      <c r="S161" s="52" t="e">
        <f aca="false">IF(X150&gt;0,CONCATENATE("less ",X150),CONCATENATE("more ",X150))</f>
        <v>#DIV/0!</v>
      </c>
      <c r="T161" s="52"/>
    </row>
  </sheetData>
  <mergeCells count="386">
    <mergeCell ref="C1:E1"/>
    <mergeCell ref="F1:H1"/>
    <mergeCell ref="J1:L1"/>
    <mergeCell ref="M1:O1"/>
    <mergeCell ref="V1:X1"/>
    <mergeCell ref="Y1:AB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902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2021-07-16T08:15:56Z</dcterms:created>
  <dc:creator>Stefano.Rapisarda</dc:creator>
  <dc:description/>
  <dc:language>en-GB</dc:language>
  <cp:lastModifiedBy/>
  <dcterms:modified xsi:type="dcterms:W3CDTF">2021-07-18T15:27:57Z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