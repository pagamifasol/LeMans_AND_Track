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105.50\scg007c_data\Car01\01_Calibration\CarMaps\"/>
    </mc:Choice>
  </mc:AlternateContent>
  <xr:revisionPtr revIDLastSave="0" documentId="8_{DE57442A-C250-49DD-80B0-6F6F905FF480}" xr6:coauthVersionLast="46" xr6:coauthVersionMax="46" xr10:uidLastSave="{00000000-0000-0000-0000-000000000000}"/>
  <bookViews>
    <workbookView xWindow="-120" yWindow="-120" windowWidth="29040" windowHeight="15840" xr2:uid="{52A7F056-D360-4B94-91CB-10008112C7A1}"/>
  </bookViews>
  <sheets>
    <sheet name="TC2.1-slip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7" i="1" l="1"/>
  <c r="Q46" i="1"/>
  <c r="Q45" i="1"/>
  <c r="Q44" i="1"/>
  <c r="Q43" i="1"/>
  <c r="Q42" i="1"/>
  <c r="Q41" i="1"/>
  <c r="I36" i="1"/>
  <c r="H36" i="1"/>
  <c r="G36" i="1"/>
  <c r="F36" i="1"/>
  <c r="E36" i="1"/>
  <c r="D36" i="1"/>
  <c r="C36" i="1"/>
  <c r="Q35" i="1"/>
  <c r="O35" i="1"/>
  <c r="M35" i="1"/>
  <c r="I35" i="1"/>
  <c r="H35" i="1"/>
  <c r="Q34" i="1" s="1"/>
  <c r="G35" i="1"/>
  <c r="F35" i="1"/>
  <c r="Q32" i="1" s="1"/>
  <c r="E35" i="1"/>
  <c r="Q31" i="1" s="1"/>
  <c r="D35" i="1"/>
  <c r="Q30" i="1" s="1"/>
  <c r="C35" i="1"/>
  <c r="Q29" i="1" s="1"/>
  <c r="N34" i="1"/>
  <c r="M34" i="1"/>
  <c r="Q33" i="1"/>
  <c r="P33" i="1"/>
  <c r="M33" i="1"/>
  <c r="P32" i="1"/>
  <c r="N32" i="1"/>
  <c r="M32" i="1"/>
  <c r="M31" i="1"/>
  <c r="P30" i="1"/>
  <c r="O30" i="1"/>
  <c r="M30" i="1"/>
  <c r="O29" i="1"/>
  <c r="N29" i="1"/>
  <c r="M29" i="1"/>
  <c r="I28" i="1"/>
  <c r="H28" i="1"/>
  <c r="G28" i="1"/>
  <c r="F28" i="1"/>
  <c r="E28" i="1"/>
  <c r="D28" i="1"/>
  <c r="C28" i="1"/>
  <c r="I27" i="1"/>
  <c r="P35" i="1" s="1"/>
  <c r="H27" i="1"/>
  <c r="P34" i="1" s="1"/>
  <c r="G27" i="1"/>
  <c r="F27" i="1"/>
  <c r="E27" i="1"/>
  <c r="P31" i="1" s="1"/>
  <c r="D27" i="1"/>
  <c r="C27" i="1"/>
  <c r="P29" i="1" s="1"/>
  <c r="I20" i="1"/>
  <c r="H20" i="1"/>
  <c r="G20" i="1"/>
  <c r="F20" i="1"/>
  <c r="E20" i="1"/>
  <c r="D20" i="1"/>
  <c r="C20" i="1"/>
  <c r="I19" i="1"/>
  <c r="H19" i="1"/>
  <c r="O34" i="1" s="1"/>
  <c r="G19" i="1"/>
  <c r="O33" i="1" s="1"/>
  <c r="F19" i="1"/>
  <c r="O32" i="1" s="1"/>
  <c r="E19" i="1"/>
  <c r="O31" i="1" s="1"/>
  <c r="D19" i="1"/>
  <c r="C19" i="1"/>
  <c r="I12" i="1"/>
  <c r="H12" i="1"/>
  <c r="G12" i="1"/>
  <c r="F12" i="1"/>
  <c r="E12" i="1"/>
  <c r="D12" i="1"/>
  <c r="C12" i="1"/>
  <c r="I11" i="1"/>
  <c r="N35" i="1" s="1"/>
  <c r="H11" i="1"/>
  <c r="G11" i="1"/>
  <c r="N33" i="1" s="1"/>
  <c r="F11" i="1"/>
  <c r="E11" i="1"/>
  <c r="N31" i="1" s="1"/>
  <c r="D11" i="1"/>
  <c r="N30" i="1" s="1"/>
  <c r="C11" i="1"/>
</calcChain>
</file>

<file path=xl/sharedStrings.xml><?xml version="1.0" encoding="utf-8"?>
<sst xmlns="http://schemas.openxmlformats.org/spreadsheetml/2006/main" count="40" uniqueCount="16">
  <si>
    <t>speed</t>
  </si>
  <si>
    <t>accy_yaw_max</t>
  </si>
  <si>
    <t>min</t>
  </si>
  <si>
    <t>accy_max</t>
  </si>
  <si>
    <t>max</t>
  </si>
  <si>
    <t>80 km/h</t>
  </si>
  <si>
    <t>raccy_yaw</t>
  </si>
  <si>
    <t>ratio</t>
  </si>
  <si>
    <t>slip_nom</t>
  </si>
  <si>
    <t>accy_yaw</t>
  </si>
  <si>
    <t>160 km/h</t>
  </si>
  <si>
    <t>240 km/h</t>
  </si>
  <si>
    <t>SLIP_NOM</t>
  </si>
  <si>
    <t>320 km/h</t>
  </si>
  <si>
    <t>slip_nom_gain</t>
  </si>
  <si>
    <t>slip_knob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</si>
</sst>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6" xfId="0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0" xfId="0" applyFill="1"/>
    <xf numFmtId="0" fontId="0" fillId="3" borderId="10" xfId="0" applyFill="1" applyBorder="1"/>
    <xf numFmtId="164" fontId="0" fillId="0" borderId="0" xfId="0" applyNumberFormat="1"/>
    <xf numFmtId="164" fontId="0" fillId="0" borderId="10" xfId="0" applyNumberFormat="1" applyBorder="1"/>
    <xf numFmtId="0" fontId="0" fillId="3" borderId="11" xfId="0" applyFill="1" applyBorder="1"/>
    <xf numFmtId="164" fontId="0" fillId="0" borderId="12" xfId="0" applyNumberFormat="1" applyBorder="1"/>
    <xf numFmtId="164" fontId="0" fillId="0" borderId="13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2" fontId="0" fillId="0" borderId="0" xfId="0" applyNumberFormat="1"/>
    <xf numFmtId="0" fontId="0" fillId="2" borderId="10" xfId="0" applyFill="1" applyBorder="1"/>
    <xf numFmtId="0" fontId="0" fillId="0" borderId="11" xfId="0" applyBorder="1"/>
    <xf numFmtId="0" fontId="0" fillId="0" borderId="12" xfId="0" applyBorder="1"/>
    <xf numFmtId="2" fontId="0" fillId="0" borderId="12" xfId="0" applyNumberFormat="1" applyBorder="1"/>
    <xf numFmtId="0" fontId="0" fillId="2" borderId="1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slip_nom</a:t>
            </a:r>
            <a:r>
              <a:rPr lang="en-GB" baseline="0"/>
              <a:t> vs accy_from_yaw_abs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'TC2.1-slip'!$B$8</c:f>
              <c:strCache>
                <c:ptCount val="1"/>
                <c:pt idx="0">
                  <c:v>80 km/h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'TC2.1-slip'!$C$12:$I$12</c:f>
              <c:numCache>
                <c:formatCode>General</c:formatCode>
                <c:ptCount val="7"/>
                <c:pt idx="0">
                  <c:v>0</c:v>
                </c:pt>
                <c:pt idx="1">
                  <c:v>0.45</c:v>
                </c:pt>
                <c:pt idx="2">
                  <c:v>0.9</c:v>
                </c:pt>
                <c:pt idx="3">
                  <c:v>1.08</c:v>
                </c:pt>
                <c:pt idx="4">
                  <c:v>1.26</c:v>
                </c:pt>
                <c:pt idx="5">
                  <c:v>1.4400000000000002</c:v>
                </c:pt>
                <c:pt idx="6">
                  <c:v>1.8</c:v>
                </c:pt>
              </c:numCache>
            </c:numRef>
          </c:xVal>
          <c:yVal>
            <c:numRef>
              <c:f>'TC2.1-slip'!$C$11:$I$11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7.3</c:v>
                </c:pt>
                <c:pt idx="3">
                  <c:v>6.6</c:v>
                </c:pt>
                <c:pt idx="4">
                  <c:v>5.9</c:v>
                </c:pt>
                <c:pt idx="5">
                  <c:v>4.8499999999999996</c:v>
                </c:pt>
                <c:pt idx="6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3C-407B-8572-1C2E745F9391}"/>
            </c:ext>
          </c:extLst>
        </c:ser>
        <c:ser>
          <c:idx val="1"/>
          <c:order val="1"/>
          <c:tx>
            <c:strRef>
              <c:f>'TC2.1-slip'!$B$16</c:f>
              <c:strCache>
                <c:ptCount val="1"/>
                <c:pt idx="0">
                  <c:v>160 km/h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'TC2.1-slip'!$C$20:$I$20</c:f>
              <c:numCache>
                <c:formatCode>General</c:formatCode>
                <c:ptCount val="7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  <c:pt idx="3">
                  <c:v>1.44</c:v>
                </c:pt>
                <c:pt idx="4">
                  <c:v>1.68</c:v>
                </c:pt>
                <c:pt idx="5">
                  <c:v>1.92</c:v>
                </c:pt>
                <c:pt idx="6">
                  <c:v>2.4</c:v>
                </c:pt>
              </c:numCache>
            </c:numRef>
          </c:xVal>
          <c:yVal>
            <c:numRef>
              <c:f>'TC2.1-slip'!$C$19:$I$19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7.1000000000000005</c:v>
                </c:pt>
                <c:pt idx="3">
                  <c:v>6.2</c:v>
                </c:pt>
                <c:pt idx="4">
                  <c:v>5.3000000000000007</c:v>
                </c:pt>
                <c:pt idx="5">
                  <c:v>3.95</c:v>
                </c:pt>
                <c:pt idx="6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3C-407B-8572-1C2E745F9391}"/>
            </c:ext>
          </c:extLst>
        </c:ser>
        <c:ser>
          <c:idx val="2"/>
          <c:order val="2"/>
          <c:tx>
            <c:strRef>
              <c:f>'TC2.1-slip'!$B$24</c:f>
              <c:strCache>
                <c:ptCount val="1"/>
                <c:pt idx="0">
                  <c:v>240 km/h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'TC2.1-slip'!$C$28:$I$28</c:f>
              <c:numCache>
                <c:formatCode>General</c:formatCode>
                <c:ptCount val="7"/>
                <c:pt idx="0">
                  <c:v>0</c:v>
                </c:pt>
                <c:pt idx="1">
                  <c:v>0.67500000000000004</c:v>
                </c:pt>
                <c:pt idx="2">
                  <c:v>1.35</c:v>
                </c:pt>
                <c:pt idx="3">
                  <c:v>1.62</c:v>
                </c:pt>
                <c:pt idx="4">
                  <c:v>1.89</c:v>
                </c:pt>
                <c:pt idx="5">
                  <c:v>2.16</c:v>
                </c:pt>
                <c:pt idx="6">
                  <c:v>2.7</c:v>
                </c:pt>
              </c:numCache>
            </c:numRef>
          </c:xVal>
          <c:yVal>
            <c:numRef>
              <c:f>'TC2.1-slip'!$C$27:$I$27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3.5</c:v>
                </c:pt>
                <c:pt idx="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3C-407B-8572-1C2E745F9391}"/>
            </c:ext>
          </c:extLst>
        </c:ser>
        <c:ser>
          <c:idx val="3"/>
          <c:order val="3"/>
          <c:tx>
            <c:strRef>
              <c:f>'TC2.1-slip'!$B$32</c:f>
              <c:strCache>
                <c:ptCount val="1"/>
                <c:pt idx="0">
                  <c:v>320 km/h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'TC2.1-slip'!$C$36:$I$36</c:f>
              <c:numCache>
                <c:formatCode>General</c:formatCode>
                <c:ptCount val="7"/>
                <c:pt idx="0">
                  <c:v>0</c:v>
                </c:pt>
                <c:pt idx="1">
                  <c:v>0.75</c:v>
                </c:pt>
                <c:pt idx="2">
                  <c:v>1.5</c:v>
                </c:pt>
                <c:pt idx="3">
                  <c:v>1.7999999999999998</c:v>
                </c:pt>
                <c:pt idx="4">
                  <c:v>2.0999999999999996</c:v>
                </c:pt>
                <c:pt idx="5">
                  <c:v>2.4000000000000004</c:v>
                </c:pt>
                <c:pt idx="6">
                  <c:v>3</c:v>
                </c:pt>
              </c:numCache>
            </c:numRef>
          </c:xVal>
          <c:yVal>
            <c:numRef>
              <c:f>'TC2.1-slip'!$C$35:$I$35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3.5</c:v>
                </c:pt>
                <c:pt idx="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3C-407B-8572-1C2E745F9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647679"/>
        <c:axId val="2133657247"/>
      </c:scatterChart>
      <c:valAx>
        <c:axId val="2133647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657247"/>
        <c:crosses val="autoZero"/>
        <c:crossBetween val="midCat"/>
      </c:valAx>
      <c:valAx>
        <c:axId val="213365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647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slip_nom</a:t>
            </a:r>
            <a:r>
              <a:rPr lang="en-GB" baseline="0"/>
              <a:t> vs accy_from_yaw_abs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'TC2.1-slip'!$B$8</c:f>
              <c:strCache>
                <c:ptCount val="1"/>
                <c:pt idx="0">
                  <c:v>80 km/h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'TC2.1-slip'!$C$9:$I$9</c:f>
              <c:numCache>
                <c:formatCode>General</c:formatCode>
                <c:ptCount val="7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0.6</c:v>
                </c:pt>
                <c:pt idx="4">
                  <c:v>0.7</c:v>
                </c:pt>
                <c:pt idx="5">
                  <c:v>0.8</c:v>
                </c:pt>
                <c:pt idx="6">
                  <c:v>1</c:v>
                </c:pt>
              </c:numCache>
            </c:numRef>
          </c:xVal>
          <c:yVal>
            <c:numRef>
              <c:f>'TC2.1-slip'!$C$11:$I$11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7.3</c:v>
                </c:pt>
                <c:pt idx="3">
                  <c:v>6.6</c:v>
                </c:pt>
                <c:pt idx="4">
                  <c:v>5.9</c:v>
                </c:pt>
                <c:pt idx="5">
                  <c:v>4.8499999999999996</c:v>
                </c:pt>
                <c:pt idx="6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92-4832-A4C6-F3E48058ACE1}"/>
            </c:ext>
          </c:extLst>
        </c:ser>
        <c:ser>
          <c:idx val="1"/>
          <c:order val="1"/>
          <c:tx>
            <c:strRef>
              <c:f>'TC2.1-slip'!$B$16</c:f>
              <c:strCache>
                <c:ptCount val="1"/>
                <c:pt idx="0">
                  <c:v>160 km/h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'TC2.1-slip'!$C$17:$I$17</c:f>
              <c:numCache>
                <c:formatCode>General</c:formatCode>
                <c:ptCount val="7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0.6</c:v>
                </c:pt>
                <c:pt idx="4">
                  <c:v>0.7</c:v>
                </c:pt>
                <c:pt idx="5">
                  <c:v>0.8</c:v>
                </c:pt>
                <c:pt idx="6">
                  <c:v>1</c:v>
                </c:pt>
              </c:numCache>
            </c:numRef>
          </c:xVal>
          <c:yVal>
            <c:numRef>
              <c:f>'TC2.1-slip'!$C$19:$I$19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7.1000000000000005</c:v>
                </c:pt>
                <c:pt idx="3">
                  <c:v>6.2</c:v>
                </c:pt>
                <c:pt idx="4">
                  <c:v>5.3000000000000007</c:v>
                </c:pt>
                <c:pt idx="5">
                  <c:v>3.95</c:v>
                </c:pt>
                <c:pt idx="6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92-4832-A4C6-F3E48058ACE1}"/>
            </c:ext>
          </c:extLst>
        </c:ser>
        <c:ser>
          <c:idx val="2"/>
          <c:order val="2"/>
          <c:tx>
            <c:strRef>
              <c:f>'TC2.1-slip'!$B$24</c:f>
              <c:strCache>
                <c:ptCount val="1"/>
                <c:pt idx="0">
                  <c:v>240 km/h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'TC2.1-slip'!$C$25:$I$25</c:f>
              <c:numCache>
                <c:formatCode>General</c:formatCode>
                <c:ptCount val="7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0.6</c:v>
                </c:pt>
                <c:pt idx="4">
                  <c:v>0.7</c:v>
                </c:pt>
                <c:pt idx="5">
                  <c:v>0.8</c:v>
                </c:pt>
                <c:pt idx="6">
                  <c:v>1</c:v>
                </c:pt>
              </c:numCache>
            </c:numRef>
          </c:xVal>
          <c:yVal>
            <c:numRef>
              <c:f>'TC2.1-slip'!$C$27:$I$27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3.5</c:v>
                </c:pt>
                <c:pt idx="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92-4832-A4C6-F3E48058ACE1}"/>
            </c:ext>
          </c:extLst>
        </c:ser>
        <c:ser>
          <c:idx val="3"/>
          <c:order val="3"/>
          <c:tx>
            <c:strRef>
              <c:f>'TC2.1-slip'!$B$32</c:f>
              <c:strCache>
                <c:ptCount val="1"/>
                <c:pt idx="0">
                  <c:v>320 km/h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'TC2.1-slip'!$C$33:$I$33</c:f>
              <c:numCache>
                <c:formatCode>General</c:formatCode>
                <c:ptCount val="7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0.6</c:v>
                </c:pt>
                <c:pt idx="4">
                  <c:v>0.7</c:v>
                </c:pt>
                <c:pt idx="5">
                  <c:v>0.8</c:v>
                </c:pt>
                <c:pt idx="6">
                  <c:v>1</c:v>
                </c:pt>
              </c:numCache>
            </c:numRef>
          </c:xVal>
          <c:yVal>
            <c:numRef>
              <c:f>'TC2.1-slip'!$C$35:$I$35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3.5</c:v>
                </c:pt>
                <c:pt idx="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92-4832-A4C6-F3E48058A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647679"/>
        <c:axId val="2133657247"/>
      </c:scatterChart>
      <c:valAx>
        <c:axId val="2133647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657247"/>
        <c:crosses val="autoZero"/>
        <c:crossBetween val="midCat"/>
      </c:valAx>
      <c:valAx>
        <c:axId val="213365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647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</xdr:colOff>
      <xdr:row>7</xdr:row>
      <xdr:rowOff>61912</xdr:rowOff>
    </xdr:from>
    <xdr:to>
      <xdr:col>17</xdr:col>
      <xdr:colOff>371475</xdr:colOff>
      <xdr:row>23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DBAF3C-0323-431B-A38C-869A21ED54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409575</xdr:colOff>
      <xdr:row>6</xdr:row>
      <xdr:rowOff>147637</xdr:rowOff>
    </xdr:from>
    <xdr:to>
      <xdr:col>28</xdr:col>
      <xdr:colOff>104775</xdr:colOff>
      <xdr:row>23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790A70-CBA0-4D92-A303-B29B146B8C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fano.rapisarda\Desktop\0005_2021-04-19_21T05-Vallelunga-Set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C2.1-ff"/>
      <sheetName val="TC2.1-slip"/>
      <sheetName val="TC2"/>
      <sheetName val="SETUP-SHEET for 21T05 WIP"/>
      <sheetName val="Setup_Log"/>
      <sheetName val="01_Aerodynamics"/>
      <sheetName val="02_3rd elements"/>
      <sheetName val="03_Anti-Roll Bars"/>
      <sheetName val="04_Springs"/>
      <sheetName val="05_Bump-stops"/>
      <sheetName val="06_Dampers"/>
      <sheetName val="07_Brakes"/>
      <sheetName val="08_Gearbox"/>
      <sheetName val="09_Differential"/>
      <sheetName val="10_Engine"/>
      <sheetName val="11_Traction Control"/>
      <sheetName val="12_Kinematics"/>
      <sheetName val="13_Ballast"/>
      <sheetName val="14_Bodywork"/>
      <sheetName val="_calculations"/>
      <sheetName val="_constants"/>
      <sheetName val="08b_Gearbox_Long-Proposal"/>
      <sheetName val="LoadCell"/>
      <sheetName val="TC_DRY"/>
      <sheetName val="TC_DRY (2)"/>
      <sheetName val="TC_WET"/>
      <sheetName val="Thermax"/>
      <sheetName val="_todo"/>
      <sheetName val="SETUP-SHEET_After21T03"/>
    </sheetNames>
    <sheetDataSet>
      <sheetData sheetId="0"/>
      <sheetData sheetId="1">
        <row r="8">
          <cell r="B8" t="str">
            <v>80 km/h</v>
          </cell>
        </row>
        <row r="9">
          <cell r="C9">
            <v>0</v>
          </cell>
          <cell r="D9">
            <v>0.25</v>
          </cell>
          <cell r="E9">
            <v>0.5</v>
          </cell>
          <cell r="F9">
            <v>0.6</v>
          </cell>
          <cell r="G9">
            <v>0.7</v>
          </cell>
          <cell r="H9">
            <v>0.8</v>
          </cell>
          <cell r="I9">
            <v>1</v>
          </cell>
        </row>
        <row r="11">
          <cell r="C11">
            <v>8</v>
          </cell>
          <cell r="D11">
            <v>8</v>
          </cell>
          <cell r="E11">
            <v>7.3</v>
          </cell>
          <cell r="F11">
            <v>6.6</v>
          </cell>
          <cell r="G11">
            <v>5.9</v>
          </cell>
          <cell r="H11">
            <v>4.8499999999999996</v>
          </cell>
          <cell r="I11">
            <v>4.5</v>
          </cell>
        </row>
        <row r="12">
          <cell r="C12">
            <v>0</v>
          </cell>
          <cell r="D12">
            <v>0.45</v>
          </cell>
          <cell r="E12">
            <v>0.9</v>
          </cell>
          <cell r="F12">
            <v>1.08</v>
          </cell>
          <cell r="G12">
            <v>1.26</v>
          </cell>
          <cell r="H12">
            <v>1.4400000000000002</v>
          </cell>
          <cell r="I12">
            <v>1.8</v>
          </cell>
        </row>
        <row r="16">
          <cell r="B16" t="str">
            <v>160 km/h</v>
          </cell>
        </row>
        <row r="17">
          <cell r="C17">
            <v>0</v>
          </cell>
          <cell r="D17">
            <v>0.25</v>
          </cell>
          <cell r="E17">
            <v>0.5</v>
          </cell>
          <cell r="F17">
            <v>0.6</v>
          </cell>
          <cell r="G17">
            <v>0.7</v>
          </cell>
          <cell r="H17">
            <v>0.8</v>
          </cell>
          <cell r="I17">
            <v>1</v>
          </cell>
        </row>
        <row r="19">
          <cell r="C19">
            <v>8</v>
          </cell>
          <cell r="D19">
            <v>8</v>
          </cell>
          <cell r="E19">
            <v>7.1000000000000005</v>
          </cell>
          <cell r="F19">
            <v>6.2</v>
          </cell>
          <cell r="G19">
            <v>5.3000000000000007</v>
          </cell>
          <cell r="H19">
            <v>3.95</v>
          </cell>
          <cell r="I19">
            <v>3.5</v>
          </cell>
        </row>
        <row r="20">
          <cell r="C20">
            <v>0</v>
          </cell>
          <cell r="D20">
            <v>0.6</v>
          </cell>
          <cell r="E20">
            <v>1.2</v>
          </cell>
          <cell r="F20">
            <v>1.44</v>
          </cell>
          <cell r="G20">
            <v>1.68</v>
          </cell>
          <cell r="H20">
            <v>1.92</v>
          </cell>
          <cell r="I20">
            <v>2.4</v>
          </cell>
        </row>
        <row r="24">
          <cell r="B24" t="str">
            <v>240 km/h</v>
          </cell>
        </row>
        <row r="25">
          <cell r="C25">
            <v>0</v>
          </cell>
          <cell r="D25">
            <v>0.25</v>
          </cell>
          <cell r="E25">
            <v>0.5</v>
          </cell>
          <cell r="F25">
            <v>0.6</v>
          </cell>
          <cell r="G25">
            <v>0.7</v>
          </cell>
          <cell r="H25">
            <v>0.8</v>
          </cell>
          <cell r="I25">
            <v>1</v>
          </cell>
        </row>
        <row r="27">
          <cell r="C27">
            <v>8</v>
          </cell>
          <cell r="D27">
            <v>8</v>
          </cell>
          <cell r="E27">
            <v>7</v>
          </cell>
          <cell r="F27">
            <v>6</v>
          </cell>
          <cell r="G27">
            <v>5</v>
          </cell>
          <cell r="H27">
            <v>3.5</v>
          </cell>
          <cell r="I27">
            <v>3</v>
          </cell>
        </row>
        <row r="28">
          <cell r="C28">
            <v>0</v>
          </cell>
          <cell r="D28">
            <v>0.67500000000000004</v>
          </cell>
          <cell r="E28">
            <v>1.35</v>
          </cell>
          <cell r="F28">
            <v>1.62</v>
          </cell>
          <cell r="G28">
            <v>1.89</v>
          </cell>
          <cell r="H28">
            <v>2.16</v>
          </cell>
          <cell r="I28">
            <v>2.7</v>
          </cell>
        </row>
        <row r="32">
          <cell r="B32" t="str">
            <v>320 km/h</v>
          </cell>
        </row>
        <row r="33">
          <cell r="C33">
            <v>0</v>
          </cell>
          <cell r="D33">
            <v>0.25</v>
          </cell>
          <cell r="E33">
            <v>0.5</v>
          </cell>
          <cell r="F33">
            <v>0.6</v>
          </cell>
          <cell r="G33">
            <v>0.7</v>
          </cell>
          <cell r="H33">
            <v>0.8</v>
          </cell>
          <cell r="I33">
            <v>1</v>
          </cell>
        </row>
        <row r="35">
          <cell r="C35">
            <v>8</v>
          </cell>
          <cell r="D35">
            <v>8</v>
          </cell>
          <cell r="E35">
            <v>7</v>
          </cell>
          <cell r="F35">
            <v>6</v>
          </cell>
          <cell r="G35">
            <v>5</v>
          </cell>
          <cell r="H35">
            <v>3.5</v>
          </cell>
          <cell r="I35">
            <v>3</v>
          </cell>
        </row>
        <row r="36">
          <cell r="C36">
            <v>0</v>
          </cell>
          <cell r="D36">
            <v>0.75</v>
          </cell>
          <cell r="E36">
            <v>1.5</v>
          </cell>
          <cell r="F36">
            <v>1.7999999999999998</v>
          </cell>
          <cell r="G36">
            <v>2.0999999999999996</v>
          </cell>
          <cell r="H36">
            <v>2.4000000000000004</v>
          </cell>
          <cell r="I36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92576-63DC-422C-80CA-CF8E0F778FD8}">
  <dimension ref="B1:AD47"/>
  <sheetViews>
    <sheetView tabSelected="1" workbookViewId="0">
      <selection activeCell="C6" sqref="C6"/>
    </sheetView>
  </sheetViews>
  <sheetFormatPr defaultRowHeight="15" x14ac:dyDescent="0.25"/>
  <cols>
    <col min="1" max="1" width="3.7109375" customWidth="1"/>
    <col min="2" max="2" width="15" customWidth="1"/>
    <col min="3" max="3" width="9.7109375" customWidth="1"/>
    <col min="5" max="5" width="10.42578125" customWidth="1"/>
    <col min="12" max="12" width="9.5703125" customWidth="1"/>
    <col min="13" max="13" width="10.85546875" customWidth="1"/>
    <col min="15" max="15" width="9.140625" customWidth="1"/>
  </cols>
  <sheetData>
    <row r="1" spans="2:20" ht="15.75" thickBot="1" x14ac:dyDescent="0.3"/>
    <row r="2" spans="2:20" x14ac:dyDescent="0.25">
      <c r="B2" s="1" t="s">
        <v>0</v>
      </c>
      <c r="C2">
        <v>80</v>
      </c>
      <c r="D2">
        <v>160</v>
      </c>
      <c r="E2">
        <v>240</v>
      </c>
      <c r="F2">
        <v>320</v>
      </c>
    </row>
    <row r="3" spans="2:20" ht="15.75" thickBot="1" x14ac:dyDescent="0.3">
      <c r="B3" s="2" t="s">
        <v>1</v>
      </c>
      <c r="C3">
        <v>1.8</v>
      </c>
      <c r="D3">
        <v>2.4</v>
      </c>
      <c r="E3">
        <v>2.7</v>
      </c>
      <c r="F3">
        <v>3</v>
      </c>
    </row>
    <row r="6" spans="2:20" x14ac:dyDescent="0.25">
      <c r="B6" t="s">
        <v>2</v>
      </c>
      <c r="C6" s="3">
        <v>4.5</v>
      </c>
      <c r="E6" t="s">
        <v>3</v>
      </c>
      <c r="F6" s="3">
        <v>1.8</v>
      </c>
    </row>
    <row r="7" spans="2:20" x14ac:dyDescent="0.25">
      <c r="B7" t="s">
        <v>4</v>
      </c>
      <c r="C7" s="3">
        <v>8</v>
      </c>
    </row>
    <row r="8" spans="2:20" x14ac:dyDescent="0.25">
      <c r="B8" t="s">
        <v>5</v>
      </c>
    </row>
    <row r="9" spans="2:20" x14ac:dyDescent="0.25">
      <c r="B9" t="s">
        <v>6</v>
      </c>
      <c r="C9" s="4">
        <v>0</v>
      </c>
      <c r="D9" s="5">
        <v>0.25</v>
      </c>
      <c r="E9" s="5">
        <v>0.5</v>
      </c>
      <c r="F9" s="5">
        <v>0.6</v>
      </c>
      <c r="G9" s="5">
        <v>0.7</v>
      </c>
      <c r="H9" s="5">
        <v>0.8</v>
      </c>
      <c r="I9" s="6">
        <v>1</v>
      </c>
    </row>
    <row r="10" spans="2:20" x14ac:dyDescent="0.25">
      <c r="B10" t="s">
        <v>7</v>
      </c>
      <c r="C10" s="4">
        <v>1</v>
      </c>
      <c r="D10" s="5">
        <v>1</v>
      </c>
      <c r="E10" s="5">
        <v>0.8</v>
      </c>
      <c r="F10" s="5">
        <v>0.6</v>
      </c>
      <c r="G10" s="5">
        <v>0.4</v>
      </c>
      <c r="H10" s="5">
        <v>0.1</v>
      </c>
      <c r="I10" s="6">
        <v>0</v>
      </c>
      <c r="T10">
        <v>0</v>
      </c>
    </row>
    <row r="11" spans="2:20" x14ac:dyDescent="0.25">
      <c r="B11" t="s">
        <v>8</v>
      </c>
      <c r="C11">
        <f>C10*$C$7+(1-C10)*$C$6</f>
        <v>8</v>
      </c>
      <c r="D11">
        <f>D10*$C$7+(1-D10)*$C$6</f>
        <v>8</v>
      </c>
      <c r="E11">
        <f>E10*$C$7+(1-E10)*$C$6</f>
        <v>7.3</v>
      </c>
      <c r="F11">
        <f>F10*$C$7+(1-F10)*$C$6</f>
        <v>6.6</v>
      </c>
      <c r="G11">
        <f>G10*$C$7+(1-G10)*$C$6</f>
        <v>5.9</v>
      </c>
      <c r="H11">
        <f>H10*$C$7+(1-H10)*$C$6</f>
        <v>4.8499999999999996</v>
      </c>
      <c r="I11">
        <f>I10*$C$7+(1-I10)*$C$6</f>
        <v>4.5</v>
      </c>
      <c r="T11">
        <v>7.0999999999999994E-2</v>
      </c>
    </row>
    <row r="12" spans="2:20" x14ac:dyDescent="0.25">
      <c r="B12" t="s">
        <v>9</v>
      </c>
      <c r="C12">
        <f>C9*$F$6</f>
        <v>0</v>
      </c>
      <c r="D12">
        <f t="shared" ref="D12:I12" si="0">D9*$F$6</f>
        <v>0.45</v>
      </c>
      <c r="E12">
        <f t="shared" si="0"/>
        <v>0.9</v>
      </c>
      <c r="F12">
        <f t="shared" si="0"/>
        <v>1.08</v>
      </c>
      <c r="G12">
        <f t="shared" si="0"/>
        <v>1.26</v>
      </c>
      <c r="H12">
        <f t="shared" si="0"/>
        <v>1.4400000000000002</v>
      </c>
      <c r="I12">
        <f t="shared" si="0"/>
        <v>1.8</v>
      </c>
    </row>
    <row r="13" spans="2:20" x14ac:dyDescent="0.25">
      <c r="T13">
        <v>0.14299999999999999</v>
      </c>
    </row>
    <row r="14" spans="2:20" x14ac:dyDescent="0.25">
      <c r="B14" t="s">
        <v>2</v>
      </c>
      <c r="C14" s="3">
        <v>3.5</v>
      </c>
      <c r="E14" t="s">
        <v>3</v>
      </c>
      <c r="F14" s="3">
        <v>2.4</v>
      </c>
      <c r="T14">
        <v>0.214</v>
      </c>
    </row>
    <row r="15" spans="2:20" x14ac:dyDescent="0.25">
      <c r="B15" t="s">
        <v>4</v>
      </c>
      <c r="C15" s="3">
        <v>8</v>
      </c>
      <c r="T15">
        <v>0.28599999999999998</v>
      </c>
    </row>
    <row r="16" spans="2:20" x14ac:dyDescent="0.25">
      <c r="B16" t="s">
        <v>10</v>
      </c>
      <c r="T16">
        <v>0.35699999999999998</v>
      </c>
    </row>
    <row r="17" spans="2:30" x14ac:dyDescent="0.25">
      <c r="B17" t="s">
        <v>6</v>
      </c>
      <c r="C17" s="4">
        <v>0</v>
      </c>
      <c r="D17" s="5">
        <v>0.25</v>
      </c>
      <c r="E17" s="5">
        <v>0.5</v>
      </c>
      <c r="F17" s="5">
        <v>0.6</v>
      </c>
      <c r="G17" s="5">
        <v>0.7</v>
      </c>
      <c r="H17" s="5">
        <v>0.8</v>
      </c>
      <c r="I17" s="6">
        <v>1</v>
      </c>
      <c r="T17">
        <v>0.42899999999999999</v>
      </c>
    </row>
    <row r="18" spans="2:30" x14ac:dyDescent="0.25">
      <c r="B18" t="s">
        <v>7</v>
      </c>
      <c r="C18" s="4">
        <v>1</v>
      </c>
      <c r="D18" s="5">
        <v>1</v>
      </c>
      <c r="E18" s="5">
        <v>0.8</v>
      </c>
      <c r="F18" s="5">
        <v>0.6</v>
      </c>
      <c r="G18" s="5">
        <v>0.4</v>
      </c>
      <c r="H18" s="5">
        <v>0.1</v>
      </c>
      <c r="I18" s="6">
        <v>0</v>
      </c>
      <c r="T18">
        <v>0.5</v>
      </c>
    </row>
    <row r="19" spans="2:30" x14ac:dyDescent="0.25">
      <c r="B19" t="s">
        <v>8</v>
      </c>
      <c r="C19">
        <f>C18*$C$15+(1-C18)*$C$14</f>
        <v>8</v>
      </c>
      <c r="D19">
        <f t="shared" ref="D19:I19" si="1">D18*$C$15+(1-D18)*$C$14</f>
        <v>8</v>
      </c>
      <c r="E19">
        <f t="shared" si="1"/>
        <v>7.1000000000000005</v>
      </c>
      <c r="F19">
        <f t="shared" si="1"/>
        <v>6.2</v>
      </c>
      <c r="G19">
        <f t="shared" si="1"/>
        <v>5.3000000000000007</v>
      </c>
      <c r="H19">
        <f t="shared" si="1"/>
        <v>3.95</v>
      </c>
      <c r="I19">
        <f t="shared" si="1"/>
        <v>3.5</v>
      </c>
      <c r="T19">
        <v>0.57099999999999995</v>
      </c>
    </row>
    <row r="20" spans="2:30" x14ac:dyDescent="0.25">
      <c r="B20" t="s">
        <v>9</v>
      </c>
      <c r="C20">
        <f>C17*$F$14</f>
        <v>0</v>
      </c>
      <c r="D20">
        <f t="shared" ref="D20:I20" si="2">D17*$F$14</f>
        <v>0.6</v>
      </c>
      <c r="E20">
        <f t="shared" si="2"/>
        <v>1.2</v>
      </c>
      <c r="F20">
        <f t="shared" si="2"/>
        <v>1.44</v>
      </c>
      <c r="G20">
        <f t="shared" si="2"/>
        <v>1.68</v>
      </c>
      <c r="H20">
        <f t="shared" si="2"/>
        <v>1.92</v>
      </c>
      <c r="I20">
        <f t="shared" si="2"/>
        <v>2.4</v>
      </c>
    </row>
    <row r="21" spans="2:30" x14ac:dyDescent="0.25">
      <c r="T21">
        <v>0.64300000000000002</v>
      </c>
    </row>
    <row r="22" spans="2:30" x14ac:dyDescent="0.25">
      <c r="B22" t="s">
        <v>2</v>
      </c>
      <c r="C22" s="3">
        <v>3</v>
      </c>
      <c r="E22" t="s">
        <v>3</v>
      </c>
      <c r="F22" s="3">
        <v>2.7</v>
      </c>
      <c r="T22">
        <v>0.71399999999999997</v>
      </c>
    </row>
    <row r="23" spans="2:30" x14ac:dyDescent="0.25">
      <c r="B23" t="s">
        <v>4</v>
      </c>
      <c r="C23" s="3">
        <v>8</v>
      </c>
      <c r="T23">
        <v>0.78600000000000003</v>
      </c>
    </row>
    <row r="24" spans="2:30" x14ac:dyDescent="0.25">
      <c r="B24" t="s">
        <v>11</v>
      </c>
      <c r="T24">
        <v>0.85699999999999998</v>
      </c>
    </row>
    <row r="25" spans="2:30" x14ac:dyDescent="0.25">
      <c r="B25" t="s">
        <v>6</v>
      </c>
      <c r="C25" s="4">
        <v>0</v>
      </c>
      <c r="D25" s="5">
        <v>0.25</v>
      </c>
      <c r="E25" s="5">
        <v>0.5</v>
      </c>
      <c r="F25" s="5">
        <v>0.6</v>
      </c>
      <c r="G25" s="5">
        <v>0.7</v>
      </c>
      <c r="H25" s="5">
        <v>0.8</v>
      </c>
      <c r="I25" s="6">
        <v>1</v>
      </c>
      <c r="T25">
        <v>0.92900000000000005</v>
      </c>
    </row>
    <row r="26" spans="2:30" ht="15.75" thickBot="1" x14ac:dyDescent="0.3">
      <c r="B26" t="s">
        <v>7</v>
      </c>
      <c r="C26" s="4">
        <v>1</v>
      </c>
      <c r="D26" s="5">
        <v>1</v>
      </c>
      <c r="E26" s="5">
        <v>0.8</v>
      </c>
      <c r="F26" s="5">
        <v>0.6</v>
      </c>
      <c r="G26" s="5">
        <v>0.4</v>
      </c>
      <c r="H26" s="5">
        <v>0.1</v>
      </c>
      <c r="I26" s="6">
        <v>0</v>
      </c>
      <c r="T26">
        <v>1</v>
      </c>
    </row>
    <row r="27" spans="2:30" x14ac:dyDescent="0.25">
      <c r="B27" t="s">
        <v>8</v>
      </c>
      <c r="C27">
        <f>C26*$C$23+(1-C26)*$C$22</f>
        <v>8</v>
      </c>
      <c r="D27">
        <f t="shared" ref="D27:I27" si="3">D26*$C$23+(1-D26)*$C$22</f>
        <v>8</v>
      </c>
      <c r="E27">
        <f t="shared" si="3"/>
        <v>7</v>
      </c>
      <c r="F27">
        <f t="shared" si="3"/>
        <v>6</v>
      </c>
      <c r="G27">
        <f t="shared" si="3"/>
        <v>5</v>
      </c>
      <c r="H27">
        <f t="shared" si="3"/>
        <v>3.5</v>
      </c>
      <c r="I27">
        <f t="shared" si="3"/>
        <v>3</v>
      </c>
      <c r="M27" s="7" t="s">
        <v>12</v>
      </c>
      <c r="N27" s="8" t="s">
        <v>0</v>
      </c>
      <c r="O27" s="8"/>
      <c r="P27" s="8"/>
      <c r="Q27" s="9"/>
    </row>
    <row r="28" spans="2:30" x14ac:dyDescent="0.25">
      <c r="B28" t="s">
        <v>9</v>
      </c>
      <c r="C28">
        <f>C25*$F$22</f>
        <v>0</v>
      </c>
      <c r="D28">
        <f t="shared" ref="D28:I28" si="4">D25*$F$22</f>
        <v>0.67500000000000004</v>
      </c>
      <c r="E28">
        <f t="shared" si="4"/>
        <v>1.35</v>
      </c>
      <c r="F28">
        <f t="shared" si="4"/>
        <v>1.62</v>
      </c>
      <c r="G28">
        <f t="shared" si="4"/>
        <v>1.89</v>
      </c>
      <c r="H28">
        <f t="shared" si="4"/>
        <v>2.16</v>
      </c>
      <c r="I28">
        <f t="shared" si="4"/>
        <v>2.7</v>
      </c>
      <c r="M28" s="10" t="s">
        <v>6</v>
      </c>
      <c r="N28" s="11">
        <v>60</v>
      </c>
      <c r="O28" s="11">
        <v>120</v>
      </c>
      <c r="P28" s="11">
        <v>180</v>
      </c>
      <c r="Q28" s="12">
        <v>240</v>
      </c>
    </row>
    <row r="29" spans="2:30" x14ac:dyDescent="0.25">
      <c r="M29" s="10">
        <f>C9</f>
        <v>0</v>
      </c>
      <c r="N29" s="13">
        <f>C11</f>
        <v>8</v>
      </c>
      <c r="O29" s="13">
        <f>C19</f>
        <v>8</v>
      </c>
      <c r="P29" s="13">
        <f>C27</f>
        <v>8</v>
      </c>
      <c r="Q29" s="14">
        <f>C35</f>
        <v>8</v>
      </c>
      <c r="S29">
        <v>8</v>
      </c>
      <c r="T29">
        <v>8</v>
      </c>
      <c r="U29">
        <v>8</v>
      </c>
      <c r="V29">
        <v>8</v>
      </c>
      <c r="X29">
        <v>8</v>
      </c>
      <c r="Y29">
        <v>8</v>
      </c>
      <c r="Z29">
        <v>7</v>
      </c>
      <c r="AA29">
        <v>6</v>
      </c>
      <c r="AB29">
        <v>5</v>
      </c>
      <c r="AC29">
        <v>3.5</v>
      </c>
      <c r="AD29">
        <v>3</v>
      </c>
    </row>
    <row r="30" spans="2:30" x14ac:dyDescent="0.25">
      <c r="B30" t="s">
        <v>2</v>
      </c>
      <c r="C30" s="3">
        <v>3</v>
      </c>
      <c r="E30" t="s">
        <v>3</v>
      </c>
      <c r="F30" s="3">
        <v>3</v>
      </c>
      <c r="M30" s="10">
        <f>D9</f>
        <v>0.25</v>
      </c>
      <c r="N30" s="13">
        <f>D11</f>
        <v>8</v>
      </c>
      <c r="O30" s="13">
        <f>D19</f>
        <v>8</v>
      </c>
      <c r="P30" s="13">
        <f>D27</f>
        <v>8</v>
      </c>
      <c r="Q30" s="14">
        <f>D35</f>
        <v>8</v>
      </c>
      <c r="S30">
        <v>8</v>
      </c>
      <c r="T30">
        <v>8</v>
      </c>
      <c r="U30">
        <v>8</v>
      </c>
      <c r="V30">
        <v>8</v>
      </c>
      <c r="X30">
        <v>8</v>
      </c>
      <c r="Y30">
        <v>8</v>
      </c>
      <c r="Z30">
        <v>7</v>
      </c>
      <c r="AA30">
        <v>6</v>
      </c>
      <c r="AB30">
        <v>5</v>
      </c>
      <c r="AC30">
        <v>3.5</v>
      </c>
      <c r="AD30">
        <v>3</v>
      </c>
    </row>
    <row r="31" spans="2:30" x14ac:dyDescent="0.25">
      <c r="B31" t="s">
        <v>4</v>
      </c>
      <c r="C31" s="3">
        <v>8</v>
      </c>
      <c r="M31" s="10">
        <f>E9</f>
        <v>0.5</v>
      </c>
      <c r="N31" s="13">
        <f>E11</f>
        <v>7.3</v>
      </c>
      <c r="O31" s="13">
        <f>E19</f>
        <v>7.1000000000000005</v>
      </c>
      <c r="P31" s="13">
        <f>E27</f>
        <v>7</v>
      </c>
      <c r="Q31" s="14">
        <f>E35</f>
        <v>7</v>
      </c>
      <c r="S31">
        <v>7</v>
      </c>
      <c r="T31">
        <v>7</v>
      </c>
      <c r="U31">
        <v>7</v>
      </c>
      <c r="V31">
        <v>7</v>
      </c>
      <c r="X31">
        <v>8</v>
      </c>
      <c r="Y31">
        <v>8</v>
      </c>
      <c r="Z31">
        <v>7</v>
      </c>
      <c r="AA31">
        <v>6</v>
      </c>
      <c r="AB31">
        <v>5</v>
      </c>
      <c r="AC31">
        <v>3.5</v>
      </c>
      <c r="AD31">
        <v>3</v>
      </c>
    </row>
    <row r="32" spans="2:30" x14ac:dyDescent="0.25">
      <c r="B32" t="s">
        <v>13</v>
      </c>
      <c r="M32" s="10">
        <f>F9</f>
        <v>0.6</v>
      </c>
      <c r="N32" s="13">
        <f>F11</f>
        <v>6.6</v>
      </c>
      <c r="O32" s="13">
        <f>F19</f>
        <v>6.2</v>
      </c>
      <c r="P32" s="13">
        <f>F27</f>
        <v>6</v>
      </c>
      <c r="Q32" s="14">
        <f>F35</f>
        <v>6</v>
      </c>
      <c r="S32">
        <v>6</v>
      </c>
      <c r="T32">
        <v>6</v>
      </c>
      <c r="U32">
        <v>6</v>
      </c>
      <c r="V32">
        <v>6</v>
      </c>
      <c r="X32">
        <v>8</v>
      </c>
      <c r="Y32">
        <v>8</v>
      </c>
      <c r="Z32">
        <v>7</v>
      </c>
      <c r="AA32">
        <v>6</v>
      </c>
      <c r="AB32">
        <v>5</v>
      </c>
      <c r="AC32">
        <v>3.5</v>
      </c>
      <c r="AD32">
        <v>3</v>
      </c>
    </row>
    <row r="33" spans="2:22" x14ac:dyDescent="0.25">
      <c r="B33" t="s">
        <v>6</v>
      </c>
      <c r="C33" s="4">
        <v>0</v>
      </c>
      <c r="D33" s="5">
        <v>0.25</v>
      </c>
      <c r="E33" s="5">
        <v>0.5</v>
      </c>
      <c r="F33" s="5">
        <v>0.6</v>
      </c>
      <c r="G33" s="5">
        <v>0.7</v>
      </c>
      <c r="H33" s="5">
        <v>0.8</v>
      </c>
      <c r="I33" s="6">
        <v>1</v>
      </c>
      <c r="M33" s="10">
        <f>G9</f>
        <v>0.7</v>
      </c>
      <c r="N33" s="13">
        <f>G11</f>
        <v>5.9</v>
      </c>
      <c r="O33" s="13">
        <f>G19</f>
        <v>5.3000000000000007</v>
      </c>
      <c r="P33" s="13">
        <f>G27</f>
        <v>5</v>
      </c>
      <c r="Q33" s="14">
        <f>G35</f>
        <v>5</v>
      </c>
      <c r="S33">
        <v>5</v>
      </c>
      <c r="T33">
        <v>5</v>
      </c>
      <c r="U33">
        <v>5</v>
      </c>
      <c r="V33">
        <v>5</v>
      </c>
    </row>
    <row r="34" spans="2:22" x14ac:dyDescent="0.25">
      <c r="B34" t="s">
        <v>7</v>
      </c>
      <c r="C34" s="4">
        <v>1</v>
      </c>
      <c r="D34" s="5">
        <v>1</v>
      </c>
      <c r="E34" s="5">
        <v>0.8</v>
      </c>
      <c r="F34" s="5">
        <v>0.6</v>
      </c>
      <c r="G34" s="5">
        <v>0.4</v>
      </c>
      <c r="H34" s="5">
        <v>0.1</v>
      </c>
      <c r="I34" s="6">
        <v>0</v>
      </c>
      <c r="M34" s="10">
        <f>H9</f>
        <v>0.8</v>
      </c>
      <c r="N34" s="13">
        <f>H11</f>
        <v>4.8499999999999996</v>
      </c>
      <c r="O34" s="13">
        <f>H19</f>
        <v>3.95</v>
      </c>
      <c r="P34" s="13">
        <f>H27</f>
        <v>3.5</v>
      </c>
      <c r="Q34" s="14">
        <f>H35</f>
        <v>3.5</v>
      </c>
      <c r="S34">
        <v>3.5</v>
      </c>
      <c r="T34">
        <v>3.5</v>
      </c>
      <c r="U34">
        <v>3.5</v>
      </c>
      <c r="V34">
        <v>3.5</v>
      </c>
    </row>
    <row r="35" spans="2:22" ht="15.75" thickBot="1" x14ac:dyDescent="0.3">
      <c r="B35" t="s">
        <v>8</v>
      </c>
      <c r="C35">
        <f>C34*$C$31+(1-C34)*$C$30</f>
        <v>8</v>
      </c>
      <c r="D35">
        <f t="shared" ref="D35:I35" si="5">D34*$C$31+(1-D34)*$C$30</f>
        <v>8</v>
      </c>
      <c r="E35">
        <f t="shared" si="5"/>
        <v>7</v>
      </c>
      <c r="F35">
        <f t="shared" si="5"/>
        <v>6</v>
      </c>
      <c r="G35">
        <f t="shared" si="5"/>
        <v>5</v>
      </c>
      <c r="H35">
        <f t="shared" si="5"/>
        <v>3.5</v>
      </c>
      <c r="I35">
        <f t="shared" si="5"/>
        <v>3</v>
      </c>
      <c r="M35" s="15">
        <f>I9</f>
        <v>1</v>
      </c>
      <c r="N35" s="16">
        <f>I11</f>
        <v>4.5</v>
      </c>
      <c r="O35" s="16">
        <f>I19</f>
        <v>3.5</v>
      </c>
      <c r="P35" s="16">
        <f>I27</f>
        <v>3</v>
      </c>
      <c r="Q35" s="17">
        <f>I35</f>
        <v>3</v>
      </c>
      <c r="S35">
        <v>3</v>
      </c>
      <c r="T35">
        <v>3</v>
      </c>
      <c r="U35">
        <v>3</v>
      </c>
      <c r="V35">
        <v>3</v>
      </c>
    </row>
    <row r="36" spans="2:22" x14ac:dyDescent="0.25">
      <c r="B36" t="s">
        <v>9</v>
      </c>
      <c r="C36">
        <f>C33*$F$30</f>
        <v>0</v>
      </c>
      <c r="D36">
        <f t="shared" ref="D36:I36" si="6">D33*$F$30</f>
        <v>0.75</v>
      </c>
      <c r="E36">
        <f t="shared" si="6"/>
        <v>1.5</v>
      </c>
      <c r="F36">
        <f t="shared" si="6"/>
        <v>1.7999999999999998</v>
      </c>
      <c r="G36">
        <f t="shared" si="6"/>
        <v>2.0999999999999996</v>
      </c>
      <c r="H36">
        <f t="shared" si="6"/>
        <v>2.4000000000000004</v>
      </c>
      <c r="I36">
        <f t="shared" si="6"/>
        <v>3</v>
      </c>
    </row>
    <row r="38" spans="2:22" ht="15.75" thickBot="1" x14ac:dyDescent="0.3"/>
    <row r="39" spans="2:22" x14ac:dyDescent="0.25">
      <c r="B39" s="7" t="s">
        <v>14</v>
      </c>
      <c r="C39" s="18" t="s">
        <v>15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9"/>
    </row>
    <row r="40" spans="2:22" x14ac:dyDescent="0.25">
      <c r="B40" s="20" t="s">
        <v>6</v>
      </c>
      <c r="C40">
        <v>0</v>
      </c>
      <c r="D40">
        <v>1</v>
      </c>
      <c r="E40">
        <v>2</v>
      </c>
      <c r="F40">
        <v>3</v>
      </c>
      <c r="G40">
        <v>4</v>
      </c>
      <c r="H40">
        <v>5</v>
      </c>
      <c r="I40">
        <v>6</v>
      </c>
      <c r="J40">
        <v>7</v>
      </c>
      <c r="K40">
        <v>8</v>
      </c>
      <c r="L40">
        <v>9</v>
      </c>
      <c r="M40">
        <v>10</v>
      </c>
      <c r="N40">
        <v>11</v>
      </c>
      <c r="O40" s="21">
        <v>12</v>
      </c>
    </row>
    <row r="41" spans="2:22" x14ac:dyDescent="0.25">
      <c r="B41" s="20">
        <v>0</v>
      </c>
      <c r="C41">
        <v>1</v>
      </c>
      <c r="D41">
        <v>1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3">
        <v>0.5</v>
      </c>
      <c r="Q41">
        <f>O41-0.1</f>
        <v>0.4</v>
      </c>
    </row>
    <row r="42" spans="2:22" x14ac:dyDescent="0.25">
      <c r="B42" s="20">
        <v>0.2</v>
      </c>
      <c r="C42">
        <v>1</v>
      </c>
      <c r="D42">
        <v>1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3">
        <v>0.55000000000000004</v>
      </c>
      <c r="Q42">
        <f t="shared" ref="Q42:Q47" si="7">O42-0.1</f>
        <v>0.45000000000000007</v>
      </c>
    </row>
    <row r="43" spans="2:22" x14ac:dyDescent="0.25">
      <c r="B43" s="20">
        <v>0.35</v>
      </c>
      <c r="C43">
        <v>1</v>
      </c>
      <c r="D43">
        <v>1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3">
        <v>0.6</v>
      </c>
      <c r="Q43">
        <f t="shared" si="7"/>
        <v>0.5</v>
      </c>
    </row>
    <row r="44" spans="2:22" x14ac:dyDescent="0.25">
      <c r="B44" s="20">
        <v>0.5</v>
      </c>
      <c r="C44">
        <v>1</v>
      </c>
      <c r="D44">
        <v>1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3">
        <v>0.65</v>
      </c>
      <c r="Q44">
        <f t="shared" si="7"/>
        <v>0.55000000000000004</v>
      </c>
    </row>
    <row r="45" spans="2:22" x14ac:dyDescent="0.25">
      <c r="B45" s="20">
        <v>0.65</v>
      </c>
      <c r="C45">
        <v>1</v>
      </c>
      <c r="D45">
        <v>1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3">
        <v>0.7</v>
      </c>
      <c r="Q45">
        <f t="shared" si="7"/>
        <v>0.6</v>
      </c>
    </row>
    <row r="46" spans="2:22" x14ac:dyDescent="0.25">
      <c r="B46" s="20">
        <v>0.8</v>
      </c>
      <c r="C46">
        <v>1</v>
      </c>
      <c r="D46">
        <v>1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3">
        <v>0.75</v>
      </c>
      <c r="Q46">
        <f t="shared" si="7"/>
        <v>0.65</v>
      </c>
    </row>
    <row r="47" spans="2:22" ht="15.75" thickBot="1" x14ac:dyDescent="0.3">
      <c r="B47" s="24">
        <v>1</v>
      </c>
      <c r="C47" s="25">
        <v>1</v>
      </c>
      <c r="D47" s="25">
        <v>1</v>
      </c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>
        <v>0.8</v>
      </c>
      <c r="Q47">
        <f t="shared" si="7"/>
        <v>0.70000000000000007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TC2.1-slip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Stefano.Rapisarda</cp:lastModifiedBy>
  <dcterms:created xsi:type="dcterms:W3CDTF">2021-04-28T06:20:59Z</dcterms:created>
  <dcterms:modified xsi:type="dcterms:W3CDTF">2021-04-28T06:21:24Z</dcterms:modified>
</cp:coreProperties>
</file>