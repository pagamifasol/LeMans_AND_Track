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eo.Paganini\Desktop\DataEngineering\LeMans_21R04\KSIKPI\"/>
    </mc:Choice>
  </mc:AlternateContent>
  <xr:revisionPtr revIDLastSave="0" documentId="13_ncr:1_{EAC5FC0B-94CA-40DF-846D-B8B3C98FE501}" xr6:coauthVersionLast="47" xr6:coauthVersionMax="47" xr10:uidLastSave="{00000000-0000-0000-0000-000000000000}"/>
  <bookViews>
    <workbookView xWindow="-120" yWindow="-120" windowWidth="29040" windowHeight="15840" activeTab="1" xr2:uid="{33A7812F-93B0-42E2-BFA7-E40E9D5444C4}"/>
  </bookViews>
  <sheets>
    <sheet name="CTRL" sheetId="11" r:id="rId1"/>
    <sheet name="Plot_Export" sheetId="12" r:id="rId2"/>
    <sheet name="All" sheetId="3" r:id="rId3"/>
    <sheet name="709_FP1_Outing 1" sheetId="26" r:id="rId4"/>
    <sheet name="709_FP1_Outing 2" sheetId="30" r:id="rId5"/>
    <sheet name="709_FP1_Outing 3" sheetId="31" r:id="rId6"/>
    <sheet name="709_FP1_Outing 4" sheetId="32" r:id="rId7"/>
    <sheet name="709_FP1_Outing 5" sheetId="40" r:id="rId8"/>
    <sheet name="709_FP1_Outing 6" sheetId="34" r:id="rId9"/>
    <sheet name="Driver 1" sheetId="13" r:id="rId10"/>
    <sheet name="Driver 2" sheetId="14" r:id="rId11"/>
    <sheet name="Driver 3" sheetId="15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9" i="11" l="1"/>
  <c r="P9" i="11"/>
  <c r="P7" i="11"/>
  <c r="P5" i="11"/>
  <c r="IS4" i="3"/>
  <c r="IT4" i="3"/>
  <c r="Q29" i="11"/>
  <c r="Q30" i="11"/>
  <c r="Q31" i="11" s="1"/>
  <c r="Q32" i="11" s="1"/>
  <c r="Q33" i="11" s="1"/>
  <c r="Q34" i="11" s="1"/>
  <c r="Q35" i="11" s="1"/>
  <c r="Q36" i="11" s="1"/>
  <c r="Q37" i="11" s="1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A4" i="3"/>
  <c r="BB4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DE4" i="3"/>
  <c r="DF4" i="3"/>
  <c r="DG4" i="3"/>
  <c r="DH4" i="3"/>
  <c r="DI4" i="3"/>
  <c r="DJ4" i="3"/>
  <c r="DK4" i="3"/>
  <c r="DL4" i="3"/>
  <c r="DM4" i="3"/>
  <c r="DN4" i="3"/>
  <c r="DO4" i="3"/>
  <c r="DP4" i="3"/>
  <c r="DQ4" i="3"/>
  <c r="DR4" i="3"/>
  <c r="DS4" i="3"/>
  <c r="DT4" i="3"/>
  <c r="DU4" i="3"/>
  <c r="DV4" i="3"/>
  <c r="DW4" i="3"/>
  <c r="DX4" i="3"/>
  <c r="DY4" i="3"/>
  <c r="DZ4" i="3"/>
  <c r="EA4" i="3"/>
  <c r="EB4" i="3"/>
  <c r="EC4" i="3"/>
  <c r="ED4" i="3"/>
  <c r="EE4" i="3"/>
  <c r="EF4" i="3"/>
  <c r="EG4" i="3"/>
  <c r="EH4" i="3"/>
  <c r="EI4" i="3"/>
  <c r="EJ4" i="3"/>
  <c r="EK4" i="3"/>
  <c r="EL4" i="3"/>
  <c r="EM4" i="3"/>
  <c r="EN4" i="3"/>
  <c r="EO4" i="3"/>
  <c r="EP4" i="3"/>
  <c r="EQ4" i="3"/>
  <c r="ER4" i="3"/>
  <c r="ES4" i="3"/>
  <c r="ET4" i="3"/>
  <c r="EU4" i="3"/>
  <c r="EV4" i="3"/>
  <c r="EW4" i="3"/>
  <c r="EX4" i="3"/>
  <c r="EY4" i="3"/>
  <c r="EZ4" i="3"/>
  <c r="FA4" i="3"/>
  <c r="FB4" i="3"/>
  <c r="FC4" i="3"/>
  <c r="FD4" i="3"/>
  <c r="FE4" i="3"/>
  <c r="FF4" i="3"/>
  <c r="FG4" i="3"/>
  <c r="FH4" i="3"/>
  <c r="FI4" i="3"/>
  <c r="FJ4" i="3"/>
  <c r="FK4" i="3"/>
  <c r="FL4" i="3"/>
  <c r="FM4" i="3"/>
  <c r="FN4" i="3"/>
  <c r="FO4" i="3"/>
  <c r="FP4" i="3"/>
  <c r="FQ4" i="3"/>
  <c r="FR4" i="3"/>
  <c r="FS4" i="3"/>
  <c r="FT4" i="3"/>
  <c r="FU4" i="3"/>
  <c r="FV4" i="3"/>
  <c r="FW4" i="3"/>
  <c r="FX4" i="3"/>
  <c r="FY4" i="3"/>
  <c r="FZ4" i="3"/>
  <c r="GA4" i="3"/>
  <c r="GB4" i="3"/>
  <c r="GC4" i="3"/>
  <c r="GD4" i="3"/>
  <c r="GE4" i="3"/>
  <c r="GF4" i="3"/>
  <c r="GG4" i="3"/>
  <c r="GH4" i="3"/>
  <c r="GI4" i="3"/>
  <c r="GJ4" i="3"/>
  <c r="GK4" i="3"/>
  <c r="GL4" i="3"/>
  <c r="GM4" i="3"/>
  <c r="GN4" i="3"/>
  <c r="GO4" i="3"/>
  <c r="GP4" i="3"/>
  <c r="GQ4" i="3"/>
  <c r="GR4" i="3"/>
  <c r="GS4" i="3"/>
  <c r="GT4" i="3"/>
  <c r="GU4" i="3"/>
  <c r="GV4" i="3"/>
  <c r="GW4" i="3"/>
  <c r="GX4" i="3"/>
  <c r="GY4" i="3"/>
  <c r="GZ4" i="3"/>
  <c r="HA4" i="3"/>
  <c r="HB4" i="3"/>
  <c r="HC4" i="3"/>
  <c r="HD4" i="3"/>
  <c r="HE4" i="3"/>
  <c r="HF4" i="3"/>
  <c r="HG4" i="3"/>
  <c r="HH4" i="3"/>
  <c r="HI4" i="3"/>
  <c r="HJ4" i="3"/>
  <c r="HK4" i="3"/>
  <c r="HL4" i="3"/>
  <c r="HM4" i="3"/>
  <c r="HN4" i="3"/>
  <c r="HO4" i="3"/>
  <c r="HP4" i="3"/>
  <c r="HQ4" i="3"/>
  <c r="HR4" i="3"/>
  <c r="HS4" i="3"/>
  <c r="HT4" i="3"/>
  <c r="HU4" i="3"/>
  <c r="HV4" i="3"/>
  <c r="HW4" i="3"/>
  <c r="HX4" i="3"/>
  <c r="HY4" i="3"/>
  <c r="HZ4" i="3"/>
  <c r="IA4" i="3"/>
  <c r="IB4" i="3"/>
  <c r="IC4" i="3"/>
  <c r="ID4" i="3"/>
  <c r="IE4" i="3"/>
  <c r="IF4" i="3"/>
  <c r="IG4" i="3"/>
  <c r="IH4" i="3"/>
  <c r="II4" i="3"/>
  <c r="IJ4" i="3"/>
  <c r="IK4" i="3"/>
  <c r="IL4" i="3"/>
  <c r="IM4" i="3"/>
  <c r="IN4" i="3"/>
  <c r="IO4" i="3"/>
  <c r="IP4" i="3"/>
  <c r="IQ4" i="3"/>
  <c r="IR4" i="3"/>
  <c r="B4" i="3"/>
  <c r="C84" i="11"/>
  <c r="X37" i="11"/>
  <c r="C81" i="11"/>
  <c r="C82" i="11"/>
  <c r="C83" i="11"/>
  <c r="C80" i="11"/>
  <c r="C77" i="11"/>
  <c r="C78" i="11"/>
  <c r="C79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D56" i="11"/>
  <c r="C56" i="11"/>
  <c r="C55" i="11"/>
  <c r="AP3" i="3"/>
  <c r="D81" i="11"/>
  <c r="D82" i="11" s="1"/>
  <c r="D83" i="11" s="1"/>
  <c r="T13" i="11"/>
  <c r="Q11" i="11"/>
  <c r="P11" i="11"/>
  <c r="P6" i="11"/>
  <c r="Q6" i="11" s="1"/>
  <c r="X20" i="11"/>
  <c r="C24" i="11" s="1"/>
  <c r="D77" i="11"/>
  <c r="D78" i="11" s="1"/>
  <c r="D79" i="11" s="1"/>
  <c r="D73" i="11"/>
  <c r="D74" i="11" s="1"/>
  <c r="D75" i="11" s="1"/>
  <c r="D70" i="11"/>
  <c r="D66" i="11"/>
  <c r="D67" i="11" s="1"/>
  <c r="D68" i="11" s="1"/>
  <c r="D62" i="11"/>
  <c r="D63" i="11" s="1"/>
  <c r="D64" i="11" s="1"/>
  <c r="D58" i="11"/>
  <c r="D59" i="11" s="1"/>
  <c r="D60" i="11" s="1"/>
  <c r="D52" i="11"/>
  <c r="D53" i="11" s="1"/>
  <c r="D54" i="11" s="1"/>
  <c r="D48" i="11"/>
  <c r="D49" i="11" s="1"/>
  <c r="D50" i="11" s="1"/>
  <c r="D44" i="11"/>
  <c r="D45" i="11" s="1"/>
  <c r="D46" i="11" s="1"/>
  <c r="D41" i="11"/>
  <c r="D42" i="11" s="1"/>
  <c r="D38" i="11"/>
  <c r="D39" i="11" s="1"/>
  <c r="D32" i="11"/>
  <c r="D33" i="11" s="1"/>
  <c r="D34" i="11" s="1"/>
  <c r="D28" i="11"/>
  <c r="D29" i="11" s="1"/>
  <c r="D30" i="11" s="1"/>
  <c r="D24" i="11"/>
  <c r="D25" i="11" s="1"/>
  <c r="D26" i="11" s="1"/>
  <c r="D20" i="11"/>
  <c r="D21" i="11" s="1"/>
  <c r="D22" i="11" s="1"/>
  <c r="Q20" i="11"/>
  <c r="Q21" i="11" s="1"/>
  <c r="Q22" i="11" s="1"/>
  <c r="Q23" i="11" s="1"/>
  <c r="Q24" i="11" s="1"/>
  <c r="Q25" i="11" s="1"/>
  <c r="Q26" i="11" s="1"/>
  <c r="Q27" i="11" s="1"/>
  <c r="Q28" i="11" s="1"/>
  <c r="F84" i="11"/>
  <c r="E84" i="11"/>
  <c r="F83" i="11"/>
  <c r="G83" i="11"/>
  <c r="H83" i="11"/>
  <c r="I83" i="11"/>
  <c r="J83" i="11"/>
  <c r="K83" i="11"/>
  <c r="L83" i="11"/>
  <c r="E83" i="11"/>
  <c r="K82" i="11"/>
  <c r="F82" i="11"/>
  <c r="G82" i="11"/>
  <c r="H82" i="11"/>
  <c r="I82" i="11"/>
  <c r="J82" i="11"/>
  <c r="E82" i="11"/>
  <c r="F81" i="11"/>
  <c r="G81" i="11"/>
  <c r="E81" i="11"/>
  <c r="G80" i="11"/>
  <c r="F80" i="11"/>
  <c r="E80" i="11"/>
  <c r="F79" i="11"/>
  <c r="G79" i="11"/>
  <c r="H79" i="11"/>
  <c r="I79" i="11"/>
  <c r="J79" i="11"/>
  <c r="E79" i="11"/>
  <c r="G78" i="11"/>
  <c r="F78" i="11"/>
  <c r="E78" i="11"/>
  <c r="G77" i="11"/>
  <c r="F77" i="11"/>
  <c r="E77" i="11"/>
  <c r="G76" i="11"/>
  <c r="F76" i="11"/>
  <c r="E76" i="11"/>
  <c r="H75" i="11"/>
  <c r="G75" i="11"/>
  <c r="F75" i="11"/>
  <c r="E75" i="11"/>
  <c r="E74" i="11"/>
  <c r="E73" i="11"/>
  <c r="H72" i="11"/>
  <c r="I72" i="11"/>
  <c r="G72" i="11"/>
  <c r="F72" i="11"/>
  <c r="E72" i="11"/>
  <c r="H68" i="11"/>
  <c r="F68" i="11"/>
  <c r="G68" i="11"/>
  <c r="E68" i="11"/>
  <c r="F67" i="11"/>
  <c r="G67" i="11"/>
  <c r="H67" i="11"/>
  <c r="E67" i="11"/>
  <c r="F66" i="11"/>
  <c r="G66" i="11"/>
  <c r="H66" i="11"/>
  <c r="E66" i="11"/>
  <c r="F65" i="11"/>
  <c r="E65" i="11"/>
  <c r="F64" i="11"/>
  <c r="E64" i="11"/>
  <c r="G63" i="11"/>
  <c r="H63" i="11"/>
  <c r="F63" i="11"/>
  <c r="E63" i="11"/>
  <c r="F62" i="11"/>
  <c r="G62" i="11"/>
  <c r="H62" i="11"/>
  <c r="E62" i="11"/>
  <c r="I61" i="11"/>
  <c r="H61" i="11"/>
  <c r="G61" i="11"/>
  <c r="F61" i="11"/>
  <c r="E61" i="11"/>
  <c r="H60" i="11"/>
  <c r="G60" i="11"/>
  <c r="F60" i="11"/>
  <c r="E60" i="11"/>
  <c r="F59" i="11"/>
  <c r="G59" i="11"/>
  <c r="H59" i="11"/>
  <c r="I59" i="11"/>
  <c r="J59" i="11"/>
  <c r="K59" i="11"/>
  <c r="L59" i="11"/>
  <c r="E59" i="11"/>
  <c r="H58" i="11"/>
  <c r="G58" i="11"/>
  <c r="F58" i="11"/>
  <c r="E58" i="11"/>
  <c r="H57" i="11"/>
  <c r="G57" i="11"/>
  <c r="F57" i="11"/>
  <c r="E57" i="11"/>
  <c r="J54" i="11"/>
  <c r="K54" i="11"/>
  <c r="L54" i="11"/>
  <c r="I54" i="11"/>
  <c r="F54" i="11"/>
  <c r="G54" i="11"/>
  <c r="H54" i="11"/>
  <c r="E54" i="11"/>
  <c r="F53" i="11"/>
  <c r="E53" i="11"/>
  <c r="F52" i="11"/>
  <c r="G52" i="11"/>
  <c r="H52" i="11"/>
  <c r="E52" i="11"/>
  <c r="F51" i="11"/>
  <c r="G51" i="11"/>
  <c r="H51" i="11"/>
  <c r="E51" i="11"/>
  <c r="F50" i="11"/>
  <c r="G50" i="11"/>
  <c r="H50" i="11"/>
  <c r="E50" i="11"/>
  <c r="F49" i="11"/>
  <c r="G49" i="11"/>
  <c r="H49" i="11"/>
  <c r="E49" i="11"/>
  <c r="F48" i="11"/>
  <c r="G48" i="11"/>
  <c r="H48" i="11"/>
  <c r="E48" i="11"/>
  <c r="F47" i="11"/>
  <c r="G47" i="11"/>
  <c r="H47" i="11"/>
  <c r="E47" i="11"/>
  <c r="F46" i="11"/>
  <c r="G46" i="11"/>
  <c r="H46" i="11"/>
  <c r="E46" i="11"/>
  <c r="F45" i="11"/>
  <c r="G45" i="11"/>
  <c r="H45" i="11"/>
  <c r="E45" i="11"/>
  <c r="F44" i="11"/>
  <c r="G44" i="11"/>
  <c r="H44" i="11"/>
  <c r="E44" i="11"/>
  <c r="F43" i="11"/>
  <c r="G43" i="11"/>
  <c r="H43" i="11"/>
  <c r="E43" i="11"/>
  <c r="F42" i="11"/>
  <c r="E42" i="11"/>
  <c r="F41" i="11"/>
  <c r="G41" i="11"/>
  <c r="E41" i="11"/>
  <c r="E40" i="11"/>
  <c r="F39" i="11"/>
  <c r="E39" i="11"/>
  <c r="H38" i="11"/>
  <c r="G38" i="11"/>
  <c r="F38" i="11"/>
  <c r="E38" i="11"/>
  <c r="F37" i="11"/>
  <c r="G37" i="11"/>
  <c r="H37" i="11"/>
  <c r="E37" i="11"/>
  <c r="F36" i="11"/>
  <c r="E36" i="11"/>
  <c r="F35" i="11"/>
  <c r="E35" i="11"/>
  <c r="F34" i="11"/>
  <c r="G34" i="11"/>
  <c r="H34" i="11"/>
  <c r="E34" i="11"/>
  <c r="F33" i="11"/>
  <c r="G33" i="11"/>
  <c r="H33" i="11"/>
  <c r="E33" i="11"/>
  <c r="F32" i="11"/>
  <c r="E32" i="11"/>
  <c r="F31" i="11"/>
  <c r="E31" i="11"/>
  <c r="F30" i="11"/>
  <c r="E30" i="11"/>
  <c r="F29" i="11"/>
  <c r="E29" i="11"/>
  <c r="F28" i="11"/>
  <c r="E28" i="11"/>
  <c r="F27" i="11"/>
  <c r="E27" i="11"/>
  <c r="F26" i="11"/>
  <c r="E26" i="11"/>
  <c r="G25" i="11"/>
  <c r="F25" i="11"/>
  <c r="E25" i="11"/>
  <c r="G24" i="11"/>
  <c r="F24" i="11"/>
  <c r="E24" i="11"/>
  <c r="F23" i="11"/>
  <c r="G23" i="11"/>
  <c r="E23" i="11"/>
  <c r="I22" i="11"/>
  <c r="F22" i="11"/>
  <c r="G22" i="11"/>
  <c r="H22" i="11"/>
  <c r="E22" i="11"/>
  <c r="E21" i="11"/>
  <c r="F20" i="11"/>
  <c r="E20" i="11"/>
  <c r="IA3" i="3"/>
  <c r="IA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DE2" i="3"/>
  <c r="DF2" i="3"/>
  <c r="DG2" i="3"/>
  <c r="DH2" i="3"/>
  <c r="DI2" i="3"/>
  <c r="DJ2" i="3"/>
  <c r="DK2" i="3"/>
  <c r="DL2" i="3"/>
  <c r="DM2" i="3"/>
  <c r="DN2" i="3"/>
  <c r="DO2" i="3"/>
  <c r="DP2" i="3"/>
  <c r="DQ2" i="3"/>
  <c r="DR2" i="3"/>
  <c r="DS2" i="3"/>
  <c r="DT2" i="3"/>
  <c r="DU2" i="3"/>
  <c r="DV2" i="3"/>
  <c r="DW2" i="3"/>
  <c r="DX2" i="3"/>
  <c r="DY2" i="3"/>
  <c r="DZ2" i="3"/>
  <c r="EA2" i="3"/>
  <c r="EB2" i="3"/>
  <c r="EC2" i="3"/>
  <c r="ED2" i="3"/>
  <c r="EE2" i="3"/>
  <c r="EF2" i="3"/>
  <c r="EG2" i="3"/>
  <c r="EH2" i="3"/>
  <c r="EI2" i="3"/>
  <c r="EJ2" i="3"/>
  <c r="EK2" i="3"/>
  <c r="EL2" i="3"/>
  <c r="EM2" i="3"/>
  <c r="EN2" i="3"/>
  <c r="EO2" i="3"/>
  <c r="EP2" i="3"/>
  <c r="EQ2" i="3"/>
  <c r="ER2" i="3"/>
  <c r="ES2" i="3"/>
  <c r="ET2" i="3"/>
  <c r="EU2" i="3"/>
  <c r="EV2" i="3"/>
  <c r="EW2" i="3"/>
  <c r="EX2" i="3"/>
  <c r="EY2" i="3"/>
  <c r="EZ2" i="3"/>
  <c r="FA2" i="3"/>
  <c r="FB2" i="3"/>
  <c r="FC2" i="3"/>
  <c r="FD2" i="3"/>
  <c r="FE2" i="3"/>
  <c r="FF2" i="3"/>
  <c r="FG2" i="3"/>
  <c r="FH2" i="3"/>
  <c r="FI2" i="3"/>
  <c r="FJ2" i="3"/>
  <c r="FK2" i="3"/>
  <c r="FL2" i="3"/>
  <c r="FM2" i="3"/>
  <c r="FN2" i="3"/>
  <c r="FO2" i="3"/>
  <c r="FP2" i="3"/>
  <c r="FQ2" i="3"/>
  <c r="FR2" i="3"/>
  <c r="FS2" i="3"/>
  <c r="FT2" i="3"/>
  <c r="FU2" i="3"/>
  <c r="FV2" i="3"/>
  <c r="FW2" i="3"/>
  <c r="FX2" i="3"/>
  <c r="FY2" i="3"/>
  <c r="FZ2" i="3"/>
  <c r="GA2" i="3"/>
  <c r="GB2" i="3"/>
  <c r="GC2" i="3"/>
  <c r="GD2" i="3"/>
  <c r="GE2" i="3"/>
  <c r="GF2" i="3"/>
  <c r="GG2" i="3"/>
  <c r="GH2" i="3"/>
  <c r="GI2" i="3"/>
  <c r="GJ2" i="3"/>
  <c r="GK2" i="3"/>
  <c r="GL2" i="3"/>
  <c r="GM2" i="3"/>
  <c r="GN2" i="3"/>
  <c r="GO2" i="3"/>
  <c r="GP2" i="3"/>
  <c r="GQ2" i="3"/>
  <c r="GR2" i="3"/>
  <c r="GS2" i="3"/>
  <c r="GT2" i="3"/>
  <c r="GU2" i="3"/>
  <c r="GV2" i="3"/>
  <c r="GW2" i="3"/>
  <c r="GX2" i="3"/>
  <c r="GY2" i="3"/>
  <c r="GZ2" i="3"/>
  <c r="HA2" i="3"/>
  <c r="HB2" i="3"/>
  <c r="HC2" i="3"/>
  <c r="HD2" i="3"/>
  <c r="HE2" i="3"/>
  <c r="HF2" i="3"/>
  <c r="HG2" i="3"/>
  <c r="HH2" i="3"/>
  <c r="HI2" i="3"/>
  <c r="HJ2" i="3"/>
  <c r="HK2" i="3"/>
  <c r="HL2" i="3"/>
  <c r="HM2" i="3"/>
  <c r="HN2" i="3"/>
  <c r="HO2" i="3"/>
  <c r="HP2" i="3"/>
  <c r="HQ2" i="3"/>
  <c r="HR2" i="3"/>
  <c r="HS2" i="3"/>
  <c r="HT2" i="3"/>
  <c r="HU2" i="3"/>
  <c r="HV2" i="3"/>
  <c r="HW2" i="3"/>
  <c r="HX2" i="3"/>
  <c r="HY2" i="3"/>
  <c r="HZ2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DE3" i="3"/>
  <c r="DF3" i="3"/>
  <c r="DG3" i="3"/>
  <c r="DH3" i="3"/>
  <c r="DI3" i="3"/>
  <c r="DJ3" i="3"/>
  <c r="DK3" i="3"/>
  <c r="DL3" i="3"/>
  <c r="DM3" i="3"/>
  <c r="DN3" i="3"/>
  <c r="DO3" i="3"/>
  <c r="DP3" i="3"/>
  <c r="DQ3" i="3"/>
  <c r="DR3" i="3"/>
  <c r="DS3" i="3"/>
  <c r="DT3" i="3"/>
  <c r="DU3" i="3"/>
  <c r="DV3" i="3"/>
  <c r="DW3" i="3"/>
  <c r="DX3" i="3"/>
  <c r="DY3" i="3"/>
  <c r="DZ3" i="3"/>
  <c r="EA3" i="3"/>
  <c r="EB3" i="3"/>
  <c r="EC3" i="3"/>
  <c r="ED3" i="3"/>
  <c r="EE3" i="3"/>
  <c r="EF3" i="3"/>
  <c r="EG3" i="3"/>
  <c r="EH3" i="3"/>
  <c r="EI3" i="3"/>
  <c r="EJ3" i="3"/>
  <c r="EK3" i="3"/>
  <c r="EL3" i="3"/>
  <c r="EM3" i="3"/>
  <c r="EN3" i="3"/>
  <c r="EO3" i="3"/>
  <c r="EP3" i="3"/>
  <c r="EQ3" i="3"/>
  <c r="ER3" i="3"/>
  <c r="ES3" i="3"/>
  <c r="ET3" i="3"/>
  <c r="EU3" i="3"/>
  <c r="EV3" i="3"/>
  <c r="EW3" i="3"/>
  <c r="EX3" i="3"/>
  <c r="EY3" i="3"/>
  <c r="EZ3" i="3"/>
  <c r="FA3" i="3"/>
  <c r="FB3" i="3"/>
  <c r="FC3" i="3"/>
  <c r="FD3" i="3"/>
  <c r="FE3" i="3"/>
  <c r="FF3" i="3"/>
  <c r="FG3" i="3"/>
  <c r="FH3" i="3"/>
  <c r="FI3" i="3"/>
  <c r="FJ3" i="3"/>
  <c r="FK3" i="3"/>
  <c r="FL3" i="3"/>
  <c r="FM3" i="3"/>
  <c r="FN3" i="3"/>
  <c r="FO3" i="3"/>
  <c r="FP3" i="3"/>
  <c r="FQ3" i="3"/>
  <c r="FR3" i="3"/>
  <c r="FS3" i="3"/>
  <c r="FT3" i="3"/>
  <c r="FU3" i="3"/>
  <c r="FV3" i="3"/>
  <c r="FW3" i="3"/>
  <c r="FX3" i="3"/>
  <c r="FY3" i="3"/>
  <c r="FZ3" i="3"/>
  <c r="GA3" i="3"/>
  <c r="GB3" i="3"/>
  <c r="GC3" i="3"/>
  <c r="GD3" i="3"/>
  <c r="GE3" i="3"/>
  <c r="GF3" i="3"/>
  <c r="GG3" i="3"/>
  <c r="GH3" i="3"/>
  <c r="GI3" i="3"/>
  <c r="GJ3" i="3"/>
  <c r="GK3" i="3"/>
  <c r="GL3" i="3"/>
  <c r="GM3" i="3"/>
  <c r="GN3" i="3"/>
  <c r="GO3" i="3"/>
  <c r="GP3" i="3"/>
  <c r="GQ3" i="3"/>
  <c r="GR3" i="3"/>
  <c r="GS3" i="3"/>
  <c r="GT3" i="3"/>
  <c r="GU3" i="3"/>
  <c r="GV3" i="3"/>
  <c r="GW3" i="3"/>
  <c r="GX3" i="3"/>
  <c r="GY3" i="3"/>
  <c r="GZ3" i="3"/>
  <c r="HA3" i="3"/>
  <c r="HB3" i="3"/>
  <c r="HC3" i="3"/>
  <c r="HD3" i="3"/>
  <c r="HE3" i="3"/>
  <c r="HF3" i="3"/>
  <c r="HG3" i="3"/>
  <c r="HH3" i="3"/>
  <c r="HI3" i="3"/>
  <c r="HJ3" i="3"/>
  <c r="HK3" i="3"/>
  <c r="HL3" i="3"/>
  <c r="HM3" i="3"/>
  <c r="HN3" i="3"/>
  <c r="HO3" i="3"/>
  <c r="HP3" i="3"/>
  <c r="HQ3" i="3"/>
  <c r="HR3" i="3"/>
  <c r="HS3" i="3"/>
  <c r="HT3" i="3"/>
  <c r="HU3" i="3"/>
  <c r="HV3" i="3"/>
  <c r="HW3" i="3"/>
  <c r="HX3" i="3"/>
  <c r="HY3" i="3"/>
  <c r="HZ3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G2" i="3"/>
  <c r="CH2" i="3"/>
  <c r="CI2" i="3"/>
  <c r="CJ2" i="3"/>
  <c r="CK2" i="3"/>
  <c r="CL2" i="3"/>
  <c r="CM2" i="3"/>
  <c r="CN2" i="3"/>
  <c r="CO2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V3" i="3"/>
  <c r="BW3" i="3"/>
  <c r="BX3" i="3"/>
  <c r="BY3" i="3"/>
  <c r="BZ3" i="3"/>
  <c r="CA3" i="3"/>
  <c r="CB3" i="3"/>
  <c r="CG3" i="3"/>
  <c r="CH3" i="3"/>
  <c r="CI3" i="3"/>
  <c r="CJ3" i="3"/>
  <c r="CK3" i="3"/>
  <c r="CL3" i="3"/>
  <c r="CM3" i="3"/>
  <c r="CN3" i="3"/>
  <c r="CO3" i="3"/>
  <c r="BH3" i="3"/>
  <c r="BG3" i="3"/>
  <c r="BF3" i="3"/>
  <c r="BE3" i="3"/>
  <c r="BD3" i="3"/>
  <c r="BC3" i="3"/>
  <c r="BB3" i="3"/>
  <c r="BA3" i="3"/>
  <c r="AZ3" i="3"/>
  <c r="AY3" i="3"/>
  <c r="AX3" i="3"/>
  <c r="AW3" i="3"/>
  <c r="AV3" i="3"/>
  <c r="AU3" i="3"/>
  <c r="AT3" i="3"/>
  <c r="AS3" i="3"/>
  <c r="AR3" i="3"/>
  <c r="AO3" i="3"/>
  <c r="AN3" i="3"/>
  <c r="AM3" i="3"/>
  <c r="AL3" i="3"/>
  <c r="AK3" i="3"/>
  <c r="AJ3" i="3"/>
  <c r="AI3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AU2" i="3"/>
  <c r="AT2" i="3"/>
  <c r="AS2" i="3"/>
  <c r="AR2" i="3"/>
  <c r="AO2" i="3"/>
  <c r="AN2" i="3"/>
  <c r="AM2" i="3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AQ2" i="3" l="1"/>
  <c r="AQ3" i="3"/>
  <c r="CF2" i="3"/>
  <c r="CF3" i="3"/>
  <c r="CE3" i="3"/>
  <c r="CE2" i="3"/>
  <c r="CC3" i="3"/>
  <c r="AP2" i="3"/>
  <c r="CD3" i="3"/>
  <c r="CC2" i="3"/>
  <c r="CD2" i="3"/>
  <c r="C25" i="11"/>
  <c r="C23" i="11"/>
  <c r="X21" i="11"/>
  <c r="X22" i="11" s="1"/>
  <c r="X23" i="11" s="1"/>
  <c r="X24" i="11" s="1"/>
  <c r="X25" i="11" s="1"/>
  <c r="X26" i="11" s="1"/>
  <c r="X27" i="11" s="1"/>
  <c r="X28" i="11" s="1"/>
  <c r="X29" i="11" s="1"/>
  <c r="X30" i="11" s="1"/>
  <c r="X31" i="11" s="1"/>
  <c r="X32" i="11" s="1"/>
  <c r="C26" i="11"/>
  <c r="X33" i="11" l="1"/>
  <c r="X34" i="11" s="1"/>
  <c r="X35" i="11" s="1"/>
  <c r="Q5" i="11"/>
  <c r="O5" i="11"/>
  <c r="O7" i="11"/>
  <c r="Q7" i="11"/>
  <c r="C29" i="11"/>
  <c r="C30" i="11"/>
  <c r="C27" i="11"/>
  <c r="C28" i="11"/>
  <c r="C31" i="11"/>
  <c r="C32" i="11"/>
  <c r="C33" i="11"/>
  <c r="C34" i="11"/>
  <c r="X36" i="11" l="1"/>
  <c r="C36" i="11"/>
  <c r="C35" i="11"/>
  <c r="C39" i="11" l="1"/>
  <c r="C37" i="11"/>
  <c r="C38" i="11"/>
  <c r="C41" i="11" l="1"/>
  <c r="C42" i="11"/>
  <c r="C40" i="11"/>
  <c r="C44" i="11" l="1"/>
  <c r="C45" i="11"/>
  <c r="C46" i="11"/>
  <c r="C43" i="11"/>
  <c r="C47" i="11" l="1"/>
  <c r="C48" i="11"/>
  <c r="C49" i="11"/>
  <c r="C50" i="11"/>
  <c r="C52" i="11" l="1"/>
  <c r="C53" i="11"/>
  <c r="C54" i="11"/>
  <c r="C51" i="11"/>
</calcChain>
</file>

<file path=xl/sharedStrings.xml><?xml version="1.0" encoding="utf-8"?>
<sst xmlns="http://schemas.openxmlformats.org/spreadsheetml/2006/main" count="2069" uniqueCount="422">
  <si>
    <t>Evaluate</t>
  </si>
  <si>
    <t>Lap</t>
  </si>
  <si>
    <t>Laptime</t>
  </si>
  <si>
    <t>Max laptime</t>
  </si>
  <si>
    <t>Max speed</t>
  </si>
  <si>
    <t>Lap-Diff fuelcons_kg</t>
  </si>
  <si>
    <t>Max FIA_TCockpit</t>
  </si>
  <si>
    <t>Max CrossTimeLap</t>
  </si>
  <si>
    <t>Max CoastTimeLap</t>
  </si>
  <si>
    <t>Ave understeer</t>
  </si>
  <si>
    <t>Ave understeer_LS</t>
  </si>
  <si>
    <t>Ave understeer_MS</t>
  </si>
  <si>
    <t>Ave understeer_HS</t>
  </si>
  <si>
    <t>Max pbrake_f</t>
  </si>
  <si>
    <t>Min tdisk_fl</t>
  </si>
  <si>
    <t>Min tdisk_fr</t>
  </si>
  <si>
    <t>Min tdisk_rl</t>
  </si>
  <si>
    <t>Min tdisk_rr</t>
  </si>
  <si>
    <t>Ave tdisk_fl</t>
  </si>
  <si>
    <t>Ave tdisk_fr</t>
  </si>
  <si>
    <t>Ave tdisk_rl</t>
  </si>
  <si>
    <t>Ave tdisk_rr</t>
  </si>
  <si>
    <t>Ave Pres_Rel_FL</t>
  </si>
  <si>
    <t>Ave Pres_Rel_FR</t>
  </si>
  <si>
    <t>Ave Pres_Rel_RL</t>
  </si>
  <si>
    <t>Ave Pres_Rel_RR</t>
  </si>
  <si>
    <t>Ave CPL_FL</t>
  </si>
  <si>
    <t>Ave CPL_FR</t>
  </si>
  <si>
    <t>Ave CPL_RL</t>
  </si>
  <si>
    <t>Ave CPL_RR</t>
  </si>
  <si>
    <t>Min Oil_level</t>
  </si>
  <si>
    <t>Ave Oil_level</t>
  </si>
  <si>
    <t>Ave pcrank</t>
  </si>
  <si>
    <t>Max pwat_pod</t>
  </si>
  <si>
    <t>Min pfuel</t>
  </si>
  <si>
    <t>Max nmot</t>
  </si>
  <si>
    <t>Max mlo_egt_present_current_can</t>
  </si>
  <si>
    <t>Max Load_FL_Ch1</t>
  </si>
  <si>
    <t>Max Load_FR_Ch1</t>
  </si>
  <si>
    <t>Max Load_RL_Ch1</t>
  </si>
  <si>
    <t>Max Load_RR_Ch1</t>
  </si>
  <si>
    <t>#1</t>
  </si>
  <si>
    <t>#2</t>
  </si>
  <si>
    <t>#3</t>
  </si>
  <si>
    <t>#4</t>
  </si>
  <si>
    <t>#5</t>
  </si>
  <si>
    <t>#6</t>
  </si>
  <si>
    <t>max</t>
  </si>
  <si>
    <t>min</t>
  </si>
  <si>
    <t>s2</t>
  </si>
  <si>
    <t>s3</t>
  </si>
  <si>
    <t>s4</t>
  </si>
  <si>
    <t>s5</t>
  </si>
  <si>
    <t>Ave frh_pitlane</t>
  </si>
  <si>
    <t>Ave rrh_pitlane</t>
  </si>
  <si>
    <t>Ave Ride_F_pit</t>
  </si>
  <si>
    <t>Ave Ride_RL_pit</t>
  </si>
  <si>
    <t>Ave Ride_RR_pit</t>
  </si>
  <si>
    <t>s6</t>
  </si>
  <si>
    <t>Tyres</t>
  </si>
  <si>
    <t>Brakes</t>
  </si>
  <si>
    <t>Engine</t>
  </si>
  <si>
    <t>Max tgear</t>
  </si>
  <si>
    <t>Max tcaliper_fl</t>
  </si>
  <si>
    <t>Max tcaliper_fr</t>
  </si>
  <si>
    <t>Max tcaliper_rl</t>
  </si>
  <si>
    <t>Max tcaliper_rr</t>
  </si>
  <si>
    <t>Driver</t>
  </si>
  <si>
    <t>Ave Brake_bal %</t>
  </si>
  <si>
    <t>Ave Pitlane_Speed</t>
  </si>
  <si>
    <t>Ave FIA_TCockpit</t>
  </si>
  <si>
    <t>Ave Rpm_Upshift</t>
  </si>
  <si>
    <t>Ave Fz_balance</t>
  </si>
  <si>
    <t>Ave Fz_balance_lowspeedcorners</t>
  </si>
  <si>
    <t>Ave Fz_balance_mediumspeedcorners</t>
  </si>
  <si>
    <t>Ave Fz_balance_fastcorners</t>
  </si>
  <si>
    <t>Max accx_onThrottle</t>
  </si>
  <si>
    <t>Max accx_onBrakes</t>
  </si>
  <si>
    <t>Max accy_LeftCorners</t>
  </si>
  <si>
    <t>Max accy_RightCorners</t>
  </si>
  <si>
    <t>Ave CzF_160kph</t>
  </si>
  <si>
    <t>Ave CzR_160kph</t>
  </si>
  <si>
    <t>Ave CzF_220kph</t>
  </si>
  <si>
    <t>Ave CzR_220kph</t>
  </si>
  <si>
    <t>Ave ub</t>
  </si>
  <si>
    <t>Min ub</t>
  </si>
  <si>
    <t>Ave LAP_Throttle_Smoothness</t>
  </si>
  <si>
    <t>Ave LAP_BrakeRelease_Smoothness</t>
  </si>
  <si>
    <t>Ave LAP_SW_Smoothness</t>
  </si>
  <si>
    <t>Max time_FL_Locking</t>
  </si>
  <si>
    <t>Max time_FR_Locking</t>
  </si>
  <si>
    <t>Max time_RL_Locking</t>
  </si>
  <si>
    <t>Max time_RR_Locking</t>
  </si>
  <si>
    <t>Aerodynamics 2</t>
  </si>
  <si>
    <t>Driver 2</t>
  </si>
  <si>
    <t>System</t>
  </si>
  <si>
    <t>Ave tcaliper_fl</t>
  </si>
  <si>
    <t>Ave tcaliper_fr</t>
  </si>
  <si>
    <t>Ave tcaliper_rl</t>
  </si>
  <si>
    <t>Ave tcaliper_rr</t>
  </si>
  <si>
    <t>Max time_d2d</t>
  </si>
  <si>
    <t>Max time_ign01_E</t>
  </si>
  <si>
    <t>Max time_ign02_E</t>
  </si>
  <si>
    <t>Max time_ign03_E</t>
  </si>
  <si>
    <t>Max time_ign04_E</t>
  </si>
  <si>
    <t>Max time_ign05_E</t>
  </si>
  <si>
    <t>Max time_ign06_E</t>
  </si>
  <si>
    <t>Max time_ign07_E</t>
  </si>
  <si>
    <t>Max time_ign08_E</t>
  </si>
  <si>
    <t>Max time_poil2000rpm_E</t>
  </si>
  <si>
    <t>Max time_poil5000rpm_E</t>
  </si>
  <si>
    <t>Ave USOS</t>
  </si>
  <si>
    <t>Ave USOS HS</t>
  </si>
  <si>
    <t>Ave USOS LS Entry</t>
  </si>
  <si>
    <t>Ave USOS LS Mid</t>
  </si>
  <si>
    <t>Ave USOS LS Exit</t>
  </si>
  <si>
    <t>Ave USOS MS Entry</t>
  </si>
  <si>
    <t>Ave USOS MS Exit</t>
  </si>
  <si>
    <t>Ave AB HS</t>
  </si>
  <si>
    <t>Ave AB MS Entry</t>
  </si>
  <si>
    <t>Ave AB MS Mid</t>
  </si>
  <si>
    <t>Ave AB MS Exit</t>
  </si>
  <si>
    <t>Ave Ride_AxleFront_160kph</t>
  </si>
  <si>
    <t>Ave Ride_AxleRear_160kph</t>
  </si>
  <si>
    <t>Ave Ride_AxleFront_220kph</t>
  </si>
  <si>
    <t>Ave Ride_AxleRear_220kph</t>
  </si>
  <si>
    <t>Ave Delta_Amb_TCockpit</t>
  </si>
  <si>
    <t>Ave Delta_TmotvsAMB</t>
  </si>
  <si>
    <t>Ave lambda</t>
  </si>
  <si>
    <t>Ave lambda2</t>
  </si>
  <si>
    <t>Min eps_motor_cur</t>
  </si>
  <si>
    <t>Ave eps_motor_cur</t>
  </si>
  <si>
    <t>Max eps_motor_cur</t>
  </si>
  <si>
    <t>Ave cu_fuel_lift_01</t>
  </si>
  <si>
    <t>Ave cu_fuel_lift_02</t>
  </si>
  <si>
    <t>Ave BumpstopSqueeze_FC_TopSpeed</t>
  </si>
  <si>
    <t>Ave BumpstopSqueeze_RC_TopSpeed</t>
  </si>
  <si>
    <t>s1</t>
  </si>
  <si>
    <t>Engine 2</t>
  </si>
  <si>
    <t>System 2</t>
  </si>
  <si>
    <t>Setup 1</t>
  </si>
  <si>
    <t>Max TC_gain</t>
  </si>
  <si>
    <t>Max TC_slip</t>
  </si>
  <si>
    <t>Max EngineMap</t>
  </si>
  <si>
    <t>Max PedalMap</t>
  </si>
  <si>
    <t>Max SteerMap</t>
  </si>
  <si>
    <t>Ave FL_IR_Temp_Ch2</t>
  </si>
  <si>
    <t>Ave FR_IR_Temp_Ch2</t>
  </si>
  <si>
    <t>Ave RL_IR_Temp_Ch2</t>
  </si>
  <si>
    <t>Ave RR_IR_Temp_Ch2</t>
  </si>
  <si>
    <t>Ave Ride_AxleFront_TS</t>
  </si>
  <si>
    <t>Ave Ride_AxleRear_TS</t>
  </si>
  <si>
    <t>Max tmot</t>
  </si>
  <si>
    <t>Min PRail_80</t>
  </si>
  <si>
    <t>Min PRail2_80</t>
  </si>
  <si>
    <t>Max Damper_HS_Bump_FL</t>
  </si>
  <si>
    <t>Max Damper_HS_Bump_FR</t>
  </si>
  <si>
    <t>Max Damper_HS_Bump_RL</t>
  </si>
  <si>
    <t>Max Damper_HS_Bump_RR</t>
  </si>
  <si>
    <t>Max Damper_HS_Rebound_FL</t>
  </si>
  <si>
    <t>Max Damper_HS_Rebound_FR</t>
  </si>
  <si>
    <t>Max Damper_HS_Rebound_RL</t>
  </si>
  <si>
    <t>Max Damper_HS_Rebound_RR</t>
  </si>
  <si>
    <t>Max Damper_LS_Bump_FL</t>
  </si>
  <si>
    <t>Max Damper_LS_Bump_FR</t>
  </si>
  <si>
    <t>Max Damper_LS_Bump_RL</t>
  </si>
  <si>
    <t>Max Damper_LS_Bump_RR</t>
  </si>
  <si>
    <t>Max Damper_LS_Rebound_FL</t>
  </si>
  <si>
    <t>Max Damper_LS_Rebound_FR</t>
  </si>
  <si>
    <t>Max Damper_LS_Rebound_RL</t>
  </si>
  <si>
    <t>Max Damper_LS_Rebound_RR</t>
  </si>
  <si>
    <t>Min pwat</t>
  </si>
  <si>
    <t>Ave cu_fuel_hp_pwm</t>
  </si>
  <si>
    <t>Lap-Diff FIA_PPUEnergy</t>
  </si>
  <si>
    <t>Max Time_Brake_Leaning</t>
  </si>
  <si>
    <t>Lap-Begin Upshift_RPM_Err</t>
  </si>
  <si>
    <t>Lap-Begin Upshift_7_RPM_Err</t>
  </si>
  <si>
    <t>Ave cu_out_fan</t>
  </si>
  <si>
    <t>Ave FL_IR_Temp_Amb</t>
  </si>
  <si>
    <t>Ave FR_IR_Temp_Amb</t>
  </si>
  <si>
    <t>Ave RL_IR_Temp_Amb</t>
  </si>
  <si>
    <t>Ave RR_IR_Temp_Amb</t>
  </si>
  <si>
    <t>Max Poil_Surge_Lap</t>
  </si>
  <si>
    <t>Max tmot2</t>
  </si>
  <si>
    <t>Max pmotin_pod</t>
  </si>
  <si>
    <t>Min pmotin_pod</t>
  </si>
  <si>
    <t>Min pfuel2</t>
  </si>
  <si>
    <t>Min poil_3500</t>
  </si>
  <si>
    <t>Min poil_5500</t>
  </si>
  <si>
    <t>Min poil_7500</t>
  </si>
  <si>
    <t>Max Oil_level</t>
  </si>
  <si>
    <t>Max pcrank</t>
  </si>
  <si>
    <t>Max FIA_PPUIllegal</t>
  </si>
  <si>
    <t>Max fuelcons_kg</t>
  </si>
  <si>
    <t>Max dmFFMFuelF1</t>
  </si>
  <si>
    <t>Max nturbo</t>
  </si>
  <si>
    <t>Max nturbo2</t>
  </si>
  <si>
    <t>Lap-Begin Ave_Wgc_Pwm</t>
  </si>
  <si>
    <t>Lap-Begin Ave_Wgc_Pwm2</t>
  </si>
  <si>
    <t>Max p22_7500</t>
  </si>
  <si>
    <t>Max p22_2_7500</t>
  </si>
  <si>
    <t>Max p22</t>
  </si>
  <si>
    <t>Max p22_2</t>
  </si>
  <si>
    <t>Max CLU_MPUMeasuredCAN</t>
  </si>
  <si>
    <t>Max tfuel</t>
  </si>
  <si>
    <t>Max tfueltankout_pod</t>
  </si>
  <si>
    <t>Max trail_pod</t>
  </si>
  <si>
    <t>Max trail2_pod</t>
  </si>
  <si>
    <t>Min SOC</t>
  </si>
  <si>
    <t>Max DeviceInfo_PowerstageCurrentSumH</t>
  </si>
  <si>
    <t>Max DeviceInfo_PowerstageCurrentSumL</t>
  </si>
  <si>
    <t>Lap-Begin Ave_E-shift_Current</t>
  </si>
  <si>
    <t>Max abs_EPS_Motor_Current</t>
  </si>
  <si>
    <t>Min cu_fuel_lift_01</t>
  </si>
  <si>
    <t>Max cu_fuel_lift_01</t>
  </si>
  <si>
    <t>Min cu_fuel_lift_02</t>
  </si>
  <si>
    <t>Max cu_fuel_lift_02</t>
  </si>
  <si>
    <t>Min cu_fuel_hp_pwm</t>
  </si>
  <si>
    <t>Max cu_fuel_hp_pwm</t>
  </si>
  <si>
    <t>Min cu_fuel_hp_01</t>
  </si>
  <si>
    <t>Ave cu_fuel_hp_01</t>
  </si>
  <si>
    <t>Max cu_fuel_hp_01</t>
  </si>
  <si>
    <t>Min cu_fuel_hp_02</t>
  </si>
  <si>
    <t>Ave cu_fuel_hp_02</t>
  </si>
  <si>
    <t>Max cu_fuel_hp_02</t>
  </si>
  <si>
    <t>Max Alternator_Error_State</t>
  </si>
  <si>
    <t>Ave altco_gb_DutyCycle</t>
  </si>
  <si>
    <t>Max altco_gb_TChip</t>
  </si>
  <si>
    <t>Max eps_failsafe_1</t>
  </si>
  <si>
    <t>Max eps_failsafe_2</t>
  </si>
  <si>
    <t>Max cpu_load_001</t>
  </si>
  <si>
    <t>Max cpu_load_002</t>
  </si>
  <si>
    <t>Max mlo_egt_temp_error_state_can</t>
  </si>
  <si>
    <t>Max DIAG_EPS_Assist_Stop</t>
  </si>
  <si>
    <t>Max DIAG_EPS_Warning</t>
  </si>
  <si>
    <t>Max mlo_egt_temp_power_section_can</t>
  </si>
  <si>
    <t>Max tecu_core</t>
  </si>
  <si>
    <t>Max tecu_cpu</t>
  </si>
  <si>
    <t>Max tecu_hpi1</t>
  </si>
  <si>
    <t>Max tecu_hpi2</t>
  </si>
  <si>
    <t>Max tecu_ign</t>
  </si>
  <si>
    <t>Max DeviceInfo_DeviceTemperature</t>
  </si>
  <si>
    <t>Max eps_motor_tmp</t>
  </si>
  <si>
    <t>Min sclutch</t>
  </si>
  <si>
    <t>Lap-Begin Ave_Clutch_Slip</t>
  </si>
  <si>
    <t>Ave water_pres_diff_calc_pod</t>
  </si>
  <si>
    <t>Min Ride_AxleFront_Dunlop</t>
  </si>
  <si>
    <t>Min Ride_AxleRear_Dunlop</t>
  </si>
  <si>
    <t>Ave Ride_AxleFront_Porsche1</t>
  </si>
  <si>
    <t>Ave RollBalance_LS</t>
  </si>
  <si>
    <t>Ave RollBalance_MS</t>
  </si>
  <si>
    <t>Ave RollBalance_HS</t>
  </si>
  <si>
    <t>Understeer USOS</t>
  </si>
  <si>
    <t>Understeer USOS HS</t>
  </si>
  <si>
    <t>Understeer USOS LS Entry</t>
  </si>
  <si>
    <t>Understeer USOS LS Mid</t>
  </si>
  <si>
    <t>Understeer USOS LS Exit</t>
  </si>
  <si>
    <t>Understeer USOS MS Entry</t>
  </si>
  <si>
    <t>Understeer USOS MS Exit</t>
  </si>
  <si>
    <t>CzF_TS</t>
  </si>
  <si>
    <t>CzR_TS</t>
  </si>
  <si>
    <t>Max accy_filtered</t>
  </si>
  <si>
    <t>Aerodynamics 1</t>
  </si>
  <si>
    <t>Lap-Begin Ave Lambda</t>
  </si>
  <si>
    <t>Lap-Begin Ave Lambda2</t>
  </si>
  <si>
    <t>Lap-Begin Ave flc</t>
  </si>
  <si>
    <t>Lap-Begin Ave flc2</t>
  </si>
  <si>
    <t>Max pwat</t>
  </si>
  <si>
    <t>Engine 3</t>
  </si>
  <si>
    <t>System 3</t>
  </si>
  <si>
    <t>System 4</t>
  </si>
  <si>
    <t>Ave CzF_TS</t>
  </si>
  <si>
    <t>Ave CzR_TS</t>
  </si>
  <si>
    <t>Outing number</t>
  </si>
  <si>
    <t>End Row (Don'T touch)</t>
  </si>
  <si>
    <t>Plots list</t>
  </si>
  <si>
    <t>ID</t>
  </si>
  <si>
    <t>Title</t>
  </si>
  <si>
    <t xml:space="preserve">Left </t>
  </si>
  <si>
    <t>Top</t>
  </si>
  <si>
    <t>Laptime [s]</t>
  </si>
  <si>
    <t>Fuel [kg] and Energy [MJ]</t>
  </si>
  <si>
    <t>Pitlane speed [Km/h]</t>
  </si>
  <si>
    <t>Sw Knobs</t>
  </si>
  <si>
    <t>Throttle, Brake and SW smoothness</t>
  </si>
  <si>
    <t>Cross and coast time [s]</t>
  </si>
  <si>
    <t>RPM @ Upshift</t>
  </si>
  <si>
    <t>Longitudinal acceleration [g]</t>
  </si>
  <si>
    <t>Pitlane RH [mm]</t>
  </si>
  <si>
    <t>RH front, rear @ Top Speed [mm]</t>
  </si>
  <si>
    <t>Top Speed [Km/h]</t>
  </si>
  <si>
    <t>SCz front, rear @ Top Speed</t>
  </si>
  <si>
    <t>RH @160,220 Kph [mm]</t>
  </si>
  <si>
    <t>Scz front, rear @160 Kph</t>
  </si>
  <si>
    <t>Scz front, rear @220 Kph</t>
  </si>
  <si>
    <t>AB HS,MS [ratio]</t>
  </si>
  <si>
    <t>min RH Dunlop corner [mm]</t>
  </si>
  <si>
    <t>RH 1st Porsche corner [mm]</t>
  </si>
  <si>
    <t>DCPL[N]</t>
  </si>
  <si>
    <t>Roll balance</t>
  </si>
  <si>
    <t>Lateral acceleration [g]</t>
  </si>
  <si>
    <t>Understeer  USOS HS [deg]</t>
  </si>
  <si>
    <t>Understeer  USOS LS [deg]</t>
  </si>
  <si>
    <t>Understeer  USOS MS [deg]</t>
  </si>
  <si>
    <t>HS Bump [%]</t>
  </si>
  <si>
    <t>HS Rebound [%]</t>
  </si>
  <si>
    <t>LS Bump [%]</t>
  </si>
  <si>
    <t>LS Rebound [%]</t>
  </si>
  <si>
    <t>AVG tyre pressure lap [bar]</t>
  </si>
  <si>
    <t>Wheel locking times [s]</t>
  </si>
  <si>
    <t>Min disk temperature [deg C]</t>
  </si>
  <si>
    <t>Air temp inside tyre [deg C]</t>
  </si>
  <si>
    <t>Temp IR2 [deg C]</t>
  </si>
  <si>
    <t>Average disk temperature [deg C]</t>
  </si>
  <si>
    <t>Max pressure [bar] and balance [%]</t>
  </si>
  <si>
    <t>Max &amp; AVG Caliper T [deg C]</t>
  </si>
  <si>
    <t>Oil level [litres], pcrank [mBar]</t>
  </si>
  <si>
    <t>Gearbox and engine temperatures [deg C]</t>
  </si>
  <si>
    <t>Misfire times [s]</t>
  </si>
  <si>
    <t>Min fuel pressure [bar]</t>
  </si>
  <si>
    <t>Coolant pressures [bar]</t>
  </si>
  <si>
    <t xml:space="preserve">Mixture </t>
  </si>
  <si>
    <t>Poil surging time [s]</t>
  </si>
  <si>
    <t>PPU Ilegal [kW] and Engine torque [Nm]</t>
  </si>
  <si>
    <t>Fuel flow [kg/h]</t>
  </si>
  <si>
    <t>Turbo and wastegate valves</t>
  </si>
  <si>
    <t>Intake pressure [mBar]</t>
  </si>
  <si>
    <t>Battery voltage [V]</t>
  </si>
  <si>
    <t>Gearbox actuator current [A]</t>
  </si>
  <si>
    <t>Dog to dog time [s]</t>
  </si>
  <si>
    <t>EPS motor current [A]</t>
  </si>
  <si>
    <t>Fuel mid pumps current [A]</t>
  </si>
  <si>
    <t>Fuel lift pumps_1 current [A]</t>
  </si>
  <si>
    <t>Fuel lift pumps_2 current [A]</t>
  </si>
  <si>
    <t>Fuel lift pumps_3 current [A]</t>
  </si>
  <si>
    <t>Cockpit temperature [deg C]</t>
  </si>
  <si>
    <t>Alternator diagnostics</t>
  </si>
  <si>
    <t>Diagnostics</t>
  </si>
  <si>
    <t>Electronic temperatures</t>
  </si>
  <si>
    <t>Clutch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</si>
  <si>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</si>
  <si>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</si>
  <si>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</si>
  <si>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</si>
  <si>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</si>
  <si>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</si>
  <si>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</si>
  <si>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</si>
  <si>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Titles list</t>
  </si>
  <si>
    <t>Sheet</t>
  </si>
  <si>
    <t>Aerodynamics 3 (Track specific)</t>
  </si>
  <si>
    <t>Setup 2</t>
  </si>
  <si>
    <t>Damper</t>
  </si>
  <si>
    <t>Left</t>
  </si>
  <si>
    <t>Scatters list</t>
  </si>
  <si>
    <t>FuelConsumption_vs_Laptime  [kg/lap vs s]</t>
  </si>
  <si>
    <t>Sw Smoothness vs Laptime</t>
  </si>
  <si>
    <t>Throttle Smoothness vs Laptime</t>
  </si>
  <si>
    <t>Throttle smoothess vs Energy</t>
  </si>
  <si>
    <t>Driver ID</t>
  </si>
  <si>
    <t>Drivers list</t>
  </si>
  <si>
    <t>FuelCons</t>
  </si>
  <si>
    <t>SW smoothness</t>
  </si>
  <si>
    <t>Throttle smoothness</t>
  </si>
  <si>
    <t>Brake release smoothness</t>
  </si>
  <si>
    <t>Energy</t>
  </si>
  <si>
    <t>X_Axis</t>
  </si>
  <si>
    <t>Y_Axis</t>
  </si>
  <si>
    <t>Driver_1_Row</t>
  </si>
  <si>
    <t>Driver_2_Row</t>
  </si>
  <si>
    <t>Driver_3_Row</t>
  </si>
  <si>
    <t>Brake release smoothness vs Laptime</t>
  </si>
  <si>
    <t>Throttle smoothness vs Fuel</t>
  </si>
  <si>
    <t>Reference laptime(s)</t>
  </si>
  <si>
    <t>Reference laptime(hh:mm:ss)</t>
  </si>
  <si>
    <t>Reference laptime (plot format)</t>
  </si>
  <si>
    <t>Reference fuel cons (Kg)</t>
  </si>
  <si>
    <t>Reference Energy (MJ)</t>
  </si>
  <si>
    <t>Fuel cons range max</t>
  </si>
  <si>
    <t>Fuel cons range min</t>
  </si>
  <si>
    <t>Energy range max</t>
  </si>
  <si>
    <t>Energy range min</t>
  </si>
  <si>
    <t>Ave toil</t>
  </si>
  <si>
    <t>Ave Delta_tmot_toil</t>
  </si>
  <si>
    <t>Ave prail_ip_100%</t>
  </si>
  <si>
    <t>Ave prail_ip2_100%</t>
  </si>
  <si>
    <t>Max texh</t>
  </si>
  <si>
    <t>Ave texh</t>
  </si>
  <si>
    <t>Max texh2</t>
  </si>
  <si>
    <t>Ave texh2</t>
  </si>
  <si>
    <t>Ave p21_ip_100%</t>
  </si>
  <si>
    <t>Ave p21_ip2_100%</t>
  </si>
  <si>
    <t>Max B_lc_OFF_Timer</t>
  </si>
  <si>
    <t>Max B_lc2_OFF_Timer</t>
  </si>
  <si>
    <t>Lap-Begin Delta Texh_lapave</t>
  </si>
  <si>
    <t>Lap-Begin Delta I_P21_lapave</t>
  </si>
  <si>
    <t>Control Ips</t>
  </si>
  <si>
    <t>Texh [deg C]</t>
  </si>
  <si>
    <t>Engine 4</t>
  </si>
  <si>
    <t>Ave Ride_AxleRear_Porsche1</t>
  </si>
  <si>
    <t>#7</t>
  </si>
  <si>
    <t>Catch tank level [mm]</t>
  </si>
  <si>
    <t>Brake wear [mm/lap]</t>
  </si>
  <si>
    <t>Brake wear total [mm]</t>
  </si>
  <si>
    <t>Ave FIA_xOilLevel</t>
  </si>
  <si>
    <t>Lap-Diff Brk_Wear_FL</t>
  </si>
  <si>
    <t>Lap-Diff Brk_Wear_FR</t>
  </si>
  <si>
    <t>Fuel temperature [deg C]</t>
  </si>
  <si>
    <t>Brake wear</t>
  </si>
  <si>
    <t>Disk wear FL</t>
  </si>
  <si>
    <t>Disk wear FR</t>
  </si>
  <si>
    <t>20210818_13-54-29_LEM_24H_FP1_007009_001_03-32-38</t>
  </si>
  <si>
    <t>y</t>
  </si>
  <si>
    <t>24:32.10 &lt;</t>
  </si>
  <si>
    <t>20210818_14-32-55_LEM_24H_FP1_007009_002_03-31-40</t>
  </si>
  <si>
    <t>20210818_15-10-58_LEM_24H_FP1_007009_003_03-30-20</t>
  </si>
  <si>
    <t>RD</t>
  </si>
  <si>
    <t>RW</t>
  </si>
  <si>
    <t>RB</t>
  </si>
  <si>
    <t>20210818_15-37-26_LEM_24H_FP1_007009_004_03-32-00</t>
  </si>
  <si>
    <t>20210818_16-03-12_LEM_24H_FP1_007009_005_03-34-57</t>
  </si>
  <si>
    <t>20210818_16-43-06_LEM_24H_FP1_007009_006_03-31-19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</si>
</sst>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AA"/>
        <bgColor indexed="64"/>
      </patternFill>
    </fill>
  </fills>
  <borders count="3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3">
    <xf numFmtId="0" fontId="0" fillId="0" borderId="0"/>
    <xf numFmtId="0" fontId="5" fillId="5" borderId="15" applyNumberFormat="0" applyAlignment="0" applyProtection="0"/>
    <xf numFmtId="0" fontId="6" fillId="6" borderId="15" applyNumberFormat="0" applyAlignment="0" applyProtection="0"/>
  </cellStyleXfs>
  <cellXfs count="67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1" fillId="0" borderId="0" xfId="0" applyFont="1"/>
    <xf numFmtId="2" fontId="0" fillId="0" borderId="0" xfId="0" applyNumberFormat="1"/>
    <xf numFmtId="0" fontId="0" fillId="4" borderId="0" xfId="0" applyFill="1"/>
    <xf numFmtId="0" fontId="3" fillId="0" borderId="1" xfId="0" applyFont="1" applyBorder="1" applyAlignment="1">
      <alignment horizontal="right" vertical="center" wrapText="1"/>
    </xf>
    <xf numFmtId="21" fontId="0" fillId="0" borderId="0" xfId="0" applyNumberFormat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1" fillId="0" borderId="8" xfId="0" applyFont="1" applyBorder="1"/>
    <xf numFmtId="0" fontId="1" fillId="0" borderId="0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4" fontId="0" fillId="0" borderId="0" xfId="0" applyNumberFormat="1" applyBorder="1"/>
    <xf numFmtId="3" fontId="1" fillId="0" borderId="0" xfId="0" applyNumberFormat="1" applyFont="1" applyBorder="1"/>
    <xf numFmtId="4" fontId="1" fillId="0" borderId="0" xfId="0" applyNumberFormat="1" applyFont="1" applyBorder="1"/>
    <xf numFmtId="0" fontId="0" fillId="0" borderId="0" xfId="0" applyFill="1" applyBorder="1"/>
    <xf numFmtId="0" fontId="0" fillId="0" borderId="9" xfId="0" applyFill="1" applyBorder="1"/>
    <xf numFmtId="0" fontId="0" fillId="0" borderId="11" xfId="0" applyFill="1" applyBorder="1"/>
    <xf numFmtId="0" fontId="0" fillId="0" borderId="12" xfId="0" applyFill="1" applyBorder="1"/>
    <xf numFmtId="0" fontId="6" fillId="6" borderId="15" xfId="2"/>
    <xf numFmtId="0" fontId="5" fillId="5" borderId="15" xfId="1"/>
    <xf numFmtId="0" fontId="6" fillId="6" borderId="15" xfId="2" applyBorder="1"/>
    <xf numFmtId="0" fontId="6" fillId="6" borderId="17" xfId="2" applyBorder="1"/>
    <xf numFmtId="164" fontId="5" fillId="5" borderId="16" xfId="1" applyNumberFormat="1" applyBorder="1"/>
    <xf numFmtId="164" fontId="6" fillId="6" borderId="18" xfId="2" applyNumberFormat="1" applyBorder="1"/>
    <xf numFmtId="0" fontId="6" fillId="6" borderId="19" xfId="2" applyBorder="1"/>
    <xf numFmtId="0" fontId="6" fillId="6" borderId="20" xfId="2" applyBorder="1"/>
    <xf numFmtId="164" fontId="6" fillId="6" borderId="21" xfId="2" applyNumberFormat="1" applyBorder="1"/>
    <xf numFmtId="0" fontId="6" fillId="6" borderId="22" xfId="2" applyBorder="1"/>
    <xf numFmtId="0" fontId="6" fillId="6" borderId="23" xfId="2" applyBorder="1"/>
    <xf numFmtId="0" fontId="0" fillId="0" borderId="13" xfId="0" applyBorder="1"/>
    <xf numFmtId="0" fontId="0" fillId="0" borderId="24" xfId="0" applyBorder="1"/>
    <xf numFmtId="0" fontId="0" fillId="0" borderId="14" xfId="0" applyBorder="1"/>
    <xf numFmtId="0" fontId="5" fillId="5" borderId="25" xfId="1" applyBorder="1"/>
    <xf numFmtId="0" fontId="6" fillId="6" borderId="26" xfId="2" applyBorder="1"/>
    <xf numFmtId="0" fontId="6" fillId="6" borderId="27" xfId="2" applyBorder="1"/>
    <xf numFmtId="0" fontId="5" fillId="5" borderId="28" xfId="1" applyBorder="1"/>
    <xf numFmtId="0" fontId="6" fillId="6" borderId="29" xfId="2" applyBorder="1"/>
    <xf numFmtId="0" fontId="6" fillId="6" borderId="30" xfId="2" applyBorder="1"/>
    <xf numFmtId="0" fontId="0" fillId="0" borderId="0" xfId="0" applyFont="1" applyBorder="1"/>
    <xf numFmtId="4" fontId="0" fillId="0" borderId="0" xfId="0" applyNumberFormat="1" applyFont="1" applyBorder="1"/>
    <xf numFmtId="0" fontId="2" fillId="0" borderId="1" xfId="0" applyFont="1" applyBorder="1" applyAlignment="1">
      <alignment horizontal="right" vertical="center" wrapText="1"/>
    </xf>
    <xf numFmtId="0" fontId="1" fillId="7" borderId="1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 wrapText="1"/>
    </xf>
    <xf numFmtId="0" fontId="1" fillId="0" borderId="0" xfId="0" applyFont="1" applyFill="1" applyBorder="1"/>
    <xf numFmtId="0" fontId="0" fillId="0" borderId="0" xfId="0" applyFont="1" applyFill="1" applyBorder="1"/>
    <xf numFmtId="0" fontId="0" fillId="0" borderId="9" xfId="0" applyFont="1" applyBorder="1"/>
    <xf numFmtId="0" fontId="0" fillId="0" borderId="0" xfId="0" applyFont="1"/>
    <xf numFmtId="4" fontId="0" fillId="0" borderId="0" xfId="0" applyNumberFormat="1" applyFont="1"/>
    <xf numFmtId="0" fontId="0" fillId="0" borderId="11" xfId="0" applyFont="1" applyBorder="1"/>
    <xf numFmtId="0" fontId="2" fillId="2" borderId="31" xfId="0" applyFont="1" applyFill="1" applyBorder="1" applyAlignment="1">
      <alignment horizontal="center" vertical="center" wrapText="1"/>
    </xf>
    <xf numFmtId="47" fontId="2" fillId="0" borderId="1" xfId="0" applyNumberFormat="1" applyFont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47" fontId="7" fillId="7" borderId="1" xfId="0" applyNumberFormat="1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 wrapText="1"/>
    </xf>
  </cellXfs>
  <cellStyles count="3">
    <cellStyle name="Calculation" xfId="2" builtinId="22"/>
    <cellStyle name="Input" xfId="1" builtinId="20"/>
    <cellStyle name="Normal" xfId="0" builtinId="0"/>
  </cellStyles>
  <dxfs count="3"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0F0F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colors>
    <mruColors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Laptime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All!$D$6:$D$56</c:f>
              <c:numCache>
                <c:formatCode>mm:ss.0</c:formatCode>
                <c:ptCount val="51"/>
                <c:pt idx="0" formatCode="General">
                  <c:v>0</c:v>
                </c:pt>
                <c:pt idx="1">
                  <c:v>2.5464120370370371E-3</c:v>
                </c:pt>
                <c:pt idx="2">
                  <c:v>2.457638888888889E-3</c:v>
                </c:pt>
                <c:pt idx="3">
                  <c:v>2.7488425925925927E-3</c:v>
                </c:pt>
                <c:pt idx="7">
                  <c:v>3.3539351851851851E-3</c:v>
                </c:pt>
                <c:pt idx="8">
                  <c:v>2.4716435185185184E-3</c:v>
                </c:pt>
                <c:pt idx="9">
                  <c:v>2.4660879629629629E-3</c:v>
                </c:pt>
                <c:pt idx="10">
                  <c:v>2.4462962962962967E-3</c:v>
                </c:pt>
                <c:pt idx="11">
                  <c:v>2.8197916666666666E-3</c:v>
                </c:pt>
                <c:pt idx="12">
                  <c:v>2.4636574074074075E-3</c:v>
                </c:pt>
                <c:pt idx="13">
                  <c:v>2.7836805555555553E-3</c:v>
                </c:pt>
                <c:pt idx="17">
                  <c:v>4.8123842592592584E-3</c:v>
                </c:pt>
                <c:pt idx="18">
                  <c:v>2.4730324074074077E-3</c:v>
                </c:pt>
                <c:pt idx="19">
                  <c:v>2.4324074074074074E-3</c:v>
                </c:pt>
                <c:pt idx="20">
                  <c:v>2.4615740740740739E-3</c:v>
                </c:pt>
                <c:pt idx="21">
                  <c:v>2.4424768518518519E-3</c:v>
                </c:pt>
                <c:pt idx="22">
                  <c:v>2.8505787037037041E-3</c:v>
                </c:pt>
                <c:pt idx="26">
                  <c:v>2.9356481481481477E-3</c:v>
                </c:pt>
                <c:pt idx="27">
                  <c:v>2.5643518518518519E-3</c:v>
                </c:pt>
                <c:pt idx="28">
                  <c:v>2.4874999999999997E-3</c:v>
                </c:pt>
                <c:pt idx="29">
                  <c:v>2.5350694444444444E-3</c:v>
                </c:pt>
                <c:pt idx="30">
                  <c:v>2.4532407407407406E-3</c:v>
                </c:pt>
                <c:pt idx="31">
                  <c:v>2.9023148148148146E-3</c:v>
                </c:pt>
                <c:pt idx="35">
                  <c:v>1.7211805555555557E-2</c:v>
                </c:pt>
                <c:pt idx="36">
                  <c:v>2.4829861111111112E-3</c:v>
                </c:pt>
                <c:pt idx="37">
                  <c:v>2.6239583333333336E-3</c:v>
                </c:pt>
                <c:pt idx="38">
                  <c:v>4.9342592592592589E-3</c:v>
                </c:pt>
                <c:pt idx="42">
                  <c:v>4.220949074074074E-3</c:v>
                </c:pt>
                <c:pt idx="43">
                  <c:v>3.9473379629629624E-3</c:v>
                </c:pt>
                <c:pt idx="44">
                  <c:v>2.4870370370370372E-3</c:v>
                </c:pt>
                <c:pt idx="45">
                  <c:v>2.4438657407407408E-3</c:v>
                </c:pt>
                <c:pt idx="46">
                  <c:v>2.7885416666666666E-3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74-484C-91E3-672905045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486592"/>
        <c:axId val="1404484096"/>
      </c:scatterChart>
      <c:valAx>
        <c:axId val="140448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4484096"/>
        <c:crosses val="autoZero"/>
        <c:crossBetween val="midCat"/>
      </c:valAx>
      <c:valAx>
        <c:axId val="1404484096"/>
        <c:scaling>
          <c:orientation val="minMax"/>
          <c:max val="2.5810185185185181E-3"/>
          <c:min val="2.3495370370370367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448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[kg] and Energy [MJ]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Lap-Diff fuelcons_kg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All!$G$6:$G$56</c:f>
              <c:numCache>
                <c:formatCode>General</c:formatCode>
                <c:ptCount val="51"/>
                <c:pt idx="0">
                  <c:v>4.92</c:v>
                </c:pt>
                <c:pt idx="1">
                  <c:v>5.82</c:v>
                </c:pt>
                <c:pt idx="2">
                  <c:v>5.96</c:v>
                </c:pt>
                <c:pt idx="3">
                  <c:v>5.88</c:v>
                </c:pt>
                <c:pt idx="7">
                  <c:v>5.62</c:v>
                </c:pt>
                <c:pt idx="8">
                  <c:v>5.77</c:v>
                </c:pt>
                <c:pt idx="9">
                  <c:v>5.84</c:v>
                </c:pt>
                <c:pt idx="10">
                  <c:v>5.85</c:v>
                </c:pt>
                <c:pt idx="11">
                  <c:v>5.61</c:v>
                </c:pt>
                <c:pt idx="12">
                  <c:v>5.81</c:v>
                </c:pt>
                <c:pt idx="13">
                  <c:v>5.63</c:v>
                </c:pt>
                <c:pt idx="17">
                  <c:v>4.96</c:v>
                </c:pt>
                <c:pt idx="18">
                  <c:v>5.84</c:v>
                </c:pt>
                <c:pt idx="19">
                  <c:v>5.95</c:v>
                </c:pt>
                <c:pt idx="20">
                  <c:v>5.64</c:v>
                </c:pt>
                <c:pt idx="21">
                  <c:v>5.88</c:v>
                </c:pt>
                <c:pt idx="22">
                  <c:v>-28.27</c:v>
                </c:pt>
                <c:pt idx="26">
                  <c:v>5.65</c:v>
                </c:pt>
                <c:pt idx="27">
                  <c:v>5.72</c:v>
                </c:pt>
                <c:pt idx="28">
                  <c:v>5.86</c:v>
                </c:pt>
                <c:pt idx="29">
                  <c:v>5.92</c:v>
                </c:pt>
                <c:pt idx="30">
                  <c:v>5.91</c:v>
                </c:pt>
                <c:pt idx="31">
                  <c:v>5.47</c:v>
                </c:pt>
                <c:pt idx="35">
                  <c:v>5.71</c:v>
                </c:pt>
                <c:pt idx="36">
                  <c:v>5.78</c:v>
                </c:pt>
                <c:pt idx="37">
                  <c:v>5.84</c:v>
                </c:pt>
                <c:pt idx="38">
                  <c:v>-17.32</c:v>
                </c:pt>
                <c:pt idx="42">
                  <c:v>4.72</c:v>
                </c:pt>
                <c:pt idx="43">
                  <c:v>4.8</c:v>
                </c:pt>
                <c:pt idx="44">
                  <c:v>6.04</c:v>
                </c:pt>
                <c:pt idx="45">
                  <c:v>6.1</c:v>
                </c:pt>
                <c:pt idx="46">
                  <c:v>5.84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0A-438C-BD0E-2DB7C31F4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467872"/>
        <c:axId val="1404480352"/>
      </c:scatterChart>
      <c:scatterChart>
        <c:scatterStyle val="lineMarker"/>
        <c:varyColors val="0"/>
        <c:ser>
          <c:idx val="1"/>
          <c:order val="1"/>
          <c:tx>
            <c:v>Lap-Diff FIA_PPUEnergy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All!$EX$6:$EX$56</c:f>
              <c:numCache>
                <c:formatCode>General</c:formatCode>
                <c:ptCount val="51"/>
                <c:pt idx="0">
                  <c:v>64.44</c:v>
                </c:pt>
                <c:pt idx="1">
                  <c:v>74.239999999999995</c:v>
                </c:pt>
                <c:pt idx="2">
                  <c:v>76.599999999999994</c:v>
                </c:pt>
                <c:pt idx="3">
                  <c:v>75</c:v>
                </c:pt>
                <c:pt idx="7">
                  <c:v>-221.12</c:v>
                </c:pt>
                <c:pt idx="8">
                  <c:v>73.64</c:v>
                </c:pt>
                <c:pt idx="9">
                  <c:v>74.64</c:v>
                </c:pt>
                <c:pt idx="10">
                  <c:v>74.94</c:v>
                </c:pt>
                <c:pt idx="11">
                  <c:v>70.36</c:v>
                </c:pt>
                <c:pt idx="12">
                  <c:v>74.2</c:v>
                </c:pt>
                <c:pt idx="13">
                  <c:v>70.94</c:v>
                </c:pt>
                <c:pt idx="17">
                  <c:v>-451.18</c:v>
                </c:pt>
                <c:pt idx="18">
                  <c:v>73.06</c:v>
                </c:pt>
                <c:pt idx="19">
                  <c:v>74.739999999999995</c:v>
                </c:pt>
                <c:pt idx="20">
                  <c:v>70</c:v>
                </c:pt>
                <c:pt idx="21">
                  <c:v>73.92</c:v>
                </c:pt>
                <c:pt idx="22">
                  <c:v>69.680000000000007</c:v>
                </c:pt>
                <c:pt idx="26">
                  <c:v>-348.8</c:v>
                </c:pt>
                <c:pt idx="27">
                  <c:v>72</c:v>
                </c:pt>
                <c:pt idx="28">
                  <c:v>73.98</c:v>
                </c:pt>
                <c:pt idx="29">
                  <c:v>75.02</c:v>
                </c:pt>
                <c:pt idx="30">
                  <c:v>74.900000000000006</c:v>
                </c:pt>
                <c:pt idx="31">
                  <c:v>66.86</c:v>
                </c:pt>
                <c:pt idx="35">
                  <c:v>-364.1</c:v>
                </c:pt>
                <c:pt idx="36">
                  <c:v>70.78</c:v>
                </c:pt>
                <c:pt idx="37">
                  <c:v>71.52</c:v>
                </c:pt>
                <c:pt idx="38">
                  <c:v>38.1</c:v>
                </c:pt>
                <c:pt idx="42">
                  <c:v>-196.62</c:v>
                </c:pt>
                <c:pt idx="43">
                  <c:v>52.7</c:v>
                </c:pt>
                <c:pt idx="44">
                  <c:v>74.34</c:v>
                </c:pt>
                <c:pt idx="45">
                  <c:v>74.94</c:v>
                </c:pt>
                <c:pt idx="46">
                  <c:v>70.28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0A-438C-BD0E-2DB7C31F4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961136"/>
        <c:axId val="1265964464"/>
      </c:scatterChart>
      <c:valAx>
        <c:axId val="140446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4480352"/>
        <c:crosses val="autoZero"/>
        <c:crossBetween val="midCat"/>
      </c:valAx>
      <c:valAx>
        <c:axId val="1404480352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4467872"/>
        <c:crosses val="autoZero"/>
        <c:crossBetween val="midCat"/>
      </c:valAx>
      <c:valAx>
        <c:axId val="1265964464"/>
        <c:scaling>
          <c:orientation val="minMax"/>
          <c:max val="80"/>
          <c:min val="6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5961136"/>
        <c:crosses val="max"/>
        <c:crossBetween val="midCat"/>
      </c:valAx>
      <c:valAx>
        <c:axId val="1265961136"/>
        <c:scaling>
          <c:orientation val="minMax"/>
        </c:scaling>
        <c:delete val="1"/>
        <c:axPos val="b"/>
        <c:majorTickMark val="out"/>
        <c:minorTickMark val="none"/>
        <c:tickLblPos val="nextTo"/>
        <c:crossAx val="126596446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Pitlane speed [Km/h]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Pitlane_Speed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All!$BR$6:$BR$56</c:f>
              <c:numCache>
                <c:formatCode>General</c:formatCode>
                <c:ptCount val="51"/>
                <c:pt idx="0">
                  <c:v>58.305</c:v>
                </c:pt>
                <c:pt idx="3">
                  <c:v>61.127000000000002</c:v>
                </c:pt>
                <c:pt idx="7">
                  <c:v>58.741</c:v>
                </c:pt>
                <c:pt idx="13">
                  <c:v>61.162999999999997</c:v>
                </c:pt>
                <c:pt idx="17">
                  <c:v>59.106999999999999</c:v>
                </c:pt>
                <c:pt idx="22">
                  <c:v>61.386000000000003</c:v>
                </c:pt>
                <c:pt idx="26">
                  <c:v>59.088999999999999</c:v>
                </c:pt>
                <c:pt idx="31">
                  <c:v>61.343000000000004</c:v>
                </c:pt>
                <c:pt idx="35">
                  <c:v>58.904000000000003</c:v>
                </c:pt>
                <c:pt idx="38">
                  <c:v>61.128</c:v>
                </c:pt>
                <c:pt idx="42">
                  <c:v>59.515999999999998</c:v>
                </c:pt>
                <c:pt idx="46">
                  <c:v>60.634999999999998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0C-424E-8475-C5D85421D831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1404465792"/>
        <c:axId val="1404459968"/>
      </c:scatterChart>
      <c:valAx>
        <c:axId val="140446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4459968"/>
        <c:crosses val="autoZero"/>
        <c:crossBetween val="midCat"/>
      </c:valAx>
      <c:valAx>
        <c:axId val="140445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4465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 Knobs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TC_gain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All!$K$6:$K$56</c:f>
              <c:numCache>
                <c:formatCode>General</c:formatCode>
                <c:ptCount val="5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5">
                  <c:v>11</c:v>
                </c:pt>
                <c:pt idx="36">
                  <c:v>7</c:v>
                </c:pt>
                <c:pt idx="37">
                  <c:v>8</c:v>
                </c:pt>
                <c:pt idx="38">
                  <c:v>10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46-482C-B14C-ADE9416E6703}"/>
            </c:ext>
          </c:extLst>
        </c:ser>
        <c:ser>
          <c:idx val="1"/>
          <c:order val="1"/>
          <c:tx>
            <c:v>Max TC_slip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All!$L$6:$L$56</c:f>
              <c:numCache>
                <c:formatCode>General</c:formatCode>
                <c:ptCount val="5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6">
                  <c:v>2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5">
                  <c:v>6</c:v>
                </c:pt>
                <c:pt idx="36">
                  <c:v>7</c:v>
                </c:pt>
                <c:pt idx="37">
                  <c:v>8</c:v>
                </c:pt>
                <c:pt idx="38">
                  <c:v>9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46-482C-B14C-ADE9416E6703}"/>
            </c:ext>
          </c:extLst>
        </c:ser>
        <c:ser>
          <c:idx val="2"/>
          <c:order val="2"/>
          <c:tx>
            <c:v>Max EngineMap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All!$M$6:$M$56</c:f>
              <c:numCache>
                <c:formatCode>General</c:formatCode>
                <c:ptCount val="5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46-482C-B14C-ADE9416E6703}"/>
            </c:ext>
          </c:extLst>
        </c:ser>
        <c:ser>
          <c:idx val="3"/>
          <c:order val="3"/>
          <c:tx>
            <c:v>Max PedalMap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All!$N$6:$N$56</c:f>
              <c:numCache>
                <c:formatCode>General</c:formatCode>
                <c:ptCount val="5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246-482C-B14C-ADE9416E6703}"/>
            </c:ext>
          </c:extLst>
        </c:ser>
        <c:ser>
          <c:idx val="4"/>
          <c:order val="4"/>
          <c:tx>
            <c:v>Max SteerMap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All!$O$6:$O$56</c:f>
              <c:numCache>
                <c:formatCode>General</c:formatCode>
                <c:ptCount val="5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246-482C-B14C-ADE9416E6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458304"/>
        <c:axId val="1404473696"/>
      </c:scatterChart>
      <c:valAx>
        <c:axId val="140445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4473696"/>
        <c:crosses val="autoZero"/>
        <c:crossBetween val="midCat"/>
      </c:valAx>
      <c:valAx>
        <c:axId val="140447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4458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Throttle, Brake and SW smoothness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LAP_Throttle_Smoothness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All!$CI$6:$CI$56</c:f>
              <c:numCache>
                <c:formatCode>General</c:formatCode>
                <c:ptCount val="51"/>
                <c:pt idx="0">
                  <c:v>14.084</c:v>
                </c:pt>
                <c:pt idx="1">
                  <c:v>4.8849999999999998</c:v>
                </c:pt>
                <c:pt idx="2">
                  <c:v>5.5789999999999997</c:v>
                </c:pt>
                <c:pt idx="7">
                  <c:v>6.0579999999999998</c:v>
                </c:pt>
                <c:pt idx="8">
                  <c:v>5.3479999999999999</c:v>
                </c:pt>
                <c:pt idx="9">
                  <c:v>4.25</c:v>
                </c:pt>
                <c:pt idx="10">
                  <c:v>4.4020000000000001</c:v>
                </c:pt>
                <c:pt idx="11">
                  <c:v>5.0460000000000003</c:v>
                </c:pt>
                <c:pt idx="12">
                  <c:v>5.0339999999999998</c:v>
                </c:pt>
                <c:pt idx="17">
                  <c:v>5.1760000000000002</c:v>
                </c:pt>
                <c:pt idx="18">
                  <c:v>5.4240000000000004</c:v>
                </c:pt>
                <c:pt idx="19">
                  <c:v>4.8440000000000003</c:v>
                </c:pt>
                <c:pt idx="20">
                  <c:v>4.6740000000000004</c:v>
                </c:pt>
                <c:pt idx="21">
                  <c:v>4.0910000000000002</c:v>
                </c:pt>
                <c:pt idx="26">
                  <c:v>3.7050000000000001</c:v>
                </c:pt>
                <c:pt idx="27">
                  <c:v>3.7709999999999999</c:v>
                </c:pt>
                <c:pt idx="28">
                  <c:v>3.5990000000000002</c:v>
                </c:pt>
                <c:pt idx="29">
                  <c:v>3.859</c:v>
                </c:pt>
                <c:pt idx="30">
                  <c:v>3.5209999999999999</c:v>
                </c:pt>
                <c:pt idx="35">
                  <c:v>3.32</c:v>
                </c:pt>
                <c:pt idx="36">
                  <c:v>3.105</c:v>
                </c:pt>
                <c:pt idx="37">
                  <c:v>3.0259999999999998</c:v>
                </c:pt>
                <c:pt idx="42">
                  <c:v>2.3690000000000002</c:v>
                </c:pt>
                <c:pt idx="43">
                  <c:v>3.254</c:v>
                </c:pt>
                <c:pt idx="44">
                  <c:v>4.641</c:v>
                </c:pt>
                <c:pt idx="45">
                  <c:v>4.7240000000000002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64-4E6E-998E-B4CA3CDCFC0C}"/>
            </c:ext>
          </c:extLst>
        </c:ser>
        <c:ser>
          <c:idx val="1"/>
          <c:order val="1"/>
          <c:tx>
            <c:v>Ave LAP_BrakeRelease_Smoothness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All!$CJ$6:$CJ$56</c:f>
              <c:numCache>
                <c:formatCode>General</c:formatCode>
                <c:ptCount val="51"/>
                <c:pt idx="0">
                  <c:v>15.163</c:v>
                </c:pt>
                <c:pt idx="1">
                  <c:v>3.3439999999999999</c:v>
                </c:pt>
                <c:pt idx="2">
                  <c:v>2.9060000000000001</c:v>
                </c:pt>
                <c:pt idx="7">
                  <c:v>3.3</c:v>
                </c:pt>
                <c:pt idx="8">
                  <c:v>3.415</c:v>
                </c:pt>
                <c:pt idx="9">
                  <c:v>3.3260000000000001</c:v>
                </c:pt>
                <c:pt idx="10">
                  <c:v>3.194</c:v>
                </c:pt>
                <c:pt idx="11">
                  <c:v>3.2109999999999999</c:v>
                </c:pt>
                <c:pt idx="12">
                  <c:v>3.2730000000000001</c:v>
                </c:pt>
                <c:pt idx="17">
                  <c:v>-573.15499999999997</c:v>
                </c:pt>
                <c:pt idx="18">
                  <c:v>-748.80399999999997</c:v>
                </c:pt>
                <c:pt idx="19">
                  <c:v>-103.21299999999999</c:v>
                </c:pt>
                <c:pt idx="20">
                  <c:v>-33.445</c:v>
                </c:pt>
                <c:pt idx="21">
                  <c:v>328.32900000000001</c:v>
                </c:pt>
                <c:pt idx="26">
                  <c:v>3.36</c:v>
                </c:pt>
                <c:pt idx="27">
                  <c:v>3.5779999999999998</c:v>
                </c:pt>
                <c:pt idx="28">
                  <c:v>3.504</c:v>
                </c:pt>
                <c:pt idx="29">
                  <c:v>3.5910000000000002</c:v>
                </c:pt>
                <c:pt idx="30">
                  <c:v>3.3</c:v>
                </c:pt>
                <c:pt idx="35">
                  <c:v>2.2810000000000001</c:v>
                </c:pt>
                <c:pt idx="36">
                  <c:v>3.41</c:v>
                </c:pt>
                <c:pt idx="37">
                  <c:v>2.476</c:v>
                </c:pt>
                <c:pt idx="42">
                  <c:v>2.2589999999999999</c:v>
                </c:pt>
                <c:pt idx="43">
                  <c:v>2.698</c:v>
                </c:pt>
                <c:pt idx="44">
                  <c:v>3.327</c:v>
                </c:pt>
                <c:pt idx="45">
                  <c:v>3.214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64-4E6E-998E-B4CA3CDCFC0C}"/>
            </c:ext>
          </c:extLst>
        </c:ser>
        <c:ser>
          <c:idx val="2"/>
          <c:order val="2"/>
          <c:tx>
            <c:v>Ave LAP_SW_Smoothness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All!$CK$6:$CK$56</c:f>
              <c:numCache>
                <c:formatCode>General</c:formatCode>
                <c:ptCount val="51"/>
                <c:pt idx="0">
                  <c:v>1.0369999999999999</c:v>
                </c:pt>
                <c:pt idx="1">
                  <c:v>1.4430000000000001</c:v>
                </c:pt>
                <c:pt idx="2">
                  <c:v>1.718</c:v>
                </c:pt>
                <c:pt idx="7">
                  <c:v>1.58</c:v>
                </c:pt>
                <c:pt idx="8">
                  <c:v>1.6819999999999999</c:v>
                </c:pt>
                <c:pt idx="9">
                  <c:v>1.81</c:v>
                </c:pt>
                <c:pt idx="10">
                  <c:v>1.649</c:v>
                </c:pt>
                <c:pt idx="11">
                  <c:v>1.357</c:v>
                </c:pt>
                <c:pt idx="12">
                  <c:v>1.43</c:v>
                </c:pt>
                <c:pt idx="17">
                  <c:v>1.3839999999999999</c:v>
                </c:pt>
                <c:pt idx="18">
                  <c:v>1.63</c:v>
                </c:pt>
                <c:pt idx="19">
                  <c:v>1.641</c:v>
                </c:pt>
                <c:pt idx="20">
                  <c:v>1.615</c:v>
                </c:pt>
                <c:pt idx="21">
                  <c:v>1.417</c:v>
                </c:pt>
                <c:pt idx="26">
                  <c:v>1.083</c:v>
                </c:pt>
                <c:pt idx="27">
                  <c:v>1.363</c:v>
                </c:pt>
                <c:pt idx="28">
                  <c:v>1.4650000000000001</c:v>
                </c:pt>
                <c:pt idx="29">
                  <c:v>1.4830000000000001</c:v>
                </c:pt>
                <c:pt idx="30">
                  <c:v>1.19</c:v>
                </c:pt>
                <c:pt idx="35">
                  <c:v>1.018</c:v>
                </c:pt>
                <c:pt idx="36">
                  <c:v>1.4510000000000001</c:v>
                </c:pt>
                <c:pt idx="37">
                  <c:v>0.92900000000000005</c:v>
                </c:pt>
                <c:pt idx="42">
                  <c:v>1.2949999999999999</c:v>
                </c:pt>
                <c:pt idx="43">
                  <c:v>1.504</c:v>
                </c:pt>
                <c:pt idx="44">
                  <c:v>1.655</c:v>
                </c:pt>
                <c:pt idx="45">
                  <c:v>1.522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64-4E6E-998E-B4CA3CDCF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459552"/>
        <c:axId val="1404475360"/>
      </c:scatterChart>
      <c:valAx>
        <c:axId val="140445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4475360"/>
        <c:crosses val="autoZero"/>
        <c:crossBetween val="midCat"/>
      </c:valAx>
      <c:valAx>
        <c:axId val="1404475360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4459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Cross and coast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CrossTimeLap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All!$I$6:$I$56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0.23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0.14000000000000001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3.1190000000000002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A8-43A4-A291-ACBE2B62579C}"/>
            </c:ext>
          </c:extLst>
        </c:ser>
        <c:ser>
          <c:idx val="1"/>
          <c:order val="1"/>
          <c:tx>
            <c:v>Max CoastTimeLap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All!$J$6:$J$56</c:f>
              <c:numCache>
                <c:formatCode>General</c:formatCode>
                <c:ptCount val="51"/>
                <c:pt idx="0">
                  <c:v>1216.7</c:v>
                </c:pt>
                <c:pt idx="1">
                  <c:v>11.6</c:v>
                </c:pt>
                <c:pt idx="2">
                  <c:v>9.9</c:v>
                </c:pt>
                <c:pt idx="3">
                  <c:v>11.4</c:v>
                </c:pt>
                <c:pt idx="7">
                  <c:v>46</c:v>
                </c:pt>
                <c:pt idx="8">
                  <c:v>14.6</c:v>
                </c:pt>
                <c:pt idx="9">
                  <c:v>14.2</c:v>
                </c:pt>
                <c:pt idx="10">
                  <c:v>14.8</c:v>
                </c:pt>
                <c:pt idx="11">
                  <c:v>14.1</c:v>
                </c:pt>
                <c:pt idx="12">
                  <c:v>12.8</c:v>
                </c:pt>
                <c:pt idx="13">
                  <c:v>17.2</c:v>
                </c:pt>
                <c:pt idx="17">
                  <c:v>118</c:v>
                </c:pt>
                <c:pt idx="18">
                  <c:v>15.2</c:v>
                </c:pt>
                <c:pt idx="19">
                  <c:v>12.3</c:v>
                </c:pt>
                <c:pt idx="20">
                  <c:v>19.399999999999999</c:v>
                </c:pt>
                <c:pt idx="21">
                  <c:v>15.4</c:v>
                </c:pt>
                <c:pt idx="22">
                  <c:v>17.3</c:v>
                </c:pt>
                <c:pt idx="26">
                  <c:v>34.700000000000003</c:v>
                </c:pt>
                <c:pt idx="27">
                  <c:v>14.8</c:v>
                </c:pt>
                <c:pt idx="28">
                  <c:v>12.6</c:v>
                </c:pt>
                <c:pt idx="29">
                  <c:v>12.9</c:v>
                </c:pt>
                <c:pt idx="30">
                  <c:v>12.8</c:v>
                </c:pt>
                <c:pt idx="31">
                  <c:v>17</c:v>
                </c:pt>
                <c:pt idx="35">
                  <c:v>1267.5999999999999</c:v>
                </c:pt>
                <c:pt idx="36">
                  <c:v>18.399999999999999</c:v>
                </c:pt>
                <c:pt idx="37">
                  <c:v>14.2</c:v>
                </c:pt>
                <c:pt idx="38">
                  <c:v>13.3</c:v>
                </c:pt>
                <c:pt idx="42">
                  <c:v>34.5</c:v>
                </c:pt>
                <c:pt idx="43">
                  <c:v>17.2</c:v>
                </c:pt>
                <c:pt idx="44">
                  <c:v>12.1</c:v>
                </c:pt>
                <c:pt idx="45">
                  <c:v>12.7</c:v>
                </c:pt>
                <c:pt idx="46">
                  <c:v>15.3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A8-43A4-A291-ACBE2B62579C}"/>
            </c:ext>
          </c:extLst>
        </c:ser>
        <c:ser>
          <c:idx val="2"/>
          <c:order val="2"/>
          <c:tx>
            <c:v>Max Time_Brake_Leaning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All!$EY$6:$EY$56</c:f>
              <c:numCache>
                <c:formatCode>General</c:formatCode>
                <c:ptCount val="51"/>
                <c:pt idx="0">
                  <c:v>0.06</c:v>
                </c:pt>
                <c:pt idx="1">
                  <c:v>4.1000000000000002E-2</c:v>
                </c:pt>
                <c:pt idx="2">
                  <c:v>0</c:v>
                </c:pt>
                <c:pt idx="3">
                  <c:v>6.0999999999999999E-2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0.08</c:v>
                </c:pt>
                <c:pt idx="12">
                  <c:v>0</c:v>
                </c:pt>
                <c:pt idx="13">
                  <c:v>0.02</c:v>
                </c:pt>
                <c:pt idx="17">
                  <c:v>1.7989999999999999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1.5209999999999999</c:v>
                </c:pt>
                <c:pt idx="27">
                  <c:v>0</c:v>
                </c:pt>
                <c:pt idx="28">
                  <c:v>0.02</c:v>
                </c:pt>
                <c:pt idx="29">
                  <c:v>2.1000000000000001E-2</c:v>
                </c:pt>
                <c:pt idx="30">
                  <c:v>0</c:v>
                </c:pt>
                <c:pt idx="31">
                  <c:v>0.12</c:v>
                </c:pt>
                <c:pt idx="35">
                  <c:v>0</c:v>
                </c:pt>
                <c:pt idx="36">
                  <c:v>0</c:v>
                </c:pt>
                <c:pt idx="37">
                  <c:v>3.9E-2</c:v>
                </c:pt>
                <c:pt idx="38">
                  <c:v>2.601</c:v>
                </c:pt>
                <c:pt idx="42">
                  <c:v>9.8350000000000009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A8-43A4-A291-ACBE2B625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466208"/>
        <c:axId val="1404467040"/>
      </c:scatterChart>
      <c:valAx>
        <c:axId val="1404466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4467040"/>
        <c:crosses val="autoZero"/>
        <c:crossBetween val="midCat"/>
      </c:valAx>
      <c:valAx>
        <c:axId val="1404467040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4466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RPM @ Upshift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Rpm_Upshift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All!$BT$6:$BT$56</c:f>
              <c:numCache>
                <c:formatCode>General</c:formatCode>
                <c:ptCount val="51"/>
                <c:pt idx="0">
                  <c:v>6634.9539999999997</c:v>
                </c:pt>
                <c:pt idx="1">
                  <c:v>7337.8980000000001</c:v>
                </c:pt>
                <c:pt idx="2">
                  <c:v>7390.33</c:v>
                </c:pt>
                <c:pt idx="3">
                  <c:v>7413.4269999999997</c:v>
                </c:pt>
                <c:pt idx="7">
                  <c:v>6255.1989999999996</c:v>
                </c:pt>
                <c:pt idx="8">
                  <c:v>7418.11</c:v>
                </c:pt>
                <c:pt idx="9">
                  <c:v>7396.67</c:v>
                </c:pt>
                <c:pt idx="10">
                  <c:v>7395.33</c:v>
                </c:pt>
                <c:pt idx="11">
                  <c:v>7262.6779999999999</c:v>
                </c:pt>
                <c:pt idx="12">
                  <c:v>7409.0330000000004</c:v>
                </c:pt>
                <c:pt idx="13">
                  <c:v>7368.0360000000001</c:v>
                </c:pt>
                <c:pt idx="17">
                  <c:v>7313.7030000000004</c:v>
                </c:pt>
                <c:pt idx="18">
                  <c:v>7467.076</c:v>
                </c:pt>
                <c:pt idx="19">
                  <c:v>7431.6459999999997</c:v>
                </c:pt>
                <c:pt idx="20">
                  <c:v>7498.3580000000002</c:v>
                </c:pt>
                <c:pt idx="21">
                  <c:v>7413.2979999999998</c:v>
                </c:pt>
                <c:pt idx="22">
                  <c:v>7363.6080000000002</c:v>
                </c:pt>
                <c:pt idx="26">
                  <c:v>7298.6450000000004</c:v>
                </c:pt>
                <c:pt idx="27">
                  <c:v>7421.81</c:v>
                </c:pt>
                <c:pt idx="28">
                  <c:v>7452.2489999999998</c:v>
                </c:pt>
                <c:pt idx="29">
                  <c:v>7328.7820000000002</c:v>
                </c:pt>
                <c:pt idx="30">
                  <c:v>7372.3760000000002</c:v>
                </c:pt>
                <c:pt idx="31">
                  <c:v>7344.4459999999999</c:v>
                </c:pt>
                <c:pt idx="35">
                  <c:v>7161.17</c:v>
                </c:pt>
                <c:pt idx="36">
                  <c:v>7434.0829999999996</c:v>
                </c:pt>
                <c:pt idx="37">
                  <c:v>7448.8360000000002</c:v>
                </c:pt>
                <c:pt idx="38">
                  <c:v>6840.2979999999998</c:v>
                </c:pt>
                <c:pt idx="42">
                  <c:v>7226.9840000000004</c:v>
                </c:pt>
                <c:pt idx="43">
                  <c:v>7290.7129999999997</c:v>
                </c:pt>
                <c:pt idx="44">
                  <c:v>7382.7349999999997</c:v>
                </c:pt>
                <c:pt idx="45">
                  <c:v>7414.7979999999998</c:v>
                </c:pt>
                <c:pt idx="46">
                  <c:v>7394.5619999999999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6A-4B9A-B371-F543EB944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468704"/>
        <c:axId val="1404471200"/>
      </c:scatterChart>
      <c:scatterChart>
        <c:scatterStyle val="lineMarker"/>
        <c:varyColors val="0"/>
        <c:ser>
          <c:idx val="1"/>
          <c:order val="1"/>
          <c:tx>
            <c:v>Lap-Begin Upshift_RPM_Err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All!$EZ$6:$EZ$56</c:f>
              <c:numCache>
                <c:formatCode>General</c:formatCode>
                <c:ptCount val="51"/>
                <c:pt idx="0">
                  <c:v>0</c:v>
                </c:pt>
                <c:pt idx="1">
                  <c:v>0.27200000000000002</c:v>
                </c:pt>
                <c:pt idx="2">
                  <c:v>0</c:v>
                </c:pt>
                <c:pt idx="3">
                  <c:v>0</c:v>
                </c:pt>
                <c:pt idx="7">
                  <c:v>24.507000000000001</c:v>
                </c:pt>
                <c:pt idx="8">
                  <c:v>0</c:v>
                </c:pt>
                <c:pt idx="9">
                  <c:v>0</c:v>
                </c:pt>
                <c:pt idx="10">
                  <c:v>5.8000000000000003E-2</c:v>
                </c:pt>
                <c:pt idx="11">
                  <c:v>9.4109999999999996</c:v>
                </c:pt>
                <c:pt idx="12">
                  <c:v>18.137</c:v>
                </c:pt>
                <c:pt idx="13">
                  <c:v>0.247</c:v>
                </c:pt>
                <c:pt idx="17">
                  <c:v>0</c:v>
                </c:pt>
                <c:pt idx="18">
                  <c:v>5.92</c:v>
                </c:pt>
                <c:pt idx="19">
                  <c:v>5.1999999999999998E-2</c:v>
                </c:pt>
                <c:pt idx="20">
                  <c:v>1.869</c:v>
                </c:pt>
                <c:pt idx="21">
                  <c:v>8.0000000000000002E-3</c:v>
                </c:pt>
                <c:pt idx="22">
                  <c:v>1.1970000000000001</c:v>
                </c:pt>
                <c:pt idx="26">
                  <c:v>0</c:v>
                </c:pt>
                <c:pt idx="27">
                  <c:v>2.7280000000000002</c:v>
                </c:pt>
                <c:pt idx="28">
                  <c:v>0.72</c:v>
                </c:pt>
                <c:pt idx="29">
                  <c:v>4.2999999999999997E-2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1.482</c:v>
                </c:pt>
                <c:pt idx="37">
                  <c:v>0.34100000000000003</c:v>
                </c:pt>
                <c:pt idx="38">
                  <c:v>0</c:v>
                </c:pt>
                <c:pt idx="42">
                  <c:v>0</c:v>
                </c:pt>
                <c:pt idx="43">
                  <c:v>22.466000000000001</c:v>
                </c:pt>
                <c:pt idx="44">
                  <c:v>0.17299999999999999</c:v>
                </c:pt>
                <c:pt idx="45">
                  <c:v>0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6A-4B9A-B371-F543EB94470F}"/>
            </c:ext>
          </c:extLst>
        </c:ser>
        <c:ser>
          <c:idx val="2"/>
          <c:order val="2"/>
          <c:tx>
            <c:v>Lap-Begin Upshift_7_RPM_Err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All!$FA$6:$FA$56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6A-4B9A-B371-F543EB944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953648"/>
        <c:axId val="1265961552"/>
      </c:scatterChart>
      <c:valAx>
        <c:axId val="1404468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4471200"/>
        <c:crosses val="autoZero"/>
        <c:crossBetween val="midCat"/>
      </c:valAx>
      <c:valAx>
        <c:axId val="1404471200"/>
        <c:scaling>
          <c:orientation val="minMax"/>
          <c:max val="8000"/>
          <c:min val="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4468704"/>
        <c:crosses val="autoZero"/>
        <c:crossBetween val="midCat"/>
      </c:valAx>
      <c:valAx>
        <c:axId val="1265961552"/>
        <c:scaling>
          <c:orientation val="minMax"/>
          <c:max val="50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5953648"/>
        <c:crosses val="max"/>
        <c:crossBetween val="midCat"/>
      </c:valAx>
      <c:valAx>
        <c:axId val="1265953648"/>
        <c:scaling>
          <c:orientation val="minMax"/>
        </c:scaling>
        <c:delete val="1"/>
        <c:axPos val="b"/>
        <c:majorTickMark val="out"/>
        <c:minorTickMark val="none"/>
        <c:tickLblPos val="nextTo"/>
        <c:crossAx val="1265961552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Longitudinal acceleration [g]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accx_onThrottle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All!$BY$6:$BY$56</c:f>
              <c:numCache>
                <c:formatCode>General</c:formatCode>
                <c:ptCount val="51"/>
                <c:pt idx="0">
                  <c:v>1.5469999999999999</c:v>
                </c:pt>
                <c:pt idx="1">
                  <c:v>1.4179999999999999</c:v>
                </c:pt>
                <c:pt idx="2">
                  <c:v>1.5680000000000001</c:v>
                </c:pt>
                <c:pt idx="3">
                  <c:v>1.37</c:v>
                </c:pt>
                <c:pt idx="7">
                  <c:v>1.3839999999999999</c:v>
                </c:pt>
                <c:pt idx="8">
                  <c:v>1.482</c:v>
                </c:pt>
                <c:pt idx="9">
                  <c:v>1.357</c:v>
                </c:pt>
                <c:pt idx="10">
                  <c:v>1.3220000000000001</c:v>
                </c:pt>
                <c:pt idx="11">
                  <c:v>1.472</c:v>
                </c:pt>
                <c:pt idx="12">
                  <c:v>1.528</c:v>
                </c:pt>
                <c:pt idx="13">
                  <c:v>1.5309999999999999</c:v>
                </c:pt>
                <c:pt idx="17">
                  <c:v>1.429</c:v>
                </c:pt>
                <c:pt idx="18">
                  <c:v>1.4419999999999999</c:v>
                </c:pt>
                <c:pt idx="19">
                  <c:v>1.5189999999999999</c:v>
                </c:pt>
                <c:pt idx="20">
                  <c:v>1.385</c:v>
                </c:pt>
                <c:pt idx="21">
                  <c:v>1.347</c:v>
                </c:pt>
                <c:pt idx="22">
                  <c:v>1.419</c:v>
                </c:pt>
                <c:pt idx="26">
                  <c:v>1.514</c:v>
                </c:pt>
                <c:pt idx="27">
                  <c:v>1.284</c:v>
                </c:pt>
                <c:pt idx="28">
                  <c:v>1.35</c:v>
                </c:pt>
                <c:pt idx="29">
                  <c:v>1.411</c:v>
                </c:pt>
                <c:pt idx="30">
                  <c:v>1.4430000000000001</c:v>
                </c:pt>
                <c:pt idx="31">
                  <c:v>1.371</c:v>
                </c:pt>
                <c:pt idx="35">
                  <c:v>1.35</c:v>
                </c:pt>
                <c:pt idx="36">
                  <c:v>1.298</c:v>
                </c:pt>
                <c:pt idx="37">
                  <c:v>1.4330000000000001</c:v>
                </c:pt>
                <c:pt idx="38">
                  <c:v>1.2849999999999999</c:v>
                </c:pt>
                <c:pt idx="42">
                  <c:v>1.4450000000000001</c:v>
                </c:pt>
                <c:pt idx="43">
                  <c:v>1.335</c:v>
                </c:pt>
                <c:pt idx="44">
                  <c:v>1.4830000000000001</c:v>
                </c:pt>
                <c:pt idx="45">
                  <c:v>1.4139999999999999</c:v>
                </c:pt>
                <c:pt idx="46">
                  <c:v>1.399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7C-47D2-83B5-5695C0380407}"/>
            </c:ext>
          </c:extLst>
        </c:ser>
        <c:ser>
          <c:idx val="1"/>
          <c:order val="1"/>
          <c:tx>
            <c:v>Max accx_onBrakes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All!$BZ$6:$BZ$56</c:f>
              <c:numCache>
                <c:formatCode>General</c:formatCode>
                <c:ptCount val="51"/>
                <c:pt idx="0">
                  <c:v>2.367</c:v>
                </c:pt>
                <c:pt idx="1">
                  <c:v>3.0409999999999999</c:v>
                </c:pt>
                <c:pt idx="2">
                  <c:v>2.9609999999999999</c:v>
                </c:pt>
                <c:pt idx="3">
                  <c:v>3.3650000000000002</c:v>
                </c:pt>
                <c:pt idx="7">
                  <c:v>2.4420000000000002</c:v>
                </c:pt>
                <c:pt idx="8">
                  <c:v>3.06</c:v>
                </c:pt>
                <c:pt idx="9">
                  <c:v>2.7909999999999999</c:v>
                </c:pt>
                <c:pt idx="10">
                  <c:v>2.8210000000000002</c:v>
                </c:pt>
                <c:pt idx="11">
                  <c:v>3.044</c:v>
                </c:pt>
                <c:pt idx="12">
                  <c:v>2.7639999999999998</c:v>
                </c:pt>
                <c:pt idx="13">
                  <c:v>2.8959999999999999</c:v>
                </c:pt>
                <c:pt idx="17">
                  <c:v>2.2919999999999998</c:v>
                </c:pt>
                <c:pt idx="18">
                  <c:v>2.7810000000000001</c:v>
                </c:pt>
                <c:pt idx="19">
                  <c:v>2.944</c:v>
                </c:pt>
                <c:pt idx="20">
                  <c:v>2.5</c:v>
                </c:pt>
                <c:pt idx="21">
                  <c:v>2.9239999999999999</c:v>
                </c:pt>
                <c:pt idx="22">
                  <c:v>3.2109999999999999</c:v>
                </c:pt>
                <c:pt idx="26">
                  <c:v>3.3340000000000001</c:v>
                </c:pt>
                <c:pt idx="27">
                  <c:v>3.1930000000000001</c:v>
                </c:pt>
                <c:pt idx="28">
                  <c:v>3.1659999999999999</c:v>
                </c:pt>
                <c:pt idx="29">
                  <c:v>3.1459999999999999</c:v>
                </c:pt>
                <c:pt idx="30">
                  <c:v>3.0329999999999999</c:v>
                </c:pt>
                <c:pt idx="31">
                  <c:v>3.17</c:v>
                </c:pt>
                <c:pt idx="35">
                  <c:v>2.5870000000000002</c:v>
                </c:pt>
                <c:pt idx="36">
                  <c:v>2.9249999999999998</c:v>
                </c:pt>
                <c:pt idx="37">
                  <c:v>3.1389999999999998</c:v>
                </c:pt>
                <c:pt idx="38">
                  <c:v>1.843</c:v>
                </c:pt>
                <c:pt idx="42">
                  <c:v>2.4359999999999999</c:v>
                </c:pt>
                <c:pt idx="43">
                  <c:v>2.4889999999999999</c:v>
                </c:pt>
                <c:pt idx="44">
                  <c:v>2.9369999999999998</c:v>
                </c:pt>
                <c:pt idx="45">
                  <c:v>3.0169999999999999</c:v>
                </c:pt>
                <c:pt idx="46">
                  <c:v>2.9409999999999998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7C-47D2-83B5-5695C0380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472448"/>
        <c:axId val="1404486592"/>
      </c:scatterChart>
      <c:valAx>
        <c:axId val="1404472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4486592"/>
        <c:crosses val="autoZero"/>
        <c:crossBetween val="midCat"/>
      </c:valAx>
      <c:valAx>
        <c:axId val="1404486592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4472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Pitlane RH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frh_pitlane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All!$BI$6:$BI$56</c:f>
              <c:numCache>
                <c:formatCode>General</c:formatCode>
                <c:ptCount val="51"/>
                <c:pt idx="0">
                  <c:v>64.873999999999995</c:v>
                </c:pt>
                <c:pt idx="3">
                  <c:v>63.195</c:v>
                </c:pt>
                <c:pt idx="7">
                  <c:v>63.682000000000002</c:v>
                </c:pt>
                <c:pt idx="13">
                  <c:v>65.813999999999993</c:v>
                </c:pt>
                <c:pt idx="17">
                  <c:v>64.932000000000002</c:v>
                </c:pt>
                <c:pt idx="22">
                  <c:v>65.757999999999996</c:v>
                </c:pt>
                <c:pt idx="26">
                  <c:v>63.963000000000001</c:v>
                </c:pt>
                <c:pt idx="31">
                  <c:v>65.572000000000003</c:v>
                </c:pt>
                <c:pt idx="35">
                  <c:v>65.542000000000002</c:v>
                </c:pt>
                <c:pt idx="38">
                  <c:v>65.486000000000004</c:v>
                </c:pt>
                <c:pt idx="42">
                  <c:v>65.394000000000005</c:v>
                </c:pt>
                <c:pt idx="46">
                  <c:v>66.403999999999996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97-4A8F-8117-EC17108C58C8}"/>
            </c:ext>
          </c:extLst>
        </c:ser>
        <c:ser>
          <c:idx val="1"/>
          <c:order val="1"/>
          <c:tx>
            <c:v>Ave rrh_pitlane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All!$BJ$6:$BJ$56</c:f>
              <c:numCache>
                <c:formatCode>General</c:formatCode>
                <c:ptCount val="51"/>
                <c:pt idx="0">
                  <c:v>81.978999999999999</c:v>
                </c:pt>
                <c:pt idx="3">
                  <c:v>70.73</c:v>
                </c:pt>
                <c:pt idx="7">
                  <c:v>80.177999999999997</c:v>
                </c:pt>
                <c:pt idx="13">
                  <c:v>80.372</c:v>
                </c:pt>
                <c:pt idx="17">
                  <c:v>81.012</c:v>
                </c:pt>
                <c:pt idx="22">
                  <c:v>81.656000000000006</c:v>
                </c:pt>
                <c:pt idx="26">
                  <c:v>79.894000000000005</c:v>
                </c:pt>
                <c:pt idx="31">
                  <c:v>81.207999999999998</c:v>
                </c:pt>
                <c:pt idx="35">
                  <c:v>82.534000000000006</c:v>
                </c:pt>
                <c:pt idx="38">
                  <c:v>82.686000000000007</c:v>
                </c:pt>
                <c:pt idx="42">
                  <c:v>81.995000000000005</c:v>
                </c:pt>
                <c:pt idx="46">
                  <c:v>81.882999999999996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97-4A8F-8117-EC17108C58C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404484928"/>
        <c:axId val="1404485344"/>
      </c:scatterChart>
      <c:valAx>
        <c:axId val="1404484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4485344"/>
        <c:crosses val="autoZero"/>
        <c:crossBetween val="midCat"/>
      </c:valAx>
      <c:valAx>
        <c:axId val="1404485344"/>
        <c:scaling>
          <c:orientation val="minMax"/>
          <c:max val="9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4484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front, rear @ Top Speed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All!$AR$6:$AR$56</c:f>
              <c:numCache>
                <c:formatCode>General</c:formatCode>
                <c:ptCount val="51"/>
                <c:pt idx="0">
                  <c:v>40.575000000000003</c:v>
                </c:pt>
                <c:pt idx="1">
                  <c:v>40.889000000000003</c:v>
                </c:pt>
                <c:pt idx="2">
                  <c:v>40.021000000000001</c:v>
                </c:pt>
                <c:pt idx="3">
                  <c:v>40.088000000000001</c:v>
                </c:pt>
                <c:pt idx="7">
                  <c:v>38.780999999999999</c:v>
                </c:pt>
                <c:pt idx="8">
                  <c:v>41.143999999999998</c:v>
                </c:pt>
                <c:pt idx="9">
                  <c:v>40.326000000000001</c:v>
                </c:pt>
                <c:pt idx="10">
                  <c:v>41.41</c:v>
                </c:pt>
                <c:pt idx="11">
                  <c:v>40.624000000000002</c:v>
                </c:pt>
                <c:pt idx="12">
                  <c:v>42.548999999999999</c:v>
                </c:pt>
                <c:pt idx="13">
                  <c:v>42.002000000000002</c:v>
                </c:pt>
                <c:pt idx="17">
                  <c:v>41.829000000000001</c:v>
                </c:pt>
                <c:pt idx="18">
                  <c:v>41.408999999999999</c:v>
                </c:pt>
                <c:pt idx="19">
                  <c:v>40.063000000000002</c:v>
                </c:pt>
                <c:pt idx="20">
                  <c:v>40.072000000000003</c:v>
                </c:pt>
                <c:pt idx="21">
                  <c:v>42.372</c:v>
                </c:pt>
                <c:pt idx="22">
                  <c:v>42.279000000000003</c:v>
                </c:pt>
                <c:pt idx="26">
                  <c:v>39.881</c:v>
                </c:pt>
                <c:pt idx="27">
                  <c:v>41.362000000000002</c:v>
                </c:pt>
                <c:pt idx="28">
                  <c:v>40.994999999999997</c:v>
                </c:pt>
                <c:pt idx="29">
                  <c:v>40.512999999999998</c:v>
                </c:pt>
                <c:pt idx="30">
                  <c:v>41.384</c:v>
                </c:pt>
                <c:pt idx="31">
                  <c:v>40.241</c:v>
                </c:pt>
                <c:pt idx="35">
                  <c:v>39.156999999999996</c:v>
                </c:pt>
                <c:pt idx="36">
                  <c:v>41.765999999999998</c:v>
                </c:pt>
                <c:pt idx="37">
                  <c:v>41.360999999999997</c:v>
                </c:pt>
                <c:pt idx="38">
                  <c:v>40.088000000000001</c:v>
                </c:pt>
                <c:pt idx="42">
                  <c:v>44.110999999999997</c:v>
                </c:pt>
                <c:pt idx="43">
                  <c:v>42.622</c:v>
                </c:pt>
                <c:pt idx="44">
                  <c:v>42.055</c:v>
                </c:pt>
                <c:pt idx="45">
                  <c:v>41.24</c:v>
                </c:pt>
                <c:pt idx="46">
                  <c:v>36.267000000000003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03-4CD1-A9AA-3B00E6D8CF28}"/>
            </c:ext>
          </c:extLst>
        </c:ser>
        <c:ser>
          <c:idx val="1"/>
          <c:order val="1"/>
          <c:tx>
            <c:v>Ave Ride_AxleRear_TS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All!$AS$6:$AS$56</c:f>
              <c:numCache>
                <c:formatCode>General</c:formatCode>
                <c:ptCount val="51"/>
                <c:pt idx="0">
                  <c:v>33.262</c:v>
                </c:pt>
                <c:pt idx="1">
                  <c:v>34.375999999999998</c:v>
                </c:pt>
                <c:pt idx="2">
                  <c:v>32.792999999999999</c:v>
                </c:pt>
                <c:pt idx="3">
                  <c:v>34.942999999999998</c:v>
                </c:pt>
                <c:pt idx="7">
                  <c:v>31.879000000000001</c:v>
                </c:pt>
                <c:pt idx="8">
                  <c:v>34.872999999999998</c:v>
                </c:pt>
                <c:pt idx="9">
                  <c:v>33.331000000000003</c:v>
                </c:pt>
                <c:pt idx="10">
                  <c:v>34.609000000000002</c:v>
                </c:pt>
                <c:pt idx="11">
                  <c:v>32.698</c:v>
                </c:pt>
                <c:pt idx="12">
                  <c:v>36.064999999999998</c:v>
                </c:pt>
                <c:pt idx="13">
                  <c:v>35.405000000000001</c:v>
                </c:pt>
                <c:pt idx="17">
                  <c:v>37.936</c:v>
                </c:pt>
                <c:pt idx="18">
                  <c:v>36.484999999999999</c:v>
                </c:pt>
                <c:pt idx="19">
                  <c:v>36.209000000000003</c:v>
                </c:pt>
                <c:pt idx="20">
                  <c:v>40.404000000000003</c:v>
                </c:pt>
                <c:pt idx="21">
                  <c:v>37.058999999999997</c:v>
                </c:pt>
                <c:pt idx="22">
                  <c:v>36.095999999999997</c:v>
                </c:pt>
                <c:pt idx="26">
                  <c:v>38.103999999999999</c:v>
                </c:pt>
                <c:pt idx="27">
                  <c:v>39.337000000000003</c:v>
                </c:pt>
                <c:pt idx="28">
                  <c:v>38.807000000000002</c:v>
                </c:pt>
                <c:pt idx="29">
                  <c:v>37.119</c:v>
                </c:pt>
                <c:pt idx="30">
                  <c:v>39.152000000000001</c:v>
                </c:pt>
                <c:pt idx="31">
                  <c:v>38.417000000000002</c:v>
                </c:pt>
                <c:pt idx="35">
                  <c:v>39.389000000000003</c:v>
                </c:pt>
                <c:pt idx="36">
                  <c:v>39.930999999999997</c:v>
                </c:pt>
                <c:pt idx="37">
                  <c:v>39.531999999999996</c:v>
                </c:pt>
                <c:pt idx="38">
                  <c:v>40.003</c:v>
                </c:pt>
                <c:pt idx="42">
                  <c:v>40.716000000000001</c:v>
                </c:pt>
                <c:pt idx="43">
                  <c:v>37.804000000000002</c:v>
                </c:pt>
                <c:pt idx="44">
                  <c:v>37.786000000000001</c:v>
                </c:pt>
                <c:pt idx="45">
                  <c:v>37.591000000000001</c:v>
                </c:pt>
                <c:pt idx="46">
                  <c:v>37.898000000000003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03-4CD1-A9AA-3B00E6D8C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479520"/>
        <c:axId val="1404463712"/>
      </c:scatterChart>
      <c:valAx>
        <c:axId val="1404479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4463712"/>
        <c:crosses val="autoZero"/>
        <c:crossBetween val="midCat"/>
      </c:valAx>
      <c:valAx>
        <c:axId val="1404463712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4479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Speed [Km/h]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All!$F$6:$F$56</c:f>
              <c:numCache>
                <c:formatCode>General</c:formatCode>
                <c:ptCount val="51"/>
                <c:pt idx="0">
                  <c:v>326.04000000000002</c:v>
                </c:pt>
                <c:pt idx="1">
                  <c:v>332.23</c:v>
                </c:pt>
                <c:pt idx="2">
                  <c:v>330.06</c:v>
                </c:pt>
                <c:pt idx="3">
                  <c:v>330.52</c:v>
                </c:pt>
                <c:pt idx="7">
                  <c:v>331.4</c:v>
                </c:pt>
                <c:pt idx="8">
                  <c:v>333.32</c:v>
                </c:pt>
                <c:pt idx="9">
                  <c:v>330.51</c:v>
                </c:pt>
                <c:pt idx="10">
                  <c:v>329.72</c:v>
                </c:pt>
                <c:pt idx="11">
                  <c:v>329.54</c:v>
                </c:pt>
                <c:pt idx="12">
                  <c:v>335.68</c:v>
                </c:pt>
                <c:pt idx="13">
                  <c:v>332.8</c:v>
                </c:pt>
                <c:pt idx="17">
                  <c:v>321.36</c:v>
                </c:pt>
                <c:pt idx="18">
                  <c:v>328.4</c:v>
                </c:pt>
                <c:pt idx="19">
                  <c:v>329.44</c:v>
                </c:pt>
                <c:pt idx="20">
                  <c:v>333.92</c:v>
                </c:pt>
                <c:pt idx="21">
                  <c:v>330.81</c:v>
                </c:pt>
                <c:pt idx="22">
                  <c:v>334.25</c:v>
                </c:pt>
                <c:pt idx="26">
                  <c:v>326.2</c:v>
                </c:pt>
                <c:pt idx="27">
                  <c:v>330.45</c:v>
                </c:pt>
                <c:pt idx="28">
                  <c:v>327.96</c:v>
                </c:pt>
                <c:pt idx="29">
                  <c:v>328.05</c:v>
                </c:pt>
                <c:pt idx="30">
                  <c:v>329.33</c:v>
                </c:pt>
                <c:pt idx="31">
                  <c:v>328.49</c:v>
                </c:pt>
                <c:pt idx="35">
                  <c:v>328.85</c:v>
                </c:pt>
                <c:pt idx="36">
                  <c:v>332.83</c:v>
                </c:pt>
                <c:pt idx="37">
                  <c:v>327.64</c:v>
                </c:pt>
                <c:pt idx="38">
                  <c:v>324.23</c:v>
                </c:pt>
                <c:pt idx="42">
                  <c:v>326.74</c:v>
                </c:pt>
                <c:pt idx="43">
                  <c:v>324.05</c:v>
                </c:pt>
                <c:pt idx="44">
                  <c:v>326.8</c:v>
                </c:pt>
                <c:pt idx="45">
                  <c:v>330.85</c:v>
                </c:pt>
                <c:pt idx="46">
                  <c:v>330.56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A1-4108-97C6-514093866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222864"/>
        <c:axId val="1298220368"/>
      </c:scatterChart>
      <c:scatterChart>
        <c:scatterStyle val="lineMarker"/>
        <c:varyColors val="0"/>
        <c:ser>
          <c:idx val="1"/>
          <c:order val="1"/>
          <c:tx>
            <c:v>Max accy_filtered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All!$IA$6:$IA$56</c:f>
              <c:numCache>
                <c:formatCode>General</c:formatCode>
                <c:ptCount val="51"/>
                <c:pt idx="0">
                  <c:v>2.754</c:v>
                </c:pt>
                <c:pt idx="1">
                  <c:v>2.758</c:v>
                </c:pt>
                <c:pt idx="2">
                  <c:v>2.9319999999999999</c:v>
                </c:pt>
                <c:pt idx="3">
                  <c:v>3.05</c:v>
                </c:pt>
                <c:pt idx="7">
                  <c:v>2.637</c:v>
                </c:pt>
                <c:pt idx="8">
                  <c:v>2.8740000000000001</c:v>
                </c:pt>
                <c:pt idx="9">
                  <c:v>2.7069999999999999</c:v>
                </c:pt>
                <c:pt idx="10">
                  <c:v>2.9489999999999998</c:v>
                </c:pt>
                <c:pt idx="11">
                  <c:v>2.9159999999999999</c:v>
                </c:pt>
                <c:pt idx="12">
                  <c:v>2.87</c:v>
                </c:pt>
                <c:pt idx="13">
                  <c:v>2.9430000000000001</c:v>
                </c:pt>
                <c:pt idx="17">
                  <c:v>2.472</c:v>
                </c:pt>
                <c:pt idx="18">
                  <c:v>2.7949999999999999</c:v>
                </c:pt>
                <c:pt idx="19">
                  <c:v>2.8460000000000001</c:v>
                </c:pt>
                <c:pt idx="20">
                  <c:v>3</c:v>
                </c:pt>
                <c:pt idx="21">
                  <c:v>2.9350000000000001</c:v>
                </c:pt>
                <c:pt idx="22">
                  <c:v>2.9340000000000002</c:v>
                </c:pt>
                <c:pt idx="26">
                  <c:v>2.5259999999999998</c:v>
                </c:pt>
                <c:pt idx="27">
                  <c:v>2.5209999999999999</c:v>
                </c:pt>
                <c:pt idx="28">
                  <c:v>2.6150000000000002</c:v>
                </c:pt>
                <c:pt idx="29">
                  <c:v>2.766</c:v>
                </c:pt>
                <c:pt idx="30">
                  <c:v>2.794</c:v>
                </c:pt>
                <c:pt idx="31">
                  <c:v>2.661</c:v>
                </c:pt>
                <c:pt idx="35">
                  <c:v>2.2949999999999999</c:v>
                </c:pt>
                <c:pt idx="36">
                  <c:v>2.6709999999999998</c:v>
                </c:pt>
                <c:pt idx="37">
                  <c:v>2.8</c:v>
                </c:pt>
                <c:pt idx="38">
                  <c:v>1.9990000000000001</c:v>
                </c:pt>
                <c:pt idx="42">
                  <c:v>2.4180000000000001</c:v>
                </c:pt>
                <c:pt idx="43">
                  <c:v>2.4790000000000001</c:v>
                </c:pt>
                <c:pt idx="44">
                  <c:v>2.86</c:v>
                </c:pt>
                <c:pt idx="45">
                  <c:v>3.0859999999999999</c:v>
                </c:pt>
                <c:pt idx="46">
                  <c:v>3.032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A1-4108-97C6-514093866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950320"/>
        <c:axId val="1265962800"/>
      </c:scatterChart>
      <c:valAx>
        <c:axId val="1298222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8220368"/>
        <c:crosses val="autoZero"/>
        <c:crossBetween val="midCat"/>
      </c:valAx>
      <c:valAx>
        <c:axId val="1298220368"/>
        <c:scaling>
          <c:orientation val="minMax"/>
          <c:max val="345"/>
          <c:min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8222864"/>
        <c:crosses val="autoZero"/>
        <c:crossBetween val="midCat"/>
      </c:valAx>
      <c:valAx>
        <c:axId val="1265962800"/>
        <c:scaling>
          <c:orientation val="minMax"/>
          <c:max val="3.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5950320"/>
        <c:crosses val="max"/>
        <c:crossBetween val="midCat"/>
      </c:valAx>
      <c:valAx>
        <c:axId val="1265950320"/>
        <c:scaling>
          <c:orientation val="minMax"/>
        </c:scaling>
        <c:delete val="1"/>
        <c:axPos val="b"/>
        <c:majorTickMark val="out"/>
        <c:minorTickMark val="none"/>
        <c:tickLblPos val="nextTo"/>
        <c:crossAx val="126596280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 Top Speed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CzF_TS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All!$AP$6:$AP$56</c:f>
              <c:numCache>
                <c:formatCode>General</c:formatCode>
                <c:ptCount val="51"/>
                <c:pt idx="0">
                  <c:v>1.44</c:v>
                </c:pt>
                <c:pt idx="1">
                  <c:v>1.4379999999999999</c:v>
                </c:pt>
                <c:pt idx="2">
                  <c:v>1.425</c:v>
                </c:pt>
                <c:pt idx="3">
                  <c:v>1.411</c:v>
                </c:pt>
                <c:pt idx="7">
                  <c:v>1.401</c:v>
                </c:pt>
                <c:pt idx="8">
                  <c:v>1.3939999999999999</c:v>
                </c:pt>
                <c:pt idx="9">
                  <c:v>1.38</c:v>
                </c:pt>
                <c:pt idx="10">
                  <c:v>1.369</c:v>
                </c:pt>
                <c:pt idx="11">
                  <c:v>1.35</c:v>
                </c:pt>
                <c:pt idx="12">
                  <c:v>1.3440000000000001</c:v>
                </c:pt>
                <c:pt idx="13">
                  <c:v>1.3480000000000001</c:v>
                </c:pt>
                <c:pt idx="17">
                  <c:v>1.359</c:v>
                </c:pt>
                <c:pt idx="18">
                  <c:v>1.3089999999999999</c:v>
                </c:pt>
                <c:pt idx="19">
                  <c:v>1.3049999999999999</c:v>
                </c:pt>
                <c:pt idx="20">
                  <c:v>1.2310000000000001</c:v>
                </c:pt>
                <c:pt idx="21">
                  <c:v>1.2809999999999999</c:v>
                </c:pt>
                <c:pt idx="22">
                  <c:v>1.282</c:v>
                </c:pt>
                <c:pt idx="26">
                  <c:v>1.397</c:v>
                </c:pt>
                <c:pt idx="27">
                  <c:v>1.359</c:v>
                </c:pt>
                <c:pt idx="28">
                  <c:v>1.369</c:v>
                </c:pt>
                <c:pt idx="29">
                  <c:v>1.371</c:v>
                </c:pt>
                <c:pt idx="30">
                  <c:v>1.357</c:v>
                </c:pt>
                <c:pt idx="31">
                  <c:v>1.373</c:v>
                </c:pt>
                <c:pt idx="35">
                  <c:v>1.401</c:v>
                </c:pt>
                <c:pt idx="36">
                  <c:v>1.381</c:v>
                </c:pt>
                <c:pt idx="37">
                  <c:v>1.359</c:v>
                </c:pt>
                <c:pt idx="38">
                  <c:v>1.3560000000000001</c:v>
                </c:pt>
                <c:pt idx="42">
                  <c:v>1.3240000000000001</c:v>
                </c:pt>
                <c:pt idx="43">
                  <c:v>1.3360000000000001</c:v>
                </c:pt>
                <c:pt idx="44">
                  <c:v>1.3380000000000001</c:v>
                </c:pt>
                <c:pt idx="45">
                  <c:v>1.339</c:v>
                </c:pt>
                <c:pt idx="46">
                  <c:v>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B0-4E41-85E0-ABAB6C9AEA49}"/>
            </c:ext>
          </c:extLst>
        </c:ser>
        <c:ser>
          <c:idx val="1"/>
          <c:order val="1"/>
          <c:tx>
            <c:v>CzR_TS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All!$AQ$6:$AQ$56</c:f>
              <c:numCache>
                <c:formatCode>General</c:formatCode>
                <c:ptCount val="51"/>
                <c:pt idx="0">
                  <c:v>1.966</c:v>
                </c:pt>
                <c:pt idx="1">
                  <c:v>1.944</c:v>
                </c:pt>
                <c:pt idx="2">
                  <c:v>1.887</c:v>
                </c:pt>
                <c:pt idx="3">
                  <c:v>1.871</c:v>
                </c:pt>
                <c:pt idx="7">
                  <c:v>1.88</c:v>
                </c:pt>
                <c:pt idx="8">
                  <c:v>1.865</c:v>
                </c:pt>
                <c:pt idx="9">
                  <c:v>1.839</c:v>
                </c:pt>
                <c:pt idx="10">
                  <c:v>1.827</c:v>
                </c:pt>
                <c:pt idx="11">
                  <c:v>1.8080000000000001</c:v>
                </c:pt>
                <c:pt idx="12">
                  <c:v>1.821</c:v>
                </c:pt>
                <c:pt idx="13">
                  <c:v>1.8069999999999999</c:v>
                </c:pt>
                <c:pt idx="17">
                  <c:v>1.7629999999999999</c:v>
                </c:pt>
                <c:pt idx="18">
                  <c:v>1.7729999999999999</c:v>
                </c:pt>
                <c:pt idx="19">
                  <c:v>1.784</c:v>
                </c:pt>
                <c:pt idx="20">
                  <c:v>1.7430000000000001</c:v>
                </c:pt>
                <c:pt idx="21">
                  <c:v>1.7769999999999999</c:v>
                </c:pt>
                <c:pt idx="22">
                  <c:v>1.768</c:v>
                </c:pt>
                <c:pt idx="26">
                  <c:v>1.861</c:v>
                </c:pt>
                <c:pt idx="27">
                  <c:v>1.8640000000000001</c:v>
                </c:pt>
                <c:pt idx="28">
                  <c:v>1.8320000000000001</c:v>
                </c:pt>
                <c:pt idx="29">
                  <c:v>1.8480000000000001</c:v>
                </c:pt>
                <c:pt idx="30">
                  <c:v>1.8480000000000001</c:v>
                </c:pt>
                <c:pt idx="31">
                  <c:v>1.825</c:v>
                </c:pt>
                <c:pt idx="35">
                  <c:v>1.87</c:v>
                </c:pt>
                <c:pt idx="36">
                  <c:v>1.861</c:v>
                </c:pt>
                <c:pt idx="37">
                  <c:v>1.8280000000000001</c:v>
                </c:pt>
                <c:pt idx="38">
                  <c:v>1.8859999999999999</c:v>
                </c:pt>
                <c:pt idx="42">
                  <c:v>1.8089999999999999</c:v>
                </c:pt>
                <c:pt idx="43">
                  <c:v>1.81</c:v>
                </c:pt>
                <c:pt idx="44">
                  <c:v>1.8340000000000001</c:v>
                </c:pt>
                <c:pt idx="45">
                  <c:v>1.8120000000000001</c:v>
                </c:pt>
                <c:pt idx="46">
                  <c:v>1.8149999999999999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B0-4E41-85E0-ABAB6C9AE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225776"/>
        <c:axId val="1298232432"/>
      </c:scatterChart>
      <c:valAx>
        <c:axId val="1298225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8232432"/>
        <c:crosses val="autoZero"/>
        <c:crossBetween val="midCat"/>
      </c:valAx>
      <c:valAx>
        <c:axId val="129823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8225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@160 Kph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CzF_160kph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All!$CC$6:$CC$56</c:f>
              <c:numCache>
                <c:formatCode>General</c:formatCode>
                <c:ptCount val="51"/>
                <c:pt idx="0">
                  <c:v>1.2110000000000001</c:v>
                </c:pt>
                <c:pt idx="1">
                  <c:v>1.288</c:v>
                </c:pt>
                <c:pt idx="2">
                  <c:v>1.282</c:v>
                </c:pt>
                <c:pt idx="3">
                  <c:v>1.268</c:v>
                </c:pt>
                <c:pt idx="7">
                  <c:v>1.1990000000000001</c:v>
                </c:pt>
                <c:pt idx="8">
                  <c:v>1.325</c:v>
                </c:pt>
                <c:pt idx="9">
                  <c:v>1.1120000000000001</c:v>
                </c:pt>
                <c:pt idx="10">
                  <c:v>1.1819999999999999</c:v>
                </c:pt>
                <c:pt idx="11">
                  <c:v>1.1319999999999999</c:v>
                </c:pt>
                <c:pt idx="12">
                  <c:v>1.2070000000000001</c:v>
                </c:pt>
                <c:pt idx="13">
                  <c:v>1.131</c:v>
                </c:pt>
                <c:pt idx="17">
                  <c:v>1.089</c:v>
                </c:pt>
                <c:pt idx="18">
                  <c:v>1.1100000000000001</c:v>
                </c:pt>
                <c:pt idx="19">
                  <c:v>1.1220000000000001</c:v>
                </c:pt>
                <c:pt idx="20">
                  <c:v>1.03</c:v>
                </c:pt>
                <c:pt idx="21">
                  <c:v>0.85799999999999998</c:v>
                </c:pt>
                <c:pt idx="22">
                  <c:v>0.95699999999999996</c:v>
                </c:pt>
                <c:pt idx="26">
                  <c:v>1.214</c:v>
                </c:pt>
                <c:pt idx="27">
                  <c:v>1.0409999999999999</c:v>
                </c:pt>
                <c:pt idx="28">
                  <c:v>1.173</c:v>
                </c:pt>
                <c:pt idx="29">
                  <c:v>1.226</c:v>
                </c:pt>
                <c:pt idx="30">
                  <c:v>1.1200000000000001</c:v>
                </c:pt>
                <c:pt idx="31">
                  <c:v>0.84099999999999997</c:v>
                </c:pt>
                <c:pt idx="35">
                  <c:v>0.99399999999999999</c:v>
                </c:pt>
                <c:pt idx="36">
                  <c:v>0.96</c:v>
                </c:pt>
                <c:pt idx="37">
                  <c:v>0.93200000000000005</c:v>
                </c:pt>
                <c:pt idx="38">
                  <c:v>0.9</c:v>
                </c:pt>
                <c:pt idx="42">
                  <c:v>0.95799999999999996</c:v>
                </c:pt>
                <c:pt idx="43">
                  <c:v>0.90100000000000002</c:v>
                </c:pt>
                <c:pt idx="44">
                  <c:v>0.82399999999999995</c:v>
                </c:pt>
                <c:pt idx="45">
                  <c:v>0.80900000000000005</c:v>
                </c:pt>
                <c:pt idx="46">
                  <c:v>1.042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6D-4F38-901C-F1B10E456DF3}"/>
            </c:ext>
          </c:extLst>
        </c:ser>
        <c:ser>
          <c:idx val="1"/>
          <c:order val="1"/>
          <c:tx>
            <c:v>Ave CzR_160kph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All!$CD$6:$CD$56</c:f>
              <c:numCache>
                <c:formatCode>General</c:formatCode>
                <c:ptCount val="51"/>
                <c:pt idx="0">
                  <c:v>2.6070000000000002</c:v>
                </c:pt>
                <c:pt idx="1">
                  <c:v>2.6949999999999998</c:v>
                </c:pt>
                <c:pt idx="2">
                  <c:v>2.5059999999999998</c:v>
                </c:pt>
                <c:pt idx="3">
                  <c:v>2.4729999999999999</c:v>
                </c:pt>
                <c:pt idx="7">
                  <c:v>2.4369999999999998</c:v>
                </c:pt>
                <c:pt idx="8">
                  <c:v>2.5019999999999998</c:v>
                </c:pt>
                <c:pt idx="9">
                  <c:v>2.4169999999999998</c:v>
                </c:pt>
                <c:pt idx="10">
                  <c:v>2.3029999999999999</c:v>
                </c:pt>
                <c:pt idx="11">
                  <c:v>2.3170000000000002</c:v>
                </c:pt>
                <c:pt idx="12">
                  <c:v>2.4180000000000001</c:v>
                </c:pt>
                <c:pt idx="13">
                  <c:v>2.3410000000000002</c:v>
                </c:pt>
                <c:pt idx="17">
                  <c:v>2.0390000000000001</c:v>
                </c:pt>
                <c:pt idx="18">
                  <c:v>2.1739999999999999</c:v>
                </c:pt>
                <c:pt idx="19">
                  <c:v>2.1560000000000001</c:v>
                </c:pt>
                <c:pt idx="20">
                  <c:v>2.1480000000000001</c:v>
                </c:pt>
                <c:pt idx="21">
                  <c:v>2.0979999999999999</c:v>
                </c:pt>
                <c:pt idx="22">
                  <c:v>2.016</c:v>
                </c:pt>
                <c:pt idx="26">
                  <c:v>2.302</c:v>
                </c:pt>
                <c:pt idx="27">
                  <c:v>2.508</c:v>
                </c:pt>
                <c:pt idx="28">
                  <c:v>2.4769999999999999</c:v>
                </c:pt>
                <c:pt idx="29">
                  <c:v>2.407</c:v>
                </c:pt>
                <c:pt idx="30">
                  <c:v>2.4079999999999999</c:v>
                </c:pt>
                <c:pt idx="31">
                  <c:v>2.7970000000000002</c:v>
                </c:pt>
                <c:pt idx="35">
                  <c:v>2.2919999999999998</c:v>
                </c:pt>
                <c:pt idx="36">
                  <c:v>2.37</c:v>
                </c:pt>
                <c:pt idx="37">
                  <c:v>2.452</c:v>
                </c:pt>
                <c:pt idx="38">
                  <c:v>2.1760000000000002</c:v>
                </c:pt>
                <c:pt idx="42">
                  <c:v>1.9790000000000001</c:v>
                </c:pt>
                <c:pt idx="43">
                  <c:v>2.0449999999999999</c:v>
                </c:pt>
                <c:pt idx="44">
                  <c:v>2.1640000000000001</c:v>
                </c:pt>
                <c:pt idx="45">
                  <c:v>2.1549999999999998</c:v>
                </c:pt>
                <c:pt idx="46">
                  <c:v>2.0409999999999999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6D-4F38-901C-F1B10E456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236176"/>
        <c:axId val="1298224944"/>
      </c:scatterChart>
      <c:valAx>
        <c:axId val="1298236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8224944"/>
        <c:crosses val="autoZero"/>
        <c:crossBetween val="midCat"/>
      </c:valAx>
      <c:valAx>
        <c:axId val="129822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823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@220 Kph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CzF_220kph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All!$CE$6:$CE$56</c:f>
              <c:numCache>
                <c:formatCode>General</c:formatCode>
                <c:ptCount val="51"/>
                <c:pt idx="0">
                  <c:v>1.498</c:v>
                </c:pt>
                <c:pt idx="1">
                  <c:v>1.385</c:v>
                </c:pt>
                <c:pt idx="2">
                  <c:v>1.3879999999999999</c:v>
                </c:pt>
                <c:pt idx="3">
                  <c:v>1.3640000000000001</c:v>
                </c:pt>
                <c:pt idx="7">
                  <c:v>1.379</c:v>
                </c:pt>
                <c:pt idx="8">
                  <c:v>1.3520000000000001</c:v>
                </c:pt>
                <c:pt idx="9">
                  <c:v>1.3240000000000001</c:v>
                </c:pt>
                <c:pt idx="10">
                  <c:v>1.3460000000000001</c:v>
                </c:pt>
                <c:pt idx="11">
                  <c:v>1.27</c:v>
                </c:pt>
                <c:pt idx="12">
                  <c:v>1.3</c:v>
                </c:pt>
                <c:pt idx="13">
                  <c:v>1.272</c:v>
                </c:pt>
                <c:pt idx="17">
                  <c:v>1.36</c:v>
                </c:pt>
                <c:pt idx="18">
                  <c:v>1.2869999999999999</c:v>
                </c:pt>
                <c:pt idx="19">
                  <c:v>1.2390000000000001</c:v>
                </c:pt>
                <c:pt idx="20">
                  <c:v>1.125</c:v>
                </c:pt>
                <c:pt idx="21">
                  <c:v>1.1850000000000001</c:v>
                </c:pt>
                <c:pt idx="22">
                  <c:v>1.2669999999999999</c:v>
                </c:pt>
                <c:pt idx="26">
                  <c:v>1.34</c:v>
                </c:pt>
                <c:pt idx="27">
                  <c:v>1.3169999999999999</c:v>
                </c:pt>
                <c:pt idx="28">
                  <c:v>1.238</c:v>
                </c:pt>
                <c:pt idx="29">
                  <c:v>1.34</c:v>
                </c:pt>
                <c:pt idx="30">
                  <c:v>1.26</c:v>
                </c:pt>
                <c:pt idx="31">
                  <c:v>1.3149999999999999</c:v>
                </c:pt>
                <c:pt idx="35">
                  <c:v>1.3759999999999999</c:v>
                </c:pt>
                <c:pt idx="36">
                  <c:v>1.2450000000000001</c:v>
                </c:pt>
                <c:pt idx="37">
                  <c:v>1.248</c:v>
                </c:pt>
                <c:pt idx="38">
                  <c:v>1.349</c:v>
                </c:pt>
                <c:pt idx="42">
                  <c:v>1.2330000000000001</c:v>
                </c:pt>
                <c:pt idx="43">
                  <c:v>1.3169999999999999</c:v>
                </c:pt>
                <c:pt idx="44">
                  <c:v>1.161</c:v>
                </c:pt>
                <c:pt idx="45">
                  <c:v>1.2529999999999999</c:v>
                </c:pt>
                <c:pt idx="46">
                  <c:v>1.1519999999999999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9B-4087-89BD-925D8537BDFF}"/>
            </c:ext>
          </c:extLst>
        </c:ser>
        <c:ser>
          <c:idx val="1"/>
          <c:order val="1"/>
          <c:tx>
            <c:v>Ave CzR_220kph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All!$CF$6:$CF$56</c:f>
              <c:numCache>
                <c:formatCode>General</c:formatCode>
                <c:ptCount val="51"/>
                <c:pt idx="0">
                  <c:v>2.3279999999999998</c:v>
                </c:pt>
                <c:pt idx="1">
                  <c:v>2.2400000000000002</c:v>
                </c:pt>
                <c:pt idx="2">
                  <c:v>2.206</c:v>
                </c:pt>
                <c:pt idx="3">
                  <c:v>2.1320000000000001</c:v>
                </c:pt>
                <c:pt idx="7">
                  <c:v>2.1989999999999998</c:v>
                </c:pt>
                <c:pt idx="8">
                  <c:v>2.2040000000000002</c:v>
                </c:pt>
                <c:pt idx="9">
                  <c:v>2.137</c:v>
                </c:pt>
                <c:pt idx="10">
                  <c:v>2.137</c:v>
                </c:pt>
                <c:pt idx="11">
                  <c:v>2.0630000000000002</c:v>
                </c:pt>
                <c:pt idx="12">
                  <c:v>2.081</c:v>
                </c:pt>
                <c:pt idx="13">
                  <c:v>2.0790000000000002</c:v>
                </c:pt>
                <c:pt idx="17">
                  <c:v>2.085</c:v>
                </c:pt>
                <c:pt idx="18">
                  <c:v>1.998</c:v>
                </c:pt>
                <c:pt idx="19">
                  <c:v>2.0259999999999998</c:v>
                </c:pt>
                <c:pt idx="20">
                  <c:v>1.925</c:v>
                </c:pt>
                <c:pt idx="21">
                  <c:v>1.9570000000000001</c:v>
                </c:pt>
                <c:pt idx="22">
                  <c:v>1.998</c:v>
                </c:pt>
                <c:pt idx="26">
                  <c:v>2.198</c:v>
                </c:pt>
                <c:pt idx="27">
                  <c:v>2.1739999999999999</c:v>
                </c:pt>
                <c:pt idx="28">
                  <c:v>2.097</c:v>
                </c:pt>
                <c:pt idx="29">
                  <c:v>2.1629999999999998</c:v>
                </c:pt>
                <c:pt idx="30">
                  <c:v>2.109</c:v>
                </c:pt>
                <c:pt idx="31">
                  <c:v>1.978</c:v>
                </c:pt>
                <c:pt idx="35">
                  <c:v>2.1739999999999999</c:v>
                </c:pt>
                <c:pt idx="36">
                  <c:v>2.097</c:v>
                </c:pt>
                <c:pt idx="37">
                  <c:v>2.036</c:v>
                </c:pt>
                <c:pt idx="38">
                  <c:v>1.958</c:v>
                </c:pt>
                <c:pt idx="42">
                  <c:v>2.0089999999999999</c:v>
                </c:pt>
                <c:pt idx="43">
                  <c:v>2.15</c:v>
                </c:pt>
                <c:pt idx="44">
                  <c:v>1.9910000000000001</c:v>
                </c:pt>
                <c:pt idx="45">
                  <c:v>2.0030000000000001</c:v>
                </c:pt>
                <c:pt idx="46">
                  <c:v>1.976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9B-4087-89BD-925D8537B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241168"/>
        <c:axId val="1298243664"/>
      </c:scatterChart>
      <c:valAx>
        <c:axId val="129824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8243664"/>
        <c:crosses val="autoZero"/>
        <c:crossBetween val="midCat"/>
      </c:valAx>
      <c:valAx>
        <c:axId val="129824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8241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@160,220 Kph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Ride_AxleFront_160kph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All!$DP$6:$DP$56</c:f>
              <c:numCache>
                <c:formatCode>General</c:formatCode>
                <c:ptCount val="51"/>
                <c:pt idx="0">
                  <c:v>62.255000000000003</c:v>
                </c:pt>
                <c:pt idx="1">
                  <c:v>63.445</c:v>
                </c:pt>
                <c:pt idx="2">
                  <c:v>61.99</c:v>
                </c:pt>
                <c:pt idx="3">
                  <c:v>62.667999999999999</c:v>
                </c:pt>
                <c:pt idx="7">
                  <c:v>62.136000000000003</c:v>
                </c:pt>
                <c:pt idx="8">
                  <c:v>66.415999999999997</c:v>
                </c:pt>
                <c:pt idx="9">
                  <c:v>64.402000000000001</c:v>
                </c:pt>
                <c:pt idx="10">
                  <c:v>64.725999999999999</c:v>
                </c:pt>
                <c:pt idx="11">
                  <c:v>65.558000000000007</c:v>
                </c:pt>
                <c:pt idx="12">
                  <c:v>65.671999999999997</c:v>
                </c:pt>
                <c:pt idx="13">
                  <c:v>66.418000000000006</c:v>
                </c:pt>
                <c:pt idx="17">
                  <c:v>62.417000000000002</c:v>
                </c:pt>
                <c:pt idx="18">
                  <c:v>68.096000000000004</c:v>
                </c:pt>
                <c:pt idx="19">
                  <c:v>66.376000000000005</c:v>
                </c:pt>
                <c:pt idx="20">
                  <c:v>69.134</c:v>
                </c:pt>
                <c:pt idx="21">
                  <c:v>66.551000000000002</c:v>
                </c:pt>
                <c:pt idx="22">
                  <c:v>70.597999999999999</c:v>
                </c:pt>
                <c:pt idx="26">
                  <c:v>62.767000000000003</c:v>
                </c:pt>
                <c:pt idx="27">
                  <c:v>65.983999999999995</c:v>
                </c:pt>
                <c:pt idx="28">
                  <c:v>64.822000000000003</c:v>
                </c:pt>
                <c:pt idx="29">
                  <c:v>65.686000000000007</c:v>
                </c:pt>
                <c:pt idx="30">
                  <c:v>67.138000000000005</c:v>
                </c:pt>
                <c:pt idx="31">
                  <c:v>67.022999999999996</c:v>
                </c:pt>
                <c:pt idx="35">
                  <c:v>64.302999999999997</c:v>
                </c:pt>
                <c:pt idx="36">
                  <c:v>63.87</c:v>
                </c:pt>
                <c:pt idx="37">
                  <c:v>69.557000000000002</c:v>
                </c:pt>
                <c:pt idx="38">
                  <c:v>63.292999999999999</c:v>
                </c:pt>
                <c:pt idx="42">
                  <c:v>63.497999999999998</c:v>
                </c:pt>
                <c:pt idx="43">
                  <c:v>62.68</c:v>
                </c:pt>
                <c:pt idx="44">
                  <c:v>64.688000000000002</c:v>
                </c:pt>
                <c:pt idx="45">
                  <c:v>67.058000000000007</c:v>
                </c:pt>
                <c:pt idx="46">
                  <c:v>64.763999999999996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8F-4CA4-97B1-4AF10AC74E5B}"/>
            </c:ext>
          </c:extLst>
        </c:ser>
        <c:ser>
          <c:idx val="1"/>
          <c:order val="1"/>
          <c:tx>
            <c:v>Ave Ride_AxleRear_160kph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All!$DQ$6:$DQ$56</c:f>
              <c:numCache>
                <c:formatCode>General</c:formatCode>
                <c:ptCount val="51"/>
                <c:pt idx="0">
                  <c:v>60.051000000000002</c:v>
                </c:pt>
                <c:pt idx="1">
                  <c:v>60.402999999999999</c:v>
                </c:pt>
                <c:pt idx="2">
                  <c:v>58.801000000000002</c:v>
                </c:pt>
                <c:pt idx="3">
                  <c:v>61.203000000000003</c:v>
                </c:pt>
                <c:pt idx="7">
                  <c:v>63.62</c:v>
                </c:pt>
                <c:pt idx="8">
                  <c:v>57.921999999999997</c:v>
                </c:pt>
                <c:pt idx="9">
                  <c:v>58.131999999999998</c:v>
                </c:pt>
                <c:pt idx="10">
                  <c:v>58.968000000000004</c:v>
                </c:pt>
                <c:pt idx="11">
                  <c:v>60.768000000000001</c:v>
                </c:pt>
                <c:pt idx="12">
                  <c:v>59.350999999999999</c:v>
                </c:pt>
                <c:pt idx="13">
                  <c:v>60.825000000000003</c:v>
                </c:pt>
                <c:pt idx="17">
                  <c:v>62.317999999999998</c:v>
                </c:pt>
                <c:pt idx="18">
                  <c:v>62.218000000000004</c:v>
                </c:pt>
                <c:pt idx="19">
                  <c:v>60.494</c:v>
                </c:pt>
                <c:pt idx="20">
                  <c:v>62.164000000000001</c:v>
                </c:pt>
                <c:pt idx="21">
                  <c:v>61.758000000000003</c:v>
                </c:pt>
                <c:pt idx="22">
                  <c:v>58.88</c:v>
                </c:pt>
                <c:pt idx="26">
                  <c:v>59.706000000000003</c:v>
                </c:pt>
                <c:pt idx="27">
                  <c:v>59.439</c:v>
                </c:pt>
                <c:pt idx="28">
                  <c:v>57.115000000000002</c:v>
                </c:pt>
                <c:pt idx="29">
                  <c:v>59.076000000000001</c:v>
                </c:pt>
                <c:pt idx="30">
                  <c:v>56.906999999999996</c:v>
                </c:pt>
                <c:pt idx="31">
                  <c:v>63.991999999999997</c:v>
                </c:pt>
                <c:pt idx="35">
                  <c:v>61.164999999999999</c:v>
                </c:pt>
                <c:pt idx="36">
                  <c:v>62.222999999999999</c:v>
                </c:pt>
                <c:pt idx="37">
                  <c:v>61.030999999999999</c:v>
                </c:pt>
                <c:pt idx="38">
                  <c:v>60.378</c:v>
                </c:pt>
                <c:pt idx="42">
                  <c:v>64.287000000000006</c:v>
                </c:pt>
                <c:pt idx="43">
                  <c:v>60.649000000000001</c:v>
                </c:pt>
                <c:pt idx="44">
                  <c:v>61.585000000000001</c:v>
                </c:pt>
                <c:pt idx="45">
                  <c:v>63.308</c:v>
                </c:pt>
                <c:pt idx="46">
                  <c:v>62.119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8F-4CA4-97B1-4AF10AC74E5B}"/>
            </c:ext>
          </c:extLst>
        </c:ser>
        <c:ser>
          <c:idx val="2"/>
          <c:order val="2"/>
          <c:tx>
            <c:v>Ave Ride_AxleFront_220kph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All!$DR$6:$DR$56</c:f>
              <c:numCache>
                <c:formatCode>General</c:formatCode>
                <c:ptCount val="51"/>
                <c:pt idx="0">
                  <c:v>50.404000000000003</c:v>
                </c:pt>
                <c:pt idx="1">
                  <c:v>52.779000000000003</c:v>
                </c:pt>
                <c:pt idx="2">
                  <c:v>53.167000000000002</c:v>
                </c:pt>
                <c:pt idx="3">
                  <c:v>53.165999999999997</c:v>
                </c:pt>
                <c:pt idx="7">
                  <c:v>53.082000000000001</c:v>
                </c:pt>
                <c:pt idx="8">
                  <c:v>53.674999999999997</c:v>
                </c:pt>
                <c:pt idx="9">
                  <c:v>54.106000000000002</c:v>
                </c:pt>
                <c:pt idx="10">
                  <c:v>52.582000000000001</c:v>
                </c:pt>
                <c:pt idx="11">
                  <c:v>53.351999999999997</c:v>
                </c:pt>
                <c:pt idx="12">
                  <c:v>53.139000000000003</c:v>
                </c:pt>
                <c:pt idx="13">
                  <c:v>54.92</c:v>
                </c:pt>
                <c:pt idx="17">
                  <c:v>51.276000000000003</c:v>
                </c:pt>
                <c:pt idx="18">
                  <c:v>52.335999999999999</c:v>
                </c:pt>
                <c:pt idx="19">
                  <c:v>54.155000000000001</c:v>
                </c:pt>
                <c:pt idx="20">
                  <c:v>56.128999999999998</c:v>
                </c:pt>
                <c:pt idx="21">
                  <c:v>53.762999999999998</c:v>
                </c:pt>
                <c:pt idx="22">
                  <c:v>52.226999999999997</c:v>
                </c:pt>
                <c:pt idx="26">
                  <c:v>53.633000000000003</c:v>
                </c:pt>
                <c:pt idx="27">
                  <c:v>53.091000000000001</c:v>
                </c:pt>
                <c:pt idx="28">
                  <c:v>52.918999999999997</c:v>
                </c:pt>
                <c:pt idx="29">
                  <c:v>53.499000000000002</c:v>
                </c:pt>
                <c:pt idx="30">
                  <c:v>53.741999999999997</c:v>
                </c:pt>
                <c:pt idx="31">
                  <c:v>51.776000000000003</c:v>
                </c:pt>
                <c:pt idx="35">
                  <c:v>53.951999999999998</c:v>
                </c:pt>
                <c:pt idx="36">
                  <c:v>54.302</c:v>
                </c:pt>
                <c:pt idx="37">
                  <c:v>54.911999999999999</c:v>
                </c:pt>
                <c:pt idx="38">
                  <c:v>50.837000000000003</c:v>
                </c:pt>
                <c:pt idx="42">
                  <c:v>54.988</c:v>
                </c:pt>
                <c:pt idx="43">
                  <c:v>53.491</c:v>
                </c:pt>
                <c:pt idx="44">
                  <c:v>54.676000000000002</c:v>
                </c:pt>
                <c:pt idx="45">
                  <c:v>53.734999999999999</c:v>
                </c:pt>
                <c:pt idx="46">
                  <c:v>54.996000000000002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8F-4CA4-97B1-4AF10AC74E5B}"/>
            </c:ext>
          </c:extLst>
        </c:ser>
        <c:ser>
          <c:idx val="3"/>
          <c:order val="3"/>
          <c:tx>
            <c:v>Ave Ride_AxleRear_220kph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All!$DS$6:$DS$56</c:f>
              <c:numCache>
                <c:formatCode>General</c:formatCode>
                <c:ptCount val="51"/>
                <c:pt idx="0">
                  <c:v>50.787999999999997</c:v>
                </c:pt>
                <c:pt idx="1">
                  <c:v>51.923999999999999</c:v>
                </c:pt>
                <c:pt idx="2">
                  <c:v>52.003999999999998</c:v>
                </c:pt>
                <c:pt idx="3">
                  <c:v>52.49</c:v>
                </c:pt>
                <c:pt idx="7">
                  <c:v>50.463999999999999</c:v>
                </c:pt>
                <c:pt idx="8">
                  <c:v>51.670999999999999</c:v>
                </c:pt>
                <c:pt idx="9">
                  <c:v>52.262</c:v>
                </c:pt>
                <c:pt idx="10">
                  <c:v>51.238999999999997</c:v>
                </c:pt>
                <c:pt idx="11">
                  <c:v>51.609000000000002</c:v>
                </c:pt>
                <c:pt idx="12">
                  <c:v>52.890999999999998</c:v>
                </c:pt>
                <c:pt idx="13">
                  <c:v>53.424999999999997</c:v>
                </c:pt>
                <c:pt idx="17">
                  <c:v>51.067</c:v>
                </c:pt>
                <c:pt idx="18">
                  <c:v>51.597999999999999</c:v>
                </c:pt>
                <c:pt idx="19">
                  <c:v>52.430999999999997</c:v>
                </c:pt>
                <c:pt idx="20">
                  <c:v>54.914999999999999</c:v>
                </c:pt>
                <c:pt idx="21">
                  <c:v>53.008000000000003</c:v>
                </c:pt>
                <c:pt idx="22">
                  <c:v>55.134</c:v>
                </c:pt>
                <c:pt idx="26">
                  <c:v>50.267000000000003</c:v>
                </c:pt>
                <c:pt idx="27">
                  <c:v>51.776000000000003</c:v>
                </c:pt>
                <c:pt idx="28">
                  <c:v>51.231000000000002</c:v>
                </c:pt>
                <c:pt idx="29">
                  <c:v>51.543999999999997</c:v>
                </c:pt>
                <c:pt idx="30">
                  <c:v>51.511000000000003</c:v>
                </c:pt>
                <c:pt idx="31">
                  <c:v>53.356000000000002</c:v>
                </c:pt>
                <c:pt idx="35">
                  <c:v>53.353999999999999</c:v>
                </c:pt>
                <c:pt idx="36">
                  <c:v>53.509</c:v>
                </c:pt>
                <c:pt idx="37">
                  <c:v>52.856999999999999</c:v>
                </c:pt>
                <c:pt idx="38">
                  <c:v>55.01</c:v>
                </c:pt>
                <c:pt idx="42">
                  <c:v>51.914000000000001</c:v>
                </c:pt>
                <c:pt idx="43">
                  <c:v>52.212000000000003</c:v>
                </c:pt>
                <c:pt idx="44">
                  <c:v>52.856000000000002</c:v>
                </c:pt>
                <c:pt idx="45">
                  <c:v>53.28</c:v>
                </c:pt>
                <c:pt idx="46">
                  <c:v>54.252000000000002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8F-4CA4-97B1-4AF10AC74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230352"/>
        <c:axId val="1298239504"/>
      </c:scatterChart>
      <c:valAx>
        <c:axId val="1298230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8239504"/>
        <c:crosses val="autoZero"/>
        <c:crossBetween val="midCat"/>
      </c:valAx>
      <c:valAx>
        <c:axId val="1298239504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8230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 HS,MS [ratio]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AB HS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All!$DL$6:$DL$56</c:f>
              <c:numCache>
                <c:formatCode>General</c:formatCode>
                <c:ptCount val="51"/>
                <c:pt idx="0">
                  <c:v>0.41399999999999998</c:v>
                </c:pt>
                <c:pt idx="1">
                  <c:v>0.41099999999999998</c:v>
                </c:pt>
                <c:pt idx="2">
                  <c:v>0.41299999999999998</c:v>
                </c:pt>
                <c:pt idx="3">
                  <c:v>0.41299999999999998</c:v>
                </c:pt>
                <c:pt idx="7">
                  <c:v>0.41099999999999998</c:v>
                </c:pt>
                <c:pt idx="8">
                  <c:v>0.40799999999999997</c:v>
                </c:pt>
                <c:pt idx="9">
                  <c:v>0.40500000000000003</c:v>
                </c:pt>
                <c:pt idx="10">
                  <c:v>0.40799999999999997</c:v>
                </c:pt>
                <c:pt idx="11">
                  <c:v>0.41399999999999998</c:v>
                </c:pt>
                <c:pt idx="12">
                  <c:v>0.40699999999999997</c:v>
                </c:pt>
                <c:pt idx="13">
                  <c:v>0.40799999999999997</c:v>
                </c:pt>
                <c:pt idx="17">
                  <c:v>0.41699999999999998</c:v>
                </c:pt>
                <c:pt idx="18">
                  <c:v>0.40600000000000003</c:v>
                </c:pt>
                <c:pt idx="19">
                  <c:v>0.39900000000000002</c:v>
                </c:pt>
                <c:pt idx="20">
                  <c:v>0.39700000000000002</c:v>
                </c:pt>
                <c:pt idx="21">
                  <c:v>0.4</c:v>
                </c:pt>
                <c:pt idx="22">
                  <c:v>0.40600000000000003</c:v>
                </c:pt>
                <c:pt idx="26">
                  <c:v>0.41</c:v>
                </c:pt>
                <c:pt idx="27">
                  <c:v>0.39700000000000002</c:v>
                </c:pt>
                <c:pt idx="28">
                  <c:v>0.40799999999999997</c:v>
                </c:pt>
                <c:pt idx="29">
                  <c:v>0.40600000000000003</c:v>
                </c:pt>
                <c:pt idx="30">
                  <c:v>0.40500000000000003</c:v>
                </c:pt>
                <c:pt idx="31">
                  <c:v>0.41299999999999998</c:v>
                </c:pt>
                <c:pt idx="35">
                  <c:v>0.40799999999999997</c:v>
                </c:pt>
                <c:pt idx="36">
                  <c:v>0.40600000000000003</c:v>
                </c:pt>
                <c:pt idx="37">
                  <c:v>0.40500000000000003</c:v>
                </c:pt>
                <c:pt idx="38">
                  <c:v>0.40799999999999997</c:v>
                </c:pt>
                <c:pt idx="42">
                  <c:v>0.40899999999999997</c:v>
                </c:pt>
                <c:pt idx="43">
                  <c:v>0.40200000000000002</c:v>
                </c:pt>
                <c:pt idx="44">
                  <c:v>0.39900000000000002</c:v>
                </c:pt>
                <c:pt idx="45">
                  <c:v>0.40300000000000002</c:v>
                </c:pt>
                <c:pt idx="46">
                  <c:v>0.39500000000000002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A-4926-8719-946A0B5B9BA4}"/>
            </c:ext>
          </c:extLst>
        </c:ser>
        <c:ser>
          <c:idx val="1"/>
          <c:order val="1"/>
          <c:tx>
            <c:v>Ave AB MS Entry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All!$DM$6:$DM$56</c:f>
              <c:numCache>
                <c:formatCode>General</c:formatCode>
                <c:ptCount val="51"/>
                <c:pt idx="0">
                  <c:v>0.54600000000000004</c:v>
                </c:pt>
                <c:pt idx="1">
                  <c:v>0.46400000000000002</c:v>
                </c:pt>
                <c:pt idx="2">
                  <c:v>0.436</c:v>
                </c:pt>
                <c:pt idx="3">
                  <c:v>0.441</c:v>
                </c:pt>
                <c:pt idx="7">
                  <c:v>0.52200000000000002</c:v>
                </c:pt>
                <c:pt idx="8">
                  <c:v>0.45900000000000002</c:v>
                </c:pt>
                <c:pt idx="9">
                  <c:v>0.46300000000000002</c:v>
                </c:pt>
                <c:pt idx="10">
                  <c:v>0.45900000000000002</c:v>
                </c:pt>
                <c:pt idx="11">
                  <c:v>0.53100000000000003</c:v>
                </c:pt>
                <c:pt idx="12">
                  <c:v>0.44700000000000001</c:v>
                </c:pt>
                <c:pt idx="13">
                  <c:v>0.54100000000000004</c:v>
                </c:pt>
                <c:pt idx="17">
                  <c:v>0.54100000000000004</c:v>
                </c:pt>
                <c:pt idx="18">
                  <c:v>0.47699999999999998</c:v>
                </c:pt>
                <c:pt idx="19">
                  <c:v>0.52300000000000002</c:v>
                </c:pt>
                <c:pt idx="20">
                  <c:v>0.91700000000000004</c:v>
                </c:pt>
                <c:pt idx="21">
                  <c:v>0.42499999999999999</c:v>
                </c:pt>
                <c:pt idx="22">
                  <c:v>0.46600000000000003</c:v>
                </c:pt>
                <c:pt idx="26">
                  <c:v>0.50800000000000001</c:v>
                </c:pt>
                <c:pt idx="27">
                  <c:v>0.438</c:v>
                </c:pt>
                <c:pt idx="28">
                  <c:v>0.45400000000000001</c:v>
                </c:pt>
                <c:pt idx="29">
                  <c:v>0.48199999999999998</c:v>
                </c:pt>
                <c:pt idx="30">
                  <c:v>0.40600000000000003</c:v>
                </c:pt>
                <c:pt idx="31">
                  <c:v>0.53900000000000003</c:v>
                </c:pt>
                <c:pt idx="35">
                  <c:v>0.48299999999999998</c:v>
                </c:pt>
                <c:pt idx="36">
                  <c:v>-0.01</c:v>
                </c:pt>
                <c:pt idx="37">
                  <c:v>0.503</c:v>
                </c:pt>
                <c:pt idx="38">
                  <c:v>0.80200000000000005</c:v>
                </c:pt>
                <c:pt idx="42">
                  <c:v>0.51600000000000001</c:v>
                </c:pt>
                <c:pt idx="43">
                  <c:v>0.69</c:v>
                </c:pt>
                <c:pt idx="44">
                  <c:v>0.45200000000000001</c:v>
                </c:pt>
                <c:pt idx="45">
                  <c:v>-3.8029999999999999</c:v>
                </c:pt>
                <c:pt idx="46">
                  <c:v>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A-4926-8719-946A0B5B9BA4}"/>
            </c:ext>
          </c:extLst>
        </c:ser>
        <c:ser>
          <c:idx val="2"/>
          <c:order val="2"/>
          <c:tx>
            <c:v>Ave AB MS Mid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All!$DN$6:$DN$56</c:f>
              <c:numCache>
                <c:formatCode>General</c:formatCode>
                <c:ptCount val="51"/>
                <c:pt idx="0">
                  <c:v>0.156</c:v>
                </c:pt>
                <c:pt idx="1">
                  <c:v>0.432</c:v>
                </c:pt>
                <c:pt idx="2">
                  <c:v>0.29899999999999999</c:v>
                </c:pt>
                <c:pt idx="3">
                  <c:v>0.434</c:v>
                </c:pt>
                <c:pt idx="7">
                  <c:v>0.42399999999999999</c:v>
                </c:pt>
                <c:pt idx="8">
                  <c:v>0.39600000000000002</c:v>
                </c:pt>
                <c:pt idx="9">
                  <c:v>0.439</c:v>
                </c:pt>
                <c:pt idx="10">
                  <c:v>0.46300000000000002</c:v>
                </c:pt>
                <c:pt idx="11">
                  <c:v>0.44600000000000001</c:v>
                </c:pt>
                <c:pt idx="12">
                  <c:v>0.373</c:v>
                </c:pt>
                <c:pt idx="13">
                  <c:v>1.0309999999999999</c:v>
                </c:pt>
                <c:pt idx="17">
                  <c:v>-0.06</c:v>
                </c:pt>
                <c:pt idx="18">
                  <c:v>0.35799999999999998</c:v>
                </c:pt>
                <c:pt idx="19">
                  <c:v>1.028</c:v>
                </c:pt>
                <c:pt idx="20">
                  <c:v>4.8659999999999997</c:v>
                </c:pt>
                <c:pt idx="21">
                  <c:v>-2E-3</c:v>
                </c:pt>
                <c:pt idx="22">
                  <c:v>0.36799999999999999</c:v>
                </c:pt>
                <c:pt idx="26">
                  <c:v>0.39400000000000002</c:v>
                </c:pt>
                <c:pt idx="27">
                  <c:v>0.36199999999999999</c:v>
                </c:pt>
                <c:pt idx="28">
                  <c:v>0.51400000000000001</c:v>
                </c:pt>
                <c:pt idx="29">
                  <c:v>0.50700000000000001</c:v>
                </c:pt>
                <c:pt idx="30">
                  <c:v>0.219</c:v>
                </c:pt>
                <c:pt idx="31">
                  <c:v>0.378</c:v>
                </c:pt>
                <c:pt idx="35">
                  <c:v>0.34799999999999998</c:v>
                </c:pt>
                <c:pt idx="36">
                  <c:v>-2.4929999999999999</c:v>
                </c:pt>
                <c:pt idx="37">
                  <c:v>0.63500000000000001</c:v>
                </c:pt>
                <c:pt idx="38">
                  <c:v>0.41499999999999998</c:v>
                </c:pt>
                <c:pt idx="42">
                  <c:v>0.70499999999999996</c:v>
                </c:pt>
                <c:pt idx="43">
                  <c:v>0.38700000000000001</c:v>
                </c:pt>
                <c:pt idx="44">
                  <c:v>0.86799999999999999</c:v>
                </c:pt>
                <c:pt idx="45">
                  <c:v>-9.8000000000000007</c:v>
                </c:pt>
                <c:pt idx="46">
                  <c:v>0.432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A-4926-8719-946A0B5B9BA4}"/>
            </c:ext>
          </c:extLst>
        </c:ser>
        <c:ser>
          <c:idx val="3"/>
          <c:order val="3"/>
          <c:tx>
            <c:v>Ave AB MS Exit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All!$DO$6:$DO$56</c:f>
              <c:numCache>
                <c:formatCode>General</c:formatCode>
                <c:ptCount val="51"/>
                <c:pt idx="0">
                  <c:v>0.372</c:v>
                </c:pt>
                <c:pt idx="1">
                  <c:v>0.35099999999999998</c:v>
                </c:pt>
                <c:pt idx="2">
                  <c:v>0.31</c:v>
                </c:pt>
                <c:pt idx="3">
                  <c:v>0.26700000000000002</c:v>
                </c:pt>
                <c:pt idx="7">
                  <c:v>0.4</c:v>
                </c:pt>
                <c:pt idx="8">
                  <c:v>0.316</c:v>
                </c:pt>
                <c:pt idx="9">
                  <c:v>0.31900000000000001</c:v>
                </c:pt>
                <c:pt idx="10">
                  <c:v>0.34499999999999997</c:v>
                </c:pt>
                <c:pt idx="11">
                  <c:v>0.376</c:v>
                </c:pt>
                <c:pt idx="12">
                  <c:v>0.182</c:v>
                </c:pt>
                <c:pt idx="13">
                  <c:v>0.309</c:v>
                </c:pt>
                <c:pt idx="17">
                  <c:v>-7.0000000000000001E-3</c:v>
                </c:pt>
                <c:pt idx="18">
                  <c:v>0.32700000000000001</c:v>
                </c:pt>
                <c:pt idx="19">
                  <c:v>0.25800000000000001</c:v>
                </c:pt>
                <c:pt idx="20">
                  <c:v>0.184</c:v>
                </c:pt>
                <c:pt idx="21">
                  <c:v>-6.9000000000000006E-2</c:v>
                </c:pt>
                <c:pt idx="22">
                  <c:v>0.36399999999999999</c:v>
                </c:pt>
                <c:pt idx="26">
                  <c:v>0.36299999999999999</c:v>
                </c:pt>
                <c:pt idx="27">
                  <c:v>0.28299999999999997</c:v>
                </c:pt>
                <c:pt idx="28">
                  <c:v>0.308</c:v>
                </c:pt>
                <c:pt idx="29">
                  <c:v>0.36</c:v>
                </c:pt>
                <c:pt idx="30">
                  <c:v>0.28000000000000003</c:v>
                </c:pt>
                <c:pt idx="31">
                  <c:v>0.43</c:v>
                </c:pt>
                <c:pt idx="35">
                  <c:v>0.36</c:v>
                </c:pt>
                <c:pt idx="36">
                  <c:v>0.27100000000000002</c:v>
                </c:pt>
                <c:pt idx="37">
                  <c:v>0.26400000000000001</c:v>
                </c:pt>
                <c:pt idx="38">
                  <c:v>0.36299999999999999</c:v>
                </c:pt>
                <c:pt idx="42">
                  <c:v>0.66600000000000004</c:v>
                </c:pt>
                <c:pt idx="43">
                  <c:v>0.373</c:v>
                </c:pt>
                <c:pt idx="44">
                  <c:v>0.67400000000000004</c:v>
                </c:pt>
                <c:pt idx="45">
                  <c:v>0.28199999999999997</c:v>
                </c:pt>
                <c:pt idx="46">
                  <c:v>0.29799999999999999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A-4926-8719-946A0B5B9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237424"/>
        <c:axId val="1298223696"/>
      </c:scatterChart>
      <c:valAx>
        <c:axId val="1298237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8223696"/>
        <c:crosses val="autoZero"/>
        <c:crossBetween val="midCat"/>
      </c:valAx>
      <c:valAx>
        <c:axId val="1298223696"/>
        <c:scaling>
          <c:orientation val="minMax"/>
          <c:max val="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8237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RH Dunlop corner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Ride_AxleFront_Dunlop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All!$HW$6:$HW$56</c:f>
              <c:numCache>
                <c:formatCode>General</c:formatCode>
                <c:ptCount val="51"/>
                <c:pt idx="0">
                  <c:v>40.130000000000003</c:v>
                </c:pt>
                <c:pt idx="1">
                  <c:v>39.18</c:v>
                </c:pt>
                <c:pt idx="2">
                  <c:v>35.229999999999997</c:v>
                </c:pt>
                <c:pt idx="3">
                  <c:v>35.229999999999997</c:v>
                </c:pt>
                <c:pt idx="7">
                  <c:v>37.020000000000003</c:v>
                </c:pt>
                <c:pt idx="8">
                  <c:v>37.020000000000003</c:v>
                </c:pt>
                <c:pt idx="9">
                  <c:v>34.18</c:v>
                </c:pt>
                <c:pt idx="10">
                  <c:v>34.18</c:v>
                </c:pt>
                <c:pt idx="11">
                  <c:v>36.08</c:v>
                </c:pt>
                <c:pt idx="12">
                  <c:v>36.08</c:v>
                </c:pt>
                <c:pt idx="13">
                  <c:v>37</c:v>
                </c:pt>
                <c:pt idx="17">
                  <c:v>39.39</c:v>
                </c:pt>
                <c:pt idx="18">
                  <c:v>36.81</c:v>
                </c:pt>
                <c:pt idx="19">
                  <c:v>36.81</c:v>
                </c:pt>
                <c:pt idx="20">
                  <c:v>37.21</c:v>
                </c:pt>
                <c:pt idx="21">
                  <c:v>37.21</c:v>
                </c:pt>
                <c:pt idx="22">
                  <c:v>46.75</c:v>
                </c:pt>
                <c:pt idx="26">
                  <c:v>36.979999999999997</c:v>
                </c:pt>
                <c:pt idx="27">
                  <c:v>36.979999999999997</c:v>
                </c:pt>
                <c:pt idx="28">
                  <c:v>36.82</c:v>
                </c:pt>
                <c:pt idx="29">
                  <c:v>36.82</c:v>
                </c:pt>
                <c:pt idx="30">
                  <c:v>37.47</c:v>
                </c:pt>
                <c:pt idx="31">
                  <c:v>37.47</c:v>
                </c:pt>
                <c:pt idx="35">
                  <c:v>40.619999999999997</c:v>
                </c:pt>
                <c:pt idx="36">
                  <c:v>40.619999999999997</c:v>
                </c:pt>
                <c:pt idx="37">
                  <c:v>46.77</c:v>
                </c:pt>
                <c:pt idx="38">
                  <c:v>53.29</c:v>
                </c:pt>
                <c:pt idx="42">
                  <c:v>53.99</c:v>
                </c:pt>
                <c:pt idx="43">
                  <c:v>34.369999999999997</c:v>
                </c:pt>
                <c:pt idx="44">
                  <c:v>34.369999999999997</c:v>
                </c:pt>
                <c:pt idx="45">
                  <c:v>35.51</c:v>
                </c:pt>
                <c:pt idx="46">
                  <c:v>35.51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90-4B97-B24F-FA594F33606B}"/>
            </c:ext>
          </c:extLst>
        </c:ser>
        <c:ser>
          <c:idx val="1"/>
          <c:order val="1"/>
          <c:tx>
            <c:v>Min Ride_AxleRear_Dunlop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All!$HX$6:$HX$56</c:f>
              <c:numCache>
                <c:formatCode>General</c:formatCode>
                <c:ptCount val="51"/>
                <c:pt idx="0">
                  <c:v>45.89</c:v>
                </c:pt>
                <c:pt idx="1">
                  <c:v>37.36</c:v>
                </c:pt>
                <c:pt idx="2">
                  <c:v>37.36</c:v>
                </c:pt>
                <c:pt idx="3">
                  <c:v>38.03</c:v>
                </c:pt>
                <c:pt idx="7">
                  <c:v>47.6</c:v>
                </c:pt>
                <c:pt idx="8">
                  <c:v>44.16</c:v>
                </c:pt>
                <c:pt idx="9">
                  <c:v>44.16</c:v>
                </c:pt>
                <c:pt idx="10">
                  <c:v>46.49</c:v>
                </c:pt>
                <c:pt idx="11">
                  <c:v>44.28</c:v>
                </c:pt>
                <c:pt idx="12">
                  <c:v>44.28</c:v>
                </c:pt>
                <c:pt idx="13">
                  <c:v>49.31</c:v>
                </c:pt>
                <c:pt idx="17">
                  <c:v>51.48</c:v>
                </c:pt>
                <c:pt idx="18">
                  <c:v>46.57</c:v>
                </c:pt>
                <c:pt idx="19">
                  <c:v>46.57</c:v>
                </c:pt>
                <c:pt idx="20">
                  <c:v>47.55</c:v>
                </c:pt>
                <c:pt idx="21">
                  <c:v>47.55</c:v>
                </c:pt>
                <c:pt idx="22">
                  <c:v>52.53</c:v>
                </c:pt>
                <c:pt idx="26">
                  <c:v>52.01</c:v>
                </c:pt>
                <c:pt idx="27">
                  <c:v>50.78</c:v>
                </c:pt>
                <c:pt idx="28">
                  <c:v>47.42</c:v>
                </c:pt>
                <c:pt idx="29">
                  <c:v>47.42</c:v>
                </c:pt>
                <c:pt idx="30">
                  <c:v>48.05</c:v>
                </c:pt>
                <c:pt idx="31">
                  <c:v>50.91</c:v>
                </c:pt>
                <c:pt idx="35">
                  <c:v>55.17</c:v>
                </c:pt>
                <c:pt idx="36">
                  <c:v>55.17</c:v>
                </c:pt>
                <c:pt idx="37">
                  <c:v>62.81</c:v>
                </c:pt>
                <c:pt idx="38">
                  <c:v>71.62</c:v>
                </c:pt>
                <c:pt idx="42">
                  <c:v>64.45</c:v>
                </c:pt>
                <c:pt idx="43">
                  <c:v>50.94</c:v>
                </c:pt>
                <c:pt idx="44">
                  <c:v>45.17</c:v>
                </c:pt>
                <c:pt idx="45">
                  <c:v>38.69</c:v>
                </c:pt>
                <c:pt idx="46">
                  <c:v>38.69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90-4B97-B24F-FA594F336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245328"/>
        <c:axId val="1298245744"/>
      </c:scatterChart>
      <c:valAx>
        <c:axId val="1298245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8245744"/>
        <c:crosses val="autoZero"/>
        <c:crossBetween val="midCat"/>
      </c:valAx>
      <c:valAx>
        <c:axId val="1298245744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8245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1st Porsche corner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Ride_AxleFront_Porsche1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All!$HY$6:$HY$56</c:f>
              <c:numCache>
                <c:formatCode>General</c:formatCode>
                <c:ptCount val="51"/>
                <c:pt idx="2">
                  <c:v>50.69</c:v>
                </c:pt>
                <c:pt idx="8">
                  <c:v>49.18</c:v>
                </c:pt>
                <c:pt idx="9">
                  <c:v>47.76</c:v>
                </c:pt>
                <c:pt idx="10">
                  <c:v>47.44</c:v>
                </c:pt>
                <c:pt idx="11">
                  <c:v>47.8</c:v>
                </c:pt>
                <c:pt idx="12">
                  <c:v>48.61</c:v>
                </c:pt>
                <c:pt idx="17">
                  <c:v>49.21</c:v>
                </c:pt>
                <c:pt idx="18">
                  <c:v>48.68</c:v>
                </c:pt>
                <c:pt idx="19">
                  <c:v>50.23</c:v>
                </c:pt>
                <c:pt idx="20">
                  <c:v>50.88</c:v>
                </c:pt>
                <c:pt idx="21">
                  <c:v>51.21</c:v>
                </c:pt>
                <c:pt idx="27">
                  <c:v>52.11</c:v>
                </c:pt>
                <c:pt idx="28">
                  <c:v>51.84</c:v>
                </c:pt>
                <c:pt idx="29">
                  <c:v>52.8</c:v>
                </c:pt>
                <c:pt idx="30">
                  <c:v>52.53</c:v>
                </c:pt>
                <c:pt idx="36">
                  <c:v>51.19</c:v>
                </c:pt>
                <c:pt idx="37">
                  <c:v>50.07</c:v>
                </c:pt>
                <c:pt idx="43">
                  <c:v>46.76</c:v>
                </c:pt>
                <c:pt idx="44">
                  <c:v>50.87</c:v>
                </c:pt>
                <c:pt idx="45">
                  <c:v>51.96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E6-4233-9AA6-669A5E16CB4F}"/>
            </c:ext>
          </c:extLst>
        </c:ser>
        <c:ser>
          <c:idx val="1"/>
          <c:order val="1"/>
          <c:tx>
            <c:v>Ave Ride_AxleRear_Porsche1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All!$HZ$6:$HZ$56</c:f>
              <c:numCache>
                <c:formatCode>General</c:formatCode>
                <c:ptCount val="51"/>
                <c:pt idx="2">
                  <c:v>63.75</c:v>
                </c:pt>
                <c:pt idx="8">
                  <c:v>59.62</c:v>
                </c:pt>
                <c:pt idx="9">
                  <c:v>59.66</c:v>
                </c:pt>
                <c:pt idx="10">
                  <c:v>59.42</c:v>
                </c:pt>
                <c:pt idx="11">
                  <c:v>58.81</c:v>
                </c:pt>
                <c:pt idx="12">
                  <c:v>59.2</c:v>
                </c:pt>
                <c:pt idx="17">
                  <c:v>58.54</c:v>
                </c:pt>
                <c:pt idx="18">
                  <c:v>59.91</c:v>
                </c:pt>
                <c:pt idx="19">
                  <c:v>61.14</c:v>
                </c:pt>
                <c:pt idx="20">
                  <c:v>61.91</c:v>
                </c:pt>
                <c:pt idx="21">
                  <c:v>63.19</c:v>
                </c:pt>
                <c:pt idx="27">
                  <c:v>64.19</c:v>
                </c:pt>
                <c:pt idx="28">
                  <c:v>65.239999999999995</c:v>
                </c:pt>
                <c:pt idx="29">
                  <c:v>65.47</c:v>
                </c:pt>
                <c:pt idx="30">
                  <c:v>64.239999999999995</c:v>
                </c:pt>
                <c:pt idx="36">
                  <c:v>62.52</c:v>
                </c:pt>
                <c:pt idx="37">
                  <c:v>55.69</c:v>
                </c:pt>
                <c:pt idx="43">
                  <c:v>61.71</c:v>
                </c:pt>
                <c:pt idx="44">
                  <c:v>63.08</c:v>
                </c:pt>
                <c:pt idx="45">
                  <c:v>65.36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E6-4233-9AA6-669A5E16C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227024"/>
        <c:axId val="1298227856"/>
      </c:scatterChart>
      <c:valAx>
        <c:axId val="1298227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8227856"/>
        <c:crosses val="autoZero"/>
        <c:crossBetween val="midCat"/>
      </c:valAx>
      <c:valAx>
        <c:axId val="1298227856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8227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DCPL[N]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CPL_FL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All!$AL$6:$AL$56</c:f>
              <c:numCache>
                <c:formatCode>General</c:formatCode>
                <c:ptCount val="51"/>
                <c:pt idx="0">
                  <c:v>601.20500000000004</c:v>
                </c:pt>
                <c:pt idx="1">
                  <c:v>649.10799999999995</c:v>
                </c:pt>
                <c:pt idx="2">
                  <c:v>694.78300000000002</c:v>
                </c:pt>
                <c:pt idx="3">
                  <c:v>665.70699999999999</c:v>
                </c:pt>
                <c:pt idx="7">
                  <c:v>608.34400000000005</c:v>
                </c:pt>
                <c:pt idx="8">
                  <c:v>647.67999999999995</c:v>
                </c:pt>
                <c:pt idx="9">
                  <c:v>645.93899999999996</c:v>
                </c:pt>
                <c:pt idx="10">
                  <c:v>667.36800000000005</c:v>
                </c:pt>
                <c:pt idx="11">
                  <c:v>680.83799999999997</c:v>
                </c:pt>
                <c:pt idx="12">
                  <c:v>666.20699999999999</c:v>
                </c:pt>
                <c:pt idx="13">
                  <c:v>606.98599999999999</c:v>
                </c:pt>
                <c:pt idx="17">
                  <c:v>612.36699999999996</c:v>
                </c:pt>
                <c:pt idx="18">
                  <c:v>661.63699999999994</c:v>
                </c:pt>
                <c:pt idx="19">
                  <c:v>684.12800000000004</c:v>
                </c:pt>
                <c:pt idx="20">
                  <c:v>654.77099999999996</c:v>
                </c:pt>
                <c:pt idx="21">
                  <c:v>669.13599999999997</c:v>
                </c:pt>
                <c:pt idx="22">
                  <c:v>650.38800000000003</c:v>
                </c:pt>
                <c:pt idx="26">
                  <c:v>617.10799999999995</c:v>
                </c:pt>
                <c:pt idx="27">
                  <c:v>634.49</c:v>
                </c:pt>
                <c:pt idx="28">
                  <c:v>663.43700000000001</c:v>
                </c:pt>
                <c:pt idx="29">
                  <c:v>626.79899999999998</c:v>
                </c:pt>
                <c:pt idx="30">
                  <c:v>695.06799999999998</c:v>
                </c:pt>
                <c:pt idx="31">
                  <c:v>559.88699999999994</c:v>
                </c:pt>
                <c:pt idx="35">
                  <c:v>601.15200000000004</c:v>
                </c:pt>
                <c:pt idx="36">
                  <c:v>605.79</c:v>
                </c:pt>
                <c:pt idx="37">
                  <c:v>630.88</c:v>
                </c:pt>
                <c:pt idx="38">
                  <c:v>504.18099999999998</c:v>
                </c:pt>
                <c:pt idx="42">
                  <c:v>539.53</c:v>
                </c:pt>
                <c:pt idx="43">
                  <c:v>556.87400000000002</c:v>
                </c:pt>
                <c:pt idx="44">
                  <c:v>633.27800000000002</c:v>
                </c:pt>
                <c:pt idx="45">
                  <c:v>645.90499999999997</c:v>
                </c:pt>
                <c:pt idx="46">
                  <c:v>621.13599999999997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0-48C1-A49D-52F9C159592D}"/>
            </c:ext>
          </c:extLst>
        </c:ser>
        <c:ser>
          <c:idx val="1"/>
          <c:order val="1"/>
          <c:tx>
            <c:v>Ave CPL_FR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All!$AM$6:$AM$56</c:f>
              <c:numCache>
                <c:formatCode>General</c:formatCode>
                <c:ptCount val="51"/>
                <c:pt idx="0">
                  <c:v>608.875</c:v>
                </c:pt>
                <c:pt idx="1">
                  <c:v>645.976</c:v>
                </c:pt>
                <c:pt idx="2">
                  <c:v>697.58299999999997</c:v>
                </c:pt>
                <c:pt idx="3">
                  <c:v>694.85599999999999</c:v>
                </c:pt>
                <c:pt idx="7">
                  <c:v>631.48199999999997</c:v>
                </c:pt>
                <c:pt idx="8">
                  <c:v>671.16600000000005</c:v>
                </c:pt>
                <c:pt idx="9">
                  <c:v>653.00800000000004</c:v>
                </c:pt>
                <c:pt idx="10">
                  <c:v>651.23299999999995</c:v>
                </c:pt>
                <c:pt idx="11">
                  <c:v>679.45100000000002</c:v>
                </c:pt>
                <c:pt idx="12">
                  <c:v>642.846</c:v>
                </c:pt>
                <c:pt idx="13">
                  <c:v>605.25300000000004</c:v>
                </c:pt>
                <c:pt idx="17">
                  <c:v>607.96</c:v>
                </c:pt>
                <c:pt idx="18">
                  <c:v>681.53599999999994</c:v>
                </c:pt>
                <c:pt idx="19">
                  <c:v>692.66800000000001</c:v>
                </c:pt>
                <c:pt idx="20">
                  <c:v>642.77800000000002</c:v>
                </c:pt>
                <c:pt idx="21">
                  <c:v>677.23900000000003</c:v>
                </c:pt>
                <c:pt idx="22">
                  <c:v>640.80399999999997</c:v>
                </c:pt>
                <c:pt idx="26">
                  <c:v>631.03300000000002</c:v>
                </c:pt>
                <c:pt idx="27">
                  <c:v>644.101</c:v>
                </c:pt>
                <c:pt idx="28">
                  <c:v>647.87099999999998</c:v>
                </c:pt>
                <c:pt idx="29">
                  <c:v>637.52599999999995</c:v>
                </c:pt>
                <c:pt idx="30">
                  <c:v>693.00800000000004</c:v>
                </c:pt>
                <c:pt idx="31">
                  <c:v>620.41099999999994</c:v>
                </c:pt>
                <c:pt idx="35">
                  <c:v>632.79899999999998</c:v>
                </c:pt>
                <c:pt idx="36">
                  <c:v>647.18600000000004</c:v>
                </c:pt>
                <c:pt idx="37">
                  <c:v>636.29399999999998</c:v>
                </c:pt>
                <c:pt idx="38">
                  <c:v>558.85</c:v>
                </c:pt>
                <c:pt idx="42">
                  <c:v>556.66800000000001</c:v>
                </c:pt>
                <c:pt idx="43">
                  <c:v>562.74199999999996</c:v>
                </c:pt>
                <c:pt idx="44">
                  <c:v>622.53899999999999</c:v>
                </c:pt>
                <c:pt idx="45">
                  <c:v>684.12800000000004</c:v>
                </c:pt>
                <c:pt idx="46">
                  <c:v>615.62900000000002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20-48C1-A49D-52F9C159592D}"/>
            </c:ext>
          </c:extLst>
        </c:ser>
        <c:ser>
          <c:idx val="2"/>
          <c:order val="2"/>
          <c:tx>
            <c:v>Ave CPL_RL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All!$AN$6:$AN$56</c:f>
              <c:numCache>
                <c:formatCode>General</c:formatCode>
                <c:ptCount val="51"/>
                <c:pt idx="0">
                  <c:v>741.46</c:v>
                </c:pt>
                <c:pt idx="1">
                  <c:v>757.55</c:v>
                </c:pt>
                <c:pt idx="2">
                  <c:v>834.03800000000001</c:v>
                </c:pt>
                <c:pt idx="3">
                  <c:v>864.45500000000004</c:v>
                </c:pt>
                <c:pt idx="7">
                  <c:v>740.42700000000002</c:v>
                </c:pt>
                <c:pt idx="8">
                  <c:v>827.78499999999997</c:v>
                </c:pt>
                <c:pt idx="9">
                  <c:v>836.64400000000001</c:v>
                </c:pt>
                <c:pt idx="10">
                  <c:v>811.95799999999997</c:v>
                </c:pt>
                <c:pt idx="11">
                  <c:v>822.01900000000001</c:v>
                </c:pt>
                <c:pt idx="12">
                  <c:v>818.94399999999996</c:v>
                </c:pt>
                <c:pt idx="13">
                  <c:v>802.98199999999997</c:v>
                </c:pt>
                <c:pt idx="17">
                  <c:v>737.48500000000001</c:v>
                </c:pt>
                <c:pt idx="18">
                  <c:v>779.30700000000002</c:v>
                </c:pt>
                <c:pt idx="19">
                  <c:v>857.53099999999995</c:v>
                </c:pt>
                <c:pt idx="20">
                  <c:v>835.548</c:v>
                </c:pt>
                <c:pt idx="21">
                  <c:v>850.71799999999996</c:v>
                </c:pt>
                <c:pt idx="22">
                  <c:v>853.78399999999999</c:v>
                </c:pt>
                <c:pt idx="26">
                  <c:v>748.34199999999998</c:v>
                </c:pt>
                <c:pt idx="27">
                  <c:v>789.98</c:v>
                </c:pt>
                <c:pt idx="28">
                  <c:v>791.25599999999997</c:v>
                </c:pt>
                <c:pt idx="29">
                  <c:v>803.6</c:v>
                </c:pt>
                <c:pt idx="30">
                  <c:v>852.89</c:v>
                </c:pt>
                <c:pt idx="31">
                  <c:v>736.952</c:v>
                </c:pt>
                <c:pt idx="35">
                  <c:v>700.28800000000001</c:v>
                </c:pt>
                <c:pt idx="36">
                  <c:v>730.47199999999998</c:v>
                </c:pt>
                <c:pt idx="37">
                  <c:v>749.77599999999995</c:v>
                </c:pt>
                <c:pt idx="38">
                  <c:v>675.47900000000004</c:v>
                </c:pt>
                <c:pt idx="42">
                  <c:v>614.90499999999997</c:v>
                </c:pt>
                <c:pt idx="43">
                  <c:v>638.29499999999996</c:v>
                </c:pt>
                <c:pt idx="44">
                  <c:v>736.28599999999994</c:v>
                </c:pt>
                <c:pt idx="45">
                  <c:v>788.99599999999998</c:v>
                </c:pt>
                <c:pt idx="46">
                  <c:v>735.07899999999995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20-48C1-A49D-52F9C159592D}"/>
            </c:ext>
          </c:extLst>
        </c:ser>
        <c:ser>
          <c:idx val="3"/>
          <c:order val="3"/>
          <c:tx>
            <c:v>Ave CPL_RR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All!$AO$6:$AO$56</c:f>
              <c:numCache>
                <c:formatCode>General</c:formatCode>
                <c:ptCount val="51"/>
                <c:pt idx="0">
                  <c:v>749.947</c:v>
                </c:pt>
                <c:pt idx="1">
                  <c:v>724.42499999999995</c:v>
                </c:pt>
                <c:pt idx="2">
                  <c:v>818.44899999999996</c:v>
                </c:pt>
                <c:pt idx="3">
                  <c:v>808.93700000000001</c:v>
                </c:pt>
                <c:pt idx="7">
                  <c:v>730.61900000000003</c:v>
                </c:pt>
                <c:pt idx="8">
                  <c:v>788.43700000000001</c:v>
                </c:pt>
                <c:pt idx="9">
                  <c:v>762.01900000000001</c:v>
                </c:pt>
                <c:pt idx="10">
                  <c:v>800.71100000000001</c:v>
                </c:pt>
                <c:pt idx="11">
                  <c:v>822.61800000000005</c:v>
                </c:pt>
                <c:pt idx="12">
                  <c:v>764.625</c:v>
                </c:pt>
                <c:pt idx="13">
                  <c:v>762.23299999999995</c:v>
                </c:pt>
                <c:pt idx="17">
                  <c:v>719.71799999999996</c:v>
                </c:pt>
                <c:pt idx="18">
                  <c:v>781.27099999999996</c:v>
                </c:pt>
                <c:pt idx="19">
                  <c:v>825.09199999999998</c:v>
                </c:pt>
                <c:pt idx="20">
                  <c:v>831.08100000000002</c:v>
                </c:pt>
                <c:pt idx="21">
                  <c:v>797.202</c:v>
                </c:pt>
                <c:pt idx="22">
                  <c:v>771.76499999999999</c:v>
                </c:pt>
                <c:pt idx="26">
                  <c:v>747.15899999999999</c:v>
                </c:pt>
                <c:pt idx="27">
                  <c:v>786.20100000000002</c:v>
                </c:pt>
                <c:pt idx="28">
                  <c:v>812.08500000000004</c:v>
                </c:pt>
                <c:pt idx="29">
                  <c:v>774.89300000000003</c:v>
                </c:pt>
                <c:pt idx="30">
                  <c:v>814.07799999999997</c:v>
                </c:pt>
                <c:pt idx="31">
                  <c:v>702.19799999999998</c:v>
                </c:pt>
                <c:pt idx="35">
                  <c:v>658.01800000000003</c:v>
                </c:pt>
                <c:pt idx="36">
                  <c:v>706.95699999999999</c:v>
                </c:pt>
                <c:pt idx="37">
                  <c:v>746.52700000000004</c:v>
                </c:pt>
                <c:pt idx="38">
                  <c:v>658.45899999999995</c:v>
                </c:pt>
                <c:pt idx="42">
                  <c:v>591.52499999999998</c:v>
                </c:pt>
                <c:pt idx="43">
                  <c:v>659.87599999999998</c:v>
                </c:pt>
                <c:pt idx="44">
                  <c:v>720.18200000000002</c:v>
                </c:pt>
                <c:pt idx="45">
                  <c:v>791.51599999999996</c:v>
                </c:pt>
                <c:pt idx="46">
                  <c:v>730.13800000000003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20-48C1-A49D-52F9C1595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251568"/>
        <c:axId val="1298247408"/>
      </c:scatterChart>
      <c:valAx>
        <c:axId val="1298251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8247408"/>
        <c:crosses val="autoZero"/>
        <c:crossBetween val="midCat"/>
      </c:valAx>
      <c:valAx>
        <c:axId val="1298247408"/>
        <c:scaling>
          <c:orientation val="minMax"/>
          <c:max val="1200"/>
          <c:min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8251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Roll balance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Fz_balance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All!$BU$6:$BU$56</c:f>
              <c:numCache>
                <c:formatCode>General</c:formatCode>
                <c:ptCount val="51"/>
                <c:pt idx="0">
                  <c:v>56.116999999999997</c:v>
                </c:pt>
                <c:pt idx="1">
                  <c:v>50.936999999999998</c:v>
                </c:pt>
                <c:pt idx="2">
                  <c:v>51.197000000000003</c:v>
                </c:pt>
                <c:pt idx="3">
                  <c:v>49.082999999999998</c:v>
                </c:pt>
                <c:pt idx="7">
                  <c:v>49.725999999999999</c:v>
                </c:pt>
                <c:pt idx="8">
                  <c:v>50.798000000000002</c:v>
                </c:pt>
                <c:pt idx="9">
                  <c:v>51.271000000000001</c:v>
                </c:pt>
                <c:pt idx="10">
                  <c:v>51.076000000000001</c:v>
                </c:pt>
                <c:pt idx="11">
                  <c:v>48.091999999999999</c:v>
                </c:pt>
                <c:pt idx="12">
                  <c:v>51.137</c:v>
                </c:pt>
                <c:pt idx="13">
                  <c:v>49.633000000000003</c:v>
                </c:pt>
                <c:pt idx="17">
                  <c:v>43.445999999999998</c:v>
                </c:pt>
                <c:pt idx="18">
                  <c:v>51.457000000000001</c:v>
                </c:pt>
                <c:pt idx="19">
                  <c:v>50.536999999999999</c:v>
                </c:pt>
                <c:pt idx="20">
                  <c:v>50.343000000000004</c:v>
                </c:pt>
                <c:pt idx="21">
                  <c:v>51.47</c:v>
                </c:pt>
                <c:pt idx="22">
                  <c:v>49.046999999999997</c:v>
                </c:pt>
                <c:pt idx="26">
                  <c:v>49.250999999999998</c:v>
                </c:pt>
                <c:pt idx="27">
                  <c:v>50.158999999999999</c:v>
                </c:pt>
                <c:pt idx="28">
                  <c:v>50.72</c:v>
                </c:pt>
                <c:pt idx="29">
                  <c:v>50.844999999999999</c:v>
                </c:pt>
                <c:pt idx="30">
                  <c:v>50.305</c:v>
                </c:pt>
                <c:pt idx="31">
                  <c:v>48.664000000000001</c:v>
                </c:pt>
                <c:pt idx="35">
                  <c:v>26.334</c:v>
                </c:pt>
                <c:pt idx="36">
                  <c:v>50.265000000000001</c:v>
                </c:pt>
                <c:pt idx="37">
                  <c:v>48.969000000000001</c:v>
                </c:pt>
                <c:pt idx="38">
                  <c:v>39.509</c:v>
                </c:pt>
                <c:pt idx="42">
                  <c:v>46.591999999999999</c:v>
                </c:pt>
                <c:pt idx="43">
                  <c:v>44.293999999999997</c:v>
                </c:pt>
                <c:pt idx="44">
                  <c:v>51.536000000000001</c:v>
                </c:pt>
                <c:pt idx="45">
                  <c:v>50.793999999999997</c:v>
                </c:pt>
                <c:pt idx="46">
                  <c:v>47.707000000000001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31-488F-903E-62DD6EE3F4CF}"/>
            </c:ext>
          </c:extLst>
        </c:ser>
        <c:ser>
          <c:idx val="1"/>
          <c:order val="1"/>
          <c:tx>
            <c:v>Ave RollBalance_LS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All!$BV$6:$BV$56</c:f>
              <c:numCache>
                <c:formatCode>General</c:formatCode>
                <c:ptCount val="51"/>
                <c:pt idx="0">
                  <c:v>57.186999999999998</c:v>
                </c:pt>
                <c:pt idx="1">
                  <c:v>54.765999999999998</c:v>
                </c:pt>
                <c:pt idx="2">
                  <c:v>53.688000000000002</c:v>
                </c:pt>
                <c:pt idx="3">
                  <c:v>54.906999999999996</c:v>
                </c:pt>
                <c:pt idx="7">
                  <c:v>56.109000000000002</c:v>
                </c:pt>
                <c:pt idx="8">
                  <c:v>54.884</c:v>
                </c:pt>
                <c:pt idx="9">
                  <c:v>54.034999999999997</c:v>
                </c:pt>
                <c:pt idx="10">
                  <c:v>54.88</c:v>
                </c:pt>
                <c:pt idx="11">
                  <c:v>53.475000000000001</c:v>
                </c:pt>
                <c:pt idx="12">
                  <c:v>55.116999999999997</c:v>
                </c:pt>
                <c:pt idx="13">
                  <c:v>56.585999999999999</c:v>
                </c:pt>
                <c:pt idx="17">
                  <c:v>55.89</c:v>
                </c:pt>
                <c:pt idx="18">
                  <c:v>54.441000000000003</c:v>
                </c:pt>
                <c:pt idx="19">
                  <c:v>54.47</c:v>
                </c:pt>
                <c:pt idx="20">
                  <c:v>53.783999999999999</c:v>
                </c:pt>
                <c:pt idx="21">
                  <c:v>54.924999999999997</c:v>
                </c:pt>
                <c:pt idx="22">
                  <c:v>52.93</c:v>
                </c:pt>
                <c:pt idx="26">
                  <c:v>56.335999999999999</c:v>
                </c:pt>
                <c:pt idx="27">
                  <c:v>53.247</c:v>
                </c:pt>
                <c:pt idx="28">
                  <c:v>55.371000000000002</c:v>
                </c:pt>
                <c:pt idx="29">
                  <c:v>54.237000000000002</c:v>
                </c:pt>
                <c:pt idx="30">
                  <c:v>54.61</c:v>
                </c:pt>
                <c:pt idx="31">
                  <c:v>53.997999999999998</c:v>
                </c:pt>
                <c:pt idx="35">
                  <c:v>54.689</c:v>
                </c:pt>
                <c:pt idx="36">
                  <c:v>53.872999999999998</c:v>
                </c:pt>
                <c:pt idx="37">
                  <c:v>54.317</c:v>
                </c:pt>
                <c:pt idx="38">
                  <c:v>53.987000000000002</c:v>
                </c:pt>
                <c:pt idx="42">
                  <c:v>55.582000000000001</c:v>
                </c:pt>
                <c:pt idx="43">
                  <c:v>54.652000000000001</c:v>
                </c:pt>
                <c:pt idx="44">
                  <c:v>54.39</c:v>
                </c:pt>
                <c:pt idx="45">
                  <c:v>53.243000000000002</c:v>
                </c:pt>
                <c:pt idx="46">
                  <c:v>53.561999999999998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31-488F-903E-62DD6EE3F4CF}"/>
            </c:ext>
          </c:extLst>
        </c:ser>
        <c:ser>
          <c:idx val="2"/>
          <c:order val="2"/>
          <c:tx>
            <c:v>Ave RollBalance_MS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All!$BW$6:$BW$56</c:f>
              <c:numCache>
                <c:formatCode>General</c:formatCode>
                <c:ptCount val="51"/>
                <c:pt idx="0">
                  <c:v>57.765000000000001</c:v>
                </c:pt>
                <c:pt idx="1">
                  <c:v>56.207999999999998</c:v>
                </c:pt>
                <c:pt idx="2">
                  <c:v>56.600999999999999</c:v>
                </c:pt>
                <c:pt idx="3">
                  <c:v>56.008000000000003</c:v>
                </c:pt>
                <c:pt idx="7">
                  <c:v>57.225999999999999</c:v>
                </c:pt>
                <c:pt idx="8">
                  <c:v>56.616999999999997</c:v>
                </c:pt>
                <c:pt idx="9">
                  <c:v>57.127000000000002</c:v>
                </c:pt>
                <c:pt idx="10">
                  <c:v>56.758000000000003</c:v>
                </c:pt>
                <c:pt idx="11">
                  <c:v>55.503999999999998</c:v>
                </c:pt>
                <c:pt idx="12">
                  <c:v>56.265999999999998</c:v>
                </c:pt>
                <c:pt idx="13">
                  <c:v>55.823</c:v>
                </c:pt>
                <c:pt idx="17">
                  <c:v>58.741</c:v>
                </c:pt>
                <c:pt idx="18">
                  <c:v>56.539000000000001</c:v>
                </c:pt>
                <c:pt idx="19">
                  <c:v>54.737000000000002</c:v>
                </c:pt>
                <c:pt idx="20">
                  <c:v>56.012</c:v>
                </c:pt>
                <c:pt idx="21">
                  <c:v>55.651000000000003</c:v>
                </c:pt>
                <c:pt idx="22">
                  <c:v>56.094000000000001</c:v>
                </c:pt>
                <c:pt idx="26">
                  <c:v>56.003</c:v>
                </c:pt>
                <c:pt idx="27">
                  <c:v>55.054000000000002</c:v>
                </c:pt>
                <c:pt idx="28">
                  <c:v>55.524999999999999</c:v>
                </c:pt>
                <c:pt idx="29">
                  <c:v>56.231999999999999</c:v>
                </c:pt>
                <c:pt idx="30">
                  <c:v>55.764000000000003</c:v>
                </c:pt>
                <c:pt idx="31">
                  <c:v>56.259</c:v>
                </c:pt>
                <c:pt idx="35">
                  <c:v>55.436999999999998</c:v>
                </c:pt>
                <c:pt idx="36">
                  <c:v>53.564999999999998</c:v>
                </c:pt>
                <c:pt idx="37">
                  <c:v>55.588000000000001</c:v>
                </c:pt>
                <c:pt idx="38">
                  <c:v>57.262</c:v>
                </c:pt>
                <c:pt idx="42">
                  <c:v>54.893000000000001</c:v>
                </c:pt>
                <c:pt idx="43">
                  <c:v>55.906999999999996</c:v>
                </c:pt>
                <c:pt idx="44">
                  <c:v>54.725000000000001</c:v>
                </c:pt>
                <c:pt idx="45">
                  <c:v>55.124000000000002</c:v>
                </c:pt>
                <c:pt idx="46">
                  <c:v>55.545999999999999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31-488F-903E-62DD6EE3F4CF}"/>
            </c:ext>
          </c:extLst>
        </c:ser>
        <c:ser>
          <c:idx val="3"/>
          <c:order val="3"/>
          <c:tx>
            <c:v>Ave RollBalance_HS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All!$BX$6:$BX$56</c:f>
              <c:numCache>
                <c:formatCode>General</c:formatCode>
                <c:ptCount val="51"/>
                <c:pt idx="0">
                  <c:v>57.493000000000002</c:v>
                </c:pt>
                <c:pt idx="1">
                  <c:v>56.228999999999999</c:v>
                </c:pt>
                <c:pt idx="2">
                  <c:v>57.865000000000002</c:v>
                </c:pt>
                <c:pt idx="3">
                  <c:v>57.802</c:v>
                </c:pt>
                <c:pt idx="7">
                  <c:v>57.817</c:v>
                </c:pt>
                <c:pt idx="8">
                  <c:v>57.048000000000002</c:v>
                </c:pt>
                <c:pt idx="9">
                  <c:v>58.12</c:v>
                </c:pt>
                <c:pt idx="10">
                  <c:v>57.265000000000001</c:v>
                </c:pt>
                <c:pt idx="11">
                  <c:v>56.326999999999998</c:v>
                </c:pt>
                <c:pt idx="12">
                  <c:v>57.878999999999998</c:v>
                </c:pt>
                <c:pt idx="13">
                  <c:v>57.527999999999999</c:v>
                </c:pt>
                <c:pt idx="17">
                  <c:v>59.103999999999999</c:v>
                </c:pt>
                <c:pt idx="18">
                  <c:v>57.762</c:v>
                </c:pt>
                <c:pt idx="19">
                  <c:v>57.234999999999999</c:v>
                </c:pt>
                <c:pt idx="20">
                  <c:v>57.048000000000002</c:v>
                </c:pt>
                <c:pt idx="21">
                  <c:v>58.027999999999999</c:v>
                </c:pt>
                <c:pt idx="22">
                  <c:v>57.085000000000001</c:v>
                </c:pt>
                <c:pt idx="26">
                  <c:v>56.781999999999996</c:v>
                </c:pt>
                <c:pt idx="27">
                  <c:v>55.662999999999997</c:v>
                </c:pt>
                <c:pt idx="28">
                  <c:v>55.701999999999998</c:v>
                </c:pt>
                <c:pt idx="29">
                  <c:v>56.491</c:v>
                </c:pt>
                <c:pt idx="30">
                  <c:v>56.128</c:v>
                </c:pt>
                <c:pt idx="31">
                  <c:v>56.875</c:v>
                </c:pt>
                <c:pt idx="35">
                  <c:v>56.747</c:v>
                </c:pt>
                <c:pt idx="36">
                  <c:v>55.298000000000002</c:v>
                </c:pt>
                <c:pt idx="37">
                  <c:v>55.356000000000002</c:v>
                </c:pt>
                <c:pt idx="38">
                  <c:v>55.917000000000002</c:v>
                </c:pt>
                <c:pt idx="42">
                  <c:v>58.926000000000002</c:v>
                </c:pt>
                <c:pt idx="43">
                  <c:v>56.95</c:v>
                </c:pt>
                <c:pt idx="44">
                  <c:v>56.128999999999998</c:v>
                </c:pt>
                <c:pt idx="45">
                  <c:v>55.969000000000001</c:v>
                </c:pt>
                <c:pt idx="46">
                  <c:v>56.213000000000001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31-488F-903E-62DD6EE3F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1288784"/>
        <c:axId val="1291297520"/>
      </c:scatterChart>
      <c:valAx>
        <c:axId val="1291288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1297520"/>
        <c:crosses val="autoZero"/>
        <c:crossBetween val="midCat"/>
      </c:valAx>
      <c:valAx>
        <c:axId val="1291297520"/>
        <c:scaling>
          <c:orientation val="minMax"/>
          <c:max val="60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1288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Lateral acceleration [g]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accy_LeftCorners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All!$CA$6:$CA$56</c:f>
              <c:numCache>
                <c:formatCode>General</c:formatCode>
                <c:ptCount val="51"/>
                <c:pt idx="0">
                  <c:v>2.85</c:v>
                </c:pt>
                <c:pt idx="1">
                  <c:v>2.9</c:v>
                </c:pt>
                <c:pt idx="2">
                  <c:v>3.4049999999999998</c:v>
                </c:pt>
                <c:pt idx="3">
                  <c:v>3.415</c:v>
                </c:pt>
                <c:pt idx="7">
                  <c:v>3.335</c:v>
                </c:pt>
                <c:pt idx="8">
                  <c:v>3.7429999999999999</c:v>
                </c:pt>
                <c:pt idx="9">
                  <c:v>3.5329999999999999</c:v>
                </c:pt>
                <c:pt idx="10">
                  <c:v>3.4889999999999999</c:v>
                </c:pt>
                <c:pt idx="11">
                  <c:v>3.4710000000000001</c:v>
                </c:pt>
                <c:pt idx="12">
                  <c:v>3.778</c:v>
                </c:pt>
                <c:pt idx="13">
                  <c:v>3.2010000000000001</c:v>
                </c:pt>
                <c:pt idx="17">
                  <c:v>3.3919999999999999</c:v>
                </c:pt>
                <c:pt idx="18">
                  <c:v>3.702</c:v>
                </c:pt>
                <c:pt idx="19">
                  <c:v>3.8069999999999999</c:v>
                </c:pt>
                <c:pt idx="20">
                  <c:v>3.835</c:v>
                </c:pt>
                <c:pt idx="21">
                  <c:v>3.8730000000000002</c:v>
                </c:pt>
                <c:pt idx="22">
                  <c:v>3.01</c:v>
                </c:pt>
                <c:pt idx="26">
                  <c:v>3.5529999999999999</c:v>
                </c:pt>
                <c:pt idx="27">
                  <c:v>3.194</c:v>
                </c:pt>
                <c:pt idx="28">
                  <c:v>3.4039999999999999</c:v>
                </c:pt>
                <c:pt idx="29">
                  <c:v>3.589</c:v>
                </c:pt>
                <c:pt idx="30">
                  <c:v>3.5870000000000002</c:v>
                </c:pt>
                <c:pt idx="31">
                  <c:v>2.9119999999999999</c:v>
                </c:pt>
                <c:pt idx="35">
                  <c:v>3.706</c:v>
                </c:pt>
                <c:pt idx="36">
                  <c:v>3.5609999999999999</c:v>
                </c:pt>
                <c:pt idx="37">
                  <c:v>3.6669999999999998</c:v>
                </c:pt>
                <c:pt idx="38">
                  <c:v>2.2930000000000001</c:v>
                </c:pt>
                <c:pt idx="42">
                  <c:v>2.306</c:v>
                </c:pt>
                <c:pt idx="43">
                  <c:v>2.5870000000000002</c:v>
                </c:pt>
                <c:pt idx="44">
                  <c:v>3.3029999999999999</c:v>
                </c:pt>
                <c:pt idx="45">
                  <c:v>3.899</c:v>
                </c:pt>
                <c:pt idx="46">
                  <c:v>2.9769999999999999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37-40FD-A1E8-E94D95BECAFF}"/>
            </c:ext>
          </c:extLst>
        </c:ser>
        <c:ser>
          <c:idx val="1"/>
          <c:order val="1"/>
          <c:tx>
            <c:v>Max accy_RightCorners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All!$CB$6:$CB$56</c:f>
              <c:numCache>
                <c:formatCode>General</c:formatCode>
                <c:ptCount val="51"/>
                <c:pt idx="0">
                  <c:v>3.5710000000000002</c:v>
                </c:pt>
                <c:pt idx="1">
                  <c:v>3.4</c:v>
                </c:pt>
                <c:pt idx="2">
                  <c:v>4.1769999999999996</c:v>
                </c:pt>
                <c:pt idx="3">
                  <c:v>3.5840000000000001</c:v>
                </c:pt>
                <c:pt idx="7">
                  <c:v>3.1160000000000001</c:v>
                </c:pt>
                <c:pt idx="8">
                  <c:v>3.6160000000000001</c:v>
                </c:pt>
                <c:pt idx="9">
                  <c:v>4.1769999999999996</c:v>
                </c:pt>
                <c:pt idx="10">
                  <c:v>3.7349999999999999</c:v>
                </c:pt>
                <c:pt idx="11">
                  <c:v>3.4550000000000001</c:v>
                </c:pt>
                <c:pt idx="12">
                  <c:v>3.3570000000000002</c:v>
                </c:pt>
                <c:pt idx="13">
                  <c:v>3.3580000000000001</c:v>
                </c:pt>
                <c:pt idx="17">
                  <c:v>3.1930000000000001</c:v>
                </c:pt>
                <c:pt idx="18">
                  <c:v>3.19</c:v>
                </c:pt>
                <c:pt idx="19">
                  <c:v>3.669</c:v>
                </c:pt>
                <c:pt idx="20">
                  <c:v>3.8919999999999999</c:v>
                </c:pt>
                <c:pt idx="21">
                  <c:v>3.5630000000000002</c:v>
                </c:pt>
                <c:pt idx="22">
                  <c:v>3.5350000000000001</c:v>
                </c:pt>
                <c:pt idx="26">
                  <c:v>3.0310000000000001</c:v>
                </c:pt>
                <c:pt idx="27">
                  <c:v>3.9460000000000002</c:v>
                </c:pt>
                <c:pt idx="28">
                  <c:v>3.548</c:v>
                </c:pt>
                <c:pt idx="29">
                  <c:v>3.9809999999999999</c:v>
                </c:pt>
                <c:pt idx="30">
                  <c:v>3.4769999999999999</c:v>
                </c:pt>
                <c:pt idx="31">
                  <c:v>2.9039999999999999</c:v>
                </c:pt>
                <c:pt idx="35">
                  <c:v>2.7010000000000001</c:v>
                </c:pt>
                <c:pt idx="36">
                  <c:v>3.1629999999999998</c:v>
                </c:pt>
                <c:pt idx="37">
                  <c:v>3.0750000000000002</c:v>
                </c:pt>
                <c:pt idx="38">
                  <c:v>2.1930000000000001</c:v>
                </c:pt>
                <c:pt idx="42">
                  <c:v>2.7509999999999999</c:v>
                </c:pt>
                <c:pt idx="43">
                  <c:v>4.1740000000000004</c:v>
                </c:pt>
                <c:pt idx="44">
                  <c:v>3.6469999999999998</c:v>
                </c:pt>
                <c:pt idx="45">
                  <c:v>4.1769999999999996</c:v>
                </c:pt>
                <c:pt idx="46">
                  <c:v>3.4129999999999998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37-40FD-A1E8-E94D95BEC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1287536"/>
        <c:axId val="1291298768"/>
      </c:scatterChart>
      <c:valAx>
        <c:axId val="1291287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1298768"/>
        <c:crosses val="autoZero"/>
        <c:crossBetween val="midCat"/>
      </c:valAx>
      <c:valAx>
        <c:axId val="1291298768"/>
        <c:scaling>
          <c:orientation val="minMax"/>
          <c:max val="4.5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1287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HS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HS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All!$DF$6:$DF$56</c:f>
              <c:numCache>
                <c:formatCode>General</c:formatCode>
                <c:ptCount val="51"/>
                <c:pt idx="0">
                  <c:v>0.106</c:v>
                </c:pt>
                <c:pt idx="1">
                  <c:v>5.8000000000000003E-2</c:v>
                </c:pt>
                <c:pt idx="2">
                  <c:v>6.8000000000000005E-2</c:v>
                </c:pt>
                <c:pt idx="3">
                  <c:v>6.4000000000000001E-2</c:v>
                </c:pt>
                <c:pt idx="7">
                  <c:v>0.125</c:v>
                </c:pt>
                <c:pt idx="8">
                  <c:v>0.114</c:v>
                </c:pt>
                <c:pt idx="9">
                  <c:v>0.113</c:v>
                </c:pt>
                <c:pt idx="10">
                  <c:v>0.13600000000000001</c:v>
                </c:pt>
                <c:pt idx="11">
                  <c:v>0.121</c:v>
                </c:pt>
                <c:pt idx="12">
                  <c:v>0.15</c:v>
                </c:pt>
                <c:pt idx="13">
                  <c:v>0.123</c:v>
                </c:pt>
                <c:pt idx="17">
                  <c:v>0.11600000000000001</c:v>
                </c:pt>
                <c:pt idx="18">
                  <c:v>0.157</c:v>
                </c:pt>
                <c:pt idx="19">
                  <c:v>0.20799999999999999</c:v>
                </c:pt>
                <c:pt idx="20">
                  <c:v>0.18099999999999999</c:v>
                </c:pt>
                <c:pt idx="21">
                  <c:v>0.16800000000000001</c:v>
                </c:pt>
                <c:pt idx="22">
                  <c:v>0.126</c:v>
                </c:pt>
                <c:pt idx="26">
                  <c:v>9.7000000000000003E-2</c:v>
                </c:pt>
                <c:pt idx="27">
                  <c:v>0.14699999999999999</c:v>
                </c:pt>
                <c:pt idx="28">
                  <c:v>0.14599999999999999</c:v>
                </c:pt>
                <c:pt idx="29">
                  <c:v>0.104</c:v>
                </c:pt>
                <c:pt idx="30">
                  <c:v>0.17100000000000001</c:v>
                </c:pt>
                <c:pt idx="31">
                  <c:v>5.0999999999999997E-2</c:v>
                </c:pt>
                <c:pt idx="35">
                  <c:v>5.6000000000000001E-2</c:v>
                </c:pt>
                <c:pt idx="36">
                  <c:v>0.17599999999999999</c:v>
                </c:pt>
                <c:pt idx="37">
                  <c:v>0.13300000000000001</c:v>
                </c:pt>
                <c:pt idx="38">
                  <c:v>5.5E-2</c:v>
                </c:pt>
                <c:pt idx="42">
                  <c:v>1.7999999999999999E-2</c:v>
                </c:pt>
                <c:pt idx="43">
                  <c:v>0.109</c:v>
                </c:pt>
                <c:pt idx="44">
                  <c:v>0.187</c:v>
                </c:pt>
                <c:pt idx="45">
                  <c:v>0.14899999999999999</c:v>
                </c:pt>
                <c:pt idx="46">
                  <c:v>0.13500000000000001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16-44DA-B352-0E32578B6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1288368"/>
        <c:axId val="1291285872"/>
      </c:scatterChart>
      <c:valAx>
        <c:axId val="1291288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1285872"/>
        <c:crosses val="autoZero"/>
        <c:crossBetween val="midCat"/>
      </c:valAx>
      <c:valAx>
        <c:axId val="129128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1288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LS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LS Entry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All!$DG$6:$DG$56</c:f>
              <c:numCache>
                <c:formatCode>General</c:formatCode>
                <c:ptCount val="51"/>
                <c:pt idx="0">
                  <c:v>0.193</c:v>
                </c:pt>
                <c:pt idx="1">
                  <c:v>0.375</c:v>
                </c:pt>
                <c:pt idx="2">
                  <c:v>0.433</c:v>
                </c:pt>
                <c:pt idx="3">
                  <c:v>0.218</c:v>
                </c:pt>
                <c:pt idx="7">
                  <c:v>0.109</c:v>
                </c:pt>
                <c:pt idx="8">
                  <c:v>0.55100000000000005</c:v>
                </c:pt>
                <c:pt idx="9">
                  <c:v>0.58699999999999997</c:v>
                </c:pt>
                <c:pt idx="10">
                  <c:v>0.50900000000000001</c:v>
                </c:pt>
                <c:pt idx="11">
                  <c:v>0.84399999999999997</c:v>
                </c:pt>
                <c:pt idx="12">
                  <c:v>1.04</c:v>
                </c:pt>
                <c:pt idx="13">
                  <c:v>0.57199999999999995</c:v>
                </c:pt>
                <c:pt idx="17">
                  <c:v>0.60899999999999999</c:v>
                </c:pt>
                <c:pt idx="18">
                  <c:v>1.302</c:v>
                </c:pt>
                <c:pt idx="19">
                  <c:v>0.88</c:v>
                </c:pt>
                <c:pt idx="20">
                  <c:v>1.071</c:v>
                </c:pt>
                <c:pt idx="21">
                  <c:v>1.079</c:v>
                </c:pt>
                <c:pt idx="22">
                  <c:v>0.35899999999999999</c:v>
                </c:pt>
                <c:pt idx="26">
                  <c:v>0.33800000000000002</c:v>
                </c:pt>
                <c:pt idx="27">
                  <c:v>0.11</c:v>
                </c:pt>
                <c:pt idx="28">
                  <c:v>0.71</c:v>
                </c:pt>
                <c:pt idx="29">
                  <c:v>0.505</c:v>
                </c:pt>
                <c:pt idx="30">
                  <c:v>1.0920000000000001</c:v>
                </c:pt>
                <c:pt idx="31">
                  <c:v>0.36199999999999999</c:v>
                </c:pt>
                <c:pt idx="35">
                  <c:v>0.28799999999999998</c:v>
                </c:pt>
                <c:pt idx="36">
                  <c:v>1.101</c:v>
                </c:pt>
                <c:pt idx="37">
                  <c:v>0.58599999999999997</c:v>
                </c:pt>
                <c:pt idx="38">
                  <c:v>0.373</c:v>
                </c:pt>
                <c:pt idx="42">
                  <c:v>0.28399999999999997</c:v>
                </c:pt>
                <c:pt idx="43">
                  <c:v>1.2210000000000001</c:v>
                </c:pt>
                <c:pt idx="44">
                  <c:v>1.3089999999999999</c:v>
                </c:pt>
                <c:pt idx="45">
                  <c:v>0.91700000000000004</c:v>
                </c:pt>
                <c:pt idx="46">
                  <c:v>0.35899999999999999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0E-46EB-8007-D2B25353B768}"/>
            </c:ext>
          </c:extLst>
        </c:ser>
        <c:ser>
          <c:idx val="1"/>
          <c:order val="1"/>
          <c:tx>
            <c:v>Understeer USOS LS Mid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All!$DH$6:$DH$56</c:f>
              <c:numCache>
                <c:formatCode>General</c:formatCode>
                <c:ptCount val="51"/>
                <c:pt idx="0">
                  <c:v>0.90300000000000002</c:v>
                </c:pt>
                <c:pt idx="1">
                  <c:v>2.077</c:v>
                </c:pt>
                <c:pt idx="2">
                  <c:v>1.8819999999999999</c:v>
                </c:pt>
                <c:pt idx="3">
                  <c:v>1.9259999999999999</c:v>
                </c:pt>
                <c:pt idx="7">
                  <c:v>2.149</c:v>
                </c:pt>
                <c:pt idx="8">
                  <c:v>2.35</c:v>
                </c:pt>
                <c:pt idx="9">
                  <c:v>2.448</c:v>
                </c:pt>
                <c:pt idx="10">
                  <c:v>2.589</c:v>
                </c:pt>
                <c:pt idx="11">
                  <c:v>2.2570000000000001</c:v>
                </c:pt>
                <c:pt idx="12">
                  <c:v>1.905</c:v>
                </c:pt>
                <c:pt idx="13">
                  <c:v>1.901</c:v>
                </c:pt>
                <c:pt idx="17">
                  <c:v>2.16</c:v>
                </c:pt>
                <c:pt idx="18">
                  <c:v>2.5470000000000002</c:v>
                </c:pt>
                <c:pt idx="19">
                  <c:v>2.6419999999999999</c:v>
                </c:pt>
                <c:pt idx="20">
                  <c:v>2.7850000000000001</c:v>
                </c:pt>
                <c:pt idx="21">
                  <c:v>2.669</c:v>
                </c:pt>
                <c:pt idx="22">
                  <c:v>2.3149999999999999</c:v>
                </c:pt>
                <c:pt idx="26">
                  <c:v>1.266</c:v>
                </c:pt>
                <c:pt idx="27">
                  <c:v>1.875</c:v>
                </c:pt>
                <c:pt idx="28">
                  <c:v>1.8460000000000001</c:v>
                </c:pt>
                <c:pt idx="29">
                  <c:v>1.8129999999999999</c:v>
                </c:pt>
                <c:pt idx="30">
                  <c:v>2.2989999999999999</c:v>
                </c:pt>
                <c:pt idx="31">
                  <c:v>1.482</c:v>
                </c:pt>
                <c:pt idx="35">
                  <c:v>2.0699999999999998</c:v>
                </c:pt>
                <c:pt idx="36">
                  <c:v>1.891</c:v>
                </c:pt>
                <c:pt idx="37">
                  <c:v>1.66</c:v>
                </c:pt>
                <c:pt idx="38">
                  <c:v>1.367</c:v>
                </c:pt>
                <c:pt idx="42">
                  <c:v>2.1</c:v>
                </c:pt>
                <c:pt idx="43">
                  <c:v>3.7</c:v>
                </c:pt>
                <c:pt idx="44">
                  <c:v>2.4369999999999998</c:v>
                </c:pt>
                <c:pt idx="45">
                  <c:v>2.4260000000000002</c:v>
                </c:pt>
                <c:pt idx="46">
                  <c:v>1.8049999999999999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0E-46EB-8007-D2B25353B768}"/>
            </c:ext>
          </c:extLst>
        </c:ser>
        <c:ser>
          <c:idx val="2"/>
          <c:order val="2"/>
          <c:tx>
            <c:v>Understeer USOS LS Exit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All!$DI$6:$DI$56</c:f>
              <c:numCache>
                <c:formatCode>General</c:formatCode>
                <c:ptCount val="51"/>
                <c:pt idx="0">
                  <c:v>0.97299999999999998</c:v>
                </c:pt>
                <c:pt idx="1">
                  <c:v>1.0880000000000001</c:v>
                </c:pt>
                <c:pt idx="2">
                  <c:v>0.91200000000000003</c:v>
                </c:pt>
                <c:pt idx="3">
                  <c:v>0.80500000000000005</c:v>
                </c:pt>
                <c:pt idx="7">
                  <c:v>1.21</c:v>
                </c:pt>
                <c:pt idx="8">
                  <c:v>1.369</c:v>
                </c:pt>
                <c:pt idx="9">
                  <c:v>1.3879999999999999</c:v>
                </c:pt>
                <c:pt idx="10">
                  <c:v>1.49</c:v>
                </c:pt>
                <c:pt idx="11">
                  <c:v>1.1479999999999999</c:v>
                </c:pt>
                <c:pt idx="12">
                  <c:v>1.252</c:v>
                </c:pt>
                <c:pt idx="13">
                  <c:v>1.131</c:v>
                </c:pt>
                <c:pt idx="17">
                  <c:v>1.0780000000000001</c:v>
                </c:pt>
                <c:pt idx="18">
                  <c:v>1.304</c:v>
                </c:pt>
                <c:pt idx="19">
                  <c:v>1.3140000000000001</c:v>
                </c:pt>
                <c:pt idx="20">
                  <c:v>1.2549999999999999</c:v>
                </c:pt>
                <c:pt idx="21">
                  <c:v>1.415</c:v>
                </c:pt>
                <c:pt idx="22">
                  <c:v>1.0369999999999999</c:v>
                </c:pt>
                <c:pt idx="26">
                  <c:v>0.95399999999999996</c:v>
                </c:pt>
                <c:pt idx="27">
                  <c:v>1.25</c:v>
                </c:pt>
                <c:pt idx="28">
                  <c:v>1.319</c:v>
                </c:pt>
                <c:pt idx="29">
                  <c:v>1.2929999999999999</c:v>
                </c:pt>
                <c:pt idx="30">
                  <c:v>1.3</c:v>
                </c:pt>
                <c:pt idx="31">
                  <c:v>0.999</c:v>
                </c:pt>
                <c:pt idx="35">
                  <c:v>1.075</c:v>
                </c:pt>
                <c:pt idx="36">
                  <c:v>1.1120000000000001</c:v>
                </c:pt>
                <c:pt idx="37">
                  <c:v>0.94199999999999995</c:v>
                </c:pt>
                <c:pt idx="38">
                  <c:v>0.61899999999999999</c:v>
                </c:pt>
                <c:pt idx="42">
                  <c:v>0.71299999999999997</c:v>
                </c:pt>
                <c:pt idx="43">
                  <c:v>0.68200000000000005</c:v>
                </c:pt>
                <c:pt idx="44">
                  <c:v>1.056</c:v>
                </c:pt>
                <c:pt idx="45">
                  <c:v>1.0620000000000001</c:v>
                </c:pt>
                <c:pt idx="46">
                  <c:v>0.93799999999999994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0E-46EB-8007-D2B25353B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511520"/>
        <c:axId val="1214513184"/>
      </c:scatterChart>
      <c:valAx>
        <c:axId val="1214511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4513184"/>
        <c:crosses val="autoZero"/>
        <c:crossBetween val="midCat"/>
      </c:valAx>
      <c:valAx>
        <c:axId val="121451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4511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MS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MS Entry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All!$DJ$6:$DJ$56</c:f>
              <c:numCache>
                <c:formatCode>General</c:formatCode>
                <c:ptCount val="51"/>
                <c:pt idx="0">
                  <c:v>0.129</c:v>
                </c:pt>
                <c:pt idx="1">
                  <c:v>0.11700000000000001</c:v>
                </c:pt>
                <c:pt idx="2">
                  <c:v>6.4000000000000001E-2</c:v>
                </c:pt>
                <c:pt idx="3">
                  <c:v>-6.6000000000000003E-2</c:v>
                </c:pt>
                <c:pt idx="7">
                  <c:v>0.21</c:v>
                </c:pt>
                <c:pt idx="8">
                  <c:v>0.14599999999999999</c:v>
                </c:pt>
                <c:pt idx="9">
                  <c:v>7.5999999999999998E-2</c:v>
                </c:pt>
                <c:pt idx="10">
                  <c:v>0.17499999999999999</c:v>
                </c:pt>
                <c:pt idx="11">
                  <c:v>0.215</c:v>
                </c:pt>
                <c:pt idx="12">
                  <c:v>0.17499999999999999</c:v>
                </c:pt>
                <c:pt idx="13">
                  <c:v>0.11799999999999999</c:v>
                </c:pt>
                <c:pt idx="17">
                  <c:v>0.17599999999999999</c:v>
                </c:pt>
                <c:pt idx="18">
                  <c:v>0.27800000000000002</c:v>
                </c:pt>
                <c:pt idx="19">
                  <c:v>0.19400000000000001</c:v>
                </c:pt>
                <c:pt idx="20">
                  <c:v>0.27200000000000002</c:v>
                </c:pt>
                <c:pt idx="21">
                  <c:v>0.33300000000000002</c:v>
                </c:pt>
                <c:pt idx="22">
                  <c:v>0.17899999999999999</c:v>
                </c:pt>
                <c:pt idx="26">
                  <c:v>0.20399999999999999</c:v>
                </c:pt>
                <c:pt idx="27">
                  <c:v>0.38500000000000001</c:v>
                </c:pt>
                <c:pt idx="28">
                  <c:v>0.29599999999999999</c:v>
                </c:pt>
                <c:pt idx="29">
                  <c:v>0.26800000000000002</c:v>
                </c:pt>
                <c:pt idx="30">
                  <c:v>0.308</c:v>
                </c:pt>
                <c:pt idx="31">
                  <c:v>0.26700000000000002</c:v>
                </c:pt>
                <c:pt idx="35">
                  <c:v>0.28999999999999998</c:v>
                </c:pt>
                <c:pt idx="36">
                  <c:v>0.27400000000000002</c:v>
                </c:pt>
                <c:pt idx="37">
                  <c:v>0.35899999999999999</c:v>
                </c:pt>
                <c:pt idx="38">
                  <c:v>0.126</c:v>
                </c:pt>
                <c:pt idx="42">
                  <c:v>0.189</c:v>
                </c:pt>
                <c:pt idx="43">
                  <c:v>0.11899999999999999</c:v>
                </c:pt>
                <c:pt idx="44">
                  <c:v>0.38500000000000001</c:v>
                </c:pt>
                <c:pt idx="45">
                  <c:v>0.30099999999999999</c:v>
                </c:pt>
                <c:pt idx="46">
                  <c:v>0.20200000000000001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B0-4728-9E54-04CB7F5B4A37}"/>
            </c:ext>
          </c:extLst>
        </c:ser>
        <c:ser>
          <c:idx val="1"/>
          <c:order val="1"/>
          <c:tx>
            <c:v>Understeer USOS MS Exit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All!$DK$6:$DK$56</c:f>
              <c:numCache>
                <c:formatCode>General</c:formatCode>
                <c:ptCount val="51"/>
                <c:pt idx="0">
                  <c:v>0.93700000000000006</c:v>
                </c:pt>
                <c:pt idx="1">
                  <c:v>0.79300000000000004</c:v>
                </c:pt>
                <c:pt idx="2">
                  <c:v>0.72</c:v>
                </c:pt>
                <c:pt idx="3">
                  <c:v>0.51700000000000002</c:v>
                </c:pt>
                <c:pt idx="7">
                  <c:v>0.88200000000000001</c:v>
                </c:pt>
                <c:pt idx="8">
                  <c:v>0.82899999999999996</c:v>
                </c:pt>
                <c:pt idx="9">
                  <c:v>0.80400000000000005</c:v>
                </c:pt>
                <c:pt idx="10">
                  <c:v>0.79700000000000004</c:v>
                </c:pt>
                <c:pt idx="11">
                  <c:v>0.90400000000000003</c:v>
                </c:pt>
                <c:pt idx="12">
                  <c:v>0.93200000000000005</c:v>
                </c:pt>
                <c:pt idx="13">
                  <c:v>0.876</c:v>
                </c:pt>
                <c:pt idx="17">
                  <c:v>0.82199999999999995</c:v>
                </c:pt>
                <c:pt idx="18">
                  <c:v>1.0860000000000001</c:v>
                </c:pt>
                <c:pt idx="19">
                  <c:v>1.2230000000000001</c:v>
                </c:pt>
                <c:pt idx="20">
                  <c:v>0.91100000000000003</c:v>
                </c:pt>
                <c:pt idx="21">
                  <c:v>1.244</c:v>
                </c:pt>
                <c:pt idx="22">
                  <c:v>0.79600000000000004</c:v>
                </c:pt>
                <c:pt idx="26">
                  <c:v>0.78500000000000003</c:v>
                </c:pt>
                <c:pt idx="27">
                  <c:v>1.2789999999999999</c:v>
                </c:pt>
                <c:pt idx="28">
                  <c:v>1.238</c:v>
                </c:pt>
                <c:pt idx="29">
                  <c:v>0.90800000000000003</c:v>
                </c:pt>
                <c:pt idx="30">
                  <c:v>1.3839999999999999</c:v>
                </c:pt>
                <c:pt idx="31">
                  <c:v>0.83899999999999997</c:v>
                </c:pt>
                <c:pt idx="35">
                  <c:v>0.80500000000000005</c:v>
                </c:pt>
                <c:pt idx="36">
                  <c:v>0.76900000000000002</c:v>
                </c:pt>
                <c:pt idx="37">
                  <c:v>1.071</c:v>
                </c:pt>
                <c:pt idx="38">
                  <c:v>0.79800000000000004</c:v>
                </c:pt>
                <c:pt idx="42">
                  <c:v>0.876</c:v>
                </c:pt>
                <c:pt idx="43">
                  <c:v>1.0109999999999999</c:v>
                </c:pt>
                <c:pt idx="44">
                  <c:v>0.98699999999999999</c:v>
                </c:pt>
                <c:pt idx="45">
                  <c:v>1.1319999999999999</c:v>
                </c:pt>
                <c:pt idx="46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B0-4728-9E54-04CB7F5B4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510272"/>
        <c:axId val="1214506528"/>
      </c:scatterChart>
      <c:valAx>
        <c:axId val="121451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4506528"/>
        <c:crosses val="autoZero"/>
        <c:crossBetween val="midCat"/>
      </c:valAx>
      <c:valAx>
        <c:axId val="121450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4510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HS Bump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Damper_HS_Bump_FL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All!$DT$6:$DT$56</c:f>
              <c:numCache>
                <c:formatCode>General</c:formatCode>
                <c:ptCount val="51"/>
                <c:pt idx="0">
                  <c:v>0.62</c:v>
                </c:pt>
                <c:pt idx="1">
                  <c:v>5.54</c:v>
                </c:pt>
                <c:pt idx="2">
                  <c:v>6.17</c:v>
                </c:pt>
                <c:pt idx="3">
                  <c:v>5.94</c:v>
                </c:pt>
                <c:pt idx="7">
                  <c:v>4.17</c:v>
                </c:pt>
                <c:pt idx="8">
                  <c:v>6.35</c:v>
                </c:pt>
                <c:pt idx="9">
                  <c:v>6.69</c:v>
                </c:pt>
                <c:pt idx="10">
                  <c:v>6.65</c:v>
                </c:pt>
                <c:pt idx="11">
                  <c:v>5.85</c:v>
                </c:pt>
                <c:pt idx="12">
                  <c:v>6.42</c:v>
                </c:pt>
                <c:pt idx="13">
                  <c:v>5.55</c:v>
                </c:pt>
                <c:pt idx="17">
                  <c:v>2.2799999999999998</c:v>
                </c:pt>
                <c:pt idx="18">
                  <c:v>6.6</c:v>
                </c:pt>
                <c:pt idx="19">
                  <c:v>7.26</c:v>
                </c:pt>
                <c:pt idx="20">
                  <c:v>7.28</c:v>
                </c:pt>
                <c:pt idx="21">
                  <c:v>6.99</c:v>
                </c:pt>
                <c:pt idx="22">
                  <c:v>5.79</c:v>
                </c:pt>
                <c:pt idx="26">
                  <c:v>4.67</c:v>
                </c:pt>
                <c:pt idx="27">
                  <c:v>5.95</c:v>
                </c:pt>
                <c:pt idx="28">
                  <c:v>6.77</c:v>
                </c:pt>
                <c:pt idx="29">
                  <c:v>6.27</c:v>
                </c:pt>
                <c:pt idx="30">
                  <c:v>7.32</c:v>
                </c:pt>
                <c:pt idx="31">
                  <c:v>4.57</c:v>
                </c:pt>
                <c:pt idx="35">
                  <c:v>0.75</c:v>
                </c:pt>
                <c:pt idx="36">
                  <c:v>5.86</c:v>
                </c:pt>
                <c:pt idx="37">
                  <c:v>5.0999999999999996</c:v>
                </c:pt>
                <c:pt idx="38">
                  <c:v>1.36</c:v>
                </c:pt>
                <c:pt idx="42">
                  <c:v>2.59</c:v>
                </c:pt>
                <c:pt idx="43">
                  <c:v>2.58</c:v>
                </c:pt>
                <c:pt idx="44">
                  <c:v>6.35</c:v>
                </c:pt>
                <c:pt idx="45">
                  <c:v>6.58</c:v>
                </c:pt>
                <c:pt idx="46">
                  <c:v>5.29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AF-4890-B838-B872DA2E2AC3}"/>
            </c:ext>
          </c:extLst>
        </c:ser>
        <c:ser>
          <c:idx val="1"/>
          <c:order val="1"/>
          <c:tx>
            <c:v>Max Damper_HS_Bump_FR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All!$DU$6:$DU$56</c:f>
              <c:numCache>
                <c:formatCode>General</c:formatCode>
                <c:ptCount val="51"/>
                <c:pt idx="0">
                  <c:v>0.63</c:v>
                </c:pt>
                <c:pt idx="1">
                  <c:v>5.12</c:v>
                </c:pt>
                <c:pt idx="2">
                  <c:v>6.32</c:v>
                </c:pt>
                <c:pt idx="3">
                  <c:v>5.82</c:v>
                </c:pt>
                <c:pt idx="7">
                  <c:v>4.1399999999999997</c:v>
                </c:pt>
                <c:pt idx="8">
                  <c:v>6.16</c:v>
                </c:pt>
                <c:pt idx="9">
                  <c:v>6.01</c:v>
                </c:pt>
                <c:pt idx="10">
                  <c:v>6.24</c:v>
                </c:pt>
                <c:pt idx="11">
                  <c:v>5.39</c:v>
                </c:pt>
                <c:pt idx="12">
                  <c:v>5.57</c:v>
                </c:pt>
                <c:pt idx="13">
                  <c:v>5.44</c:v>
                </c:pt>
                <c:pt idx="17">
                  <c:v>2.41</c:v>
                </c:pt>
                <c:pt idx="18">
                  <c:v>6.22</c:v>
                </c:pt>
                <c:pt idx="19">
                  <c:v>6.74</c:v>
                </c:pt>
                <c:pt idx="20">
                  <c:v>6.68</c:v>
                </c:pt>
                <c:pt idx="21">
                  <c:v>6.83</c:v>
                </c:pt>
                <c:pt idx="22">
                  <c:v>5.67</c:v>
                </c:pt>
                <c:pt idx="26">
                  <c:v>4.8099999999999996</c:v>
                </c:pt>
                <c:pt idx="27">
                  <c:v>5.77</c:v>
                </c:pt>
                <c:pt idx="28">
                  <c:v>6.15</c:v>
                </c:pt>
                <c:pt idx="29">
                  <c:v>6</c:v>
                </c:pt>
                <c:pt idx="30">
                  <c:v>6.96</c:v>
                </c:pt>
                <c:pt idx="31">
                  <c:v>5.2</c:v>
                </c:pt>
                <c:pt idx="35">
                  <c:v>0.84</c:v>
                </c:pt>
                <c:pt idx="36">
                  <c:v>6.08</c:v>
                </c:pt>
                <c:pt idx="37">
                  <c:v>4.9800000000000004</c:v>
                </c:pt>
                <c:pt idx="38">
                  <c:v>1.61</c:v>
                </c:pt>
                <c:pt idx="42">
                  <c:v>2.69</c:v>
                </c:pt>
                <c:pt idx="43">
                  <c:v>2.6</c:v>
                </c:pt>
                <c:pt idx="44">
                  <c:v>5.97</c:v>
                </c:pt>
                <c:pt idx="45">
                  <c:v>6.54</c:v>
                </c:pt>
                <c:pt idx="46">
                  <c:v>4.87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AF-4890-B838-B872DA2E2AC3}"/>
            </c:ext>
          </c:extLst>
        </c:ser>
        <c:ser>
          <c:idx val="2"/>
          <c:order val="2"/>
          <c:tx>
            <c:v>Max Damper_HS_Bump_RL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All!$DV$6:$DV$56</c:f>
              <c:numCache>
                <c:formatCode>General</c:formatCode>
                <c:ptCount val="51"/>
                <c:pt idx="0">
                  <c:v>1.34</c:v>
                </c:pt>
                <c:pt idx="1">
                  <c:v>11.67</c:v>
                </c:pt>
                <c:pt idx="2">
                  <c:v>14.12</c:v>
                </c:pt>
                <c:pt idx="3">
                  <c:v>12.69</c:v>
                </c:pt>
                <c:pt idx="7">
                  <c:v>8.68</c:v>
                </c:pt>
                <c:pt idx="8">
                  <c:v>13.33</c:v>
                </c:pt>
                <c:pt idx="9">
                  <c:v>13.64</c:v>
                </c:pt>
                <c:pt idx="10">
                  <c:v>13.78</c:v>
                </c:pt>
                <c:pt idx="11">
                  <c:v>11.12</c:v>
                </c:pt>
                <c:pt idx="12">
                  <c:v>13.04</c:v>
                </c:pt>
                <c:pt idx="13">
                  <c:v>11.81</c:v>
                </c:pt>
                <c:pt idx="17">
                  <c:v>4.8099999999999996</c:v>
                </c:pt>
                <c:pt idx="18">
                  <c:v>12.98</c:v>
                </c:pt>
                <c:pt idx="19">
                  <c:v>14.29</c:v>
                </c:pt>
                <c:pt idx="20">
                  <c:v>13.84</c:v>
                </c:pt>
                <c:pt idx="21">
                  <c:v>13.74</c:v>
                </c:pt>
                <c:pt idx="22">
                  <c:v>11.68</c:v>
                </c:pt>
                <c:pt idx="26">
                  <c:v>9.51</c:v>
                </c:pt>
                <c:pt idx="27">
                  <c:v>11.98</c:v>
                </c:pt>
                <c:pt idx="28">
                  <c:v>12.9</c:v>
                </c:pt>
                <c:pt idx="29">
                  <c:v>12.27</c:v>
                </c:pt>
                <c:pt idx="30">
                  <c:v>13.5</c:v>
                </c:pt>
                <c:pt idx="31">
                  <c:v>9.93</c:v>
                </c:pt>
                <c:pt idx="35">
                  <c:v>1.91</c:v>
                </c:pt>
                <c:pt idx="36">
                  <c:v>14.4</c:v>
                </c:pt>
                <c:pt idx="37">
                  <c:v>13.22</c:v>
                </c:pt>
                <c:pt idx="38">
                  <c:v>4.21</c:v>
                </c:pt>
                <c:pt idx="42">
                  <c:v>5.5</c:v>
                </c:pt>
                <c:pt idx="43">
                  <c:v>6.06</c:v>
                </c:pt>
                <c:pt idx="44">
                  <c:v>14.62</c:v>
                </c:pt>
                <c:pt idx="45">
                  <c:v>15.79</c:v>
                </c:pt>
                <c:pt idx="46">
                  <c:v>13.32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AF-4890-B838-B872DA2E2AC3}"/>
            </c:ext>
          </c:extLst>
        </c:ser>
        <c:ser>
          <c:idx val="3"/>
          <c:order val="3"/>
          <c:tx>
            <c:v>Max Damper_HS_Bump_RR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All!$DW$6:$DW$56</c:f>
              <c:numCache>
                <c:formatCode>General</c:formatCode>
                <c:ptCount val="51"/>
                <c:pt idx="0">
                  <c:v>1.32</c:v>
                </c:pt>
                <c:pt idx="1">
                  <c:v>10.11</c:v>
                </c:pt>
                <c:pt idx="2">
                  <c:v>12.05</c:v>
                </c:pt>
                <c:pt idx="3">
                  <c:v>11.13</c:v>
                </c:pt>
                <c:pt idx="7">
                  <c:v>7.83</c:v>
                </c:pt>
                <c:pt idx="8">
                  <c:v>11.41</c:v>
                </c:pt>
                <c:pt idx="9">
                  <c:v>11</c:v>
                </c:pt>
                <c:pt idx="10">
                  <c:v>11.69</c:v>
                </c:pt>
                <c:pt idx="11">
                  <c:v>9.5</c:v>
                </c:pt>
                <c:pt idx="12">
                  <c:v>10.89</c:v>
                </c:pt>
                <c:pt idx="13">
                  <c:v>9.89</c:v>
                </c:pt>
                <c:pt idx="17">
                  <c:v>4.25</c:v>
                </c:pt>
                <c:pt idx="18">
                  <c:v>11.11</c:v>
                </c:pt>
                <c:pt idx="19">
                  <c:v>12.15</c:v>
                </c:pt>
                <c:pt idx="20">
                  <c:v>11.94</c:v>
                </c:pt>
                <c:pt idx="21">
                  <c:v>11.33</c:v>
                </c:pt>
                <c:pt idx="22">
                  <c:v>9.8699999999999992</c:v>
                </c:pt>
                <c:pt idx="26">
                  <c:v>8.18</c:v>
                </c:pt>
                <c:pt idx="27">
                  <c:v>9.9499999999999993</c:v>
                </c:pt>
                <c:pt idx="28">
                  <c:v>10.7</c:v>
                </c:pt>
                <c:pt idx="29">
                  <c:v>9.98</c:v>
                </c:pt>
                <c:pt idx="30">
                  <c:v>11.09</c:v>
                </c:pt>
                <c:pt idx="31">
                  <c:v>8.26</c:v>
                </c:pt>
                <c:pt idx="35">
                  <c:v>1.68</c:v>
                </c:pt>
                <c:pt idx="36">
                  <c:v>12.26</c:v>
                </c:pt>
                <c:pt idx="37">
                  <c:v>11.24</c:v>
                </c:pt>
                <c:pt idx="38">
                  <c:v>3.84</c:v>
                </c:pt>
                <c:pt idx="42">
                  <c:v>5.01</c:v>
                </c:pt>
                <c:pt idx="43">
                  <c:v>5.46</c:v>
                </c:pt>
                <c:pt idx="44">
                  <c:v>12.69</c:v>
                </c:pt>
                <c:pt idx="45">
                  <c:v>13.51</c:v>
                </c:pt>
                <c:pt idx="46">
                  <c:v>11.44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CAF-4890-B838-B872DA2E2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510688"/>
        <c:axId val="1214511104"/>
      </c:scatterChart>
      <c:valAx>
        <c:axId val="1214510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4511104"/>
        <c:crosses val="autoZero"/>
        <c:crossBetween val="midCat"/>
      </c:valAx>
      <c:valAx>
        <c:axId val="121451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4510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HS Rebound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Damper_HS_Rebound_FL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All!$DX$6:$DX$56</c:f>
              <c:numCache>
                <c:formatCode>General</c:formatCode>
                <c:ptCount val="51"/>
                <c:pt idx="0">
                  <c:v>0.66</c:v>
                </c:pt>
                <c:pt idx="1">
                  <c:v>5.8</c:v>
                </c:pt>
                <c:pt idx="2">
                  <c:v>6.37</c:v>
                </c:pt>
                <c:pt idx="3">
                  <c:v>6.11</c:v>
                </c:pt>
                <c:pt idx="7">
                  <c:v>4.21</c:v>
                </c:pt>
                <c:pt idx="8">
                  <c:v>6.69</c:v>
                </c:pt>
                <c:pt idx="9">
                  <c:v>6.97</c:v>
                </c:pt>
                <c:pt idx="10">
                  <c:v>6.87</c:v>
                </c:pt>
                <c:pt idx="11">
                  <c:v>6.04</c:v>
                </c:pt>
                <c:pt idx="12">
                  <c:v>6.74</c:v>
                </c:pt>
                <c:pt idx="13">
                  <c:v>5.75</c:v>
                </c:pt>
                <c:pt idx="17">
                  <c:v>2.4700000000000002</c:v>
                </c:pt>
                <c:pt idx="18">
                  <c:v>7.05</c:v>
                </c:pt>
                <c:pt idx="19">
                  <c:v>7.69</c:v>
                </c:pt>
                <c:pt idx="20">
                  <c:v>7.44</c:v>
                </c:pt>
                <c:pt idx="21">
                  <c:v>7.2</c:v>
                </c:pt>
                <c:pt idx="22">
                  <c:v>5.99</c:v>
                </c:pt>
                <c:pt idx="26">
                  <c:v>5.05</c:v>
                </c:pt>
                <c:pt idx="27">
                  <c:v>6.22</c:v>
                </c:pt>
                <c:pt idx="28">
                  <c:v>6.97</c:v>
                </c:pt>
                <c:pt idx="29">
                  <c:v>6.6</c:v>
                </c:pt>
                <c:pt idx="30">
                  <c:v>7.64</c:v>
                </c:pt>
                <c:pt idx="31">
                  <c:v>4.8099999999999996</c:v>
                </c:pt>
                <c:pt idx="35">
                  <c:v>0.79</c:v>
                </c:pt>
                <c:pt idx="36">
                  <c:v>6.34</c:v>
                </c:pt>
                <c:pt idx="37">
                  <c:v>5.3</c:v>
                </c:pt>
                <c:pt idx="38">
                  <c:v>1.45</c:v>
                </c:pt>
                <c:pt idx="42">
                  <c:v>2.64</c:v>
                </c:pt>
                <c:pt idx="43">
                  <c:v>2.63</c:v>
                </c:pt>
                <c:pt idx="44">
                  <c:v>6.48</c:v>
                </c:pt>
                <c:pt idx="45">
                  <c:v>6.66</c:v>
                </c:pt>
                <c:pt idx="46">
                  <c:v>5.52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89-430F-90EB-8B175FB3899E}"/>
            </c:ext>
          </c:extLst>
        </c:ser>
        <c:ser>
          <c:idx val="1"/>
          <c:order val="1"/>
          <c:tx>
            <c:v>Max Damper_HS_Rebound_FR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All!$DY$6:$DY$56</c:f>
              <c:numCache>
                <c:formatCode>General</c:formatCode>
                <c:ptCount val="51"/>
                <c:pt idx="0">
                  <c:v>0.65</c:v>
                </c:pt>
                <c:pt idx="1">
                  <c:v>5.0999999999999996</c:v>
                </c:pt>
                <c:pt idx="2">
                  <c:v>6.49</c:v>
                </c:pt>
                <c:pt idx="3">
                  <c:v>6.06</c:v>
                </c:pt>
                <c:pt idx="7">
                  <c:v>4.09</c:v>
                </c:pt>
                <c:pt idx="8">
                  <c:v>6.63</c:v>
                </c:pt>
                <c:pt idx="9">
                  <c:v>6.18</c:v>
                </c:pt>
                <c:pt idx="10">
                  <c:v>6.37</c:v>
                </c:pt>
                <c:pt idx="11">
                  <c:v>5.74</c:v>
                </c:pt>
                <c:pt idx="12">
                  <c:v>5.89</c:v>
                </c:pt>
                <c:pt idx="13">
                  <c:v>5.63</c:v>
                </c:pt>
                <c:pt idx="17">
                  <c:v>2.3199999999999998</c:v>
                </c:pt>
                <c:pt idx="18">
                  <c:v>6.62</c:v>
                </c:pt>
                <c:pt idx="19">
                  <c:v>7.31</c:v>
                </c:pt>
                <c:pt idx="20">
                  <c:v>7.13</c:v>
                </c:pt>
                <c:pt idx="21">
                  <c:v>6.92</c:v>
                </c:pt>
                <c:pt idx="22">
                  <c:v>6.02</c:v>
                </c:pt>
                <c:pt idx="26">
                  <c:v>4.76</c:v>
                </c:pt>
                <c:pt idx="27">
                  <c:v>5.68</c:v>
                </c:pt>
                <c:pt idx="28">
                  <c:v>6.34</c:v>
                </c:pt>
                <c:pt idx="29">
                  <c:v>6.17</c:v>
                </c:pt>
                <c:pt idx="30">
                  <c:v>7.13</c:v>
                </c:pt>
                <c:pt idx="31">
                  <c:v>5.33</c:v>
                </c:pt>
                <c:pt idx="35">
                  <c:v>0.83</c:v>
                </c:pt>
                <c:pt idx="36">
                  <c:v>6.45</c:v>
                </c:pt>
                <c:pt idx="37">
                  <c:v>5.33</c:v>
                </c:pt>
                <c:pt idx="38">
                  <c:v>1.65</c:v>
                </c:pt>
                <c:pt idx="42">
                  <c:v>2.57</c:v>
                </c:pt>
                <c:pt idx="43">
                  <c:v>2.73</c:v>
                </c:pt>
                <c:pt idx="44">
                  <c:v>6.29</c:v>
                </c:pt>
                <c:pt idx="45">
                  <c:v>6.99</c:v>
                </c:pt>
                <c:pt idx="46">
                  <c:v>5.01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89-430F-90EB-8B175FB3899E}"/>
            </c:ext>
          </c:extLst>
        </c:ser>
        <c:ser>
          <c:idx val="2"/>
          <c:order val="2"/>
          <c:tx>
            <c:v>Max Damper_HS_Rebound_RL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All!$DZ$6:$DZ$56</c:f>
              <c:numCache>
                <c:formatCode>General</c:formatCode>
                <c:ptCount val="51"/>
                <c:pt idx="0">
                  <c:v>1.22</c:v>
                </c:pt>
                <c:pt idx="1">
                  <c:v>11.1</c:v>
                </c:pt>
                <c:pt idx="2">
                  <c:v>13.37</c:v>
                </c:pt>
                <c:pt idx="3">
                  <c:v>12.2</c:v>
                </c:pt>
                <c:pt idx="7">
                  <c:v>8.2200000000000006</c:v>
                </c:pt>
                <c:pt idx="8">
                  <c:v>12.85</c:v>
                </c:pt>
                <c:pt idx="9">
                  <c:v>12.95</c:v>
                </c:pt>
                <c:pt idx="10">
                  <c:v>13.31</c:v>
                </c:pt>
                <c:pt idx="11">
                  <c:v>10.76</c:v>
                </c:pt>
                <c:pt idx="12">
                  <c:v>12.4</c:v>
                </c:pt>
                <c:pt idx="13">
                  <c:v>11.32</c:v>
                </c:pt>
                <c:pt idx="17">
                  <c:v>4.46</c:v>
                </c:pt>
                <c:pt idx="18">
                  <c:v>12.4</c:v>
                </c:pt>
                <c:pt idx="19">
                  <c:v>13.75</c:v>
                </c:pt>
                <c:pt idx="20">
                  <c:v>13.23</c:v>
                </c:pt>
                <c:pt idx="21">
                  <c:v>13.08</c:v>
                </c:pt>
                <c:pt idx="22">
                  <c:v>11.23</c:v>
                </c:pt>
                <c:pt idx="26">
                  <c:v>8.7200000000000006</c:v>
                </c:pt>
                <c:pt idx="27">
                  <c:v>11.19</c:v>
                </c:pt>
                <c:pt idx="28">
                  <c:v>12.03</c:v>
                </c:pt>
                <c:pt idx="29">
                  <c:v>11.64</c:v>
                </c:pt>
                <c:pt idx="30">
                  <c:v>13.14</c:v>
                </c:pt>
                <c:pt idx="31">
                  <c:v>9.44</c:v>
                </c:pt>
                <c:pt idx="35">
                  <c:v>1.82</c:v>
                </c:pt>
                <c:pt idx="36">
                  <c:v>14.12</c:v>
                </c:pt>
                <c:pt idx="37">
                  <c:v>12.66</c:v>
                </c:pt>
                <c:pt idx="38">
                  <c:v>3.84</c:v>
                </c:pt>
                <c:pt idx="42">
                  <c:v>5.23</c:v>
                </c:pt>
                <c:pt idx="43">
                  <c:v>5.82</c:v>
                </c:pt>
                <c:pt idx="44">
                  <c:v>14.15</c:v>
                </c:pt>
                <c:pt idx="45">
                  <c:v>15.72</c:v>
                </c:pt>
                <c:pt idx="46">
                  <c:v>13.06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89-430F-90EB-8B175FB3899E}"/>
            </c:ext>
          </c:extLst>
        </c:ser>
        <c:ser>
          <c:idx val="3"/>
          <c:order val="3"/>
          <c:tx>
            <c:v>Max Damper_HS_Rebound_RR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All!$EA$6:$EA$56</c:f>
              <c:numCache>
                <c:formatCode>General</c:formatCode>
                <c:ptCount val="51"/>
                <c:pt idx="0">
                  <c:v>1.22</c:v>
                </c:pt>
                <c:pt idx="1">
                  <c:v>9.86</c:v>
                </c:pt>
                <c:pt idx="2">
                  <c:v>11.99</c:v>
                </c:pt>
                <c:pt idx="3">
                  <c:v>11.12</c:v>
                </c:pt>
                <c:pt idx="7">
                  <c:v>7.28</c:v>
                </c:pt>
                <c:pt idx="8">
                  <c:v>11.16</c:v>
                </c:pt>
                <c:pt idx="9">
                  <c:v>10.74</c:v>
                </c:pt>
                <c:pt idx="10">
                  <c:v>11.4</c:v>
                </c:pt>
                <c:pt idx="11">
                  <c:v>9.15</c:v>
                </c:pt>
                <c:pt idx="12">
                  <c:v>10.36</c:v>
                </c:pt>
                <c:pt idx="13">
                  <c:v>9.59</c:v>
                </c:pt>
                <c:pt idx="17">
                  <c:v>3.96</c:v>
                </c:pt>
                <c:pt idx="18">
                  <c:v>10.69</c:v>
                </c:pt>
                <c:pt idx="19">
                  <c:v>12.02</c:v>
                </c:pt>
                <c:pt idx="20">
                  <c:v>11.48</c:v>
                </c:pt>
                <c:pt idx="21">
                  <c:v>10.95</c:v>
                </c:pt>
                <c:pt idx="22">
                  <c:v>9.43</c:v>
                </c:pt>
                <c:pt idx="26">
                  <c:v>7.6</c:v>
                </c:pt>
                <c:pt idx="27">
                  <c:v>9.66</c:v>
                </c:pt>
                <c:pt idx="28">
                  <c:v>10.56</c:v>
                </c:pt>
                <c:pt idx="29">
                  <c:v>9.5399999999999991</c:v>
                </c:pt>
                <c:pt idx="30">
                  <c:v>11.03</c:v>
                </c:pt>
                <c:pt idx="31">
                  <c:v>8.06</c:v>
                </c:pt>
                <c:pt idx="35">
                  <c:v>1.65</c:v>
                </c:pt>
                <c:pt idx="36">
                  <c:v>12.37</c:v>
                </c:pt>
                <c:pt idx="37">
                  <c:v>11.31</c:v>
                </c:pt>
                <c:pt idx="38">
                  <c:v>3.66</c:v>
                </c:pt>
                <c:pt idx="42">
                  <c:v>4.74</c:v>
                </c:pt>
                <c:pt idx="43">
                  <c:v>5.31</c:v>
                </c:pt>
                <c:pt idx="44">
                  <c:v>12.62</c:v>
                </c:pt>
                <c:pt idx="45">
                  <c:v>13.71</c:v>
                </c:pt>
                <c:pt idx="46">
                  <c:v>11.36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D89-430F-90EB-8B175FB38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695808"/>
        <c:axId val="1284697888"/>
      </c:scatterChart>
      <c:valAx>
        <c:axId val="128469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84697888"/>
        <c:crosses val="autoZero"/>
        <c:crossBetween val="midCat"/>
      </c:valAx>
      <c:valAx>
        <c:axId val="128469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84695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 Bump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Damper_LS_Bump_FL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All!$EB$6:$EB$56</c:f>
              <c:numCache>
                <c:formatCode>General</c:formatCode>
                <c:ptCount val="51"/>
                <c:pt idx="0">
                  <c:v>8.9600000000000009</c:v>
                </c:pt>
                <c:pt idx="1">
                  <c:v>43.05</c:v>
                </c:pt>
                <c:pt idx="2">
                  <c:v>42.51</c:v>
                </c:pt>
                <c:pt idx="3">
                  <c:v>42.24</c:v>
                </c:pt>
                <c:pt idx="7">
                  <c:v>37.22</c:v>
                </c:pt>
                <c:pt idx="8">
                  <c:v>41.96</c:v>
                </c:pt>
                <c:pt idx="9">
                  <c:v>41.73</c:v>
                </c:pt>
                <c:pt idx="10">
                  <c:v>41.83</c:v>
                </c:pt>
                <c:pt idx="11">
                  <c:v>41.33</c:v>
                </c:pt>
                <c:pt idx="12">
                  <c:v>42.15</c:v>
                </c:pt>
                <c:pt idx="13">
                  <c:v>43</c:v>
                </c:pt>
                <c:pt idx="17">
                  <c:v>32.770000000000003</c:v>
                </c:pt>
                <c:pt idx="18">
                  <c:v>41.54</c:v>
                </c:pt>
                <c:pt idx="19">
                  <c:v>41.29</c:v>
                </c:pt>
                <c:pt idx="20">
                  <c:v>41.09</c:v>
                </c:pt>
                <c:pt idx="21">
                  <c:v>41.8</c:v>
                </c:pt>
                <c:pt idx="22">
                  <c:v>41.68</c:v>
                </c:pt>
                <c:pt idx="26">
                  <c:v>41.74</c:v>
                </c:pt>
                <c:pt idx="27">
                  <c:v>42.72</c:v>
                </c:pt>
                <c:pt idx="28">
                  <c:v>41.88</c:v>
                </c:pt>
                <c:pt idx="29">
                  <c:v>42.12</c:v>
                </c:pt>
                <c:pt idx="30">
                  <c:v>41.59</c:v>
                </c:pt>
                <c:pt idx="31">
                  <c:v>43.41</c:v>
                </c:pt>
                <c:pt idx="35">
                  <c:v>13.88</c:v>
                </c:pt>
                <c:pt idx="36">
                  <c:v>43.11</c:v>
                </c:pt>
                <c:pt idx="37">
                  <c:v>42.71</c:v>
                </c:pt>
                <c:pt idx="38">
                  <c:v>43.29</c:v>
                </c:pt>
                <c:pt idx="42">
                  <c:v>39.049999999999997</c:v>
                </c:pt>
                <c:pt idx="43">
                  <c:v>43.1</c:v>
                </c:pt>
                <c:pt idx="44">
                  <c:v>42.44</c:v>
                </c:pt>
                <c:pt idx="45">
                  <c:v>42.26</c:v>
                </c:pt>
                <c:pt idx="46">
                  <c:v>42.58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F7-4AF8-A401-C57F197CDA55}"/>
            </c:ext>
          </c:extLst>
        </c:ser>
        <c:ser>
          <c:idx val="1"/>
          <c:order val="1"/>
          <c:tx>
            <c:v>Max Damper_LS_Bump_FR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All!$EC$6:$EC$56</c:f>
              <c:numCache>
                <c:formatCode>General</c:formatCode>
                <c:ptCount val="51"/>
                <c:pt idx="0">
                  <c:v>74.16</c:v>
                </c:pt>
                <c:pt idx="1">
                  <c:v>42.9</c:v>
                </c:pt>
                <c:pt idx="2">
                  <c:v>41.71</c:v>
                </c:pt>
                <c:pt idx="3">
                  <c:v>41.7</c:v>
                </c:pt>
                <c:pt idx="7">
                  <c:v>37.380000000000003</c:v>
                </c:pt>
                <c:pt idx="8">
                  <c:v>41.59</c:v>
                </c:pt>
                <c:pt idx="9">
                  <c:v>41.88</c:v>
                </c:pt>
                <c:pt idx="10">
                  <c:v>41.2</c:v>
                </c:pt>
                <c:pt idx="11">
                  <c:v>41.04</c:v>
                </c:pt>
                <c:pt idx="12">
                  <c:v>42.42</c:v>
                </c:pt>
                <c:pt idx="13">
                  <c:v>42.11</c:v>
                </c:pt>
                <c:pt idx="17">
                  <c:v>32.06</c:v>
                </c:pt>
                <c:pt idx="18">
                  <c:v>41.64</c:v>
                </c:pt>
                <c:pt idx="19">
                  <c:v>41.18</c:v>
                </c:pt>
                <c:pt idx="20">
                  <c:v>40.86</c:v>
                </c:pt>
                <c:pt idx="21">
                  <c:v>40.53</c:v>
                </c:pt>
                <c:pt idx="22">
                  <c:v>41.52</c:v>
                </c:pt>
                <c:pt idx="26">
                  <c:v>40.01</c:v>
                </c:pt>
                <c:pt idx="27">
                  <c:v>41.71</c:v>
                </c:pt>
                <c:pt idx="28">
                  <c:v>41.76</c:v>
                </c:pt>
                <c:pt idx="29">
                  <c:v>41.92</c:v>
                </c:pt>
                <c:pt idx="30">
                  <c:v>40.76</c:v>
                </c:pt>
                <c:pt idx="31">
                  <c:v>41.69</c:v>
                </c:pt>
                <c:pt idx="35">
                  <c:v>16.11</c:v>
                </c:pt>
                <c:pt idx="36">
                  <c:v>41.71</c:v>
                </c:pt>
                <c:pt idx="37">
                  <c:v>42.62</c:v>
                </c:pt>
                <c:pt idx="38">
                  <c:v>42.6</c:v>
                </c:pt>
                <c:pt idx="42">
                  <c:v>39</c:v>
                </c:pt>
                <c:pt idx="43">
                  <c:v>43.26</c:v>
                </c:pt>
                <c:pt idx="44">
                  <c:v>41.89</c:v>
                </c:pt>
                <c:pt idx="45">
                  <c:v>41.14</c:v>
                </c:pt>
                <c:pt idx="46">
                  <c:v>42.38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F7-4AF8-A401-C57F197CDA55}"/>
            </c:ext>
          </c:extLst>
        </c:ser>
        <c:ser>
          <c:idx val="2"/>
          <c:order val="2"/>
          <c:tx>
            <c:v>Max Damper_LS_Bump_RL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All!$ED$6:$ED$56</c:f>
              <c:numCache>
                <c:formatCode>General</c:formatCode>
                <c:ptCount val="51"/>
                <c:pt idx="0">
                  <c:v>72.349999999999994</c:v>
                </c:pt>
                <c:pt idx="1">
                  <c:v>34.18</c:v>
                </c:pt>
                <c:pt idx="2">
                  <c:v>31.98</c:v>
                </c:pt>
                <c:pt idx="3">
                  <c:v>31.91</c:v>
                </c:pt>
                <c:pt idx="7">
                  <c:v>29.38</c:v>
                </c:pt>
                <c:pt idx="8">
                  <c:v>32.520000000000003</c:v>
                </c:pt>
                <c:pt idx="9">
                  <c:v>32.200000000000003</c:v>
                </c:pt>
                <c:pt idx="10">
                  <c:v>31.51</c:v>
                </c:pt>
                <c:pt idx="11">
                  <c:v>33.65</c:v>
                </c:pt>
                <c:pt idx="12">
                  <c:v>32.71</c:v>
                </c:pt>
                <c:pt idx="13">
                  <c:v>32.64</c:v>
                </c:pt>
                <c:pt idx="17">
                  <c:v>27.36</c:v>
                </c:pt>
                <c:pt idx="18">
                  <c:v>32.31</c:v>
                </c:pt>
                <c:pt idx="19">
                  <c:v>31.66</c:v>
                </c:pt>
                <c:pt idx="20">
                  <c:v>32.119999999999997</c:v>
                </c:pt>
                <c:pt idx="21">
                  <c:v>32.32</c:v>
                </c:pt>
                <c:pt idx="22">
                  <c:v>32.1</c:v>
                </c:pt>
                <c:pt idx="26">
                  <c:v>33.049999999999997</c:v>
                </c:pt>
                <c:pt idx="27">
                  <c:v>32.71</c:v>
                </c:pt>
                <c:pt idx="28">
                  <c:v>32.590000000000003</c:v>
                </c:pt>
                <c:pt idx="29">
                  <c:v>33.44</c:v>
                </c:pt>
                <c:pt idx="30">
                  <c:v>32.549999999999997</c:v>
                </c:pt>
                <c:pt idx="31">
                  <c:v>34.840000000000003</c:v>
                </c:pt>
                <c:pt idx="35">
                  <c:v>22.7</c:v>
                </c:pt>
                <c:pt idx="36">
                  <c:v>31.69</c:v>
                </c:pt>
                <c:pt idx="37">
                  <c:v>31.4</c:v>
                </c:pt>
                <c:pt idx="38">
                  <c:v>35.950000000000003</c:v>
                </c:pt>
                <c:pt idx="42">
                  <c:v>33.39</c:v>
                </c:pt>
                <c:pt idx="43">
                  <c:v>35.78</c:v>
                </c:pt>
                <c:pt idx="44">
                  <c:v>31.31</c:v>
                </c:pt>
                <c:pt idx="45">
                  <c:v>30.3</c:v>
                </c:pt>
                <c:pt idx="46">
                  <c:v>31.5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F7-4AF8-A401-C57F197CDA55}"/>
            </c:ext>
          </c:extLst>
        </c:ser>
        <c:ser>
          <c:idx val="3"/>
          <c:order val="3"/>
          <c:tx>
            <c:v>Max Damper_LS_Bump_RR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All!$EE$6:$EE$56</c:f>
              <c:numCache>
                <c:formatCode>General</c:formatCode>
                <c:ptCount val="51"/>
                <c:pt idx="0">
                  <c:v>72.62</c:v>
                </c:pt>
                <c:pt idx="1">
                  <c:v>36.409999999999997</c:v>
                </c:pt>
                <c:pt idx="2">
                  <c:v>34.33</c:v>
                </c:pt>
                <c:pt idx="3">
                  <c:v>33.85</c:v>
                </c:pt>
                <c:pt idx="7">
                  <c:v>30.17</c:v>
                </c:pt>
                <c:pt idx="8">
                  <c:v>34.42</c:v>
                </c:pt>
                <c:pt idx="9">
                  <c:v>35.159999999999997</c:v>
                </c:pt>
                <c:pt idx="10">
                  <c:v>33.78</c:v>
                </c:pt>
                <c:pt idx="11">
                  <c:v>34.71</c:v>
                </c:pt>
                <c:pt idx="12">
                  <c:v>35.29</c:v>
                </c:pt>
                <c:pt idx="13">
                  <c:v>34.590000000000003</c:v>
                </c:pt>
                <c:pt idx="17">
                  <c:v>27.9</c:v>
                </c:pt>
                <c:pt idx="18">
                  <c:v>34.28</c:v>
                </c:pt>
                <c:pt idx="19">
                  <c:v>33.68</c:v>
                </c:pt>
                <c:pt idx="20">
                  <c:v>34.049999999999997</c:v>
                </c:pt>
                <c:pt idx="21">
                  <c:v>34.67</c:v>
                </c:pt>
                <c:pt idx="22">
                  <c:v>34.06</c:v>
                </c:pt>
                <c:pt idx="26">
                  <c:v>34.54</c:v>
                </c:pt>
                <c:pt idx="27">
                  <c:v>35.96</c:v>
                </c:pt>
                <c:pt idx="28">
                  <c:v>35.340000000000003</c:v>
                </c:pt>
                <c:pt idx="29">
                  <c:v>36.270000000000003</c:v>
                </c:pt>
                <c:pt idx="30">
                  <c:v>34.93</c:v>
                </c:pt>
                <c:pt idx="31">
                  <c:v>36.29</c:v>
                </c:pt>
                <c:pt idx="35">
                  <c:v>11.09</c:v>
                </c:pt>
                <c:pt idx="36">
                  <c:v>33.619999999999997</c:v>
                </c:pt>
                <c:pt idx="37">
                  <c:v>33.89</c:v>
                </c:pt>
                <c:pt idx="38">
                  <c:v>35.909999999999997</c:v>
                </c:pt>
                <c:pt idx="42">
                  <c:v>33.229999999999997</c:v>
                </c:pt>
                <c:pt idx="43">
                  <c:v>35.58</c:v>
                </c:pt>
                <c:pt idx="44">
                  <c:v>33.159999999999997</c:v>
                </c:pt>
                <c:pt idx="45">
                  <c:v>32.159999999999997</c:v>
                </c:pt>
                <c:pt idx="46">
                  <c:v>32.89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F7-4AF8-A401-C57F197CD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8418432"/>
        <c:axId val="1288418848"/>
      </c:scatterChart>
      <c:valAx>
        <c:axId val="128841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88418848"/>
        <c:crosses val="autoZero"/>
        <c:crossBetween val="midCat"/>
      </c:valAx>
      <c:valAx>
        <c:axId val="128841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8841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 Rebound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Damper_LS_Rebound_FL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All!$EF$6:$EF$56</c:f>
              <c:numCache>
                <c:formatCode>General</c:formatCode>
                <c:ptCount val="51"/>
                <c:pt idx="0">
                  <c:v>89.75</c:v>
                </c:pt>
                <c:pt idx="1">
                  <c:v>45.61</c:v>
                </c:pt>
                <c:pt idx="2">
                  <c:v>44.95</c:v>
                </c:pt>
                <c:pt idx="3">
                  <c:v>45.72</c:v>
                </c:pt>
                <c:pt idx="7">
                  <c:v>54.4</c:v>
                </c:pt>
                <c:pt idx="8">
                  <c:v>45</c:v>
                </c:pt>
                <c:pt idx="9">
                  <c:v>44.6</c:v>
                </c:pt>
                <c:pt idx="10">
                  <c:v>44.64</c:v>
                </c:pt>
                <c:pt idx="11">
                  <c:v>46.79</c:v>
                </c:pt>
                <c:pt idx="12">
                  <c:v>44.69</c:v>
                </c:pt>
                <c:pt idx="13">
                  <c:v>45.7</c:v>
                </c:pt>
                <c:pt idx="17">
                  <c:v>62.48</c:v>
                </c:pt>
                <c:pt idx="18">
                  <c:v>44.81</c:v>
                </c:pt>
                <c:pt idx="19">
                  <c:v>43.75</c:v>
                </c:pt>
                <c:pt idx="20">
                  <c:v>44.18</c:v>
                </c:pt>
                <c:pt idx="21">
                  <c:v>44.02</c:v>
                </c:pt>
                <c:pt idx="22">
                  <c:v>46.54</c:v>
                </c:pt>
                <c:pt idx="26">
                  <c:v>48.54</c:v>
                </c:pt>
                <c:pt idx="27">
                  <c:v>45.11</c:v>
                </c:pt>
                <c:pt idx="28">
                  <c:v>44.38</c:v>
                </c:pt>
                <c:pt idx="29">
                  <c:v>45.01</c:v>
                </c:pt>
                <c:pt idx="30">
                  <c:v>43.45</c:v>
                </c:pt>
                <c:pt idx="31">
                  <c:v>47.19</c:v>
                </c:pt>
                <c:pt idx="35">
                  <c:v>84.58</c:v>
                </c:pt>
                <c:pt idx="36">
                  <c:v>44.7</c:v>
                </c:pt>
                <c:pt idx="37">
                  <c:v>46.89</c:v>
                </c:pt>
                <c:pt idx="38">
                  <c:v>53.91</c:v>
                </c:pt>
                <c:pt idx="42">
                  <c:v>55.72</c:v>
                </c:pt>
                <c:pt idx="43">
                  <c:v>51.69</c:v>
                </c:pt>
                <c:pt idx="44">
                  <c:v>44.74</c:v>
                </c:pt>
                <c:pt idx="45">
                  <c:v>44.49</c:v>
                </c:pt>
                <c:pt idx="46">
                  <c:v>46.61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2E-4094-9247-0BF54E2BCBC3}"/>
            </c:ext>
          </c:extLst>
        </c:ser>
        <c:ser>
          <c:idx val="1"/>
          <c:order val="1"/>
          <c:tx>
            <c:v>Max Damper_LS_Rebound_FR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All!$EG$6:$EG$56</c:f>
              <c:numCache>
                <c:formatCode>General</c:formatCode>
                <c:ptCount val="51"/>
                <c:pt idx="0">
                  <c:v>24.56</c:v>
                </c:pt>
                <c:pt idx="1">
                  <c:v>46.87</c:v>
                </c:pt>
                <c:pt idx="2">
                  <c:v>45.48</c:v>
                </c:pt>
                <c:pt idx="3">
                  <c:v>46.42</c:v>
                </c:pt>
                <c:pt idx="7">
                  <c:v>54.38</c:v>
                </c:pt>
                <c:pt idx="8">
                  <c:v>45.61</c:v>
                </c:pt>
                <c:pt idx="9">
                  <c:v>45.93</c:v>
                </c:pt>
                <c:pt idx="10">
                  <c:v>46.19</c:v>
                </c:pt>
                <c:pt idx="11">
                  <c:v>47.82</c:v>
                </c:pt>
                <c:pt idx="12">
                  <c:v>46.12</c:v>
                </c:pt>
                <c:pt idx="13">
                  <c:v>46.82</c:v>
                </c:pt>
                <c:pt idx="17">
                  <c:v>63.2</c:v>
                </c:pt>
                <c:pt idx="18">
                  <c:v>45.51</c:v>
                </c:pt>
                <c:pt idx="19">
                  <c:v>44.76</c:v>
                </c:pt>
                <c:pt idx="20">
                  <c:v>45.32</c:v>
                </c:pt>
                <c:pt idx="21">
                  <c:v>45.72</c:v>
                </c:pt>
                <c:pt idx="22">
                  <c:v>46.79</c:v>
                </c:pt>
                <c:pt idx="26">
                  <c:v>50.42</c:v>
                </c:pt>
                <c:pt idx="27">
                  <c:v>46.83</c:v>
                </c:pt>
                <c:pt idx="28">
                  <c:v>45.74</c:v>
                </c:pt>
                <c:pt idx="29">
                  <c:v>45.92</c:v>
                </c:pt>
                <c:pt idx="30">
                  <c:v>45.15</c:v>
                </c:pt>
                <c:pt idx="31">
                  <c:v>47.77</c:v>
                </c:pt>
                <c:pt idx="35">
                  <c:v>82.22</c:v>
                </c:pt>
                <c:pt idx="36">
                  <c:v>45.76</c:v>
                </c:pt>
                <c:pt idx="37">
                  <c:v>47.07</c:v>
                </c:pt>
                <c:pt idx="38">
                  <c:v>54.13</c:v>
                </c:pt>
                <c:pt idx="42">
                  <c:v>55.74</c:v>
                </c:pt>
                <c:pt idx="43">
                  <c:v>51.41</c:v>
                </c:pt>
                <c:pt idx="44">
                  <c:v>45.86</c:v>
                </c:pt>
                <c:pt idx="45">
                  <c:v>45.32</c:v>
                </c:pt>
                <c:pt idx="46">
                  <c:v>47.73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2E-4094-9247-0BF54E2BCBC3}"/>
            </c:ext>
          </c:extLst>
        </c:ser>
        <c:ser>
          <c:idx val="2"/>
          <c:order val="2"/>
          <c:tx>
            <c:v>Max Damper_LS_Rebound_RL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All!$EH$6:$EH$56</c:f>
              <c:numCache>
                <c:formatCode>General</c:formatCode>
                <c:ptCount val="51"/>
                <c:pt idx="0">
                  <c:v>25.08</c:v>
                </c:pt>
                <c:pt idx="1">
                  <c:v>43.05</c:v>
                </c:pt>
                <c:pt idx="2">
                  <c:v>40.53</c:v>
                </c:pt>
                <c:pt idx="3">
                  <c:v>43.2</c:v>
                </c:pt>
                <c:pt idx="7">
                  <c:v>53.71</c:v>
                </c:pt>
                <c:pt idx="8">
                  <c:v>41.3</c:v>
                </c:pt>
                <c:pt idx="9">
                  <c:v>41.21</c:v>
                </c:pt>
                <c:pt idx="10">
                  <c:v>41.4</c:v>
                </c:pt>
                <c:pt idx="11">
                  <c:v>44.47</c:v>
                </c:pt>
                <c:pt idx="12">
                  <c:v>41.85</c:v>
                </c:pt>
                <c:pt idx="13">
                  <c:v>44.22</c:v>
                </c:pt>
                <c:pt idx="17">
                  <c:v>63.37</c:v>
                </c:pt>
                <c:pt idx="18">
                  <c:v>42.32</c:v>
                </c:pt>
                <c:pt idx="19">
                  <c:v>40.299999999999997</c:v>
                </c:pt>
                <c:pt idx="20">
                  <c:v>40.81</c:v>
                </c:pt>
                <c:pt idx="21">
                  <c:v>40.85</c:v>
                </c:pt>
                <c:pt idx="22">
                  <c:v>44.98</c:v>
                </c:pt>
                <c:pt idx="26">
                  <c:v>48.72</c:v>
                </c:pt>
                <c:pt idx="27">
                  <c:v>44.11</c:v>
                </c:pt>
                <c:pt idx="28">
                  <c:v>42.48</c:v>
                </c:pt>
                <c:pt idx="29">
                  <c:v>42.65</c:v>
                </c:pt>
                <c:pt idx="30">
                  <c:v>40.81</c:v>
                </c:pt>
                <c:pt idx="31">
                  <c:v>45.78</c:v>
                </c:pt>
                <c:pt idx="35">
                  <c:v>73.56</c:v>
                </c:pt>
                <c:pt idx="36">
                  <c:v>39.79</c:v>
                </c:pt>
                <c:pt idx="37">
                  <c:v>42.72</c:v>
                </c:pt>
                <c:pt idx="38">
                  <c:v>56</c:v>
                </c:pt>
                <c:pt idx="42">
                  <c:v>55.88</c:v>
                </c:pt>
                <c:pt idx="43">
                  <c:v>52.34</c:v>
                </c:pt>
                <c:pt idx="44">
                  <c:v>39.92</c:v>
                </c:pt>
                <c:pt idx="45">
                  <c:v>38.19</c:v>
                </c:pt>
                <c:pt idx="46">
                  <c:v>42.12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2E-4094-9247-0BF54E2BCBC3}"/>
            </c:ext>
          </c:extLst>
        </c:ser>
        <c:ser>
          <c:idx val="3"/>
          <c:order val="3"/>
          <c:tx>
            <c:v>Max Damper_LS_Rebound_RR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All!$EI$6:$EI$56</c:f>
              <c:numCache>
                <c:formatCode>General</c:formatCode>
                <c:ptCount val="51"/>
                <c:pt idx="0">
                  <c:v>24.84</c:v>
                </c:pt>
                <c:pt idx="1">
                  <c:v>43.61</c:v>
                </c:pt>
                <c:pt idx="2">
                  <c:v>41.64</c:v>
                </c:pt>
                <c:pt idx="3">
                  <c:v>43.89</c:v>
                </c:pt>
                <c:pt idx="7">
                  <c:v>54.72</c:v>
                </c:pt>
                <c:pt idx="8">
                  <c:v>43.01</c:v>
                </c:pt>
                <c:pt idx="9">
                  <c:v>43.09</c:v>
                </c:pt>
                <c:pt idx="10">
                  <c:v>43.12</c:v>
                </c:pt>
                <c:pt idx="11">
                  <c:v>46.64</c:v>
                </c:pt>
                <c:pt idx="12">
                  <c:v>43.45</c:v>
                </c:pt>
                <c:pt idx="13">
                  <c:v>45.92</c:v>
                </c:pt>
                <c:pt idx="17">
                  <c:v>63.88</c:v>
                </c:pt>
                <c:pt idx="18">
                  <c:v>43.93</c:v>
                </c:pt>
                <c:pt idx="19">
                  <c:v>42.15</c:v>
                </c:pt>
                <c:pt idx="20">
                  <c:v>42.53</c:v>
                </c:pt>
                <c:pt idx="21">
                  <c:v>43.05</c:v>
                </c:pt>
                <c:pt idx="22">
                  <c:v>46.63</c:v>
                </c:pt>
                <c:pt idx="26">
                  <c:v>49.68</c:v>
                </c:pt>
                <c:pt idx="27">
                  <c:v>44.42</c:v>
                </c:pt>
                <c:pt idx="28">
                  <c:v>43.39</c:v>
                </c:pt>
                <c:pt idx="29">
                  <c:v>44.21</c:v>
                </c:pt>
                <c:pt idx="30">
                  <c:v>42.95</c:v>
                </c:pt>
                <c:pt idx="31">
                  <c:v>47.38</c:v>
                </c:pt>
                <c:pt idx="35">
                  <c:v>85.58</c:v>
                </c:pt>
                <c:pt idx="36">
                  <c:v>41.75</c:v>
                </c:pt>
                <c:pt idx="37">
                  <c:v>43.56</c:v>
                </c:pt>
                <c:pt idx="38">
                  <c:v>56.59</c:v>
                </c:pt>
                <c:pt idx="42">
                  <c:v>57.02</c:v>
                </c:pt>
                <c:pt idx="43">
                  <c:v>53.65</c:v>
                </c:pt>
                <c:pt idx="44">
                  <c:v>41.53</c:v>
                </c:pt>
                <c:pt idx="45">
                  <c:v>40.619999999999997</c:v>
                </c:pt>
                <c:pt idx="46">
                  <c:v>44.3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2E-4094-9247-0BF54E2BCB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8413024"/>
        <c:axId val="1288413440"/>
      </c:scatterChart>
      <c:valAx>
        <c:axId val="1288413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88413440"/>
        <c:crosses val="autoZero"/>
        <c:crossBetween val="midCat"/>
      </c:valAx>
      <c:valAx>
        <c:axId val="128841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88413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 tyre pressure lap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Pres_Rel_FL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All!$AD$6:$AD$56</c:f>
              <c:numCache>
                <c:formatCode>General</c:formatCode>
                <c:ptCount val="51"/>
                <c:pt idx="0">
                  <c:v>0.35</c:v>
                </c:pt>
                <c:pt idx="1">
                  <c:v>1.8759999999999999</c:v>
                </c:pt>
                <c:pt idx="2">
                  <c:v>1.8740000000000001</c:v>
                </c:pt>
                <c:pt idx="3">
                  <c:v>1.887</c:v>
                </c:pt>
                <c:pt idx="7">
                  <c:v>1.776</c:v>
                </c:pt>
                <c:pt idx="8">
                  <c:v>1.8149999999999999</c:v>
                </c:pt>
                <c:pt idx="9">
                  <c:v>1.839</c:v>
                </c:pt>
                <c:pt idx="10">
                  <c:v>1.8460000000000001</c:v>
                </c:pt>
                <c:pt idx="11">
                  <c:v>1.821</c:v>
                </c:pt>
                <c:pt idx="12">
                  <c:v>1.831</c:v>
                </c:pt>
                <c:pt idx="13">
                  <c:v>1.8460000000000001</c:v>
                </c:pt>
                <c:pt idx="17">
                  <c:v>1.728</c:v>
                </c:pt>
                <c:pt idx="18">
                  <c:v>1.7549999999999999</c:v>
                </c:pt>
                <c:pt idx="19">
                  <c:v>1.8069999999999999</c:v>
                </c:pt>
                <c:pt idx="20">
                  <c:v>1.825</c:v>
                </c:pt>
                <c:pt idx="21">
                  <c:v>1.8240000000000001</c:v>
                </c:pt>
                <c:pt idx="22">
                  <c:v>1.8220000000000001</c:v>
                </c:pt>
                <c:pt idx="26">
                  <c:v>1.7450000000000001</c:v>
                </c:pt>
                <c:pt idx="27">
                  <c:v>1.7749999999999999</c:v>
                </c:pt>
                <c:pt idx="28">
                  <c:v>1.8080000000000001</c:v>
                </c:pt>
                <c:pt idx="29">
                  <c:v>1.8149999999999999</c:v>
                </c:pt>
                <c:pt idx="30">
                  <c:v>1.819</c:v>
                </c:pt>
                <c:pt idx="31">
                  <c:v>1.81</c:v>
                </c:pt>
                <c:pt idx="35">
                  <c:v>1.78</c:v>
                </c:pt>
                <c:pt idx="36">
                  <c:v>1.7569999999999999</c:v>
                </c:pt>
                <c:pt idx="37">
                  <c:v>1.7849999999999999</c:v>
                </c:pt>
                <c:pt idx="38">
                  <c:v>1.665</c:v>
                </c:pt>
                <c:pt idx="42">
                  <c:v>1.6539999999999999</c:v>
                </c:pt>
                <c:pt idx="43">
                  <c:v>1.5780000000000001</c:v>
                </c:pt>
                <c:pt idx="44">
                  <c:v>1.712</c:v>
                </c:pt>
                <c:pt idx="45">
                  <c:v>1.7809999999999999</c:v>
                </c:pt>
                <c:pt idx="46">
                  <c:v>1.7989999999999999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2-45F3-9674-1C75C0217125}"/>
            </c:ext>
          </c:extLst>
        </c:ser>
        <c:ser>
          <c:idx val="1"/>
          <c:order val="1"/>
          <c:tx>
            <c:v>Ave Pres_Rel_FR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All!$AE$6:$AE$56</c:f>
              <c:numCache>
                <c:formatCode>General</c:formatCode>
                <c:ptCount val="51"/>
                <c:pt idx="0">
                  <c:v>0.36499999999999999</c:v>
                </c:pt>
                <c:pt idx="1">
                  <c:v>1.944</c:v>
                </c:pt>
                <c:pt idx="2">
                  <c:v>1.9279999999999999</c:v>
                </c:pt>
                <c:pt idx="3">
                  <c:v>1.9379999999999999</c:v>
                </c:pt>
                <c:pt idx="7">
                  <c:v>1.853</c:v>
                </c:pt>
                <c:pt idx="8">
                  <c:v>1.87</c:v>
                </c:pt>
                <c:pt idx="9">
                  <c:v>1.889</c:v>
                </c:pt>
                <c:pt idx="10">
                  <c:v>1.8979999999999999</c:v>
                </c:pt>
                <c:pt idx="11">
                  <c:v>1.8819999999999999</c:v>
                </c:pt>
                <c:pt idx="12">
                  <c:v>1.8819999999999999</c:v>
                </c:pt>
                <c:pt idx="13">
                  <c:v>1.895</c:v>
                </c:pt>
                <c:pt idx="17">
                  <c:v>1.8029999999999999</c:v>
                </c:pt>
                <c:pt idx="18">
                  <c:v>1.8140000000000001</c:v>
                </c:pt>
                <c:pt idx="19">
                  <c:v>1.867</c:v>
                </c:pt>
                <c:pt idx="20">
                  <c:v>1.881</c:v>
                </c:pt>
                <c:pt idx="21">
                  <c:v>1.8720000000000001</c:v>
                </c:pt>
                <c:pt idx="22">
                  <c:v>1.88</c:v>
                </c:pt>
                <c:pt idx="26">
                  <c:v>1.827</c:v>
                </c:pt>
                <c:pt idx="27">
                  <c:v>1.849</c:v>
                </c:pt>
                <c:pt idx="28">
                  <c:v>1.8779999999999999</c:v>
                </c:pt>
                <c:pt idx="29">
                  <c:v>1.885</c:v>
                </c:pt>
                <c:pt idx="30">
                  <c:v>1.885</c:v>
                </c:pt>
                <c:pt idx="31">
                  <c:v>1.881</c:v>
                </c:pt>
                <c:pt idx="35">
                  <c:v>1.8580000000000001</c:v>
                </c:pt>
                <c:pt idx="36">
                  <c:v>1.829</c:v>
                </c:pt>
                <c:pt idx="37">
                  <c:v>1.855</c:v>
                </c:pt>
                <c:pt idx="38">
                  <c:v>1.758</c:v>
                </c:pt>
                <c:pt idx="42">
                  <c:v>1.746</c:v>
                </c:pt>
                <c:pt idx="43">
                  <c:v>1.671</c:v>
                </c:pt>
                <c:pt idx="44">
                  <c:v>1.7869999999999999</c:v>
                </c:pt>
                <c:pt idx="45">
                  <c:v>1.849</c:v>
                </c:pt>
                <c:pt idx="46">
                  <c:v>1.8660000000000001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22-45F3-9674-1C75C0217125}"/>
            </c:ext>
          </c:extLst>
        </c:ser>
        <c:ser>
          <c:idx val="2"/>
          <c:order val="2"/>
          <c:tx>
            <c:v>Ave Pres_Rel_RL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All!$AF$6:$AF$56</c:f>
              <c:numCache>
                <c:formatCode>General</c:formatCode>
                <c:ptCount val="51"/>
                <c:pt idx="0">
                  <c:v>0.36</c:v>
                </c:pt>
                <c:pt idx="1">
                  <c:v>1.865</c:v>
                </c:pt>
                <c:pt idx="2">
                  <c:v>1.919</c:v>
                </c:pt>
                <c:pt idx="3">
                  <c:v>1.972</c:v>
                </c:pt>
                <c:pt idx="7">
                  <c:v>1.6679999999999999</c:v>
                </c:pt>
                <c:pt idx="8">
                  <c:v>1.786</c:v>
                </c:pt>
                <c:pt idx="9">
                  <c:v>1.829</c:v>
                </c:pt>
                <c:pt idx="10">
                  <c:v>1.849</c:v>
                </c:pt>
                <c:pt idx="11">
                  <c:v>1.8160000000000001</c:v>
                </c:pt>
                <c:pt idx="12">
                  <c:v>1.83</c:v>
                </c:pt>
                <c:pt idx="13">
                  <c:v>1.8440000000000001</c:v>
                </c:pt>
                <c:pt idx="17">
                  <c:v>1.613</c:v>
                </c:pt>
                <c:pt idx="18">
                  <c:v>1.6859999999999999</c:v>
                </c:pt>
                <c:pt idx="19">
                  <c:v>1.784</c:v>
                </c:pt>
                <c:pt idx="20">
                  <c:v>1.804</c:v>
                </c:pt>
                <c:pt idx="21">
                  <c:v>1.796</c:v>
                </c:pt>
                <c:pt idx="22">
                  <c:v>1.8169999999999999</c:v>
                </c:pt>
                <c:pt idx="26">
                  <c:v>1.6890000000000001</c:v>
                </c:pt>
                <c:pt idx="27">
                  <c:v>1.7509999999999999</c:v>
                </c:pt>
                <c:pt idx="28">
                  <c:v>1.7929999999999999</c:v>
                </c:pt>
                <c:pt idx="29">
                  <c:v>1.8120000000000001</c:v>
                </c:pt>
                <c:pt idx="30">
                  <c:v>1.8240000000000001</c:v>
                </c:pt>
                <c:pt idx="31">
                  <c:v>1.8129999999999999</c:v>
                </c:pt>
                <c:pt idx="35">
                  <c:v>1.6830000000000001</c:v>
                </c:pt>
                <c:pt idx="36">
                  <c:v>1.704</c:v>
                </c:pt>
                <c:pt idx="37">
                  <c:v>1.744</c:v>
                </c:pt>
                <c:pt idx="38">
                  <c:v>1.5680000000000001</c:v>
                </c:pt>
                <c:pt idx="42">
                  <c:v>1.5049999999999999</c:v>
                </c:pt>
                <c:pt idx="43">
                  <c:v>1.413</c:v>
                </c:pt>
                <c:pt idx="44">
                  <c:v>1.6279999999999999</c:v>
                </c:pt>
                <c:pt idx="45">
                  <c:v>1.7509999999999999</c:v>
                </c:pt>
                <c:pt idx="46">
                  <c:v>1.79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22-45F3-9674-1C75C0217125}"/>
            </c:ext>
          </c:extLst>
        </c:ser>
        <c:ser>
          <c:idx val="3"/>
          <c:order val="3"/>
          <c:tx>
            <c:v>Ave Pres_Rel_RR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All!$AG$6:$AG$56</c:f>
              <c:numCache>
                <c:formatCode>General</c:formatCode>
                <c:ptCount val="51"/>
                <c:pt idx="0">
                  <c:v>0.372</c:v>
                </c:pt>
                <c:pt idx="1">
                  <c:v>1.9419999999999999</c:v>
                </c:pt>
                <c:pt idx="2">
                  <c:v>1.994</c:v>
                </c:pt>
                <c:pt idx="3">
                  <c:v>2.048</c:v>
                </c:pt>
                <c:pt idx="7">
                  <c:v>1.696</c:v>
                </c:pt>
                <c:pt idx="8">
                  <c:v>1.8069999999999999</c:v>
                </c:pt>
                <c:pt idx="9">
                  <c:v>1.847</c:v>
                </c:pt>
                <c:pt idx="10">
                  <c:v>1.8660000000000001</c:v>
                </c:pt>
                <c:pt idx="11">
                  <c:v>1.843</c:v>
                </c:pt>
                <c:pt idx="12">
                  <c:v>1.853</c:v>
                </c:pt>
                <c:pt idx="13">
                  <c:v>1.8640000000000001</c:v>
                </c:pt>
                <c:pt idx="17">
                  <c:v>1.6559999999999999</c:v>
                </c:pt>
                <c:pt idx="18">
                  <c:v>1.7230000000000001</c:v>
                </c:pt>
                <c:pt idx="19">
                  <c:v>1.81</c:v>
                </c:pt>
                <c:pt idx="20">
                  <c:v>1.8360000000000001</c:v>
                </c:pt>
                <c:pt idx="21">
                  <c:v>1.8280000000000001</c:v>
                </c:pt>
                <c:pt idx="22">
                  <c:v>1.8420000000000001</c:v>
                </c:pt>
                <c:pt idx="26">
                  <c:v>1.7230000000000001</c:v>
                </c:pt>
                <c:pt idx="27">
                  <c:v>1.7829999999999999</c:v>
                </c:pt>
                <c:pt idx="28">
                  <c:v>1.8220000000000001</c:v>
                </c:pt>
                <c:pt idx="29">
                  <c:v>1.8460000000000001</c:v>
                </c:pt>
                <c:pt idx="30">
                  <c:v>1.855</c:v>
                </c:pt>
                <c:pt idx="31">
                  <c:v>1.8480000000000001</c:v>
                </c:pt>
                <c:pt idx="35">
                  <c:v>1.7310000000000001</c:v>
                </c:pt>
                <c:pt idx="36">
                  <c:v>1.736</c:v>
                </c:pt>
                <c:pt idx="37">
                  <c:v>1.776</c:v>
                </c:pt>
                <c:pt idx="38">
                  <c:v>1.623</c:v>
                </c:pt>
                <c:pt idx="42">
                  <c:v>1.56</c:v>
                </c:pt>
                <c:pt idx="43">
                  <c:v>1.466</c:v>
                </c:pt>
                <c:pt idx="44">
                  <c:v>1.661</c:v>
                </c:pt>
                <c:pt idx="45">
                  <c:v>1.7709999999999999</c:v>
                </c:pt>
                <c:pt idx="46">
                  <c:v>1.8109999999999999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522-45F3-9674-1C75C0217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504864"/>
        <c:axId val="1214507776"/>
      </c:scatterChart>
      <c:valAx>
        <c:axId val="12145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4507776"/>
        <c:crosses val="autoZero"/>
        <c:crossBetween val="midCat"/>
      </c:valAx>
      <c:valAx>
        <c:axId val="1214507776"/>
        <c:scaling>
          <c:orientation val="minMax"/>
          <c:max val="2.1"/>
          <c:min val="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45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 IR2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FL_IR_Temp_Ch2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All!$AH$6:$AH$56</c:f>
              <c:numCache>
                <c:formatCode>General</c:formatCode>
                <c:ptCount val="51"/>
                <c:pt idx="0">
                  <c:v>-17.22</c:v>
                </c:pt>
                <c:pt idx="1">
                  <c:v>80.78</c:v>
                </c:pt>
                <c:pt idx="2">
                  <c:v>80.92</c:v>
                </c:pt>
                <c:pt idx="3">
                  <c:v>83.56</c:v>
                </c:pt>
                <c:pt idx="7">
                  <c:v>65.400000000000006</c:v>
                </c:pt>
                <c:pt idx="8">
                  <c:v>81.290000000000006</c:v>
                </c:pt>
                <c:pt idx="9">
                  <c:v>84.24</c:v>
                </c:pt>
                <c:pt idx="10">
                  <c:v>84.95</c:v>
                </c:pt>
                <c:pt idx="11">
                  <c:v>80.06</c:v>
                </c:pt>
                <c:pt idx="12">
                  <c:v>84.22</c:v>
                </c:pt>
                <c:pt idx="13">
                  <c:v>84.81</c:v>
                </c:pt>
                <c:pt idx="17">
                  <c:v>59.88</c:v>
                </c:pt>
                <c:pt idx="18">
                  <c:v>73.87</c:v>
                </c:pt>
                <c:pt idx="19">
                  <c:v>83.32</c:v>
                </c:pt>
                <c:pt idx="20">
                  <c:v>85.22</c:v>
                </c:pt>
                <c:pt idx="21">
                  <c:v>84.45</c:v>
                </c:pt>
                <c:pt idx="22">
                  <c:v>82.96</c:v>
                </c:pt>
                <c:pt idx="26">
                  <c:v>67.430000000000007</c:v>
                </c:pt>
                <c:pt idx="27">
                  <c:v>77.86</c:v>
                </c:pt>
                <c:pt idx="28">
                  <c:v>83.31</c:v>
                </c:pt>
                <c:pt idx="29">
                  <c:v>83.31</c:v>
                </c:pt>
                <c:pt idx="30">
                  <c:v>84.24</c:v>
                </c:pt>
                <c:pt idx="31">
                  <c:v>81.38</c:v>
                </c:pt>
                <c:pt idx="35">
                  <c:v>68.14</c:v>
                </c:pt>
                <c:pt idx="36">
                  <c:v>77.489999999999995</c:v>
                </c:pt>
                <c:pt idx="37">
                  <c:v>80.69</c:v>
                </c:pt>
                <c:pt idx="38">
                  <c:v>62.66</c:v>
                </c:pt>
                <c:pt idx="42">
                  <c:v>61.46</c:v>
                </c:pt>
                <c:pt idx="43">
                  <c:v>50.87</c:v>
                </c:pt>
                <c:pt idx="44">
                  <c:v>73.180000000000007</c:v>
                </c:pt>
                <c:pt idx="45">
                  <c:v>81.59</c:v>
                </c:pt>
                <c:pt idx="46">
                  <c:v>83.6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EC-4B52-9616-CA9FA41F987D}"/>
            </c:ext>
          </c:extLst>
        </c:ser>
        <c:ser>
          <c:idx val="1"/>
          <c:order val="1"/>
          <c:tx>
            <c:v>Ave FR_IR_Temp_Ch2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All!$AI$6:$AI$56</c:f>
              <c:numCache>
                <c:formatCode>General</c:formatCode>
                <c:ptCount val="51"/>
                <c:pt idx="0">
                  <c:v>-17.77</c:v>
                </c:pt>
                <c:pt idx="1">
                  <c:v>77.069999999999993</c:v>
                </c:pt>
                <c:pt idx="2">
                  <c:v>76.02</c:v>
                </c:pt>
                <c:pt idx="3">
                  <c:v>79.23</c:v>
                </c:pt>
                <c:pt idx="7">
                  <c:v>61.19</c:v>
                </c:pt>
                <c:pt idx="8">
                  <c:v>76.42</c:v>
                </c:pt>
                <c:pt idx="9">
                  <c:v>78.989999999999995</c:v>
                </c:pt>
                <c:pt idx="10">
                  <c:v>80.819999999999993</c:v>
                </c:pt>
                <c:pt idx="11">
                  <c:v>76.86</c:v>
                </c:pt>
                <c:pt idx="12">
                  <c:v>79.510000000000005</c:v>
                </c:pt>
                <c:pt idx="13">
                  <c:v>80.13</c:v>
                </c:pt>
                <c:pt idx="17">
                  <c:v>56.87</c:v>
                </c:pt>
                <c:pt idx="18">
                  <c:v>70.88</c:v>
                </c:pt>
                <c:pt idx="19">
                  <c:v>80.39</c:v>
                </c:pt>
                <c:pt idx="20">
                  <c:v>81.7</c:v>
                </c:pt>
                <c:pt idx="21">
                  <c:v>80.900000000000006</c:v>
                </c:pt>
                <c:pt idx="22">
                  <c:v>80.94</c:v>
                </c:pt>
                <c:pt idx="26">
                  <c:v>66.62</c:v>
                </c:pt>
                <c:pt idx="27">
                  <c:v>76.239999999999995</c:v>
                </c:pt>
                <c:pt idx="28">
                  <c:v>81.069999999999993</c:v>
                </c:pt>
                <c:pt idx="29">
                  <c:v>80.459999999999994</c:v>
                </c:pt>
                <c:pt idx="30">
                  <c:v>80.02</c:v>
                </c:pt>
                <c:pt idx="31">
                  <c:v>78.959999999999994</c:v>
                </c:pt>
                <c:pt idx="35">
                  <c:v>66.23</c:v>
                </c:pt>
                <c:pt idx="36">
                  <c:v>75.599999999999994</c:v>
                </c:pt>
                <c:pt idx="37">
                  <c:v>79.459999999999994</c:v>
                </c:pt>
                <c:pt idx="38">
                  <c:v>59.67</c:v>
                </c:pt>
                <c:pt idx="42">
                  <c:v>58.45</c:v>
                </c:pt>
                <c:pt idx="43">
                  <c:v>49.22</c:v>
                </c:pt>
                <c:pt idx="44">
                  <c:v>71.25</c:v>
                </c:pt>
                <c:pt idx="45">
                  <c:v>79.069999999999993</c:v>
                </c:pt>
                <c:pt idx="46">
                  <c:v>79.77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EC-4B52-9616-CA9FA41F987D}"/>
            </c:ext>
          </c:extLst>
        </c:ser>
        <c:ser>
          <c:idx val="2"/>
          <c:order val="2"/>
          <c:tx>
            <c:v>Ave RL_IR_Temp_Ch2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All!$AJ$6:$AJ$56</c:f>
              <c:numCache>
                <c:formatCode>General</c:formatCode>
                <c:ptCount val="51"/>
                <c:pt idx="0">
                  <c:v>-13.43</c:v>
                </c:pt>
                <c:pt idx="1">
                  <c:v>105.36</c:v>
                </c:pt>
                <c:pt idx="2">
                  <c:v>112.94</c:v>
                </c:pt>
                <c:pt idx="3">
                  <c:v>119.68</c:v>
                </c:pt>
                <c:pt idx="7">
                  <c:v>83.07</c:v>
                </c:pt>
                <c:pt idx="8">
                  <c:v>107.86</c:v>
                </c:pt>
                <c:pt idx="9">
                  <c:v>113.26</c:v>
                </c:pt>
                <c:pt idx="10">
                  <c:v>115.14</c:v>
                </c:pt>
                <c:pt idx="11">
                  <c:v>107.1</c:v>
                </c:pt>
                <c:pt idx="12">
                  <c:v>111.37</c:v>
                </c:pt>
                <c:pt idx="13">
                  <c:v>112.52</c:v>
                </c:pt>
                <c:pt idx="17">
                  <c:v>76.97</c:v>
                </c:pt>
                <c:pt idx="18">
                  <c:v>94.14</c:v>
                </c:pt>
                <c:pt idx="19">
                  <c:v>106.88</c:v>
                </c:pt>
                <c:pt idx="20">
                  <c:v>109.02</c:v>
                </c:pt>
                <c:pt idx="21">
                  <c:v>107.09</c:v>
                </c:pt>
                <c:pt idx="22">
                  <c:v>108.57</c:v>
                </c:pt>
                <c:pt idx="26">
                  <c:v>84.91</c:v>
                </c:pt>
                <c:pt idx="27">
                  <c:v>100</c:v>
                </c:pt>
                <c:pt idx="28">
                  <c:v>105.4</c:v>
                </c:pt>
                <c:pt idx="29">
                  <c:v>107.18</c:v>
                </c:pt>
                <c:pt idx="30">
                  <c:v>108.38</c:v>
                </c:pt>
                <c:pt idx="31">
                  <c:v>106.26</c:v>
                </c:pt>
                <c:pt idx="35">
                  <c:v>84.1</c:v>
                </c:pt>
                <c:pt idx="36">
                  <c:v>96.11</c:v>
                </c:pt>
                <c:pt idx="37">
                  <c:v>100.37</c:v>
                </c:pt>
                <c:pt idx="38">
                  <c:v>74.239999999999995</c:v>
                </c:pt>
                <c:pt idx="42">
                  <c:v>71.39</c:v>
                </c:pt>
                <c:pt idx="43">
                  <c:v>59.55</c:v>
                </c:pt>
                <c:pt idx="44">
                  <c:v>90.08</c:v>
                </c:pt>
                <c:pt idx="45">
                  <c:v>102.84</c:v>
                </c:pt>
                <c:pt idx="46">
                  <c:v>105.97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EC-4B52-9616-CA9FA41F987D}"/>
            </c:ext>
          </c:extLst>
        </c:ser>
        <c:ser>
          <c:idx val="3"/>
          <c:order val="3"/>
          <c:tx>
            <c:v>Ave RR_IR_Temp_Ch2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All!$AK$6:$AK$56</c:f>
              <c:numCache>
                <c:formatCode>General</c:formatCode>
                <c:ptCount val="51"/>
                <c:pt idx="0">
                  <c:v>-14.09</c:v>
                </c:pt>
                <c:pt idx="1">
                  <c:v>100.5</c:v>
                </c:pt>
                <c:pt idx="2">
                  <c:v>107.31</c:v>
                </c:pt>
                <c:pt idx="3">
                  <c:v>114.42</c:v>
                </c:pt>
                <c:pt idx="7">
                  <c:v>80.349999999999994</c:v>
                </c:pt>
                <c:pt idx="8">
                  <c:v>103.05</c:v>
                </c:pt>
                <c:pt idx="9">
                  <c:v>108.59</c:v>
                </c:pt>
                <c:pt idx="10">
                  <c:v>110.23</c:v>
                </c:pt>
                <c:pt idx="11">
                  <c:v>104.42</c:v>
                </c:pt>
                <c:pt idx="12">
                  <c:v>107.35</c:v>
                </c:pt>
                <c:pt idx="13">
                  <c:v>108.13</c:v>
                </c:pt>
                <c:pt idx="17">
                  <c:v>74.819999999999993</c:v>
                </c:pt>
                <c:pt idx="18">
                  <c:v>91.5</c:v>
                </c:pt>
                <c:pt idx="19">
                  <c:v>103.01</c:v>
                </c:pt>
                <c:pt idx="20">
                  <c:v>105.71</c:v>
                </c:pt>
                <c:pt idx="21">
                  <c:v>103.93</c:v>
                </c:pt>
                <c:pt idx="22">
                  <c:v>105.03</c:v>
                </c:pt>
                <c:pt idx="26">
                  <c:v>85.46</c:v>
                </c:pt>
                <c:pt idx="27">
                  <c:v>97.42</c:v>
                </c:pt>
                <c:pt idx="28">
                  <c:v>102.46</c:v>
                </c:pt>
                <c:pt idx="29">
                  <c:v>105.18</c:v>
                </c:pt>
                <c:pt idx="30">
                  <c:v>105.61</c:v>
                </c:pt>
                <c:pt idx="31">
                  <c:v>103.76</c:v>
                </c:pt>
                <c:pt idx="35">
                  <c:v>83.15</c:v>
                </c:pt>
                <c:pt idx="36">
                  <c:v>92.83</c:v>
                </c:pt>
                <c:pt idx="37">
                  <c:v>97.71</c:v>
                </c:pt>
                <c:pt idx="38">
                  <c:v>74.34</c:v>
                </c:pt>
                <c:pt idx="42">
                  <c:v>70.3</c:v>
                </c:pt>
                <c:pt idx="43">
                  <c:v>58.82</c:v>
                </c:pt>
                <c:pt idx="44">
                  <c:v>85.91</c:v>
                </c:pt>
                <c:pt idx="45">
                  <c:v>98.61</c:v>
                </c:pt>
                <c:pt idx="46">
                  <c:v>102.13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DEC-4B52-9616-CA9FA41F9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485760"/>
        <c:axId val="1404486176"/>
      </c:scatterChart>
      <c:valAx>
        <c:axId val="140448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4486176"/>
        <c:crosses val="autoZero"/>
        <c:crossBetween val="midCat"/>
      </c:valAx>
      <c:valAx>
        <c:axId val="1404486176"/>
        <c:scaling>
          <c:orientation val="minMax"/>
          <c:max val="14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448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Air temp inside tyre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FL_IR_Temp_Amb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All!$FC$6:$FC$56</c:f>
              <c:numCache>
                <c:formatCode>General</c:formatCode>
                <c:ptCount val="51"/>
                <c:pt idx="0">
                  <c:v>16.218</c:v>
                </c:pt>
                <c:pt idx="1">
                  <c:v>75.572999999999993</c:v>
                </c:pt>
                <c:pt idx="2">
                  <c:v>75.923000000000002</c:v>
                </c:pt>
                <c:pt idx="3">
                  <c:v>76.442999999999998</c:v>
                </c:pt>
                <c:pt idx="7">
                  <c:v>74.778000000000006</c:v>
                </c:pt>
                <c:pt idx="8">
                  <c:v>71.3</c:v>
                </c:pt>
                <c:pt idx="9">
                  <c:v>75.501999999999995</c:v>
                </c:pt>
                <c:pt idx="10">
                  <c:v>76.549000000000007</c:v>
                </c:pt>
                <c:pt idx="11">
                  <c:v>74.707999999999998</c:v>
                </c:pt>
                <c:pt idx="12">
                  <c:v>73.966999999999999</c:v>
                </c:pt>
                <c:pt idx="13">
                  <c:v>75.968000000000004</c:v>
                </c:pt>
                <c:pt idx="17">
                  <c:v>69.430999999999997</c:v>
                </c:pt>
                <c:pt idx="18">
                  <c:v>64.793000000000006</c:v>
                </c:pt>
                <c:pt idx="19">
                  <c:v>70.56</c:v>
                </c:pt>
                <c:pt idx="20">
                  <c:v>73.355000000000004</c:v>
                </c:pt>
                <c:pt idx="21">
                  <c:v>73.843999999999994</c:v>
                </c:pt>
                <c:pt idx="22">
                  <c:v>73.91</c:v>
                </c:pt>
                <c:pt idx="26">
                  <c:v>69.340999999999994</c:v>
                </c:pt>
                <c:pt idx="27">
                  <c:v>68.625</c:v>
                </c:pt>
                <c:pt idx="28">
                  <c:v>72.745000000000005</c:v>
                </c:pt>
                <c:pt idx="29">
                  <c:v>74.528999999999996</c:v>
                </c:pt>
                <c:pt idx="30">
                  <c:v>75.070999999999998</c:v>
                </c:pt>
                <c:pt idx="31">
                  <c:v>74.718999999999994</c:v>
                </c:pt>
                <c:pt idx="35">
                  <c:v>71.257000000000005</c:v>
                </c:pt>
                <c:pt idx="36">
                  <c:v>66.611000000000004</c:v>
                </c:pt>
                <c:pt idx="37">
                  <c:v>70.453000000000003</c:v>
                </c:pt>
                <c:pt idx="38">
                  <c:v>64.772000000000006</c:v>
                </c:pt>
                <c:pt idx="42">
                  <c:v>57.13</c:v>
                </c:pt>
                <c:pt idx="43">
                  <c:v>55.045000000000002</c:v>
                </c:pt>
                <c:pt idx="44">
                  <c:v>59.058</c:v>
                </c:pt>
                <c:pt idx="45">
                  <c:v>69.283000000000001</c:v>
                </c:pt>
                <c:pt idx="46">
                  <c:v>72.885000000000005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C9-4F2D-B807-55181B51F2CE}"/>
            </c:ext>
          </c:extLst>
        </c:ser>
        <c:ser>
          <c:idx val="1"/>
          <c:order val="1"/>
          <c:tx>
            <c:v>Ave FR_IR_Temp_Amb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All!$FD$6:$FD$56</c:f>
              <c:numCache>
                <c:formatCode>General</c:formatCode>
                <c:ptCount val="51"/>
                <c:pt idx="0">
                  <c:v>16.056999999999999</c:v>
                </c:pt>
                <c:pt idx="1">
                  <c:v>72.694999999999993</c:v>
                </c:pt>
                <c:pt idx="2">
                  <c:v>71.120999999999995</c:v>
                </c:pt>
                <c:pt idx="3">
                  <c:v>71.287000000000006</c:v>
                </c:pt>
                <c:pt idx="7">
                  <c:v>66.436999999999998</c:v>
                </c:pt>
                <c:pt idx="8">
                  <c:v>66.17</c:v>
                </c:pt>
                <c:pt idx="9">
                  <c:v>69.572000000000003</c:v>
                </c:pt>
                <c:pt idx="10">
                  <c:v>70.911000000000001</c:v>
                </c:pt>
                <c:pt idx="11">
                  <c:v>69.900000000000006</c:v>
                </c:pt>
                <c:pt idx="12">
                  <c:v>68.786000000000001</c:v>
                </c:pt>
                <c:pt idx="13">
                  <c:v>70.209999999999994</c:v>
                </c:pt>
                <c:pt idx="17">
                  <c:v>66.387</c:v>
                </c:pt>
                <c:pt idx="18">
                  <c:v>61.052999999999997</c:v>
                </c:pt>
                <c:pt idx="19">
                  <c:v>66.039000000000001</c:v>
                </c:pt>
                <c:pt idx="20">
                  <c:v>68.811000000000007</c:v>
                </c:pt>
                <c:pt idx="21">
                  <c:v>68.730999999999995</c:v>
                </c:pt>
                <c:pt idx="22">
                  <c:v>69.186999999999998</c:v>
                </c:pt>
                <c:pt idx="26">
                  <c:v>66.683999999999997</c:v>
                </c:pt>
                <c:pt idx="27">
                  <c:v>65.256</c:v>
                </c:pt>
                <c:pt idx="28">
                  <c:v>68.807000000000002</c:v>
                </c:pt>
                <c:pt idx="29">
                  <c:v>70.525999999999996</c:v>
                </c:pt>
                <c:pt idx="30">
                  <c:v>70.974000000000004</c:v>
                </c:pt>
                <c:pt idx="31">
                  <c:v>70.837000000000003</c:v>
                </c:pt>
                <c:pt idx="35">
                  <c:v>67.998999999999995</c:v>
                </c:pt>
                <c:pt idx="36">
                  <c:v>63.091999999999999</c:v>
                </c:pt>
                <c:pt idx="37">
                  <c:v>66.210999999999999</c:v>
                </c:pt>
                <c:pt idx="38">
                  <c:v>61.338000000000001</c:v>
                </c:pt>
                <c:pt idx="42">
                  <c:v>54.816000000000003</c:v>
                </c:pt>
                <c:pt idx="43">
                  <c:v>52.567999999999998</c:v>
                </c:pt>
                <c:pt idx="44">
                  <c:v>55.927</c:v>
                </c:pt>
                <c:pt idx="45">
                  <c:v>64.903999999999996</c:v>
                </c:pt>
                <c:pt idx="46">
                  <c:v>68.254999999999995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C9-4F2D-B807-55181B51F2CE}"/>
            </c:ext>
          </c:extLst>
        </c:ser>
        <c:ser>
          <c:idx val="2"/>
          <c:order val="2"/>
          <c:tx>
            <c:v>Ave RL_IR_Temp_Amb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All!$FE$6:$FE$56</c:f>
              <c:numCache>
                <c:formatCode>General</c:formatCode>
                <c:ptCount val="51"/>
                <c:pt idx="0">
                  <c:v>18.628</c:v>
                </c:pt>
                <c:pt idx="1">
                  <c:v>80.703999999999994</c:v>
                </c:pt>
                <c:pt idx="2">
                  <c:v>87.394000000000005</c:v>
                </c:pt>
                <c:pt idx="3">
                  <c:v>92.456999999999994</c:v>
                </c:pt>
                <c:pt idx="7">
                  <c:v>76.805000000000007</c:v>
                </c:pt>
                <c:pt idx="8">
                  <c:v>80.724000000000004</c:v>
                </c:pt>
                <c:pt idx="9">
                  <c:v>87.200999999999993</c:v>
                </c:pt>
                <c:pt idx="10">
                  <c:v>90.117999999999995</c:v>
                </c:pt>
                <c:pt idx="11">
                  <c:v>87.400999999999996</c:v>
                </c:pt>
                <c:pt idx="12">
                  <c:v>86.067999999999998</c:v>
                </c:pt>
                <c:pt idx="13">
                  <c:v>87.379000000000005</c:v>
                </c:pt>
                <c:pt idx="17">
                  <c:v>74.340999999999994</c:v>
                </c:pt>
                <c:pt idx="18">
                  <c:v>69.099000000000004</c:v>
                </c:pt>
                <c:pt idx="19">
                  <c:v>78.944999999999993</c:v>
                </c:pt>
                <c:pt idx="20">
                  <c:v>83.421999999999997</c:v>
                </c:pt>
                <c:pt idx="21">
                  <c:v>82.188000000000002</c:v>
                </c:pt>
                <c:pt idx="22">
                  <c:v>83.861000000000004</c:v>
                </c:pt>
                <c:pt idx="26">
                  <c:v>75.590999999999994</c:v>
                </c:pt>
                <c:pt idx="27">
                  <c:v>76.87</c:v>
                </c:pt>
                <c:pt idx="28">
                  <c:v>81.69</c:v>
                </c:pt>
                <c:pt idx="29">
                  <c:v>84.183999999999997</c:v>
                </c:pt>
                <c:pt idx="30">
                  <c:v>85.331999999999994</c:v>
                </c:pt>
                <c:pt idx="31">
                  <c:v>85.495000000000005</c:v>
                </c:pt>
                <c:pt idx="35">
                  <c:v>78.394999999999996</c:v>
                </c:pt>
                <c:pt idx="36">
                  <c:v>72.366</c:v>
                </c:pt>
                <c:pt idx="37">
                  <c:v>76.94</c:v>
                </c:pt>
                <c:pt idx="38">
                  <c:v>69.950999999999993</c:v>
                </c:pt>
                <c:pt idx="42">
                  <c:v>57.643999999999998</c:v>
                </c:pt>
                <c:pt idx="43">
                  <c:v>53.552999999999997</c:v>
                </c:pt>
                <c:pt idx="44">
                  <c:v>61.936</c:v>
                </c:pt>
                <c:pt idx="45">
                  <c:v>75.697000000000003</c:v>
                </c:pt>
                <c:pt idx="46">
                  <c:v>82.099000000000004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C9-4F2D-B807-55181B51F2CE}"/>
            </c:ext>
          </c:extLst>
        </c:ser>
        <c:ser>
          <c:idx val="3"/>
          <c:order val="3"/>
          <c:tx>
            <c:v>Ave RR_IR_Temp_Amb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All!$FF$6:$FF$56</c:f>
              <c:numCache>
                <c:formatCode>General</c:formatCode>
                <c:ptCount val="51"/>
                <c:pt idx="0">
                  <c:v>17.942</c:v>
                </c:pt>
                <c:pt idx="1">
                  <c:v>77.906999999999996</c:v>
                </c:pt>
                <c:pt idx="2">
                  <c:v>84.478999999999999</c:v>
                </c:pt>
                <c:pt idx="3">
                  <c:v>89.846999999999994</c:v>
                </c:pt>
                <c:pt idx="7">
                  <c:v>75.515000000000001</c:v>
                </c:pt>
                <c:pt idx="8">
                  <c:v>78.385999999999996</c:v>
                </c:pt>
                <c:pt idx="9">
                  <c:v>84.340999999999994</c:v>
                </c:pt>
                <c:pt idx="10">
                  <c:v>87.099000000000004</c:v>
                </c:pt>
                <c:pt idx="11">
                  <c:v>85.259</c:v>
                </c:pt>
                <c:pt idx="12">
                  <c:v>83.971999999999994</c:v>
                </c:pt>
                <c:pt idx="13">
                  <c:v>85.141999999999996</c:v>
                </c:pt>
                <c:pt idx="17">
                  <c:v>71.953000000000003</c:v>
                </c:pt>
                <c:pt idx="18">
                  <c:v>68.649000000000001</c:v>
                </c:pt>
                <c:pt idx="19">
                  <c:v>77.727000000000004</c:v>
                </c:pt>
                <c:pt idx="20">
                  <c:v>82.069000000000003</c:v>
                </c:pt>
                <c:pt idx="21">
                  <c:v>80.936999999999998</c:v>
                </c:pt>
                <c:pt idx="22">
                  <c:v>82.477000000000004</c:v>
                </c:pt>
                <c:pt idx="26">
                  <c:v>75.03</c:v>
                </c:pt>
                <c:pt idx="27">
                  <c:v>75.978999999999999</c:v>
                </c:pt>
                <c:pt idx="28">
                  <c:v>80.543999999999997</c:v>
                </c:pt>
                <c:pt idx="29">
                  <c:v>83.085999999999999</c:v>
                </c:pt>
                <c:pt idx="30">
                  <c:v>84.236999999999995</c:v>
                </c:pt>
                <c:pt idx="31">
                  <c:v>84.158000000000001</c:v>
                </c:pt>
                <c:pt idx="35">
                  <c:v>77.572000000000003</c:v>
                </c:pt>
                <c:pt idx="36">
                  <c:v>71.152000000000001</c:v>
                </c:pt>
                <c:pt idx="37">
                  <c:v>75.924999999999997</c:v>
                </c:pt>
                <c:pt idx="38">
                  <c:v>69.802999999999997</c:v>
                </c:pt>
                <c:pt idx="42">
                  <c:v>57.854999999999997</c:v>
                </c:pt>
                <c:pt idx="43">
                  <c:v>53.878999999999998</c:v>
                </c:pt>
                <c:pt idx="44">
                  <c:v>61.253</c:v>
                </c:pt>
                <c:pt idx="45">
                  <c:v>74.164000000000001</c:v>
                </c:pt>
                <c:pt idx="46">
                  <c:v>80.179000000000002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EC9-4F2D-B807-55181B51F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689152"/>
        <c:axId val="1284699968"/>
      </c:scatterChart>
      <c:valAx>
        <c:axId val="128468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84699968"/>
        <c:crosses val="autoZero"/>
        <c:crossBetween val="midCat"/>
      </c:valAx>
      <c:valAx>
        <c:axId val="1284699968"/>
        <c:scaling>
          <c:orientation val="minMax"/>
          <c:max val="12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84689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Wheel locking times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time_FL_Locking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All!$CL$6:$CL$56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0.1</c:v>
                </c:pt>
                <c:pt idx="7">
                  <c:v>0</c:v>
                </c:pt>
                <c:pt idx="8">
                  <c:v>0.1</c:v>
                </c:pt>
                <c:pt idx="9">
                  <c:v>0.7</c:v>
                </c:pt>
                <c:pt idx="10">
                  <c:v>0.3</c:v>
                </c:pt>
                <c:pt idx="11">
                  <c:v>0.4</c:v>
                </c:pt>
                <c:pt idx="12">
                  <c:v>0.8</c:v>
                </c:pt>
                <c:pt idx="13">
                  <c:v>0.4</c:v>
                </c:pt>
                <c:pt idx="17">
                  <c:v>0.1</c:v>
                </c:pt>
                <c:pt idx="18">
                  <c:v>0.3</c:v>
                </c:pt>
                <c:pt idx="19">
                  <c:v>0</c:v>
                </c:pt>
                <c:pt idx="20">
                  <c:v>0.1</c:v>
                </c:pt>
                <c:pt idx="21">
                  <c:v>0.5</c:v>
                </c:pt>
                <c:pt idx="22">
                  <c:v>0.7</c:v>
                </c:pt>
                <c:pt idx="26">
                  <c:v>0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0.5</c:v>
                </c:pt>
                <c:pt idx="31">
                  <c:v>0.2</c:v>
                </c:pt>
                <c:pt idx="35">
                  <c:v>0</c:v>
                </c:pt>
                <c:pt idx="36">
                  <c:v>0</c:v>
                </c:pt>
                <c:pt idx="37">
                  <c:v>0.1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</c:v>
                </c:pt>
                <c:pt idx="45">
                  <c:v>0.3</c:v>
                </c:pt>
                <c:pt idx="46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69-4706-B383-809D0C307C36}"/>
            </c:ext>
          </c:extLst>
        </c:ser>
        <c:ser>
          <c:idx val="1"/>
          <c:order val="1"/>
          <c:tx>
            <c:v>Max time_FR_Locking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All!$CM$6:$CM$56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7">
                  <c:v>0.6</c:v>
                </c:pt>
                <c:pt idx="8">
                  <c:v>0.3</c:v>
                </c:pt>
                <c:pt idx="9">
                  <c:v>0.3</c:v>
                </c:pt>
                <c:pt idx="10">
                  <c:v>0.5</c:v>
                </c:pt>
                <c:pt idx="11">
                  <c:v>0.8</c:v>
                </c:pt>
                <c:pt idx="12">
                  <c:v>0.3</c:v>
                </c:pt>
                <c:pt idx="13">
                  <c:v>1.1000000000000001</c:v>
                </c:pt>
                <c:pt idx="17">
                  <c:v>0.5</c:v>
                </c:pt>
                <c:pt idx="18">
                  <c:v>1.5</c:v>
                </c:pt>
                <c:pt idx="19">
                  <c:v>0.2</c:v>
                </c:pt>
                <c:pt idx="20">
                  <c:v>0.5</c:v>
                </c:pt>
                <c:pt idx="21">
                  <c:v>0.6</c:v>
                </c:pt>
                <c:pt idx="22">
                  <c:v>0.5</c:v>
                </c:pt>
                <c:pt idx="26">
                  <c:v>0.7</c:v>
                </c:pt>
                <c:pt idx="27">
                  <c:v>0.1</c:v>
                </c:pt>
                <c:pt idx="28">
                  <c:v>0.7</c:v>
                </c:pt>
                <c:pt idx="29">
                  <c:v>0.8</c:v>
                </c:pt>
                <c:pt idx="30">
                  <c:v>1.3</c:v>
                </c:pt>
                <c:pt idx="31">
                  <c:v>1.1000000000000001</c:v>
                </c:pt>
                <c:pt idx="35">
                  <c:v>0.1</c:v>
                </c:pt>
                <c:pt idx="36">
                  <c:v>1.2</c:v>
                </c:pt>
                <c:pt idx="37">
                  <c:v>0.8</c:v>
                </c:pt>
                <c:pt idx="38">
                  <c:v>1.1000000000000001</c:v>
                </c:pt>
                <c:pt idx="42">
                  <c:v>0</c:v>
                </c:pt>
                <c:pt idx="43">
                  <c:v>0.3</c:v>
                </c:pt>
                <c:pt idx="44">
                  <c:v>0.9</c:v>
                </c:pt>
                <c:pt idx="45">
                  <c:v>0.6</c:v>
                </c:pt>
                <c:pt idx="46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69-4706-B383-809D0C307C36}"/>
            </c:ext>
          </c:extLst>
        </c:ser>
        <c:ser>
          <c:idx val="2"/>
          <c:order val="2"/>
          <c:tx>
            <c:v>Max time_RL_Locking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All!$CN$6:$CN$56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</c:v>
                </c:pt>
                <c:pt idx="11">
                  <c:v>0.3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1.2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69-4706-B383-809D0C307C36}"/>
            </c:ext>
          </c:extLst>
        </c:ser>
        <c:ser>
          <c:idx val="3"/>
          <c:order val="3"/>
          <c:tx>
            <c:v>Max time_RR_Locking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All!$CO$6:$CO$56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0.3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1.2</c:v>
                </c:pt>
                <c:pt idx="28">
                  <c:v>0</c:v>
                </c:pt>
                <c:pt idx="29">
                  <c:v>0.1</c:v>
                </c:pt>
                <c:pt idx="30">
                  <c:v>0</c:v>
                </c:pt>
                <c:pt idx="31">
                  <c:v>0.1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69-4706-B383-809D0C307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696640"/>
        <c:axId val="1284701632"/>
      </c:scatterChart>
      <c:valAx>
        <c:axId val="1284696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84701632"/>
        <c:crosses val="autoZero"/>
        <c:crossBetween val="midCat"/>
      </c:valAx>
      <c:valAx>
        <c:axId val="128470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84696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disk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tdisk_fl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All!$V$6:$V$56</c:f>
              <c:numCache>
                <c:formatCode>General</c:formatCode>
                <c:ptCount val="51"/>
                <c:pt idx="0">
                  <c:v>50</c:v>
                </c:pt>
                <c:pt idx="1">
                  <c:v>273.33999999999997</c:v>
                </c:pt>
                <c:pt idx="2">
                  <c:v>300</c:v>
                </c:pt>
                <c:pt idx="3">
                  <c:v>281.66000000000003</c:v>
                </c:pt>
                <c:pt idx="7">
                  <c:v>130</c:v>
                </c:pt>
                <c:pt idx="8">
                  <c:v>248.34</c:v>
                </c:pt>
                <c:pt idx="9">
                  <c:v>255</c:v>
                </c:pt>
                <c:pt idx="10">
                  <c:v>248.34</c:v>
                </c:pt>
                <c:pt idx="11">
                  <c:v>185</c:v>
                </c:pt>
                <c:pt idx="12">
                  <c:v>246.66</c:v>
                </c:pt>
                <c:pt idx="13">
                  <c:v>253.34</c:v>
                </c:pt>
                <c:pt idx="17">
                  <c:v>117.5</c:v>
                </c:pt>
                <c:pt idx="18">
                  <c:v>218.34</c:v>
                </c:pt>
                <c:pt idx="19">
                  <c:v>235</c:v>
                </c:pt>
                <c:pt idx="20">
                  <c:v>243.34</c:v>
                </c:pt>
                <c:pt idx="21">
                  <c:v>236.66</c:v>
                </c:pt>
                <c:pt idx="22">
                  <c:v>255</c:v>
                </c:pt>
                <c:pt idx="26">
                  <c:v>162.5</c:v>
                </c:pt>
                <c:pt idx="27">
                  <c:v>236.66</c:v>
                </c:pt>
                <c:pt idx="28">
                  <c:v>255</c:v>
                </c:pt>
                <c:pt idx="29">
                  <c:v>280</c:v>
                </c:pt>
                <c:pt idx="30">
                  <c:v>260</c:v>
                </c:pt>
                <c:pt idx="31">
                  <c:v>220</c:v>
                </c:pt>
                <c:pt idx="35">
                  <c:v>105</c:v>
                </c:pt>
                <c:pt idx="36">
                  <c:v>223.34</c:v>
                </c:pt>
                <c:pt idx="37">
                  <c:v>233.34</c:v>
                </c:pt>
                <c:pt idx="38">
                  <c:v>80</c:v>
                </c:pt>
                <c:pt idx="42">
                  <c:v>150</c:v>
                </c:pt>
                <c:pt idx="43">
                  <c:v>50</c:v>
                </c:pt>
                <c:pt idx="44">
                  <c:v>245</c:v>
                </c:pt>
                <c:pt idx="45">
                  <c:v>251.66</c:v>
                </c:pt>
                <c:pt idx="46">
                  <c:v>246.66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F4-4C0E-A94F-D561A9F4916C}"/>
            </c:ext>
          </c:extLst>
        </c:ser>
        <c:ser>
          <c:idx val="1"/>
          <c:order val="1"/>
          <c:tx>
            <c:v>Min tdisk_fr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All!$W$6:$W$56</c:f>
              <c:numCache>
                <c:formatCode>General</c:formatCode>
                <c:ptCount val="51"/>
                <c:pt idx="0">
                  <c:v>40</c:v>
                </c:pt>
                <c:pt idx="1">
                  <c:v>291.66000000000003</c:v>
                </c:pt>
                <c:pt idx="2">
                  <c:v>316</c:v>
                </c:pt>
                <c:pt idx="3">
                  <c:v>312</c:v>
                </c:pt>
                <c:pt idx="7">
                  <c:v>135</c:v>
                </c:pt>
                <c:pt idx="8">
                  <c:v>260</c:v>
                </c:pt>
                <c:pt idx="9">
                  <c:v>266.66000000000003</c:v>
                </c:pt>
                <c:pt idx="10">
                  <c:v>261.66000000000003</c:v>
                </c:pt>
                <c:pt idx="11">
                  <c:v>195</c:v>
                </c:pt>
                <c:pt idx="12">
                  <c:v>256.66000000000003</c:v>
                </c:pt>
                <c:pt idx="13">
                  <c:v>258.33999999999997</c:v>
                </c:pt>
                <c:pt idx="17">
                  <c:v>112.5</c:v>
                </c:pt>
                <c:pt idx="18">
                  <c:v>220</c:v>
                </c:pt>
                <c:pt idx="19">
                  <c:v>236.66</c:v>
                </c:pt>
                <c:pt idx="20">
                  <c:v>243.34</c:v>
                </c:pt>
                <c:pt idx="21">
                  <c:v>236.66</c:v>
                </c:pt>
                <c:pt idx="22">
                  <c:v>260</c:v>
                </c:pt>
                <c:pt idx="26">
                  <c:v>167.5</c:v>
                </c:pt>
                <c:pt idx="27">
                  <c:v>236.66</c:v>
                </c:pt>
                <c:pt idx="28">
                  <c:v>260</c:v>
                </c:pt>
                <c:pt idx="29">
                  <c:v>293.33999999999997</c:v>
                </c:pt>
                <c:pt idx="30">
                  <c:v>266.66000000000003</c:v>
                </c:pt>
                <c:pt idx="31">
                  <c:v>220</c:v>
                </c:pt>
                <c:pt idx="35">
                  <c:v>70</c:v>
                </c:pt>
                <c:pt idx="36">
                  <c:v>223.34</c:v>
                </c:pt>
                <c:pt idx="37">
                  <c:v>225</c:v>
                </c:pt>
                <c:pt idx="38">
                  <c:v>50</c:v>
                </c:pt>
                <c:pt idx="42">
                  <c:v>137.5</c:v>
                </c:pt>
                <c:pt idx="43">
                  <c:v>40</c:v>
                </c:pt>
                <c:pt idx="44">
                  <c:v>241.66</c:v>
                </c:pt>
                <c:pt idx="45">
                  <c:v>241.66</c:v>
                </c:pt>
                <c:pt idx="46">
                  <c:v>241.66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F4-4C0E-A94F-D561A9F4916C}"/>
            </c:ext>
          </c:extLst>
        </c:ser>
        <c:ser>
          <c:idx val="2"/>
          <c:order val="2"/>
          <c:tx>
            <c:v>Min tdisk_rl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All!$X$6:$X$56</c:f>
              <c:numCache>
                <c:formatCode>General</c:formatCode>
                <c:ptCount val="51"/>
                <c:pt idx="0">
                  <c:v>80</c:v>
                </c:pt>
                <c:pt idx="1">
                  <c:v>195</c:v>
                </c:pt>
                <c:pt idx="2">
                  <c:v>245</c:v>
                </c:pt>
                <c:pt idx="3">
                  <c:v>246.66</c:v>
                </c:pt>
                <c:pt idx="7">
                  <c:v>110</c:v>
                </c:pt>
                <c:pt idx="8">
                  <c:v>208.34</c:v>
                </c:pt>
                <c:pt idx="9">
                  <c:v>206.66</c:v>
                </c:pt>
                <c:pt idx="10">
                  <c:v>213.34</c:v>
                </c:pt>
                <c:pt idx="11">
                  <c:v>147.5</c:v>
                </c:pt>
                <c:pt idx="12">
                  <c:v>197.5</c:v>
                </c:pt>
                <c:pt idx="13">
                  <c:v>185</c:v>
                </c:pt>
                <c:pt idx="17">
                  <c:v>102.5</c:v>
                </c:pt>
                <c:pt idx="18">
                  <c:v>137.5</c:v>
                </c:pt>
                <c:pt idx="19">
                  <c:v>177.5</c:v>
                </c:pt>
                <c:pt idx="20">
                  <c:v>170</c:v>
                </c:pt>
                <c:pt idx="21">
                  <c:v>150</c:v>
                </c:pt>
                <c:pt idx="22">
                  <c:v>180</c:v>
                </c:pt>
                <c:pt idx="26">
                  <c:v>120</c:v>
                </c:pt>
                <c:pt idx="27">
                  <c:v>165</c:v>
                </c:pt>
                <c:pt idx="28">
                  <c:v>180</c:v>
                </c:pt>
                <c:pt idx="29">
                  <c:v>210</c:v>
                </c:pt>
                <c:pt idx="30">
                  <c:v>197.5</c:v>
                </c:pt>
                <c:pt idx="31">
                  <c:v>170</c:v>
                </c:pt>
                <c:pt idx="35">
                  <c:v>90</c:v>
                </c:pt>
                <c:pt idx="36">
                  <c:v>152.5</c:v>
                </c:pt>
                <c:pt idx="37">
                  <c:v>152.5</c:v>
                </c:pt>
                <c:pt idx="38">
                  <c:v>90</c:v>
                </c:pt>
                <c:pt idx="42">
                  <c:v>110</c:v>
                </c:pt>
                <c:pt idx="43">
                  <c:v>80</c:v>
                </c:pt>
                <c:pt idx="44">
                  <c:v>140</c:v>
                </c:pt>
                <c:pt idx="45">
                  <c:v>190</c:v>
                </c:pt>
                <c:pt idx="46">
                  <c:v>172.5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F4-4C0E-A94F-D561A9F4916C}"/>
            </c:ext>
          </c:extLst>
        </c:ser>
        <c:ser>
          <c:idx val="3"/>
          <c:order val="3"/>
          <c:tx>
            <c:v>Min tdisk_rr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All!$Y$6:$Y$56</c:f>
              <c:numCache>
                <c:formatCode>General</c:formatCode>
                <c:ptCount val="51"/>
                <c:pt idx="0">
                  <c:v>80</c:v>
                </c:pt>
                <c:pt idx="1">
                  <c:v>228.34</c:v>
                </c:pt>
                <c:pt idx="2">
                  <c:v>309</c:v>
                </c:pt>
                <c:pt idx="3">
                  <c:v>314</c:v>
                </c:pt>
                <c:pt idx="7">
                  <c:v>127.5</c:v>
                </c:pt>
                <c:pt idx="8">
                  <c:v>251.66</c:v>
                </c:pt>
                <c:pt idx="9">
                  <c:v>248.34</c:v>
                </c:pt>
                <c:pt idx="10">
                  <c:v>258.33999999999997</c:v>
                </c:pt>
                <c:pt idx="11">
                  <c:v>185</c:v>
                </c:pt>
                <c:pt idx="12">
                  <c:v>240</c:v>
                </c:pt>
                <c:pt idx="13">
                  <c:v>231.66</c:v>
                </c:pt>
                <c:pt idx="17">
                  <c:v>110</c:v>
                </c:pt>
                <c:pt idx="18">
                  <c:v>175</c:v>
                </c:pt>
                <c:pt idx="19">
                  <c:v>223.34</c:v>
                </c:pt>
                <c:pt idx="20">
                  <c:v>221.66</c:v>
                </c:pt>
                <c:pt idx="21">
                  <c:v>201.66</c:v>
                </c:pt>
                <c:pt idx="22">
                  <c:v>230</c:v>
                </c:pt>
                <c:pt idx="26">
                  <c:v>145</c:v>
                </c:pt>
                <c:pt idx="27">
                  <c:v>211.66</c:v>
                </c:pt>
                <c:pt idx="28">
                  <c:v>230</c:v>
                </c:pt>
                <c:pt idx="29">
                  <c:v>260</c:v>
                </c:pt>
                <c:pt idx="30">
                  <c:v>243.34</c:v>
                </c:pt>
                <c:pt idx="31">
                  <c:v>208.34</c:v>
                </c:pt>
                <c:pt idx="35">
                  <c:v>90</c:v>
                </c:pt>
                <c:pt idx="36">
                  <c:v>197.5</c:v>
                </c:pt>
                <c:pt idx="37">
                  <c:v>195</c:v>
                </c:pt>
                <c:pt idx="38">
                  <c:v>100</c:v>
                </c:pt>
                <c:pt idx="42">
                  <c:v>122.5</c:v>
                </c:pt>
                <c:pt idx="43">
                  <c:v>80</c:v>
                </c:pt>
                <c:pt idx="44">
                  <c:v>190</c:v>
                </c:pt>
                <c:pt idx="45">
                  <c:v>228.34</c:v>
                </c:pt>
                <c:pt idx="46">
                  <c:v>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F4-4C0E-A94F-D561A9F49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0559536"/>
        <c:axId val="1220559952"/>
      </c:scatterChart>
      <c:valAx>
        <c:axId val="122055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0559952"/>
        <c:crosses val="autoZero"/>
        <c:crossBetween val="midCat"/>
      </c:valAx>
      <c:valAx>
        <c:axId val="1220559952"/>
        <c:scaling>
          <c:orientation val="minMax"/>
          <c:max val="42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0559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disk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tdisk_fl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All!$Z$6:$Z$56</c:f>
              <c:numCache>
                <c:formatCode>General</c:formatCode>
                <c:ptCount val="51"/>
                <c:pt idx="0">
                  <c:v>108.87</c:v>
                </c:pt>
                <c:pt idx="1">
                  <c:v>436.41</c:v>
                </c:pt>
                <c:pt idx="2">
                  <c:v>440.72</c:v>
                </c:pt>
                <c:pt idx="3">
                  <c:v>425.87</c:v>
                </c:pt>
                <c:pt idx="7">
                  <c:v>276.66000000000003</c:v>
                </c:pt>
                <c:pt idx="8">
                  <c:v>397.61</c:v>
                </c:pt>
                <c:pt idx="9">
                  <c:v>404.61</c:v>
                </c:pt>
                <c:pt idx="10">
                  <c:v>394.89</c:v>
                </c:pt>
                <c:pt idx="11">
                  <c:v>350.25</c:v>
                </c:pt>
                <c:pt idx="12">
                  <c:v>397.41</c:v>
                </c:pt>
                <c:pt idx="13">
                  <c:v>388.63</c:v>
                </c:pt>
                <c:pt idx="17">
                  <c:v>254.27</c:v>
                </c:pt>
                <c:pt idx="18">
                  <c:v>368.06</c:v>
                </c:pt>
                <c:pt idx="19">
                  <c:v>383.27</c:v>
                </c:pt>
                <c:pt idx="20">
                  <c:v>375.43</c:v>
                </c:pt>
                <c:pt idx="21">
                  <c:v>384.54</c:v>
                </c:pt>
                <c:pt idx="22">
                  <c:v>381.79</c:v>
                </c:pt>
                <c:pt idx="26">
                  <c:v>319.36</c:v>
                </c:pt>
                <c:pt idx="27">
                  <c:v>394.47</c:v>
                </c:pt>
                <c:pt idx="28">
                  <c:v>405.99</c:v>
                </c:pt>
                <c:pt idx="29">
                  <c:v>421.43</c:v>
                </c:pt>
                <c:pt idx="30">
                  <c:v>408.67</c:v>
                </c:pt>
                <c:pt idx="31">
                  <c:v>377.97</c:v>
                </c:pt>
                <c:pt idx="35">
                  <c:v>176.15</c:v>
                </c:pt>
                <c:pt idx="36">
                  <c:v>361.02</c:v>
                </c:pt>
                <c:pt idx="37">
                  <c:v>382.86</c:v>
                </c:pt>
                <c:pt idx="38">
                  <c:v>199.88</c:v>
                </c:pt>
                <c:pt idx="42">
                  <c:v>278.45999999999998</c:v>
                </c:pt>
                <c:pt idx="43">
                  <c:v>188.97</c:v>
                </c:pt>
                <c:pt idx="44">
                  <c:v>385.38</c:v>
                </c:pt>
                <c:pt idx="45">
                  <c:v>395.87</c:v>
                </c:pt>
                <c:pt idx="46">
                  <c:v>379.88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2-47B4-BDDD-4E8D0F9F41A0}"/>
            </c:ext>
          </c:extLst>
        </c:ser>
        <c:ser>
          <c:idx val="1"/>
          <c:order val="1"/>
          <c:tx>
            <c:v>Ave tdisk_fr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All!$AA$6:$AA$56</c:f>
              <c:numCache>
                <c:formatCode>General</c:formatCode>
                <c:ptCount val="51"/>
                <c:pt idx="0">
                  <c:v>107.16</c:v>
                </c:pt>
                <c:pt idx="1">
                  <c:v>453.95</c:v>
                </c:pt>
                <c:pt idx="2">
                  <c:v>462.41</c:v>
                </c:pt>
                <c:pt idx="3">
                  <c:v>452.78</c:v>
                </c:pt>
                <c:pt idx="7">
                  <c:v>291.54000000000002</c:v>
                </c:pt>
                <c:pt idx="8">
                  <c:v>406.45</c:v>
                </c:pt>
                <c:pt idx="9">
                  <c:v>418.28</c:v>
                </c:pt>
                <c:pt idx="10">
                  <c:v>407.01</c:v>
                </c:pt>
                <c:pt idx="11">
                  <c:v>362.75</c:v>
                </c:pt>
                <c:pt idx="12">
                  <c:v>399.08</c:v>
                </c:pt>
                <c:pt idx="13">
                  <c:v>394.86</c:v>
                </c:pt>
                <c:pt idx="17">
                  <c:v>256.44</c:v>
                </c:pt>
                <c:pt idx="18">
                  <c:v>366.29</c:v>
                </c:pt>
                <c:pt idx="19">
                  <c:v>387.74</c:v>
                </c:pt>
                <c:pt idx="20">
                  <c:v>368.59</c:v>
                </c:pt>
                <c:pt idx="21">
                  <c:v>386.55</c:v>
                </c:pt>
                <c:pt idx="22">
                  <c:v>381.14</c:v>
                </c:pt>
                <c:pt idx="26">
                  <c:v>318.23</c:v>
                </c:pt>
                <c:pt idx="27">
                  <c:v>397.21</c:v>
                </c:pt>
                <c:pt idx="28">
                  <c:v>412.93</c:v>
                </c:pt>
                <c:pt idx="29">
                  <c:v>424.98</c:v>
                </c:pt>
                <c:pt idx="30">
                  <c:v>412.66</c:v>
                </c:pt>
                <c:pt idx="31">
                  <c:v>372.17</c:v>
                </c:pt>
                <c:pt idx="35">
                  <c:v>170.75</c:v>
                </c:pt>
                <c:pt idx="36">
                  <c:v>360.76</c:v>
                </c:pt>
                <c:pt idx="37">
                  <c:v>375.49</c:v>
                </c:pt>
                <c:pt idx="38">
                  <c:v>195.06</c:v>
                </c:pt>
                <c:pt idx="42">
                  <c:v>275.73</c:v>
                </c:pt>
                <c:pt idx="43">
                  <c:v>183.43</c:v>
                </c:pt>
                <c:pt idx="44">
                  <c:v>377.86</c:v>
                </c:pt>
                <c:pt idx="45">
                  <c:v>383.87</c:v>
                </c:pt>
                <c:pt idx="46">
                  <c:v>372.92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C2-47B4-BDDD-4E8D0F9F41A0}"/>
            </c:ext>
          </c:extLst>
        </c:ser>
        <c:ser>
          <c:idx val="2"/>
          <c:order val="2"/>
          <c:tx>
            <c:v>Ave tdisk_rl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All!$AB$6:$AB$56</c:f>
              <c:numCache>
                <c:formatCode>General</c:formatCode>
                <c:ptCount val="51"/>
                <c:pt idx="0">
                  <c:v>99.85</c:v>
                </c:pt>
                <c:pt idx="1">
                  <c:v>360.91</c:v>
                </c:pt>
                <c:pt idx="2">
                  <c:v>386.89</c:v>
                </c:pt>
                <c:pt idx="3">
                  <c:v>378.83</c:v>
                </c:pt>
                <c:pt idx="7">
                  <c:v>229.32</c:v>
                </c:pt>
                <c:pt idx="8">
                  <c:v>334.49</c:v>
                </c:pt>
                <c:pt idx="9">
                  <c:v>345.95</c:v>
                </c:pt>
                <c:pt idx="10">
                  <c:v>335.84</c:v>
                </c:pt>
                <c:pt idx="11">
                  <c:v>293.3</c:v>
                </c:pt>
                <c:pt idx="12">
                  <c:v>315.94</c:v>
                </c:pt>
                <c:pt idx="13">
                  <c:v>306.97000000000003</c:v>
                </c:pt>
                <c:pt idx="17">
                  <c:v>167.98</c:v>
                </c:pt>
                <c:pt idx="18">
                  <c:v>271.14999999999998</c:v>
                </c:pt>
                <c:pt idx="19">
                  <c:v>307.20999999999998</c:v>
                </c:pt>
                <c:pt idx="20">
                  <c:v>253.53</c:v>
                </c:pt>
                <c:pt idx="21">
                  <c:v>285.05</c:v>
                </c:pt>
                <c:pt idx="22">
                  <c:v>288.32</c:v>
                </c:pt>
                <c:pt idx="26">
                  <c:v>240.77</c:v>
                </c:pt>
                <c:pt idx="27">
                  <c:v>302.48</c:v>
                </c:pt>
                <c:pt idx="28">
                  <c:v>310.12</c:v>
                </c:pt>
                <c:pt idx="29">
                  <c:v>323.89999999999998</c:v>
                </c:pt>
                <c:pt idx="30">
                  <c:v>323.70999999999998</c:v>
                </c:pt>
                <c:pt idx="31">
                  <c:v>283.95</c:v>
                </c:pt>
                <c:pt idx="35">
                  <c:v>131.61000000000001</c:v>
                </c:pt>
                <c:pt idx="36">
                  <c:v>260.39</c:v>
                </c:pt>
                <c:pt idx="37">
                  <c:v>280.35000000000002</c:v>
                </c:pt>
                <c:pt idx="38">
                  <c:v>143.19999999999999</c:v>
                </c:pt>
                <c:pt idx="42">
                  <c:v>157.22</c:v>
                </c:pt>
                <c:pt idx="43">
                  <c:v>126.05</c:v>
                </c:pt>
                <c:pt idx="44">
                  <c:v>262.56</c:v>
                </c:pt>
                <c:pt idx="45">
                  <c:v>308.2</c:v>
                </c:pt>
                <c:pt idx="46">
                  <c:v>277.25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C2-47B4-BDDD-4E8D0F9F41A0}"/>
            </c:ext>
          </c:extLst>
        </c:ser>
        <c:ser>
          <c:idx val="3"/>
          <c:order val="3"/>
          <c:tx>
            <c:v>Ave tdisk_rr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All!$AC$6:$AC$56</c:f>
              <c:numCache>
                <c:formatCode>General</c:formatCode>
                <c:ptCount val="51"/>
                <c:pt idx="0">
                  <c:v>101.82</c:v>
                </c:pt>
                <c:pt idx="1">
                  <c:v>428.63</c:v>
                </c:pt>
                <c:pt idx="2">
                  <c:v>466.86</c:v>
                </c:pt>
                <c:pt idx="3">
                  <c:v>452.27</c:v>
                </c:pt>
                <c:pt idx="7">
                  <c:v>266.74</c:v>
                </c:pt>
                <c:pt idx="8">
                  <c:v>392.81</c:v>
                </c:pt>
                <c:pt idx="9">
                  <c:v>408.82</c:v>
                </c:pt>
                <c:pt idx="10">
                  <c:v>398.92</c:v>
                </c:pt>
                <c:pt idx="11">
                  <c:v>349.09</c:v>
                </c:pt>
                <c:pt idx="12">
                  <c:v>377.62</c:v>
                </c:pt>
                <c:pt idx="13">
                  <c:v>371.56</c:v>
                </c:pt>
                <c:pt idx="17">
                  <c:v>204.25</c:v>
                </c:pt>
                <c:pt idx="18">
                  <c:v>328.67</c:v>
                </c:pt>
                <c:pt idx="19">
                  <c:v>373.72</c:v>
                </c:pt>
                <c:pt idx="20">
                  <c:v>320.04000000000002</c:v>
                </c:pt>
                <c:pt idx="21">
                  <c:v>349.83</c:v>
                </c:pt>
                <c:pt idx="22">
                  <c:v>350.94</c:v>
                </c:pt>
                <c:pt idx="26">
                  <c:v>293.42</c:v>
                </c:pt>
                <c:pt idx="27">
                  <c:v>368.8</c:v>
                </c:pt>
                <c:pt idx="28">
                  <c:v>376.61</c:v>
                </c:pt>
                <c:pt idx="29">
                  <c:v>391.84</c:v>
                </c:pt>
                <c:pt idx="30">
                  <c:v>389.1</c:v>
                </c:pt>
                <c:pt idx="31">
                  <c:v>342.5</c:v>
                </c:pt>
                <c:pt idx="35">
                  <c:v>148.04</c:v>
                </c:pt>
                <c:pt idx="36">
                  <c:v>323.61</c:v>
                </c:pt>
                <c:pt idx="37">
                  <c:v>341.88</c:v>
                </c:pt>
                <c:pt idx="38">
                  <c:v>170.12</c:v>
                </c:pt>
                <c:pt idx="42">
                  <c:v>196.7</c:v>
                </c:pt>
                <c:pt idx="43">
                  <c:v>148.25</c:v>
                </c:pt>
                <c:pt idx="44">
                  <c:v>326.95999999999998</c:v>
                </c:pt>
                <c:pt idx="45">
                  <c:v>370.39</c:v>
                </c:pt>
                <c:pt idx="46">
                  <c:v>343.23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C2-47B4-BDDD-4E8D0F9F4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0560784"/>
        <c:axId val="1220560368"/>
      </c:scatterChart>
      <c:valAx>
        <c:axId val="1220560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0560368"/>
        <c:crosses val="autoZero"/>
        <c:crossBetween val="midCat"/>
      </c:valAx>
      <c:valAx>
        <c:axId val="1220560368"/>
        <c:scaling>
          <c:orientation val="minMax"/>
          <c:max val="550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0560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 pressure [bar] and balance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pbrake_f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All!$T$6:$T$56</c:f>
              <c:numCache>
                <c:formatCode>General</c:formatCode>
                <c:ptCount val="51"/>
                <c:pt idx="0">
                  <c:v>60.11</c:v>
                </c:pt>
                <c:pt idx="1">
                  <c:v>72.61</c:v>
                </c:pt>
                <c:pt idx="2">
                  <c:v>82.45</c:v>
                </c:pt>
                <c:pt idx="3">
                  <c:v>84.31</c:v>
                </c:pt>
                <c:pt idx="7">
                  <c:v>64.930000000000007</c:v>
                </c:pt>
                <c:pt idx="8">
                  <c:v>73.52</c:v>
                </c:pt>
                <c:pt idx="9">
                  <c:v>74.78</c:v>
                </c:pt>
                <c:pt idx="10">
                  <c:v>80.75</c:v>
                </c:pt>
                <c:pt idx="11">
                  <c:v>81.36</c:v>
                </c:pt>
                <c:pt idx="12">
                  <c:v>67.95</c:v>
                </c:pt>
                <c:pt idx="13">
                  <c:v>77.42</c:v>
                </c:pt>
                <c:pt idx="17">
                  <c:v>54.2</c:v>
                </c:pt>
                <c:pt idx="18">
                  <c:v>70.56</c:v>
                </c:pt>
                <c:pt idx="19">
                  <c:v>77.45</c:v>
                </c:pt>
                <c:pt idx="20">
                  <c:v>63.98</c:v>
                </c:pt>
                <c:pt idx="21">
                  <c:v>78.040000000000006</c:v>
                </c:pt>
                <c:pt idx="22">
                  <c:v>72.489999999999995</c:v>
                </c:pt>
                <c:pt idx="26">
                  <c:v>71.260000000000005</c:v>
                </c:pt>
                <c:pt idx="27">
                  <c:v>79.319999999999993</c:v>
                </c:pt>
                <c:pt idx="28">
                  <c:v>89.89</c:v>
                </c:pt>
                <c:pt idx="29">
                  <c:v>78.040000000000006</c:v>
                </c:pt>
                <c:pt idx="30">
                  <c:v>89.11</c:v>
                </c:pt>
                <c:pt idx="31">
                  <c:v>85.58</c:v>
                </c:pt>
                <c:pt idx="35">
                  <c:v>67.56</c:v>
                </c:pt>
                <c:pt idx="36">
                  <c:v>78.88</c:v>
                </c:pt>
                <c:pt idx="37">
                  <c:v>86.41</c:v>
                </c:pt>
                <c:pt idx="38">
                  <c:v>67.55</c:v>
                </c:pt>
                <c:pt idx="42">
                  <c:v>62.64</c:v>
                </c:pt>
                <c:pt idx="43">
                  <c:v>55.7</c:v>
                </c:pt>
                <c:pt idx="44">
                  <c:v>73.34</c:v>
                </c:pt>
                <c:pt idx="45">
                  <c:v>76.94</c:v>
                </c:pt>
                <c:pt idx="46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B8-44DD-A35D-D266F1117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1297104"/>
        <c:axId val="1291289200"/>
      </c:scatterChart>
      <c:scatterChart>
        <c:scatterStyle val="lineMarker"/>
        <c:varyColors val="0"/>
        <c:ser>
          <c:idx val="1"/>
          <c:order val="1"/>
          <c:tx>
            <c:v>Ave Brake_bal %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All!$U$6:$U$56</c:f>
              <c:numCache>
                <c:formatCode>General</c:formatCode>
                <c:ptCount val="51"/>
                <c:pt idx="0">
                  <c:v>60.767000000000003</c:v>
                </c:pt>
                <c:pt idx="1">
                  <c:v>60.295000000000002</c:v>
                </c:pt>
                <c:pt idx="2">
                  <c:v>60.222000000000001</c:v>
                </c:pt>
                <c:pt idx="3">
                  <c:v>60.162999999999997</c:v>
                </c:pt>
                <c:pt idx="7">
                  <c:v>60.720999999999997</c:v>
                </c:pt>
                <c:pt idx="8">
                  <c:v>60.109000000000002</c:v>
                </c:pt>
                <c:pt idx="9">
                  <c:v>60.107999999999997</c:v>
                </c:pt>
                <c:pt idx="10">
                  <c:v>60.061</c:v>
                </c:pt>
                <c:pt idx="11">
                  <c:v>60.134999999999998</c:v>
                </c:pt>
                <c:pt idx="12">
                  <c:v>60.131999999999998</c:v>
                </c:pt>
                <c:pt idx="13">
                  <c:v>60.1</c:v>
                </c:pt>
                <c:pt idx="17">
                  <c:v>60.009</c:v>
                </c:pt>
                <c:pt idx="18">
                  <c:v>60.012</c:v>
                </c:pt>
                <c:pt idx="19">
                  <c:v>60.12</c:v>
                </c:pt>
                <c:pt idx="20">
                  <c:v>60.404000000000003</c:v>
                </c:pt>
                <c:pt idx="21">
                  <c:v>60.267000000000003</c:v>
                </c:pt>
                <c:pt idx="22">
                  <c:v>60.418999999999997</c:v>
                </c:pt>
                <c:pt idx="26">
                  <c:v>60.533000000000001</c:v>
                </c:pt>
                <c:pt idx="27">
                  <c:v>61.079000000000001</c:v>
                </c:pt>
                <c:pt idx="28">
                  <c:v>61.109000000000002</c:v>
                </c:pt>
                <c:pt idx="29">
                  <c:v>61.073</c:v>
                </c:pt>
                <c:pt idx="30">
                  <c:v>61.084000000000003</c:v>
                </c:pt>
                <c:pt idx="31">
                  <c:v>61.289000000000001</c:v>
                </c:pt>
                <c:pt idx="35">
                  <c:v>61.539000000000001</c:v>
                </c:pt>
                <c:pt idx="36">
                  <c:v>61.45</c:v>
                </c:pt>
                <c:pt idx="37">
                  <c:v>61.292999999999999</c:v>
                </c:pt>
                <c:pt idx="38">
                  <c:v>61.497999999999998</c:v>
                </c:pt>
                <c:pt idx="42">
                  <c:v>63.218000000000004</c:v>
                </c:pt>
                <c:pt idx="43">
                  <c:v>61.423999999999999</c:v>
                </c:pt>
                <c:pt idx="44">
                  <c:v>61.124000000000002</c:v>
                </c:pt>
                <c:pt idx="45">
                  <c:v>61.026000000000003</c:v>
                </c:pt>
                <c:pt idx="46">
                  <c:v>61.22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B8-44DD-A35D-D266F1117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959056"/>
        <c:axId val="1265957808"/>
      </c:scatterChart>
      <c:valAx>
        <c:axId val="1291297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1289200"/>
        <c:crosses val="autoZero"/>
        <c:crossBetween val="midCat"/>
      </c:valAx>
      <c:valAx>
        <c:axId val="1291289200"/>
        <c:scaling>
          <c:orientation val="minMax"/>
          <c:max val="11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1297104"/>
        <c:crosses val="autoZero"/>
        <c:crossBetween val="midCat"/>
      </c:valAx>
      <c:valAx>
        <c:axId val="1265957808"/>
        <c:scaling>
          <c:orientation val="minMax"/>
          <c:max val="70"/>
          <c:min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5959056"/>
        <c:crosses val="max"/>
        <c:crossBetween val="midCat"/>
      </c:valAx>
      <c:valAx>
        <c:axId val="1265959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265957808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 &amp; AVG Caliper T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tcaliper_fl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All!$BN$6:$BN$56</c:f>
              <c:numCache>
                <c:formatCode>General</c:formatCode>
                <c:ptCount val="51"/>
                <c:pt idx="0">
                  <c:v>83.24</c:v>
                </c:pt>
                <c:pt idx="1">
                  <c:v>113.592</c:v>
                </c:pt>
                <c:pt idx="2">
                  <c:v>115.64</c:v>
                </c:pt>
                <c:pt idx="3">
                  <c:v>120.328</c:v>
                </c:pt>
                <c:pt idx="7">
                  <c:v>151.94399999999999</c:v>
                </c:pt>
                <c:pt idx="8">
                  <c:v>104.84</c:v>
                </c:pt>
                <c:pt idx="9">
                  <c:v>108.16800000000001</c:v>
                </c:pt>
                <c:pt idx="10">
                  <c:v>107.57599999999999</c:v>
                </c:pt>
                <c:pt idx="11">
                  <c:v>117.83199999999999</c:v>
                </c:pt>
                <c:pt idx="12">
                  <c:v>105.16</c:v>
                </c:pt>
                <c:pt idx="13">
                  <c:v>116.376</c:v>
                </c:pt>
                <c:pt idx="17">
                  <c:v>146.792</c:v>
                </c:pt>
                <c:pt idx="18">
                  <c:v>96.263999999999996</c:v>
                </c:pt>
                <c:pt idx="19">
                  <c:v>99.08</c:v>
                </c:pt>
                <c:pt idx="20">
                  <c:v>101.70399999999999</c:v>
                </c:pt>
                <c:pt idx="21">
                  <c:v>103.624</c:v>
                </c:pt>
                <c:pt idx="22">
                  <c:v>116.28</c:v>
                </c:pt>
                <c:pt idx="26">
                  <c:v>137.59200000000001</c:v>
                </c:pt>
                <c:pt idx="27">
                  <c:v>104.93600000000001</c:v>
                </c:pt>
                <c:pt idx="28">
                  <c:v>108.312</c:v>
                </c:pt>
                <c:pt idx="29">
                  <c:v>112.264</c:v>
                </c:pt>
                <c:pt idx="30">
                  <c:v>111.048</c:v>
                </c:pt>
                <c:pt idx="31">
                  <c:v>112.904</c:v>
                </c:pt>
                <c:pt idx="35">
                  <c:v>130.71199999999999</c:v>
                </c:pt>
                <c:pt idx="36">
                  <c:v>97.272000000000006</c:v>
                </c:pt>
                <c:pt idx="37">
                  <c:v>104.29600000000001</c:v>
                </c:pt>
                <c:pt idx="38">
                  <c:v>113.32</c:v>
                </c:pt>
                <c:pt idx="42">
                  <c:v>108.712</c:v>
                </c:pt>
                <c:pt idx="43">
                  <c:v>103.208</c:v>
                </c:pt>
                <c:pt idx="44">
                  <c:v>97.272000000000006</c:v>
                </c:pt>
                <c:pt idx="45">
                  <c:v>102.744</c:v>
                </c:pt>
                <c:pt idx="46">
                  <c:v>111.44799999999999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D0-4900-80E6-F80250C62AED}"/>
            </c:ext>
          </c:extLst>
        </c:ser>
        <c:ser>
          <c:idx val="1"/>
          <c:order val="1"/>
          <c:tx>
            <c:v>Max tcaliper_fr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All!$BO$6:$BO$56</c:f>
              <c:numCache>
                <c:formatCode>General</c:formatCode>
                <c:ptCount val="51"/>
                <c:pt idx="0">
                  <c:v>84.84</c:v>
                </c:pt>
                <c:pt idx="1">
                  <c:v>110.408</c:v>
                </c:pt>
                <c:pt idx="2">
                  <c:v>114.232</c:v>
                </c:pt>
                <c:pt idx="3">
                  <c:v>120.968</c:v>
                </c:pt>
                <c:pt idx="7">
                  <c:v>147.06399999999999</c:v>
                </c:pt>
                <c:pt idx="8">
                  <c:v>102.024</c:v>
                </c:pt>
                <c:pt idx="9">
                  <c:v>105.52800000000001</c:v>
                </c:pt>
                <c:pt idx="10">
                  <c:v>105.752</c:v>
                </c:pt>
                <c:pt idx="11">
                  <c:v>115.14400000000001</c:v>
                </c:pt>
                <c:pt idx="12">
                  <c:v>102.12</c:v>
                </c:pt>
                <c:pt idx="13">
                  <c:v>114.28</c:v>
                </c:pt>
                <c:pt idx="17">
                  <c:v>141.464</c:v>
                </c:pt>
                <c:pt idx="18">
                  <c:v>92.632000000000005</c:v>
                </c:pt>
                <c:pt idx="19">
                  <c:v>96.52</c:v>
                </c:pt>
                <c:pt idx="20">
                  <c:v>98.12</c:v>
                </c:pt>
                <c:pt idx="21">
                  <c:v>98.68</c:v>
                </c:pt>
                <c:pt idx="22">
                  <c:v>111.816</c:v>
                </c:pt>
                <c:pt idx="26">
                  <c:v>134.184</c:v>
                </c:pt>
                <c:pt idx="27">
                  <c:v>101.01600000000001</c:v>
                </c:pt>
                <c:pt idx="28">
                  <c:v>104.072</c:v>
                </c:pt>
                <c:pt idx="29">
                  <c:v>109.544</c:v>
                </c:pt>
                <c:pt idx="30">
                  <c:v>108.264</c:v>
                </c:pt>
                <c:pt idx="31">
                  <c:v>109.544</c:v>
                </c:pt>
                <c:pt idx="35">
                  <c:v>124.98399999999999</c:v>
                </c:pt>
                <c:pt idx="36">
                  <c:v>95.64</c:v>
                </c:pt>
                <c:pt idx="37">
                  <c:v>98.007999999999996</c:v>
                </c:pt>
                <c:pt idx="38">
                  <c:v>109.224</c:v>
                </c:pt>
                <c:pt idx="42">
                  <c:v>107.032</c:v>
                </c:pt>
                <c:pt idx="43">
                  <c:v>98.488</c:v>
                </c:pt>
                <c:pt idx="44">
                  <c:v>94.072000000000003</c:v>
                </c:pt>
                <c:pt idx="45">
                  <c:v>98.12</c:v>
                </c:pt>
                <c:pt idx="46">
                  <c:v>109.992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D0-4900-80E6-F80250C62AED}"/>
            </c:ext>
          </c:extLst>
        </c:ser>
        <c:ser>
          <c:idx val="2"/>
          <c:order val="2"/>
          <c:tx>
            <c:v>Max tcaliper_rl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All!$BP$6:$BP$56</c:f>
              <c:numCache>
                <c:formatCode>General</c:formatCode>
                <c:ptCount val="51"/>
                <c:pt idx="0">
                  <c:v>87.367999999999995</c:v>
                </c:pt>
                <c:pt idx="1">
                  <c:v>145.75200000000001</c:v>
                </c:pt>
                <c:pt idx="2">
                  <c:v>151.94399999999999</c:v>
                </c:pt>
                <c:pt idx="3">
                  <c:v>165.06399999999999</c:v>
                </c:pt>
                <c:pt idx="7">
                  <c:v>140.82400000000001</c:v>
                </c:pt>
                <c:pt idx="8">
                  <c:v>139.01599999999999</c:v>
                </c:pt>
                <c:pt idx="9">
                  <c:v>144.66399999999999</c:v>
                </c:pt>
                <c:pt idx="10">
                  <c:v>145.33600000000001</c:v>
                </c:pt>
                <c:pt idx="11">
                  <c:v>149.84800000000001</c:v>
                </c:pt>
                <c:pt idx="12">
                  <c:v>132.584</c:v>
                </c:pt>
                <c:pt idx="13">
                  <c:v>140.42400000000001</c:v>
                </c:pt>
                <c:pt idx="17">
                  <c:v>126.072</c:v>
                </c:pt>
                <c:pt idx="18">
                  <c:v>115.32</c:v>
                </c:pt>
                <c:pt idx="19">
                  <c:v>127.48</c:v>
                </c:pt>
                <c:pt idx="20">
                  <c:v>126.44</c:v>
                </c:pt>
                <c:pt idx="21">
                  <c:v>120.328</c:v>
                </c:pt>
                <c:pt idx="22">
                  <c:v>132.77600000000001</c:v>
                </c:pt>
                <c:pt idx="26">
                  <c:v>125.16</c:v>
                </c:pt>
                <c:pt idx="27">
                  <c:v>129.624</c:v>
                </c:pt>
                <c:pt idx="28">
                  <c:v>131.864</c:v>
                </c:pt>
                <c:pt idx="29">
                  <c:v>137.048</c:v>
                </c:pt>
                <c:pt idx="30">
                  <c:v>137.59200000000001</c:v>
                </c:pt>
                <c:pt idx="31">
                  <c:v>138.87200000000001</c:v>
                </c:pt>
                <c:pt idx="35">
                  <c:v>120.47199999999999</c:v>
                </c:pt>
                <c:pt idx="36">
                  <c:v>114.232</c:v>
                </c:pt>
                <c:pt idx="37">
                  <c:v>123.208</c:v>
                </c:pt>
                <c:pt idx="38">
                  <c:v>130.76</c:v>
                </c:pt>
                <c:pt idx="42">
                  <c:v>95.224000000000004</c:v>
                </c:pt>
                <c:pt idx="43">
                  <c:v>88.135999999999996</c:v>
                </c:pt>
                <c:pt idx="44">
                  <c:v>110.904</c:v>
                </c:pt>
                <c:pt idx="45">
                  <c:v>127.4</c:v>
                </c:pt>
                <c:pt idx="46">
                  <c:v>128.392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D0-4900-80E6-F80250C62AED}"/>
            </c:ext>
          </c:extLst>
        </c:ser>
        <c:ser>
          <c:idx val="3"/>
          <c:order val="3"/>
          <c:tx>
            <c:v>Max tcaliper_rr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All!$BQ$6:$BQ$56</c:f>
              <c:numCache>
                <c:formatCode>General</c:formatCode>
                <c:ptCount val="51"/>
                <c:pt idx="0">
                  <c:v>84.536000000000001</c:v>
                </c:pt>
                <c:pt idx="1">
                  <c:v>146.34399999999999</c:v>
                </c:pt>
                <c:pt idx="2">
                  <c:v>157.048</c:v>
                </c:pt>
                <c:pt idx="3">
                  <c:v>166.15199999999999</c:v>
                </c:pt>
                <c:pt idx="7">
                  <c:v>135.49600000000001</c:v>
                </c:pt>
                <c:pt idx="8">
                  <c:v>138.184</c:v>
                </c:pt>
                <c:pt idx="9">
                  <c:v>144.376</c:v>
                </c:pt>
                <c:pt idx="10">
                  <c:v>145.11199999999999</c:v>
                </c:pt>
                <c:pt idx="11">
                  <c:v>149.11199999999999</c:v>
                </c:pt>
                <c:pt idx="12">
                  <c:v>133.63999999999999</c:v>
                </c:pt>
                <c:pt idx="13">
                  <c:v>142.6</c:v>
                </c:pt>
                <c:pt idx="17">
                  <c:v>132.63200000000001</c:v>
                </c:pt>
                <c:pt idx="18">
                  <c:v>118.6</c:v>
                </c:pt>
                <c:pt idx="19">
                  <c:v>130.904</c:v>
                </c:pt>
                <c:pt idx="20">
                  <c:v>131.22399999999999</c:v>
                </c:pt>
                <c:pt idx="21">
                  <c:v>125.208</c:v>
                </c:pt>
                <c:pt idx="22">
                  <c:v>136.50399999999999</c:v>
                </c:pt>
                <c:pt idx="26">
                  <c:v>127.48</c:v>
                </c:pt>
                <c:pt idx="27">
                  <c:v>133.36799999999999</c:v>
                </c:pt>
                <c:pt idx="28">
                  <c:v>135.68799999999999</c:v>
                </c:pt>
                <c:pt idx="29">
                  <c:v>139.416</c:v>
                </c:pt>
                <c:pt idx="30">
                  <c:v>140.15199999999999</c:v>
                </c:pt>
                <c:pt idx="31">
                  <c:v>140.87200000000001</c:v>
                </c:pt>
                <c:pt idx="35">
                  <c:v>125.896</c:v>
                </c:pt>
                <c:pt idx="36">
                  <c:v>118.648</c:v>
                </c:pt>
                <c:pt idx="37">
                  <c:v>125.208</c:v>
                </c:pt>
                <c:pt idx="38">
                  <c:v>133.32</c:v>
                </c:pt>
                <c:pt idx="42">
                  <c:v>101.88</c:v>
                </c:pt>
                <c:pt idx="43">
                  <c:v>93.367999999999995</c:v>
                </c:pt>
                <c:pt idx="44">
                  <c:v>113.816</c:v>
                </c:pt>
                <c:pt idx="45">
                  <c:v>128.85599999999999</c:v>
                </c:pt>
                <c:pt idx="46">
                  <c:v>130.98400000000001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D0-4900-80E6-F80250C62AED}"/>
            </c:ext>
          </c:extLst>
        </c:ser>
        <c:ser>
          <c:idx val="4"/>
          <c:order val="4"/>
          <c:tx>
            <c:v>Ave tcaliper_fl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All!$CP$6:$CP$56</c:f>
              <c:numCache>
                <c:formatCode>General</c:formatCode>
                <c:ptCount val="51"/>
                <c:pt idx="0">
                  <c:v>30.044</c:v>
                </c:pt>
                <c:pt idx="1">
                  <c:v>96.628</c:v>
                </c:pt>
                <c:pt idx="2">
                  <c:v>107.658</c:v>
                </c:pt>
                <c:pt idx="3">
                  <c:v>105.88</c:v>
                </c:pt>
                <c:pt idx="7">
                  <c:v>112.173</c:v>
                </c:pt>
                <c:pt idx="8">
                  <c:v>98.147999999999996</c:v>
                </c:pt>
                <c:pt idx="9">
                  <c:v>102.562</c:v>
                </c:pt>
                <c:pt idx="10">
                  <c:v>100.651</c:v>
                </c:pt>
                <c:pt idx="11">
                  <c:v>99.960999999999999</c:v>
                </c:pt>
                <c:pt idx="12">
                  <c:v>98.646000000000001</c:v>
                </c:pt>
                <c:pt idx="13">
                  <c:v>102.851</c:v>
                </c:pt>
                <c:pt idx="17">
                  <c:v>108.494</c:v>
                </c:pt>
                <c:pt idx="18">
                  <c:v>91.522000000000006</c:v>
                </c:pt>
                <c:pt idx="19">
                  <c:v>95.63</c:v>
                </c:pt>
                <c:pt idx="20">
                  <c:v>97.882999999999996</c:v>
                </c:pt>
                <c:pt idx="21">
                  <c:v>98.186000000000007</c:v>
                </c:pt>
                <c:pt idx="22">
                  <c:v>101.333</c:v>
                </c:pt>
                <c:pt idx="26">
                  <c:v>104.854</c:v>
                </c:pt>
                <c:pt idx="27">
                  <c:v>99.71</c:v>
                </c:pt>
                <c:pt idx="28">
                  <c:v>102.26</c:v>
                </c:pt>
                <c:pt idx="29">
                  <c:v>104.61</c:v>
                </c:pt>
                <c:pt idx="30">
                  <c:v>103.941</c:v>
                </c:pt>
                <c:pt idx="31">
                  <c:v>103.35599999999999</c:v>
                </c:pt>
                <c:pt idx="35">
                  <c:v>110.116</c:v>
                </c:pt>
                <c:pt idx="36">
                  <c:v>91.938000000000002</c:v>
                </c:pt>
                <c:pt idx="37">
                  <c:v>96.620999999999995</c:v>
                </c:pt>
                <c:pt idx="38">
                  <c:v>88.221000000000004</c:v>
                </c:pt>
                <c:pt idx="42">
                  <c:v>95.415999999999997</c:v>
                </c:pt>
                <c:pt idx="43">
                  <c:v>76.325000000000003</c:v>
                </c:pt>
                <c:pt idx="44">
                  <c:v>90.174000000000007</c:v>
                </c:pt>
                <c:pt idx="45">
                  <c:v>98.191999999999993</c:v>
                </c:pt>
                <c:pt idx="46">
                  <c:v>99.453999999999994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DD0-4900-80E6-F80250C62AED}"/>
            </c:ext>
          </c:extLst>
        </c:ser>
        <c:ser>
          <c:idx val="5"/>
          <c:order val="5"/>
          <c:tx>
            <c:v>Ave tcaliper_fr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All!$CQ$6:$CQ$56</c:f>
              <c:numCache>
                <c:formatCode>General</c:formatCode>
                <c:ptCount val="51"/>
                <c:pt idx="0">
                  <c:v>30.678999999999998</c:v>
                </c:pt>
                <c:pt idx="1">
                  <c:v>97.539000000000001</c:v>
                </c:pt>
                <c:pt idx="2">
                  <c:v>107.807</c:v>
                </c:pt>
                <c:pt idx="3">
                  <c:v>106.947</c:v>
                </c:pt>
                <c:pt idx="7">
                  <c:v>111.22499999999999</c:v>
                </c:pt>
                <c:pt idx="8">
                  <c:v>97.213999999999999</c:v>
                </c:pt>
                <c:pt idx="9">
                  <c:v>101.167</c:v>
                </c:pt>
                <c:pt idx="10">
                  <c:v>99.977999999999994</c:v>
                </c:pt>
                <c:pt idx="11">
                  <c:v>98.738</c:v>
                </c:pt>
                <c:pt idx="12">
                  <c:v>96.617000000000004</c:v>
                </c:pt>
                <c:pt idx="13">
                  <c:v>100.336</c:v>
                </c:pt>
                <c:pt idx="17">
                  <c:v>105.767</c:v>
                </c:pt>
                <c:pt idx="18">
                  <c:v>88.893000000000001</c:v>
                </c:pt>
                <c:pt idx="19">
                  <c:v>93.314999999999998</c:v>
                </c:pt>
                <c:pt idx="20">
                  <c:v>94.899000000000001</c:v>
                </c:pt>
                <c:pt idx="21">
                  <c:v>94.906000000000006</c:v>
                </c:pt>
                <c:pt idx="22">
                  <c:v>97.894000000000005</c:v>
                </c:pt>
                <c:pt idx="26">
                  <c:v>101.751</c:v>
                </c:pt>
                <c:pt idx="27">
                  <c:v>95.981999999999999</c:v>
                </c:pt>
                <c:pt idx="28">
                  <c:v>99.936000000000007</c:v>
                </c:pt>
                <c:pt idx="29">
                  <c:v>102.791</c:v>
                </c:pt>
                <c:pt idx="30">
                  <c:v>101.919</c:v>
                </c:pt>
                <c:pt idx="31">
                  <c:v>100.428</c:v>
                </c:pt>
                <c:pt idx="35">
                  <c:v>104.36199999999999</c:v>
                </c:pt>
                <c:pt idx="36">
                  <c:v>90.022000000000006</c:v>
                </c:pt>
                <c:pt idx="37">
                  <c:v>92.997</c:v>
                </c:pt>
                <c:pt idx="38">
                  <c:v>86.274000000000001</c:v>
                </c:pt>
                <c:pt idx="42">
                  <c:v>93.515000000000001</c:v>
                </c:pt>
                <c:pt idx="43">
                  <c:v>74.010999999999996</c:v>
                </c:pt>
                <c:pt idx="44">
                  <c:v>88.292000000000002</c:v>
                </c:pt>
                <c:pt idx="45">
                  <c:v>94.766000000000005</c:v>
                </c:pt>
                <c:pt idx="46">
                  <c:v>96.933999999999997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DD0-4900-80E6-F80250C62AED}"/>
            </c:ext>
          </c:extLst>
        </c:ser>
        <c:ser>
          <c:idx val="6"/>
          <c:order val="6"/>
          <c:tx>
            <c:v>Ave tcaliper_rl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All!$CR$6:$CR$56</c:f>
              <c:numCache>
                <c:formatCode>General</c:formatCode>
                <c:ptCount val="51"/>
                <c:pt idx="0">
                  <c:v>31.998000000000001</c:v>
                </c:pt>
                <c:pt idx="1">
                  <c:v>114.09399999999999</c:v>
                </c:pt>
                <c:pt idx="2">
                  <c:v>145.364</c:v>
                </c:pt>
                <c:pt idx="3">
                  <c:v>150.36099999999999</c:v>
                </c:pt>
                <c:pt idx="7">
                  <c:v>121.277</c:v>
                </c:pt>
                <c:pt idx="8">
                  <c:v>129.71600000000001</c:v>
                </c:pt>
                <c:pt idx="9">
                  <c:v>136.357</c:v>
                </c:pt>
                <c:pt idx="10">
                  <c:v>137.45400000000001</c:v>
                </c:pt>
                <c:pt idx="11">
                  <c:v>129.721</c:v>
                </c:pt>
                <c:pt idx="12">
                  <c:v>126.54</c:v>
                </c:pt>
                <c:pt idx="13">
                  <c:v>128.31299999999999</c:v>
                </c:pt>
                <c:pt idx="17">
                  <c:v>106.002</c:v>
                </c:pt>
                <c:pt idx="18">
                  <c:v>100.41800000000001</c:v>
                </c:pt>
                <c:pt idx="19">
                  <c:v>117.905</c:v>
                </c:pt>
                <c:pt idx="20">
                  <c:v>114.39100000000001</c:v>
                </c:pt>
                <c:pt idx="21">
                  <c:v>110.172</c:v>
                </c:pt>
                <c:pt idx="22">
                  <c:v>121.22</c:v>
                </c:pt>
                <c:pt idx="26">
                  <c:v>110.78700000000001</c:v>
                </c:pt>
                <c:pt idx="27">
                  <c:v>119.512</c:v>
                </c:pt>
                <c:pt idx="28">
                  <c:v>124.529</c:v>
                </c:pt>
                <c:pt idx="29">
                  <c:v>130.71</c:v>
                </c:pt>
                <c:pt idx="30">
                  <c:v>131.38999999999999</c:v>
                </c:pt>
                <c:pt idx="31">
                  <c:v>130.00299999999999</c:v>
                </c:pt>
                <c:pt idx="35">
                  <c:v>91.070999999999998</c:v>
                </c:pt>
                <c:pt idx="36">
                  <c:v>103.726</c:v>
                </c:pt>
                <c:pt idx="37">
                  <c:v>110.77200000000001</c:v>
                </c:pt>
                <c:pt idx="38">
                  <c:v>99.076999999999998</c:v>
                </c:pt>
                <c:pt idx="42">
                  <c:v>84.012</c:v>
                </c:pt>
                <c:pt idx="43">
                  <c:v>70.13</c:v>
                </c:pt>
                <c:pt idx="44">
                  <c:v>92.912999999999997</c:v>
                </c:pt>
                <c:pt idx="45">
                  <c:v>116.889</c:v>
                </c:pt>
                <c:pt idx="46">
                  <c:v>121.944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DD0-4900-80E6-F80250C62AED}"/>
            </c:ext>
          </c:extLst>
        </c:ser>
        <c:ser>
          <c:idx val="7"/>
          <c:order val="7"/>
          <c:tx>
            <c:v>Ave tcaliper_rr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All!$CS$6:$CS$56</c:f>
              <c:numCache>
                <c:formatCode>General</c:formatCode>
                <c:ptCount val="51"/>
                <c:pt idx="0">
                  <c:v>30.033999999999999</c:v>
                </c:pt>
                <c:pt idx="1">
                  <c:v>115.142</c:v>
                </c:pt>
                <c:pt idx="2">
                  <c:v>150.673</c:v>
                </c:pt>
                <c:pt idx="3">
                  <c:v>156.30699999999999</c:v>
                </c:pt>
                <c:pt idx="7">
                  <c:v>118.735</c:v>
                </c:pt>
                <c:pt idx="8">
                  <c:v>130.286</c:v>
                </c:pt>
                <c:pt idx="9">
                  <c:v>137.52799999999999</c:v>
                </c:pt>
                <c:pt idx="10">
                  <c:v>139.46799999999999</c:v>
                </c:pt>
                <c:pt idx="11">
                  <c:v>131.69800000000001</c:v>
                </c:pt>
                <c:pt idx="12">
                  <c:v>129.273</c:v>
                </c:pt>
                <c:pt idx="13">
                  <c:v>132.41399999999999</c:v>
                </c:pt>
                <c:pt idx="17">
                  <c:v>111.01</c:v>
                </c:pt>
                <c:pt idx="18">
                  <c:v>105.55800000000001</c:v>
                </c:pt>
                <c:pt idx="19">
                  <c:v>122.992</c:v>
                </c:pt>
                <c:pt idx="20">
                  <c:v>120.95399999999999</c:v>
                </c:pt>
                <c:pt idx="21">
                  <c:v>117.88</c:v>
                </c:pt>
                <c:pt idx="22">
                  <c:v>126.944</c:v>
                </c:pt>
                <c:pt idx="26">
                  <c:v>114.694</c:v>
                </c:pt>
                <c:pt idx="27">
                  <c:v>124.489</c:v>
                </c:pt>
                <c:pt idx="28">
                  <c:v>130.33799999999999</c:v>
                </c:pt>
                <c:pt idx="29">
                  <c:v>135.142</c:v>
                </c:pt>
                <c:pt idx="30">
                  <c:v>135.20500000000001</c:v>
                </c:pt>
                <c:pt idx="31">
                  <c:v>131.92099999999999</c:v>
                </c:pt>
                <c:pt idx="35">
                  <c:v>93.119</c:v>
                </c:pt>
                <c:pt idx="36">
                  <c:v>109.252</c:v>
                </c:pt>
                <c:pt idx="37">
                  <c:v>116.11199999999999</c:v>
                </c:pt>
                <c:pt idx="38">
                  <c:v>101.996</c:v>
                </c:pt>
                <c:pt idx="42">
                  <c:v>88.71</c:v>
                </c:pt>
                <c:pt idx="43">
                  <c:v>74.073999999999998</c:v>
                </c:pt>
                <c:pt idx="44">
                  <c:v>99.350999999999999</c:v>
                </c:pt>
                <c:pt idx="45">
                  <c:v>120.59</c:v>
                </c:pt>
                <c:pt idx="46">
                  <c:v>126.39400000000001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DD0-4900-80E6-F80250C62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2504176"/>
        <c:axId val="972510832"/>
      </c:scatterChart>
      <c:valAx>
        <c:axId val="972504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2510832"/>
        <c:crosses val="autoZero"/>
        <c:crossBetween val="midCat"/>
      </c:valAx>
      <c:valAx>
        <c:axId val="972510832"/>
        <c:scaling>
          <c:orientation val="minMax"/>
          <c:max val="25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2504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Brake wear [mm/lap]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Lap-Diff Brk_Wear_FL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All!$IQ$6:$IQ$56</c:f>
              <c:numCache>
                <c:formatCode>General</c:formatCode>
                <c:ptCount val="51"/>
                <c:pt idx="0">
                  <c:v>2.5000000000000001E-2</c:v>
                </c:pt>
                <c:pt idx="1">
                  <c:v>-1E-3</c:v>
                </c:pt>
                <c:pt idx="2">
                  <c:v>8.9999999999999993E-3</c:v>
                </c:pt>
                <c:pt idx="3">
                  <c:v>0</c:v>
                </c:pt>
                <c:pt idx="7">
                  <c:v>1.2999999999999999E-2</c:v>
                </c:pt>
                <c:pt idx="8">
                  <c:v>7.0000000000000001E-3</c:v>
                </c:pt>
                <c:pt idx="9">
                  <c:v>1.0999999999999999E-2</c:v>
                </c:pt>
                <c:pt idx="10">
                  <c:v>1.4E-2</c:v>
                </c:pt>
                <c:pt idx="11">
                  <c:v>6.0000000000000001E-3</c:v>
                </c:pt>
                <c:pt idx="12">
                  <c:v>8.9999999999999993E-3</c:v>
                </c:pt>
                <c:pt idx="13">
                  <c:v>0</c:v>
                </c:pt>
                <c:pt idx="17">
                  <c:v>1.6E-2</c:v>
                </c:pt>
                <c:pt idx="18">
                  <c:v>0.01</c:v>
                </c:pt>
                <c:pt idx="19">
                  <c:v>7.0000000000000001E-3</c:v>
                </c:pt>
                <c:pt idx="20">
                  <c:v>0.01</c:v>
                </c:pt>
                <c:pt idx="21">
                  <c:v>1.0999999999999999E-2</c:v>
                </c:pt>
                <c:pt idx="22">
                  <c:v>0</c:v>
                </c:pt>
                <c:pt idx="26">
                  <c:v>8.9999999999999993E-3</c:v>
                </c:pt>
                <c:pt idx="27">
                  <c:v>1.0999999999999999E-2</c:v>
                </c:pt>
                <c:pt idx="28">
                  <c:v>1.0999999999999999E-2</c:v>
                </c:pt>
                <c:pt idx="29">
                  <c:v>0.01</c:v>
                </c:pt>
                <c:pt idx="30">
                  <c:v>1.2999999999999999E-2</c:v>
                </c:pt>
                <c:pt idx="31">
                  <c:v>0</c:v>
                </c:pt>
                <c:pt idx="35">
                  <c:v>3.4000000000000002E-2</c:v>
                </c:pt>
                <c:pt idx="36">
                  <c:v>1.2E-2</c:v>
                </c:pt>
                <c:pt idx="37">
                  <c:v>1.0999999999999999E-2</c:v>
                </c:pt>
                <c:pt idx="38">
                  <c:v>0</c:v>
                </c:pt>
                <c:pt idx="42">
                  <c:v>5.0000000000000001E-3</c:v>
                </c:pt>
                <c:pt idx="43">
                  <c:v>4.0000000000000001E-3</c:v>
                </c:pt>
                <c:pt idx="44">
                  <c:v>1.7000000000000001E-2</c:v>
                </c:pt>
                <c:pt idx="45">
                  <c:v>1.2E-2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A7-447B-983F-54623B725E1D}"/>
            </c:ext>
          </c:extLst>
        </c:ser>
        <c:ser>
          <c:idx val="1"/>
          <c:order val="1"/>
          <c:tx>
            <c:v>Lap-Diff Brk_Wear_FR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All!$IR$6:$IR$56</c:f>
              <c:numCache>
                <c:formatCode>General</c:formatCode>
                <c:ptCount val="51"/>
                <c:pt idx="0">
                  <c:v>7.4999999999999997E-2</c:v>
                </c:pt>
                <c:pt idx="1">
                  <c:v>1.2E-2</c:v>
                </c:pt>
                <c:pt idx="2">
                  <c:v>1.0999999999999999E-2</c:v>
                </c:pt>
                <c:pt idx="3">
                  <c:v>0</c:v>
                </c:pt>
                <c:pt idx="7">
                  <c:v>1.4999999999999999E-2</c:v>
                </c:pt>
                <c:pt idx="8">
                  <c:v>0.01</c:v>
                </c:pt>
                <c:pt idx="9">
                  <c:v>8.9999999999999993E-3</c:v>
                </c:pt>
                <c:pt idx="10">
                  <c:v>1.2E-2</c:v>
                </c:pt>
                <c:pt idx="11">
                  <c:v>6.0000000000000001E-3</c:v>
                </c:pt>
                <c:pt idx="12">
                  <c:v>8.9999999999999993E-3</c:v>
                </c:pt>
                <c:pt idx="13">
                  <c:v>0</c:v>
                </c:pt>
                <c:pt idx="17">
                  <c:v>1.4E-2</c:v>
                </c:pt>
                <c:pt idx="18">
                  <c:v>5.0000000000000001E-3</c:v>
                </c:pt>
                <c:pt idx="19">
                  <c:v>8.0000000000000002E-3</c:v>
                </c:pt>
                <c:pt idx="20">
                  <c:v>6.0000000000000001E-3</c:v>
                </c:pt>
                <c:pt idx="21">
                  <c:v>0.01</c:v>
                </c:pt>
                <c:pt idx="22">
                  <c:v>0</c:v>
                </c:pt>
                <c:pt idx="26">
                  <c:v>0.01</c:v>
                </c:pt>
                <c:pt idx="27">
                  <c:v>0.01</c:v>
                </c:pt>
                <c:pt idx="28">
                  <c:v>8.0000000000000002E-3</c:v>
                </c:pt>
                <c:pt idx="29">
                  <c:v>8.0000000000000002E-3</c:v>
                </c:pt>
                <c:pt idx="30">
                  <c:v>8.0000000000000002E-3</c:v>
                </c:pt>
                <c:pt idx="31">
                  <c:v>0</c:v>
                </c:pt>
                <c:pt idx="35">
                  <c:v>3.4000000000000002E-2</c:v>
                </c:pt>
                <c:pt idx="36">
                  <c:v>8.9999999999999993E-3</c:v>
                </c:pt>
                <c:pt idx="37">
                  <c:v>1.7000000000000001E-2</c:v>
                </c:pt>
                <c:pt idx="38">
                  <c:v>0</c:v>
                </c:pt>
                <c:pt idx="42">
                  <c:v>1.2999999999999999E-2</c:v>
                </c:pt>
                <c:pt idx="43">
                  <c:v>5.0000000000000001E-3</c:v>
                </c:pt>
                <c:pt idx="44">
                  <c:v>7.0000000000000001E-3</c:v>
                </c:pt>
                <c:pt idx="45">
                  <c:v>0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A7-447B-983F-54623B725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2506256"/>
        <c:axId val="972506672"/>
      </c:scatterChart>
      <c:valAx>
        <c:axId val="972506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2506672"/>
        <c:crosses val="autoZero"/>
        <c:crossBetween val="midCat"/>
      </c:valAx>
      <c:valAx>
        <c:axId val="97250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2506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Brake wear total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Disk wear 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All!$IS$6:$IS$56</c:f>
              <c:numCache>
                <c:formatCode>General</c:formatCode>
                <c:ptCount val="51"/>
                <c:pt idx="0">
                  <c:v>2.5000000000000001E-2</c:v>
                </c:pt>
                <c:pt idx="1">
                  <c:v>0.22500000000000001</c:v>
                </c:pt>
                <c:pt idx="2">
                  <c:v>0.23400000000000001</c:v>
                </c:pt>
                <c:pt idx="3">
                  <c:v>0.23400000000000001</c:v>
                </c:pt>
                <c:pt idx="4">
                  <c:v>0.23400000000000001</c:v>
                </c:pt>
                <c:pt idx="5">
                  <c:v>0.23400000000000001</c:v>
                </c:pt>
                <c:pt idx="6">
                  <c:v>0.23400000000000001</c:v>
                </c:pt>
                <c:pt idx="7">
                  <c:v>0.23400000000000001</c:v>
                </c:pt>
                <c:pt idx="8">
                  <c:v>0.24100000000000002</c:v>
                </c:pt>
                <c:pt idx="9">
                  <c:v>0.252</c:v>
                </c:pt>
                <c:pt idx="10">
                  <c:v>0.26600000000000001</c:v>
                </c:pt>
                <c:pt idx="11">
                  <c:v>0.27200000000000002</c:v>
                </c:pt>
                <c:pt idx="12">
                  <c:v>0.28100000000000003</c:v>
                </c:pt>
                <c:pt idx="13">
                  <c:v>0.28100000000000003</c:v>
                </c:pt>
                <c:pt idx="14">
                  <c:v>0.28100000000000003</c:v>
                </c:pt>
                <c:pt idx="15">
                  <c:v>0.28100000000000003</c:v>
                </c:pt>
                <c:pt idx="16">
                  <c:v>0.28100000000000003</c:v>
                </c:pt>
                <c:pt idx="17">
                  <c:v>0.28100000000000003</c:v>
                </c:pt>
                <c:pt idx="18">
                  <c:v>0.29100000000000004</c:v>
                </c:pt>
                <c:pt idx="19">
                  <c:v>0.29800000000000004</c:v>
                </c:pt>
                <c:pt idx="20">
                  <c:v>0.30800000000000005</c:v>
                </c:pt>
                <c:pt idx="21">
                  <c:v>0.31900000000000006</c:v>
                </c:pt>
                <c:pt idx="22">
                  <c:v>0.31900000000000006</c:v>
                </c:pt>
                <c:pt idx="23">
                  <c:v>0.31900000000000006</c:v>
                </c:pt>
                <c:pt idx="24">
                  <c:v>0.31900000000000006</c:v>
                </c:pt>
                <c:pt idx="25">
                  <c:v>0.31900000000000006</c:v>
                </c:pt>
                <c:pt idx="26">
                  <c:v>0.31900000000000006</c:v>
                </c:pt>
                <c:pt idx="27">
                  <c:v>0.33000000000000007</c:v>
                </c:pt>
                <c:pt idx="28">
                  <c:v>0.34100000000000008</c:v>
                </c:pt>
                <c:pt idx="29">
                  <c:v>0.35100000000000009</c:v>
                </c:pt>
                <c:pt idx="30">
                  <c:v>0.3640000000000001</c:v>
                </c:pt>
                <c:pt idx="31">
                  <c:v>0.3640000000000001</c:v>
                </c:pt>
                <c:pt idx="32">
                  <c:v>0.3640000000000001</c:v>
                </c:pt>
                <c:pt idx="33">
                  <c:v>0.3640000000000001</c:v>
                </c:pt>
                <c:pt idx="34">
                  <c:v>0.3640000000000001</c:v>
                </c:pt>
                <c:pt idx="35">
                  <c:v>0.3640000000000001</c:v>
                </c:pt>
                <c:pt idx="36">
                  <c:v>0.37600000000000011</c:v>
                </c:pt>
                <c:pt idx="37">
                  <c:v>0.38700000000000012</c:v>
                </c:pt>
                <c:pt idx="38">
                  <c:v>0.38700000000000012</c:v>
                </c:pt>
                <c:pt idx="39">
                  <c:v>0.38700000000000012</c:v>
                </c:pt>
                <c:pt idx="40">
                  <c:v>0.38700000000000012</c:v>
                </c:pt>
                <c:pt idx="41">
                  <c:v>0.38700000000000012</c:v>
                </c:pt>
                <c:pt idx="42">
                  <c:v>0.38700000000000012</c:v>
                </c:pt>
                <c:pt idx="43">
                  <c:v>0.39100000000000013</c:v>
                </c:pt>
                <c:pt idx="44">
                  <c:v>0.40800000000000014</c:v>
                </c:pt>
                <c:pt idx="45">
                  <c:v>0.42000000000000015</c:v>
                </c:pt>
                <c:pt idx="46">
                  <c:v>0.42000000000000015</c:v>
                </c:pt>
                <c:pt idx="47">
                  <c:v>0.42000000000000015</c:v>
                </c:pt>
                <c:pt idx="48">
                  <c:v>0.42000000000000015</c:v>
                </c:pt>
                <c:pt idx="49">
                  <c:v>0.42000000000000015</c:v>
                </c:pt>
                <c:pt idx="50">
                  <c:v>0.42000000000000015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B5-4ABB-B3E1-EF146F80CA4C}"/>
            </c:ext>
          </c:extLst>
        </c:ser>
        <c:ser>
          <c:idx val="1"/>
          <c:order val="1"/>
          <c:tx>
            <c:v>Disk wear 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All!$IT$6:$IT$56</c:f>
              <c:numCache>
                <c:formatCode>General</c:formatCode>
                <c:ptCount val="51"/>
                <c:pt idx="0">
                  <c:v>7.4999999999999997E-2</c:v>
                </c:pt>
                <c:pt idx="1">
                  <c:v>9.9000000000000005E-2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0.12</c:v>
                </c:pt>
                <c:pt idx="9">
                  <c:v>0.129</c:v>
                </c:pt>
                <c:pt idx="10">
                  <c:v>0.14100000000000001</c:v>
                </c:pt>
                <c:pt idx="11">
                  <c:v>0.14700000000000002</c:v>
                </c:pt>
                <c:pt idx="12">
                  <c:v>0.15600000000000003</c:v>
                </c:pt>
                <c:pt idx="13">
                  <c:v>0.15600000000000003</c:v>
                </c:pt>
                <c:pt idx="14">
                  <c:v>0.15600000000000003</c:v>
                </c:pt>
                <c:pt idx="15">
                  <c:v>0.15600000000000003</c:v>
                </c:pt>
                <c:pt idx="16">
                  <c:v>0.15600000000000003</c:v>
                </c:pt>
                <c:pt idx="17">
                  <c:v>0.15600000000000003</c:v>
                </c:pt>
                <c:pt idx="18">
                  <c:v>0.16100000000000003</c:v>
                </c:pt>
                <c:pt idx="19">
                  <c:v>0.16900000000000004</c:v>
                </c:pt>
                <c:pt idx="20">
                  <c:v>0.17500000000000004</c:v>
                </c:pt>
                <c:pt idx="21">
                  <c:v>0.18500000000000005</c:v>
                </c:pt>
                <c:pt idx="22">
                  <c:v>0.18500000000000005</c:v>
                </c:pt>
                <c:pt idx="23">
                  <c:v>0.18500000000000005</c:v>
                </c:pt>
                <c:pt idx="24">
                  <c:v>0.18500000000000005</c:v>
                </c:pt>
                <c:pt idx="25">
                  <c:v>0.18500000000000005</c:v>
                </c:pt>
                <c:pt idx="26">
                  <c:v>0.18500000000000005</c:v>
                </c:pt>
                <c:pt idx="27">
                  <c:v>0.19500000000000006</c:v>
                </c:pt>
                <c:pt idx="28">
                  <c:v>0.20300000000000007</c:v>
                </c:pt>
                <c:pt idx="29">
                  <c:v>0.21100000000000008</c:v>
                </c:pt>
                <c:pt idx="30">
                  <c:v>0.21900000000000008</c:v>
                </c:pt>
                <c:pt idx="31">
                  <c:v>0.21900000000000008</c:v>
                </c:pt>
                <c:pt idx="32">
                  <c:v>0.21900000000000008</c:v>
                </c:pt>
                <c:pt idx="33">
                  <c:v>0.21900000000000008</c:v>
                </c:pt>
                <c:pt idx="34">
                  <c:v>0.21900000000000008</c:v>
                </c:pt>
                <c:pt idx="35">
                  <c:v>0.21900000000000008</c:v>
                </c:pt>
                <c:pt idx="36">
                  <c:v>0.22800000000000009</c:v>
                </c:pt>
                <c:pt idx="37">
                  <c:v>0.24500000000000011</c:v>
                </c:pt>
                <c:pt idx="38">
                  <c:v>0.24500000000000011</c:v>
                </c:pt>
                <c:pt idx="39">
                  <c:v>0.24500000000000011</c:v>
                </c:pt>
                <c:pt idx="40">
                  <c:v>0.24500000000000011</c:v>
                </c:pt>
                <c:pt idx="41">
                  <c:v>0.24500000000000011</c:v>
                </c:pt>
                <c:pt idx="42">
                  <c:v>0.24500000000000011</c:v>
                </c:pt>
                <c:pt idx="43">
                  <c:v>0.25000000000000011</c:v>
                </c:pt>
                <c:pt idx="44">
                  <c:v>0.25700000000000012</c:v>
                </c:pt>
                <c:pt idx="45">
                  <c:v>0.25700000000000012</c:v>
                </c:pt>
                <c:pt idx="46">
                  <c:v>0.25700000000000012</c:v>
                </c:pt>
                <c:pt idx="47">
                  <c:v>0.25700000000000012</c:v>
                </c:pt>
                <c:pt idx="48">
                  <c:v>0.25700000000000012</c:v>
                </c:pt>
                <c:pt idx="49">
                  <c:v>0.25700000000000012</c:v>
                </c:pt>
                <c:pt idx="50">
                  <c:v>0.25700000000000012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B5-4ABB-B3E1-EF146F80C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0558704"/>
        <c:axId val="1220561616"/>
      </c:scatterChart>
      <c:valAx>
        <c:axId val="1220558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0561616"/>
        <c:crosses val="autoZero"/>
        <c:crossBetween val="midCat"/>
      </c:valAx>
      <c:valAx>
        <c:axId val="122056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055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Oil level [litres], pcrank [mBar]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Oil_level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All!$AV$6:$AV$56</c:f>
              <c:numCache>
                <c:formatCode>General</c:formatCode>
                <c:ptCount val="51"/>
                <c:pt idx="0">
                  <c:v>2.6145</c:v>
                </c:pt>
                <c:pt idx="1">
                  <c:v>3.234</c:v>
                </c:pt>
                <c:pt idx="2">
                  <c:v>2.641</c:v>
                </c:pt>
                <c:pt idx="3">
                  <c:v>2.4464999999999999</c:v>
                </c:pt>
                <c:pt idx="7">
                  <c:v>2.597</c:v>
                </c:pt>
                <c:pt idx="8">
                  <c:v>2.6145</c:v>
                </c:pt>
                <c:pt idx="9">
                  <c:v>2.3694999999999999</c:v>
                </c:pt>
                <c:pt idx="10">
                  <c:v>2.3290000000000002</c:v>
                </c:pt>
                <c:pt idx="11">
                  <c:v>2.3904999999999998</c:v>
                </c:pt>
                <c:pt idx="12">
                  <c:v>2.1259999999999999</c:v>
                </c:pt>
                <c:pt idx="13">
                  <c:v>2.2749999999999999</c:v>
                </c:pt>
                <c:pt idx="17">
                  <c:v>2.4255</c:v>
                </c:pt>
                <c:pt idx="18">
                  <c:v>2.254</c:v>
                </c:pt>
                <c:pt idx="19">
                  <c:v>1.9015</c:v>
                </c:pt>
                <c:pt idx="20">
                  <c:v>2.3744999999999998</c:v>
                </c:pt>
                <c:pt idx="21">
                  <c:v>2.2519999999999998</c:v>
                </c:pt>
                <c:pt idx="22">
                  <c:v>2.3815</c:v>
                </c:pt>
                <c:pt idx="26">
                  <c:v>2.2414999999999998</c:v>
                </c:pt>
                <c:pt idx="27">
                  <c:v>2.3065000000000002</c:v>
                </c:pt>
                <c:pt idx="28">
                  <c:v>2.177</c:v>
                </c:pt>
                <c:pt idx="29">
                  <c:v>2.1749999999999998</c:v>
                </c:pt>
                <c:pt idx="30">
                  <c:v>1.9355</c:v>
                </c:pt>
                <c:pt idx="31">
                  <c:v>2.3955000000000002</c:v>
                </c:pt>
                <c:pt idx="35">
                  <c:v>2.1644999999999999</c:v>
                </c:pt>
                <c:pt idx="36">
                  <c:v>1.9355</c:v>
                </c:pt>
                <c:pt idx="37">
                  <c:v>1.8640000000000001</c:v>
                </c:pt>
                <c:pt idx="38">
                  <c:v>2.4710000000000001</c:v>
                </c:pt>
                <c:pt idx="42">
                  <c:v>2.9580000000000002</c:v>
                </c:pt>
                <c:pt idx="43">
                  <c:v>2.2715000000000001</c:v>
                </c:pt>
                <c:pt idx="44">
                  <c:v>1.8185</c:v>
                </c:pt>
                <c:pt idx="45">
                  <c:v>1.7729999999999999</c:v>
                </c:pt>
                <c:pt idx="46">
                  <c:v>2.198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B-46F9-95BC-3F4D08CC05B2}"/>
            </c:ext>
          </c:extLst>
        </c:ser>
        <c:ser>
          <c:idx val="1"/>
          <c:order val="1"/>
          <c:tx>
            <c:v>Ave Oil_level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All!$AW$6:$AW$56</c:f>
              <c:numCache>
                <c:formatCode>General</c:formatCode>
                <c:ptCount val="51"/>
                <c:pt idx="0">
                  <c:v>6.0892999999999997</c:v>
                </c:pt>
                <c:pt idx="1">
                  <c:v>5.5739000000000001</c:v>
                </c:pt>
                <c:pt idx="2">
                  <c:v>5.5320999999999998</c:v>
                </c:pt>
                <c:pt idx="3">
                  <c:v>5.4074999999999998</c:v>
                </c:pt>
                <c:pt idx="7">
                  <c:v>5.3297999999999996</c:v>
                </c:pt>
                <c:pt idx="8">
                  <c:v>5.4661999999999997</c:v>
                </c:pt>
                <c:pt idx="9">
                  <c:v>5.4602000000000004</c:v>
                </c:pt>
                <c:pt idx="10">
                  <c:v>5.4340999999999999</c:v>
                </c:pt>
                <c:pt idx="11">
                  <c:v>5.2743000000000002</c:v>
                </c:pt>
                <c:pt idx="12">
                  <c:v>5.4131</c:v>
                </c:pt>
                <c:pt idx="13">
                  <c:v>5.3101000000000003</c:v>
                </c:pt>
                <c:pt idx="17">
                  <c:v>4.9034000000000004</c:v>
                </c:pt>
                <c:pt idx="18">
                  <c:v>5.3724999999999996</c:v>
                </c:pt>
                <c:pt idx="19">
                  <c:v>5.3471000000000002</c:v>
                </c:pt>
                <c:pt idx="20">
                  <c:v>5.3034999999999997</c:v>
                </c:pt>
                <c:pt idx="21">
                  <c:v>5.3287000000000004</c:v>
                </c:pt>
                <c:pt idx="22">
                  <c:v>5.2375999999999996</c:v>
                </c:pt>
                <c:pt idx="26">
                  <c:v>5.1563999999999997</c:v>
                </c:pt>
                <c:pt idx="27">
                  <c:v>5.2747999999999999</c:v>
                </c:pt>
                <c:pt idx="28">
                  <c:v>5.3071000000000002</c:v>
                </c:pt>
                <c:pt idx="29">
                  <c:v>5.1957000000000004</c:v>
                </c:pt>
                <c:pt idx="30">
                  <c:v>5.2820999999999998</c:v>
                </c:pt>
                <c:pt idx="31">
                  <c:v>5.1161000000000003</c:v>
                </c:pt>
                <c:pt idx="35">
                  <c:v>4.3868</c:v>
                </c:pt>
                <c:pt idx="36">
                  <c:v>5.1951000000000001</c:v>
                </c:pt>
                <c:pt idx="37">
                  <c:v>5.1772999999999998</c:v>
                </c:pt>
                <c:pt idx="38">
                  <c:v>5.1543000000000001</c:v>
                </c:pt>
                <c:pt idx="42">
                  <c:v>4.7058</c:v>
                </c:pt>
                <c:pt idx="43">
                  <c:v>4.9657</c:v>
                </c:pt>
                <c:pt idx="44">
                  <c:v>5.1310000000000002</c:v>
                </c:pt>
                <c:pt idx="45">
                  <c:v>5.1519000000000004</c:v>
                </c:pt>
                <c:pt idx="46">
                  <c:v>5.0594000000000001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B-46F9-95BC-3F4D08CC05B2}"/>
            </c:ext>
          </c:extLst>
        </c:ser>
        <c:ser>
          <c:idx val="2"/>
          <c:order val="2"/>
          <c:tx>
            <c:v>Max Oil_level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All!$FS$6:$FS$56</c:f>
              <c:numCache>
                <c:formatCode>General</c:formatCode>
                <c:ptCount val="51"/>
                <c:pt idx="0">
                  <c:v>7.1734999999999998</c:v>
                </c:pt>
                <c:pt idx="1">
                  <c:v>6.9249999999999998</c:v>
                </c:pt>
                <c:pt idx="2">
                  <c:v>6.84</c:v>
                </c:pt>
                <c:pt idx="3">
                  <c:v>6.8540000000000001</c:v>
                </c:pt>
                <c:pt idx="7">
                  <c:v>6.7774999999999999</c:v>
                </c:pt>
                <c:pt idx="8">
                  <c:v>6.8520000000000003</c:v>
                </c:pt>
                <c:pt idx="9">
                  <c:v>6.7670000000000003</c:v>
                </c:pt>
                <c:pt idx="10">
                  <c:v>6.8315000000000001</c:v>
                </c:pt>
                <c:pt idx="11">
                  <c:v>6.8470000000000004</c:v>
                </c:pt>
                <c:pt idx="12">
                  <c:v>6.8449999999999998</c:v>
                </c:pt>
                <c:pt idx="13">
                  <c:v>6.8414999999999999</c:v>
                </c:pt>
                <c:pt idx="17">
                  <c:v>6.5274999999999999</c:v>
                </c:pt>
                <c:pt idx="18">
                  <c:v>6.7774999999999999</c:v>
                </c:pt>
                <c:pt idx="19">
                  <c:v>6.9039999999999999</c:v>
                </c:pt>
                <c:pt idx="20">
                  <c:v>6.7565</c:v>
                </c:pt>
                <c:pt idx="21">
                  <c:v>6.7030000000000003</c:v>
                </c:pt>
                <c:pt idx="22">
                  <c:v>6.7634999999999996</c:v>
                </c:pt>
                <c:pt idx="26">
                  <c:v>6.5810000000000004</c:v>
                </c:pt>
                <c:pt idx="27">
                  <c:v>6.7859999999999996</c:v>
                </c:pt>
                <c:pt idx="28">
                  <c:v>6.7915000000000001</c:v>
                </c:pt>
                <c:pt idx="29">
                  <c:v>6.8540000000000001</c:v>
                </c:pt>
                <c:pt idx="30">
                  <c:v>6.7095000000000002</c:v>
                </c:pt>
                <c:pt idx="31">
                  <c:v>6.6835000000000004</c:v>
                </c:pt>
                <c:pt idx="35">
                  <c:v>6.6905000000000001</c:v>
                </c:pt>
                <c:pt idx="36">
                  <c:v>6.6974999999999998</c:v>
                </c:pt>
                <c:pt idx="37">
                  <c:v>6.7565</c:v>
                </c:pt>
                <c:pt idx="38">
                  <c:v>6.5345000000000004</c:v>
                </c:pt>
                <c:pt idx="42">
                  <c:v>6.2515000000000001</c:v>
                </c:pt>
                <c:pt idx="43">
                  <c:v>6.4649999999999999</c:v>
                </c:pt>
                <c:pt idx="44">
                  <c:v>6.6074999999999999</c:v>
                </c:pt>
                <c:pt idx="45">
                  <c:v>6.5345000000000004</c:v>
                </c:pt>
                <c:pt idx="46">
                  <c:v>6.7720000000000002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7B-46F9-95BC-3F4D08CC0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231600"/>
        <c:axId val="1298240336"/>
      </c:scatterChart>
      <c:scatterChart>
        <c:scatterStyle val="lineMarker"/>
        <c:varyColors val="0"/>
        <c:ser>
          <c:idx val="3"/>
          <c:order val="3"/>
          <c:tx>
            <c:v>Max pcrank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All!$FT$6:$FT$56</c:f>
              <c:numCache>
                <c:formatCode>General</c:formatCode>
                <c:ptCount val="51"/>
                <c:pt idx="0">
                  <c:v>1074.2</c:v>
                </c:pt>
                <c:pt idx="1">
                  <c:v>1074.2</c:v>
                </c:pt>
                <c:pt idx="2">
                  <c:v>1070.8</c:v>
                </c:pt>
                <c:pt idx="3">
                  <c:v>1071.3</c:v>
                </c:pt>
                <c:pt idx="7">
                  <c:v>1078.2</c:v>
                </c:pt>
                <c:pt idx="8">
                  <c:v>1074.8</c:v>
                </c:pt>
                <c:pt idx="9">
                  <c:v>1071.5999999999999</c:v>
                </c:pt>
                <c:pt idx="10">
                  <c:v>1072.0999999999999</c:v>
                </c:pt>
                <c:pt idx="11">
                  <c:v>1078.5999999999999</c:v>
                </c:pt>
                <c:pt idx="12">
                  <c:v>1078.5999999999999</c:v>
                </c:pt>
                <c:pt idx="13">
                  <c:v>1075.3</c:v>
                </c:pt>
                <c:pt idx="17">
                  <c:v>1073</c:v>
                </c:pt>
                <c:pt idx="18">
                  <c:v>1071.9000000000001</c:v>
                </c:pt>
                <c:pt idx="19">
                  <c:v>1072</c:v>
                </c:pt>
                <c:pt idx="20">
                  <c:v>1076.7</c:v>
                </c:pt>
                <c:pt idx="21">
                  <c:v>1075.0999999999999</c:v>
                </c:pt>
                <c:pt idx="22">
                  <c:v>1074.9000000000001</c:v>
                </c:pt>
                <c:pt idx="26">
                  <c:v>1083.9000000000001</c:v>
                </c:pt>
                <c:pt idx="27">
                  <c:v>1077.4000000000001</c:v>
                </c:pt>
                <c:pt idx="28">
                  <c:v>1069.4000000000001</c:v>
                </c:pt>
                <c:pt idx="29">
                  <c:v>1066.8</c:v>
                </c:pt>
                <c:pt idx="30">
                  <c:v>1073.7</c:v>
                </c:pt>
                <c:pt idx="31">
                  <c:v>1079.8</c:v>
                </c:pt>
                <c:pt idx="35">
                  <c:v>1072.2</c:v>
                </c:pt>
                <c:pt idx="36">
                  <c:v>1079.5</c:v>
                </c:pt>
                <c:pt idx="37">
                  <c:v>1081.9000000000001</c:v>
                </c:pt>
                <c:pt idx="38">
                  <c:v>1065.8</c:v>
                </c:pt>
                <c:pt idx="42">
                  <c:v>1069.2</c:v>
                </c:pt>
                <c:pt idx="43">
                  <c:v>1076.3</c:v>
                </c:pt>
                <c:pt idx="44">
                  <c:v>1078.8</c:v>
                </c:pt>
                <c:pt idx="45">
                  <c:v>1079</c:v>
                </c:pt>
                <c:pt idx="46">
                  <c:v>1075.3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7B-46F9-95BC-3F4D08CC0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956976"/>
        <c:axId val="1265959472"/>
      </c:scatterChart>
      <c:valAx>
        <c:axId val="129823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8240336"/>
        <c:crosses val="autoZero"/>
        <c:crossBetween val="midCat"/>
      </c:valAx>
      <c:valAx>
        <c:axId val="129824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8231600"/>
        <c:crosses val="autoZero"/>
        <c:crossBetween val="midCat"/>
      </c:valAx>
      <c:valAx>
        <c:axId val="1265959472"/>
        <c:scaling>
          <c:orientation val="minMax"/>
          <c:max val="1100"/>
          <c:min val="8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5956976"/>
        <c:crosses val="max"/>
        <c:crossBetween val="midCat"/>
      </c:valAx>
      <c:valAx>
        <c:axId val="1265956976"/>
        <c:scaling>
          <c:orientation val="minMax"/>
        </c:scaling>
        <c:delete val="1"/>
        <c:axPos val="b"/>
        <c:majorTickMark val="out"/>
        <c:minorTickMark val="none"/>
        <c:tickLblPos val="nextTo"/>
        <c:crossAx val="1265959472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and engine temperatures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tmot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All!$AT$6:$AT$56</c:f>
              <c:numCache>
                <c:formatCode>General</c:formatCode>
                <c:ptCount val="51"/>
                <c:pt idx="0">
                  <c:v>82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7">
                  <c:v>87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7">
                  <c:v>86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6">
                  <c:v>84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5">
                  <c:v>85</c:v>
                </c:pt>
                <c:pt idx="36">
                  <c:v>83</c:v>
                </c:pt>
                <c:pt idx="37">
                  <c:v>83</c:v>
                </c:pt>
                <c:pt idx="38">
                  <c:v>82</c:v>
                </c:pt>
                <c:pt idx="42">
                  <c:v>83</c:v>
                </c:pt>
                <c:pt idx="43">
                  <c:v>82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3-4383-87E6-7F939C994C4A}"/>
            </c:ext>
          </c:extLst>
        </c:ser>
        <c:ser>
          <c:idx val="1"/>
          <c:order val="1"/>
          <c:tx>
            <c:v>Max tmot2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All!$FL$6:$FL$56</c:f>
              <c:numCache>
                <c:formatCode>General</c:formatCode>
                <c:ptCount val="51"/>
                <c:pt idx="0">
                  <c:v>82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7">
                  <c:v>87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7">
                  <c:v>86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6">
                  <c:v>85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5">
                  <c:v>85</c:v>
                </c:pt>
                <c:pt idx="36">
                  <c:v>83</c:v>
                </c:pt>
                <c:pt idx="37">
                  <c:v>83</c:v>
                </c:pt>
                <c:pt idx="38">
                  <c:v>82</c:v>
                </c:pt>
                <c:pt idx="42">
                  <c:v>84</c:v>
                </c:pt>
                <c:pt idx="43">
                  <c:v>83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3-4383-87E6-7F939C994C4A}"/>
            </c:ext>
          </c:extLst>
        </c:ser>
        <c:ser>
          <c:idx val="2"/>
          <c:order val="2"/>
          <c:tx>
            <c:v>Max tgear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All!$AU$6:$AU$56</c:f>
              <c:numCache>
                <c:formatCode>General</c:formatCode>
                <c:ptCount val="51"/>
                <c:pt idx="0">
                  <c:v>85</c:v>
                </c:pt>
                <c:pt idx="1">
                  <c:v>102</c:v>
                </c:pt>
                <c:pt idx="2">
                  <c:v>112</c:v>
                </c:pt>
                <c:pt idx="3">
                  <c:v>117</c:v>
                </c:pt>
                <c:pt idx="7">
                  <c:v>111</c:v>
                </c:pt>
                <c:pt idx="8">
                  <c:v>116</c:v>
                </c:pt>
                <c:pt idx="9">
                  <c:v>119</c:v>
                </c:pt>
                <c:pt idx="10">
                  <c:v>120</c:v>
                </c:pt>
                <c:pt idx="11">
                  <c:v>119</c:v>
                </c:pt>
                <c:pt idx="12">
                  <c:v>120</c:v>
                </c:pt>
                <c:pt idx="13">
                  <c:v>121</c:v>
                </c:pt>
                <c:pt idx="17">
                  <c:v>108</c:v>
                </c:pt>
                <c:pt idx="18">
                  <c:v>115</c:v>
                </c:pt>
                <c:pt idx="19">
                  <c:v>118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6">
                  <c:v>115</c:v>
                </c:pt>
                <c:pt idx="27">
                  <c:v>117</c:v>
                </c:pt>
                <c:pt idx="28">
                  <c:v>119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5">
                  <c:v>109</c:v>
                </c:pt>
                <c:pt idx="36">
                  <c:v>113</c:v>
                </c:pt>
                <c:pt idx="37">
                  <c:v>117</c:v>
                </c:pt>
                <c:pt idx="38">
                  <c:v>115</c:v>
                </c:pt>
                <c:pt idx="42">
                  <c:v>103</c:v>
                </c:pt>
                <c:pt idx="43">
                  <c:v>98</c:v>
                </c:pt>
                <c:pt idx="44">
                  <c:v>110</c:v>
                </c:pt>
                <c:pt idx="45">
                  <c:v>116</c:v>
                </c:pt>
                <c:pt idx="46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83-4383-87E6-7F939C994C4A}"/>
            </c:ext>
          </c:extLst>
        </c:ser>
        <c:ser>
          <c:idx val="4"/>
          <c:order val="4"/>
          <c:tx>
            <c:v>Ave Delta_tmot_toil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All!$IC$6:$IC$56</c:f>
              <c:numCache>
                <c:formatCode>General</c:formatCode>
                <c:ptCount val="51"/>
                <c:pt idx="0">
                  <c:v>4.5720000000000001</c:v>
                </c:pt>
                <c:pt idx="1">
                  <c:v>22.102</c:v>
                </c:pt>
                <c:pt idx="2">
                  <c:v>22.658999999999999</c:v>
                </c:pt>
                <c:pt idx="3">
                  <c:v>23.016999999999999</c:v>
                </c:pt>
                <c:pt idx="7">
                  <c:v>18.283999999999999</c:v>
                </c:pt>
                <c:pt idx="8">
                  <c:v>22.917999999999999</c:v>
                </c:pt>
                <c:pt idx="9">
                  <c:v>22.895</c:v>
                </c:pt>
                <c:pt idx="10">
                  <c:v>23.055</c:v>
                </c:pt>
                <c:pt idx="11">
                  <c:v>21.777000000000001</c:v>
                </c:pt>
                <c:pt idx="12">
                  <c:v>22.841999999999999</c:v>
                </c:pt>
                <c:pt idx="13">
                  <c:v>22.786000000000001</c:v>
                </c:pt>
                <c:pt idx="17">
                  <c:v>17.736999999999998</c:v>
                </c:pt>
                <c:pt idx="18">
                  <c:v>22.41</c:v>
                </c:pt>
                <c:pt idx="19">
                  <c:v>22.917999999999999</c:v>
                </c:pt>
                <c:pt idx="20">
                  <c:v>22.852</c:v>
                </c:pt>
                <c:pt idx="21">
                  <c:v>22.756</c:v>
                </c:pt>
                <c:pt idx="22">
                  <c:v>22.667000000000002</c:v>
                </c:pt>
                <c:pt idx="26">
                  <c:v>20.016999999999999</c:v>
                </c:pt>
                <c:pt idx="27">
                  <c:v>22.327000000000002</c:v>
                </c:pt>
                <c:pt idx="28">
                  <c:v>22.542000000000002</c:v>
                </c:pt>
                <c:pt idx="29">
                  <c:v>22.393000000000001</c:v>
                </c:pt>
                <c:pt idx="30">
                  <c:v>22.606000000000002</c:v>
                </c:pt>
                <c:pt idx="31">
                  <c:v>22.239000000000001</c:v>
                </c:pt>
                <c:pt idx="35">
                  <c:v>16.997</c:v>
                </c:pt>
                <c:pt idx="36">
                  <c:v>22.163</c:v>
                </c:pt>
                <c:pt idx="37">
                  <c:v>22.349</c:v>
                </c:pt>
                <c:pt idx="38">
                  <c:v>16.343</c:v>
                </c:pt>
                <c:pt idx="42">
                  <c:v>18.274000000000001</c:v>
                </c:pt>
                <c:pt idx="43">
                  <c:v>16.071999999999999</c:v>
                </c:pt>
                <c:pt idx="44">
                  <c:v>22.239000000000001</c:v>
                </c:pt>
                <c:pt idx="45">
                  <c:v>22.786999999999999</c:v>
                </c:pt>
                <c:pt idx="46">
                  <c:v>22.731999999999999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683-4383-87E6-7F939C994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689984"/>
        <c:axId val="1284692064"/>
      </c:scatterChart>
      <c:scatterChart>
        <c:scatterStyle val="lineMarker"/>
        <c:varyColors val="0"/>
        <c:ser>
          <c:idx val="3"/>
          <c:order val="3"/>
          <c:tx>
            <c:v>Ave Delta_TmotvsAMB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All!$EK$6:$EK$56</c:f>
              <c:numCache>
                <c:formatCode>General</c:formatCode>
                <c:ptCount val="51"/>
                <c:pt idx="0">
                  <c:v>51.935000000000002</c:v>
                </c:pt>
                <c:pt idx="1">
                  <c:v>58.734000000000002</c:v>
                </c:pt>
                <c:pt idx="2">
                  <c:v>59.246000000000002</c:v>
                </c:pt>
                <c:pt idx="3">
                  <c:v>59.073</c:v>
                </c:pt>
                <c:pt idx="7">
                  <c:v>57.231000000000002</c:v>
                </c:pt>
                <c:pt idx="8">
                  <c:v>58.555</c:v>
                </c:pt>
                <c:pt idx="9">
                  <c:v>58.738999999999997</c:v>
                </c:pt>
                <c:pt idx="10">
                  <c:v>59.183</c:v>
                </c:pt>
                <c:pt idx="11">
                  <c:v>58.720999999999997</c:v>
                </c:pt>
                <c:pt idx="12">
                  <c:v>58.875999999999998</c:v>
                </c:pt>
                <c:pt idx="13">
                  <c:v>58.853000000000002</c:v>
                </c:pt>
                <c:pt idx="17">
                  <c:v>58.271000000000001</c:v>
                </c:pt>
                <c:pt idx="18">
                  <c:v>59.465000000000003</c:v>
                </c:pt>
                <c:pt idx="19">
                  <c:v>59.610999999999997</c:v>
                </c:pt>
                <c:pt idx="20">
                  <c:v>58.445</c:v>
                </c:pt>
                <c:pt idx="21">
                  <c:v>59.329000000000001</c:v>
                </c:pt>
                <c:pt idx="22">
                  <c:v>59.164000000000001</c:v>
                </c:pt>
                <c:pt idx="26">
                  <c:v>58.798000000000002</c:v>
                </c:pt>
                <c:pt idx="27">
                  <c:v>59.252000000000002</c:v>
                </c:pt>
                <c:pt idx="28">
                  <c:v>59.732999999999997</c:v>
                </c:pt>
                <c:pt idx="29">
                  <c:v>59.878999999999998</c:v>
                </c:pt>
                <c:pt idx="30">
                  <c:v>59.720999999999997</c:v>
                </c:pt>
                <c:pt idx="31">
                  <c:v>59.45</c:v>
                </c:pt>
                <c:pt idx="35">
                  <c:v>51.146000000000001</c:v>
                </c:pt>
                <c:pt idx="36">
                  <c:v>59.274000000000001</c:v>
                </c:pt>
                <c:pt idx="37">
                  <c:v>59.902999999999999</c:v>
                </c:pt>
                <c:pt idx="38">
                  <c:v>58.131999999999998</c:v>
                </c:pt>
                <c:pt idx="42">
                  <c:v>58.49</c:v>
                </c:pt>
                <c:pt idx="43">
                  <c:v>58.558999999999997</c:v>
                </c:pt>
                <c:pt idx="44">
                  <c:v>60.029000000000003</c:v>
                </c:pt>
                <c:pt idx="45">
                  <c:v>60.030999999999999</c:v>
                </c:pt>
                <c:pt idx="46">
                  <c:v>59.854999999999997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83-4383-87E6-7F939C994C4A}"/>
            </c:ext>
          </c:extLst>
        </c:ser>
        <c:ser>
          <c:idx val="5"/>
          <c:order val="5"/>
          <c:tx>
            <c:v>Ave Delta_tmot_toil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All!$IC$6:$IC$56</c:f>
              <c:numCache>
                <c:formatCode>General</c:formatCode>
                <c:ptCount val="51"/>
                <c:pt idx="0">
                  <c:v>4.5720000000000001</c:v>
                </c:pt>
                <c:pt idx="1">
                  <c:v>22.102</c:v>
                </c:pt>
                <c:pt idx="2">
                  <c:v>22.658999999999999</c:v>
                </c:pt>
                <c:pt idx="3">
                  <c:v>23.016999999999999</c:v>
                </c:pt>
                <c:pt idx="7">
                  <c:v>18.283999999999999</c:v>
                </c:pt>
                <c:pt idx="8">
                  <c:v>22.917999999999999</c:v>
                </c:pt>
                <c:pt idx="9">
                  <c:v>22.895</c:v>
                </c:pt>
                <c:pt idx="10">
                  <c:v>23.055</c:v>
                </c:pt>
                <c:pt idx="11">
                  <c:v>21.777000000000001</c:v>
                </c:pt>
                <c:pt idx="12">
                  <c:v>22.841999999999999</c:v>
                </c:pt>
                <c:pt idx="13">
                  <c:v>22.786000000000001</c:v>
                </c:pt>
                <c:pt idx="17">
                  <c:v>17.736999999999998</c:v>
                </c:pt>
                <c:pt idx="18">
                  <c:v>22.41</c:v>
                </c:pt>
                <c:pt idx="19">
                  <c:v>22.917999999999999</c:v>
                </c:pt>
                <c:pt idx="20">
                  <c:v>22.852</c:v>
                </c:pt>
                <c:pt idx="21">
                  <c:v>22.756</c:v>
                </c:pt>
                <c:pt idx="22">
                  <c:v>22.667000000000002</c:v>
                </c:pt>
                <c:pt idx="26">
                  <c:v>20.016999999999999</c:v>
                </c:pt>
                <c:pt idx="27">
                  <c:v>22.327000000000002</c:v>
                </c:pt>
                <c:pt idx="28">
                  <c:v>22.542000000000002</c:v>
                </c:pt>
                <c:pt idx="29">
                  <c:v>22.393000000000001</c:v>
                </c:pt>
                <c:pt idx="30">
                  <c:v>22.606000000000002</c:v>
                </c:pt>
                <c:pt idx="31">
                  <c:v>22.239000000000001</c:v>
                </c:pt>
                <c:pt idx="35">
                  <c:v>16.997</c:v>
                </c:pt>
                <c:pt idx="36">
                  <c:v>22.163</c:v>
                </c:pt>
                <c:pt idx="37">
                  <c:v>22.349</c:v>
                </c:pt>
                <c:pt idx="38">
                  <c:v>16.343</c:v>
                </c:pt>
                <c:pt idx="42">
                  <c:v>18.274000000000001</c:v>
                </c:pt>
                <c:pt idx="43">
                  <c:v>16.071999999999999</c:v>
                </c:pt>
                <c:pt idx="44">
                  <c:v>22.239000000000001</c:v>
                </c:pt>
                <c:pt idx="45">
                  <c:v>22.786999999999999</c:v>
                </c:pt>
                <c:pt idx="46">
                  <c:v>22.731999999999999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83-4383-87E6-7F939C994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917712"/>
        <c:axId val="1265953232"/>
      </c:scatterChart>
      <c:valAx>
        <c:axId val="1284689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84692064"/>
        <c:crosses val="autoZero"/>
        <c:crossBetween val="midCat"/>
      </c:valAx>
      <c:valAx>
        <c:axId val="1284692064"/>
        <c:scaling>
          <c:orientation val="minMax"/>
          <c:max val="13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84689984"/>
        <c:crosses val="autoZero"/>
        <c:crossBetween val="midCat"/>
      </c:valAx>
      <c:valAx>
        <c:axId val="12659532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5917712"/>
        <c:crosses val="max"/>
        <c:crossBetween val="midCat"/>
      </c:valAx>
      <c:valAx>
        <c:axId val="1265917712"/>
        <c:scaling>
          <c:orientation val="minMax"/>
        </c:scaling>
        <c:delete val="1"/>
        <c:axPos val="b"/>
        <c:majorTickMark val="out"/>
        <c:minorTickMark val="none"/>
        <c:tickLblPos val="nextTo"/>
        <c:crossAx val="1265953232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Misfire times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time_ign01_E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All!$CU$6:$CU$56</c:f>
              <c:numCache>
                <c:formatCode>General</c:formatCode>
                <c:ptCount val="51"/>
                <c:pt idx="0">
                  <c:v>0.999</c:v>
                </c:pt>
                <c:pt idx="1">
                  <c:v>1.099</c:v>
                </c:pt>
                <c:pt idx="2">
                  <c:v>0.499</c:v>
                </c:pt>
                <c:pt idx="3">
                  <c:v>1.1000000000000001</c:v>
                </c:pt>
                <c:pt idx="7">
                  <c:v>0.998</c:v>
                </c:pt>
                <c:pt idx="8">
                  <c:v>1</c:v>
                </c:pt>
                <c:pt idx="9">
                  <c:v>0.7</c:v>
                </c:pt>
                <c:pt idx="10">
                  <c:v>0.59899999999999998</c:v>
                </c:pt>
                <c:pt idx="11">
                  <c:v>1.4</c:v>
                </c:pt>
                <c:pt idx="12">
                  <c:v>1.0009999999999999</c:v>
                </c:pt>
                <c:pt idx="13">
                  <c:v>3.6219999999999999</c:v>
                </c:pt>
                <c:pt idx="17">
                  <c:v>1.198</c:v>
                </c:pt>
                <c:pt idx="18">
                  <c:v>1.3</c:v>
                </c:pt>
                <c:pt idx="19">
                  <c:v>0.7</c:v>
                </c:pt>
                <c:pt idx="20">
                  <c:v>1.0980000000000001</c:v>
                </c:pt>
                <c:pt idx="21">
                  <c:v>0.9</c:v>
                </c:pt>
                <c:pt idx="22">
                  <c:v>8.0779999999999994</c:v>
                </c:pt>
                <c:pt idx="26">
                  <c:v>1.0980000000000001</c:v>
                </c:pt>
                <c:pt idx="27">
                  <c:v>0.89900000000000002</c:v>
                </c:pt>
                <c:pt idx="28">
                  <c:v>0.90200000000000002</c:v>
                </c:pt>
                <c:pt idx="29">
                  <c:v>1.3029999999999999</c:v>
                </c:pt>
                <c:pt idx="30">
                  <c:v>1.302</c:v>
                </c:pt>
                <c:pt idx="31">
                  <c:v>4.2009999999999996</c:v>
                </c:pt>
                <c:pt idx="35">
                  <c:v>1.097</c:v>
                </c:pt>
                <c:pt idx="36">
                  <c:v>1.196</c:v>
                </c:pt>
                <c:pt idx="37">
                  <c:v>0.80200000000000005</c:v>
                </c:pt>
                <c:pt idx="38">
                  <c:v>6.24</c:v>
                </c:pt>
                <c:pt idx="42">
                  <c:v>0.79900000000000004</c:v>
                </c:pt>
                <c:pt idx="43">
                  <c:v>0.999</c:v>
                </c:pt>
                <c:pt idx="44">
                  <c:v>0.89600000000000002</c:v>
                </c:pt>
                <c:pt idx="45">
                  <c:v>0.5</c:v>
                </c:pt>
                <c:pt idx="46">
                  <c:v>0.59899999999999998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A5-48FE-9323-AB3ABE764423}"/>
            </c:ext>
          </c:extLst>
        </c:ser>
        <c:ser>
          <c:idx val="1"/>
          <c:order val="1"/>
          <c:tx>
            <c:v>Max time_ign02_E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All!$CV$6:$CV$56</c:f>
              <c:numCache>
                <c:formatCode>General</c:formatCode>
                <c:ptCount val="51"/>
                <c:pt idx="0">
                  <c:v>1.595</c:v>
                </c:pt>
                <c:pt idx="1">
                  <c:v>1.4</c:v>
                </c:pt>
                <c:pt idx="2">
                  <c:v>1.6990000000000001</c:v>
                </c:pt>
                <c:pt idx="3">
                  <c:v>1.5980000000000001</c:v>
                </c:pt>
                <c:pt idx="7">
                  <c:v>1.5029999999999999</c:v>
                </c:pt>
                <c:pt idx="8">
                  <c:v>0.997</c:v>
                </c:pt>
                <c:pt idx="9">
                  <c:v>1.599</c:v>
                </c:pt>
                <c:pt idx="10">
                  <c:v>1.7030000000000001</c:v>
                </c:pt>
                <c:pt idx="11">
                  <c:v>1.1020000000000001</c:v>
                </c:pt>
                <c:pt idx="12">
                  <c:v>1.3</c:v>
                </c:pt>
                <c:pt idx="13">
                  <c:v>4.016</c:v>
                </c:pt>
                <c:pt idx="17">
                  <c:v>1.298</c:v>
                </c:pt>
                <c:pt idx="18">
                  <c:v>1.099</c:v>
                </c:pt>
                <c:pt idx="19">
                  <c:v>0.998</c:v>
                </c:pt>
                <c:pt idx="20">
                  <c:v>0.998</c:v>
                </c:pt>
                <c:pt idx="21">
                  <c:v>0.997</c:v>
                </c:pt>
                <c:pt idx="22">
                  <c:v>8.6809999999999992</c:v>
                </c:pt>
                <c:pt idx="26">
                  <c:v>1.093</c:v>
                </c:pt>
                <c:pt idx="27">
                  <c:v>1.2969999999999999</c:v>
                </c:pt>
                <c:pt idx="28">
                  <c:v>1.2969999999999999</c:v>
                </c:pt>
                <c:pt idx="29">
                  <c:v>1.202</c:v>
                </c:pt>
                <c:pt idx="30">
                  <c:v>1.194</c:v>
                </c:pt>
                <c:pt idx="31">
                  <c:v>4.5960000000000001</c:v>
                </c:pt>
                <c:pt idx="35">
                  <c:v>1.694</c:v>
                </c:pt>
                <c:pt idx="36">
                  <c:v>1.196</c:v>
                </c:pt>
                <c:pt idx="37">
                  <c:v>0.99299999999999999</c:v>
                </c:pt>
                <c:pt idx="38">
                  <c:v>5.7389999999999999</c:v>
                </c:pt>
                <c:pt idx="42">
                  <c:v>1.4</c:v>
                </c:pt>
                <c:pt idx="43">
                  <c:v>1.498</c:v>
                </c:pt>
                <c:pt idx="44">
                  <c:v>1.0980000000000001</c:v>
                </c:pt>
                <c:pt idx="45">
                  <c:v>1.196</c:v>
                </c:pt>
                <c:pt idx="46">
                  <c:v>1.296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A5-48FE-9323-AB3ABE764423}"/>
            </c:ext>
          </c:extLst>
        </c:ser>
        <c:ser>
          <c:idx val="2"/>
          <c:order val="2"/>
          <c:tx>
            <c:v>Max time_ign03_E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All!$CW$6:$CW$56</c:f>
              <c:numCache>
                <c:formatCode>General</c:formatCode>
                <c:ptCount val="51"/>
                <c:pt idx="0">
                  <c:v>0.89800000000000002</c:v>
                </c:pt>
                <c:pt idx="1">
                  <c:v>1.002</c:v>
                </c:pt>
                <c:pt idx="2">
                  <c:v>1.7969999999999999</c:v>
                </c:pt>
                <c:pt idx="3">
                  <c:v>0.79700000000000004</c:v>
                </c:pt>
                <c:pt idx="7">
                  <c:v>1.3</c:v>
                </c:pt>
                <c:pt idx="8">
                  <c:v>1.198</c:v>
                </c:pt>
                <c:pt idx="9">
                  <c:v>1.302</c:v>
                </c:pt>
                <c:pt idx="10">
                  <c:v>1.9019999999999999</c:v>
                </c:pt>
                <c:pt idx="11">
                  <c:v>1.9</c:v>
                </c:pt>
                <c:pt idx="12">
                  <c:v>1.002</c:v>
                </c:pt>
                <c:pt idx="13">
                  <c:v>4.0209999999999999</c:v>
                </c:pt>
                <c:pt idx="17">
                  <c:v>1.7989999999999999</c:v>
                </c:pt>
                <c:pt idx="18">
                  <c:v>1.1990000000000001</c:v>
                </c:pt>
                <c:pt idx="19">
                  <c:v>0.998</c:v>
                </c:pt>
                <c:pt idx="20">
                  <c:v>1.298</c:v>
                </c:pt>
                <c:pt idx="21">
                  <c:v>0.80200000000000005</c:v>
                </c:pt>
                <c:pt idx="22">
                  <c:v>8.0790000000000006</c:v>
                </c:pt>
                <c:pt idx="26">
                  <c:v>1.5960000000000001</c:v>
                </c:pt>
                <c:pt idx="27">
                  <c:v>0.89800000000000002</c:v>
                </c:pt>
                <c:pt idx="28">
                  <c:v>0.498</c:v>
                </c:pt>
                <c:pt idx="29">
                  <c:v>0.80200000000000005</c:v>
                </c:pt>
                <c:pt idx="30">
                  <c:v>1.399</c:v>
                </c:pt>
                <c:pt idx="31">
                  <c:v>4.4989999999999997</c:v>
                </c:pt>
                <c:pt idx="35">
                  <c:v>0.8</c:v>
                </c:pt>
                <c:pt idx="36">
                  <c:v>1.2010000000000001</c:v>
                </c:pt>
                <c:pt idx="37">
                  <c:v>0.79900000000000004</c:v>
                </c:pt>
                <c:pt idx="38">
                  <c:v>5.7389999999999999</c:v>
                </c:pt>
                <c:pt idx="42">
                  <c:v>1.5</c:v>
                </c:pt>
                <c:pt idx="43">
                  <c:v>1.296</c:v>
                </c:pt>
                <c:pt idx="44">
                  <c:v>0.998</c:v>
                </c:pt>
                <c:pt idx="45">
                  <c:v>0.79900000000000004</c:v>
                </c:pt>
                <c:pt idx="46">
                  <c:v>1.0940000000000001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A5-48FE-9323-AB3ABE764423}"/>
            </c:ext>
          </c:extLst>
        </c:ser>
        <c:ser>
          <c:idx val="3"/>
          <c:order val="3"/>
          <c:tx>
            <c:v>Max time_ign04_E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All!$CX$6:$CX$56</c:f>
              <c:numCache>
                <c:formatCode>General</c:formatCode>
                <c:ptCount val="51"/>
                <c:pt idx="0">
                  <c:v>0.79900000000000004</c:v>
                </c:pt>
                <c:pt idx="1">
                  <c:v>1.5009999999999999</c:v>
                </c:pt>
                <c:pt idx="2">
                  <c:v>0.998</c:v>
                </c:pt>
                <c:pt idx="3">
                  <c:v>1.5029999999999999</c:v>
                </c:pt>
                <c:pt idx="7">
                  <c:v>1.7989999999999999</c:v>
                </c:pt>
                <c:pt idx="8">
                  <c:v>1.1000000000000001</c:v>
                </c:pt>
                <c:pt idx="9">
                  <c:v>1.7969999999999999</c:v>
                </c:pt>
                <c:pt idx="10">
                  <c:v>1.4970000000000001</c:v>
                </c:pt>
                <c:pt idx="11">
                  <c:v>1.4930000000000001</c:v>
                </c:pt>
                <c:pt idx="12">
                  <c:v>1.1020000000000001</c:v>
                </c:pt>
                <c:pt idx="13">
                  <c:v>3.72</c:v>
                </c:pt>
                <c:pt idx="17">
                  <c:v>1.796</c:v>
                </c:pt>
                <c:pt idx="18">
                  <c:v>1.397</c:v>
                </c:pt>
                <c:pt idx="19">
                  <c:v>1.597</c:v>
                </c:pt>
                <c:pt idx="20">
                  <c:v>1.6970000000000001</c:v>
                </c:pt>
                <c:pt idx="21">
                  <c:v>1.4950000000000001</c:v>
                </c:pt>
                <c:pt idx="22">
                  <c:v>8.3740000000000006</c:v>
                </c:pt>
                <c:pt idx="26">
                  <c:v>1.595</c:v>
                </c:pt>
                <c:pt idx="27">
                  <c:v>1.401</c:v>
                </c:pt>
                <c:pt idx="28">
                  <c:v>1.5940000000000001</c:v>
                </c:pt>
                <c:pt idx="29">
                  <c:v>1.399</c:v>
                </c:pt>
                <c:pt idx="30">
                  <c:v>0.89800000000000002</c:v>
                </c:pt>
                <c:pt idx="31">
                  <c:v>4.5990000000000002</c:v>
                </c:pt>
                <c:pt idx="35">
                  <c:v>1.097</c:v>
                </c:pt>
                <c:pt idx="36">
                  <c:v>1.5980000000000001</c:v>
                </c:pt>
                <c:pt idx="37">
                  <c:v>1.401</c:v>
                </c:pt>
                <c:pt idx="38">
                  <c:v>6.2380000000000004</c:v>
                </c:pt>
                <c:pt idx="42">
                  <c:v>1.298</c:v>
                </c:pt>
                <c:pt idx="43">
                  <c:v>1.796</c:v>
                </c:pt>
                <c:pt idx="44">
                  <c:v>1.696</c:v>
                </c:pt>
                <c:pt idx="45">
                  <c:v>2.1920000000000002</c:v>
                </c:pt>
                <c:pt idx="46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A5-48FE-9323-AB3ABE764423}"/>
            </c:ext>
          </c:extLst>
        </c:ser>
        <c:ser>
          <c:idx val="4"/>
          <c:order val="4"/>
          <c:tx>
            <c:v>Max time_ign05_E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All!$CY$6:$CY$56</c:f>
              <c:numCache>
                <c:formatCode>General</c:formatCode>
                <c:ptCount val="51"/>
                <c:pt idx="0">
                  <c:v>0.79600000000000004</c:v>
                </c:pt>
                <c:pt idx="1">
                  <c:v>0.70199999999999996</c:v>
                </c:pt>
                <c:pt idx="2">
                  <c:v>0.5</c:v>
                </c:pt>
                <c:pt idx="3">
                  <c:v>0.59799999999999998</c:v>
                </c:pt>
                <c:pt idx="7">
                  <c:v>0.7</c:v>
                </c:pt>
                <c:pt idx="8">
                  <c:v>0.79900000000000004</c:v>
                </c:pt>
                <c:pt idx="9">
                  <c:v>1.0980000000000001</c:v>
                </c:pt>
                <c:pt idx="10">
                  <c:v>1.0029999999999999</c:v>
                </c:pt>
                <c:pt idx="11">
                  <c:v>1.1040000000000001</c:v>
                </c:pt>
                <c:pt idx="12">
                  <c:v>1.298</c:v>
                </c:pt>
                <c:pt idx="13">
                  <c:v>3.419</c:v>
                </c:pt>
                <c:pt idx="17">
                  <c:v>1.1950000000000001</c:v>
                </c:pt>
                <c:pt idx="18">
                  <c:v>1.002</c:v>
                </c:pt>
                <c:pt idx="19">
                  <c:v>1.595</c:v>
                </c:pt>
                <c:pt idx="20">
                  <c:v>0.89700000000000002</c:v>
                </c:pt>
                <c:pt idx="21">
                  <c:v>0.69799999999999995</c:v>
                </c:pt>
                <c:pt idx="22">
                  <c:v>8.375</c:v>
                </c:pt>
                <c:pt idx="26">
                  <c:v>1.7989999999999999</c:v>
                </c:pt>
                <c:pt idx="27">
                  <c:v>0.39700000000000002</c:v>
                </c:pt>
                <c:pt idx="28">
                  <c:v>0.6</c:v>
                </c:pt>
                <c:pt idx="29">
                  <c:v>1.103</c:v>
                </c:pt>
                <c:pt idx="30">
                  <c:v>0.59899999999999998</c:v>
                </c:pt>
                <c:pt idx="31">
                  <c:v>4.4009999999999998</c:v>
                </c:pt>
                <c:pt idx="35">
                  <c:v>1.3959999999999999</c:v>
                </c:pt>
                <c:pt idx="36">
                  <c:v>1.0960000000000001</c:v>
                </c:pt>
                <c:pt idx="37">
                  <c:v>0.79800000000000004</c:v>
                </c:pt>
                <c:pt idx="38">
                  <c:v>5.5359999999999996</c:v>
                </c:pt>
                <c:pt idx="42">
                  <c:v>0.90200000000000002</c:v>
                </c:pt>
                <c:pt idx="43">
                  <c:v>1.6930000000000001</c:v>
                </c:pt>
                <c:pt idx="44">
                  <c:v>0.499</c:v>
                </c:pt>
                <c:pt idx="45">
                  <c:v>0.80100000000000005</c:v>
                </c:pt>
                <c:pt idx="46">
                  <c:v>1.1020000000000001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A5-48FE-9323-AB3ABE764423}"/>
            </c:ext>
          </c:extLst>
        </c:ser>
        <c:ser>
          <c:idx val="5"/>
          <c:order val="5"/>
          <c:tx>
            <c:v>Max time_ign06_E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All!$CZ$6:$CZ$56</c:f>
              <c:numCache>
                <c:formatCode>General</c:formatCode>
                <c:ptCount val="51"/>
                <c:pt idx="0">
                  <c:v>1.101</c:v>
                </c:pt>
                <c:pt idx="1">
                  <c:v>1.9</c:v>
                </c:pt>
                <c:pt idx="2">
                  <c:v>1.2969999999999999</c:v>
                </c:pt>
                <c:pt idx="3">
                  <c:v>0.89800000000000002</c:v>
                </c:pt>
                <c:pt idx="7">
                  <c:v>1.895</c:v>
                </c:pt>
                <c:pt idx="8">
                  <c:v>0.79800000000000004</c:v>
                </c:pt>
                <c:pt idx="9">
                  <c:v>1.3029999999999999</c:v>
                </c:pt>
                <c:pt idx="10">
                  <c:v>1.4</c:v>
                </c:pt>
                <c:pt idx="11">
                  <c:v>1.6020000000000001</c:v>
                </c:pt>
                <c:pt idx="12">
                  <c:v>0.90300000000000002</c:v>
                </c:pt>
                <c:pt idx="13">
                  <c:v>3.42</c:v>
                </c:pt>
                <c:pt idx="17">
                  <c:v>1.2969999999999999</c:v>
                </c:pt>
                <c:pt idx="18">
                  <c:v>1.298</c:v>
                </c:pt>
                <c:pt idx="19">
                  <c:v>1.498</c:v>
                </c:pt>
                <c:pt idx="20">
                  <c:v>1.5960000000000001</c:v>
                </c:pt>
                <c:pt idx="21">
                  <c:v>1.3979999999999999</c:v>
                </c:pt>
                <c:pt idx="22">
                  <c:v>8.5790000000000006</c:v>
                </c:pt>
                <c:pt idx="26">
                  <c:v>1.1930000000000001</c:v>
                </c:pt>
                <c:pt idx="27">
                  <c:v>0.79700000000000004</c:v>
                </c:pt>
                <c:pt idx="28">
                  <c:v>0.998</c:v>
                </c:pt>
                <c:pt idx="29">
                  <c:v>1.4</c:v>
                </c:pt>
                <c:pt idx="30">
                  <c:v>0.89700000000000002</c:v>
                </c:pt>
                <c:pt idx="31">
                  <c:v>4.5990000000000002</c:v>
                </c:pt>
                <c:pt idx="35">
                  <c:v>1.2949999999999999</c:v>
                </c:pt>
                <c:pt idx="36">
                  <c:v>1.101</c:v>
                </c:pt>
                <c:pt idx="37">
                  <c:v>0.90300000000000002</c:v>
                </c:pt>
                <c:pt idx="38">
                  <c:v>6.0369999999999999</c:v>
                </c:pt>
                <c:pt idx="42">
                  <c:v>1.099</c:v>
                </c:pt>
                <c:pt idx="43">
                  <c:v>0.501</c:v>
                </c:pt>
                <c:pt idx="44">
                  <c:v>1.099</c:v>
                </c:pt>
                <c:pt idx="45">
                  <c:v>1.401</c:v>
                </c:pt>
                <c:pt idx="46">
                  <c:v>0.89700000000000002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A5-48FE-9323-AB3ABE764423}"/>
            </c:ext>
          </c:extLst>
        </c:ser>
        <c:ser>
          <c:idx val="6"/>
          <c:order val="6"/>
          <c:tx>
            <c:v>Max time_ign07_E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All!$DA$6:$DA$56</c:f>
              <c:numCache>
                <c:formatCode>General</c:formatCode>
                <c:ptCount val="51"/>
                <c:pt idx="0">
                  <c:v>0.9</c:v>
                </c:pt>
                <c:pt idx="1">
                  <c:v>1.0009999999999999</c:v>
                </c:pt>
                <c:pt idx="2">
                  <c:v>0.5</c:v>
                </c:pt>
                <c:pt idx="3">
                  <c:v>1.0009999999999999</c:v>
                </c:pt>
                <c:pt idx="7">
                  <c:v>0.89800000000000002</c:v>
                </c:pt>
                <c:pt idx="8">
                  <c:v>0.5</c:v>
                </c:pt>
                <c:pt idx="9">
                  <c:v>1.099</c:v>
                </c:pt>
                <c:pt idx="10">
                  <c:v>1</c:v>
                </c:pt>
                <c:pt idx="11">
                  <c:v>0.8</c:v>
                </c:pt>
                <c:pt idx="12">
                  <c:v>0.7</c:v>
                </c:pt>
                <c:pt idx="13">
                  <c:v>3.121</c:v>
                </c:pt>
                <c:pt idx="17">
                  <c:v>0.59799999999999998</c:v>
                </c:pt>
                <c:pt idx="18">
                  <c:v>0.90100000000000002</c:v>
                </c:pt>
                <c:pt idx="19">
                  <c:v>0.80100000000000005</c:v>
                </c:pt>
                <c:pt idx="20">
                  <c:v>0.90100000000000002</c:v>
                </c:pt>
                <c:pt idx="21">
                  <c:v>0.70099999999999996</c:v>
                </c:pt>
                <c:pt idx="22">
                  <c:v>7.6790000000000003</c:v>
                </c:pt>
                <c:pt idx="26">
                  <c:v>0.9</c:v>
                </c:pt>
                <c:pt idx="27">
                  <c:v>1.1950000000000001</c:v>
                </c:pt>
                <c:pt idx="28">
                  <c:v>0.60299999999999998</c:v>
                </c:pt>
                <c:pt idx="29">
                  <c:v>0.69899999999999995</c:v>
                </c:pt>
                <c:pt idx="30">
                  <c:v>0.60199999999999998</c:v>
                </c:pt>
                <c:pt idx="31">
                  <c:v>3.899</c:v>
                </c:pt>
                <c:pt idx="35">
                  <c:v>0.69699999999999995</c:v>
                </c:pt>
                <c:pt idx="36">
                  <c:v>0.6</c:v>
                </c:pt>
                <c:pt idx="37">
                  <c:v>0.59899999999999998</c:v>
                </c:pt>
                <c:pt idx="38">
                  <c:v>5.742</c:v>
                </c:pt>
                <c:pt idx="42">
                  <c:v>0.59899999999999998</c:v>
                </c:pt>
                <c:pt idx="43">
                  <c:v>0.69899999999999995</c:v>
                </c:pt>
                <c:pt idx="44">
                  <c:v>1.103</c:v>
                </c:pt>
                <c:pt idx="45">
                  <c:v>1.198</c:v>
                </c:pt>
                <c:pt idx="46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BA5-48FE-9323-AB3ABE764423}"/>
            </c:ext>
          </c:extLst>
        </c:ser>
        <c:ser>
          <c:idx val="7"/>
          <c:order val="7"/>
          <c:tx>
            <c:v>Max time_ign08_E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All!$DB$6:$DB$56</c:f>
              <c:numCache>
                <c:formatCode>General</c:formatCode>
                <c:ptCount val="51"/>
                <c:pt idx="0">
                  <c:v>0.998</c:v>
                </c:pt>
                <c:pt idx="1">
                  <c:v>1.105</c:v>
                </c:pt>
                <c:pt idx="2">
                  <c:v>1.1020000000000001</c:v>
                </c:pt>
                <c:pt idx="3">
                  <c:v>1.1000000000000001</c:v>
                </c:pt>
                <c:pt idx="7">
                  <c:v>0.60299999999999998</c:v>
                </c:pt>
                <c:pt idx="8">
                  <c:v>1.504</c:v>
                </c:pt>
                <c:pt idx="9">
                  <c:v>1.401</c:v>
                </c:pt>
                <c:pt idx="10">
                  <c:v>0.999</c:v>
                </c:pt>
                <c:pt idx="11">
                  <c:v>2.1970000000000001</c:v>
                </c:pt>
                <c:pt idx="12">
                  <c:v>1.3979999999999999</c:v>
                </c:pt>
                <c:pt idx="13">
                  <c:v>4.1189999999999998</c:v>
                </c:pt>
                <c:pt idx="17">
                  <c:v>1.397</c:v>
                </c:pt>
                <c:pt idx="18">
                  <c:v>1.099</c:v>
                </c:pt>
                <c:pt idx="19">
                  <c:v>1.698</c:v>
                </c:pt>
                <c:pt idx="20">
                  <c:v>1.6990000000000001</c:v>
                </c:pt>
                <c:pt idx="21">
                  <c:v>1.7010000000000001</c:v>
                </c:pt>
                <c:pt idx="22">
                  <c:v>8.9809999999999999</c:v>
                </c:pt>
                <c:pt idx="26">
                  <c:v>1.8009999999999999</c:v>
                </c:pt>
                <c:pt idx="27">
                  <c:v>1.794</c:v>
                </c:pt>
                <c:pt idx="28">
                  <c:v>1.496</c:v>
                </c:pt>
                <c:pt idx="29">
                  <c:v>1.9990000000000001</c:v>
                </c:pt>
                <c:pt idx="30">
                  <c:v>1.8049999999999999</c:v>
                </c:pt>
                <c:pt idx="31">
                  <c:v>4.601</c:v>
                </c:pt>
                <c:pt idx="35">
                  <c:v>1.8939999999999999</c:v>
                </c:pt>
                <c:pt idx="36">
                  <c:v>1.5980000000000001</c:v>
                </c:pt>
                <c:pt idx="37">
                  <c:v>1.3959999999999999</c:v>
                </c:pt>
                <c:pt idx="38">
                  <c:v>6.54</c:v>
                </c:pt>
                <c:pt idx="42">
                  <c:v>1.5</c:v>
                </c:pt>
                <c:pt idx="43">
                  <c:v>1.498</c:v>
                </c:pt>
                <c:pt idx="44">
                  <c:v>1.298</c:v>
                </c:pt>
                <c:pt idx="45">
                  <c:v>1.2969999999999999</c:v>
                </c:pt>
                <c:pt idx="46">
                  <c:v>1.996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BA5-48FE-9323-AB3ABE764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694144"/>
        <c:axId val="972511664"/>
      </c:scatterChart>
      <c:valAx>
        <c:axId val="1284694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2511664"/>
        <c:crosses val="autoZero"/>
        <c:crossBetween val="midCat"/>
      </c:valAx>
      <c:valAx>
        <c:axId val="9725116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84694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fuel pressure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pfuel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All!$AZ$6:$AZ$56</c:f>
              <c:numCache>
                <c:formatCode>General</c:formatCode>
                <c:ptCount val="51"/>
                <c:pt idx="0">
                  <c:v>0.22</c:v>
                </c:pt>
                <c:pt idx="1">
                  <c:v>5.75</c:v>
                </c:pt>
                <c:pt idx="2">
                  <c:v>5.37</c:v>
                </c:pt>
                <c:pt idx="3">
                  <c:v>5.78</c:v>
                </c:pt>
                <c:pt idx="7">
                  <c:v>5.7</c:v>
                </c:pt>
                <c:pt idx="8">
                  <c:v>5.76</c:v>
                </c:pt>
                <c:pt idx="9">
                  <c:v>5.65</c:v>
                </c:pt>
                <c:pt idx="10">
                  <c:v>5.73</c:v>
                </c:pt>
                <c:pt idx="11">
                  <c:v>5.54</c:v>
                </c:pt>
                <c:pt idx="12">
                  <c:v>5.21</c:v>
                </c:pt>
                <c:pt idx="13">
                  <c:v>5.74</c:v>
                </c:pt>
                <c:pt idx="17">
                  <c:v>5.7</c:v>
                </c:pt>
                <c:pt idx="18">
                  <c:v>5.62</c:v>
                </c:pt>
                <c:pt idx="19">
                  <c:v>5.69</c:v>
                </c:pt>
                <c:pt idx="20">
                  <c:v>5.35</c:v>
                </c:pt>
                <c:pt idx="21">
                  <c:v>5.35</c:v>
                </c:pt>
                <c:pt idx="22">
                  <c:v>5.68</c:v>
                </c:pt>
                <c:pt idx="26">
                  <c:v>5.66</c:v>
                </c:pt>
                <c:pt idx="27">
                  <c:v>5.39</c:v>
                </c:pt>
                <c:pt idx="28">
                  <c:v>5.73</c:v>
                </c:pt>
                <c:pt idx="29">
                  <c:v>5.76</c:v>
                </c:pt>
                <c:pt idx="30">
                  <c:v>5.69</c:v>
                </c:pt>
                <c:pt idx="31">
                  <c:v>5.85</c:v>
                </c:pt>
                <c:pt idx="35">
                  <c:v>5.7</c:v>
                </c:pt>
                <c:pt idx="36">
                  <c:v>5.68</c:v>
                </c:pt>
                <c:pt idx="37">
                  <c:v>5.74</c:v>
                </c:pt>
                <c:pt idx="38">
                  <c:v>5.69</c:v>
                </c:pt>
                <c:pt idx="42">
                  <c:v>5.66</c:v>
                </c:pt>
                <c:pt idx="43">
                  <c:v>5.59</c:v>
                </c:pt>
                <c:pt idx="44">
                  <c:v>5.37</c:v>
                </c:pt>
                <c:pt idx="45">
                  <c:v>5.63</c:v>
                </c:pt>
                <c:pt idx="46">
                  <c:v>5.25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76-4AA8-B343-252478067A01}"/>
            </c:ext>
          </c:extLst>
        </c:ser>
        <c:ser>
          <c:idx val="1"/>
          <c:order val="1"/>
          <c:tx>
            <c:v>Min pfuel2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All!$FO$6:$FO$56</c:f>
              <c:numCache>
                <c:formatCode>General</c:formatCode>
                <c:ptCount val="51"/>
                <c:pt idx="0">
                  <c:v>0.22</c:v>
                </c:pt>
                <c:pt idx="1">
                  <c:v>5.56</c:v>
                </c:pt>
                <c:pt idx="2">
                  <c:v>5.41</c:v>
                </c:pt>
                <c:pt idx="3">
                  <c:v>5.46</c:v>
                </c:pt>
                <c:pt idx="7">
                  <c:v>5.44</c:v>
                </c:pt>
                <c:pt idx="8">
                  <c:v>5.49</c:v>
                </c:pt>
                <c:pt idx="9">
                  <c:v>5.5</c:v>
                </c:pt>
                <c:pt idx="10">
                  <c:v>5.48</c:v>
                </c:pt>
                <c:pt idx="11">
                  <c:v>5.49</c:v>
                </c:pt>
                <c:pt idx="12">
                  <c:v>5.12</c:v>
                </c:pt>
                <c:pt idx="13">
                  <c:v>5.39</c:v>
                </c:pt>
                <c:pt idx="17">
                  <c:v>5.42</c:v>
                </c:pt>
                <c:pt idx="18">
                  <c:v>5.42</c:v>
                </c:pt>
                <c:pt idx="19">
                  <c:v>5.4</c:v>
                </c:pt>
                <c:pt idx="20">
                  <c:v>5.36</c:v>
                </c:pt>
                <c:pt idx="21">
                  <c:v>5.3</c:v>
                </c:pt>
                <c:pt idx="22">
                  <c:v>5.42</c:v>
                </c:pt>
                <c:pt idx="26">
                  <c:v>5.36</c:v>
                </c:pt>
                <c:pt idx="27">
                  <c:v>5.41</c:v>
                </c:pt>
                <c:pt idx="28">
                  <c:v>5.48</c:v>
                </c:pt>
                <c:pt idx="29">
                  <c:v>5.44</c:v>
                </c:pt>
                <c:pt idx="30">
                  <c:v>5.44</c:v>
                </c:pt>
                <c:pt idx="31">
                  <c:v>5.38</c:v>
                </c:pt>
                <c:pt idx="35">
                  <c:v>5.53</c:v>
                </c:pt>
                <c:pt idx="36">
                  <c:v>5.43</c:v>
                </c:pt>
                <c:pt idx="37">
                  <c:v>5.46</c:v>
                </c:pt>
                <c:pt idx="38">
                  <c:v>5.46</c:v>
                </c:pt>
                <c:pt idx="42">
                  <c:v>5.44</c:v>
                </c:pt>
                <c:pt idx="43">
                  <c:v>5.45</c:v>
                </c:pt>
                <c:pt idx="44">
                  <c:v>5.26</c:v>
                </c:pt>
                <c:pt idx="45">
                  <c:v>5.38</c:v>
                </c:pt>
                <c:pt idx="46">
                  <c:v>5.22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76-4AA8-B343-252478067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469536"/>
        <c:axId val="971683856"/>
      </c:scatterChart>
      <c:scatterChart>
        <c:scatterStyle val="lineMarker"/>
        <c:varyColors val="0"/>
        <c:ser>
          <c:idx val="2"/>
          <c:order val="2"/>
          <c:tx>
            <c:v>Min PRail_80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All!$BA$6:$BA$56</c:f>
              <c:numCache>
                <c:formatCode>General</c:formatCode>
                <c:ptCount val="51"/>
                <c:pt idx="0">
                  <c:v>135.893</c:v>
                </c:pt>
                <c:pt idx="1">
                  <c:v>140.916</c:v>
                </c:pt>
                <c:pt idx="2">
                  <c:v>108.381</c:v>
                </c:pt>
                <c:pt idx="3">
                  <c:v>69.2</c:v>
                </c:pt>
                <c:pt idx="7">
                  <c:v>67.099999999999994</c:v>
                </c:pt>
                <c:pt idx="8">
                  <c:v>97.081000000000003</c:v>
                </c:pt>
                <c:pt idx="9">
                  <c:v>105.259</c:v>
                </c:pt>
                <c:pt idx="10">
                  <c:v>112.649</c:v>
                </c:pt>
                <c:pt idx="11">
                  <c:v>64.099999999999994</c:v>
                </c:pt>
                <c:pt idx="12">
                  <c:v>85.896000000000001</c:v>
                </c:pt>
                <c:pt idx="13">
                  <c:v>69.5</c:v>
                </c:pt>
                <c:pt idx="17">
                  <c:v>66.599999999999994</c:v>
                </c:pt>
                <c:pt idx="18">
                  <c:v>93.8</c:v>
                </c:pt>
                <c:pt idx="19">
                  <c:v>132.767</c:v>
                </c:pt>
                <c:pt idx="20">
                  <c:v>113.342</c:v>
                </c:pt>
                <c:pt idx="21">
                  <c:v>93.856999999999999</c:v>
                </c:pt>
                <c:pt idx="22">
                  <c:v>92.93</c:v>
                </c:pt>
                <c:pt idx="26">
                  <c:v>65.3</c:v>
                </c:pt>
                <c:pt idx="27">
                  <c:v>97.691000000000003</c:v>
                </c:pt>
                <c:pt idx="28">
                  <c:v>124.22</c:v>
                </c:pt>
                <c:pt idx="29">
                  <c:v>137.81299999999999</c:v>
                </c:pt>
                <c:pt idx="30">
                  <c:v>138.66800000000001</c:v>
                </c:pt>
                <c:pt idx="31">
                  <c:v>141.44999999999999</c:v>
                </c:pt>
                <c:pt idx="35">
                  <c:v>66.900000000000006</c:v>
                </c:pt>
                <c:pt idx="36">
                  <c:v>139.71600000000001</c:v>
                </c:pt>
                <c:pt idx="37">
                  <c:v>77.802999999999997</c:v>
                </c:pt>
                <c:pt idx="38">
                  <c:v>72.798000000000002</c:v>
                </c:pt>
                <c:pt idx="42">
                  <c:v>71.305999999999997</c:v>
                </c:pt>
                <c:pt idx="43">
                  <c:v>72.599999999999994</c:v>
                </c:pt>
                <c:pt idx="44">
                  <c:v>125.59699999999999</c:v>
                </c:pt>
                <c:pt idx="45">
                  <c:v>140.352</c:v>
                </c:pt>
                <c:pt idx="46">
                  <c:v>69.3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76-4AA8-B343-252478067A01}"/>
            </c:ext>
          </c:extLst>
        </c:ser>
        <c:ser>
          <c:idx val="3"/>
          <c:order val="3"/>
          <c:tx>
            <c:v>Min PRail2_80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All!$BB$6:$BB$56</c:f>
              <c:numCache>
                <c:formatCode>General</c:formatCode>
                <c:ptCount val="51"/>
                <c:pt idx="0">
                  <c:v>130.47499999999999</c:v>
                </c:pt>
                <c:pt idx="1">
                  <c:v>139.61099999999999</c:v>
                </c:pt>
                <c:pt idx="2">
                  <c:v>107.996</c:v>
                </c:pt>
                <c:pt idx="3">
                  <c:v>69.400000000000006</c:v>
                </c:pt>
                <c:pt idx="7">
                  <c:v>67.203000000000003</c:v>
                </c:pt>
                <c:pt idx="8">
                  <c:v>92.271000000000001</c:v>
                </c:pt>
                <c:pt idx="9">
                  <c:v>105.164</c:v>
                </c:pt>
                <c:pt idx="10">
                  <c:v>111.938</c:v>
                </c:pt>
                <c:pt idx="11">
                  <c:v>65.709000000000003</c:v>
                </c:pt>
                <c:pt idx="12">
                  <c:v>85.632999999999996</c:v>
                </c:pt>
                <c:pt idx="13">
                  <c:v>69.400000000000006</c:v>
                </c:pt>
                <c:pt idx="17">
                  <c:v>66.903999999999996</c:v>
                </c:pt>
                <c:pt idx="18">
                  <c:v>93.1</c:v>
                </c:pt>
                <c:pt idx="19">
                  <c:v>133.571</c:v>
                </c:pt>
                <c:pt idx="20">
                  <c:v>111.45</c:v>
                </c:pt>
                <c:pt idx="21">
                  <c:v>93.289000000000001</c:v>
                </c:pt>
                <c:pt idx="22">
                  <c:v>92.546999999999997</c:v>
                </c:pt>
                <c:pt idx="26">
                  <c:v>66.316999999999993</c:v>
                </c:pt>
                <c:pt idx="27">
                  <c:v>99.682000000000002</c:v>
                </c:pt>
                <c:pt idx="28">
                  <c:v>122.114</c:v>
                </c:pt>
                <c:pt idx="29">
                  <c:v>136.81</c:v>
                </c:pt>
                <c:pt idx="30">
                  <c:v>138.376</c:v>
                </c:pt>
                <c:pt idx="31">
                  <c:v>140.816</c:v>
                </c:pt>
                <c:pt idx="35">
                  <c:v>67</c:v>
                </c:pt>
                <c:pt idx="36">
                  <c:v>140.19800000000001</c:v>
                </c:pt>
                <c:pt idx="37">
                  <c:v>78.316999999999993</c:v>
                </c:pt>
                <c:pt idx="38">
                  <c:v>70.5</c:v>
                </c:pt>
                <c:pt idx="42">
                  <c:v>72.305999999999997</c:v>
                </c:pt>
                <c:pt idx="43">
                  <c:v>73.900000000000006</c:v>
                </c:pt>
                <c:pt idx="44">
                  <c:v>125.779</c:v>
                </c:pt>
                <c:pt idx="45">
                  <c:v>139.69200000000001</c:v>
                </c:pt>
                <c:pt idx="46">
                  <c:v>69.400000000000006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B76-4AA8-B343-252478067A01}"/>
            </c:ext>
          </c:extLst>
        </c:ser>
        <c:ser>
          <c:idx val="4"/>
          <c:order val="4"/>
          <c:tx>
            <c:v>Ave prail_ip_100%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All!$ID$6:$ID$56</c:f>
              <c:numCache>
                <c:formatCode>General</c:formatCode>
                <c:ptCount val="51"/>
                <c:pt idx="0">
                  <c:v>-1.7999999999999999E-2</c:v>
                </c:pt>
                <c:pt idx="1">
                  <c:v>-0.19700000000000001</c:v>
                </c:pt>
                <c:pt idx="2">
                  <c:v>-0.24299999999999999</c:v>
                </c:pt>
                <c:pt idx="3">
                  <c:v>-0.215</c:v>
                </c:pt>
                <c:pt idx="7">
                  <c:v>-0.151</c:v>
                </c:pt>
                <c:pt idx="8">
                  <c:v>-0.26400000000000001</c:v>
                </c:pt>
                <c:pt idx="9">
                  <c:v>-0.26</c:v>
                </c:pt>
                <c:pt idx="10">
                  <c:v>-0.25</c:v>
                </c:pt>
                <c:pt idx="11">
                  <c:v>-0.222</c:v>
                </c:pt>
                <c:pt idx="12">
                  <c:v>-0.28199999999999997</c:v>
                </c:pt>
                <c:pt idx="13">
                  <c:v>-0.23400000000000001</c:v>
                </c:pt>
                <c:pt idx="17">
                  <c:v>-0.11899999999999999</c:v>
                </c:pt>
                <c:pt idx="18">
                  <c:v>-0.28599999999999998</c:v>
                </c:pt>
                <c:pt idx="19">
                  <c:v>-0.28599999999999998</c:v>
                </c:pt>
                <c:pt idx="20">
                  <c:v>-0.28699999999999998</c:v>
                </c:pt>
                <c:pt idx="21">
                  <c:v>-0.30299999999999999</c:v>
                </c:pt>
                <c:pt idx="22">
                  <c:v>-0.24099999999999999</c:v>
                </c:pt>
                <c:pt idx="26">
                  <c:v>-0.189</c:v>
                </c:pt>
                <c:pt idx="27">
                  <c:v>-0.26900000000000002</c:v>
                </c:pt>
                <c:pt idx="28">
                  <c:v>-0.28199999999999997</c:v>
                </c:pt>
                <c:pt idx="29">
                  <c:v>-0.25900000000000001</c:v>
                </c:pt>
                <c:pt idx="30">
                  <c:v>-0.30399999999999999</c:v>
                </c:pt>
                <c:pt idx="31">
                  <c:v>-0.191</c:v>
                </c:pt>
                <c:pt idx="35">
                  <c:v>-4.2000000000000003E-2</c:v>
                </c:pt>
                <c:pt idx="36">
                  <c:v>-0.378</c:v>
                </c:pt>
                <c:pt idx="37">
                  <c:v>-0.32900000000000001</c:v>
                </c:pt>
                <c:pt idx="38">
                  <c:v>-5.3999999999999999E-2</c:v>
                </c:pt>
                <c:pt idx="42">
                  <c:v>-4.3999999999999997E-2</c:v>
                </c:pt>
                <c:pt idx="43">
                  <c:v>-0.11799999999999999</c:v>
                </c:pt>
                <c:pt idx="44">
                  <c:v>-0.315</c:v>
                </c:pt>
                <c:pt idx="45">
                  <c:v>-0.39100000000000001</c:v>
                </c:pt>
                <c:pt idx="46">
                  <c:v>-0.318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B76-4AA8-B343-252478067A01}"/>
            </c:ext>
          </c:extLst>
        </c:ser>
        <c:ser>
          <c:idx val="5"/>
          <c:order val="5"/>
          <c:tx>
            <c:v>Ave prail_ip2_100%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All!$IE$6:$IE$56</c:f>
              <c:numCache>
                <c:formatCode>General</c:formatCode>
                <c:ptCount val="51"/>
                <c:pt idx="0">
                  <c:v>-8.9999999999999993E-3</c:v>
                </c:pt>
                <c:pt idx="1">
                  <c:v>-7.2999999999999995E-2</c:v>
                </c:pt>
                <c:pt idx="2">
                  <c:v>-7.9000000000000001E-2</c:v>
                </c:pt>
                <c:pt idx="3">
                  <c:v>-7.0000000000000007E-2</c:v>
                </c:pt>
                <c:pt idx="7">
                  <c:v>-3.3000000000000002E-2</c:v>
                </c:pt>
                <c:pt idx="8">
                  <c:v>-8.5999999999999993E-2</c:v>
                </c:pt>
                <c:pt idx="9">
                  <c:v>-8.5999999999999993E-2</c:v>
                </c:pt>
                <c:pt idx="10">
                  <c:v>-7.3999999999999996E-2</c:v>
                </c:pt>
                <c:pt idx="11">
                  <c:v>-7.6999999999999999E-2</c:v>
                </c:pt>
                <c:pt idx="12">
                  <c:v>-8.6999999999999994E-2</c:v>
                </c:pt>
                <c:pt idx="13">
                  <c:v>-7.6999999999999999E-2</c:v>
                </c:pt>
                <c:pt idx="17">
                  <c:v>-3.9E-2</c:v>
                </c:pt>
                <c:pt idx="18">
                  <c:v>-0.108</c:v>
                </c:pt>
                <c:pt idx="19">
                  <c:v>-9.6000000000000002E-2</c:v>
                </c:pt>
                <c:pt idx="20">
                  <c:v>-0.08</c:v>
                </c:pt>
                <c:pt idx="21">
                  <c:v>-0.109</c:v>
                </c:pt>
                <c:pt idx="22">
                  <c:v>-8.7999999999999995E-2</c:v>
                </c:pt>
                <c:pt idx="26">
                  <c:v>-6.0999999999999999E-2</c:v>
                </c:pt>
                <c:pt idx="27">
                  <c:v>-0.10100000000000001</c:v>
                </c:pt>
                <c:pt idx="28">
                  <c:v>-0.106</c:v>
                </c:pt>
                <c:pt idx="29">
                  <c:v>-9.6000000000000002E-2</c:v>
                </c:pt>
                <c:pt idx="30">
                  <c:v>-0.11700000000000001</c:v>
                </c:pt>
                <c:pt idx="31">
                  <c:v>-7.5999999999999998E-2</c:v>
                </c:pt>
                <c:pt idx="35">
                  <c:v>-1.7999999999999999E-2</c:v>
                </c:pt>
                <c:pt idx="36">
                  <c:v>-0.16500000000000001</c:v>
                </c:pt>
                <c:pt idx="37">
                  <c:v>-0.14299999999999999</c:v>
                </c:pt>
                <c:pt idx="38">
                  <c:v>-2.4E-2</c:v>
                </c:pt>
                <c:pt idx="42">
                  <c:v>-1.7999999999999999E-2</c:v>
                </c:pt>
                <c:pt idx="43">
                  <c:v>-4.7E-2</c:v>
                </c:pt>
                <c:pt idx="44">
                  <c:v>-0.13800000000000001</c:v>
                </c:pt>
                <c:pt idx="45">
                  <c:v>-0.152</c:v>
                </c:pt>
                <c:pt idx="46">
                  <c:v>-0.129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B76-4AA8-B343-252478067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906480"/>
        <c:axId val="1263727664"/>
      </c:scatterChart>
      <c:valAx>
        <c:axId val="140446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1683856"/>
        <c:crosses val="autoZero"/>
        <c:crossBetween val="midCat"/>
      </c:valAx>
      <c:valAx>
        <c:axId val="97168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4469536"/>
        <c:crosses val="autoZero"/>
        <c:crossBetween val="midCat"/>
      </c:valAx>
      <c:valAx>
        <c:axId val="1263727664"/>
        <c:scaling>
          <c:orientation val="minMax"/>
          <c:max val="7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5906480"/>
        <c:crosses val="max"/>
        <c:crossBetween val="midCat"/>
      </c:valAx>
      <c:valAx>
        <c:axId val="1265906480"/>
        <c:scaling>
          <c:orientation val="minMax"/>
        </c:scaling>
        <c:delete val="1"/>
        <c:axPos val="b"/>
        <c:majorTickMark val="out"/>
        <c:minorTickMark val="none"/>
        <c:tickLblPos val="nextTo"/>
        <c:crossAx val="126372766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Coolant pressures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pwat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All!$EL$6:$EL$56</c:f>
              <c:numCache>
                <c:formatCode>General</c:formatCode>
                <c:ptCount val="51"/>
                <c:pt idx="0">
                  <c:v>1.7</c:v>
                </c:pt>
                <c:pt idx="1">
                  <c:v>1.6</c:v>
                </c:pt>
                <c:pt idx="2">
                  <c:v>1.55</c:v>
                </c:pt>
                <c:pt idx="3">
                  <c:v>1.75</c:v>
                </c:pt>
                <c:pt idx="7">
                  <c:v>2.25</c:v>
                </c:pt>
                <c:pt idx="8">
                  <c:v>1.7</c:v>
                </c:pt>
                <c:pt idx="9">
                  <c:v>1.75</c:v>
                </c:pt>
                <c:pt idx="10">
                  <c:v>1.9</c:v>
                </c:pt>
                <c:pt idx="11">
                  <c:v>1.8</c:v>
                </c:pt>
                <c:pt idx="12">
                  <c:v>1.9</c:v>
                </c:pt>
                <c:pt idx="13">
                  <c:v>1.95</c:v>
                </c:pt>
                <c:pt idx="17">
                  <c:v>2.2999999999999998</c:v>
                </c:pt>
                <c:pt idx="18">
                  <c:v>1.9</c:v>
                </c:pt>
                <c:pt idx="19">
                  <c:v>1.95</c:v>
                </c:pt>
                <c:pt idx="20">
                  <c:v>1.95</c:v>
                </c:pt>
                <c:pt idx="21">
                  <c:v>2</c:v>
                </c:pt>
                <c:pt idx="22">
                  <c:v>2</c:v>
                </c:pt>
                <c:pt idx="26">
                  <c:v>2.25</c:v>
                </c:pt>
                <c:pt idx="27">
                  <c:v>2.0499999999999998</c:v>
                </c:pt>
                <c:pt idx="28">
                  <c:v>2.0499999999999998</c:v>
                </c:pt>
                <c:pt idx="29">
                  <c:v>2.0499999999999998</c:v>
                </c:pt>
                <c:pt idx="30">
                  <c:v>2.0499999999999998</c:v>
                </c:pt>
                <c:pt idx="31">
                  <c:v>2.1</c:v>
                </c:pt>
                <c:pt idx="35">
                  <c:v>2.2000000000000002</c:v>
                </c:pt>
                <c:pt idx="36">
                  <c:v>2.1</c:v>
                </c:pt>
                <c:pt idx="37">
                  <c:v>2.0499999999999998</c:v>
                </c:pt>
                <c:pt idx="38">
                  <c:v>2.1</c:v>
                </c:pt>
                <c:pt idx="42">
                  <c:v>2.25</c:v>
                </c:pt>
                <c:pt idx="43">
                  <c:v>2</c:v>
                </c:pt>
                <c:pt idx="44">
                  <c:v>2.0499999999999998</c:v>
                </c:pt>
                <c:pt idx="45">
                  <c:v>2.15</c:v>
                </c:pt>
                <c:pt idx="46">
                  <c:v>2.15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AA-4D93-BC76-F439FE8D015B}"/>
            </c:ext>
          </c:extLst>
        </c:ser>
        <c:ser>
          <c:idx val="1"/>
          <c:order val="1"/>
          <c:tx>
            <c:v>Min pwat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All!$EM$6:$EM$56</c:f>
              <c:numCache>
                <c:formatCode>General</c:formatCode>
                <c:ptCount val="51"/>
                <c:pt idx="0">
                  <c:v>1.1000000000000001</c:v>
                </c:pt>
                <c:pt idx="1">
                  <c:v>1.2</c:v>
                </c:pt>
                <c:pt idx="2">
                  <c:v>1.2</c:v>
                </c:pt>
                <c:pt idx="3">
                  <c:v>1.25</c:v>
                </c:pt>
                <c:pt idx="7">
                  <c:v>1.25</c:v>
                </c:pt>
                <c:pt idx="8">
                  <c:v>1.4</c:v>
                </c:pt>
                <c:pt idx="9">
                  <c:v>1.35</c:v>
                </c:pt>
                <c:pt idx="10">
                  <c:v>1.4</c:v>
                </c:pt>
                <c:pt idx="11">
                  <c:v>1.45</c:v>
                </c:pt>
                <c:pt idx="12">
                  <c:v>1.45</c:v>
                </c:pt>
                <c:pt idx="13">
                  <c:v>1.5</c:v>
                </c:pt>
                <c:pt idx="17">
                  <c:v>1.4</c:v>
                </c:pt>
                <c:pt idx="18">
                  <c:v>1.45</c:v>
                </c:pt>
                <c:pt idx="19">
                  <c:v>1.55</c:v>
                </c:pt>
                <c:pt idx="20">
                  <c:v>1.6</c:v>
                </c:pt>
                <c:pt idx="21">
                  <c:v>1.6</c:v>
                </c:pt>
                <c:pt idx="22">
                  <c:v>1.55</c:v>
                </c:pt>
                <c:pt idx="26">
                  <c:v>1.55</c:v>
                </c:pt>
                <c:pt idx="27">
                  <c:v>1.65</c:v>
                </c:pt>
                <c:pt idx="28">
                  <c:v>1.6</c:v>
                </c:pt>
                <c:pt idx="29">
                  <c:v>1.7</c:v>
                </c:pt>
                <c:pt idx="30">
                  <c:v>1.65</c:v>
                </c:pt>
                <c:pt idx="31">
                  <c:v>1.55</c:v>
                </c:pt>
                <c:pt idx="35">
                  <c:v>1.55</c:v>
                </c:pt>
                <c:pt idx="36">
                  <c:v>1.6</c:v>
                </c:pt>
                <c:pt idx="37">
                  <c:v>1.6</c:v>
                </c:pt>
                <c:pt idx="38">
                  <c:v>1.6</c:v>
                </c:pt>
                <c:pt idx="42">
                  <c:v>1.65</c:v>
                </c:pt>
                <c:pt idx="43">
                  <c:v>1.6</c:v>
                </c:pt>
                <c:pt idx="44">
                  <c:v>1.65</c:v>
                </c:pt>
                <c:pt idx="45">
                  <c:v>1.7</c:v>
                </c:pt>
                <c:pt idx="46">
                  <c:v>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AA-4D93-BC76-F439FE8D015B}"/>
            </c:ext>
          </c:extLst>
        </c:ser>
        <c:ser>
          <c:idx val="2"/>
          <c:order val="2"/>
          <c:tx>
            <c:v>Max pmotin_pod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All!$FM$6:$FM$56</c:f>
              <c:numCache>
                <c:formatCode>General</c:formatCode>
                <c:ptCount val="51"/>
                <c:pt idx="0">
                  <c:v>2.7</c:v>
                </c:pt>
                <c:pt idx="1">
                  <c:v>2.87</c:v>
                </c:pt>
                <c:pt idx="2">
                  <c:v>3.07</c:v>
                </c:pt>
                <c:pt idx="3">
                  <c:v>3.19</c:v>
                </c:pt>
                <c:pt idx="7">
                  <c:v>3.51</c:v>
                </c:pt>
                <c:pt idx="8">
                  <c:v>3.28</c:v>
                </c:pt>
                <c:pt idx="9">
                  <c:v>3.31</c:v>
                </c:pt>
                <c:pt idx="10">
                  <c:v>3.31</c:v>
                </c:pt>
                <c:pt idx="11">
                  <c:v>3.36</c:v>
                </c:pt>
                <c:pt idx="12">
                  <c:v>3.35</c:v>
                </c:pt>
                <c:pt idx="13">
                  <c:v>3.37</c:v>
                </c:pt>
                <c:pt idx="17">
                  <c:v>3.27</c:v>
                </c:pt>
                <c:pt idx="18">
                  <c:v>3.37</c:v>
                </c:pt>
                <c:pt idx="19">
                  <c:v>3.42</c:v>
                </c:pt>
                <c:pt idx="20">
                  <c:v>3.48</c:v>
                </c:pt>
                <c:pt idx="21">
                  <c:v>3.44</c:v>
                </c:pt>
                <c:pt idx="22">
                  <c:v>3.48</c:v>
                </c:pt>
                <c:pt idx="26">
                  <c:v>3.41</c:v>
                </c:pt>
                <c:pt idx="27">
                  <c:v>3.53</c:v>
                </c:pt>
                <c:pt idx="28">
                  <c:v>3.64</c:v>
                </c:pt>
                <c:pt idx="29">
                  <c:v>3.52</c:v>
                </c:pt>
                <c:pt idx="30">
                  <c:v>3.58</c:v>
                </c:pt>
                <c:pt idx="31">
                  <c:v>3.53</c:v>
                </c:pt>
                <c:pt idx="35">
                  <c:v>3.58</c:v>
                </c:pt>
                <c:pt idx="36">
                  <c:v>3.67</c:v>
                </c:pt>
                <c:pt idx="37">
                  <c:v>3.6</c:v>
                </c:pt>
                <c:pt idx="38">
                  <c:v>3.46</c:v>
                </c:pt>
                <c:pt idx="42">
                  <c:v>3.33</c:v>
                </c:pt>
                <c:pt idx="43">
                  <c:v>3.56</c:v>
                </c:pt>
                <c:pt idx="44">
                  <c:v>3.69</c:v>
                </c:pt>
                <c:pt idx="45">
                  <c:v>3.73</c:v>
                </c:pt>
                <c:pt idx="46">
                  <c:v>3.76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AA-4D93-BC76-F439FE8D015B}"/>
            </c:ext>
          </c:extLst>
        </c:ser>
        <c:ser>
          <c:idx val="3"/>
          <c:order val="3"/>
          <c:tx>
            <c:v>Min pmotin_pod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All!$FN$6:$FN$56</c:f>
              <c:numCache>
                <c:formatCode>General</c:formatCode>
                <c:ptCount val="51"/>
                <c:pt idx="0">
                  <c:v>-0.88</c:v>
                </c:pt>
                <c:pt idx="1">
                  <c:v>-0.83</c:v>
                </c:pt>
                <c:pt idx="2">
                  <c:v>-0.82</c:v>
                </c:pt>
                <c:pt idx="3">
                  <c:v>-0.6</c:v>
                </c:pt>
                <c:pt idx="7">
                  <c:v>-0.44</c:v>
                </c:pt>
                <c:pt idx="8">
                  <c:v>0.14000000000000001</c:v>
                </c:pt>
                <c:pt idx="9">
                  <c:v>2.1</c:v>
                </c:pt>
                <c:pt idx="10">
                  <c:v>2.0499999999999998</c:v>
                </c:pt>
                <c:pt idx="11">
                  <c:v>0.25</c:v>
                </c:pt>
                <c:pt idx="12">
                  <c:v>-0.41</c:v>
                </c:pt>
                <c:pt idx="13">
                  <c:v>-0.57999999999999996</c:v>
                </c:pt>
                <c:pt idx="17">
                  <c:v>-0.85</c:v>
                </c:pt>
                <c:pt idx="18">
                  <c:v>-0.78</c:v>
                </c:pt>
                <c:pt idx="19">
                  <c:v>-0.62</c:v>
                </c:pt>
                <c:pt idx="20">
                  <c:v>-0.57999999999999996</c:v>
                </c:pt>
                <c:pt idx="21">
                  <c:v>-0.64</c:v>
                </c:pt>
                <c:pt idx="22">
                  <c:v>-0.7</c:v>
                </c:pt>
                <c:pt idx="26">
                  <c:v>-0.84</c:v>
                </c:pt>
                <c:pt idx="27">
                  <c:v>-0.89</c:v>
                </c:pt>
                <c:pt idx="28">
                  <c:v>-0.56000000000000005</c:v>
                </c:pt>
                <c:pt idx="29">
                  <c:v>-0.52</c:v>
                </c:pt>
                <c:pt idx="30">
                  <c:v>-0.28000000000000003</c:v>
                </c:pt>
                <c:pt idx="31">
                  <c:v>-0.72</c:v>
                </c:pt>
                <c:pt idx="35">
                  <c:v>-0.93</c:v>
                </c:pt>
                <c:pt idx="36">
                  <c:v>0.13</c:v>
                </c:pt>
                <c:pt idx="37">
                  <c:v>0.06</c:v>
                </c:pt>
                <c:pt idx="38">
                  <c:v>-0.74</c:v>
                </c:pt>
                <c:pt idx="42">
                  <c:v>-0.67</c:v>
                </c:pt>
                <c:pt idx="43">
                  <c:v>-0.75</c:v>
                </c:pt>
                <c:pt idx="44">
                  <c:v>-0.54</c:v>
                </c:pt>
                <c:pt idx="45">
                  <c:v>2.13</c:v>
                </c:pt>
                <c:pt idx="46">
                  <c:v>2.0299999999999998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AA-4D93-BC76-F439FE8D015B}"/>
            </c:ext>
          </c:extLst>
        </c:ser>
        <c:ser>
          <c:idx val="4"/>
          <c:order val="4"/>
          <c:tx>
            <c:v>Ave water_pres_diff_calc_pod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All!$HV$6:$HV$56</c:f>
              <c:numCache>
                <c:formatCode>General</c:formatCode>
                <c:ptCount val="51"/>
                <c:pt idx="0">
                  <c:v>0.435</c:v>
                </c:pt>
                <c:pt idx="1">
                  <c:v>1E-3</c:v>
                </c:pt>
                <c:pt idx="2">
                  <c:v>0.27300000000000002</c:v>
                </c:pt>
                <c:pt idx="3">
                  <c:v>0.72399999999999998</c:v>
                </c:pt>
                <c:pt idx="7">
                  <c:v>0.20399999999999999</c:v>
                </c:pt>
                <c:pt idx="8">
                  <c:v>1.1879999999999999</c:v>
                </c:pt>
                <c:pt idx="9">
                  <c:v>1.304</c:v>
                </c:pt>
                <c:pt idx="10">
                  <c:v>1.321</c:v>
                </c:pt>
                <c:pt idx="11">
                  <c:v>0.73599999999999999</c:v>
                </c:pt>
                <c:pt idx="12">
                  <c:v>0.35399999999999998</c:v>
                </c:pt>
                <c:pt idx="13">
                  <c:v>-9.8000000000000004E-2</c:v>
                </c:pt>
                <c:pt idx="17">
                  <c:v>-0.95499999999999996</c:v>
                </c:pt>
                <c:pt idx="18">
                  <c:v>0.125</c:v>
                </c:pt>
                <c:pt idx="19">
                  <c:v>0.44600000000000001</c:v>
                </c:pt>
                <c:pt idx="20">
                  <c:v>0.434</c:v>
                </c:pt>
                <c:pt idx="21">
                  <c:v>0.193</c:v>
                </c:pt>
                <c:pt idx="22">
                  <c:v>-0.34100000000000003</c:v>
                </c:pt>
                <c:pt idx="26">
                  <c:v>-0.498</c:v>
                </c:pt>
                <c:pt idx="27">
                  <c:v>1.7999999999999999E-2</c:v>
                </c:pt>
                <c:pt idx="28">
                  <c:v>0.47499999999999998</c:v>
                </c:pt>
                <c:pt idx="29">
                  <c:v>0.127</c:v>
                </c:pt>
                <c:pt idx="30">
                  <c:v>0.63500000000000001</c:v>
                </c:pt>
                <c:pt idx="31">
                  <c:v>-0.13700000000000001</c:v>
                </c:pt>
                <c:pt idx="35">
                  <c:v>-0.32500000000000001</c:v>
                </c:pt>
                <c:pt idx="36">
                  <c:v>1.119</c:v>
                </c:pt>
                <c:pt idx="37">
                  <c:v>0.74199999999999999</c:v>
                </c:pt>
                <c:pt idx="38">
                  <c:v>-0.78</c:v>
                </c:pt>
                <c:pt idx="42">
                  <c:v>-0.61599999999999999</c:v>
                </c:pt>
                <c:pt idx="43">
                  <c:v>-0.81100000000000005</c:v>
                </c:pt>
                <c:pt idx="44">
                  <c:v>0.80100000000000005</c:v>
                </c:pt>
                <c:pt idx="45">
                  <c:v>1.2969999999999999</c:v>
                </c:pt>
                <c:pt idx="46">
                  <c:v>1.1819999999999999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DAA-4D93-BC76-F439FE8D0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159504"/>
        <c:axId val="1212157424"/>
      </c:scatterChart>
      <c:valAx>
        <c:axId val="1212159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2157424"/>
        <c:crosses val="autoZero"/>
        <c:crossBetween val="midCat"/>
      </c:valAx>
      <c:valAx>
        <c:axId val="1212157424"/>
        <c:scaling>
          <c:orientation val="minMax"/>
          <c:max val="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2159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Mixture 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Lap-Begin Ave Lambda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All!$FG$6:$FG$56</c:f>
              <c:numCache>
                <c:formatCode>General</c:formatCode>
                <c:ptCount val="51"/>
                <c:pt idx="0">
                  <c:v>1.0129999999999999</c:v>
                </c:pt>
                <c:pt idx="1">
                  <c:v>0.94699999999999995</c:v>
                </c:pt>
                <c:pt idx="2">
                  <c:v>0.94399999999999995</c:v>
                </c:pt>
                <c:pt idx="3">
                  <c:v>0.97299999999999998</c:v>
                </c:pt>
                <c:pt idx="7">
                  <c:v>1.0369999999999999</c:v>
                </c:pt>
                <c:pt idx="8">
                  <c:v>0.94499999999999995</c:v>
                </c:pt>
                <c:pt idx="9">
                  <c:v>0.94499999999999995</c:v>
                </c:pt>
                <c:pt idx="10">
                  <c:v>0.94499999999999995</c:v>
                </c:pt>
                <c:pt idx="11">
                  <c:v>0.94699999999999995</c:v>
                </c:pt>
                <c:pt idx="12">
                  <c:v>0.94399999999999995</c:v>
                </c:pt>
                <c:pt idx="13">
                  <c:v>0.97299999999999998</c:v>
                </c:pt>
                <c:pt idx="17">
                  <c:v>0.96099999999999997</c:v>
                </c:pt>
                <c:pt idx="18">
                  <c:v>0.93400000000000005</c:v>
                </c:pt>
                <c:pt idx="19">
                  <c:v>0.93400000000000005</c:v>
                </c:pt>
                <c:pt idx="20">
                  <c:v>0.93700000000000006</c:v>
                </c:pt>
                <c:pt idx="21">
                  <c:v>0.93500000000000005</c:v>
                </c:pt>
                <c:pt idx="22">
                  <c:v>0.99</c:v>
                </c:pt>
                <c:pt idx="26">
                  <c:v>0.95</c:v>
                </c:pt>
                <c:pt idx="27">
                  <c:v>0.93400000000000005</c:v>
                </c:pt>
                <c:pt idx="28">
                  <c:v>0.93300000000000005</c:v>
                </c:pt>
                <c:pt idx="29">
                  <c:v>0.93500000000000005</c:v>
                </c:pt>
                <c:pt idx="30">
                  <c:v>0.93200000000000005</c:v>
                </c:pt>
                <c:pt idx="31">
                  <c:v>0.94</c:v>
                </c:pt>
                <c:pt idx="35">
                  <c:v>1.016</c:v>
                </c:pt>
                <c:pt idx="36">
                  <c:v>0.91300000000000003</c:v>
                </c:pt>
                <c:pt idx="37">
                  <c:v>0.91800000000000004</c:v>
                </c:pt>
                <c:pt idx="38">
                  <c:v>0.98499999999999999</c:v>
                </c:pt>
                <c:pt idx="42">
                  <c:v>0.95599999999999996</c:v>
                </c:pt>
                <c:pt idx="43">
                  <c:v>0.92700000000000005</c:v>
                </c:pt>
                <c:pt idx="44">
                  <c:v>0.91900000000000004</c:v>
                </c:pt>
                <c:pt idx="45">
                  <c:v>0.91900000000000004</c:v>
                </c:pt>
                <c:pt idx="46">
                  <c:v>0.92300000000000004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AF-4370-A2AA-3FD868265F67}"/>
            </c:ext>
          </c:extLst>
        </c:ser>
        <c:ser>
          <c:idx val="1"/>
          <c:order val="1"/>
          <c:tx>
            <c:v>Lap-Begin Ave Lambda2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All!$FH$6:$FH$56</c:f>
              <c:numCache>
                <c:formatCode>General</c:formatCode>
                <c:ptCount val="51"/>
                <c:pt idx="0">
                  <c:v>1.0169999999999999</c:v>
                </c:pt>
                <c:pt idx="1">
                  <c:v>0.94699999999999995</c:v>
                </c:pt>
                <c:pt idx="2">
                  <c:v>0.94399999999999995</c:v>
                </c:pt>
                <c:pt idx="3">
                  <c:v>0.97899999999999998</c:v>
                </c:pt>
                <c:pt idx="7">
                  <c:v>1.0469999999999999</c:v>
                </c:pt>
                <c:pt idx="8">
                  <c:v>0.94599999999999995</c:v>
                </c:pt>
                <c:pt idx="9">
                  <c:v>0.94499999999999995</c:v>
                </c:pt>
                <c:pt idx="10">
                  <c:v>0.94599999999999995</c:v>
                </c:pt>
                <c:pt idx="11">
                  <c:v>0.94699999999999995</c:v>
                </c:pt>
                <c:pt idx="12">
                  <c:v>0.94399999999999995</c:v>
                </c:pt>
                <c:pt idx="13">
                  <c:v>0.95399999999999996</c:v>
                </c:pt>
                <c:pt idx="17">
                  <c:v>0.96099999999999997</c:v>
                </c:pt>
                <c:pt idx="18">
                  <c:v>0.93500000000000005</c:v>
                </c:pt>
                <c:pt idx="19">
                  <c:v>0.93500000000000005</c:v>
                </c:pt>
                <c:pt idx="20">
                  <c:v>0.93799999999999994</c:v>
                </c:pt>
                <c:pt idx="21">
                  <c:v>0.93700000000000006</c:v>
                </c:pt>
                <c:pt idx="22">
                  <c:v>0.98899999999999999</c:v>
                </c:pt>
                <c:pt idx="26">
                  <c:v>0.95099999999999996</c:v>
                </c:pt>
                <c:pt idx="27">
                  <c:v>0.93500000000000005</c:v>
                </c:pt>
                <c:pt idx="28">
                  <c:v>0.93400000000000005</c:v>
                </c:pt>
                <c:pt idx="29">
                  <c:v>0.93500000000000005</c:v>
                </c:pt>
                <c:pt idx="30">
                  <c:v>0.93300000000000005</c:v>
                </c:pt>
                <c:pt idx="31">
                  <c:v>0.93899999999999995</c:v>
                </c:pt>
                <c:pt idx="35">
                  <c:v>1.016</c:v>
                </c:pt>
                <c:pt idx="36">
                  <c:v>0.91400000000000003</c:v>
                </c:pt>
                <c:pt idx="37">
                  <c:v>0.91800000000000004</c:v>
                </c:pt>
                <c:pt idx="38">
                  <c:v>0.93400000000000005</c:v>
                </c:pt>
                <c:pt idx="42">
                  <c:v>0.96</c:v>
                </c:pt>
                <c:pt idx="43">
                  <c:v>0.92700000000000005</c:v>
                </c:pt>
                <c:pt idx="44">
                  <c:v>0.91900000000000004</c:v>
                </c:pt>
                <c:pt idx="45">
                  <c:v>0.91900000000000004</c:v>
                </c:pt>
                <c:pt idx="46">
                  <c:v>0.92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AF-4370-A2AA-3FD868265F67}"/>
            </c:ext>
          </c:extLst>
        </c:ser>
        <c:ser>
          <c:idx val="2"/>
          <c:order val="2"/>
          <c:tx>
            <c:v>Lap-Begin Ave flc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All!$FI$6:$FI$56</c:f>
              <c:numCache>
                <c:formatCode>General</c:formatCode>
                <c:ptCount val="51"/>
                <c:pt idx="0">
                  <c:v>1.0009999999999999</c:v>
                </c:pt>
                <c:pt idx="1">
                  <c:v>0.98499999999999999</c:v>
                </c:pt>
                <c:pt idx="2">
                  <c:v>0.98299999999999998</c:v>
                </c:pt>
                <c:pt idx="3">
                  <c:v>0.98399999999999999</c:v>
                </c:pt>
                <c:pt idx="7">
                  <c:v>0.996</c:v>
                </c:pt>
                <c:pt idx="8">
                  <c:v>0.98599999999999999</c:v>
                </c:pt>
                <c:pt idx="9">
                  <c:v>0.98599999999999999</c:v>
                </c:pt>
                <c:pt idx="10">
                  <c:v>0.98599999999999999</c:v>
                </c:pt>
                <c:pt idx="11">
                  <c:v>0.98799999999999999</c:v>
                </c:pt>
                <c:pt idx="12">
                  <c:v>0.98899999999999999</c:v>
                </c:pt>
                <c:pt idx="13">
                  <c:v>0.99</c:v>
                </c:pt>
                <c:pt idx="17">
                  <c:v>1.002</c:v>
                </c:pt>
                <c:pt idx="18">
                  <c:v>0.995</c:v>
                </c:pt>
                <c:pt idx="19">
                  <c:v>0.99299999999999999</c:v>
                </c:pt>
                <c:pt idx="20">
                  <c:v>0.99399999999999999</c:v>
                </c:pt>
                <c:pt idx="21">
                  <c:v>0.996</c:v>
                </c:pt>
                <c:pt idx="22">
                  <c:v>0.998</c:v>
                </c:pt>
                <c:pt idx="26">
                  <c:v>0.997</c:v>
                </c:pt>
                <c:pt idx="27">
                  <c:v>0.99099999999999999</c:v>
                </c:pt>
                <c:pt idx="28">
                  <c:v>0.98799999999999999</c:v>
                </c:pt>
                <c:pt idx="29">
                  <c:v>0.98899999999999999</c:v>
                </c:pt>
                <c:pt idx="30">
                  <c:v>0.98699999999999999</c:v>
                </c:pt>
                <c:pt idx="31">
                  <c:v>0.995</c:v>
                </c:pt>
                <c:pt idx="35">
                  <c:v>1.0009999999999999</c:v>
                </c:pt>
                <c:pt idx="36">
                  <c:v>0.996</c:v>
                </c:pt>
                <c:pt idx="37">
                  <c:v>0.997</c:v>
                </c:pt>
                <c:pt idx="38">
                  <c:v>1.0129999999999999</c:v>
                </c:pt>
                <c:pt idx="42">
                  <c:v>1.008</c:v>
                </c:pt>
                <c:pt idx="43">
                  <c:v>1.0109999999999999</c:v>
                </c:pt>
                <c:pt idx="44">
                  <c:v>1.004</c:v>
                </c:pt>
                <c:pt idx="45">
                  <c:v>1.002</c:v>
                </c:pt>
                <c:pt idx="46">
                  <c:v>1.0029999999999999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AF-4370-A2AA-3FD868265F67}"/>
            </c:ext>
          </c:extLst>
        </c:ser>
        <c:ser>
          <c:idx val="3"/>
          <c:order val="3"/>
          <c:tx>
            <c:v>Lap-Begin Ave flc2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All!$FJ$6:$FJ$56</c:f>
              <c:numCache>
                <c:formatCode>General</c:formatCode>
                <c:ptCount val="51"/>
                <c:pt idx="0">
                  <c:v>1.0009999999999999</c:v>
                </c:pt>
                <c:pt idx="1">
                  <c:v>0.98799999999999999</c:v>
                </c:pt>
                <c:pt idx="2">
                  <c:v>0.98699999999999999</c:v>
                </c:pt>
                <c:pt idx="3">
                  <c:v>0.98799999999999999</c:v>
                </c:pt>
                <c:pt idx="7">
                  <c:v>0.999</c:v>
                </c:pt>
                <c:pt idx="8">
                  <c:v>0.99</c:v>
                </c:pt>
                <c:pt idx="9">
                  <c:v>0.99099999999999999</c:v>
                </c:pt>
                <c:pt idx="10">
                  <c:v>0.99</c:v>
                </c:pt>
                <c:pt idx="11">
                  <c:v>0.99299999999999999</c:v>
                </c:pt>
                <c:pt idx="12">
                  <c:v>0.99399999999999999</c:v>
                </c:pt>
                <c:pt idx="13">
                  <c:v>0.995</c:v>
                </c:pt>
                <c:pt idx="17">
                  <c:v>1.0049999999999999</c:v>
                </c:pt>
                <c:pt idx="18">
                  <c:v>1</c:v>
                </c:pt>
                <c:pt idx="19">
                  <c:v>0.998</c:v>
                </c:pt>
                <c:pt idx="20">
                  <c:v>1</c:v>
                </c:pt>
                <c:pt idx="21">
                  <c:v>1.0009999999999999</c:v>
                </c:pt>
                <c:pt idx="22">
                  <c:v>1.004</c:v>
                </c:pt>
                <c:pt idx="26">
                  <c:v>1</c:v>
                </c:pt>
                <c:pt idx="27">
                  <c:v>0.995</c:v>
                </c:pt>
                <c:pt idx="28">
                  <c:v>0.99299999999999999</c:v>
                </c:pt>
                <c:pt idx="29">
                  <c:v>0.995</c:v>
                </c:pt>
                <c:pt idx="30">
                  <c:v>0.99299999999999999</c:v>
                </c:pt>
                <c:pt idx="31">
                  <c:v>1.0009999999999999</c:v>
                </c:pt>
                <c:pt idx="35">
                  <c:v>1.0009999999999999</c:v>
                </c:pt>
                <c:pt idx="36">
                  <c:v>0.999</c:v>
                </c:pt>
                <c:pt idx="37">
                  <c:v>1.0009999999999999</c:v>
                </c:pt>
                <c:pt idx="38">
                  <c:v>1.0149999999999999</c:v>
                </c:pt>
                <c:pt idx="42">
                  <c:v>1.0089999999999999</c:v>
                </c:pt>
                <c:pt idx="43">
                  <c:v>1.0129999999999999</c:v>
                </c:pt>
                <c:pt idx="44">
                  <c:v>1.0069999999999999</c:v>
                </c:pt>
                <c:pt idx="45">
                  <c:v>1.006</c:v>
                </c:pt>
                <c:pt idx="46">
                  <c:v>1.008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AF-4370-A2AA-3FD868265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146192"/>
        <c:axId val="1212162000"/>
      </c:scatterChart>
      <c:scatterChart>
        <c:scatterStyle val="lineMarker"/>
        <c:varyColors val="0"/>
        <c:ser>
          <c:idx val="4"/>
          <c:order val="4"/>
          <c:tx>
            <c:v>Max B_lc_OFF_Timer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All!$IL$6:$IL$56</c:f>
              <c:numCache>
                <c:formatCode>General</c:formatCode>
                <c:ptCount val="51"/>
                <c:pt idx="0">
                  <c:v>1299.348</c:v>
                </c:pt>
                <c:pt idx="1">
                  <c:v>74.271000000000001</c:v>
                </c:pt>
                <c:pt idx="2">
                  <c:v>67.009</c:v>
                </c:pt>
                <c:pt idx="3">
                  <c:v>71.942999999999998</c:v>
                </c:pt>
                <c:pt idx="7">
                  <c:v>134.124</c:v>
                </c:pt>
                <c:pt idx="8">
                  <c:v>73.87</c:v>
                </c:pt>
                <c:pt idx="9">
                  <c:v>71.332999999999998</c:v>
                </c:pt>
                <c:pt idx="10">
                  <c:v>70.33</c:v>
                </c:pt>
                <c:pt idx="11">
                  <c:v>112.23099999999999</c:v>
                </c:pt>
                <c:pt idx="12">
                  <c:v>69.664000000000001</c:v>
                </c:pt>
                <c:pt idx="13">
                  <c:v>79.326999999999998</c:v>
                </c:pt>
                <c:pt idx="17">
                  <c:v>293.90600000000001</c:v>
                </c:pt>
                <c:pt idx="18">
                  <c:v>70.850999999999999</c:v>
                </c:pt>
                <c:pt idx="19">
                  <c:v>68.41</c:v>
                </c:pt>
                <c:pt idx="20">
                  <c:v>80.905000000000001</c:v>
                </c:pt>
                <c:pt idx="21">
                  <c:v>71.688000000000002</c:v>
                </c:pt>
                <c:pt idx="22">
                  <c:v>85.578000000000003</c:v>
                </c:pt>
                <c:pt idx="26">
                  <c:v>107.622</c:v>
                </c:pt>
                <c:pt idx="27">
                  <c:v>77.968000000000004</c:v>
                </c:pt>
                <c:pt idx="28">
                  <c:v>71.198999999999998</c:v>
                </c:pt>
                <c:pt idx="29">
                  <c:v>72.393000000000001</c:v>
                </c:pt>
                <c:pt idx="30">
                  <c:v>71.751999999999995</c:v>
                </c:pt>
                <c:pt idx="31">
                  <c:v>80.736000000000004</c:v>
                </c:pt>
                <c:pt idx="35">
                  <c:v>1344.675</c:v>
                </c:pt>
                <c:pt idx="36">
                  <c:v>76.426000000000002</c:v>
                </c:pt>
                <c:pt idx="37">
                  <c:v>89.474999999999994</c:v>
                </c:pt>
                <c:pt idx="38">
                  <c:v>317.68900000000002</c:v>
                </c:pt>
                <c:pt idx="42">
                  <c:v>249.6</c:v>
                </c:pt>
                <c:pt idx="43">
                  <c:v>232.65600000000001</c:v>
                </c:pt>
                <c:pt idx="44">
                  <c:v>70.388000000000005</c:v>
                </c:pt>
                <c:pt idx="45">
                  <c:v>68.725999999999999</c:v>
                </c:pt>
                <c:pt idx="46">
                  <c:v>80.847999999999999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BAF-4370-A2AA-3FD868265F67}"/>
            </c:ext>
          </c:extLst>
        </c:ser>
        <c:ser>
          <c:idx val="5"/>
          <c:order val="5"/>
          <c:tx>
            <c:v>Max B_lc2_OFF_Timer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All!$IM$6:$IM$56</c:f>
              <c:numCache>
                <c:formatCode>General</c:formatCode>
                <c:ptCount val="51"/>
                <c:pt idx="0">
                  <c:v>1299.1679999999999</c:v>
                </c:pt>
                <c:pt idx="1">
                  <c:v>74.271000000000001</c:v>
                </c:pt>
                <c:pt idx="2">
                  <c:v>67.009</c:v>
                </c:pt>
                <c:pt idx="3">
                  <c:v>71.942999999999998</c:v>
                </c:pt>
                <c:pt idx="7">
                  <c:v>134.124</c:v>
                </c:pt>
                <c:pt idx="8">
                  <c:v>73.87</c:v>
                </c:pt>
                <c:pt idx="9">
                  <c:v>71.332999999999998</c:v>
                </c:pt>
                <c:pt idx="10">
                  <c:v>70.33</c:v>
                </c:pt>
                <c:pt idx="11">
                  <c:v>112.23099999999999</c:v>
                </c:pt>
                <c:pt idx="12">
                  <c:v>69.664000000000001</c:v>
                </c:pt>
                <c:pt idx="13">
                  <c:v>79.326999999999998</c:v>
                </c:pt>
                <c:pt idx="17">
                  <c:v>293.80500000000001</c:v>
                </c:pt>
                <c:pt idx="18">
                  <c:v>70.850999999999999</c:v>
                </c:pt>
                <c:pt idx="19">
                  <c:v>68.41</c:v>
                </c:pt>
                <c:pt idx="20">
                  <c:v>80.905000000000001</c:v>
                </c:pt>
                <c:pt idx="21">
                  <c:v>71.688000000000002</c:v>
                </c:pt>
                <c:pt idx="22">
                  <c:v>85.578000000000003</c:v>
                </c:pt>
                <c:pt idx="26">
                  <c:v>107.483</c:v>
                </c:pt>
                <c:pt idx="27">
                  <c:v>77.968000000000004</c:v>
                </c:pt>
                <c:pt idx="28">
                  <c:v>71.198999999999998</c:v>
                </c:pt>
                <c:pt idx="29">
                  <c:v>72.393000000000001</c:v>
                </c:pt>
                <c:pt idx="30">
                  <c:v>71.751999999999995</c:v>
                </c:pt>
                <c:pt idx="31">
                  <c:v>80.736000000000004</c:v>
                </c:pt>
                <c:pt idx="35">
                  <c:v>1344.5160000000001</c:v>
                </c:pt>
                <c:pt idx="36">
                  <c:v>76.426000000000002</c:v>
                </c:pt>
                <c:pt idx="37">
                  <c:v>89.474999999999994</c:v>
                </c:pt>
                <c:pt idx="38">
                  <c:v>317.68900000000002</c:v>
                </c:pt>
                <c:pt idx="42">
                  <c:v>249.6</c:v>
                </c:pt>
                <c:pt idx="43">
                  <c:v>232.65600000000001</c:v>
                </c:pt>
                <c:pt idx="44">
                  <c:v>70.388000000000005</c:v>
                </c:pt>
                <c:pt idx="45">
                  <c:v>68.725999999999999</c:v>
                </c:pt>
                <c:pt idx="46">
                  <c:v>80.847999999999999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BAF-4370-A2AA-3FD868265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6965232"/>
        <c:axId val="1266961072"/>
      </c:scatterChart>
      <c:valAx>
        <c:axId val="1212146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2162000"/>
        <c:crosses val="autoZero"/>
        <c:crossBetween val="midCat"/>
      </c:valAx>
      <c:valAx>
        <c:axId val="1212162000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2146192"/>
        <c:crosses val="autoZero"/>
        <c:crossBetween val="midCat"/>
      </c:valAx>
      <c:valAx>
        <c:axId val="1266961072"/>
        <c:scaling>
          <c:orientation val="minMax"/>
          <c:max val="5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6965232"/>
        <c:crosses val="max"/>
        <c:crossBetween val="midCat"/>
      </c:valAx>
      <c:valAx>
        <c:axId val="1266965232"/>
        <c:scaling>
          <c:orientation val="minMax"/>
        </c:scaling>
        <c:delete val="1"/>
        <c:axPos val="b"/>
        <c:majorTickMark val="out"/>
        <c:minorTickMark val="none"/>
        <c:tickLblPos val="nextTo"/>
        <c:crossAx val="1266961072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Poil surging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Min poil_3500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All!$FP$6:$FP$56</c:f>
              <c:numCache>
                <c:formatCode>General</c:formatCode>
                <c:ptCount val="51"/>
                <c:pt idx="0">
                  <c:v>0.15</c:v>
                </c:pt>
                <c:pt idx="3">
                  <c:v>4.0999999999999996</c:v>
                </c:pt>
                <c:pt idx="7">
                  <c:v>0.4</c:v>
                </c:pt>
                <c:pt idx="10">
                  <c:v>4.5</c:v>
                </c:pt>
                <c:pt idx="11">
                  <c:v>3.8</c:v>
                </c:pt>
                <c:pt idx="13">
                  <c:v>3.9</c:v>
                </c:pt>
                <c:pt idx="17">
                  <c:v>0.75</c:v>
                </c:pt>
                <c:pt idx="22">
                  <c:v>4.0999999999999996</c:v>
                </c:pt>
                <c:pt idx="26">
                  <c:v>4.1500000000000004</c:v>
                </c:pt>
                <c:pt idx="27">
                  <c:v>4.2</c:v>
                </c:pt>
                <c:pt idx="31">
                  <c:v>3.8</c:v>
                </c:pt>
                <c:pt idx="35">
                  <c:v>0.15</c:v>
                </c:pt>
                <c:pt idx="37">
                  <c:v>4.1500000000000004</c:v>
                </c:pt>
                <c:pt idx="38">
                  <c:v>4.1500000000000004</c:v>
                </c:pt>
                <c:pt idx="42">
                  <c:v>4.55</c:v>
                </c:pt>
                <c:pt idx="43">
                  <c:v>4.6500000000000004</c:v>
                </c:pt>
                <c:pt idx="44">
                  <c:v>4.5999999999999996</c:v>
                </c:pt>
                <c:pt idx="46">
                  <c:v>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C5-46B2-BE57-541176873929}"/>
            </c:ext>
          </c:extLst>
        </c:ser>
        <c:ser>
          <c:idx val="2"/>
          <c:order val="2"/>
          <c:tx>
            <c:v>Min poil_5500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All!$FQ$6:$FQ$56</c:f>
              <c:numCache>
                <c:formatCode>General</c:formatCode>
                <c:ptCount val="51"/>
                <c:pt idx="0">
                  <c:v>0.55000000000000004</c:v>
                </c:pt>
                <c:pt idx="1">
                  <c:v>4.9000000000000004</c:v>
                </c:pt>
                <c:pt idx="2">
                  <c:v>4.95</c:v>
                </c:pt>
                <c:pt idx="3">
                  <c:v>4.3499999999999996</c:v>
                </c:pt>
                <c:pt idx="7">
                  <c:v>0.3</c:v>
                </c:pt>
                <c:pt idx="8">
                  <c:v>4.7</c:v>
                </c:pt>
                <c:pt idx="9">
                  <c:v>4.8499999999999996</c:v>
                </c:pt>
                <c:pt idx="10">
                  <c:v>4.8499999999999996</c:v>
                </c:pt>
                <c:pt idx="11">
                  <c:v>4.55</c:v>
                </c:pt>
                <c:pt idx="12">
                  <c:v>4.5999999999999996</c:v>
                </c:pt>
                <c:pt idx="13">
                  <c:v>4.45</c:v>
                </c:pt>
                <c:pt idx="17">
                  <c:v>4.75</c:v>
                </c:pt>
                <c:pt idx="18">
                  <c:v>4.5</c:v>
                </c:pt>
                <c:pt idx="19">
                  <c:v>4.9000000000000004</c:v>
                </c:pt>
                <c:pt idx="20">
                  <c:v>4.5999999999999996</c:v>
                </c:pt>
                <c:pt idx="21">
                  <c:v>4.5999999999999996</c:v>
                </c:pt>
                <c:pt idx="22">
                  <c:v>4.5</c:v>
                </c:pt>
                <c:pt idx="26">
                  <c:v>0.6</c:v>
                </c:pt>
                <c:pt idx="27">
                  <c:v>4.45</c:v>
                </c:pt>
                <c:pt idx="28">
                  <c:v>4.6500000000000004</c:v>
                </c:pt>
                <c:pt idx="29">
                  <c:v>4.5999999999999996</c:v>
                </c:pt>
                <c:pt idx="30">
                  <c:v>4.5999999999999996</c:v>
                </c:pt>
                <c:pt idx="31">
                  <c:v>4.55</c:v>
                </c:pt>
                <c:pt idx="35">
                  <c:v>0.7</c:v>
                </c:pt>
                <c:pt idx="36">
                  <c:v>4.7</c:v>
                </c:pt>
                <c:pt idx="37">
                  <c:v>4.5</c:v>
                </c:pt>
                <c:pt idx="38">
                  <c:v>4.5</c:v>
                </c:pt>
                <c:pt idx="42">
                  <c:v>3.65</c:v>
                </c:pt>
                <c:pt idx="43">
                  <c:v>4.5999999999999996</c:v>
                </c:pt>
                <c:pt idx="44">
                  <c:v>4.55</c:v>
                </c:pt>
                <c:pt idx="45">
                  <c:v>4.8499999999999996</c:v>
                </c:pt>
                <c:pt idx="46">
                  <c:v>4.5999999999999996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C5-46B2-BE57-541176873929}"/>
            </c:ext>
          </c:extLst>
        </c:ser>
        <c:ser>
          <c:idx val="3"/>
          <c:order val="3"/>
          <c:tx>
            <c:v>Min poil_7500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All!$FR$6:$FR$56</c:f>
              <c:numCache>
                <c:formatCode>General</c:formatCode>
                <c:ptCount val="51"/>
                <c:pt idx="0">
                  <c:v>5.35</c:v>
                </c:pt>
                <c:pt idx="1">
                  <c:v>5.05</c:v>
                </c:pt>
                <c:pt idx="2">
                  <c:v>5.05</c:v>
                </c:pt>
                <c:pt idx="3">
                  <c:v>4.95</c:v>
                </c:pt>
                <c:pt idx="7">
                  <c:v>5.0999999999999996</c:v>
                </c:pt>
                <c:pt idx="8">
                  <c:v>5.2</c:v>
                </c:pt>
                <c:pt idx="9">
                  <c:v>5</c:v>
                </c:pt>
                <c:pt idx="10">
                  <c:v>5.05</c:v>
                </c:pt>
                <c:pt idx="11">
                  <c:v>5.0999999999999996</c:v>
                </c:pt>
                <c:pt idx="12">
                  <c:v>4.95</c:v>
                </c:pt>
                <c:pt idx="13">
                  <c:v>5</c:v>
                </c:pt>
                <c:pt idx="17">
                  <c:v>5.25</c:v>
                </c:pt>
                <c:pt idx="18">
                  <c:v>5.0999999999999996</c:v>
                </c:pt>
                <c:pt idx="19">
                  <c:v>5.05</c:v>
                </c:pt>
                <c:pt idx="20">
                  <c:v>5.05</c:v>
                </c:pt>
                <c:pt idx="21">
                  <c:v>5.0999999999999996</c:v>
                </c:pt>
                <c:pt idx="22">
                  <c:v>5.0999999999999996</c:v>
                </c:pt>
                <c:pt idx="26">
                  <c:v>5.15</c:v>
                </c:pt>
                <c:pt idx="27">
                  <c:v>5.0999999999999996</c:v>
                </c:pt>
                <c:pt idx="28">
                  <c:v>5.15</c:v>
                </c:pt>
                <c:pt idx="29">
                  <c:v>5.05</c:v>
                </c:pt>
                <c:pt idx="30">
                  <c:v>5</c:v>
                </c:pt>
                <c:pt idx="31">
                  <c:v>5.05</c:v>
                </c:pt>
                <c:pt idx="35">
                  <c:v>5.15</c:v>
                </c:pt>
                <c:pt idx="36">
                  <c:v>5</c:v>
                </c:pt>
                <c:pt idx="37">
                  <c:v>5</c:v>
                </c:pt>
                <c:pt idx="38">
                  <c:v>5.15</c:v>
                </c:pt>
                <c:pt idx="42">
                  <c:v>5.15</c:v>
                </c:pt>
                <c:pt idx="43">
                  <c:v>5.15</c:v>
                </c:pt>
                <c:pt idx="44">
                  <c:v>5.0999999999999996</c:v>
                </c:pt>
                <c:pt idx="45">
                  <c:v>5.0999999999999996</c:v>
                </c:pt>
                <c:pt idx="46">
                  <c:v>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C5-46B2-BE57-541176873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164912"/>
        <c:axId val="1212166576"/>
      </c:scatterChart>
      <c:scatterChart>
        <c:scatterStyle val="lineMarker"/>
        <c:varyColors val="0"/>
        <c:ser>
          <c:idx val="0"/>
          <c:order val="0"/>
          <c:tx>
            <c:v>Max Poil_Surge_Lap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All!$FK$6:$FK$56</c:f>
              <c:numCache>
                <c:formatCode>General</c:formatCode>
                <c:ptCount val="51"/>
                <c:pt idx="0">
                  <c:v>0.30199999999999999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0.40300000000000002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0.20200000000000001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0.10199999999999999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0.40200000000000002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0.10100000000000001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C5-46B2-BE57-541176873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6954832"/>
        <c:axId val="1266968560"/>
      </c:scatterChart>
      <c:valAx>
        <c:axId val="1212164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2166576"/>
        <c:crosses val="autoZero"/>
        <c:crossBetween val="midCat"/>
      </c:valAx>
      <c:valAx>
        <c:axId val="121216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2164912"/>
        <c:crosses val="autoZero"/>
        <c:crossBetween val="midCat"/>
      </c:valAx>
      <c:valAx>
        <c:axId val="1266968560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6954832"/>
        <c:crosses val="max"/>
        <c:crossBetween val="midCat"/>
      </c:valAx>
      <c:valAx>
        <c:axId val="1266954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26696856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PPU Ilegal [kW] and Engine torque [Nm]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Max CLU_MPUMeasuredCAN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All!$GF$6:$GF$56</c:f>
              <c:numCache>
                <c:formatCode>General</c:formatCode>
                <c:ptCount val="51"/>
                <c:pt idx="0">
                  <c:v>1423.4219000000001</c:v>
                </c:pt>
                <c:pt idx="1">
                  <c:v>1293.5469000000001</c:v>
                </c:pt>
                <c:pt idx="2">
                  <c:v>1731.5625</c:v>
                </c:pt>
                <c:pt idx="3">
                  <c:v>1484.1094000000001</c:v>
                </c:pt>
                <c:pt idx="7">
                  <c:v>1380.7344000000001</c:v>
                </c:pt>
                <c:pt idx="8">
                  <c:v>1455.6094000000001</c:v>
                </c:pt>
                <c:pt idx="9">
                  <c:v>1273.7655999999999</c:v>
                </c:pt>
                <c:pt idx="10">
                  <c:v>1437.9219000000001</c:v>
                </c:pt>
                <c:pt idx="11">
                  <c:v>1375.5313000000001</c:v>
                </c:pt>
                <c:pt idx="12">
                  <c:v>1316</c:v>
                </c:pt>
                <c:pt idx="13">
                  <c:v>1161.6563000000001</c:v>
                </c:pt>
                <c:pt idx="17">
                  <c:v>1415</c:v>
                </c:pt>
                <c:pt idx="18">
                  <c:v>1464.0625</c:v>
                </c:pt>
                <c:pt idx="19">
                  <c:v>1143.6719000000001</c:v>
                </c:pt>
                <c:pt idx="20">
                  <c:v>1372.9375</c:v>
                </c:pt>
                <c:pt idx="21">
                  <c:v>1556.4530999999999</c:v>
                </c:pt>
                <c:pt idx="22">
                  <c:v>1443.2188000000001</c:v>
                </c:pt>
                <c:pt idx="26">
                  <c:v>1454.1405999999999</c:v>
                </c:pt>
                <c:pt idx="27">
                  <c:v>1273.0469000000001</c:v>
                </c:pt>
                <c:pt idx="28">
                  <c:v>1342.9688000000001</c:v>
                </c:pt>
                <c:pt idx="29">
                  <c:v>1353.0469000000001</c:v>
                </c:pt>
                <c:pt idx="30">
                  <c:v>1415.1719000000001</c:v>
                </c:pt>
                <c:pt idx="31">
                  <c:v>1242.5780999999999</c:v>
                </c:pt>
                <c:pt idx="35">
                  <c:v>1458.5</c:v>
                </c:pt>
                <c:pt idx="36">
                  <c:v>1216.5469000000001</c:v>
                </c:pt>
                <c:pt idx="37">
                  <c:v>1284.125</c:v>
                </c:pt>
                <c:pt idx="38">
                  <c:v>1594.3125</c:v>
                </c:pt>
                <c:pt idx="42">
                  <c:v>1542.25</c:v>
                </c:pt>
                <c:pt idx="43">
                  <c:v>1364.4530999999999</c:v>
                </c:pt>
                <c:pt idx="44">
                  <c:v>1592.7030999999999</c:v>
                </c:pt>
                <c:pt idx="45">
                  <c:v>1429.0625</c:v>
                </c:pt>
                <c:pt idx="46">
                  <c:v>1506.0625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80-4669-8228-DF8D9921B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169488"/>
        <c:axId val="1212169072"/>
      </c:scatterChart>
      <c:scatterChart>
        <c:scatterStyle val="lineMarker"/>
        <c:varyColors val="0"/>
        <c:ser>
          <c:idx val="0"/>
          <c:order val="0"/>
          <c:tx>
            <c:v>Max FIA_PPUIllegal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All!$FU$6:$FU$56</c:f>
              <c:numCache>
                <c:formatCode>General</c:formatCode>
                <c:ptCount val="51"/>
                <c:pt idx="0">
                  <c:v>7.38</c:v>
                </c:pt>
                <c:pt idx="1">
                  <c:v>8.1</c:v>
                </c:pt>
                <c:pt idx="2">
                  <c:v>8.49</c:v>
                </c:pt>
                <c:pt idx="3">
                  <c:v>8.36</c:v>
                </c:pt>
                <c:pt idx="7">
                  <c:v>6.58</c:v>
                </c:pt>
                <c:pt idx="8">
                  <c:v>6.71</c:v>
                </c:pt>
                <c:pt idx="9">
                  <c:v>7.18</c:v>
                </c:pt>
                <c:pt idx="10">
                  <c:v>6.95</c:v>
                </c:pt>
                <c:pt idx="11">
                  <c:v>6.88</c:v>
                </c:pt>
                <c:pt idx="12">
                  <c:v>7.08</c:v>
                </c:pt>
                <c:pt idx="13">
                  <c:v>6.95</c:v>
                </c:pt>
                <c:pt idx="17">
                  <c:v>6.28</c:v>
                </c:pt>
                <c:pt idx="18">
                  <c:v>6.5</c:v>
                </c:pt>
                <c:pt idx="19">
                  <c:v>6.5</c:v>
                </c:pt>
                <c:pt idx="20">
                  <c:v>7.02</c:v>
                </c:pt>
                <c:pt idx="21">
                  <c:v>6.68</c:v>
                </c:pt>
                <c:pt idx="22">
                  <c:v>7.12</c:v>
                </c:pt>
                <c:pt idx="26">
                  <c:v>7.29</c:v>
                </c:pt>
                <c:pt idx="27">
                  <c:v>6.65</c:v>
                </c:pt>
                <c:pt idx="28">
                  <c:v>6.58</c:v>
                </c:pt>
                <c:pt idx="29">
                  <c:v>7.25</c:v>
                </c:pt>
                <c:pt idx="30">
                  <c:v>6.77</c:v>
                </c:pt>
                <c:pt idx="31">
                  <c:v>6.83</c:v>
                </c:pt>
                <c:pt idx="35">
                  <c:v>6.27</c:v>
                </c:pt>
                <c:pt idx="36">
                  <c:v>6.84</c:v>
                </c:pt>
                <c:pt idx="37">
                  <c:v>6.9</c:v>
                </c:pt>
                <c:pt idx="38">
                  <c:v>6.87</c:v>
                </c:pt>
                <c:pt idx="42">
                  <c:v>6.82</c:v>
                </c:pt>
                <c:pt idx="43">
                  <c:v>6.9</c:v>
                </c:pt>
                <c:pt idx="44">
                  <c:v>6.83</c:v>
                </c:pt>
                <c:pt idx="45">
                  <c:v>6.8</c:v>
                </c:pt>
                <c:pt idx="46">
                  <c:v>6.78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80-4669-8228-DF8D9921B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6963984"/>
        <c:axId val="1266955248"/>
      </c:scatterChart>
      <c:valAx>
        <c:axId val="1212169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2169072"/>
        <c:crosses val="autoZero"/>
        <c:crossBetween val="midCat"/>
      </c:valAx>
      <c:valAx>
        <c:axId val="121216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2169488"/>
        <c:crosses val="autoZero"/>
        <c:crossBetween val="midCat"/>
      </c:valAx>
      <c:valAx>
        <c:axId val="1266955248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6963984"/>
        <c:crosses val="max"/>
        <c:crossBetween val="midCat"/>
      </c:valAx>
      <c:valAx>
        <c:axId val="1266963984"/>
        <c:scaling>
          <c:orientation val="minMax"/>
        </c:scaling>
        <c:delete val="1"/>
        <c:axPos val="b"/>
        <c:majorTickMark val="out"/>
        <c:minorTickMark val="none"/>
        <c:tickLblPos val="nextTo"/>
        <c:crossAx val="1266955248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flow [kg/h]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Max dmFFMFuelF1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All!$FW$6:$FW$56</c:f>
              <c:numCache>
                <c:formatCode>General</c:formatCode>
                <c:ptCount val="51"/>
                <c:pt idx="0">
                  <c:v>16383.5</c:v>
                </c:pt>
                <c:pt idx="1">
                  <c:v>3224.5</c:v>
                </c:pt>
                <c:pt idx="2">
                  <c:v>3373.5</c:v>
                </c:pt>
                <c:pt idx="3">
                  <c:v>3197.5</c:v>
                </c:pt>
                <c:pt idx="7">
                  <c:v>3254</c:v>
                </c:pt>
                <c:pt idx="8">
                  <c:v>3128.5</c:v>
                </c:pt>
                <c:pt idx="9">
                  <c:v>3194</c:v>
                </c:pt>
                <c:pt idx="10">
                  <c:v>3091</c:v>
                </c:pt>
                <c:pt idx="11">
                  <c:v>3050.5</c:v>
                </c:pt>
                <c:pt idx="12">
                  <c:v>3116.5</c:v>
                </c:pt>
                <c:pt idx="13">
                  <c:v>3110.5</c:v>
                </c:pt>
                <c:pt idx="17">
                  <c:v>3251</c:v>
                </c:pt>
                <c:pt idx="18">
                  <c:v>3188</c:v>
                </c:pt>
                <c:pt idx="19">
                  <c:v>3095.5</c:v>
                </c:pt>
                <c:pt idx="20">
                  <c:v>3105</c:v>
                </c:pt>
                <c:pt idx="21">
                  <c:v>3055.5</c:v>
                </c:pt>
                <c:pt idx="22">
                  <c:v>3047.5</c:v>
                </c:pt>
                <c:pt idx="26">
                  <c:v>3298</c:v>
                </c:pt>
                <c:pt idx="27">
                  <c:v>3299</c:v>
                </c:pt>
                <c:pt idx="28">
                  <c:v>3075</c:v>
                </c:pt>
                <c:pt idx="29">
                  <c:v>3111.5</c:v>
                </c:pt>
                <c:pt idx="30">
                  <c:v>3055.5</c:v>
                </c:pt>
                <c:pt idx="31">
                  <c:v>3067.5</c:v>
                </c:pt>
                <c:pt idx="35">
                  <c:v>3155.5</c:v>
                </c:pt>
                <c:pt idx="36">
                  <c:v>3163.5</c:v>
                </c:pt>
                <c:pt idx="37">
                  <c:v>3112.5</c:v>
                </c:pt>
                <c:pt idx="38">
                  <c:v>3130.5</c:v>
                </c:pt>
                <c:pt idx="42">
                  <c:v>3264.5</c:v>
                </c:pt>
                <c:pt idx="43">
                  <c:v>3047.5</c:v>
                </c:pt>
                <c:pt idx="44">
                  <c:v>3100</c:v>
                </c:pt>
                <c:pt idx="45">
                  <c:v>3137</c:v>
                </c:pt>
                <c:pt idx="46">
                  <c:v>3100.5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D5-4492-A12A-1A2BCF915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161584"/>
        <c:axId val="1212160336"/>
      </c:scatterChart>
      <c:scatterChart>
        <c:scatterStyle val="lineMarker"/>
        <c:varyColors val="0"/>
        <c:ser>
          <c:idx val="0"/>
          <c:order val="0"/>
          <c:tx>
            <c:v>Max fuelcons_kg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All!$FV$6:$FV$56</c:f>
              <c:numCache>
                <c:formatCode>General</c:formatCode>
                <c:ptCount val="51"/>
                <c:pt idx="0">
                  <c:v>5.3</c:v>
                </c:pt>
                <c:pt idx="1">
                  <c:v>11.11</c:v>
                </c:pt>
                <c:pt idx="2">
                  <c:v>17.079999999999998</c:v>
                </c:pt>
                <c:pt idx="3">
                  <c:v>22.96</c:v>
                </c:pt>
                <c:pt idx="7">
                  <c:v>5.62</c:v>
                </c:pt>
                <c:pt idx="8">
                  <c:v>11.38</c:v>
                </c:pt>
                <c:pt idx="9">
                  <c:v>17.22</c:v>
                </c:pt>
                <c:pt idx="10">
                  <c:v>23.08</c:v>
                </c:pt>
                <c:pt idx="11">
                  <c:v>28.69</c:v>
                </c:pt>
                <c:pt idx="12">
                  <c:v>34.5</c:v>
                </c:pt>
                <c:pt idx="13">
                  <c:v>40.130000000000003</c:v>
                </c:pt>
                <c:pt idx="17">
                  <c:v>4.96</c:v>
                </c:pt>
                <c:pt idx="18">
                  <c:v>10.8</c:v>
                </c:pt>
                <c:pt idx="19">
                  <c:v>16.75</c:v>
                </c:pt>
                <c:pt idx="20">
                  <c:v>22.39</c:v>
                </c:pt>
                <c:pt idx="21">
                  <c:v>28.27</c:v>
                </c:pt>
                <c:pt idx="22">
                  <c:v>33.92</c:v>
                </c:pt>
                <c:pt idx="26">
                  <c:v>5.65</c:v>
                </c:pt>
                <c:pt idx="27">
                  <c:v>11.37</c:v>
                </c:pt>
                <c:pt idx="28">
                  <c:v>17.22</c:v>
                </c:pt>
                <c:pt idx="29">
                  <c:v>23.15</c:v>
                </c:pt>
                <c:pt idx="30">
                  <c:v>29.05</c:v>
                </c:pt>
                <c:pt idx="31">
                  <c:v>34.53</c:v>
                </c:pt>
                <c:pt idx="35">
                  <c:v>5.7</c:v>
                </c:pt>
                <c:pt idx="36">
                  <c:v>11.48</c:v>
                </c:pt>
                <c:pt idx="37">
                  <c:v>17.32</c:v>
                </c:pt>
                <c:pt idx="38">
                  <c:v>21.18</c:v>
                </c:pt>
                <c:pt idx="42">
                  <c:v>4.72</c:v>
                </c:pt>
                <c:pt idx="43">
                  <c:v>9.52</c:v>
                </c:pt>
                <c:pt idx="44">
                  <c:v>15.56</c:v>
                </c:pt>
                <c:pt idx="45">
                  <c:v>21.66</c:v>
                </c:pt>
                <c:pt idx="46">
                  <c:v>27.5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5-4492-A12A-1A2BCF915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6962320"/>
        <c:axId val="1266958160"/>
      </c:scatterChart>
      <c:valAx>
        <c:axId val="121216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2160336"/>
        <c:crosses val="autoZero"/>
        <c:crossBetween val="midCat"/>
      </c:valAx>
      <c:valAx>
        <c:axId val="121216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2161584"/>
        <c:crosses val="autoZero"/>
        <c:crossBetween val="midCat"/>
      </c:valAx>
      <c:valAx>
        <c:axId val="1266958160"/>
        <c:scaling>
          <c:orientation val="minMax"/>
          <c:max val="9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6962320"/>
        <c:crosses val="max"/>
        <c:crossBetween val="midCat"/>
      </c:valAx>
      <c:valAx>
        <c:axId val="1266962320"/>
        <c:scaling>
          <c:orientation val="minMax"/>
        </c:scaling>
        <c:delete val="1"/>
        <c:axPos val="b"/>
        <c:majorTickMark val="out"/>
        <c:minorTickMark val="none"/>
        <c:tickLblPos val="nextTo"/>
        <c:crossAx val="126695816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Turbo and wastegate valves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nturbo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All!$FX$6:$FX$56</c:f>
              <c:numCache>
                <c:formatCode>General</c:formatCode>
                <c:ptCount val="51"/>
                <c:pt idx="0">
                  <c:v>164900</c:v>
                </c:pt>
                <c:pt idx="1">
                  <c:v>163100</c:v>
                </c:pt>
                <c:pt idx="2">
                  <c:v>165400</c:v>
                </c:pt>
                <c:pt idx="3">
                  <c:v>168400</c:v>
                </c:pt>
                <c:pt idx="7">
                  <c:v>168000</c:v>
                </c:pt>
                <c:pt idx="8">
                  <c:v>166800</c:v>
                </c:pt>
                <c:pt idx="9">
                  <c:v>162700</c:v>
                </c:pt>
                <c:pt idx="10">
                  <c:v>166900</c:v>
                </c:pt>
                <c:pt idx="11">
                  <c:v>164300</c:v>
                </c:pt>
                <c:pt idx="12">
                  <c:v>169900</c:v>
                </c:pt>
                <c:pt idx="13">
                  <c:v>163800</c:v>
                </c:pt>
                <c:pt idx="17">
                  <c:v>168500</c:v>
                </c:pt>
                <c:pt idx="18">
                  <c:v>166800</c:v>
                </c:pt>
                <c:pt idx="19">
                  <c:v>168600</c:v>
                </c:pt>
                <c:pt idx="20">
                  <c:v>173700</c:v>
                </c:pt>
                <c:pt idx="21">
                  <c:v>168600</c:v>
                </c:pt>
                <c:pt idx="22">
                  <c:v>165900</c:v>
                </c:pt>
                <c:pt idx="26">
                  <c:v>174700</c:v>
                </c:pt>
                <c:pt idx="27">
                  <c:v>173200</c:v>
                </c:pt>
                <c:pt idx="28">
                  <c:v>165600</c:v>
                </c:pt>
                <c:pt idx="29">
                  <c:v>161700</c:v>
                </c:pt>
                <c:pt idx="30">
                  <c:v>165000</c:v>
                </c:pt>
                <c:pt idx="31">
                  <c:v>162600</c:v>
                </c:pt>
                <c:pt idx="35">
                  <c:v>164800</c:v>
                </c:pt>
                <c:pt idx="36">
                  <c:v>162400</c:v>
                </c:pt>
                <c:pt idx="37">
                  <c:v>163500</c:v>
                </c:pt>
                <c:pt idx="38">
                  <c:v>167500</c:v>
                </c:pt>
                <c:pt idx="42">
                  <c:v>164100</c:v>
                </c:pt>
                <c:pt idx="43">
                  <c:v>163800</c:v>
                </c:pt>
                <c:pt idx="44">
                  <c:v>164300</c:v>
                </c:pt>
                <c:pt idx="45">
                  <c:v>167700</c:v>
                </c:pt>
                <c:pt idx="46">
                  <c:v>166700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48-447A-8860-96B34DBB73F9}"/>
            </c:ext>
          </c:extLst>
        </c:ser>
        <c:ser>
          <c:idx val="1"/>
          <c:order val="1"/>
          <c:tx>
            <c:v>Max nturbo2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All!$FY$6:$FY$56</c:f>
              <c:numCache>
                <c:formatCode>General</c:formatCode>
                <c:ptCount val="51"/>
                <c:pt idx="0">
                  <c:v>165700</c:v>
                </c:pt>
                <c:pt idx="1">
                  <c:v>166000</c:v>
                </c:pt>
                <c:pt idx="2">
                  <c:v>167300</c:v>
                </c:pt>
                <c:pt idx="3">
                  <c:v>168800</c:v>
                </c:pt>
                <c:pt idx="7">
                  <c:v>171200</c:v>
                </c:pt>
                <c:pt idx="8">
                  <c:v>168000</c:v>
                </c:pt>
                <c:pt idx="9">
                  <c:v>163600</c:v>
                </c:pt>
                <c:pt idx="10">
                  <c:v>167800</c:v>
                </c:pt>
                <c:pt idx="11">
                  <c:v>163800</c:v>
                </c:pt>
                <c:pt idx="12">
                  <c:v>171000</c:v>
                </c:pt>
                <c:pt idx="13">
                  <c:v>165100</c:v>
                </c:pt>
                <c:pt idx="17">
                  <c:v>172000</c:v>
                </c:pt>
                <c:pt idx="18">
                  <c:v>168300</c:v>
                </c:pt>
                <c:pt idx="19">
                  <c:v>169000</c:v>
                </c:pt>
                <c:pt idx="20">
                  <c:v>175000</c:v>
                </c:pt>
                <c:pt idx="21">
                  <c:v>170700</c:v>
                </c:pt>
                <c:pt idx="22">
                  <c:v>166800</c:v>
                </c:pt>
                <c:pt idx="26">
                  <c:v>177600</c:v>
                </c:pt>
                <c:pt idx="27">
                  <c:v>174400</c:v>
                </c:pt>
                <c:pt idx="28">
                  <c:v>167400</c:v>
                </c:pt>
                <c:pt idx="29">
                  <c:v>162300</c:v>
                </c:pt>
                <c:pt idx="30">
                  <c:v>166300</c:v>
                </c:pt>
                <c:pt idx="31">
                  <c:v>162900</c:v>
                </c:pt>
                <c:pt idx="35">
                  <c:v>165000</c:v>
                </c:pt>
                <c:pt idx="36">
                  <c:v>162900</c:v>
                </c:pt>
                <c:pt idx="37">
                  <c:v>164700</c:v>
                </c:pt>
                <c:pt idx="38">
                  <c:v>169200</c:v>
                </c:pt>
                <c:pt idx="42">
                  <c:v>165700</c:v>
                </c:pt>
                <c:pt idx="43">
                  <c:v>164800</c:v>
                </c:pt>
                <c:pt idx="44">
                  <c:v>165400</c:v>
                </c:pt>
                <c:pt idx="45">
                  <c:v>168300</c:v>
                </c:pt>
                <c:pt idx="46">
                  <c:v>166900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48-447A-8860-96B34DBB7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152016"/>
        <c:axId val="1212161584"/>
      </c:scatterChart>
      <c:scatterChart>
        <c:scatterStyle val="lineMarker"/>
        <c:varyColors val="0"/>
        <c:ser>
          <c:idx val="2"/>
          <c:order val="2"/>
          <c:tx>
            <c:v>Lap-Begin Ave_Wgc_Pwm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All!$FZ$6:$FZ$56</c:f>
              <c:numCache>
                <c:formatCode>General</c:formatCode>
                <c:ptCount val="51"/>
                <c:pt idx="0">
                  <c:v>49.674999999999997</c:v>
                </c:pt>
                <c:pt idx="1">
                  <c:v>47.648000000000003</c:v>
                </c:pt>
                <c:pt idx="2">
                  <c:v>47.47</c:v>
                </c:pt>
                <c:pt idx="3">
                  <c:v>47.250999999999998</c:v>
                </c:pt>
                <c:pt idx="7">
                  <c:v>49.442999999999998</c:v>
                </c:pt>
                <c:pt idx="8">
                  <c:v>48.354999999999997</c:v>
                </c:pt>
                <c:pt idx="9">
                  <c:v>48.19</c:v>
                </c:pt>
                <c:pt idx="10">
                  <c:v>47.944000000000003</c:v>
                </c:pt>
                <c:pt idx="11">
                  <c:v>48.716000000000001</c:v>
                </c:pt>
                <c:pt idx="12">
                  <c:v>48.274999999999999</c:v>
                </c:pt>
                <c:pt idx="13">
                  <c:v>48.276000000000003</c:v>
                </c:pt>
                <c:pt idx="17">
                  <c:v>50.787999999999997</c:v>
                </c:pt>
                <c:pt idx="18">
                  <c:v>48.162999999999997</c:v>
                </c:pt>
                <c:pt idx="19">
                  <c:v>48.183999999999997</c:v>
                </c:pt>
                <c:pt idx="20">
                  <c:v>48.875999999999998</c:v>
                </c:pt>
                <c:pt idx="21">
                  <c:v>48.414000000000001</c:v>
                </c:pt>
                <c:pt idx="22">
                  <c:v>48.548999999999999</c:v>
                </c:pt>
                <c:pt idx="26">
                  <c:v>49.188000000000002</c:v>
                </c:pt>
                <c:pt idx="27">
                  <c:v>48.707999999999998</c:v>
                </c:pt>
                <c:pt idx="28">
                  <c:v>48.27</c:v>
                </c:pt>
                <c:pt idx="29">
                  <c:v>48.27</c:v>
                </c:pt>
                <c:pt idx="30">
                  <c:v>48.308</c:v>
                </c:pt>
                <c:pt idx="31">
                  <c:v>48.499000000000002</c:v>
                </c:pt>
                <c:pt idx="35">
                  <c:v>49.418999999999997</c:v>
                </c:pt>
                <c:pt idx="36">
                  <c:v>48.268000000000001</c:v>
                </c:pt>
                <c:pt idx="37">
                  <c:v>47.792999999999999</c:v>
                </c:pt>
                <c:pt idx="38">
                  <c:v>51.923999999999999</c:v>
                </c:pt>
                <c:pt idx="42">
                  <c:v>49.765000000000001</c:v>
                </c:pt>
                <c:pt idx="43">
                  <c:v>50.255000000000003</c:v>
                </c:pt>
                <c:pt idx="44">
                  <c:v>48.118000000000002</c:v>
                </c:pt>
                <c:pt idx="45">
                  <c:v>48.290999999999997</c:v>
                </c:pt>
                <c:pt idx="46">
                  <c:v>48.293999999999997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48-447A-8860-96B34DBB73F9}"/>
            </c:ext>
          </c:extLst>
        </c:ser>
        <c:ser>
          <c:idx val="3"/>
          <c:order val="3"/>
          <c:tx>
            <c:v>Lap-Begin Ave_Wgc_Pwm2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All!$GA$6:$GA$56</c:f>
              <c:numCache>
                <c:formatCode>General</c:formatCode>
                <c:ptCount val="51"/>
                <c:pt idx="0">
                  <c:v>48.9</c:v>
                </c:pt>
                <c:pt idx="1">
                  <c:v>47.018000000000001</c:v>
                </c:pt>
                <c:pt idx="2">
                  <c:v>46.723999999999997</c:v>
                </c:pt>
                <c:pt idx="3">
                  <c:v>46.601999999999997</c:v>
                </c:pt>
                <c:pt idx="7">
                  <c:v>48.405000000000001</c:v>
                </c:pt>
                <c:pt idx="8">
                  <c:v>47.106000000000002</c:v>
                </c:pt>
                <c:pt idx="9">
                  <c:v>47.231999999999999</c:v>
                </c:pt>
                <c:pt idx="10">
                  <c:v>46.993000000000002</c:v>
                </c:pt>
                <c:pt idx="11">
                  <c:v>47.823999999999998</c:v>
                </c:pt>
                <c:pt idx="12">
                  <c:v>47.316000000000003</c:v>
                </c:pt>
                <c:pt idx="13">
                  <c:v>47.244999999999997</c:v>
                </c:pt>
                <c:pt idx="17">
                  <c:v>49.610999999999997</c:v>
                </c:pt>
                <c:pt idx="18">
                  <c:v>47.366999999999997</c:v>
                </c:pt>
                <c:pt idx="19">
                  <c:v>47.210999999999999</c:v>
                </c:pt>
                <c:pt idx="20">
                  <c:v>47.753</c:v>
                </c:pt>
                <c:pt idx="21">
                  <c:v>47.581000000000003</c:v>
                </c:pt>
                <c:pt idx="22">
                  <c:v>47.601999999999997</c:v>
                </c:pt>
                <c:pt idx="26">
                  <c:v>48.18</c:v>
                </c:pt>
                <c:pt idx="27">
                  <c:v>47.783999999999999</c:v>
                </c:pt>
                <c:pt idx="28">
                  <c:v>47.232999999999997</c:v>
                </c:pt>
                <c:pt idx="29">
                  <c:v>47.177</c:v>
                </c:pt>
                <c:pt idx="30">
                  <c:v>47.360999999999997</c:v>
                </c:pt>
                <c:pt idx="31">
                  <c:v>47.616</c:v>
                </c:pt>
                <c:pt idx="35">
                  <c:v>48.834000000000003</c:v>
                </c:pt>
                <c:pt idx="36">
                  <c:v>47.744999999999997</c:v>
                </c:pt>
                <c:pt idx="37">
                  <c:v>47.201999999999998</c:v>
                </c:pt>
                <c:pt idx="38">
                  <c:v>51.548000000000002</c:v>
                </c:pt>
                <c:pt idx="42">
                  <c:v>49.281999999999996</c:v>
                </c:pt>
                <c:pt idx="43">
                  <c:v>49.554000000000002</c:v>
                </c:pt>
                <c:pt idx="44">
                  <c:v>47.378999999999998</c:v>
                </c:pt>
                <c:pt idx="45">
                  <c:v>47.610999999999997</c:v>
                </c:pt>
                <c:pt idx="46">
                  <c:v>47.43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C48-447A-8860-96B34DBB7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6960240"/>
        <c:axId val="1266964816"/>
      </c:scatterChart>
      <c:valAx>
        <c:axId val="1212152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2161584"/>
        <c:crosses val="autoZero"/>
        <c:crossBetween val="midCat"/>
      </c:valAx>
      <c:valAx>
        <c:axId val="121216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2152016"/>
        <c:crosses val="autoZero"/>
        <c:crossBetween val="midCat"/>
      </c:valAx>
      <c:valAx>
        <c:axId val="1266964816"/>
        <c:scaling>
          <c:orientation val="minMax"/>
          <c:max val="7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6960240"/>
        <c:crosses val="max"/>
        <c:crossBetween val="midCat"/>
      </c:valAx>
      <c:valAx>
        <c:axId val="1266960240"/>
        <c:scaling>
          <c:orientation val="minMax"/>
        </c:scaling>
        <c:delete val="1"/>
        <c:axPos val="b"/>
        <c:majorTickMark val="out"/>
        <c:minorTickMark val="none"/>
        <c:tickLblPos val="nextTo"/>
        <c:crossAx val="1266964816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Intake pressure [mBar]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p22_7500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All!$GB$6:$GB$56</c:f>
              <c:numCache>
                <c:formatCode>General</c:formatCode>
                <c:ptCount val="51"/>
                <c:pt idx="0">
                  <c:v>2241</c:v>
                </c:pt>
                <c:pt idx="1">
                  <c:v>2246.6999999999998</c:v>
                </c:pt>
                <c:pt idx="2">
                  <c:v>2280.6999999999998</c:v>
                </c:pt>
                <c:pt idx="3">
                  <c:v>2190.5</c:v>
                </c:pt>
                <c:pt idx="7">
                  <c:v>2473.8000000000002</c:v>
                </c:pt>
                <c:pt idx="8">
                  <c:v>2171.1</c:v>
                </c:pt>
                <c:pt idx="9">
                  <c:v>2157.5</c:v>
                </c:pt>
                <c:pt idx="10">
                  <c:v>2178.8000000000002</c:v>
                </c:pt>
                <c:pt idx="11">
                  <c:v>2278.4</c:v>
                </c:pt>
                <c:pt idx="12">
                  <c:v>2192.3000000000002</c:v>
                </c:pt>
                <c:pt idx="13">
                  <c:v>2178</c:v>
                </c:pt>
                <c:pt idx="17">
                  <c:v>2214.5</c:v>
                </c:pt>
                <c:pt idx="18">
                  <c:v>2174.8000000000002</c:v>
                </c:pt>
                <c:pt idx="19">
                  <c:v>2202.9</c:v>
                </c:pt>
                <c:pt idx="20">
                  <c:v>2182.4</c:v>
                </c:pt>
                <c:pt idx="21">
                  <c:v>2301.1</c:v>
                </c:pt>
                <c:pt idx="22">
                  <c:v>2445.6</c:v>
                </c:pt>
                <c:pt idx="26">
                  <c:v>2179.4</c:v>
                </c:pt>
                <c:pt idx="27">
                  <c:v>2176.3000000000002</c:v>
                </c:pt>
                <c:pt idx="28">
                  <c:v>2250.8000000000002</c:v>
                </c:pt>
                <c:pt idx="29">
                  <c:v>2164.3000000000002</c:v>
                </c:pt>
                <c:pt idx="30">
                  <c:v>2166.8000000000002</c:v>
                </c:pt>
                <c:pt idx="31">
                  <c:v>2189.4</c:v>
                </c:pt>
                <c:pt idx="35">
                  <c:v>2156.5</c:v>
                </c:pt>
                <c:pt idx="36">
                  <c:v>2223.6999999999998</c:v>
                </c:pt>
                <c:pt idx="37">
                  <c:v>2194.5</c:v>
                </c:pt>
                <c:pt idx="38">
                  <c:v>2130.1999999999998</c:v>
                </c:pt>
                <c:pt idx="42">
                  <c:v>2356.6999999999998</c:v>
                </c:pt>
                <c:pt idx="43">
                  <c:v>2171.6</c:v>
                </c:pt>
                <c:pt idx="44">
                  <c:v>2215.9</c:v>
                </c:pt>
                <c:pt idx="45">
                  <c:v>2181.1999999999998</c:v>
                </c:pt>
                <c:pt idx="46">
                  <c:v>2285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5-4AA5-9EA4-67818B067116}"/>
            </c:ext>
          </c:extLst>
        </c:ser>
        <c:ser>
          <c:idx val="1"/>
          <c:order val="1"/>
          <c:tx>
            <c:v>Max p22_2_7500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All!$GC$6:$GC$56</c:f>
              <c:numCache>
                <c:formatCode>General</c:formatCode>
                <c:ptCount val="51"/>
                <c:pt idx="0">
                  <c:v>2198.5</c:v>
                </c:pt>
                <c:pt idx="1">
                  <c:v>2269.6999999999998</c:v>
                </c:pt>
                <c:pt idx="2">
                  <c:v>2280.3000000000002</c:v>
                </c:pt>
                <c:pt idx="3">
                  <c:v>2158.8000000000002</c:v>
                </c:pt>
                <c:pt idx="7">
                  <c:v>2260.6999999999998</c:v>
                </c:pt>
                <c:pt idx="8">
                  <c:v>2222.8000000000002</c:v>
                </c:pt>
                <c:pt idx="9">
                  <c:v>2161.5</c:v>
                </c:pt>
                <c:pt idx="10">
                  <c:v>2350.6999999999998</c:v>
                </c:pt>
                <c:pt idx="11">
                  <c:v>2196.1</c:v>
                </c:pt>
                <c:pt idx="12">
                  <c:v>2177.4</c:v>
                </c:pt>
                <c:pt idx="13">
                  <c:v>2251.8000000000002</c:v>
                </c:pt>
                <c:pt idx="17">
                  <c:v>2208.1</c:v>
                </c:pt>
                <c:pt idx="18">
                  <c:v>2176.6999999999998</c:v>
                </c:pt>
                <c:pt idx="19">
                  <c:v>2186.9</c:v>
                </c:pt>
                <c:pt idx="20">
                  <c:v>2178.6999999999998</c:v>
                </c:pt>
                <c:pt idx="21">
                  <c:v>2256.3000000000002</c:v>
                </c:pt>
                <c:pt idx="22">
                  <c:v>2339.9</c:v>
                </c:pt>
                <c:pt idx="26">
                  <c:v>2204.9</c:v>
                </c:pt>
                <c:pt idx="27">
                  <c:v>2176.6999999999998</c:v>
                </c:pt>
                <c:pt idx="28">
                  <c:v>2386</c:v>
                </c:pt>
                <c:pt idx="29">
                  <c:v>2166.5</c:v>
                </c:pt>
                <c:pt idx="30">
                  <c:v>2177.1999999999998</c:v>
                </c:pt>
                <c:pt idx="31">
                  <c:v>2163.3000000000002</c:v>
                </c:pt>
                <c:pt idx="35">
                  <c:v>2329.5</c:v>
                </c:pt>
                <c:pt idx="36">
                  <c:v>2151.3000000000002</c:v>
                </c:pt>
                <c:pt idx="37">
                  <c:v>2216.1999999999998</c:v>
                </c:pt>
                <c:pt idx="38">
                  <c:v>2132.1999999999998</c:v>
                </c:pt>
                <c:pt idx="42">
                  <c:v>2255.6999999999998</c:v>
                </c:pt>
                <c:pt idx="43">
                  <c:v>2171.3000000000002</c:v>
                </c:pt>
                <c:pt idx="44">
                  <c:v>2141.9</c:v>
                </c:pt>
                <c:pt idx="45">
                  <c:v>2181.8000000000002</c:v>
                </c:pt>
                <c:pt idx="46">
                  <c:v>2277.3000000000002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45-4AA5-9EA4-67818B067116}"/>
            </c:ext>
          </c:extLst>
        </c:ser>
        <c:ser>
          <c:idx val="2"/>
          <c:order val="2"/>
          <c:tx>
            <c:v>Max p22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All!$GD$6:$GD$56</c:f>
              <c:numCache>
                <c:formatCode>General</c:formatCode>
                <c:ptCount val="51"/>
                <c:pt idx="0">
                  <c:v>2247.5</c:v>
                </c:pt>
                <c:pt idx="1">
                  <c:v>2298</c:v>
                </c:pt>
                <c:pt idx="2">
                  <c:v>2372.1999999999998</c:v>
                </c:pt>
                <c:pt idx="3">
                  <c:v>2406.8000000000002</c:v>
                </c:pt>
                <c:pt idx="7">
                  <c:v>2473.8000000000002</c:v>
                </c:pt>
                <c:pt idx="8">
                  <c:v>2199.4</c:v>
                </c:pt>
                <c:pt idx="9">
                  <c:v>2202.3000000000002</c:v>
                </c:pt>
                <c:pt idx="10">
                  <c:v>2221.1</c:v>
                </c:pt>
                <c:pt idx="11">
                  <c:v>2278.4</c:v>
                </c:pt>
                <c:pt idx="12">
                  <c:v>2330.8000000000002</c:v>
                </c:pt>
                <c:pt idx="13">
                  <c:v>2214.3000000000002</c:v>
                </c:pt>
                <c:pt idx="17">
                  <c:v>2244</c:v>
                </c:pt>
                <c:pt idx="18">
                  <c:v>2206</c:v>
                </c:pt>
                <c:pt idx="19">
                  <c:v>2221.1999999999998</c:v>
                </c:pt>
                <c:pt idx="20">
                  <c:v>2351.8000000000002</c:v>
                </c:pt>
                <c:pt idx="21">
                  <c:v>2355.6999999999998</c:v>
                </c:pt>
                <c:pt idx="22">
                  <c:v>2549.6999999999998</c:v>
                </c:pt>
                <c:pt idx="26">
                  <c:v>2223.5</c:v>
                </c:pt>
                <c:pt idx="27">
                  <c:v>2189.4</c:v>
                </c:pt>
                <c:pt idx="28">
                  <c:v>2250.8000000000002</c:v>
                </c:pt>
                <c:pt idx="29">
                  <c:v>2278.5</c:v>
                </c:pt>
                <c:pt idx="30">
                  <c:v>2213.6999999999998</c:v>
                </c:pt>
                <c:pt idx="31">
                  <c:v>2223.3000000000002</c:v>
                </c:pt>
                <c:pt idx="35">
                  <c:v>2277.6</c:v>
                </c:pt>
                <c:pt idx="36">
                  <c:v>2223.6999999999998</c:v>
                </c:pt>
                <c:pt idx="37">
                  <c:v>2203.6999999999998</c:v>
                </c:pt>
                <c:pt idx="38">
                  <c:v>2184</c:v>
                </c:pt>
                <c:pt idx="42">
                  <c:v>2356.6999999999998</c:v>
                </c:pt>
                <c:pt idx="43">
                  <c:v>2191.9</c:v>
                </c:pt>
                <c:pt idx="44">
                  <c:v>2269.9</c:v>
                </c:pt>
                <c:pt idx="45">
                  <c:v>2221.4</c:v>
                </c:pt>
                <c:pt idx="46">
                  <c:v>2318.3000000000002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45-4AA5-9EA4-67818B067116}"/>
            </c:ext>
          </c:extLst>
        </c:ser>
        <c:ser>
          <c:idx val="3"/>
          <c:order val="3"/>
          <c:tx>
            <c:v>Max p22_2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All!$GE$6:$GE$56</c:f>
              <c:numCache>
                <c:formatCode>General</c:formatCode>
                <c:ptCount val="51"/>
                <c:pt idx="0">
                  <c:v>2898.3</c:v>
                </c:pt>
                <c:pt idx="1">
                  <c:v>2350.9</c:v>
                </c:pt>
                <c:pt idx="2">
                  <c:v>2280.3000000000002</c:v>
                </c:pt>
                <c:pt idx="3">
                  <c:v>2315.9</c:v>
                </c:pt>
                <c:pt idx="7">
                  <c:v>2260.6999999999998</c:v>
                </c:pt>
                <c:pt idx="8">
                  <c:v>2331.4</c:v>
                </c:pt>
                <c:pt idx="9">
                  <c:v>2204.1999999999998</c:v>
                </c:pt>
                <c:pt idx="10">
                  <c:v>2350.6999999999998</c:v>
                </c:pt>
                <c:pt idx="11">
                  <c:v>2203.3000000000002</c:v>
                </c:pt>
                <c:pt idx="12">
                  <c:v>2227.5</c:v>
                </c:pt>
                <c:pt idx="13">
                  <c:v>2330.1999999999998</c:v>
                </c:pt>
                <c:pt idx="17">
                  <c:v>2208.3000000000002</c:v>
                </c:pt>
                <c:pt idx="18">
                  <c:v>2208.1999999999998</c:v>
                </c:pt>
                <c:pt idx="19">
                  <c:v>2225.1999999999998</c:v>
                </c:pt>
                <c:pt idx="20">
                  <c:v>2405.4</c:v>
                </c:pt>
                <c:pt idx="21">
                  <c:v>2563.9</c:v>
                </c:pt>
                <c:pt idx="22">
                  <c:v>2341.4</c:v>
                </c:pt>
                <c:pt idx="26">
                  <c:v>2257.6999999999998</c:v>
                </c:pt>
                <c:pt idx="27">
                  <c:v>2276.4</c:v>
                </c:pt>
                <c:pt idx="28">
                  <c:v>2386</c:v>
                </c:pt>
                <c:pt idx="29">
                  <c:v>2323.3000000000002</c:v>
                </c:pt>
                <c:pt idx="30">
                  <c:v>2219.6</c:v>
                </c:pt>
                <c:pt idx="31">
                  <c:v>2225.1</c:v>
                </c:pt>
                <c:pt idx="35">
                  <c:v>2329.5</c:v>
                </c:pt>
                <c:pt idx="36">
                  <c:v>2185.8000000000002</c:v>
                </c:pt>
                <c:pt idx="37">
                  <c:v>2216.1999999999998</c:v>
                </c:pt>
                <c:pt idx="38">
                  <c:v>2184.9</c:v>
                </c:pt>
                <c:pt idx="42">
                  <c:v>2255.6999999999998</c:v>
                </c:pt>
                <c:pt idx="43">
                  <c:v>2189.5</c:v>
                </c:pt>
                <c:pt idx="44">
                  <c:v>2177.1999999999998</c:v>
                </c:pt>
                <c:pt idx="45">
                  <c:v>2316.3000000000002</c:v>
                </c:pt>
                <c:pt idx="46">
                  <c:v>2277.3000000000002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45-4AA5-9EA4-67818B067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224112"/>
        <c:axId val="1298225776"/>
      </c:scatterChart>
      <c:valAx>
        <c:axId val="129822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8225776"/>
        <c:crosses val="autoZero"/>
        <c:crossBetween val="midCat"/>
      </c:valAx>
      <c:valAx>
        <c:axId val="129822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8224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tfuel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All!$GG$6:$GG$56</c:f>
              <c:numCache>
                <c:formatCode>General</c:formatCode>
                <c:ptCount val="51"/>
                <c:pt idx="0">
                  <c:v>32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7">
                  <c:v>30</c:v>
                </c:pt>
                <c:pt idx="8">
                  <c:v>27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29</c:v>
                </c:pt>
                <c:pt idx="13">
                  <c:v>30</c:v>
                </c:pt>
                <c:pt idx="17">
                  <c:v>32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36</c:v>
                </c:pt>
                <c:pt idx="22">
                  <c:v>37</c:v>
                </c:pt>
                <c:pt idx="26">
                  <c:v>37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28</c:v>
                </c:pt>
                <c:pt idx="31">
                  <c:v>29</c:v>
                </c:pt>
                <c:pt idx="35">
                  <c:v>36</c:v>
                </c:pt>
                <c:pt idx="36">
                  <c:v>31</c:v>
                </c:pt>
                <c:pt idx="37">
                  <c:v>32</c:v>
                </c:pt>
                <c:pt idx="38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E9-44FA-ADA1-E42FCB4457BA}"/>
            </c:ext>
          </c:extLst>
        </c:ser>
        <c:ser>
          <c:idx val="1"/>
          <c:order val="1"/>
          <c:tx>
            <c:v>Max tfueltankout_pod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All!$GH$6:$GH$56</c:f>
              <c:numCache>
                <c:formatCode>General</c:formatCode>
                <c:ptCount val="51"/>
                <c:pt idx="0">
                  <c:v>32.1</c:v>
                </c:pt>
                <c:pt idx="1">
                  <c:v>23.5</c:v>
                </c:pt>
                <c:pt idx="2">
                  <c:v>24.2</c:v>
                </c:pt>
                <c:pt idx="3">
                  <c:v>25.3</c:v>
                </c:pt>
                <c:pt idx="7">
                  <c:v>29.5</c:v>
                </c:pt>
                <c:pt idx="8">
                  <c:v>26.8</c:v>
                </c:pt>
                <c:pt idx="9">
                  <c:v>27.3</c:v>
                </c:pt>
                <c:pt idx="10">
                  <c:v>27.9</c:v>
                </c:pt>
                <c:pt idx="11">
                  <c:v>28.5</c:v>
                </c:pt>
                <c:pt idx="12">
                  <c:v>29.2</c:v>
                </c:pt>
                <c:pt idx="13">
                  <c:v>29.9</c:v>
                </c:pt>
                <c:pt idx="17">
                  <c:v>32.200000000000003</c:v>
                </c:pt>
                <c:pt idx="18">
                  <c:v>32.5</c:v>
                </c:pt>
                <c:pt idx="19">
                  <c:v>33.4</c:v>
                </c:pt>
                <c:pt idx="20">
                  <c:v>34.5</c:v>
                </c:pt>
                <c:pt idx="21">
                  <c:v>35.6</c:v>
                </c:pt>
                <c:pt idx="22">
                  <c:v>36.799999999999997</c:v>
                </c:pt>
                <c:pt idx="26">
                  <c:v>36.6</c:v>
                </c:pt>
                <c:pt idx="27">
                  <c:v>26.3</c:v>
                </c:pt>
                <c:pt idx="28">
                  <c:v>27</c:v>
                </c:pt>
                <c:pt idx="29">
                  <c:v>27.6</c:v>
                </c:pt>
                <c:pt idx="30">
                  <c:v>28.2</c:v>
                </c:pt>
                <c:pt idx="31">
                  <c:v>29</c:v>
                </c:pt>
                <c:pt idx="35">
                  <c:v>35.700000000000003</c:v>
                </c:pt>
                <c:pt idx="36">
                  <c:v>31.4</c:v>
                </c:pt>
                <c:pt idx="37">
                  <c:v>32.200000000000003</c:v>
                </c:pt>
                <c:pt idx="38">
                  <c:v>33.799999999999997</c:v>
                </c:pt>
                <c:pt idx="42">
                  <c:v>34.6</c:v>
                </c:pt>
                <c:pt idx="43">
                  <c:v>36.299999999999997</c:v>
                </c:pt>
                <c:pt idx="44">
                  <c:v>37</c:v>
                </c:pt>
                <c:pt idx="45">
                  <c:v>37.9</c:v>
                </c:pt>
                <c:pt idx="46">
                  <c:v>38.9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E9-44FA-ADA1-E42FCB4457BA}"/>
            </c:ext>
          </c:extLst>
        </c:ser>
        <c:ser>
          <c:idx val="2"/>
          <c:order val="2"/>
          <c:tx>
            <c:v>Max trail_pod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All!$GI$6:$GI$56</c:f>
              <c:numCache>
                <c:formatCode>General</c:formatCode>
                <c:ptCount val="51"/>
                <c:pt idx="0">
                  <c:v>71.400000000000006</c:v>
                </c:pt>
                <c:pt idx="1">
                  <c:v>49.2</c:v>
                </c:pt>
                <c:pt idx="2">
                  <c:v>47</c:v>
                </c:pt>
                <c:pt idx="3">
                  <c:v>47.1</c:v>
                </c:pt>
                <c:pt idx="7">
                  <c:v>70.3</c:v>
                </c:pt>
                <c:pt idx="8">
                  <c:v>52.7</c:v>
                </c:pt>
                <c:pt idx="9">
                  <c:v>48.2</c:v>
                </c:pt>
                <c:pt idx="10">
                  <c:v>48</c:v>
                </c:pt>
                <c:pt idx="11">
                  <c:v>48.2</c:v>
                </c:pt>
                <c:pt idx="12">
                  <c:v>48.2</c:v>
                </c:pt>
                <c:pt idx="13">
                  <c:v>48.5</c:v>
                </c:pt>
                <c:pt idx="17">
                  <c:v>60.5</c:v>
                </c:pt>
                <c:pt idx="18">
                  <c:v>51.1</c:v>
                </c:pt>
                <c:pt idx="19">
                  <c:v>48.6</c:v>
                </c:pt>
                <c:pt idx="20">
                  <c:v>49.2</c:v>
                </c:pt>
                <c:pt idx="21">
                  <c:v>49.4</c:v>
                </c:pt>
                <c:pt idx="22">
                  <c:v>49.4</c:v>
                </c:pt>
                <c:pt idx="26">
                  <c:v>56.1</c:v>
                </c:pt>
                <c:pt idx="27">
                  <c:v>48.8</c:v>
                </c:pt>
                <c:pt idx="28">
                  <c:v>47.6</c:v>
                </c:pt>
                <c:pt idx="29">
                  <c:v>47.7</c:v>
                </c:pt>
                <c:pt idx="30">
                  <c:v>47.6</c:v>
                </c:pt>
                <c:pt idx="31">
                  <c:v>47.9</c:v>
                </c:pt>
                <c:pt idx="35">
                  <c:v>82.2</c:v>
                </c:pt>
                <c:pt idx="36">
                  <c:v>55</c:v>
                </c:pt>
                <c:pt idx="37">
                  <c:v>48.9</c:v>
                </c:pt>
                <c:pt idx="38">
                  <c:v>50</c:v>
                </c:pt>
                <c:pt idx="42">
                  <c:v>50.8</c:v>
                </c:pt>
                <c:pt idx="43">
                  <c:v>51.7</c:v>
                </c:pt>
                <c:pt idx="44">
                  <c:v>48.7</c:v>
                </c:pt>
                <c:pt idx="45">
                  <c:v>49.3</c:v>
                </c:pt>
                <c:pt idx="46">
                  <c:v>49.7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E9-44FA-ADA1-E42FCB4457BA}"/>
            </c:ext>
          </c:extLst>
        </c:ser>
        <c:ser>
          <c:idx val="3"/>
          <c:order val="3"/>
          <c:tx>
            <c:v>Max trail2_pod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All!$GJ$6:$GJ$56</c:f>
              <c:numCache>
                <c:formatCode>General</c:formatCode>
                <c:ptCount val="51"/>
                <c:pt idx="0">
                  <c:v>71.599999999999994</c:v>
                </c:pt>
                <c:pt idx="1">
                  <c:v>53.6</c:v>
                </c:pt>
                <c:pt idx="2">
                  <c:v>51.4</c:v>
                </c:pt>
                <c:pt idx="3">
                  <c:v>51.7</c:v>
                </c:pt>
                <c:pt idx="7">
                  <c:v>75.099999999999994</c:v>
                </c:pt>
                <c:pt idx="8">
                  <c:v>57.6</c:v>
                </c:pt>
                <c:pt idx="9">
                  <c:v>53</c:v>
                </c:pt>
                <c:pt idx="10">
                  <c:v>52.7</c:v>
                </c:pt>
                <c:pt idx="11">
                  <c:v>53.4</c:v>
                </c:pt>
                <c:pt idx="12">
                  <c:v>53</c:v>
                </c:pt>
                <c:pt idx="13">
                  <c:v>53.3</c:v>
                </c:pt>
                <c:pt idx="17">
                  <c:v>65.8</c:v>
                </c:pt>
                <c:pt idx="18">
                  <c:v>56.6</c:v>
                </c:pt>
                <c:pt idx="19">
                  <c:v>53.4</c:v>
                </c:pt>
                <c:pt idx="20">
                  <c:v>54.2</c:v>
                </c:pt>
                <c:pt idx="21">
                  <c:v>54.4</c:v>
                </c:pt>
                <c:pt idx="22">
                  <c:v>54.7</c:v>
                </c:pt>
                <c:pt idx="26">
                  <c:v>60.3</c:v>
                </c:pt>
                <c:pt idx="27">
                  <c:v>54.3</c:v>
                </c:pt>
                <c:pt idx="28">
                  <c:v>52.6</c:v>
                </c:pt>
                <c:pt idx="29">
                  <c:v>52.8</c:v>
                </c:pt>
                <c:pt idx="30">
                  <c:v>52.8</c:v>
                </c:pt>
                <c:pt idx="31">
                  <c:v>53.3</c:v>
                </c:pt>
                <c:pt idx="35">
                  <c:v>83.6</c:v>
                </c:pt>
                <c:pt idx="36">
                  <c:v>58.7</c:v>
                </c:pt>
                <c:pt idx="37">
                  <c:v>54.1</c:v>
                </c:pt>
                <c:pt idx="38">
                  <c:v>56.5</c:v>
                </c:pt>
                <c:pt idx="42">
                  <c:v>56.8</c:v>
                </c:pt>
                <c:pt idx="43">
                  <c:v>58</c:v>
                </c:pt>
                <c:pt idx="44">
                  <c:v>54.5</c:v>
                </c:pt>
                <c:pt idx="45">
                  <c:v>54.3</c:v>
                </c:pt>
                <c:pt idx="46">
                  <c:v>54.8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E9-44FA-ADA1-E42FCB445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62336"/>
        <c:axId val="1409660256"/>
      </c:scatterChart>
      <c:valAx>
        <c:axId val="140966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9660256"/>
        <c:crosses val="autoZero"/>
        <c:crossBetween val="midCat"/>
      </c:valAx>
      <c:valAx>
        <c:axId val="1409660256"/>
        <c:scaling>
          <c:orientation val="minMax"/>
          <c:max val="9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9662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Control Ips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prail_ip_100%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All!$ID$6:$ID$56</c:f>
              <c:numCache>
                <c:formatCode>General</c:formatCode>
                <c:ptCount val="51"/>
                <c:pt idx="0">
                  <c:v>-1.7999999999999999E-2</c:v>
                </c:pt>
                <c:pt idx="1">
                  <c:v>-0.19700000000000001</c:v>
                </c:pt>
                <c:pt idx="2">
                  <c:v>-0.24299999999999999</c:v>
                </c:pt>
                <c:pt idx="3">
                  <c:v>-0.215</c:v>
                </c:pt>
                <c:pt idx="7">
                  <c:v>-0.151</c:v>
                </c:pt>
                <c:pt idx="8">
                  <c:v>-0.26400000000000001</c:v>
                </c:pt>
                <c:pt idx="9">
                  <c:v>-0.26</c:v>
                </c:pt>
                <c:pt idx="10">
                  <c:v>-0.25</c:v>
                </c:pt>
                <c:pt idx="11">
                  <c:v>-0.222</c:v>
                </c:pt>
                <c:pt idx="12">
                  <c:v>-0.28199999999999997</c:v>
                </c:pt>
                <c:pt idx="13">
                  <c:v>-0.23400000000000001</c:v>
                </c:pt>
                <c:pt idx="17">
                  <c:v>-0.11899999999999999</c:v>
                </c:pt>
                <c:pt idx="18">
                  <c:v>-0.28599999999999998</c:v>
                </c:pt>
                <c:pt idx="19">
                  <c:v>-0.28599999999999998</c:v>
                </c:pt>
                <c:pt idx="20">
                  <c:v>-0.28699999999999998</c:v>
                </c:pt>
                <c:pt idx="21">
                  <c:v>-0.30299999999999999</c:v>
                </c:pt>
                <c:pt idx="22">
                  <c:v>-0.24099999999999999</c:v>
                </c:pt>
                <c:pt idx="26">
                  <c:v>-0.189</c:v>
                </c:pt>
                <c:pt idx="27">
                  <c:v>-0.26900000000000002</c:v>
                </c:pt>
                <c:pt idx="28">
                  <c:v>-0.28199999999999997</c:v>
                </c:pt>
                <c:pt idx="29">
                  <c:v>-0.25900000000000001</c:v>
                </c:pt>
                <c:pt idx="30">
                  <c:v>-0.30399999999999999</c:v>
                </c:pt>
                <c:pt idx="31">
                  <c:v>-0.191</c:v>
                </c:pt>
                <c:pt idx="35">
                  <c:v>-4.2000000000000003E-2</c:v>
                </c:pt>
                <c:pt idx="36">
                  <c:v>-0.378</c:v>
                </c:pt>
                <c:pt idx="37">
                  <c:v>-0.32900000000000001</c:v>
                </c:pt>
                <c:pt idx="38">
                  <c:v>-5.3999999999999999E-2</c:v>
                </c:pt>
                <c:pt idx="42">
                  <c:v>-4.3999999999999997E-2</c:v>
                </c:pt>
                <c:pt idx="43">
                  <c:v>-0.11799999999999999</c:v>
                </c:pt>
                <c:pt idx="44">
                  <c:v>-0.315</c:v>
                </c:pt>
                <c:pt idx="45">
                  <c:v>-0.39100000000000001</c:v>
                </c:pt>
                <c:pt idx="46">
                  <c:v>-0.318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40-4D4A-95B3-87C8CF0157C7}"/>
            </c:ext>
          </c:extLst>
        </c:ser>
        <c:ser>
          <c:idx val="1"/>
          <c:order val="1"/>
          <c:tx>
            <c:v>Ave prail_ip2_100%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All!$IE$6:$IE$56</c:f>
              <c:numCache>
                <c:formatCode>General</c:formatCode>
                <c:ptCount val="51"/>
                <c:pt idx="0">
                  <c:v>-8.9999999999999993E-3</c:v>
                </c:pt>
                <c:pt idx="1">
                  <c:v>-7.2999999999999995E-2</c:v>
                </c:pt>
                <c:pt idx="2">
                  <c:v>-7.9000000000000001E-2</c:v>
                </c:pt>
                <c:pt idx="3">
                  <c:v>-7.0000000000000007E-2</c:v>
                </c:pt>
                <c:pt idx="7">
                  <c:v>-3.3000000000000002E-2</c:v>
                </c:pt>
                <c:pt idx="8">
                  <c:v>-8.5999999999999993E-2</c:v>
                </c:pt>
                <c:pt idx="9">
                  <c:v>-8.5999999999999993E-2</c:v>
                </c:pt>
                <c:pt idx="10">
                  <c:v>-7.3999999999999996E-2</c:v>
                </c:pt>
                <c:pt idx="11">
                  <c:v>-7.6999999999999999E-2</c:v>
                </c:pt>
                <c:pt idx="12">
                  <c:v>-8.6999999999999994E-2</c:v>
                </c:pt>
                <c:pt idx="13">
                  <c:v>-7.6999999999999999E-2</c:v>
                </c:pt>
                <c:pt idx="17">
                  <c:v>-3.9E-2</c:v>
                </c:pt>
                <c:pt idx="18">
                  <c:v>-0.108</c:v>
                </c:pt>
                <c:pt idx="19">
                  <c:v>-9.6000000000000002E-2</c:v>
                </c:pt>
                <c:pt idx="20">
                  <c:v>-0.08</c:v>
                </c:pt>
                <c:pt idx="21">
                  <c:v>-0.109</c:v>
                </c:pt>
                <c:pt idx="22">
                  <c:v>-8.7999999999999995E-2</c:v>
                </c:pt>
                <c:pt idx="26">
                  <c:v>-6.0999999999999999E-2</c:v>
                </c:pt>
                <c:pt idx="27">
                  <c:v>-0.10100000000000001</c:v>
                </c:pt>
                <c:pt idx="28">
                  <c:v>-0.106</c:v>
                </c:pt>
                <c:pt idx="29">
                  <c:v>-9.6000000000000002E-2</c:v>
                </c:pt>
                <c:pt idx="30">
                  <c:v>-0.11700000000000001</c:v>
                </c:pt>
                <c:pt idx="31">
                  <c:v>-7.5999999999999998E-2</c:v>
                </c:pt>
                <c:pt idx="35">
                  <c:v>-1.7999999999999999E-2</c:v>
                </c:pt>
                <c:pt idx="36">
                  <c:v>-0.16500000000000001</c:v>
                </c:pt>
                <c:pt idx="37">
                  <c:v>-0.14299999999999999</c:v>
                </c:pt>
                <c:pt idx="38">
                  <c:v>-2.4E-2</c:v>
                </c:pt>
                <c:pt idx="42">
                  <c:v>-1.7999999999999999E-2</c:v>
                </c:pt>
                <c:pt idx="43">
                  <c:v>-4.7E-2</c:v>
                </c:pt>
                <c:pt idx="44">
                  <c:v>-0.13800000000000001</c:v>
                </c:pt>
                <c:pt idx="45">
                  <c:v>-0.152</c:v>
                </c:pt>
                <c:pt idx="46">
                  <c:v>-0.129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40-4D4A-95B3-87C8CF0157C7}"/>
            </c:ext>
          </c:extLst>
        </c:ser>
        <c:ser>
          <c:idx val="2"/>
          <c:order val="2"/>
          <c:tx>
            <c:v>Ave p21_ip_100%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All!$IJ$6:$IJ$56</c:f>
              <c:numCache>
                <c:formatCode>General</c:formatCode>
                <c:ptCount val="51"/>
                <c:pt idx="0">
                  <c:v>-1E-3</c:v>
                </c:pt>
                <c:pt idx="1">
                  <c:v>-7.3999999999999996E-2</c:v>
                </c:pt>
                <c:pt idx="2">
                  <c:v>-8.5000000000000006E-2</c:v>
                </c:pt>
                <c:pt idx="3">
                  <c:v>-6.7000000000000004E-2</c:v>
                </c:pt>
                <c:pt idx="7">
                  <c:v>8.4000000000000005E-2</c:v>
                </c:pt>
                <c:pt idx="8">
                  <c:v>1.0999999999999999E-2</c:v>
                </c:pt>
                <c:pt idx="9">
                  <c:v>-2.7E-2</c:v>
                </c:pt>
                <c:pt idx="10">
                  <c:v>-2.4E-2</c:v>
                </c:pt>
                <c:pt idx="11">
                  <c:v>6.0999999999999999E-2</c:v>
                </c:pt>
                <c:pt idx="12">
                  <c:v>2.1000000000000001E-2</c:v>
                </c:pt>
                <c:pt idx="13">
                  <c:v>8.0000000000000002E-3</c:v>
                </c:pt>
                <c:pt idx="17">
                  <c:v>5.2999999999999999E-2</c:v>
                </c:pt>
                <c:pt idx="18">
                  <c:v>-0.09</c:v>
                </c:pt>
                <c:pt idx="19">
                  <c:v>-0.111</c:v>
                </c:pt>
                <c:pt idx="20">
                  <c:v>-6.3E-2</c:v>
                </c:pt>
                <c:pt idx="21">
                  <c:v>-0.104</c:v>
                </c:pt>
                <c:pt idx="22">
                  <c:v>-0.09</c:v>
                </c:pt>
                <c:pt idx="26">
                  <c:v>-3.9E-2</c:v>
                </c:pt>
                <c:pt idx="27">
                  <c:v>-6.3E-2</c:v>
                </c:pt>
                <c:pt idx="28">
                  <c:v>-7.6999999999999999E-2</c:v>
                </c:pt>
                <c:pt idx="29">
                  <c:v>-7.9000000000000001E-2</c:v>
                </c:pt>
                <c:pt idx="30">
                  <c:v>-0.124</c:v>
                </c:pt>
                <c:pt idx="31">
                  <c:v>-5.3999999999999999E-2</c:v>
                </c:pt>
                <c:pt idx="35">
                  <c:v>2.1999999999999999E-2</c:v>
                </c:pt>
                <c:pt idx="36">
                  <c:v>0.107</c:v>
                </c:pt>
                <c:pt idx="37">
                  <c:v>9.9000000000000005E-2</c:v>
                </c:pt>
                <c:pt idx="38">
                  <c:v>5.7000000000000002E-2</c:v>
                </c:pt>
                <c:pt idx="42">
                  <c:v>1.9E-2</c:v>
                </c:pt>
                <c:pt idx="43">
                  <c:v>9.0999999999999998E-2</c:v>
                </c:pt>
                <c:pt idx="44">
                  <c:v>7.3999999999999996E-2</c:v>
                </c:pt>
                <c:pt idx="45">
                  <c:v>5.8000000000000003E-2</c:v>
                </c:pt>
                <c:pt idx="46">
                  <c:v>6.3E-2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40-4D4A-95B3-87C8CF0157C7}"/>
            </c:ext>
          </c:extLst>
        </c:ser>
        <c:ser>
          <c:idx val="3"/>
          <c:order val="3"/>
          <c:tx>
            <c:v>Ave p21_ip2_100%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All!$IK$6:$IK$56</c:f>
              <c:numCache>
                <c:formatCode>General</c:formatCode>
                <c:ptCount val="51"/>
                <c:pt idx="0">
                  <c:v>-6.0000000000000001E-3</c:v>
                </c:pt>
                <c:pt idx="1">
                  <c:v>-0.122</c:v>
                </c:pt>
                <c:pt idx="2">
                  <c:v>-0.16500000000000001</c:v>
                </c:pt>
                <c:pt idx="3">
                  <c:v>-0.14299999999999999</c:v>
                </c:pt>
                <c:pt idx="7">
                  <c:v>-5.0000000000000001E-3</c:v>
                </c:pt>
                <c:pt idx="8">
                  <c:v>-0.11600000000000001</c:v>
                </c:pt>
                <c:pt idx="9">
                  <c:v>-0.153</c:v>
                </c:pt>
                <c:pt idx="10">
                  <c:v>-0.13</c:v>
                </c:pt>
                <c:pt idx="11">
                  <c:v>-3.5999999999999997E-2</c:v>
                </c:pt>
                <c:pt idx="12">
                  <c:v>-8.4000000000000005E-2</c:v>
                </c:pt>
                <c:pt idx="13">
                  <c:v>-8.7999999999999995E-2</c:v>
                </c:pt>
                <c:pt idx="17">
                  <c:v>1E-3</c:v>
                </c:pt>
                <c:pt idx="18">
                  <c:v>-0.20200000000000001</c:v>
                </c:pt>
                <c:pt idx="19">
                  <c:v>-0.25600000000000001</c:v>
                </c:pt>
                <c:pt idx="20">
                  <c:v>-0.22700000000000001</c:v>
                </c:pt>
                <c:pt idx="21">
                  <c:v>-0.23100000000000001</c:v>
                </c:pt>
                <c:pt idx="22">
                  <c:v>-0.19400000000000001</c:v>
                </c:pt>
                <c:pt idx="26">
                  <c:v>-0.11899999999999999</c:v>
                </c:pt>
                <c:pt idx="27">
                  <c:v>-0.18</c:v>
                </c:pt>
                <c:pt idx="28">
                  <c:v>-0.20699999999999999</c:v>
                </c:pt>
                <c:pt idx="29">
                  <c:v>-0.20200000000000001</c:v>
                </c:pt>
                <c:pt idx="30">
                  <c:v>-0.23499999999999999</c:v>
                </c:pt>
                <c:pt idx="31">
                  <c:v>-0.11899999999999999</c:v>
                </c:pt>
                <c:pt idx="35">
                  <c:v>1.2999999999999999E-2</c:v>
                </c:pt>
                <c:pt idx="36">
                  <c:v>3.5999999999999997E-2</c:v>
                </c:pt>
                <c:pt idx="37">
                  <c:v>1.9E-2</c:v>
                </c:pt>
                <c:pt idx="38">
                  <c:v>5.3999999999999999E-2</c:v>
                </c:pt>
                <c:pt idx="42">
                  <c:v>0.01</c:v>
                </c:pt>
                <c:pt idx="43">
                  <c:v>6.2E-2</c:v>
                </c:pt>
                <c:pt idx="44">
                  <c:v>-8.0000000000000002E-3</c:v>
                </c:pt>
                <c:pt idx="45">
                  <c:v>-4.4999999999999998E-2</c:v>
                </c:pt>
                <c:pt idx="46">
                  <c:v>-3.4000000000000002E-2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40-4D4A-95B3-87C8CF0157C7}"/>
            </c:ext>
          </c:extLst>
        </c:ser>
        <c:ser>
          <c:idx val="4"/>
          <c:order val="4"/>
          <c:tx>
            <c:v>Lap-Begin Delta I_P21_lapave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All!$IO$6:$IO$56</c:f>
              <c:numCache>
                <c:formatCode>General</c:formatCode>
                <c:ptCount val="51"/>
                <c:pt idx="0">
                  <c:v>8.2000000000000003E-2</c:v>
                </c:pt>
                <c:pt idx="1">
                  <c:v>0.41699999999999998</c:v>
                </c:pt>
                <c:pt idx="2">
                  <c:v>0.47499999999999998</c:v>
                </c:pt>
                <c:pt idx="3">
                  <c:v>0.374</c:v>
                </c:pt>
                <c:pt idx="7">
                  <c:v>0.39700000000000002</c:v>
                </c:pt>
                <c:pt idx="8">
                  <c:v>0.74399999999999999</c:v>
                </c:pt>
                <c:pt idx="9">
                  <c:v>0.59299999999999997</c:v>
                </c:pt>
                <c:pt idx="10">
                  <c:v>0.57399999999999995</c:v>
                </c:pt>
                <c:pt idx="11">
                  <c:v>0.42599999999999999</c:v>
                </c:pt>
                <c:pt idx="12">
                  <c:v>0.57199999999999995</c:v>
                </c:pt>
                <c:pt idx="13">
                  <c:v>0.54600000000000004</c:v>
                </c:pt>
                <c:pt idx="17">
                  <c:v>0.317</c:v>
                </c:pt>
                <c:pt idx="18">
                  <c:v>0.495</c:v>
                </c:pt>
                <c:pt idx="19">
                  <c:v>0.59699999999999998</c:v>
                </c:pt>
                <c:pt idx="20">
                  <c:v>0.58899999999999997</c:v>
                </c:pt>
                <c:pt idx="21">
                  <c:v>0.57499999999999996</c:v>
                </c:pt>
                <c:pt idx="22">
                  <c:v>0.45800000000000002</c:v>
                </c:pt>
                <c:pt idx="26">
                  <c:v>0.48799999999999999</c:v>
                </c:pt>
                <c:pt idx="27">
                  <c:v>0.51300000000000001</c:v>
                </c:pt>
                <c:pt idx="28">
                  <c:v>0.58699999999999997</c:v>
                </c:pt>
                <c:pt idx="29">
                  <c:v>0.621</c:v>
                </c:pt>
                <c:pt idx="30">
                  <c:v>0.60299999999999998</c:v>
                </c:pt>
                <c:pt idx="31">
                  <c:v>0.496</c:v>
                </c:pt>
                <c:pt idx="35">
                  <c:v>5.6000000000000001E-2</c:v>
                </c:pt>
                <c:pt idx="36">
                  <c:v>0.32200000000000001</c:v>
                </c:pt>
                <c:pt idx="37">
                  <c:v>0.32800000000000001</c:v>
                </c:pt>
                <c:pt idx="38">
                  <c:v>0.114</c:v>
                </c:pt>
                <c:pt idx="42">
                  <c:v>9.2999999999999999E-2</c:v>
                </c:pt>
                <c:pt idx="43">
                  <c:v>0.14099999999999999</c:v>
                </c:pt>
                <c:pt idx="44">
                  <c:v>0.32300000000000001</c:v>
                </c:pt>
                <c:pt idx="45">
                  <c:v>0.34399999999999997</c:v>
                </c:pt>
                <c:pt idx="46">
                  <c:v>0.32500000000000001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40-4D4A-95B3-87C8CF015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81056"/>
        <c:axId val="1409660672"/>
      </c:scatterChart>
      <c:valAx>
        <c:axId val="1409681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9660672"/>
        <c:crosses val="autoZero"/>
        <c:crossBetween val="midCat"/>
      </c:valAx>
      <c:valAx>
        <c:axId val="140966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968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Texh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texh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All!$IF$6:$IF$56</c:f>
              <c:numCache>
                <c:formatCode>General</c:formatCode>
                <c:ptCount val="51"/>
                <c:pt idx="0">
                  <c:v>823.1</c:v>
                </c:pt>
                <c:pt idx="1">
                  <c:v>816.7</c:v>
                </c:pt>
                <c:pt idx="2">
                  <c:v>823.2</c:v>
                </c:pt>
                <c:pt idx="3">
                  <c:v>821.9</c:v>
                </c:pt>
                <c:pt idx="7">
                  <c:v>817</c:v>
                </c:pt>
                <c:pt idx="8">
                  <c:v>823.9</c:v>
                </c:pt>
                <c:pt idx="9">
                  <c:v>822.9</c:v>
                </c:pt>
                <c:pt idx="10">
                  <c:v>821.5</c:v>
                </c:pt>
                <c:pt idx="11">
                  <c:v>833.7</c:v>
                </c:pt>
                <c:pt idx="12">
                  <c:v>821.1</c:v>
                </c:pt>
                <c:pt idx="13">
                  <c:v>821</c:v>
                </c:pt>
                <c:pt idx="17">
                  <c:v>807.4</c:v>
                </c:pt>
                <c:pt idx="18">
                  <c:v>818.1</c:v>
                </c:pt>
                <c:pt idx="19">
                  <c:v>818</c:v>
                </c:pt>
                <c:pt idx="20">
                  <c:v>811.9</c:v>
                </c:pt>
                <c:pt idx="21">
                  <c:v>815.6</c:v>
                </c:pt>
                <c:pt idx="22">
                  <c:v>817.7</c:v>
                </c:pt>
                <c:pt idx="26">
                  <c:v>822</c:v>
                </c:pt>
                <c:pt idx="27">
                  <c:v>818.3</c:v>
                </c:pt>
                <c:pt idx="28">
                  <c:v>820</c:v>
                </c:pt>
                <c:pt idx="29">
                  <c:v>819</c:v>
                </c:pt>
                <c:pt idx="30">
                  <c:v>819.1</c:v>
                </c:pt>
                <c:pt idx="31">
                  <c:v>839.9</c:v>
                </c:pt>
                <c:pt idx="35">
                  <c:v>795.1</c:v>
                </c:pt>
                <c:pt idx="36">
                  <c:v>807.8</c:v>
                </c:pt>
                <c:pt idx="37">
                  <c:v>804.3</c:v>
                </c:pt>
                <c:pt idx="38">
                  <c:v>808.7</c:v>
                </c:pt>
                <c:pt idx="42">
                  <c:v>797.2</c:v>
                </c:pt>
                <c:pt idx="43">
                  <c:v>793.9</c:v>
                </c:pt>
                <c:pt idx="44">
                  <c:v>798.6</c:v>
                </c:pt>
                <c:pt idx="45">
                  <c:v>802.9</c:v>
                </c:pt>
                <c:pt idx="46">
                  <c:v>804.4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78-4149-AA5B-599080A539C9}"/>
            </c:ext>
          </c:extLst>
        </c:ser>
        <c:ser>
          <c:idx val="1"/>
          <c:order val="1"/>
          <c:tx>
            <c:v>Ave texh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All!$IG$6:$IG$56</c:f>
              <c:numCache>
                <c:formatCode>General</c:formatCode>
                <c:ptCount val="51"/>
                <c:pt idx="0">
                  <c:v>243.6</c:v>
                </c:pt>
                <c:pt idx="1">
                  <c:v>769</c:v>
                </c:pt>
                <c:pt idx="2">
                  <c:v>775.6</c:v>
                </c:pt>
                <c:pt idx="3">
                  <c:v>764.5</c:v>
                </c:pt>
                <c:pt idx="7">
                  <c:v>641.29999999999995</c:v>
                </c:pt>
                <c:pt idx="8">
                  <c:v>771.4</c:v>
                </c:pt>
                <c:pt idx="9">
                  <c:v>775.2</c:v>
                </c:pt>
                <c:pt idx="10">
                  <c:v>774.3</c:v>
                </c:pt>
                <c:pt idx="11">
                  <c:v>751.3</c:v>
                </c:pt>
                <c:pt idx="12">
                  <c:v>771.9</c:v>
                </c:pt>
                <c:pt idx="13">
                  <c:v>759.6</c:v>
                </c:pt>
                <c:pt idx="17">
                  <c:v>641.29999999999995</c:v>
                </c:pt>
                <c:pt idx="18">
                  <c:v>768.2</c:v>
                </c:pt>
                <c:pt idx="19">
                  <c:v>770.6</c:v>
                </c:pt>
                <c:pt idx="20">
                  <c:v>762.1</c:v>
                </c:pt>
                <c:pt idx="21">
                  <c:v>769.7</c:v>
                </c:pt>
                <c:pt idx="22">
                  <c:v>751.4</c:v>
                </c:pt>
                <c:pt idx="26">
                  <c:v>722.3</c:v>
                </c:pt>
                <c:pt idx="27">
                  <c:v>768.4</c:v>
                </c:pt>
                <c:pt idx="28">
                  <c:v>769.8</c:v>
                </c:pt>
                <c:pt idx="29">
                  <c:v>770.1</c:v>
                </c:pt>
                <c:pt idx="30">
                  <c:v>774.2</c:v>
                </c:pt>
                <c:pt idx="31">
                  <c:v>761</c:v>
                </c:pt>
                <c:pt idx="35">
                  <c:v>314.60000000000002</c:v>
                </c:pt>
                <c:pt idx="36">
                  <c:v>752.2</c:v>
                </c:pt>
                <c:pt idx="37">
                  <c:v>750.2</c:v>
                </c:pt>
                <c:pt idx="38">
                  <c:v>587</c:v>
                </c:pt>
                <c:pt idx="42">
                  <c:v>640.4</c:v>
                </c:pt>
                <c:pt idx="43">
                  <c:v>630</c:v>
                </c:pt>
                <c:pt idx="44">
                  <c:v>753.7</c:v>
                </c:pt>
                <c:pt idx="45">
                  <c:v>758.7</c:v>
                </c:pt>
                <c:pt idx="46">
                  <c:v>746.2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78-4149-AA5B-599080A539C9}"/>
            </c:ext>
          </c:extLst>
        </c:ser>
        <c:ser>
          <c:idx val="2"/>
          <c:order val="2"/>
          <c:tx>
            <c:v>Max texh2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All!$IH$6:$IH$56</c:f>
              <c:numCache>
                <c:formatCode>General</c:formatCode>
                <c:ptCount val="51"/>
                <c:pt idx="0">
                  <c:v>824.3</c:v>
                </c:pt>
                <c:pt idx="1">
                  <c:v>829</c:v>
                </c:pt>
                <c:pt idx="2">
                  <c:v>833.5</c:v>
                </c:pt>
                <c:pt idx="3">
                  <c:v>822.3</c:v>
                </c:pt>
                <c:pt idx="7">
                  <c:v>828.4</c:v>
                </c:pt>
                <c:pt idx="8">
                  <c:v>832.2</c:v>
                </c:pt>
                <c:pt idx="9">
                  <c:v>832.6</c:v>
                </c:pt>
                <c:pt idx="10">
                  <c:v>831.6</c:v>
                </c:pt>
                <c:pt idx="11">
                  <c:v>841.9</c:v>
                </c:pt>
                <c:pt idx="12">
                  <c:v>832.2</c:v>
                </c:pt>
                <c:pt idx="13">
                  <c:v>834.5</c:v>
                </c:pt>
                <c:pt idx="17">
                  <c:v>813.3</c:v>
                </c:pt>
                <c:pt idx="18">
                  <c:v>828.1</c:v>
                </c:pt>
                <c:pt idx="19">
                  <c:v>829.5</c:v>
                </c:pt>
                <c:pt idx="20">
                  <c:v>823.9</c:v>
                </c:pt>
                <c:pt idx="21">
                  <c:v>829.6</c:v>
                </c:pt>
                <c:pt idx="22">
                  <c:v>829.7</c:v>
                </c:pt>
                <c:pt idx="26">
                  <c:v>825</c:v>
                </c:pt>
                <c:pt idx="27">
                  <c:v>829.3</c:v>
                </c:pt>
                <c:pt idx="28">
                  <c:v>827.8</c:v>
                </c:pt>
                <c:pt idx="29">
                  <c:v>829.9</c:v>
                </c:pt>
                <c:pt idx="30">
                  <c:v>831.6</c:v>
                </c:pt>
                <c:pt idx="31">
                  <c:v>831.5</c:v>
                </c:pt>
                <c:pt idx="35">
                  <c:v>806.6</c:v>
                </c:pt>
                <c:pt idx="36">
                  <c:v>813</c:v>
                </c:pt>
                <c:pt idx="37">
                  <c:v>813.5</c:v>
                </c:pt>
                <c:pt idx="38">
                  <c:v>828.5</c:v>
                </c:pt>
                <c:pt idx="42">
                  <c:v>803.7</c:v>
                </c:pt>
                <c:pt idx="43">
                  <c:v>815.4</c:v>
                </c:pt>
                <c:pt idx="44">
                  <c:v>808.3</c:v>
                </c:pt>
                <c:pt idx="45">
                  <c:v>812</c:v>
                </c:pt>
                <c:pt idx="46">
                  <c:v>815.1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78-4149-AA5B-599080A539C9}"/>
            </c:ext>
          </c:extLst>
        </c:ser>
        <c:ser>
          <c:idx val="3"/>
          <c:order val="3"/>
          <c:tx>
            <c:v>Ave texh2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All!$II$6:$II$56</c:f>
              <c:numCache>
                <c:formatCode>General</c:formatCode>
                <c:ptCount val="51"/>
                <c:pt idx="0">
                  <c:v>254.7</c:v>
                </c:pt>
                <c:pt idx="1">
                  <c:v>780.3</c:v>
                </c:pt>
                <c:pt idx="2">
                  <c:v>787.7</c:v>
                </c:pt>
                <c:pt idx="3">
                  <c:v>778.4</c:v>
                </c:pt>
                <c:pt idx="7">
                  <c:v>654</c:v>
                </c:pt>
                <c:pt idx="8">
                  <c:v>785.8</c:v>
                </c:pt>
                <c:pt idx="9">
                  <c:v>786.9</c:v>
                </c:pt>
                <c:pt idx="10">
                  <c:v>787.3</c:v>
                </c:pt>
                <c:pt idx="11">
                  <c:v>765.4</c:v>
                </c:pt>
                <c:pt idx="12">
                  <c:v>785.7</c:v>
                </c:pt>
                <c:pt idx="13">
                  <c:v>773.9</c:v>
                </c:pt>
                <c:pt idx="17">
                  <c:v>657.5</c:v>
                </c:pt>
                <c:pt idx="18">
                  <c:v>781.3</c:v>
                </c:pt>
                <c:pt idx="19">
                  <c:v>782.5</c:v>
                </c:pt>
                <c:pt idx="20">
                  <c:v>774.2</c:v>
                </c:pt>
                <c:pt idx="21">
                  <c:v>781.5</c:v>
                </c:pt>
                <c:pt idx="22">
                  <c:v>767.6</c:v>
                </c:pt>
                <c:pt idx="26">
                  <c:v>735.8</c:v>
                </c:pt>
                <c:pt idx="27">
                  <c:v>780.3</c:v>
                </c:pt>
                <c:pt idx="28">
                  <c:v>782.4</c:v>
                </c:pt>
                <c:pt idx="29">
                  <c:v>783.8</c:v>
                </c:pt>
                <c:pt idx="30">
                  <c:v>787.8</c:v>
                </c:pt>
                <c:pt idx="31">
                  <c:v>776.9</c:v>
                </c:pt>
                <c:pt idx="35">
                  <c:v>335.7</c:v>
                </c:pt>
                <c:pt idx="36">
                  <c:v>761.9</c:v>
                </c:pt>
                <c:pt idx="37">
                  <c:v>762.7</c:v>
                </c:pt>
                <c:pt idx="38">
                  <c:v>599.79999999999995</c:v>
                </c:pt>
                <c:pt idx="42">
                  <c:v>654.9</c:v>
                </c:pt>
                <c:pt idx="43">
                  <c:v>642.29999999999995</c:v>
                </c:pt>
                <c:pt idx="44">
                  <c:v>763</c:v>
                </c:pt>
                <c:pt idx="45">
                  <c:v>768.9</c:v>
                </c:pt>
                <c:pt idx="46">
                  <c:v>759.7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78-4149-AA5B-599080A53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673344"/>
        <c:axId val="1297673760"/>
      </c:scatterChart>
      <c:scatterChart>
        <c:scatterStyle val="lineMarker"/>
        <c:varyColors val="0"/>
        <c:ser>
          <c:idx val="4"/>
          <c:order val="4"/>
          <c:tx>
            <c:v>Lap-Begin Delta Texh_lapave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All!$IN$6:$IN$56</c:f>
              <c:numCache>
                <c:formatCode>General</c:formatCode>
                <c:ptCount val="51"/>
                <c:pt idx="0">
                  <c:v>11.567</c:v>
                </c:pt>
                <c:pt idx="1">
                  <c:v>11.332000000000001</c:v>
                </c:pt>
                <c:pt idx="2">
                  <c:v>12.127000000000001</c:v>
                </c:pt>
                <c:pt idx="3">
                  <c:v>13.936</c:v>
                </c:pt>
                <c:pt idx="7">
                  <c:v>13.132</c:v>
                </c:pt>
                <c:pt idx="8">
                  <c:v>14.423999999999999</c:v>
                </c:pt>
                <c:pt idx="9">
                  <c:v>11.933</c:v>
                </c:pt>
                <c:pt idx="10">
                  <c:v>13.01</c:v>
                </c:pt>
                <c:pt idx="11">
                  <c:v>14.512</c:v>
                </c:pt>
                <c:pt idx="12">
                  <c:v>13.765000000000001</c:v>
                </c:pt>
                <c:pt idx="13">
                  <c:v>14.5</c:v>
                </c:pt>
                <c:pt idx="17">
                  <c:v>16.298999999999999</c:v>
                </c:pt>
                <c:pt idx="18">
                  <c:v>13.236000000000001</c:v>
                </c:pt>
                <c:pt idx="19">
                  <c:v>12.061</c:v>
                </c:pt>
                <c:pt idx="20">
                  <c:v>12.753</c:v>
                </c:pt>
                <c:pt idx="21">
                  <c:v>11.942</c:v>
                </c:pt>
                <c:pt idx="22">
                  <c:v>16.283999999999999</c:v>
                </c:pt>
                <c:pt idx="26">
                  <c:v>13.871</c:v>
                </c:pt>
                <c:pt idx="27">
                  <c:v>11.981</c:v>
                </c:pt>
                <c:pt idx="28">
                  <c:v>12.627000000000001</c:v>
                </c:pt>
                <c:pt idx="29">
                  <c:v>13.78</c:v>
                </c:pt>
                <c:pt idx="30">
                  <c:v>13.831</c:v>
                </c:pt>
                <c:pt idx="31">
                  <c:v>16.419</c:v>
                </c:pt>
                <c:pt idx="35">
                  <c:v>21.2</c:v>
                </c:pt>
                <c:pt idx="36">
                  <c:v>10.122</c:v>
                </c:pt>
                <c:pt idx="37">
                  <c:v>12.76</c:v>
                </c:pt>
                <c:pt idx="38">
                  <c:v>13.379</c:v>
                </c:pt>
                <c:pt idx="42">
                  <c:v>14.72</c:v>
                </c:pt>
                <c:pt idx="43">
                  <c:v>12.865</c:v>
                </c:pt>
                <c:pt idx="44">
                  <c:v>9.9710000000000001</c:v>
                </c:pt>
                <c:pt idx="45">
                  <c:v>10.509</c:v>
                </c:pt>
                <c:pt idx="46">
                  <c:v>13.590999999999999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978-4149-AA5B-599080A53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6963152"/>
        <c:axId val="1265908976"/>
      </c:scatterChart>
      <c:valAx>
        <c:axId val="1297673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7673760"/>
        <c:crosses val="autoZero"/>
        <c:crossBetween val="midCat"/>
      </c:valAx>
      <c:valAx>
        <c:axId val="129767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7673344"/>
        <c:crosses val="autoZero"/>
        <c:crossBetween val="midCat"/>
      </c:valAx>
      <c:valAx>
        <c:axId val="1265908976"/>
        <c:scaling>
          <c:orientation val="minMax"/>
          <c:max val="5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6963152"/>
        <c:crosses val="max"/>
        <c:crossBetween val="midCat"/>
      </c:valAx>
      <c:valAx>
        <c:axId val="1266963152"/>
        <c:scaling>
          <c:orientation val="minMax"/>
        </c:scaling>
        <c:delete val="1"/>
        <c:axPos val="b"/>
        <c:majorTickMark val="out"/>
        <c:minorTickMark val="none"/>
        <c:tickLblPos val="nextTo"/>
        <c:crossAx val="1265908976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Catch tank level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FIA_xOilLevel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All!$IP$6:$IP$56</c:f>
              <c:numCache>
                <c:formatCode>General</c:formatCode>
                <c:ptCount val="51"/>
                <c:pt idx="0">
                  <c:v>12.92</c:v>
                </c:pt>
                <c:pt idx="1">
                  <c:v>11.07</c:v>
                </c:pt>
                <c:pt idx="2">
                  <c:v>10.5</c:v>
                </c:pt>
                <c:pt idx="3">
                  <c:v>10.79</c:v>
                </c:pt>
                <c:pt idx="7">
                  <c:v>11.2</c:v>
                </c:pt>
                <c:pt idx="8">
                  <c:v>11.1</c:v>
                </c:pt>
                <c:pt idx="9">
                  <c:v>10.97</c:v>
                </c:pt>
                <c:pt idx="10">
                  <c:v>10.81</c:v>
                </c:pt>
                <c:pt idx="11">
                  <c:v>10.94</c:v>
                </c:pt>
                <c:pt idx="12">
                  <c:v>10.9</c:v>
                </c:pt>
                <c:pt idx="13">
                  <c:v>10.71</c:v>
                </c:pt>
                <c:pt idx="17">
                  <c:v>10.75</c:v>
                </c:pt>
                <c:pt idx="18">
                  <c:v>10.65</c:v>
                </c:pt>
                <c:pt idx="19">
                  <c:v>10.46</c:v>
                </c:pt>
                <c:pt idx="20">
                  <c:v>10.42</c:v>
                </c:pt>
                <c:pt idx="21">
                  <c:v>10.41</c:v>
                </c:pt>
                <c:pt idx="22">
                  <c:v>10.44</c:v>
                </c:pt>
                <c:pt idx="26">
                  <c:v>10.42</c:v>
                </c:pt>
                <c:pt idx="27">
                  <c:v>10.39</c:v>
                </c:pt>
                <c:pt idx="28">
                  <c:v>10.37</c:v>
                </c:pt>
                <c:pt idx="29">
                  <c:v>10.199999999999999</c:v>
                </c:pt>
                <c:pt idx="30">
                  <c:v>10.3</c:v>
                </c:pt>
                <c:pt idx="31">
                  <c:v>10.210000000000001</c:v>
                </c:pt>
                <c:pt idx="35">
                  <c:v>10.52</c:v>
                </c:pt>
                <c:pt idx="36">
                  <c:v>9.99</c:v>
                </c:pt>
                <c:pt idx="37">
                  <c:v>9.91</c:v>
                </c:pt>
                <c:pt idx="38">
                  <c:v>10.039999999999999</c:v>
                </c:pt>
                <c:pt idx="42">
                  <c:v>10.119999999999999</c:v>
                </c:pt>
                <c:pt idx="43">
                  <c:v>10.11</c:v>
                </c:pt>
                <c:pt idx="44">
                  <c:v>9.94</c:v>
                </c:pt>
                <c:pt idx="45">
                  <c:v>9.85</c:v>
                </c:pt>
                <c:pt idx="46">
                  <c:v>9.9600000000000009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6A-4415-A97B-C958860FB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662528"/>
        <c:axId val="1297682080"/>
      </c:scatterChart>
      <c:valAx>
        <c:axId val="1297662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7682080"/>
        <c:crosses val="autoZero"/>
        <c:crossBetween val="midCat"/>
      </c:valAx>
      <c:valAx>
        <c:axId val="129768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7662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Battery voltage [V]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ub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All!$CG$6:$CG$56</c:f>
              <c:numCache>
                <c:formatCode>General</c:formatCode>
                <c:ptCount val="51"/>
                <c:pt idx="0">
                  <c:v>13.023</c:v>
                </c:pt>
                <c:pt idx="1">
                  <c:v>13.943</c:v>
                </c:pt>
                <c:pt idx="2">
                  <c:v>13.939</c:v>
                </c:pt>
                <c:pt idx="3">
                  <c:v>13.942</c:v>
                </c:pt>
                <c:pt idx="7">
                  <c:v>13.632999999999999</c:v>
                </c:pt>
                <c:pt idx="8">
                  <c:v>13.944000000000001</c:v>
                </c:pt>
                <c:pt idx="9">
                  <c:v>13.943</c:v>
                </c:pt>
                <c:pt idx="10">
                  <c:v>13.942</c:v>
                </c:pt>
                <c:pt idx="11">
                  <c:v>13.958</c:v>
                </c:pt>
                <c:pt idx="12">
                  <c:v>13.939</c:v>
                </c:pt>
                <c:pt idx="13">
                  <c:v>13.949</c:v>
                </c:pt>
                <c:pt idx="17">
                  <c:v>13.858000000000001</c:v>
                </c:pt>
                <c:pt idx="18">
                  <c:v>13.941000000000001</c:v>
                </c:pt>
                <c:pt idx="19">
                  <c:v>13.939</c:v>
                </c:pt>
                <c:pt idx="20">
                  <c:v>13.932</c:v>
                </c:pt>
                <c:pt idx="21">
                  <c:v>13.936</c:v>
                </c:pt>
                <c:pt idx="22">
                  <c:v>13.923</c:v>
                </c:pt>
                <c:pt idx="26">
                  <c:v>13.798</c:v>
                </c:pt>
                <c:pt idx="27">
                  <c:v>13.936999999999999</c:v>
                </c:pt>
                <c:pt idx="28">
                  <c:v>13.93</c:v>
                </c:pt>
                <c:pt idx="29">
                  <c:v>13.932</c:v>
                </c:pt>
                <c:pt idx="30">
                  <c:v>13.929</c:v>
                </c:pt>
                <c:pt idx="31">
                  <c:v>13.943</c:v>
                </c:pt>
                <c:pt idx="35">
                  <c:v>13.856999999999999</c:v>
                </c:pt>
                <c:pt idx="36">
                  <c:v>13.951000000000001</c:v>
                </c:pt>
                <c:pt idx="37">
                  <c:v>13.955</c:v>
                </c:pt>
                <c:pt idx="38">
                  <c:v>13.997999999999999</c:v>
                </c:pt>
                <c:pt idx="42">
                  <c:v>13.914999999999999</c:v>
                </c:pt>
                <c:pt idx="43">
                  <c:v>13.983000000000001</c:v>
                </c:pt>
                <c:pt idx="44">
                  <c:v>13.94</c:v>
                </c:pt>
                <c:pt idx="45">
                  <c:v>13.932</c:v>
                </c:pt>
                <c:pt idx="46">
                  <c:v>13.959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A2-4B1C-8788-607F8D339E46}"/>
            </c:ext>
          </c:extLst>
        </c:ser>
        <c:ser>
          <c:idx val="1"/>
          <c:order val="1"/>
          <c:tx>
            <c:v>Min ub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All!$CH$6:$CH$56</c:f>
              <c:numCache>
                <c:formatCode>General</c:formatCode>
                <c:ptCount val="51"/>
                <c:pt idx="0">
                  <c:v>9.9649999999999999</c:v>
                </c:pt>
                <c:pt idx="1">
                  <c:v>13.755000000000001</c:v>
                </c:pt>
                <c:pt idx="2">
                  <c:v>13.785</c:v>
                </c:pt>
                <c:pt idx="3">
                  <c:v>13.632</c:v>
                </c:pt>
                <c:pt idx="7">
                  <c:v>9.7759999999999998</c:v>
                </c:pt>
                <c:pt idx="8">
                  <c:v>13.779</c:v>
                </c:pt>
                <c:pt idx="9">
                  <c:v>13.789</c:v>
                </c:pt>
                <c:pt idx="10">
                  <c:v>13.781000000000001</c:v>
                </c:pt>
                <c:pt idx="11">
                  <c:v>13.792</c:v>
                </c:pt>
                <c:pt idx="12">
                  <c:v>13.782</c:v>
                </c:pt>
                <c:pt idx="13">
                  <c:v>13.667999999999999</c:v>
                </c:pt>
                <c:pt idx="17">
                  <c:v>10.02</c:v>
                </c:pt>
                <c:pt idx="18">
                  <c:v>13.803000000000001</c:v>
                </c:pt>
                <c:pt idx="19">
                  <c:v>13.781000000000001</c:v>
                </c:pt>
                <c:pt idx="20">
                  <c:v>13.786</c:v>
                </c:pt>
                <c:pt idx="21">
                  <c:v>13.794</c:v>
                </c:pt>
                <c:pt idx="22">
                  <c:v>10.493</c:v>
                </c:pt>
                <c:pt idx="26">
                  <c:v>9.9039999999999999</c:v>
                </c:pt>
                <c:pt idx="27">
                  <c:v>13.815</c:v>
                </c:pt>
                <c:pt idx="28">
                  <c:v>13.788</c:v>
                </c:pt>
                <c:pt idx="29">
                  <c:v>13.769</c:v>
                </c:pt>
                <c:pt idx="30">
                  <c:v>13.787000000000001</c:v>
                </c:pt>
                <c:pt idx="31">
                  <c:v>13.635999999999999</c:v>
                </c:pt>
                <c:pt idx="35">
                  <c:v>10.138999999999999</c:v>
                </c:pt>
                <c:pt idx="36">
                  <c:v>13.8</c:v>
                </c:pt>
                <c:pt idx="37">
                  <c:v>13.829000000000001</c:v>
                </c:pt>
                <c:pt idx="38">
                  <c:v>13.567</c:v>
                </c:pt>
                <c:pt idx="42">
                  <c:v>10.404999999999999</c:v>
                </c:pt>
                <c:pt idx="43">
                  <c:v>13.826000000000001</c:v>
                </c:pt>
                <c:pt idx="44">
                  <c:v>13.765000000000001</c:v>
                </c:pt>
                <c:pt idx="45">
                  <c:v>13.766999999999999</c:v>
                </c:pt>
                <c:pt idx="46">
                  <c:v>13.688000000000001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A2-4B1C-8788-607F8D33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683328"/>
        <c:axId val="1297672512"/>
      </c:scatterChart>
      <c:scatterChart>
        <c:scatterStyle val="lineMarker"/>
        <c:varyColors val="0"/>
        <c:ser>
          <c:idx val="2"/>
          <c:order val="2"/>
          <c:tx>
            <c:v>Min SOC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All!$GK$6:$GK$56</c:f>
              <c:numCache>
                <c:formatCode>General</c:formatCode>
                <c:ptCount val="51"/>
                <c:pt idx="0">
                  <c:v>77</c:v>
                </c:pt>
                <c:pt idx="1">
                  <c:v>99.5</c:v>
                </c:pt>
                <c:pt idx="2">
                  <c:v>99.5</c:v>
                </c:pt>
                <c:pt idx="3">
                  <c:v>99.5</c:v>
                </c:pt>
                <c:pt idx="7">
                  <c:v>95</c:v>
                </c:pt>
                <c:pt idx="8">
                  <c:v>99.5</c:v>
                </c:pt>
                <c:pt idx="9">
                  <c:v>99.5</c:v>
                </c:pt>
                <c:pt idx="10">
                  <c:v>99.5</c:v>
                </c:pt>
                <c:pt idx="11">
                  <c:v>99.5</c:v>
                </c:pt>
                <c:pt idx="12">
                  <c:v>99.5</c:v>
                </c:pt>
                <c:pt idx="13">
                  <c:v>99.5</c:v>
                </c:pt>
                <c:pt idx="17">
                  <c:v>97</c:v>
                </c:pt>
                <c:pt idx="18">
                  <c:v>99.5</c:v>
                </c:pt>
                <c:pt idx="19">
                  <c:v>99.5</c:v>
                </c:pt>
                <c:pt idx="20">
                  <c:v>99.5</c:v>
                </c:pt>
                <c:pt idx="21">
                  <c:v>99.5</c:v>
                </c:pt>
                <c:pt idx="22">
                  <c:v>99</c:v>
                </c:pt>
                <c:pt idx="26">
                  <c:v>97</c:v>
                </c:pt>
                <c:pt idx="27">
                  <c:v>99.5</c:v>
                </c:pt>
                <c:pt idx="28">
                  <c:v>99.5</c:v>
                </c:pt>
                <c:pt idx="29">
                  <c:v>99.5</c:v>
                </c:pt>
                <c:pt idx="30">
                  <c:v>99.5</c:v>
                </c:pt>
                <c:pt idx="31">
                  <c:v>99.5</c:v>
                </c:pt>
                <c:pt idx="35">
                  <c:v>96.5</c:v>
                </c:pt>
                <c:pt idx="36">
                  <c:v>99.5</c:v>
                </c:pt>
                <c:pt idx="37">
                  <c:v>99.5</c:v>
                </c:pt>
                <c:pt idx="38">
                  <c:v>99.5</c:v>
                </c:pt>
                <c:pt idx="42">
                  <c:v>98.5</c:v>
                </c:pt>
                <c:pt idx="43">
                  <c:v>99.5</c:v>
                </c:pt>
                <c:pt idx="44">
                  <c:v>99.5</c:v>
                </c:pt>
                <c:pt idx="45">
                  <c:v>99.5</c:v>
                </c:pt>
                <c:pt idx="46">
                  <c:v>99.5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A2-4B1C-8788-607F8D339E46}"/>
            </c:ext>
          </c:extLst>
        </c:ser>
        <c:ser>
          <c:idx val="3"/>
          <c:order val="3"/>
          <c:tx>
            <c:v>Max DeviceInfo_PowerstageCurrentSumH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All!$GL$6:$GL$56</c:f>
              <c:numCache>
                <c:formatCode>General</c:formatCode>
                <c:ptCount val="51"/>
                <c:pt idx="0">
                  <c:v>77.5</c:v>
                </c:pt>
                <c:pt idx="1">
                  <c:v>89.2</c:v>
                </c:pt>
                <c:pt idx="2">
                  <c:v>92.1</c:v>
                </c:pt>
                <c:pt idx="3">
                  <c:v>88.7</c:v>
                </c:pt>
                <c:pt idx="7">
                  <c:v>89.3</c:v>
                </c:pt>
                <c:pt idx="8">
                  <c:v>90</c:v>
                </c:pt>
                <c:pt idx="9">
                  <c:v>88.5</c:v>
                </c:pt>
                <c:pt idx="10">
                  <c:v>77.8</c:v>
                </c:pt>
                <c:pt idx="11">
                  <c:v>76</c:v>
                </c:pt>
                <c:pt idx="12">
                  <c:v>96.7</c:v>
                </c:pt>
                <c:pt idx="13">
                  <c:v>88.3</c:v>
                </c:pt>
                <c:pt idx="17">
                  <c:v>77.099999999999994</c:v>
                </c:pt>
                <c:pt idx="18">
                  <c:v>89.8</c:v>
                </c:pt>
                <c:pt idx="19">
                  <c:v>87.7</c:v>
                </c:pt>
                <c:pt idx="20">
                  <c:v>93.9</c:v>
                </c:pt>
                <c:pt idx="21">
                  <c:v>93.8</c:v>
                </c:pt>
                <c:pt idx="22">
                  <c:v>87.2</c:v>
                </c:pt>
                <c:pt idx="26">
                  <c:v>86.3</c:v>
                </c:pt>
                <c:pt idx="27">
                  <c:v>76.2</c:v>
                </c:pt>
                <c:pt idx="28">
                  <c:v>77.400000000000006</c:v>
                </c:pt>
                <c:pt idx="29">
                  <c:v>76.3</c:v>
                </c:pt>
                <c:pt idx="30">
                  <c:v>78.8</c:v>
                </c:pt>
                <c:pt idx="31">
                  <c:v>76.8</c:v>
                </c:pt>
                <c:pt idx="35">
                  <c:v>78.2</c:v>
                </c:pt>
                <c:pt idx="36">
                  <c:v>78.7</c:v>
                </c:pt>
                <c:pt idx="37">
                  <c:v>87.3</c:v>
                </c:pt>
                <c:pt idx="38">
                  <c:v>75.099999999999994</c:v>
                </c:pt>
                <c:pt idx="42">
                  <c:v>78.8</c:v>
                </c:pt>
                <c:pt idx="43">
                  <c:v>77</c:v>
                </c:pt>
                <c:pt idx="44">
                  <c:v>93.7</c:v>
                </c:pt>
                <c:pt idx="45">
                  <c:v>95.7</c:v>
                </c:pt>
                <c:pt idx="46">
                  <c:v>73.7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A2-4B1C-8788-607F8D339E46}"/>
            </c:ext>
          </c:extLst>
        </c:ser>
        <c:ser>
          <c:idx val="4"/>
          <c:order val="4"/>
          <c:tx>
            <c:v>Max DeviceInfo_PowerstageCurrentSumL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All!$GM$6:$GM$56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A2-4B1C-8788-607F8D33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139488"/>
        <c:axId val="1266969392"/>
      </c:scatterChart>
      <c:valAx>
        <c:axId val="129768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7672512"/>
        <c:crosses val="autoZero"/>
        <c:crossBetween val="midCat"/>
      </c:valAx>
      <c:valAx>
        <c:axId val="1297672512"/>
        <c:scaling>
          <c:orientation val="minMax"/>
          <c:max val="16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97683328"/>
        <c:crosses val="autoZero"/>
        <c:crossBetween val="midCat"/>
      </c:valAx>
      <c:valAx>
        <c:axId val="1266969392"/>
        <c:scaling>
          <c:orientation val="minMax"/>
          <c:max val="150"/>
          <c:min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3139488"/>
        <c:crosses val="max"/>
        <c:crossBetween val="midCat"/>
      </c:valAx>
      <c:valAx>
        <c:axId val="1213139488"/>
        <c:scaling>
          <c:orientation val="minMax"/>
        </c:scaling>
        <c:delete val="1"/>
        <c:axPos val="b"/>
        <c:majorTickMark val="out"/>
        <c:minorTickMark val="none"/>
        <c:tickLblPos val="nextTo"/>
        <c:crossAx val="1266969392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actuator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Lap-Begin Ave_E-shift_Current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All!$GN$6:$GN$56</c:f>
              <c:numCache>
                <c:formatCode>General</c:formatCode>
                <c:ptCount val="51"/>
                <c:pt idx="0">
                  <c:v>26.398</c:v>
                </c:pt>
                <c:pt idx="1">
                  <c:v>27.149000000000001</c:v>
                </c:pt>
                <c:pt idx="2">
                  <c:v>25.48</c:v>
                </c:pt>
                <c:pt idx="3">
                  <c:v>25.469000000000001</c:v>
                </c:pt>
                <c:pt idx="7">
                  <c:v>25.346</c:v>
                </c:pt>
                <c:pt idx="8">
                  <c:v>26.084</c:v>
                </c:pt>
                <c:pt idx="9">
                  <c:v>28.405999999999999</c:v>
                </c:pt>
                <c:pt idx="10">
                  <c:v>28.806000000000001</c:v>
                </c:pt>
                <c:pt idx="11">
                  <c:v>28.489000000000001</c:v>
                </c:pt>
                <c:pt idx="12">
                  <c:v>25.681999999999999</c:v>
                </c:pt>
                <c:pt idx="13">
                  <c:v>27.48</c:v>
                </c:pt>
                <c:pt idx="17">
                  <c:v>26.039000000000001</c:v>
                </c:pt>
                <c:pt idx="18">
                  <c:v>27.158999999999999</c:v>
                </c:pt>
                <c:pt idx="19">
                  <c:v>26.988</c:v>
                </c:pt>
                <c:pt idx="20">
                  <c:v>26.852</c:v>
                </c:pt>
                <c:pt idx="21">
                  <c:v>27.288</c:v>
                </c:pt>
                <c:pt idx="22">
                  <c:v>25.456</c:v>
                </c:pt>
                <c:pt idx="26">
                  <c:v>27.024999999999999</c:v>
                </c:pt>
                <c:pt idx="27">
                  <c:v>26.074999999999999</c:v>
                </c:pt>
                <c:pt idx="28">
                  <c:v>26.870999999999999</c:v>
                </c:pt>
                <c:pt idx="29">
                  <c:v>26.38</c:v>
                </c:pt>
                <c:pt idx="30">
                  <c:v>26.798999999999999</c:v>
                </c:pt>
                <c:pt idx="31">
                  <c:v>27.315999999999999</c:v>
                </c:pt>
                <c:pt idx="35">
                  <c:v>27.126000000000001</c:v>
                </c:pt>
                <c:pt idx="36">
                  <c:v>26.463999999999999</c:v>
                </c:pt>
                <c:pt idx="37">
                  <c:v>28.202000000000002</c:v>
                </c:pt>
                <c:pt idx="38">
                  <c:v>25.542999999999999</c:v>
                </c:pt>
                <c:pt idx="42">
                  <c:v>26.638000000000002</c:v>
                </c:pt>
                <c:pt idx="43">
                  <c:v>26.195</c:v>
                </c:pt>
                <c:pt idx="44">
                  <c:v>27.381</c:v>
                </c:pt>
                <c:pt idx="45">
                  <c:v>26.798999999999999</c:v>
                </c:pt>
                <c:pt idx="46">
                  <c:v>29.527999999999999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F-497F-AEEC-F37B29B80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4875616"/>
        <c:axId val="1414854816"/>
      </c:scatterChart>
      <c:valAx>
        <c:axId val="1414875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14854816"/>
        <c:crosses val="autoZero"/>
        <c:crossBetween val="midCat"/>
      </c:valAx>
      <c:valAx>
        <c:axId val="1414854816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14875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Dog to dog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time_d2d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All!$CT$6:$CT$56</c:f>
              <c:numCache>
                <c:formatCode>General</c:formatCode>
                <c:ptCount val="51"/>
                <c:pt idx="0">
                  <c:v>0.379</c:v>
                </c:pt>
                <c:pt idx="1">
                  <c:v>0.61599999999999999</c:v>
                </c:pt>
                <c:pt idx="2">
                  <c:v>0.27800000000000002</c:v>
                </c:pt>
                <c:pt idx="3">
                  <c:v>0.23200000000000001</c:v>
                </c:pt>
                <c:pt idx="7">
                  <c:v>1.3069999999999999</c:v>
                </c:pt>
                <c:pt idx="8">
                  <c:v>0.32300000000000001</c:v>
                </c:pt>
                <c:pt idx="9">
                  <c:v>0.36799999999999999</c:v>
                </c:pt>
                <c:pt idx="10">
                  <c:v>0.52200000000000002</c:v>
                </c:pt>
                <c:pt idx="11">
                  <c:v>0.308</c:v>
                </c:pt>
                <c:pt idx="12">
                  <c:v>0.22800000000000001</c:v>
                </c:pt>
                <c:pt idx="13">
                  <c:v>0.41399999999999998</c:v>
                </c:pt>
                <c:pt idx="17">
                  <c:v>0.375</c:v>
                </c:pt>
                <c:pt idx="18">
                  <c:v>0.312</c:v>
                </c:pt>
                <c:pt idx="19">
                  <c:v>0.32</c:v>
                </c:pt>
                <c:pt idx="20">
                  <c:v>0.27900000000000003</c:v>
                </c:pt>
                <c:pt idx="21">
                  <c:v>0.35199999999999998</c:v>
                </c:pt>
                <c:pt idx="22">
                  <c:v>0.23</c:v>
                </c:pt>
                <c:pt idx="26">
                  <c:v>0.627</c:v>
                </c:pt>
                <c:pt idx="27">
                  <c:v>0.33600000000000002</c:v>
                </c:pt>
                <c:pt idx="28">
                  <c:v>0.35499999999999998</c:v>
                </c:pt>
                <c:pt idx="29">
                  <c:v>0.33600000000000002</c:v>
                </c:pt>
                <c:pt idx="30">
                  <c:v>0.28399999999999997</c:v>
                </c:pt>
                <c:pt idx="31">
                  <c:v>0.246</c:v>
                </c:pt>
                <c:pt idx="35">
                  <c:v>0.34899999999999998</c:v>
                </c:pt>
                <c:pt idx="36">
                  <c:v>0.32400000000000001</c:v>
                </c:pt>
                <c:pt idx="37">
                  <c:v>0.504</c:v>
                </c:pt>
                <c:pt idx="38">
                  <c:v>0.22700000000000001</c:v>
                </c:pt>
                <c:pt idx="42">
                  <c:v>0.373</c:v>
                </c:pt>
                <c:pt idx="43">
                  <c:v>0.33600000000000002</c:v>
                </c:pt>
                <c:pt idx="44">
                  <c:v>0.29499999999999998</c:v>
                </c:pt>
                <c:pt idx="45">
                  <c:v>0.27700000000000002</c:v>
                </c:pt>
                <c:pt idx="46">
                  <c:v>0.496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F3-4EAC-B9C1-42FCFF58C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8458464"/>
        <c:axId val="1288458880"/>
      </c:scatterChart>
      <c:valAx>
        <c:axId val="1288458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88458880"/>
        <c:crosses val="autoZero"/>
        <c:crossBetween val="midCat"/>
      </c:valAx>
      <c:valAx>
        <c:axId val="128845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88458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EPS motor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eps_motor_cur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All!$ER$6:$ER$56</c:f>
              <c:numCache>
                <c:formatCode>General</c:formatCode>
                <c:ptCount val="51"/>
                <c:pt idx="0">
                  <c:v>91.608000000000004</c:v>
                </c:pt>
                <c:pt idx="1">
                  <c:v>81.825999999999993</c:v>
                </c:pt>
                <c:pt idx="2">
                  <c:v>104.018</c:v>
                </c:pt>
                <c:pt idx="3">
                  <c:v>102.85</c:v>
                </c:pt>
                <c:pt idx="7">
                  <c:v>107.81399999999999</c:v>
                </c:pt>
                <c:pt idx="8">
                  <c:v>92.921999999999997</c:v>
                </c:pt>
                <c:pt idx="9">
                  <c:v>101.098</c:v>
                </c:pt>
                <c:pt idx="10">
                  <c:v>104.31</c:v>
                </c:pt>
                <c:pt idx="11">
                  <c:v>99.638000000000005</c:v>
                </c:pt>
                <c:pt idx="12">
                  <c:v>132.63399999999999</c:v>
                </c:pt>
                <c:pt idx="13">
                  <c:v>102.26600000000001</c:v>
                </c:pt>
                <c:pt idx="17">
                  <c:v>83.286000000000001</c:v>
                </c:pt>
                <c:pt idx="18">
                  <c:v>105.77</c:v>
                </c:pt>
                <c:pt idx="19">
                  <c:v>100.22199999999999</c:v>
                </c:pt>
                <c:pt idx="20">
                  <c:v>101.682</c:v>
                </c:pt>
                <c:pt idx="21">
                  <c:v>113.654</c:v>
                </c:pt>
                <c:pt idx="22">
                  <c:v>88.542000000000002</c:v>
                </c:pt>
                <c:pt idx="26">
                  <c:v>135.262</c:v>
                </c:pt>
                <c:pt idx="27">
                  <c:v>106.646</c:v>
                </c:pt>
                <c:pt idx="28">
                  <c:v>121.83</c:v>
                </c:pt>
                <c:pt idx="29">
                  <c:v>141.97800000000001</c:v>
                </c:pt>
                <c:pt idx="30">
                  <c:v>116.282</c:v>
                </c:pt>
                <c:pt idx="31">
                  <c:v>97.885999999999996</c:v>
                </c:pt>
                <c:pt idx="35">
                  <c:v>142.27000000000001</c:v>
                </c:pt>
                <c:pt idx="36">
                  <c:v>99.93</c:v>
                </c:pt>
                <c:pt idx="37">
                  <c:v>100.806</c:v>
                </c:pt>
                <c:pt idx="38">
                  <c:v>63.722000000000001</c:v>
                </c:pt>
                <c:pt idx="42">
                  <c:v>73.650000000000006</c:v>
                </c:pt>
                <c:pt idx="43">
                  <c:v>92.63</c:v>
                </c:pt>
                <c:pt idx="44">
                  <c:v>92.337999999999994</c:v>
                </c:pt>
                <c:pt idx="45">
                  <c:v>108.982</c:v>
                </c:pt>
                <c:pt idx="46">
                  <c:v>84.453999999999994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4A-41F0-B479-E8844A7C895A}"/>
            </c:ext>
          </c:extLst>
        </c:ser>
        <c:ser>
          <c:idx val="1"/>
          <c:order val="1"/>
          <c:tx>
            <c:v>Ave eps_motor_cur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All!$EQ$6:$EQ$56</c:f>
              <c:numCache>
                <c:formatCode>General</c:formatCode>
                <c:ptCount val="51"/>
                <c:pt idx="0">
                  <c:v>-0.21099999999999999</c:v>
                </c:pt>
                <c:pt idx="1">
                  <c:v>-2.6019999999999999</c:v>
                </c:pt>
                <c:pt idx="2">
                  <c:v>-2.468</c:v>
                </c:pt>
                <c:pt idx="3">
                  <c:v>-2.363</c:v>
                </c:pt>
                <c:pt idx="7">
                  <c:v>-1.1559999999999999</c:v>
                </c:pt>
                <c:pt idx="8">
                  <c:v>-2.6920000000000002</c:v>
                </c:pt>
                <c:pt idx="9">
                  <c:v>-2.5049999999999999</c:v>
                </c:pt>
                <c:pt idx="10">
                  <c:v>-2.29</c:v>
                </c:pt>
                <c:pt idx="11">
                  <c:v>-1.448</c:v>
                </c:pt>
                <c:pt idx="12">
                  <c:v>-2.2309999999999999</c:v>
                </c:pt>
                <c:pt idx="13">
                  <c:v>-2.2290000000000001</c:v>
                </c:pt>
                <c:pt idx="17">
                  <c:v>-0.52100000000000002</c:v>
                </c:pt>
                <c:pt idx="18">
                  <c:v>-2.423</c:v>
                </c:pt>
                <c:pt idx="19">
                  <c:v>-2.613</c:v>
                </c:pt>
                <c:pt idx="20">
                  <c:v>-2.3410000000000002</c:v>
                </c:pt>
                <c:pt idx="21">
                  <c:v>-2.2759999999999998</c:v>
                </c:pt>
                <c:pt idx="22">
                  <c:v>-1.7989999999999999</c:v>
                </c:pt>
                <c:pt idx="26">
                  <c:v>-1.0549999999999999</c:v>
                </c:pt>
                <c:pt idx="27">
                  <c:v>-2.512</c:v>
                </c:pt>
                <c:pt idx="28">
                  <c:v>-3.1680000000000001</c:v>
                </c:pt>
                <c:pt idx="29">
                  <c:v>-2.8580000000000001</c:v>
                </c:pt>
                <c:pt idx="30">
                  <c:v>-3.089</c:v>
                </c:pt>
                <c:pt idx="31">
                  <c:v>-2.2130000000000001</c:v>
                </c:pt>
                <c:pt idx="35">
                  <c:v>-0.375</c:v>
                </c:pt>
                <c:pt idx="36">
                  <c:v>-2.6909999999999998</c:v>
                </c:pt>
                <c:pt idx="37">
                  <c:v>-2.6829999999999998</c:v>
                </c:pt>
                <c:pt idx="38">
                  <c:v>-0.223</c:v>
                </c:pt>
                <c:pt idx="42">
                  <c:v>-1.07</c:v>
                </c:pt>
                <c:pt idx="43">
                  <c:v>-0.379</c:v>
                </c:pt>
                <c:pt idx="44">
                  <c:v>-3.1539999999999999</c:v>
                </c:pt>
                <c:pt idx="45">
                  <c:v>-2.8740000000000001</c:v>
                </c:pt>
                <c:pt idx="46">
                  <c:v>-2.504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4A-41F0-B479-E8844A7C895A}"/>
            </c:ext>
          </c:extLst>
        </c:ser>
        <c:ser>
          <c:idx val="2"/>
          <c:order val="2"/>
          <c:tx>
            <c:v>Min eps_motor_cur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All!$EP$6:$EP$56</c:f>
              <c:numCache>
                <c:formatCode>General</c:formatCode>
                <c:ptCount val="51"/>
                <c:pt idx="0">
                  <c:v>-97.608000000000004</c:v>
                </c:pt>
                <c:pt idx="1">
                  <c:v>-125.494</c:v>
                </c:pt>
                <c:pt idx="2">
                  <c:v>-119.946</c:v>
                </c:pt>
                <c:pt idx="3">
                  <c:v>-118.486</c:v>
                </c:pt>
                <c:pt idx="7">
                  <c:v>-108.85</c:v>
                </c:pt>
                <c:pt idx="8">
                  <c:v>-104.178</c:v>
                </c:pt>
                <c:pt idx="9">
                  <c:v>-114.398</c:v>
                </c:pt>
                <c:pt idx="10">
                  <c:v>-105.054</c:v>
                </c:pt>
                <c:pt idx="11">
                  <c:v>-107.682</c:v>
                </c:pt>
                <c:pt idx="12">
                  <c:v>-111.77</c:v>
                </c:pt>
                <c:pt idx="13">
                  <c:v>-110.602</c:v>
                </c:pt>
                <c:pt idx="17">
                  <c:v>-109.142</c:v>
                </c:pt>
                <c:pt idx="18">
                  <c:v>-103.01</c:v>
                </c:pt>
                <c:pt idx="19">
                  <c:v>-105.346</c:v>
                </c:pt>
                <c:pt idx="20">
                  <c:v>-103.59399999999999</c:v>
                </c:pt>
                <c:pt idx="21">
                  <c:v>-102.134</c:v>
                </c:pt>
                <c:pt idx="22">
                  <c:v>-99.798000000000002</c:v>
                </c:pt>
                <c:pt idx="26">
                  <c:v>-102.426</c:v>
                </c:pt>
                <c:pt idx="27">
                  <c:v>-101.258</c:v>
                </c:pt>
                <c:pt idx="28">
                  <c:v>-108.55800000000001</c:v>
                </c:pt>
                <c:pt idx="29">
                  <c:v>-105.93</c:v>
                </c:pt>
                <c:pt idx="30">
                  <c:v>-102.718</c:v>
                </c:pt>
                <c:pt idx="31">
                  <c:v>-100.38200000000001</c:v>
                </c:pt>
                <c:pt idx="35">
                  <c:v>-107.682</c:v>
                </c:pt>
                <c:pt idx="36">
                  <c:v>-98.63</c:v>
                </c:pt>
                <c:pt idx="37">
                  <c:v>-106.22199999999999</c:v>
                </c:pt>
                <c:pt idx="38">
                  <c:v>-62.421999999999997</c:v>
                </c:pt>
                <c:pt idx="42">
                  <c:v>-97.462000000000003</c:v>
                </c:pt>
                <c:pt idx="43">
                  <c:v>-124.61799999999999</c:v>
                </c:pt>
                <c:pt idx="44">
                  <c:v>-119.946</c:v>
                </c:pt>
                <c:pt idx="45">
                  <c:v>-108.26600000000001</c:v>
                </c:pt>
                <c:pt idx="46">
                  <c:v>-98.63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4A-41F0-B479-E8844A7C895A}"/>
            </c:ext>
          </c:extLst>
        </c:ser>
        <c:ser>
          <c:idx val="3"/>
          <c:order val="3"/>
          <c:tx>
            <c:v>Max abs_EPS_Motor_Current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All!$GO$6:$GO$56</c:f>
              <c:numCache>
                <c:formatCode>General</c:formatCode>
                <c:ptCount val="51"/>
                <c:pt idx="0">
                  <c:v>97.608000000000004</c:v>
                </c:pt>
                <c:pt idx="1">
                  <c:v>125.494</c:v>
                </c:pt>
                <c:pt idx="2">
                  <c:v>119.946</c:v>
                </c:pt>
                <c:pt idx="3">
                  <c:v>118.486</c:v>
                </c:pt>
                <c:pt idx="7">
                  <c:v>108.85</c:v>
                </c:pt>
                <c:pt idx="8">
                  <c:v>104.178</c:v>
                </c:pt>
                <c:pt idx="9">
                  <c:v>114.398</c:v>
                </c:pt>
                <c:pt idx="10">
                  <c:v>105.054</c:v>
                </c:pt>
                <c:pt idx="11">
                  <c:v>107.682</c:v>
                </c:pt>
                <c:pt idx="12">
                  <c:v>132.63399999999999</c:v>
                </c:pt>
                <c:pt idx="13">
                  <c:v>110.602</c:v>
                </c:pt>
                <c:pt idx="17">
                  <c:v>109.142</c:v>
                </c:pt>
                <c:pt idx="18">
                  <c:v>105.77</c:v>
                </c:pt>
                <c:pt idx="19">
                  <c:v>105.346</c:v>
                </c:pt>
                <c:pt idx="20">
                  <c:v>103.59399999999999</c:v>
                </c:pt>
                <c:pt idx="21">
                  <c:v>113.654</c:v>
                </c:pt>
                <c:pt idx="22">
                  <c:v>99.798000000000002</c:v>
                </c:pt>
                <c:pt idx="26">
                  <c:v>135.262</c:v>
                </c:pt>
                <c:pt idx="27">
                  <c:v>106.646</c:v>
                </c:pt>
                <c:pt idx="28">
                  <c:v>121.83</c:v>
                </c:pt>
                <c:pt idx="29">
                  <c:v>141.97800000000001</c:v>
                </c:pt>
                <c:pt idx="30">
                  <c:v>116.282</c:v>
                </c:pt>
                <c:pt idx="31">
                  <c:v>100.38200000000001</c:v>
                </c:pt>
                <c:pt idx="35">
                  <c:v>142.27000000000001</c:v>
                </c:pt>
                <c:pt idx="36">
                  <c:v>99.93</c:v>
                </c:pt>
                <c:pt idx="37">
                  <c:v>106.22199999999999</c:v>
                </c:pt>
                <c:pt idx="38">
                  <c:v>63.722000000000001</c:v>
                </c:pt>
                <c:pt idx="42">
                  <c:v>97.462000000000003</c:v>
                </c:pt>
                <c:pt idx="43">
                  <c:v>124.61799999999999</c:v>
                </c:pt>
                <c:pt idx="44">
                  <c:v>119.946</c:v>
                </c:pt>
                <c:pt idx="45">
                  <c:v>108.982</c:v>
                </c:pt>
                <c:pt idx="46">
                  <c:v>98.63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4A-41F0-B479-E8844A7C89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353488"/>
        <c:axId val="1404351824"/>
      </c:scatterChart>
      <c:valAx>
        <c:axId val="1404353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4351824"/>
        <c:crosses val="autoZero"/>
        <c:crossBetween val="midCat"/>
      </c:valAx>
      <c:valAx>
        <c:axId val="140435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4353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pumps_1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cu_fuel_lift_01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All!$GQ$6:$GQ$56</c:f>
              <c:numCache>
                <c:formatCode>General</c:formatCode>
                <c:ptCount val="51"/>
                <c:pt idx="0">
                  <c:v>5.782</c:v>
                </c:pt>
                <c:pt idx="1">
                  <c:v>1.9470000000000001</c:v>
                </c:pt>
                <c:pt idx="2">
                  <c:v>1.8879999999999999</c:v>
                </c:pt>
                <c:pt idx="3">
                  <c:v>1.9470000000000001</c:v>
                </c:pt>
                <c:pt idx="7">
                  <c:v>4.13</c:v>
                </c:pt>
                <c:pt idx="8">
                  <c:v>1.9470000000000001</c:v>
                </c:pt>
                <c:pt idx="9">
                  <c:v>1.9470000000000001</c:v>
                </c:pt>
                <c:pt idx="10">
                  <c:v>1.9470000000000001</c:v>
                </c:pt>
                <c:pt idx="11">
                  <c:v>1.9470000000000001</c:v>
                </c:pt>
                <c:pt idx="12">
                  <c:v>1.9470000000000001</c:v>
                </c:pt>
                <c:pt idx="13">
                  <c:v>1.9470000000000001</c:v>
                </c:pt>
                <c:pt idx="17">
                  <c:v>3.3039999999999998</c:v>
                </c:pt>
                <c:pt idx="18">
                  <c:v>1.9470000000000001</c:v>
                </c:pt>
                <c:pt idx="19">
                  <c:v>1.9470000000000001</c:v>
                </c:pt>
                <c:pt idx="20">
                  <c:v>1.9470000000000001</c:v>
                </c:pt>
                <c:pt idx="21">
                  <c:v>1.9470000000000001</c:v>
                </c:pt>
                <c:pt idx="22">
                  <c:v>5.6050000000000004</c:v>
                </c:pt>
                <c:pt idx="26">
                  <c:v>4.0119999999999996</c:v>
                </c:pt>
                <c:pt idx="27">
                  <c:v>1.9470000000000001</c:v>
                </c:pt>
                <c:pt idx="28">
                  <c:v>1.9470000000000001</c:v>
                </c:pt>
                <c:pt idx="29">
                  <c:v>1.9470000000000001</c:v>
                </c:pt>
                <c:pt idx="30">
                  <c:v>1.9470000000000001</c:v>
                </c:pt>
                <c:pt idx="31">
                  <c:v>1.9470000000000001</c:v>
                </c:pt>
                <c:pt idx="35">
                  <c:v>4.0119999999999996</c:v>
                </c:pt>
                <c:pt idx="36">
                  <c:v>2.0649999999999999</c:v>
                </c:pt>
                <c:pt idx="37">
                  <c:v>1.9470000000000001</c:v>
                </c:pt>
                <c:pt idx="38">
                  <c:v>1.9470000000000001</c:v>
                </c:pt>
                <c:pt idx="42">
                  <c:v>4.5430000000000001</c:v>
                </c:pt>
                <c:pt idx="43">
                  <c:v>1.9470000000000001</c:v>
                </c:pt>
                <c:pt idx="44">
                  <c:v>1.9470000000000001</c:v>
                </c:pt>
                <c:pt idx="45">
                  <c:v>1.8879999999999999</c:v>
                </c:pt>
                <c:pt idx="46">
                  <c:v>1.8879999999999999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BD-4698-82D9-32E10525922D}"/>
            </c:ext>
          </c:extLst>
        </c:ser>
        <c:ser>
          <c:idx val="1"/>
          <c:order val="1"/>
          <c:tx>
            <c:v>Ave cu_fuel_lift_01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All!$ES$6:$ES$56</c:f>
              <c:numCache>
                <c:formatCode>General</c:formatCode>
                <c:ptCount val="51"/>
                <c:pt idx="0">
                  <c:v>0.36399999999999999</c:v>
                </c:pt>
                <c:pt idx="1">
                  <c:v>1.583</c:v>
                </c:pt>
                <c:pt idx="2">
                  <c:v>1.577</c:v>
                </c:pt>
                <c:pt idx="3">
                  <c:v>1.5229999999999999</c:v>
                </c:pt>
                <c:pt idx="7">
                  <c:v>1.3620000000000001</c:v>
                </c:pt>
                <c:pt idx="8">
                  <c:v>1.5609999999999999</c:v>
                </c:pt>
                <c:pt idx="9">
                  <c:v>1.524</c:v>
                </c:pt>
                <c:pt idx="10">
                  <c:v>1.478</c:v>
                </c:pt>
                <c:pt idx="11">
                  <c:v>1.4990000000000001</c:v>
                </c:pt>
                <c:pt idx="12">
                  <c:v>1.462</c:v>
                </c:pt>
                <c:pt idx="13">
                  <c:v>1.452</c:v>
                </c:pt>
                <c:pt idx="17">
                  <c:v>1.4379999999999999</c:v>
                </c:pt>
                <c:pt idx="18">
                  <c:v>1.415</c:v>
                </c:pt>
                <c:pt idx="19">
                  <c:v>1.373</c:v>
                </c:pt>
                <c:pt idx="20">
                  <c:v>1.3420000000000001</c:v>
                </c:pt>
                <c:pt idx="21">
                  <c:v>1.288</c:v>
                </c:pt>
                <c:pt idx="22">
                  <c:v>0.95199999999999996</c:v>
                </c:pt>
                <c:pt idx="26">
                  <c:v>1.4730000000000001</c:v>
                </c:pt>
                <c:pt idx="27">
                  <c:v>1.6</c:v>
                </c:pt>
                <c:pt idx="28">
                  <c:v>1.5680000000000001</c:v>
                </c:pt>
                <c:pt idx="29">
                  <c:v>1.536</c:v>
                </c:pt>
                <c:pt idx="30">
                  <c:v>1.494</c:v>
                </c:pt>
                <c:pt idx="31">
                  <c:v>1.524</c:v>
                </c:pt>
                <c:pt idx="35">
                  <c:v>0.23400000000000001</c:v>
                </c:pt>
                <c:pt idx="36">
                  <c:v>1.474</c:v>
                </c:pt>
                <c:pt idx="37">
                  <c:v>1.458</c:v>
                </c:pt>
                <c:pt idx="38">
                  <c:v>1.5660000000000001</c:v>
                </c:pt>
                <c:pt idx="42">
                  <c:v>1.399</c:v>
                </c:pt>
                <c:pt idx="43">
                  <c:v>1.534</c:v>
                </c:pt>
                <c:pt idx="44">
                  <c:v>1.345</c:v>
                </c:pt>
                <c:pt idx="45">
                  <c:v>1.298</c:v>
                </c:pt>
                <c:pt idx="46">
                  <c:v>1.042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BD-4698-82D9-32E10525922D}"/>
            </c:ext>
          </c:extLst>
        </c:ser>
        <c:ser>
          <c:idx val="2"/>
          <c:order val="2"/>
          <c:tx>
            <c:v>Min cu_fuel_lift_01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All!$GP$6:$GP$56</c:f>
              <c:numCache>
                <c:formatCode>General</c:formatCode>
                <c:ptCount val="51"/>
                <c:pt idx="0">
                  <c:v>0</c:v>
                </c:pt>
                <c:pt idx="1">
                  <c:v>1.2390000000000001</c:v>
                </c:pt>
                <c:pt idx="2">
                  <c:v>1.0620000000000001</c:v>
                </c:pt>
                <c:pt idx="3">
                  <c:v>0</c:v>
                </c:pt>
                <c:pt idx="7">
                  <c:v>0</c:v>
                </c:pt>
                <c:pt idx="8">
                  <c:v>1.0029999999999999</c:v>
                </c:pt>
                <c:pt idx="9">
                  <c:v>0.82599999999999996</c:v>
                </c:pt>
                <c:pt idx="10">
                  <c:v>0.53100000000000003</c:v>
                </c:pt>
                <c:pt idx="11">
                  <c:v>0.53100000000000003</c:v>
                </c:pt>
                <c:pt idx="12">
                  <c:v>0.64900000000000002</c:v>
                </c:pt>
                <c:pt idx="13">
                  <c:v>0</c:v>
                </c:pt>
                <c:pt idx="17">
                  <c:v>0</c:v>
                </c:pt>
                <c:pt idx="18">
                  <c:v>0.35399999999999998</c:v>
                </c:pt>
                <c:pt idx="19">
                  <c:v>0.35399999999999998</c:v>
                </c:pt>
                <c:pt idx="20">
                  <c:v>0.35399999999999998</c:v>
                </c:pt>
                <c:pt idx="21">
                  <c:v>0.29499999999999998</c:v>
                </c:pt>
                <c:pt idx="22">
                  <c:v>0</c:v>
                </c:pt>
                <c:pt idx="26">
                  <c:v>0</c:v>
                </c:pt>
                <c:pt idx="27">
                  <c:v>1.121</c:v>
                </c:pt>
                <c:pt idx="28">
                  <c:v>1.0029999999999999</c:v>
                </c:pt>
                <c:pt idx="29">
                  <c:v>0.88500000000000001</c:v>
                </c:pt>
                <c:pt idx="30">
                  <c:v>0.53100000000000003</c:v>
                </c:pt>
                <c:pt idx="31">
                  <c:v>0</c:v>
                </c:pt>
                <c:pt idx="35">
                  <c:v>0</c:v>
                </c:pt>
                <c:pt idx="36">
                  <c:v>0.53100000000000003</c:v>
                </c:pt>
                <c:pt idx="37">
                  <c:v>0.53100000000000003</c:v>
                </c:pt>
                <c:pt idx="38">
                  <c:v>0</c:v>
                </c:pt>
                <c:pt idx="42">
                  <c:v>0</c:v>
                </c:pt>
                <c:pt idx="43">
                  <c:v>0.53100000000000003</c:v>
                </c:pt>
                <c:pt idx="44">
                  <c:v>0.35399999999999998</c:v>
                </c:pt>
                <c:pt idx="45">
                  <c:v>0.29499999999999998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BD-4698-82D9-32E105259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0315008"/>
        <c:axId val="1409329296"/>
      </c:scatterChart>
      <c:valAx>
        <c:axId val="1220315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9329296"/>
        <c:crosses val="autoZero"/>
        <c:crossBetween val="midCat"/>
      </c:valAx>
      <c:valAx>
        <c:axId val="1409329296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0315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pumps_2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cu_fuel_lift_02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All!$GS$6:$GS$56</c:f>
              <c:numCache>
                <c:formatCode>General</c:formatCode>
                <c:ptCount val="51"/>
                <c:pt idx="0">
                  <c:v>6.0179999999999998</c:v>
                </c:pt>
                <c:pt idx="1">
                  <c:v>2.0059999999999998</c:v>
                </c:pt>
                <c:pt idx="2">
                  <c:v>2.0059999999999998</c:v>
                </c:pt>
                <c:pt idx="3">
                  <c:v>2.0059999999999998</c:v>
                </c:pt>
                <c:pt idx="7">
                  <c:v>4.0119999999999996</c:v>
                </c:pt>
                <c:pt idx="8">
                  <c:v>2.0059999999999998</c:v>
                </c:pt>
                <c:pt idx="9">
                  <c:v>2.0059999999999998</c:v>
                </c:pt>
                <c:pt idx="10">
                  <c:v>2.0059999999999998</c:v>
                </c:pt>
                <c:pt idx="11">
                  <c:v>2.0059999999999998</c:v>
                </c:pt>
                <c:pt idx="12">
                  <c:v>2.0059999999999998</c:v>
                </c:pt>
                <c:pt idx="13">
                  <c:v>1.9470000000000001</c:v>
                </c:pt>
                <c:pt idx="17">
                  <c:v>3.4220000000000002</c:v>
                </c:pt>
                <c:pt idx="18">
                  <c:v>2.0059999999999998</c:v>
                </c:pt>
                <c:pt idx="19">
                  <c:v>2.0059999999999998</c:v>
                </c:pt>
                <c:pt idx="20">
                  <c:v>1.9470000000000001</c:v>
                </c:pt>
                <c:pt idx="21">
                  <c:v>1.9470000000000001</c:v>
                </c:pt>
                <c:pt idx="22">
                  <c:v>5.3689999999999998</c:v>
                </c:pt>
                <c:pt idx="26">
                  <c:v>4.5430000000000001</c:v>
                </c:pt>
                <c:pt idx="27">
                  <c:v>2.0059999999999998</c:v>
                </c:pt>
                <c:pt idx="28">
                  <c:v>2.0059999999999998</c:v>
                </c:pt>
                <c:pt idx="29">
                  <c:v>2.0059999999999998</c:v>
                </c:pt>
                <c:pt idx="30">
                  <c:v>2.0059999999999998</c:v>
                </c:pt>
                <c:pt idx="31">
                  <c:v>2.0059999999999998</c:v>
                </c:pt>
                <c:pt idx="35">
                  <c:v>4.5430000000000001</c:v>
                </c:pt>
                <c:pt idx="36">
                  <c:v>2.0059999999999998</c:v>
                </c:pt>
                <c:pt idx="37">
                  <c:v>2.0059999999999998</c:v>
                </c:pt>
                <c:pt idx="38">
                  <c:v>2.0059999999999998</c:v>
                </c:pt>
                <c:pt idx="42">
                  <c:v>4.8970000000000002</c:v>
                </c:pt>
                <c:pt idx="43">
                  <c:v>2.0059999999999998</c:v>
                </c:pt>
                <c:pt idx="44">
                  <c:v>2.0059999999999998</c:v>
                </c:pt>
                <c:pt idx="45">
                  <c:v>2.0059999999999998</c:v>
                </c:pt>
                <c:pt idx="46">
                  <c:v>1.9470000000000001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3A-489A-908B-BCC3870FEB79}"/>
            </c:ext>
          </c:extLst>
        </c:ser>
        <c:ser>
          <c:idx val="1"/>
          <c:order val="1"/>
          <c:tx>
            <c:v>Ave cu_fuel_lift_02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All!$ET$6:$ET$56</c:f>
              <c:numCache>
                <c:formatCode>General</c:formatCode>
                <c:ptCount val="51"/>
                <c:pt idx="0">
                  <c:v>0.38100000000000001</c:v>
                </c:pt>
                <c:pt idx="1">
                  <c:v>1.647</c:v>
                </c:pt>
                <c:pt idx="2">
                  <c:v>1.6539999999999999</c:v>
                </c:pt>
                <c:pt idx="3">
                  <c:v>1.6220000000000001</c:v>
                </c:pt>
                <c:pt idx="7">
                  <c:v>1.4079999999999999</c:v>
                </c:pt>
                <c:pt idx="8">
                  <c:v>1.653</c:v>
                </c:pt>
                <c:pt idx="9">
                  <c:v>1.6559999999999999</c:v>
                </c:pt>
                <c:pt idx="10">
                  <c:v>1.6579999999999999</c:v>
                </c:pt>
                <c:pt idx="11">
                  <c:v>1.6559999999999999</c:v>
                </c:pt>
                <c:pt idx="12">
                  <c:v>1.629</c:v>
                </c:pt>
                <c:pt idx="13">
                  <c:v>1.6080000000000001</c:v>
                </c:pt>
                <c:pt idx="17">
                  <c:v>1.55</c:v>
                </c:pt>
                <c:pt idx="18">
                  <c:v>1.5760000000000001</c:v>
                </c:pt>
                <c:pt idx="19">
                  <c:v>1.51</c:v>
                </c:pt>
                <c:pt idx="20">
                  <c:v>1.431</c:v>
                </c:pt>
                <c:pt idx="21">
                  <c:v>1.3169999999999999</c:v>
                </c:pt>
                <c:pt idx="22">
                  <c:v>0.94399999999999995</c:v>
                </c:pt>
                <c:pt idx="26">
                  <c:v>1.4970000000000001</c:v>
                </c:pt>
                <c:pt idx="27">
                  <c:v>1.639</c:v>
                </c:pt>
                <c:pt idx="28">
                  <c:v>1.643</c:v>
                </c:pt>
                <c:pt idx="29">
                  <c:v>1.64</c:v>
                </c:pt>
                <c:pt idx="30">
                  <c:v>1.6439999999999999</c:v>
                </c:pt>
                <c:pt idx="31">
                  <c:v>1.629</c:v>
                </c:pt>
                <c:pt idx="35">
                  <c:v>0.253</c:v>
                </c:pt>
                <c:pt idx="36">
                  <c:v>1.6240000000000001</c:v>
                </c:pt>
                <c:pt idx="37">
                  <c:v>1.603</c:v>
                </c:pt>
                <c:pt idx="38">
                  <c:v>1.651</c:v>
                </c:pt>
                <c:pt idx="42">
                  <c:v>1.494</c:v>
                </c:pt>
                <c:pt idx="43">
                  <c:v>1.6419999999999999</c:v>
                </c:pt>
                <c:pt idx="44">
                  <c:v>1.4750000000000001</c:v>
                </c:pt>
                <c:pt idx="45">
                  <c:v>1.355</c:v>
                </c:pt>
                <c:pt idx="46">
                  <c:v>1.04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3A-489A-908B-BCC3870FEB79}"/>
            </c:ext>
          </c:extLst>
        </c:ser>
        <c:ser>
          <c:idx val="2"/>
          <c:order val="2"/>
          <c:tx>
            <c:v>Min cu_fuel_lift_02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All!$GR$6:$GR$56</c:f>
              <c:numCache>
                <c:formatCode>General</c:formatCode>
                <c:ptCount val="51"/>
                <c:pt idx="0">
                  <c:v>0</c:v>
                </c:pt>
                <c:pt idx="1">
                  <c:v>1.298</c:v>
                </c:pt>
                <c:pt idx="2">
                  <c:v>1.298</c:v>
                </c:pt>
                <c:pt idx="3">
                  <c:v>0</c:v>
                </c:pt>
                <c:pt idx="7">
                  <c:v>0</c:v>
                </c:pt>
                <c:pt idx="8">
                  <c:v>1.298</c:v>
                </c:pt>
                <c:pt idx="9">
                  <c:v>1.298</c:v>
                </c:pt>
                <c:pt idx="10">
                  <c:v>1.121</c:v>
                </c:pt>
                <c:pt idx="11">
                  <c:v>0.94399999999999995</c:v>
                </c:pt>
                <c:pt idx="12">
                  <c:v>0.82599999999999996</c:v>
                </c:pt>
                <c:pt idx="13">
                  <c:v>0</c:v>
                </c:pt>
                <c:pt idx="17">
                  <c:v>0</c:v>
                </c:pt>
                <c:pt idx="18">
                  <c:v>0.59</c:v>
                </c:pt>
                <c:pt idx="19">
                  <c:v>0.53100000000000003</c:v>
                </c:pt>
                <c:pt idx="20">
                  <c:v>0.53100000000000003</c:v>
                </c:pt>
                <c:pt idx="21">
                  <c:v>0.47199999999999998</c:v>
                </c:pt>
                <c:pt idx="22">
                  <c:v>0</c:v>
                </c:pt>
                <c:pt idx="26">
                  <c:v>0</c:v>
                </c:pt>
                <c:pt idx="27">
                  <c:v>1.298</c:v>
                </c:pt>
                <c:pt idx="28">
                  <c:v>1.298</c:v>
                </c:pt>
                <c:pt idx="29">
                  <c:v>1.298</c:v>
                </c:pt>
                <c:pt idx="30">
                  <c:v>1.298</c:v>
                </c:pt>
                <c:pt idx="31">
                  <c:v>0</c:v>
                </c:pt>
                <c:pt idx="35">
                  <c:v>0</c:v>
                </c:pt>
                <c:pt idx="36">
                  <c:v>0.82599999999999996</c:v>
                </c:pt>
                <c:pt idx="37">
                  <c:v>0.59</c:v>
                </c:pt>
                <c:pt idx="38">
                  <c:v>0</c:v>
                </c:pt>
                <c:pt idx="42">
                  <c:v>0</c:v>
                </c:pt>
                <c:pt idx="43">
                  <c:v>0.59</c:v>
                </c:pt>
                <c:pt idx="44">
                  <c:v>0.53100000000000003</c:v>
                </c:pt>
                <c:pt idx="45">
                  <c:v>0.35399999999999998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3A-489A-908B-BCC3870FE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7404384"/>
        <c:axId val="1417408128"/>
      </c:scatterChart>
      <c:valAx>
        <c:axId val="141740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17408128"/>
        <c:crosses val="autoZero"/>
        <c:crossBetween val="midCat"/>
      </c:valAx>
      <c:valAx>
        <c:axId val="1417408128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1740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pumps_3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cu_fuel_hp_pwm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All!$GU$6:$GU$56</c:f>
              <c:numCache>
                <c:formatCode>General</c:formatCode>
                <c:ptCount val="51"/>
                <c:pt idx="0">
                  <c:v>5.6050000000000004</c:v>
                </c:pt>
                <c:pt idx="1">
                  <c:v>1.829</c:v>
                </c:pt>
                <c:pt idx="2">
                  <c:v>1.829</c:v>
                </c:pt>
                <c:pt idx="3">
                  <c:v>1.8879999999999999</c:v>
                </c:pt>
                <c:pt idx="7">
                  <c:v>3.7170000000000001</c:v>
                </c:pt>
                <c:pt idx="8">
                  <c:v>1.829</c:v>
                </c:pt>
                <c:pt idx="9">
                  <c:v>1.8879999999999999</c:v>
                </c:pt>
                <c:pt idx="10">
                  <c:v>1.8879999999999999</c:v>
                </c:pt>
                <c:pt idx="11">
                  <c:v>1.829</c:v>
                </c:pt>
                <c:pt idx="12">
                  <c:v>1.829</c:v>
                </c:pt>
                <c:pt idx="13">
                  <c:v>1.829</c:v>
                </c:pt>
                <c:pt idx="17">
                  <c:v>3.1859999999999999</c:v>
                </c:pt>
                <c:pt idx="18">
                  <c:v>1.8879999999999999</c:v>
                </c:pt>
                <c:pt idx="19">
                  <c:v>1.8879999999999999</c:v>
                </c:pt>
                <c:pt idx="20">
                  <c:v>1.8879999999999999</c:v>
                </c:pt>
                <c:pt idx="21">
                  <c:v>1.8879999999999999</c:v>
                </c:pt>
                <c:pt idx="22">
                  <c:v>4.8380000000000001</c:v>
                </c:pt>
                <c:pt idx="26">
                  <c:v>4.4249999999999998</c:v>
                </c:pt>
                <c:pt idx="27">
                  <c:v>1.8879999999999999</c:v>
                </c:pt>
                <c:pt idx="28">
                  <c:v>1.8879999999999999</c:v>
                </c:pt>
                <c:pt idx="29">
                  <c:v>1.8879999999999999</c:v>
                </c:pt>
                <c:pt idx="30">
                  <c:v>1.8879999999999999</c:v>
                </c:pt>
                <c:pt idx="31">
                  <c:v>1.8879999999999999</c:v>
                </c:pt>
                <c:pt idx="35">
                  <c:v>4.0709999999999997</c:v>
                </c:pt>
                <c:pt idx="36">
                  <c:v>1.8879999999999999</c:v>
                </c:pt>
                <c:pt idx="37">
                  <c:v>1.8879999999999999</c:v>
                </c:pt>
                <c:pt idx="38">
                  <c:v>1.9470000000000001</c:v>
                </c:pt>
                <c:pt idx="42">
                  <c:v>4.3659999999999997</c:v>
                </c:pt>
                <c:pt idx="43">
                  <c:v>1.9470000000000001</c:v>
                </c:pt>
                <c:pt idx="44">
                  <c:v>1.8879999999999999</c:v>
                </c:pt>
                <c:pt idx="45">
                  <c:v>1.8879999999999999</c:v>
                </c:pt>
                <c:pt idx="46">
                  <c:v>1.8879999999999999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DF-4504-89F3-E9145D540EE2}"/>
            </c:ext>
          </c:extLst>
        </c:ser>
        <c:ser>
          <c:idx val="1"/>
          <c:order val="1"/>
          <c:tx>
            <c:v>Ave cu_fuel_hp_pwm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All!$EU$6:$EU$56</c:f>
              <c:numCache>
                <c:formatCode>General</c:formatCode>
                <c:ptCount val="51"/>
                <c:pt idx="0">
                  <c:v>0.35599999999999998</c:v>
                </c:pt>
                <c:pt idx="1">
                  <c:v>1.5720000000000001</c:v>
                </c:pt>
                <c:pt idx="2">
                  <c:v>1.526</c:v>
                </c:pt>
                <c:pt idx="3">
                  <c:v>1.4510000000000001</c:v>
                </c:pt>
                <c:pt idx="7">
                  <c:v>1.3120000000000001</c:v>
                </c:pt>
                <c:pt idx="8">
                  <c:v>1.484</c:v>
                </c:pt>
                <c:pt idx="9">
                  <c:v>1.4610000000000001</c:v>
                </c:pt>
                <c:pt idx="10">
                  <c:v>1.4330000000000001</c:v>
                </c:pt>
                <c:pt idx="11">
                  <c:v>1.46</c:v>
                </c:pt>
                <c:pt idx="12">
                  <c:v>1.407</c:v>
                </c:pt>
                <c:pt idx="13">
                  <c:v>1.4079999999999999</c:v>
                </c:pt>
                <c:pt idx="17">
                  <c:v>1.4019999999999999</c:v>
                </c:pt>
                <c:pt idx="18">
                  <c:v>1.38</c:v>
                </c:pt>
                <c:pt idx="19">
                  <c:v>1.3240000000000001</c:v>
                </c:pt>
                <c:pt idx="20">
                  <c:v>1.258</c:v>
                </c:pt>
                <c:pt idx="21">
                  <c:v>1.1279999999999999</c:v>
                </c:pt>
                <c:pt idx="22">
                  <c:v>0.78300000000000003</c:v>
                </c:pt>
                <c:pt idx="26">
                  <c:v>1.448</c:v>
                </c:pt>
                <c:pt idx="27">
                  <c:v>1.573</c:v>
                </c:pt>
                <c:pt idx="28">
                  <c:v>1.5169999999999999</c:v>
                </c:pt>
                <c:pt idx="29">
                  <c:v>1.4870000000000001</c:v>
                </c:pt>
                <c:pt idx="30">
                  <c:v>1.4570000000000001</c:v>
                </c:pt>
                <c:pt idx="31">
                  <c:v>1.4690000000000001</c:v>
                </c:pt>
                <c:pt idx="35">
                  <c:v>0.22600000000000001</c:v>
                </c:pt>
                <c:pt idx="36">
                  <c:v>1.4379999999999999</c:v>
                </c:pt>
                <c:pt idx="37">
                  <c:v>1.45</c:v>
                </c:pt>
                <c:pt idx="38">
                  <c:v>1.554</c:v>
                </c:pt>
                <c:pt idx="42">
                  <c:v>1.3859999999999999</c:v>
                </c:pt>
                <c:pt idx="43">
                  <c:v>1.526</c:v>
                </c:pt>
                <c:pt idx="44">
                  <c:v>1.294</c:v>
                </c:pt>
                <c:pt idx="45">
                  <c:v>1.1639999999999999</c:v>
                </c:pt>
                <c:pt idx="46">
                  <c:v>0.874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DF-4504-89F3-E9145D540EE2}"/>
            </c:ext>
          </c:extLst>
        </c:ser>
        <c:ser>
          <c:idx val="2"/>
          <c:order val="2"/>
          <c:tx>
            <c:v>Min cu_fuel_hp_pwm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All!$GT$6:$GT$56</c:f>
              <c:numCache>
                <c:formatCode>General</c:formatCode>
                <c:ptCount val="51"/>
                <c:pt idx="0">
                  <c:v>0</c:v>
                </c:pt>
                <c:pt idx="1">
                  <c:v>1.2390000000000001</c:v>
                </c:pt>
                <c:pt idx="2">
                  <c:v>1.0029999999999999</c:v>
                </c:pt>
                <c:pt idx="3">
                  <c:v>0</c:v>
                </c:pt>
                <c:pt idx="7">
                  <c:v>0</c:v>
                </c:pt>
                <c:pt idx="8">
                  <c:v>0.82599999999999996</c:v>
                </c:pt>
                <c:pt idx="9">
                  <c:v>0.76700000000000002</c:v>
                </c:pt>
                <c:pt idx="10">
                  <c:v>0.70799999999999996</c:v>
                </c:pt>
                <c:pt idx="11">
                  <c:v>0.70799999999999996</c:v>
                </c:pt>
                <c:pt idx="12">
                  <c:v>0.53100000000000003</c:v>
                </c:pt>
                <c:pt idx="13">
                  <c:v>0</c:v>
                </c:pt>
                <c:pt idx="17">
                  <c:v>0</c:v>
                </c:pt>
                <c:pt idx="18">
                  <c:v>0.53100000000000003</c:v>
                </c:pt>
                <c:pt idx="19">
                  <c:v>0.53100000000000003</c:v>
                </c:pt>
                <c:pt idx="20">
                  <c:v>0.41299999999999998</c:v>
                </c:pt>
                <c:pt idx="21">
                  <c:v>0.41299999999999998</c:v>
                </c:pt>
                <c:pt idx="22">
                  <c:v>0</c:v>
                </c:pt>
                <c:pt idx="26">
                  <c:v>0</c:v>
                </c:pt>
                <c:pt idx="27">
                  <c:v>1.0620000000000001</c:v>
                </c:pt>
                <c:pt idx="28">
                  <c:v>0.94399999999999995</c:v>
                </c:pt>
                <c:pt idx="29">
                  <c:v>0.76700000000000002</c:v>
                </c:pt>
                <c:pt idx="30">
                  <c:v>0.76700000000000002</c:v>
                </c:pt>
                <c:pt idx="31">
                  <c:v>0</c:v>
                </c:pt>
                <c:pt idx="35">
                  <c:v>0</c:v>
                </c:pt>
                <c:pt idx="36">
                  <c:v>0.70799999999999996</c:v>
                </c:pt>
                <c:pt idx="37">
                  <c:v>0.59</c:v>
                </c:pt>
                <c:pt idx="38">
                  <c:v>0</c:v>
                </c:pt>
                <c:pt idx="42">
                  <c:v>0</c:v>
                </c:pt>
                <c:pt idx="43">
                  <c:v>0.64900000000000002</c:v>
                </c:pt>
                <c:pt idx="44">
                  <c:v>0.53100000000000003</c:v>
                </c:pt>
                <c:pt idx="45">
                  <c:v>0.41299999999999998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DF-4504-89F3-E9145D540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284176"/>
        <c:axId val="1263289584"/>
      </c:scatterChart>
      <c:valAx>
        <c:axId val="1263284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3289584"/>
        <c:crosses val="autoZero"/>
        <c:crossBetween val="midCat"/>
      </c:valAx>
      <c:valAx>
        <c:axId val="1263289584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3284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mid pumps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cu_fuel_hp_01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All!$GV$6:$GV$56</c:f>
              <c:numCache>
                <c:formatCode>General</c:formatCode>
                <c:ptCount val="51"/>
                <c:pt idx="0">
                  <c:v>0</c:v>
                </c:pt>
                <c:pt idx="1">
                  <c:v>12.74</c:v>
                </c:pt>
                <c:pt idx="2">
                  <c:v>12.74</c:v>
                </c:pt>
                <c:pt idx="3">
                  <c:v>0</c:v>
                </c:pt>
                <c:pt idx="7">
                  <c:v>0</c:v>
                </c:pt>
                <c:pt idx="8">
                  <c:v>13.034000000000001</c:v>
                </c:pt>
                <c:pt idx="9">
                  <c:v>12.936</c:v>
                </c:pt>
                <c:pt idx="10">
                  <c:v>13.034000000000001</c:v>
                </c:pt>
                <c:pt idx="11">
                  <c:v>12.837999999999999</c:v>
                </c:pt>
                <c:pt idx="12">
                  <c:v>12.544</c:v>
                </c:pt>
                <c:pt idx="13">
                  <c:v>0</c:v>
                </c:pt>
                <c:pt idx="17">
                  <c:v>0</c:v>
                </c:pt>
                <c:pt idx="18">
                  <c:v>13.132</c:v>
                </c:pt>
                <c:pt idx="19">
                  <c:v>13.132</c:v>
                </c:pt>
                <c:pt idx="20">
                  <c:v>12.936</c:v>
                </c:pt>
                <c:pt idx="21">
                  <c:v>12.936</c:v>
                </c:pt>
                <c:pt idx="22">
                  <c:v>0</c:v>
                </c:pt>
                <c:pt idx="26">
                  <c:v>0</c:v>
                </c:pt>
                <c:pt idx="27">
                  <c:v>12.544</c:v>
                </c:pt>
                <c:pt idx="28">
                  <c:v>13.034000000000001</c:v>
                </c:pt>
                <c:pt idx="29">
                  <c:v>12.837999999999999</c:v>
                </c:pt>
                <c:pt idx="30">
                  <c:v>12.936</c:v>
                </c:pt>
                <c:pt idx="31">
                  <c:v>0</c:v>
                </c:pt>
                <c:pt idx="35">
                  <c:v>0</c:v>
                </c:pt>
                <c:pt idx="36">
                  <c:v>12.837999999999999</c:v>
                </c:pt>
                <c:pt idx="37">
                  <c:v>12.74</c:v>
                </c:pt>
                <c:pt idx="38">
                  <c:v>0</c:v>
                </c:pt>
                <c:pt idx="42">
                  <c:v>0</c:v>
                </c:pt>
                <c:pt idx="43">
                  <c:v>13.034000000000001</c:v>
                </c:pt>
                <c:pt idx="44">
                  <c:v>12.936</c:v>
                </c:pt>
                <c:pt idx="45">
                  <c:v>13.034000000000001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63-4D35-A77A-417DB1ACEF1E}"/>
            </c:ext>
          </c:extLst>
        </c:ser>
        <c:ser>
          <c:idx val="1"/>
          <c:order val="1"/>
          <c:tx>
            <c:v>Ave cu_fuel_hp_01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All!$GW$6:$GW$56</c:f>
              <c:numCache>
                <c:formatCode>General</c:formatCode>
                <c:ptCount val="51"/>
                <c:pt idx="0">
                  <c:v>3.0880000000000001</c:v>
                </c:pt>
                <c:pt idx="1">
                  <c:v>14.051</c:v>
                </c:pt>
                <c:pt idx="2">
                  <c:v>14.023</c:v>
                </c:pt>
                <c:pt idx="3">
                  <c:v>13.83</c:v>
                </c:pt>
                <c:pt idx="7">
                  <c:v>12.161</c:v>
                </c:pt>
                <c:pt idx="8">
                  <c:v>14.074</c:v>
                </c:pt>
                <c:pt idx="9">
                  <c:v>14.084</c:v>
                </c:pt>
                <c:pt idx="10">
                  <c:v>14.063000000000001</c:v>
                </c:pt>
                <c:pt idx="11">
                  <c:v>14.127000000000001</c:v>
                </c:pt>
                <c:pt idx="12">
                  <c:v>14.07</c:v>
                </c:pt>
                <c:pt idx="13">
                  <c:v>13.986000000000001</c:v>
                </c:pt>
                <c:pt idx="17">
                  <c:v>13.35</c:v>
                </c:pt>
                <c:pt idx="18">
                  <c:v>14.12</c:v>
                </c:pt>
                <c:pt idx="19">
                  <c:v>14.124000000000001</c:v>
                </c:pt>
                <c:pt idx="20">
                  <c:v>14.144</c:v>
                </c:pt>
                <c:pt idx="21">
                  <c:v>14.148999999999999</c:v>
                </c:pt>
                <c:pt idx="22">
                  <c:v>13.939</c:v>
                </c:pt>
                <c:pt idx="26">
                  <c:v>12.914999999999999</c:v>
                </c:pt>
                <c:pt idx="27">
                  <c:v>14.058999999999999</c:v>
                </c:pt>
                <c:pt idx="28">
                  <c:v>14.044</c:v>
                </c:pt>
                <c:pt idx="29">
                  <c:v>14.010999999999999</c:v>
                </c:pt>
                <c:pt idx="30">
                  <c:v>13.977</c:v>
                </c:pt>
                <c:pt idx="31">
                  <c:v>13.827</c:v>
                </c:pt>
                <c:pt idx="35">
                  <c:v>2.145</c:v>
                </c:pt>
                <c:pt idx="36">
                  <c:v>13.926</c:v>
                </c:pt>
                <c:pt idx="37">
                  <c:v>13.954000000000001</c:v>
                </c:pt>
                <c:pt idx="38">
                  <c:v>14.068</c:v>
                </c:pt>
                <c:pt idx="42">
                  <c:v>12.797000000000001</c:v>
                </c:pt>
                <c:pt idx="43">
                  <c:v>14.199</c:v>
                </c:pt>
                <c:pt idx="44">
                  <c:v>14.055999999999999</c:v>
                </c:pt>
                <c:pt idx="45">
                  <c:v>14.074</c:v>
                </c:pt>
                <c:pt idx="46">
                  <c:v>14.022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63-4D35-A77A-417DB1ACEF1E}"/>
            </c:ext>
          </c:extLst>
        </c:ser>
        <c:ser>
          <c:idx val="2"/>
          <c:order val="2"/>
          <c:tx>
            <c:v>Max cu_fuel_hp_01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All!$GX$6:$GX$56</c:f>
              <c:numCache>
                <c:formatCode>General</c:formatCode>
                <c:ptCount val="51"/>
                <c:pt idx="0">
                  <c:v>24.99</c:v>
                </c:pt>
                <c:pt idx="1">
                  <c:v>15.385999999999999</c:v>
                </c:pt>
                <c:pt idx="2">
                  <c:v>15.19</c:v>
                </c:pt>
                <c:pt idx="3">
                  <c:v>16.170000000000002</c:v>
                </c:pt>
                <c:pt idx="7">
                  <c:v>22.54</c:v>
                </c:pt>
                <c:pt idx="8">
                  <c:v>15.385999999999999</c:v>
                </c:pt>
                <c:pt idx="9">
                  <c:v>15.68</c:v>
                </c:pt>
                <c:pt idx="10">
                  <c:v>15.092000000000001</c:v>
                </c:pt>
                <c:pt idx="11">
                  <c:v>15.484</c:v>
                </c:pt>
                <c:pt idx="12">
                  <c:v>15.385999999999999</c:v>
                </c:pt>
                <c:pt idx="13">
                  <c:v>15.974</c:v>
                </c:pt>
                <c:pt idx="17">
                  <c:v>17.934000000000001</c:v>
                </c:pt>
                <c:pt idx="18">
                  <c:v>15.875999999999999</c:v>
                </c:pt>
                <c:pt idx="19">
                  <c:v>15.19</c:v>
                </c:pt>
                <c:pt idx="20">
                  <c:v>15.484</c:v>
                </c:pt>
                <c:pt idx="21">
                  <c:v>16.071999999999999</c:v>
                </c:pt>
                <c:pt idx="22">
                  <c:v>15.875999999999999</c:v>
                </c:pt>
                <c:pt idx="26">
                  <c:v>22.05</c:v>
                </c:pt>
                <c:pt idx="27">
                  <c:v>15.385999999999999</c:v>
                </c:pt>
                <c:pt idx="28">
                  <c:v>15.385999999999999</c:v>
                </c:pt>
                <c:pt idx="29">
                  <c:v>15.875999999999999</c:v>
                </c:pt>
                <c:pt idx="30">
                  <c:v>15.582000000000001</c:v>
                </c:pt>
                <c:pt idx="31">
                  <c:v>15.19</c:v>
                </c:pt>
                <c:pt idx="35">
                  <c:v>22.54</c:v>
                </c:pt>
                <c:pt idx="36">
                  <c:v>14.994</c:v>
                </c:pt>
                <c:pt idx="37">
                  <c:v>15.19</c:v>
                </c:pt>
                <c:pt idx="38">
                  <c:v>16.170000000000002</c:v>
                </c:pt>
                <c:pt idx="42">
                  <c:v>20.09</c:v>
                </c:pt>
                <c:pt idx="43">
                  <c:v>16.366</c:v>
                </c:pt>
                <c:pt idx="44">
                  <c:v>15.974</c:v>
                </c:pt>
                <c:pt idx="45">
                  <c:v>15.19</c:v>
                </c:pt>
                <c:pt idx="46">
                  <c:v>15.484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63-4D35-A77A-417DB1ACEF1E}"/>
            </c:ext>
          </c:extLst>
        </c:ser>
        <c:ser>
          <c:idx val="3"/>
          <c:order val="3"/>
          <c:tx>
            <c:v>Min cu_fuel_hp_02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All!$GY$6:$GY$56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63-4D35-A77A-417DB1ACEF1E}"/>
            </c:ext>
          </c:extLst>
        </c:ser>
        <c:ser>
          <c:idx val="4"/>
          <c:order val="4"/>
          <c:tx>
            <c:v>Ave cu_fuel_hp_02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All!$GZ$6:$GZ$56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863-4D35-A77A-417DB1ACEF1E}"/>
            </c:ext>
          </c:extLst>
        </c:ser>
        <c:ser>
          <c:idx val="5"/>
          <c:order val="5"/>
          <c:tx>
            <c:v>Max cu_fuel_hp_02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All!$HA$6:$HA$56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863-4D35-A77A-417DB1ACE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136576"/>
        <c:axId val="1213138240"/>
      </c:scatterChart>
      <c:valAx>
        <c:axId val="121313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3138240"/>
        <c:crosses val="autoZero"/>
        <c:crossBetween val="midCat"/>
      </c:valAx>
      <c:valAx>
        <c:axId val="1213138240"/>
        <c:scaling>
          <c:orientation val="minMax"/>
          <c:max val="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3136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Cockpit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FIA_TCockpit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All!$BS$6:$BS$56</c:f>
              <c:numCache>
                <c:formatCode>General</c:formatCode>
                <c:ptCount val="51"/>
                <c:pt idx="0">
                  <c:v>23.8</c:v>
                </c:pt>
                <c:pt idx="1">
                  <c:v>26.7</c:v>
                </c:pt>
                <c:pt idx="2">
                  <c:v>27.6</c:v>
                </c:pt>
                <c:pt idx="3">
                  <c:v>28.3</c:v>
                </c:pt>
                <c:pt idx="7">
                  <c:v>28.5</c:v>
                </c:pt>
                <c:pt idx="8">
                  <c:v>28.9</c:v>
                </c:pt>
                <c:pt idx="9">
                  <c:v>29.1</c:v>
                </c:pt>
                <c:pt idx="10">
                  <c:v>29.1</c:v>
                </c:pt>
                <c:pt idx="11">
                  <c:v>29</c:v>
                </c:pt>
                <c:pt idx="12">
                  <c:v>29.1</c:v>
                </c:pt>
                <c:pt idx="13">
                  <c:v>29.3</c:v>
                </c:pt>
                <c:pt idx="17">
                  <c:v>28.9</c:v>
                </c:pt>
                <c:pt idx="18">
                  <c:v>29</c:v>
                </c:pt>
                <c:pt idx="19">
                  <c:v>29.1</c:v>
                </c:pt>
                <c:pt idx="20">
                  <c:v>29.5</c:v>
                </c:pt>
                <c:pt idx="21">
                  <c:v>29.7</c:v>
                </c:pt>
                <c:pt idx="22">
                  <c:v>29.5</c:v>
                </c:pt>
                <c:pt idx="26">
                  <c:v>28.9</c:v>
                </c:pt>
                <c:pt idx="27">
                  <c:v>29.1</c:v>
                </c:pt>
                <c:pt idx="28">
                  <c:v>29.2</c:v>
                </c:pt>
                <c:pt idx="29">
                  <c:v>29.2</c:v>
                </c:pt>
                <c:pt idx="30">
                  <c:v>29.1</c:v>
                </c:pt>
                <c:pt idx="31">
                  <c:v>29.2</c:v>
                </c:pt>
                <c:pt idx="35">
                  <c:v>25.9</c:v>
                </c:pt>
                <c:pt idx="36">
                  <c:v>27.7</c:v>
                </c:pt>
                <c:pt idx="37">
                  <c:v>28</c:v>
                </c:pt>
                <c:pt idx="38">
                  <c:v>27.5</c:v>
                </c:pt>
                <c:pt idx="42">
                  <c:v>27.4</c:v>
                </c:pt>
                <c:pt idx="43">
                  <c:v>27.3</c:v>
                </c:pt>
                <c:pt idx="44">
                  <c:v>27.7</c:v>
                </c:pt>
                <c:pt idx="45">
                  <c:v>28.2</c:v>
                </c:pt>
                <c:pt idx="46">
                  <c:v>28.3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27-4171-B895-E386C2439947}"/>
            </c:ext>
          </c:extLst>
        </c:ser>
        <c:ser>
          <c:idx val="2"/>
          <c:order val="2"/>
          <c:tx>
            <c:v>Ave cu_out_fan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All!$FB$6:$FB$56</c:f>
              <c:numCache>
                <c:formatCode>General</c:formatCode>
                <c:ptCount val="51"/>
                <c:pt idx="0">
                  <c:v>1.718</c:v>
                </c:pt>
                <c:pt idx="1">
                  <c:v>9.1120000000000001</c:v>
                </c:pt>
                <c:pt idx="2">
                  <c:v>9.1669999999999998</c:v>
                </c:pt>
                <c:pt idx="3">
                  <c:v>9.2319999999999993</c:v>
                </c:pt>
                <c:pt idx="7">
                  <c:v>8.99</c:v>
                </c:pt>
                <c:pt idx="8">
                  <c:v>9.1739999999999995</c:v>
                </c:pt>
                <c:pt idx="9">
                  <c:v>9.2059999999999995</c:v>
                </c:pt>
                <c:pt idx="10">
                  <c:v>9.2100000000000009</c:v>
                </c:pt>
                <c:pt idx="11">
                  <c:v>9.2810000000000006</c:v>
                </c:pt>
                <c:pt idx="12">
                  <c:v>9.1920000000000002</c:v>
                </c:pt>
                <c:pt idx="13">
                  <c:v>9.2520000000000007</c:v>
                </c:pt>
                <c:pt idx="17">
                  <c:v>9.3059999999999992</c:v>
                </c:pt>
                <c:pt idx="18">
                  <c:v>9.1829999999999998</c:v>
                </c:pt>
                <c:pt idx="19">
                  <c:v>9.1660000000000004</c:v>
                </c:pt>
                <c:pt idx="20">
                  <c:v>9.1679999999999993</c:v>
                </c:pt>
                <c:pt idx="21">
                  <c:v>9.157</c:v>
                </c:pt>
                <c:pt idx="22">
                  <c:v>9.1999999999999993</c:v>
                </c:pt>
                <c:pt idx="26">
                  <c:v>8.327</c:v>
                </c:pt>
                <c:pt idx="27">
                  <c:v>9.16</c:v>
                </c:pt>
                <c:pt idx="28">
                  <c:v>9.1259999999999994</c:v>
                </c:pt>
                <c:pt idx="29">
                  <c:v>9.2040000000000006</c:v>
                </c:pt>
                <c:pt idx="30">
                  <c:v>9.1630000000000003</c:v>
                </c:pt>
                <c:pt idx="31">
                  <c:v>9.1560000000000006</c:v>
                </c:pt>
                <c:pt idx="35">
                  <c:v>1.3740000000000001</c:v>
                </c:pt>
                <c:pt idx="36">
                  <c:v>9.09</c:v>
                </c:pt>
                <c:pt idx="37">
                  <c:v>9.1890000000000001</c:v>
                </c:pt>
                <c:pt idx="38">
                  <c:v>9.4550000000000001</c:v>
                </c:pt>
                <c:pt idx="42">
                  <c:v>8.7449999999999992</c:v>
                </c:pt>
                <c:pt idx="43">
                  <c:v>9.4269999999999996</c:v>
                </c:pt>
                <c:pt idx="44">
                  <c:v>9.1959999999999997</c:v>
                </c:pt>
                <c:pt idx="45">
                  <c:v>9.1780000000000008</c:v>
                </c:pt>
                <c:pt idx="46">
                  <c:v>9.2479999999999993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27-4171-B895-E386C2439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721840"/>
        <c:axId val="1263722672"/>
      </c:scatterChart>
      <c:scatterChart>
        <c:scatterStyle val="lineMarker"/>
        <c:varyColors val="0"/>
        <c:ser>
          <c:idx val="1"/>
          <c:order val="1"/>
          <c:tx>
            <c:v>Ave Delta_Amb_TCockpit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All!$EJ$6:$EJ$56</c:f>
              <c:numCache>
                <c:formatCode>General</c:formatCode>
                <c:ptCount val="51"/>
                <c:pt idx="0">
                  <c:v>2.2799999999999998</c:v>
                </c:pt>
                <c:pt idx="1">
                  <c:v>4.1360000000000001</c:v>
                </c:pt>
                <c:pt idx="2">
                  <c:v>5.4169999999999998</c:v>
                </c:pt>
                <c:pt idx="3">
                  <c:v>5.9390000000000001</c:v>
                </c:pt>
                <c:pt idx="7">
                  <c:v>5.1420000000000003</c:v>
                </c:pt>
                <c:pt idx="8">
                  <c:v>6.1529999999999996</c:v>
                </c:pt>
                <c:pt idx="9">
                  <c:v>6.3570000000000002</c:v>
                </c:pt>
                <c:pt idx="10">
                  <c:v>6.81</c:v>
                </c:pt>
                <c:pt idx="11">
                  <c:v>6.7290000000000001</c:v>
                </c:pt>
                <c:pt idx="12">
                  <c:v>6.3979999999999997</c:v>
                </c:pt>
                <c:pt idx="13">
                  <c:v>6.633</c:v>
                </c:pt>
                <c:pt idx="17">
                  <c:v>7.4349999999999996</c:v>
                </c:pt>
                <c:pt idx="18">
                  <c:v>7.1289999999999996</c:v>
                </c:pt>
                <c:pt idx="19">
                  <c:v>7.1580000000000004</c:v>
                </c:pt>
                <c:pt idx="20">
                  <c:v>6.5380000000000003</c:v>
                </c:pt>
                <c:pt idx="21">
                  <c:v>7.3520000000000003</c:v>
                </c:pt>
                <c:pt idx="22">
                  <c:v>7.3440000000000003</c:v>
                </c:pt>
                <c:pt idx="26">
                  <c:v>6.9</c:v>
                </c:pt>
                <c:pt idx="27">
                  <c:v>6.976</c:v>
                </c:pt>
                <c:pt idx="28">
                  <c:v>7.2939999999999996</c:v>
                </c:pt>
                <c:pt idx="29">
                  <c:v>7.3159999999999998</c:v>
                </c:pt>
                <c:pt idx="30">
                  <c:v>7.0919999999999996</c:v>
                </c:pt>
                <c:pt idx="31">
                  <c:v>7.3179999999999996</c:v>
                </c:pt>
                <c:pt idx="35">
                  <c:v>4.8289999999999997</c:v>
                </c:pt>
                <c:pt idx="36">
                  <c:v>5.5839999999999996</c:v>
                </c:pt>
                <c:pt idx="37">
                  <c:v>6.5279999999999996</c:v>
                </c:pt>
                <c:pt idx="38">
                  <c:v>6.5289999999999999</c:v>
                </c:pt>
                <c:pt idx="42">
                  <c:v>5.9589999999999996</c:v>
                </c:pt>
                <c:pt idx="43">
                  <c:v>6.3929999999999998</c:v>
                </c:pt>
                <c:pt idx="44">
                  <c:v>6.2889999999999997</c:v>
                </c:pt>
                <c:pt idx="45">
                  <c:v>6.4649999999999999</c:v>
                </c:pt>
                <c:pt idx="46">
                  <c:v>6.7039999999999997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27-4171-B895-E386C2439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16528"/>
        <c:axId val="1267218192"/>
      </c:scatterChart>
      <c:valAx>
        <c:axId val="126372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3722672"/>
        <c:crosses val="autoZero"/>
        <c:crossBetween val="midCat"/>
      </c:valAx>
      <c:valAx>
        <c:axId val="1263722672"/>
        <c:scaling>
          <c:orientation val="minMax"/>
          <c:max val="4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3721840"/>
        <c:crosses val="autoZero"/>
        <c:crossBetween val="midCat"/>
      </c:valAx>
      <c:valAx>
        <c:axId val="1267218192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7216528"/>
        <c:crosses val="max"/>
        <c:crossBetween val="midCat"/>
      </c:valAx>
      <c:valAx>
        <c:axId val="1267216528"/>
        <c:scaling>
          <c:orientation val="minMax"/>
        </c:scaling>
        <c:delete val="1"/>
        <c:axPos val="b"/>
        <c:majorTickMark val="out"/>
        <c:minorTickMark val="none"/>
        <c:tickLblPos val="nextTo"/>
        <c:crossAx val="1267218192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Alternator diagnostics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Alternator_Error_State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All!$HB$6:$HB$56</c:f>
              <c:numCache>
                <c:formatCode>General</c:formatCode>
                <c:ptCount val="5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73-42A6-A686-A9D405DD0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917712"/>
        <c:axId val="1265918128"/>
      </c:scatterChart>
      <c:scatterChart>
        <c:scatterStyle val="lineMarker"/>
        <c:varyColors val="0"/>
        <c:ser>
          <c:idx val="1"/>
          <c:order val="1"/>
          <c:tx>
            <c:v>Ave altco_gb_DutyCycle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All!$HC$6:$HC$56</c:f>
              <c:numCache>
                <c:formatCode>General</c:formatCode>
                <c:ptCount val="51"/>
                <c:pt idx="0">
                  <c:v>19.847000000000001</c:v>
                </c:pt>
                <c:pt idx="1">
                  <c:v>24.309000000000001</c:v>
                </c:pt>
                <c:pt idx="2">
                  <c:v>23.974</c:v>
                </c:pt>
                <c:pt idx="3">
                  <c:v>23.864999999999998</c:v>
                </c:pt>
                <c:pt idx="7">
                  <c:v>27.405999999999999</c:v>
                </c:pt>
                <c:pt idx="8">
                  <c:v>23.37</c:v>
                </c:pt>
                <c:pt idx="9">
                  <c:v>23.276</c:v>
                </c:pt>
                <c:pt idx="10">
                  <c:v>23.283000000000001</c:v>
                </c:pt>
                <c:pt idx="11">
                  <c:v>23.105</c:v>
                </c:pt>
                <c:pt idx="12">
                  <c:v>23.369</c:v>
                </c:pt>
                <c:pt idx="13">
                  <c:v>23.29</c:v>
                </c:pt>
                <c:pt idx="17">
                  <c:v>24.971</c:v>
                </c:pt>
                <c:pt idx="18">
                  <c:v>23.175999999999998</c:v>
                </c:pt>
                <c:pt idx="19">
                  <c:v>23.146999999999998</c:v>
                </c:pt>
                <c:pt idx="20">
                  <c:v>23.507999999999999</c:v>
                </c:pt>
                <c:pt idx="21">
                  <c:v>23.285</c:v>
                </c:pt>
                <c:pt idx="22">
                  <c:v>22.715</c:v>
                </c:pt>
                <c:pt idx="26">
                  <c:v>25.673999999999999</c:v>
                </c:pt>
                <c:pt idx="27">
                  <c:v>23.475999999999999</c:v>
                </c:pt>
                <c:pt idx="28">
                  <c:v>23.616</c:v>
                </c:pt>
                <c:pt idx="29">
                  <c:v>23.626000000000001</c:v>
                </c:pt>
                <c:pt idx="30">
                  <c:v>23.696000000000002</c:v>
                </c:pt>
                <c:pt idx="31">
                  <c:v>23.64</c:v>
                </c:pt>
                <c:pt idx="35">
                  <c:v>16.163</c:v>
                </c:pt>
                <c:pt idx="36">
                  <c:v>23.097999999999999</c:v>
                </c:pt>
                <c:pt idx="37">
                  <c:v>23.331</c:v>
                </c:pt>
                <c:pt idx="38">
                  <c:v>23.675999999999998</c:v>
                </c:pt>
                <c:pt idx="42">
                  <c:v>22.771000000000001</c:v>
                </c:pt>
                <c:pt idx="43">
                  <c:v>23.119</c:v>
                </c:pt>
                <c:pt idx="44">
                  <c:v>23.216000000000001</c:v>
                </c:pt>
                <c:pt idx="45">
                  <c:v>23.66</c:v>
                </c:pt>
                <c:pt idx="46">
                  <c:v>22.738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73-42A6-A686-A9D405DD0834}"/>
            </c:ext>
          </c:extLst>
        </c:ser>
        <c:ser>
          <c:idx val="2"/>
          <c:order val="2"/>
          <c:tx>
            <c:v>Max altco_gb_TChip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All!$HD$6:$HD$56</c:f>
              <c:numCache>
                <c:formatCode>General</c:formatCode>
                <c:ptCount val="51"/>
                <c:pt idx="0">
                  <c:v>78</c:v>
                </c:pt>
                <c:pt idx="1">
                  <c:v>82</c:v>
                </c:pt>
                <c:pt idx="2">
                  <c:v>82</c:v>
                </c:pt>
                <c:pt idx="3">
                  <c:v>86</c:v>
                </c:pt>
                <c:pt idx="7">
                  <c:v>90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86</c:v>
                </c:pt>
                <c:pt idx="12">
                  <c:v>82</c:v>
                </c:pt>
                <c:pt idx="13">
                  <c:v>86</c:v>
                </c:pt>
                <c:pt idx="17">
                  <c:v>90</c:v>
                </c:pt>
                <c:pt idx="18">
                  <c:v>78</c:v>
                </c:pt>
                <c:pt idx="19">
                  <c:v>78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6">
                  <c:v>90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86</c:v>
                </c:pt>
                <c:pt idx="35">
                  <c:v>86</c:v>
                </c:pt>
                <c:pt idx="36">
                  <c:v>78</c:v>
                </c:pt>
                <c:pt idx="37">
                  <c:v>82</c:v>
                </c:pt>
                <c:pt idx="38">
                  <c:v>86</c:v>
                </c:pt>
                <c:pt idx="42">
                  <c:v>86</c:v>
                </c:pt>
                <c:pt idx="43">
                  <c:v>82</c:v>
                </c:pt>
                <c:pt idx="44">
                  <c:v>78</c:v>
                </c:pt>
                <c:pt idx="45">
                  <c:v>78</c:v>
                </c:pt>
                <c:pt idx="46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73-42A6-A686-A9D405DD0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23600"/>
        <c:axId val="1267224848"/>
      </c:scatterChart>
      <c:valAx>
        <c:axId val="1265917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5918128"/>
        <c:crosses val="autoZero"/>
        <c:crossBetween val="midCat"/>
      </c:valAx>
      <c:valAx>
        <c:axId val="1265918128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5917712"/>
        <c:crosses val="autoZero"/>
        <c:crossBetween val="midCat"/>
      </c:valAx>
      <c:valAx>
        <c:axId val="1267224848"/>
        <c:scaling>
          <c:orientation val="minMax"/>
          <c:max val="12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7223600"/>
        <c:crosses val="max"/>
        <c:crossBetween val="midCat"/>
      </c:valAx>
      <c:valAx>
        <c:axId val="1267223600"/>
        <c:scaling>
          <c:orientation val="minMax"/>
        </c:scaling>
        <c:delete val="1"/>
        <c:axPos val="b"/>
        <c:majorTickMark val="out"/>
        <c:minorTickMark val="none"/>
        <c:tickLblPos val="nextTo"/>
        <c:crossAx val="1267224848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Diagnostics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eps_failsafe_1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All!$HE$6:$HE$56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D2-42A2-ADC2-68F78E8D1984}"/>
            </c:ext>
          </c:extLst>
        </c:ser>
        <c:ser>
          <c:idx val="1"/>
          <c:order val="1"/>
          <c:tx>
            <c:v>Max eps_failsafe_2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All!$HF$6:$HF$56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D2-42A2-ADC2-68F78E8D1984}"/>
            </c:ext>
          </c:extLst>
        </c:ser>
        <c:ser>
          <c:idx val="4"/>
          <c:order val="4"/>
          <c:tx>
            <c:v>Max mlo_egt_temp_error_state_can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All!$HI$6:$HI$56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DD2-42A2-ADC2-68F78E8D1984}"/>
            </c:ext>
          </c:extLst>
        </c:ser>
        <c:ser>
          <c:idx val="5"/>
          <c:order val="5"/>
          <c:tx>
            <c:v>Max DIAG_EPS_Assist_Stop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All!$HJ$6:$HJ$56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DD2-42A2-ADC2-68F78E8D1984}"/>
            </c:ext>
          </c:extLst>
        </c:ser>
        <c:ser>
          <c:idx val="6"/>
          <c:order val="6"/>
          <c:tx>
            <c:v>Max DIAG_EPS_Warning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All!$HK$6:$HK$56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DD2-42A2-ADC2-68F78E8D1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909392"/>
        <c:axId val="1265918544"/>
      </c:scatterChart>
      <c:scatterChart>
        <c:scatterStyle val="lineMarker"/>
        <c:varyColors val="0"/>
        <c:ser>
          <c:idx val="2"/>
          <c:order val="2"/>
          <c:tx>
            <c:v>Max cpu_load_001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All!$HG$6:$HG$56</c:f>
              <c:numCache>
                <c:formatCode>General</c:formatCode>
                <c:ptCount val="51"/>
                <c:pt idx="0">
                  <c:v>85.44</c:v>
                </c:pt>
                <c:pt idx="1">
                  <c:v>72.47</c:v>
                </c:pt>
                <c:pt idx="2">
                  <c:v>74.959999999999994</c:v>
                </c:pt>
                <c:pt idx="3">
                  <c:v>74.290000000000006</c:v>
                </c:pt>
                <c:pt idx="7">
                  <c:v>88.85</c:v>
                </c:pt>
                <c:pt idx="8">
                  <c:v>75.69</c:v>
                </c:pt>
                <c:pt idx="9">
                  <c:v>77.83</c:v>
                </c:pt>
                <c:pt idx="10">
                  <c:v>76.94</c:v>
                </c:pt>
                <c:pt idx="11">
                  <c:v>73.86</c:v>
                </c:pt>
                <c:pt idx="12">
                  <c:v>75.2</c:v>
                </c:pt>
                <c:pt idx="13">
                  <c:v>76.62</c:v>
                </c:pt>
                <c:pt idx="17">
                  <c:v>89.59</c:v>
                </c:pt>
                <c:pt idx="18">
                  <c:v>77.099999999999994</c:v>
                </c:pt>
                <c:pt idx="19">
                  <c:v>73.19</c:v>
                </c:pt>
                <c:pt idx="20">
                  <c:v>74.349999999999994</c:v>
                </c:pt>
                <c:pt idx="21">
                  <c:v>74.69</c:v>
                </c:pt>
                <c:pt idx="22">
                  <c:v>74.42</c:v>
                </c:pt>
                <c:pt idx="26">
                  <c:v>91.48</c:v>
                </c:pt>
                <c:pt idx="27">
                  <c:v>85.27</c:v>
                </c:pt>
                <c:pt idx="28">
                  <c:v>72.33</c:v>
                </c:pt>
                <c:pt idx="29">
                  <c:v>72.63</c:v>
                </c:pt>
                <c:pt idx="30">
                  <c:v>86.15</c:v>
                </c:pt>
                <c:pt idx="31">
                  <c:v>72.27</c:v>
                </c:pt>
                <c:pt idx="35">
                  <c:v>74.52</c:v>
                </c:pt>
                <c:pt idx="36">
                  <c:v>76.06</c:v>
                </c:pt>
                <c:pt idx="37">
                  <c:v>78.3</c:v>
                </c:pt>
                <c:pt idx="38">
                  <c:v>76.19</c:v>
                </c:pt>
                <c:pt idx="42">
                  <c:v>91.05</c:v>
                </c:pt>
                <c:pt idx="43">
                  <c:v>86.05</c:v>
                </c:pt>
                <c:pt idx="44">
                  <c:v>88.14</c:v>
                </c:pt>
                <c:pt idx="45">
                  <c:v>76.36</c:v>
                </c:pt>
                <c:pt idx="46">
                  <c:v>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D2-42A2-ADC2-68F78E8D1984}"/>
            </c:ext>
          </c:extLst>
        </c:ser>
        <c:ser>
          <c:idx val="3"/>
          <c:order val="3"/>
          <c:tx>
            <c:v>Max cpu_load_002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All!$HH$6:$HH$56</c:f>
              <c:numCache>
                <c:formatCode>General</c:formatCode>
                <c:ptCount val="51"/>
                <c:pt idx="0">
                  <c:v>80.36</c:v>
                </c:pt>
                <c:pt idx="1">
                  <c:v>80.260000000000005</c:v>
                </c:pt>
                <c:pt idx="2">
                  <c:v>80.489999999999995</c:v>
                </c:pt>
                <c:pt idx="3">
                  <c:v>80.709999999999994</c:v>
                </c:pt>
                <c:pt idx="7">
                  <c:v>82.58</c:v>
                </c:pt>
                <c:pt idx="8">
                  <c:v>82.5</c:v>
                </c:pt>
                <c:pt idx="9">
                  <c:v>82.87</c:v>
                </c:pt>
                <c:pt idx="10">
                  <c:v>82.74</c:v>
                </c:pt>
                <c:pt idx="11">
                  <c:v>82.75</c:v>
                </c:pt>
                <c:pt idx="12">
                  <c:v>82.81</c:v>
                </c:pt>
                <c:pt idx="13">
                  <c:v>82.94</c:v>
                </c:pt>
                <c:pt idx="17">
                  <c:v>78.41</c:v>
                </c:pt>
                <c:pt idx="18">
                  <c:v>78.099999999999994</c:v>
                </c:pt>
                <c:pt idx="19">
                  <c:v>78.790000000000006</c:v>
                </c:pt>
                <c:pt idx="20">
                  <c:v>78.2</c:v>
                </c:pt>
                <c:pt idx="21">
                  <c:v>78.56</c:v>
                </c:pt>
                <c:pt idx="22">
                  <c:v>78.5</c:v>
                </c:pt>
                <c:pt idx="26">
                  <c:v>82.85</c:v>
                </c:pt>
                <c:pt idx="27">
                  <c:v>82.85</c:v>
                </c:pt>
                <c:pt idx="28">
                  <c:v>82.91</c:v>
                </c:pt>
                <c:pt idx="29">
                  <c:v>82.51</c:v>
                </c:pt>
                <c:pt idx="30">
                  <c:v>83.98</c:v>
                </c:pt>
                <c:pt idx="31">
                  <c:v>82.39</c:v>
                </c:pt>
                <c:pt idx="35">
                  <c:v>100</c:v>
                </c:pt>
                <c:pt idx="36">
                  <c:v>82.76</c:v>
                </c:pt>
                <c:pt idx="37">
                  <c:v>83.22</c:v>
                </c:pt>
                <c:pt idx="38">
                  <c:v>82.61</c:v>
                </c:pt>
                <c:pt idx="42">
                  <c:v>94.09</c:v>
                </c:pt>
                <c:pt idx="43">
                  <c:v>83.66</c:v>
                </c:pt>
                <c:pt idx="44">
                  <c:v>84.52</c:v>
                </c:pt>
                <c:pt idx="45">
                  <c:v>83.06</c:v>
                </c:pt>
                <c:pt idx="46">
                  <c:v>82.84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D2-42A2-ADC2-68F78E8D1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28176"/>
        <c:axId val="1267225264"/>
      </c:scatterChart>
      <c:valAx>
        <c:axId val="126590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5918544"/>
        <c:crosses val="autoZero"/>
        <c:crossBetween val="midCat"/>
      </c:valAx>
      <c:valAx>
        <c:axId val="1265918544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5909392"/>
        <c:crosses val="autoZero"/>
        <c:crossBetween val="midCat"/>
      </c:valAx>
      <c:valAx>
        <c:axId val="1267225264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7228176"/>
        <c:crosses val="max"/>
        <c:crossBetween val="midCat"/>
      </c:valAx>
      <c:valAx>
        <c:axId val="1267228176"/>
        <c:scaling>
          <c:orientation val="minMax"/>
        </c:scaling>
        <c:delete val="1"/>
        <c:axPos val="b"/>
        <c:majorTickMark val="out"/>
        <c:minorTickMark val="none"/>
        <c:tickLblPos val="nextTo"/>
        <c:crossAx val="126722526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Electronic temperatures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mlo_egt_temp_power_section_can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All!$HL$6:$HL$56</c:f>
              <c:numCache>
                <c:formatCode>General</c:formatCode>
                <c:ptCount val="51"/>
                <c:pt idx="0">
                  <c:v>48</c:v>
                </c:pt>
                <c:pt idx="1">
                  <c:v>55</c:v>
                </c:pt>
                <c:pt idx="2">
                  <c:v>57</c:v>
                </c:pt>
                <c:pt idx="3">
                  <c:v>59</c:v>
                </c:pt>
                <c:pt idx="7">
                  <c:v>73</c:v>
                </c:pt>
                <c:pt idx="8">
                  <c:v>65</c:v>
                </c:pt>
                <c:pt idx="9">
                  <c:v>63</c:v>
                </c:pt>
                <c:pt idx="10">
                  <c:v>63</c:v>
                </c:pt>
                <c:pt idx="11">
                  <c:v>64</c:v>
                </c:pt>
                <c:pt idx="12">
                  <c:v>63</c:v>
                </c:pt>
                <c:pt idx="13">
                  <c:v>63</c:v>
                </c:pt>
                <c:pt idx="17">
                  <c:v>73</c:v>
                </c:pt>
                <c:pt idx="18">
                  <c:v>65</c:v>
                </c:pt>
                <c:pt idx="19">
                  <c:v>63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6">
                  <c:v>69</c:v>
                </c:pt>
                <c:pt idx="27">
                  <c:v>63</c:v>
                </c:pt>
                <c:pt idx="28">
                  <c:v>63</c:v>
                </c:pt>
                <c:pt idx="29">
                  <c:v>63</c:v>
                </c:pt>
                <c:pt idx="30">
                  <c:v>63</c:v>
                </c:pt>
                <c:pt idx="31">
                  <c:v>63</c:v>
                </c:pt>
                <c:pt idx="35">
                  <c:v>72</c:v>
                </c:pt>
                <c:pt idx="36">
                  <c:v>63</c:v>
                </c:pt>
                <c:pt idx="37">
                  <c:v>62</c:v>
                </c:pt>
                <c:pt idx="38">
                  <c:v>62</c:v>
                </c:pt>
                <c:pt idx="42">
                  <c:v>62</c:v>
                </c:pt>
                <c:pt idx="43">
                  <c:v>62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D1-43BC-AAD0-850A29DF5A26}"/>
            </c:ext>
          </c:extLst>
        </c:ser>
        <c:ser>
          <c:idx val="1"/>
          <c:order val="1"/>
          <c:tx>
            <c:v>Max tecu_core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All!$HM$6:$HM$56</c:f>
              <c:numCache>
                <c:formatCode>General</c:formatCode>
                <c:ptCount val="51"/>
                <c:pt idx="0">
                  <c:v>50</c:v>
                </c:pt>
                <c:pt idx="1">
                  <c:v>49</c:v>
                </c:pt>
                <c:pt idx="2">
                  <c:v>50</c:v>
                </c:pt>
                <c:pt idx="3">
                  <c:v>50</c:v>
                </c:pt>
                <c:pt idx="7">
                  <c:v>55</c:v>
                </c:pt>
                <c:pt idx="8">
                  <c:v>54</c:v>
                </c:pt>
                <c:pt idx="9">
                  <c:v>54</c:v>
                </c:pt>
                <c:pt idx="10">
                  <c:v>53</c:v>
                </c:pt>
                <c:pt idx="11">
                  <c:v>54</c:v>
                </c:pt>
                <c:pt idx="12">
                  <c:v>54</c:v>
                </c:pt>
                <c:pt idx="13">
                  <c:v>54</c:v>
                </c:pt>
                <c:pt idx="17">
                  <c:v>56</c:v>
                </c:pt>
                <c:pt idx="18">
                  <c:v>55</c:v>
                </c:pt>
                <c:pt idx="19">
                  <c:v>55</c:v>
                </c:pt>
                <c:pt idx="20">
                  <c:v>55</c:v>
                </c:pt>
                <c:pt idx="21">
                  <c:v>55</c:v>
                </c:pt>
                <c:pt idx="22">
                  <c:v>55</c:v>
                </c:pt>
                <c:pt idx="26">
                  <c:v>56</c:v>
                </c:pt>
                <c:pt idx="27">
                  <c:v>56</c:v>
                </c:pt>
                <c:pt idx="28">
                  <c:v>55</c:v>
                </c:pt>
                <c:pt idx="29">
                  <c:v>55</c:v>
                </c:pt>
                <c:pt idx="30">
                  <c:v>55</c:v>
                </c:pt>
                <c:pt idx="31">
                  <c:v>55</c:v>
                </c:pt>
                <c:pt idx="35">
                  <c:v>56</c:v>
                </c:pt>
                <c:pt idx="36">
                  <c:v>55</c:v>
                </c:pt>
                <c:pt idx="37">
                  <c:v>54</c:v>
                </c:pt>
                <c:pt idx="38">
                  <c:v>53</c:v>
                </c:pt>
                <c:pt idx="42">
                  <c:v>53</c:v>
                </c:pt>
                <c:pt idx="43">
                  <c:v>53</c:v>
                </c:pt>
                <c:pt idx="44">
                  <c:v>52</c:v>
                </c:pt>
                <c:pt idx="45">
                  <c:v>52</c:v>
                </c:pt>
                <c:pt idx="46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D1-43BC-AAD0-850A29DF5A26}"/>
            </c:ext>
          </c:extLst>
        </c:ser>
        <c:ser>
          <c:idx val="2"/>
          <c:order val="2"/>
          <c:tx>
            <c:v>Max tecu_cpu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All!$HN$6:$HN$56</c:f>
              <c:numCache>
                <c:formatCode>General</c:formatCode>
                <c:ptCount val="51"/>
                <c:pt idx="0">
                  <c:v>54</c:v>
                </c:pt>
                <c:pt idx="1">
                  <c:v>56</c:v>
                </c:pt>
                <c:pt idx="2">
                  <c:v>58</c:v>
                </c:pt>
                <c:pt idx="3">
                  <c:v>60</c:v>
                </c:pt>
                <c:pt idx="7">
                  <c:v>62</c:v>
                </c:pt>
                <c:pt idx="8">
                  <c:v>63</c:v>
                </c:pt>
                <c:pt idx="9">
                  <c:v>64</c:v>
                </c:pt>
                <c:pt idx="10">
                  <c:v>65</c:v>
                </c:pt>
                <c:pt idx="11">
                  <c:v>66</c:v>
                </c:pt>
                <c:pt idx="12">
                  <c:v>66</c:v>
                </c:pt>
                <c:pt idx="13">
                  <c:v>67</c:v>
                </c:pt>
                <c:pt idx="17">
                  <c:v>67</c:v>
                </c:pt>
                <c:pt idx="18">
                  <c:v>67</c:v>
                </c:pt>
                <c:pt idx="19">
                  <c:v>67</c:v>
                </c:pt>
                <c:pt idx="20">
                  <c:v>68</c:v>
                </c:pt>
                <c:pt idx="21">
                  <c:v>69</c:v>
                </c:pt>
                <c:pt idx="22">
                  <c:v>69</c:v>
                </c:pt>
                <c:pt idx="26">
                  <c:v>69</c:v>
                </c:pt>
                <c:pt idx="27">
                  <c:v>69</c:v>
                </c:pt>
                <c:pt idx="28">
                  <c:v>69</c:v>
                </c:pt>
                <c:pt idx="29">
                  <c:v>69</c:v>
                </c:pt>
                <c:pt idx="30">
                  <c:v>69</c:v>
                </c:pt>
                <c:pt idx="31">
                  <c:v>70</c:v>
                </c:pt>
                <c:pt idx="35">
                  <c:v>70</c:v>
                </c:pt>
                <c:pt idx="36">
                  <c:v>61</c:v>
                </c:pt>
                <c:pt idx="37">
                  <c:v>62</c:v>
                </c:pt>
                <c:pt idx="38">
                  <c:v>64</c:v>
                </c:pt>
                <c:pt idx="42">
                  <c:v>64</c:v>
                </c:pt>
                <c:pt idx="43">
                  <c:v>65</c:v>
                </c:pt>
                <c:pt idx="44">
                  <c:v>64</c:v>
                </c:pt>
                <c:pt idx="45">
                  <c:v>65</c:v>
                </c:pt>
                <c:pt idx="46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D1-43BC-AAD0-850A29DF5A26}"/>
            </c:ext>
          </c:extLst>
        </c:ser>
        <c:ser>
          <c:idx val="3"/>
          <c:order val="3"/>
          <c:tx>
            <c:v>Max tecu_hpi1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All!$HO$6:$HO$56</c:f>
              <c:numCache>
                <c:formatCode>General</c:formatCode>
                <c:ptCount val="51"/>
                <c:pt idx="0">
                  <c:v>47</c:v>
                </c:pt>
                <c:pt idx="1">
                  <c:v>50</c:v>
                </c:pt>
                <c:pt idx="2">
                  <c:v>53</c:v>
                </c:pt>
                <c:pt idx="3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60</c:v>
                </c:pt>
                <c:pt idx="13">
                  <c:v>61</c:v>
                </c:pt>
                <c:pt idx="17">
                  <c:v>60</c:v>
                </c:pt>
                <c:pt idx="18">
                  <c:v>61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63</c:v>
                </c:pt>
                <c:pt idx="26">
                  <c:v>62</c:v>
                </c:pt>
                <c:pt idx="27">
                  <c:v>63</c:v>
                </c:pt>
                <c:pt idx="28">
                  <c:v>63</c:v>
                </c:pt>
                <c:pt idx="29">
                  <c:v>64</c:v>
                </c:pt>
                <c:pt idx="30">
                  <c:v>63</c:v>
                </c:pt>
                <c:pt idx="31">
                  <c:v>64</c:v>
                </c:pt>
                <c:pt idx="35">
                  <c:v>61</c:v>
                </c:pt>
                <c:pt idx="36">
                  <c:v>55</c:v>
                </c:pt>
                <c:pt idx="37">
                  <c:v>57</c:v>
                </c:pt>
                <c:pt idx="38">
                  <c:v>58</c:v>
                </c:pt>
                <c:pt idx="42">
                  <c:v>58</c:v>
                </c:pt>
                <c:pt idx="43">
                  <c:v>58</c:v>
                </c:pt>
                <c:pt idx="44">
                  <c:v>59</c:v>
                </c:pt>
                <c:pt idx="45">
                  <c:v>59</c:v>
                </c:pt>
                <c:pt idx="4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D1-43BC-AAD0-850A29DF5A26}"/>
            </c:ext>
          </c:extLst>
        </c:ser>
        <c:ser>
          <c:idx val="4"/>
          <c:order val="4"/>
          <c:tx>
            <c:v>Max tecu_hpi2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All!$HP$6:$HP$56</c:f>
              <c:numCache>
                <c:formatCode>General</c:formatCode>
                <c:ptCount val="51"/>
                <c:pt idx="0">
                  <c:v>50</c:v>
                </c:pt>
                <c:pt idx="1">
                  <c:v>53</c:v>
                </c:pt>
                <c:pt idx="2">
                  <c:v>56</c:v>
                </c:pt>
                <c:pt idx="3">
                  <c:v>58</c:v>
                </c:pt>
                <c:pt idx="7">
                  <c:v>58</c:v>
                </c:pt>
                <c:pt idx="8">
                  <c:v>60</c:v>
                </c:pt>
                <c:pt idx="9">
                  <c:v>61</c:v>
                </c:pt>
                <c:pt idx="10">
                  <c:v>62</c:v>
                </c:pt>
                <c:pt idx="11">
                  <c:v>63</c:v>
                </c:pt>
                <c:pt idx="12">
                  <c:v>64</c:v>
                </c:pt>
                <c:pt idx="13">
                  <c:v>64</c:v>
                </c:pt>
                <c:pt idx="17">
                  <c:v>63</c:v>
                </c:pt>
                <c:pt idx="18">
                  <c:v>64</c:v>
                </c:pt>
                <c:pt idx="19">
                  <c:v>65</c:v>
                </c:pt>
                <c:pt idx="20">
                  <c:v>65</c:v>
                </c:pt>
                <c:pt idx="21">
                  <c:v>66</c:v>
                </c:pt>
                <c:pt idx="22">
                  <c:v>66</c:v>
                </c:pt>
                <c:pt idx="26">
                  <c:v>65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67</c:v>
                </c:pt>
                <c:pt idx="35">
                  <c:v>60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42">
                  <c:v>61</c:v>
                </c:pt>
                <c:pt idx="43">
                  <c:v>61</c:v>
                </c:pt>
                <c:pt idx="44">
                  <c:v>62</c:v>
                </c:pt>
                <c:pt idx="45">
                  <c:v>62</c:v>
                </c:pt>
                <c:pt idx="46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D1-43BC-AAD0-850A29DF5A26}"/>
            </c:ext>
          </c:extLst>
        </c:ser>
        <c:ser>
          <c:idx val="5"/>
          <c:order val="5"/>
          <c:tx>
            <c:v>Max tecu_ign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All!$HQ$6:$HQ$56</c:f>
              <c:numCache>
                <c:formatCode>General</c:formatCode>
                <c:ptCount val="51"/>
                <c:pt idx="0">
                  <c:v>48</c:v>
                </c:pt>
                <c:pt idx="1">
                  <c:v>51</c:v>
                </c:pt>
                <c:pt idx="2">
                  <c:v>54</c:v>
                </c:pt>
                <c:pt idx="3">
                  <c:v>56</c:v>
                </c:pt>
                <c:pt idx="7">
                  <c:v>56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62</c:v>
                </c:pt>
                <c:pt idx="17">
                  <c:v>61</c:v>
                </c:pt>
                <c:pt idx="18">
                  <c:v>62</c:v>
                </c:pt>
                <c:pt idx="19">
                  <c:v>62</c:v>
                </c:pt>
                <c:pt idx="20">
                  <c:v>63</c:v>
                </c:pt>
                <c:pt idx="21">
                  <c:v>64</c:v>
                </c:pt>
                <c:pt idx="22">
                  <c:v>64</c:v>
                </c:pt>
                <c:pt idx="26">
                  <c:v>63</c:v>
                </c:pt>
                <c:pt idx="27">
                  <c:v>63</c:v>
                </c:pt>
                <c:pt idx="28">
                  <c:v>64</c:v>
                </c:pt>
                <c:pt idx="29">
                  <c:v>64</c:v>
                </c:pt>
                <c:pt idx="30">
                  <c:v>64</c:v>
                </c:pt>
                <c:pt idx="31">
                  <c:v>64</c:v>
                </c:pt>
                <c:pt idx="35">
                  <c:v>59</c:v>
                </c:pt>
                <c:pt idx="36">
                  <c:v>56</c:v>
                </c:pt>
                <c:pt idx="37">
                  <c:v>58</c:v>
                </c:pt>
                <c:pt idx="38">
                  <c:v>58</c:v>
                </c:pt>
                <c:pt idx="42">
                  <c:v>59</c:v>
                </c:pt>
                <c:pt idx="43">
                  <c:v>59</c:v>
                </c:pt>
                <c:pt idx="44">
                  <c:v>59</c:v>
                </c:pt>
                <c:pt idx="45">
                  <c:v>60</c:v>
                </c:pt>
                <c:pt idx="4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D1-43BC-AAD0-850A29DF5A26}"/>
            </c:ext>
          </c:extLst>
        </c:ser>
        <c:ser>
          <c:idx val="6"/>
          <c:order val="6"/>
          <c:tx>
            <c:v>Max DeviceInfo_DeviceTemperature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All!$HR$6:$HR$56</c:f>
              <c:numCache>
                <c:formatCode>General</c:formatCode>
                <c:ptCount val="51"/>
                <c:pt idx="0">
                  <c:v>43</c:v>
                </c:pt>
                <c:pt idx="1">
                  <c:v>44</c:v>
                </c:pt>
                <c:pt idx="2">
                  <c:v>45</c:v>
                </c:pt>
                <c:pt idx="3">
                  <c:v>47</c:v>
                </c:pt>
                <c:pt idx="7">
                  <c:v>50</c:v>
                </c:pt>
                <c:pt idx="8">
                  <c:v>50</c:v>
                </c:pt>
                <c:pt idx="9">
                  <c:v>51</c:v>
                </c:pt>
                <c:pt idx="10">
                  <c:v>51</c:v>
                </c:pt>
                <c:pt idx="11">
                  <c:v>52</c:v>
                </c:pt>
                <c:pt idx="12">
                  <c:v>52</c:v>
                </c:pt>
                <c:pt idx="13">
                  <c:v>52</c:v>
                </c:pt>
                <c:pt idx="17">
                  <c:v>54</c:v>
                </c:pt>
                <c:pt idx="18">
                  <c:v>54</c:v>
                </c:pt>
                <c:pt idx="19">
                  <c:v>54</c:v>
                </c:pt>
                <c:pt idx="20">
                  <c:v>54</c:v>
                </c:pt>
                <c:pt idx="21">
                  <c:v>54</c:v>
                </c:pt>
                <c:pt idx="22">
                  <c:v>55</c:v>
                </c:pt>
                <c:pt idx="26">
                  <c:v>55</c:v>
                </c:pt>
                <c:pt idx="27">
                  <c:v>55</c:v>
                </c:pt>
                <c:pt idx="28">
                  <c:v>55</c:v>
                </c:pt>
                <c:pt idx="29">
                  <c:v>55</c:v>
                </c:pt>
                <c:pt idx="30">
                  <c:v>55</c:v>
                </c:pt>
                <c:pt idx="31">
                  <c:v>55</c:v>
                </c:pt>
                <c:pt idx="35">
                  <c:v>56</c:v>
                </c:pt>
                <c:pt idx="36">
                  <c:v>48</c:v>
                </c:pt>
                <c:pt idx="37">
                  <c:v>49</c:v>
                </c:pt>
                <c:pt idx="38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52</c:v>
                </c:pt>
                <c:pt idx="45">
                  <c:v>52</c:v>
                </c:pt>
                <c:pt idx="46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D1-43BC-AAD0-850A29DF5A26}"/>
            </c:ext>
          </c:extLst>
        </c:ser>
        <c:ser>
          <c:idx val="7"/>
          <c:order val="7"/>
          <c:tx>
            <c:v>Max eps_motor_tmp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All!$HS$6:$HS$56</c:f>
              <c:numCache>
                <c:formatCode>General</c:formatCode>
                <c:ptCount val="51"/>
                <c:pt idx="0">
                  <c:v>56</c:v>
                </c:pt>
                <c:pt idx="1">
                  <c:v>70</c:v>
                </c:pt>
                <c:pt idx="2">
                  <c:v>62</c:v>
                </c:pt>
                <c:pt idx="3">
                  <c:v>70</c:v>
                </c:pt>
                <c:pt idx="7">
                  <c:v>62</c:v>
                </c:pt>
                <c:pt idx="8">
                  <c:v>62</c:v>
                </c:pt>
                <c:pt idx="9">
                  <c:v>70</c:v>
                </c:pt>
                <c:pt idx="10">
                  <c:v>64</c:v>
                </c:pt>
                <c:pt idx="11">
                  <c:v>64</c:v>
                </c:pt>
                <c:pt idx="12">
                  <c:v>64</c:v>
                </c:pt>
                <c:pt idx="13">
                  <c:v>64</c:v>
                </c:pt>
                <c:pt idx="17">
                  <c:v>62</c:v>
                </c:pt>
                <c:pt idx="18">
                  <c:v>62</c:v>
                </c:pt>
                <c:pt idx="19">
                  <c:v>64</c:v>
                </c:pt>
                <c:pt idx="20">
                  <c:v>64</c:v>
                </c:pt>
                <c:pt idx="21">
                  <c:v>70</c:v>
                </c:pt>
                <c:pt idx="22">
                  <c:v>64</c:v>
                </c:pt>
                <c:pt idx="26">
                  <c:v>70</c:v>
                </c:pt>
                <c:pt idx="27">
                  <c:v>70</c:v>
                </c:pt>
                <c:pt idx="28">
                  <c:v>64</c:v>
                </c:pt>
                <c:pt idx="29">
                  <c:v>70</c:v>
                </c:pt>
                <c:pt idx="30">
                  <c:v>70</c:v>
                </c:pt>
                <c:pt idx="31">
                  <c:v>64</c:v>
                </c:pt>
                <c:pt idx="35">
                  <c:v>62</c:v>
                </c:pt>
                <c:pt idx="36">
                  <c:v>62</c:v>
                </c:pt>
                <c:pt idx="37">
                  <c:v>62</c:v>
                </c:pt>
                <c:pt idx="38">
                  <c:v>62</c:v>
                </c:pt>
                <c:pt idx="42">
                  <c:v>58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D1-43BC-AAD0-850A29DF5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728496"/>
        <c:axId val="1263728912"/>
      </c:scatterChart>
      <c:valAx>
        <c:axId val="1263728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3728912"/>
        <c:crosses val="autoZero"/>
        <c:crossBetween val="midCat"/>
      </c:valAx>
      <c:valAx>
        <c:axId val="12637289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3728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Clutch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sclutch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All!$HT$6:$HT$56</c:f>
              <c:numCache>
                <c:formatCode>General</c:formatCode>
                <c:ptCount val="51"/>
                <c:pt idx="0">
                  <c:v>-1.2035</c:v>
                </c:pt>
                <c:pt idx="1">
                  <c:v>-1.21</c:v>
                </c:pt>
                <c:pt idx="2">
                  <c:v>-1.22</c:v>
                </c:pt>
                <c:pt idx="3">
                  <c:v>-1.2244999999999999</c:v>
                </c:pt>
                <c:pt idx="7">
                  <c:v>-1.2989999999999999</c:v>
                </c:pt>
                <c:pt idx="8">
                  <c:v>-1.298</c:v>
                </c:pt>
                <c:pt idx="9">
                  <c:v>-1.2689999999999999</c:v>
                </c:pt>
                <c:pt idx="10">
                  <c:v>-1.27</c:v>
                </c:pt>
                <c:pt idx="11">
                  <c:v>-1.282</c:v>
                </c:pt>
                <c:pt idx="12">
                  <c:v>-1.2515000000000001</c:v>
                </c:pt>
                <c:pt idx="13">
                  <c:v>-1.2665</c:v>
                </c:pt>
                <c:pt idx="17">
                  <c:v>-1.3425</c:v>
                </c:pt>
                <c:pt idx="18">
                  <c:v>-1.3194999999999999</c:v>
                </c:pt>
                <c:pt idx="19">
                  <c:v>-1.2889999999999999</c:v>
                </c:pt>
                <c:pt idx="20">
                  <c:v>-1.2665</c:v>
                </c:pt>
                <c:pt idx="21">
                  <c:v>-1.276</c:v>
                </c:pt>
                <c:pt idx="22">
                  <c:v>-1.2535000000000001</c:v>
                </c:pt>
                <c:pt idx="26">
                  <c:v>-1.3109999999999999</c:v>
                </c:pt>
                <c:pt idx="27">
                  <c:v>-1.31</c:v>
                </c:pt>
                <c:pt idx="28">
                  <c:v>-1.3169999999999999</c:v>
                </c:pt>
                <c:pt idx="29">
                  <c:v>-1.3075000000000001</c:v>
                </c:pt>
                <c:pt idx="30">
                  <c:v>-1.2985</c:v>
                </c:pt>
                <c:pt idx="31">
                  <c:v>-1.2865</c:v>
                </c:pt>
                <c:pt idx="35">
                  <c:v>-1.3145</c:v>
                </c:pt>
                <c:pt idx="36">
                  <c:v>-1.323</c:v>
                </c:pt>
                <c:pt idx="37">
                  <c:v>-1.3125</c:v>
                </c:pt>
                <c:pt idx="38">
                  <c:v>-1.357</c:v>
                </c:pt>
                <c:pt idx="42">
                  <c:v>-1.3334999999999999</c:v>
                </c:pt>
                <c:pt idx="43">
                  <c:v>-1.3380000000000001</c:v>
                </c:pt>
                <c:pt idx="44">
                  <c:v>-1.357</c:v>
                </c:pt>
                <c:pt idx="45">
                  <c:v>-1.3274999999999999</c:v>
                </c:pt>
                <c:pt idx="46">
                  <c:v>-1.3334999999999999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60-430B-8A88-5CFED3C43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964048"/>
        <c:axId val="1265961968"/>
      </c:scatterChart>
      <c:scatterChart>
        <c:scatterStyle val="lineMarker"/>
        <c:varyColors val="0"/>
        <c:ser>
          <c:idx val="1"/>
          <c:order val="1"/>
          <c:tx>
            <c:v>Lap-Begin Ave_Clutch_Slip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All!$HU$6:$HU$56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60-430B-8A88-5CFED3C43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920208"/>
        <c:axId val="1265918960"/>
      </c:scatterChart>
      <c:valAx>
        <c:axId val="1265964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5961968"/>
        <c:crosses val="autoZero"/>
        <c:crossBetween val="midCat"/>
      </c:valAx>
      <c:valAx>
        <c:axId val="1265961968"/>
        <c:scaling>
          <c:orientation val="minMax"/>
          <c:max val="2"/>
          <c:min val="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5964048"/>
        <c:crosses val="autoZero"/>
        <c:crossBetween val="midCat"/>
      </c:valAx>
      <c:valAx>
        <c:axId val="12659189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5920208"/>
        <c:crosses val="max"/>
        <c:crossBetween val="midCat"/>
      </c:valAx>
      <c:valAx>
        <c:axId val="1265920208"/>
        <c:scaling>
          <c:orientation val="minMax"/>
        </c:scaling>
        <c:delete val="1"/>
        <c:axPos val="b"/>
        <c:majorTickMark val="out"/>
        <c:minorTickMark val="none"/>
        <c:tickLblPos val="nextTo"/>
        <c:crossAx val="126591896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FuelConsumption_vs_Laptime  [kg/lap vs 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1'!$B$2:$B$11</c:f>
              <c:numCache>
                <c:formatCode>General</c:formatCode>
                <c:ptCount val="10"/>
                <c:pt idx="0">
                  <c:v>1472.097</c:v>
                </c:pt>
                <c:pt idx="1">
                  <c:v>220.05</c:v>
                </c:pt>
                <c:pt idx="2">
                  <c:v>212.38</c:v>
                </c:pt>
                <c:pt idx="3">
                  <c:v>237.499</c:v>
                </c:pt>
                <c:pt idx="4">
                  <c:v>364.68900000000002</c:v>
                </c:pt>
                <c:pt idx="5">
                  <c:v>341.03</c:v>
                </c:pt>
                <c:pt idx="6">
                  <c:v>214.92</c:v>
                </c:pt>
                <c:pt idx="7">
                  <c:v>211.19</c:v>
                </c:pt>
                <c:pt idx="8">
                  <c:v>240.93100000000001</c:v>
                </c:pt>
              </c:numCache>
            </c:numRef>
          </c:xVal>
          <c:yVal>
            <c:numRef>
              <c:f>'Driver 1'!$C$2:$C$11</c:f>
              <c:numCache>
                <c:formatCode>General</c:formatCode>
                <c:ptCount val="10"/>
                <c:pt idx="0">
                  <c:v>4.92</c:v>
                </c:pt>
                <c:pt idx="1">
                  <c:v>5.82</c:v>
                </c:pt>
                <c:pt idx="2">
                  <c:v>5.96</c:v>
                </c:pt>
                <c:pt idx="3">
                  <c:v>5.88</c:v>
                </c:pt>
                <c:pt idx="4">
                  <c:v>4.72</c:v>
                </c:pt>
                <c:pt idx="5">
                  <c:v>4.8</c:v>
                </c:pt>
                <c:pt idx="6">
                  <c:v>6.04</c:v>
                </c:pt>
                <c:pt idx="7">
                  <c:v>6.1</c:v>
                </c:pt>
                <c:pt idx="8">
                  <c:v>5.84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D7-410A-BA86-F3C3380EC427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2'!$B$2:$B$15</c:f>
              <c:numCache>
                <c:formatCode>General</c:formatCode>
                <c:ptCount val="14"/>
                <c:pt idx="0">
                  <c:v>289.77800000000002</c:v>
                </c:pt>
                <c:pt idx="1">
                  <c:v>213.59</c:v>
                </c:pt>
                <c:pt idx="2">
                  <c:v>213.11</c:v>
                </c:pt>
                <c:pt idx="3">
                  <c:v>211.4</c:v>
                </c:pt>
                <c:pt idx="4">
                  <c:v>243.68</c:v>
                </c:pt>
                <c:pt idx="5">
                  <c:v>212.9</c:v>
                </c:pt>
                <c:pt idx="6">
                  <c:v>240.51300000000001</c:v>
                </c:pt>
                <c:pt idx="7">
                  <c:v>415.78500000000003</c:v>
                </c:pt>
                <c:pt idx="8">
                  <c:v>213.71</c:v>
                </c:pt>
                <c:pt idx="9">
                  <c:v>210.2</c:v>
                </c:pt>
                <c:pt idx="10">
                  <c:v>212.72</c:v>
                </c:pt>
                <c:pt idx="11">
                  <c:v>211.07</c:v>
                </c:pt>
                <c:pt idx="12">
                  <c:v>246.28899999999999</c:v>
                </c:pt>
              </c:numCache>
            </c:numRef>
          </c:xVal>
          <c:yVal>
            <c:numRef>
              <c:f>'Driver 2'!$C$2:$C$15</c:f>
              <c:numCache>
                <c:formatCode>General</c:formatCode>
                <c:ptCount val="14"/>
                <c:pt idx="0">
                  <c:v>5.62</c:v>
                </c:pt>
                <c:pt idx="1">
                  <c:v>5.77</c:v>
                </c:pt>
                <c:pt idx="2">
                  <c:v>5.84</c:v>
                </c:pt>
                <c:pt idx="3">
                  <c:v>5.85</c:v>
                </c:pt>
                <c:pt idx="4">
                  <c:v>5.61</c:v>
                </c:pt>
                <c:pt idx="5">
                  <c:v>5.81</c:v>
                </c:pt>
                <c:pt idx="6">
                  <c:v>5.63</c:v>
                </c:pt>
                <c:pt idx="7">
                  <c:v>4.96</c:v>
                </c:pt>
                <c:pt idx="8">
                  <c:v>5.84</c:v>
                </c:pt>
                <c:pt idx="9">
                  <c:v>5.95</c:v>
                </c:pt>
                <c:pt idx="10">
                  <c:v>5.64</c:v>
                </c:pt>
                <c:pt idx="11">
                  <c:v>5.88</c:v>
                </c:pt>
                <c:pt idx="12">
                  <c:v>-28.27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D7-410A-BA86-F3C3380EC427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3'!$B$2:$B$12</c:f>
              <c:numCache>
                <c:formatCode>General</c:formatCode>
                <c:ptCount val="11"/>
                <c:pt idx="0">
                  <c:v>253.63800000000001</c:v>
                </c:pt>
                <c:pt idx="1">
                  <c:v>221.6</c:v>
                </c:pt>
                <c:pt idx="2">
                  <c:v>214.96</c:v>
                </c:pt>
                <c:pt idx="3">
                  <c:v>219.07</c:v>
                </c:pt>
                <c:pt idx="4">
                  <c:v>212</c:v>
                </c:pt>
                <c:pt idx="5">
                  <c:v>250.76300000000001</c:v>
                </c:pt>
                <c:pt idx="6">
                  <c:v>1487.1030000000001</c:v>
                </c:pt>
                <c:pt idx="7">
                  <c:v>214.57</c:v>
                </c:pt>
                <c:pt idx="8">
                  <c:v>226.76</c:v>
                </c:pt>
                <c:pt idx="9">
                  <c:v>426.31700000000001</c:v>
                </c:pt>
              </c:numCache>
            </c:numRef>
          </c:xVal>
          <c:yVal>
            <c:numRef>
              <c:f>'Driver 3'!$C$2:$C$12</c:f>
              <c:numCache>
                <c:formatCode>General</c:formatCode>
                <c:ptCount val="11"/>
                <c:pt idx="0">
                  <c:v>5.65</c:v>
                </c:pt>
                <c:pt idx="1">
                  <c:v>5.72</c:v>
                </c:pt>
                <c:pt idx="2">
                  <c:v>5.86</c:v>
                </c:pt>
                <c:pt idx="3">
                  <c:v>5.92</c:v>
                </c:pt>
                <c:pt idx="4">
                  <c:v>5.91</c:v>
                </c:pt>
                <c:pt idx="5">
                  <c:v>5.47</c:v>
                </c:pt>
                <c:pt idx="6">
                  <c:v>5.71</c:v>
                </c:pt>
                <c:pt idx="7">
                  <c:v>5.78</c:v>
                </c:pt>
                <c:pt idx="8">
                  <c:v>5.84</c:v>
                </c:pt>
                <c:pt idx="9">
                  <c:v>-17.32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D7-410A-BA86-F3C3380EC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8148576"/>
        <c:axId val="1268133184"/>
      </c:scatterChart>
      <c:valAx>
        <c:axId val="1268148576"/>
        <c:scaling>
          <c:orientation val="minMax"/>
          <c:max val="222.99999999999997"/>
          <c:min val="202.9999999999999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8133184"/>
        <c:crosses val="autoZero"/>
        <c:crossBetween val="midCat"/>
      </c:valAx>
      <c:valAx>
        <c:axId val="1268133184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8148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1'!$B$2:$B$11</c:f>
              <c:numCache>
                <c:formatCode>General</c:formatCode>
                <c:ptCount val="10"/>
                <c:pt idx="0">
                  <c:v>1472.097</c:v>
                </c:pt>
                <c:pt idx="1">
                  <c:v>220.05</c:v>
                </c:pt>
                <c:pt idx="2">
                  <c:v>212.38</c:v>
                </c:pt>
                <c:pt idx="3">
                  <c:v>237.499</c:v>
                </c:pt>
                <c:pt idx="4">
                  <c:v>364.68900000000002</c:v>
                </c:pt>
                <c:pt idx="5">
                  <c:v>341.03</c:v>
                </c:pt>
                <c:pt idx="6">
                  <c:v>214.92</c:v>
                </c:pt>
                <c:pt idx="7">
                  <c:v>211.19</c:v>
                </c:pt>
                <c:pt idx="8">
                  <c:v>240.93100000000001</c:v>
                </c:pt>
              </c:numCache>
            </c:numRef>
          </c:xVal>
          <c:yVal>
            <c:numRef>
              <c:f>'Driver 1'!$D$2:$D$11</c:f>
              <c:numCache>
                <c:formatCode>General</c:formatCode>
                <c:ptCount val="10"/>
                <c:pt idx="0">
                  <c:v>1.0369999999999999</c:v>
                </c:pt>
                <c:pt idx="1">
                  <c:v>1.4430000000000001</c:v>
                </c:pt>
                <c:pt idx="2">
                  <c:v>1.718</c:v>
                </c:pt>
                <c:pt idx="4">
                  <c:v>1.2949999999999999</c:v>
                </c:pt>
                <c:pt idx="5">
                  <c:v>1.504</c:v>
                </c:pt>
                <c:pt idx="6">
                  <c:v>1.655</c:v>
                </c:pt>
                <c:pt idx="7">
                  <c:v>1.522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F-45C6-A284-F88F7E4BE474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2'!$B$2:$B$15</c:f>
              <c:numCache>
                <c:formatCode>General</c:formatCode>
                <c:ptCount val="14"/>
                <c:pt idx="0">
                  <c:v>289.77800000000002</c:v>
                </c:pt>
                <c:pt idx="1">
                  <c:v>213.59</c:v>
                </c:pt>
                <c:pt idx="2">
                  <c:v>213.11</c:v>
                </c:pt>
                <c:pt idx="3">
                  <c:v>211.4</c:v>
                </c:pt>
                <c:pt idx="4">
                  <c:v>243.68</c:v>
                </c:pt>
                <c:pt idx="5">
                  <c:v>212.9</c:v>
                </c:pt>
                <c:pt idx="6">
                  <c:v>240.51300000000001</c:v>
                </c:pt>
                <c:pt idx="7">
                  <c:v>415.78500000000003</c:v>
                </c:pt>
                <c:pt idx="8">
                  <c:v>213.71</c:v>
                </c:pt>
                <c:pt idx="9">
                  <c:v>210.2</c:v>
                </c:pt>
                <c:pt idx="10">
                  <c:v>212.72</c:v>
                </c:pt>
                <c:pt idx="11">
                  <c:v>211.07</c:v>
                </c:pt>
                <c:pt idx="12">
                  <c:v>246.28899999999999</c:v>
                </c:pt>
              </c:numCache>
            </c:numRef>
          </c:xVal>
          <c:yVal>
            <c:numRef>
              <c:f>'Driver 2'!$D$2:$D$15</c:f>
              <c:numCache>
                <c:formatCode>General</c:formatCode>
                <c:ptCount val="14"/>
                <c:pt idx="0">
                  <c:v>1.58</c:v>
                </c:pt>
                <c:pt idx="1">
                  <c:v>1.6819999999999999</c:v>
                </c:pt>
                <c:pt idx="2">
                  <c:v>1.81</c:v>
                </c:pt>
                <c:pt idx="3">
                  <c:v>1.649</c:v>
                </c:pt>
                <c:pt idx="4">
                  <c:v>1.357</c:v>
                </c:pt>
                <c:pt idx="5">
                  <c:v>1.43</c:v>
                </c:pt>
                <c:pt idx="7">
                  <c:v>1.3839999999999999</c:v>
                </c:pt>
                <c:pt idx="8">
                  <c:v>1.63</c:v>
                </c:pt>
                <c:pt idx="9">
                  <c:v>1.641</c:v>
                </c:pt>
                <c:pt idx="10">
                  <c:v>1.615</c:v>
                </c:pt>
                <c:pt idx="11">
                  <c:v>1.417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F-45C6-A284-F88F7E4BE474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3'!$B$2:$B$12</c:f>
              <c:numCache>
                <c:formatCode>General</c:formatCode>
                <c:ptCount val="11"/>
                <c:pt idx="0">
                  <c:v>253.63800000000001</c:v>
                </c:pt>
                <c:pt idx="1">
                  <c:v>221.6</c:v>
                </c:pt>
                <c:pt idx="2">
                  <c:v>214.96</c:v>
                </c:pt>
                <c:pt idx="3">
                  <c:v>219.07</c:v>
                </c:pt>
                <c:pt idx="4">
                  <c:v>212</c:v>
                </c:pt>
                <c:pt idx="5">
                  <c:v>250.76300000000001</c:v>
                </c:pt>
                <c:pt idx="6">
                  <c:v>1487.1030000000001</c:v>
                </c:pt>
                <c:pt idx="7">
                  <c:v>214.57</c:v>
                </c:pt>
                <c:pt idx="8">
                  <c:v>226.76</c:v>
                </c:pt>
                <c:pt idx="9">
                  <c:v>426.31700000000001</c:v>
                </c:pt>
              </c:numCache>
            </c:numRef>
          </c:xVal>
          <c:yVal>
            <c:numRef>
              <c:f>'Driver 3'!$D$2:$D$12</c:f>
              <c:numCache>
                <c:formatCode>General</c:formatCode>
                <c:ptCount val="11"/>
                <c:pt idx="0">
                  <c:v>1.083</c:v>
                </c:pt>
                <c:pt idx="1">
                  <c:v>1.363</c:v>
                </c:pt>
                <c:pt idx="2">
                  <c:v>1.4650000000000001</c:v>
                </c:pt>
                <c:pt idx="3">
                  <c:v>1.4830000000000001</c:v>
                </c:pt>
                <c:pt idx="4">
                  <c:v>1.19</c:v>
                </c:pt>
                <c:pt idx="6">
                  <c:v>1.018</c:v>
                </c:pt>
                <c:pt idx="7">
                  <c:v>1.4510000000000001</c:v>
                </c:pt>
                <c:pt idx="8">
                  <c:v>0.92900000000000005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F-45C6-A284-F88F7E4BE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8144000"/>
        <c:axId val="1268140256"/>
      </c:scatterChart>
      <c:valAx>
        <c:axId val="1268144000"/>
        <c:scaling>
          <c:orientation val="minMax"/>
          <c:max val="222.99999999999997"/>
          <c:min val="202.9999999999999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8140256"/>
        <c:crosses val="autoZero"/>
        <c:crossBetween val="midCat"/>
      </c:valAx>
      <c:valAx>
        <c:axId val="12681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8144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1'!$B$2:$B$11</c:f>
              <c:numCache>
                <c:formatCode>General</c:formatCode>
                <c:ptCount val="10"/>
                <c:pt idx="0">
                  <c:v>1472.097</c:v>
                </c:pt>
                <c:pt idx="1">
                  <c:v>220.05</c:v>
                </c:pt>
                <c:pt idx="2">
                  <c:v>212.38</c:v>
                </c:pt>
                <c:pt idx="3">
                  <c:v>237.499</c:v>
                </c:pt>
                <c:pt idx="4">
                  <c:v>364.68900000000002</c:v>
                </c:pt>
                <c:pt idx="5">
                  <c:v>341.03</c:v>
                </c:pt>
                <c:pt idx="6">
                  <c:v>214.92</c:v>
                </c:pt>
                <c:pt idx="7">
                  <c:v>211.19</c:v>
                </c:pt>
                <c:pt idx="8">
                  <c:v>240.93100000000001</c:v>
                </c:pt>
              </c:numCache>
            </c:numRef>
          </c:xVal>
          <c:yVal>
            <c:numRef>
              <c:f>'Driver 1'!$E$2:$E$11</c:f>
              <c:numCache>
                <c:formatCode>General</c:formatCode>
                <c:ptCount val="10"/>
                <c:pt idx="0">
                  <c:v>14.084</c:v>
                </c:pt>
                <c:pt idx="1">
                  <c:v>4.8849999999999998</c:v>
                </c:pt>
                <c:pt idx="2">
                  <c:v>5.5789999999999997</c:v>
                </c:pt>
                <c:pt idx="4">
                  <c:v>2.3690000000000002</c:v>
                </c:pt>
                <c:pt idx="5">
                  <c:v>3.254</c:v>
                </c:pt>
                <c:pt idx="6">
                  <c:v>4.641</c:v>
                </c:pt>
                <c:pt idx="7">
                  <c:v>4.7240000000000002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6-4F94-9DF1-8A743A394150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2'!$B$2:$B$15</c:f>
              <c:numCache>
                <c:formatCode>General</c:formatCode>
                <c:ptCount val="14"/>
                <c:pt idx="0">
                  <c:v>289.77800000000002</c:v>
                </c:pt>
                <c:pt idx="1">
                  <c:v>213.59</c:v>
                </c:pt>
                <c:pt idx="2">
                  <c:v>213.11</c:v>
                </c:pt>
                <c:pt idx="3">
                  <c:v>211.4</c:v>
                </c:pt>
                <c:pt idx="4">
                  <c:v>243.68</c:v>
                </c:pt>
                <c:pt idx="5">
                  <c:v>212.9</c:v>
                </c:pt>
                <c:pt idx="6">
                  <c:v>240.51300000000001</c:v>
                </c:pt>
                <c:pt idx="7">
                  <c:v>415.78500000000003</c:v>
                </c:pt>
                <c:pt idx="8">
                  <c:v>213.71</c:v>
                </c:pt>
                <c:pt idx="9">
                  <c:v>210.2</c:v>
                </c:pt>
                <c:pt idx="10">
                  <c:v>212.72</c:v>
                </c:pt>
                <c:pt idx="11">
                  <c:v>211.07</c:v>
                </c:pt>
                <c:pt idx="12">
                  <c:v>246.28899999999999</c:v>
                </c:pt>
              </c:numCache>
            </c:numRef>
          </c:xVal>
          <c:yVal>
            <c:numRef>
              <c:f>'Driver 2'!$E$2:$E$15</c:f>
              <c:numCache>
                <c:formatCode>General</c:formatCode>
                <c:ptCount val="14"/>
                <c:pt idx="0">
                  <c:v>6.0579999999999998</c:v>
                </c:pt>
                <c:pt idx="1">
                  <c:v>5.3479999999999999</c:v>
                </c:pt>
                <c:pt idx="2">
                  <c:v>4.25</c:v>
                </c:pt>
                <c:pt idx="3">
                  <c:v>4.4020000000000001</c:v>
                </c:pt>
                <c:pt idx="4">
                  <c:v>5.0460000000000003</c:v>
                </c:pt>
                <c:pt idx="5">
                  <c:v>5.0339999999999998</c:v>
                </c:pt>
                <c:pt idx="7">
                  <c:v>5.1760000000000002</c:v>
                </c:pt>
                <c:pt idx="8">
                  <c:v>5.4240000000000004</c:v>
                </c:pt>
                <c:pt idx="9">
                  <c:v>4.8440000000000003</c:v>
                </c:pt>
                <c:pt idx="10">
                  <c:v>4.6740000000000004</c:v>
                </c:pt>
                <c:pt idx="11">
                  <c:v>4.0910000000000002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36-4F94-9DF1-8A743A394150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3'!$B$2:$B$12</c:f>
              <c:numCache>
                <c:formatCode>General</c:formatCode>
                <c:ptCount val="11"/>
                <c:pt idx="0">
                  <c:v>253.63800000000001</c:v>
                </c:pt>
                <c:pt idx="1">
                  <c:v>221.6</c:v>
                </c:pt>
                <c:pt idx="2">
                  <c:v>214.96</c:v>
                </c:pt>
                <c:pt idx="3">
                  <c:v>219.07</c:v>
                </c:pt>
                <c:pt idx="4">
                  <c:v>212</c:v>
                </c:pt>
                <c:pt idx="5">
                  <c:v>250.76300000000001</c:v>
                </c:pt>
                <c:pt idx="6">
                  <c:v>1487.1030000000001</c:v>
                </c:pt>
                <c:pt idx="7">
                  <c:v>214.57</c:v>
                </c:pt>
                <c:pt idx="8">
                  <c:v>226.76</c:v>
                </c:pt>
                <c:pt idx="9">
                  <c:v>426.31700000000001</c:v>
                </c:pt>
              </c:numCache>
            </c:numRef>
          </c:xVal>
          <c:yVal>
            <c:numRef>
              <c:f>'Driver 3'!$E$2:$E$12</c:f>
              <c:numCache>
                <c:formatCode>General</c:formatCode>
                <c:ptCount val="11"/>
                <c:pt idx="0">
                  <c:v>3.7050000000000001</c:v>
                </c:pt>
                <c:pt idx="1">
                  <c:v>3.7709999999999999</c:v>
                </c:pt>
                <c:pt idx="2">
                  <c:v>3.5990000000000002</c:v>
                </c:pt>
                <c:pt idx="3">
                  <c:v>3.859</c:v>
                </c:pt>
                <c:pt idx="4">
                  <c:v>3.5209999999999999</c:v>
                </c:pt>
                <c:pt idx="6">
                  <c:v>3.32</c:v>
                </c:pt>
                <c:pt idx="7">
                  <c:v>3.105</c:v>
                </c:pt>
                <c:pt idx="8">
                  <c:v>3.0259999999999998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36-4F94-9DF1-8A743A394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8127360"/>
        <c:axId val="1268144832"/>
      </c:scatterChart>
      <c:valAx>
        <c:axId val="1268127360"/>
        <c:scaling>
          <c:orientation val="minMax"/>
          <c:max val="222.99999999999997"/>
          <c:min val="202.9999999999999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8144832"/>
        <c:crosses val="autoZero"/>
        <c:crossBetween val="midCat"/>
      </c:valAx>
      <c:valAx>
        <c:axId val="126814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8127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Brake release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1'!$B$2:$B$11</c:f>
              <c:numCache>
                <c:formatCode>General</c:formatCode>
                <c:ptCount val="10"/>
                <c:pt idx="0">
                  <c:v>1472.097</c:v>
                </c:pt>
                <c:pt idx="1">
                  <c:v>220.05</c:v>
                </c:pt>
                <c:pt idx="2">
                  <c:v>212.38</c:v>
                </c:pt>
                <c:pt idx="3">
                  <c:v>237.499</c:v>
                </c:pt>
                <c:pt idx="4">
                  <c:v>364.68900000000002</c:v>
                </c:pt>
                <c:pt idx="5">
                  <c:v>341.03</c:v>
                </c:pt>
                <c:pt idx="6">
                  <c:v>214.92</c:v>
                </c:pt>
                <c:pt idx="7">
                  <c:v>211.19</c:v>
                </c:pt>
                <c:pt idx="8">
                  <c:v>240.93100000000001</c:v>
                </c:pt>
              </c:numCache>
            </c:numRef>
          </c:xVal>
          <c:yVal>
            <c:numRef>
              <c:f>'Driver 1'!$F$2:$F$11</c:f>
              <c:numCache>
                <c:formatCode>General</c:formatCode>
                <c:ptCount val="10"/>
                <c:pt idx="0">
                  <c:v>15.163</c:v>
                </c:pt>
                <c:pt idx="1">
                  <c:v>3.3439999999999999</c:v>
                </c:pt>
                <c:pt idx="2">
                  <c:v>2.9060000000000001</c:v>
                </c:pt>
                <c:pt idx="4">
                  <c:v>2.2589999999999999</c:v>
                </c:pt>
                <c:pt idx="5">
                  <c:v>2.698</c:v>
                </c:pt>
                <c:pt idx="6">
                  <c:v>3.327</c:v>
                </c:pt>
                <c:pt idx="7">
                  <c:v>3.214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70-4095-8428-D52269631130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2'!$B$2:$B$15</c:f>
              <c:numCache>
                <c:formatCode>General</c:formatCode>
                <c:ptCount val="14"/>
                <c:pt idx="0">
                  <c:v>289.77800000000002</c:v>
                </c:pt>
                <c:pt idx="1">
                  <c:v>213.59</c:v>
                </c:pt>
                <c:pt idx="2">
                  <c:v>213.11</c:v>
                </c:pt>
                <c:pt idx="3">
                  <c:v>211.4</c:v>
                </c:pt>
                <c:pt idx="4">
                  <c:v>243.68</c:v>
                </c:pt>
                <c:pt idx="5">
                  <c:v>212.9</c:v>
                </c:pt>
                <c:pt idx="6">
                  <c:v>240.51300000000001</c:v>
                </c:pt>
                <c:pt idx="7">
                  <c:v>415.78500000000003</c:v>
                </c:pt>
                <c:pt idx="8">
                  <c:v>213.71</c:v>
                </c:pt>
                <c:pt idx="9">
                  <c:v>210.2</c:v>
                </c:pt>
                <c:pt idx="10">
                  <c:v>212.72</c:v>
                </c:pt>
                <c:pt idx="11">
                  <c:v>211.07</c:v>
                </c:pt>
                <c:pt idx="12">
                  <c:v>246.28899999999999</c:v>
                </c:pt>
              </c:numCache>
            </c:numRef>
          </c:xVal>
          <c:yVal>
            <c:numRef>
              <c:f>'Driver 2'!$F$2:$F$15</c:f>
              <c:numCache>
                <c:formatCode>General</c:formatCode>
                <c:ptCount val="14"/>
                <c:pt idx="0">
                  <c:v>3.3</c:v>
                </c:pt>
                <c:pt idx="1">
                  <c:v>3.415</c:v>
                </c:pt>
                <c:pt idx="2">
                  <c:v>3.3260000000000001</c:v>
                </c:pt>
                <c:pt idx="3">
                  <c:v>3.194</c:v>
                </c:pt>
                <c:pt idx="4">
                  <c:v>3.2109999999999999</c:v>
                </c:pt>
                <c:pt idx="5">
                  <c:v>3.2730000000000001</c:v>
                </c:pt>
                <c:pt idx="7">
                  <c:v>-573.15499999999997</c:v>
                </c:pt>
                <c:pt idx="8">
                  <c:v>-748.80399999999997</c:v>
                </c:pt>
                <c:pt idx="9">
                  <c:v>-103.21299999999999</c:v>
                </c:pt>
                <c:pt idx="10">
                  <c:v>-33.445</c:v>
                </c:pt>
                <c:pt idx="11">
                  <c:v>328.32900000000001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70-4095-8428-D52269631130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3'!$B$2:$B$12</c:f>
              <c:numCache>
                <c:formatCode>General</c:formatCode>
                <c:ptCount val="11"/>
                <c:pt idx="0">
                  <c:v>253.63800000000001</c:v>
                </c:pt>
                <c:pt idx="1">
                  <c:v>221.6</c:v>
                </c:pt>
                <c:pt idx="2">
                  <c:v>214.96</c:v>
                </c:pt>
                <c:pt idx="3">
                  <c:v>219.07</c:v>
                </c:pt>
                <c:pt idx="4">
                  <c:v>212</c:v>
                </c:pt>
                <c:pt idx="5">
                  <c:v>250.76300000000001</c:v>
                </c:pt>
                <c:pt idx="6">
                  <c:v>1487.1030000000001</c:v>
                </c:pt>
                <c:pt idx="7">
                  <c:v>214.57</c:v>
                </c:pt>
                <c:pt idx="8">
                  <c:v>226.76</c:v>
                </c:pt>
                <c:pt idx="9">
                  <c:v>426.31700000000001</c:v>
                </c:pt>
              </c:numCache>
            </c:numRef>
          </c:xVal>
          <c:yVal>
            <c:numRef>
              <c:f>'Driver 3'!$F$2:$F$12</c:f>
              <c:numCache>
                <c:formatCode>General</c:formatCode>
                <c:ptCount val="11"/>
                <c:pt idx="0">
                  <c:v>3.36</c:v>
                </c:pt>
                <c:pt idx="1">
                  <c:v>3.5779999999999998</c:v>
                </c:pt>
                <c:pt idx="2">
                  <c:v>3.504</c:v>
                </c:pt>
                <c:pt idx="3">
                  <c:v>3.5910000000000002</c:v>
                </c:pt>
                <c:pt idx="4">
                  <c:v>3.3</c:v>
                </c:pt>
                <c:pt idx="6">
                  <c:v>2.2810000000000001</c:v>
                </c:pt>
                <c:pt idx="7">
                  <c:v>3.41</c:v>
                </c:pt>
                <c:pt idx="8">
                  <c:v>2.476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70-4095-8428-D52269631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8131936"/>
        <c:axId val="1268136512"/>
      </c:scatterChart>
      <c:valAx>
        <c:axId val="1268131936"/>
        <c:scaling>
          <c:orientation val="minMax"/>
          <c:max val="222.99999999999997"/>
          <c:min val="202.9999999999999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8136512"/>
        <c:crosses val="autoZero"/>
        <c:crossBetween val="midCat"/>
      </c:valAx>
      <c:valAx>
        <c:axId val="12681365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8131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smoothness vs Fuel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1'!$E$2:$E$11</c:f>
              <c:numCache>
                <c:formatCode>General</c:formatCode>
                <c:ptCount val="10"/>
                <c:pt idx="0">
                  <c:v>14.084</c:v>
                </c:pt>
                <c:pt idx="1">
                  <c:v>4.8849999999999998</c:v>
                </c:pt>
                <c:pt idx="2">
                  <c:v>5.5789999999999997</c:v>
                </c:pt>
                <c:pt idx="4">
                  <c:v>2.3690000000000002</c:v>
                </c:pt>
                <c:pt idx="5">
                  <c:v>3.254</c:v>
                </c:pt>
                <c:pt idx="6">
                  <c:v>4.641</c:v>
                </c:pt>
                <c:pt idx="7">
                  <c:v>4.7240000000000002</c:v>
                </c:pt>
              </c:numCache>
            </c:numRef>
          </c:xVal>
          <c:yVal>
            <c:numRef>
              <c:f>'Driver 1'!$C$2:$C$11</c:f>
              <c:numCache>
                <c:formatCode>General</c:formatCode>
                <c:ptCount val="10"/>
                <c:pt idx="0">
                  <c:v>4.92</c:v>
                </c:pt>
                <c:pt idx="1">
                  <c:v>5.82</c:v>
                </c:pt>
                <c:pt idx="2">
                  <c:v>5.96</c:v>
                </c:pt>
                <c:pt idx="3">
                  <c:v>5.88</c:v>
                </c:pt>
                <c:pt idx="4">
                  <c:v>4.72</c:v>
                </c:pt>
                <c:pt idx="5">
                  <c:v>4.8</c:v>
                </c:pt>
                <c:pt idx="6">
                  <c:v>6.04</c:v>
                </c:pt>
                <c:pt idx="7">
                  <c:v>6.1</c:v>
                </c:pt>
                <c:pt idx="8">
                  <c:v>5.84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4A-410E-AA5F-087416240218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2'!$E$2:$E$15</c:f>
              <c:numCache>
                <c:formatCode>General</c:formatCode>
                <c:ptCount val="14"/>
                <c:pt idx="0">
                  <c:v>6.0579999999999998</c:v>
                </c:pt>
                <c:pt idx="1">
                  <c:v>5.3479999999999999</c:v>
                </c:pt>
                <c:pt idx="2">
                  <c:v>4.25</c:v>
                </c:pt>
                <c:pt idx="3">
                  <c:v>4.4020000000000001</c:v>
                </c:pt>
                <c:pt idx="4">
                  <c:v>5.0460000000000003</c:v>
                </c:pt>
                <c:pt idx="5">
                  <c:v>5.0339999999999998</c:v>
                </c:pt>
                <c:pt idx="7">
                  <c:v>5.1760000000000002</c:v>
                </c:pt>
                <c:pt idx="8">
                  <c:v>5.4240000000000004</c:v>
                </c:pt>
                <c:pt idx="9">
                  <c:v>4.8440000000000003</c:v>
                </c:pt>
                <c:pt idx="10">
                  <c:v>4.6740000000000004</c:v>
                </c:pt>
                <c:pt idx="11">
                  <c:v>4.0910000000000002</c:v>
                </c:pt>
              </c:numCache>
            </c:numRef>
          </c:xVal>
          <c:yVal>
            <c:numRef>
              <c:f>'Driver 2'!$C$2:$C$15</c:f>
              <c:numCache>
                <c:formatCode>General</c:formatCode>
                <c:ptCount val="14"/>
                <c:pt idx="0">
                  <c:v>5.62</c:v>
                </c:pt>
                <c:pt idx="1">
                  <c:v>5.77</c:v>
                </c:pt>
                <c:pt idx="2">
                  <c:v>5.84</c:v>
                </c:pt>
                <c:pt idx="3">
                  <c:v>5.85</c:v>
                </c:pt>
                <c:pt idx="4">
                  <c:v>5.61</c:v>
                </c:pt>
                <c:pt idx="5">
                  <c:v>5.81</c:v>
                </c:pt>
                <c:pt idx="6">
                  <c:v>5.63</c:v>
                </c:pt>
                <c:pt idx="7">
                  <c:v>4.96</c:v>
                </c:pt>
                <c:pt idx="8">
                  <c:v>5.84</c:v>
                </c:pt>
                <c:pt idx="9">
                  <c:v>5.95</c:v>
                </c:pt>
                <c:pt idx="10">
                  <c:v>5.64</c:v>
                </c:pt>
                <c:pt idx="11">
                  <c:v>5.88</c:v>
                </c:pt>
                <c:pt idx="12">
                  <c:v>-28.27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4A-410E-AA5F-087416240218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3'!$E$2:$E$12</c:f>
              <c:numCache>
                <c:formatCode>General</c:formatCode>
                <c:ptCount val="11"/>
                <c:pt idx="0">
                  <c:v>3.7050000000000001</c:v>
                </c:pt>
                <c:pt idx="1">
                  <c:v>3.7709999999999999</c:v>
                </c:pt>
                <c:pt idx="2">
                  <c:v>3.5990000000000002</c:v>
                </c:pt>
                <c:pt idx="3">
                  <c:v>3.859</c:v>
                </c:pt>
                <c:pt idx="4">
                  <c:v>3.5209999999999999</c:v>
                </c:pt>
                <c:pt idx="6">
                  <c:v>3.32</c:v>
                </c:pt>
                <c:pt idx="7">
                  <c:v>3.105</c:v>
                </c:pt>
                <c:pt idx="8">
                  <c:v>3.0259999999999998</c:v>
                </c:pt>
              </c:numCache>
            </c:numRef>
          </c:xVal>
          <c:yVal>
            <c:numRef>
              <c:f>'Driver 3'!$C$2:$C$12</c:f>
              <c:numCache>
                <c:formatCode>General</c:formatCode>
                <c:ptCount val="11"/>
                <c:pt idx="0">
                  <c:v>5.65</c:v>
                </c:pt>
                <c:pt idx="1">
                  <c:v>5.72</c:v>
                </c:pt>
                <c:pt idx="2">
                  <c:v>5.86</c:v>
                </c:pt>
                <c:pt idx="3">
                  <c:v>5.92</c:v>
                </c:pt>
                <c:pt idx="4">
                  <c:v>5.91</c:v>
                </c:pt>
                <c:pt idx="5">
                  <c:v>5.47</c:v>
                </c:pt>
                <c:pt idx="6">
                  <c:v>5.71</c:v>
                </c:pt>
                <c:pt idx="7">
                  <c:v>5.78</c:v>
                </c:pt>
                <c:pt idx="8">
                  <c:v>5.84</c:v>
                </c:pt>
                <c:pt idx="9">
                  <c:v>-17.32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4A-410E-AA5F-087416240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8126944"/>
        <c:axId val="1268133600"/>
      </c:scatterChart>
      <c:valAx>
        <c:axId val="1268126944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Throttle smoothness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8133600"/>
        <c:crosses val="autoZero"/>
        <c:crossBetween val="midCat"/>
      </c:valAx>
      <c:valAx>
        <c:axId val="1268133600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8126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smoothess vs Energy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1'!$E$2:$E$11</c:f>
              <c:numCache>
                <c:formatCode>General</c:formatCode>
                <c:ptCount val="10"/>
                <c:pt idx="0">
                  <c:v>14.084</c:v>
                </c:pt>
                <c:pt idx="1">
                  <c:v>4.8849999999999998</c:v>
                </c:pt>
                <c:pt idx="2">
                  <c:v>5.5789999999999997</c:v>
                </c:pt>
                <c:pt idx="4">
                  <c:v>2.3690000000000002</c:v>
                </c:pt>
                <c:pt idx="5">
                  <c:v>3.254</c:v>
                </c:pt>
                <c:pt idx="6">
                  <c:v>4.641</c:v>
                </c:pt>
                <c:pt idx="7">
                  <c:v>4.7240000000000002</c:v>
                </c:pt>
              </c:numCache>
            </c:numRef>
          </c:xVal>
          <c:yVal>
            <c:numRef>
              <c:f>'Driver 1'!$G$2:$G$11</c:f>
              <c:numCache>
                <c:formatCode>General</c:formatCode>
                <c:ptCount val="10"/>
                <c:pt idx="0">
                  <c:v>64.44</c:v>
                </c:pt>
                <c:pt idx="1">
                  <c:v>74.239999999999995</c:v>
                </c:pt>
                <c:pt idx="2">
                  <c:v>76.599999999999994</c:v>
                </c:pt>
                <c:pt idx="3">
                  <c:v>75</c:v>
                </c:pt>
                <c:pt idx="4">
                  <c:v>-196.62</c:v>
                </c:pt>
                <c:pt idx="5">
                  <c:v>52.7</c:v>
                </c:pt>
                <c:pt idx="6">
                  <c:v>74.34</c:v>
                </c:pt>
                <c:pt idx="7">
                  <c:v>74.94</c:v>
                </c:pt>
                <c:pt idx="8">
                  <c:v>70.28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1D-4CE6-98E0-EBFCEE6B3065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2'!$E$2:$E$15</c:f>
              <c:numCache>
                <c:formatCode>General</c:formatCode>
                <c:ptCount val="14"/>
                <c:pt idx="0">
                  <c:v>6.0579999999999998</c:v>
                </c:pt>
                <c:pt idx="1">
                  <c:v>5.3479999999999999</c:v>
                </c:pt>
                <c:pt idx="2">
                  <c:v>4.25</c:v>
                </c:pt>
                <c:pt idx="3">
                  <c:v>4.4020000000000001</c:v>
                </c:pt>
                <c:pt idx="4">
                  <c:v>5.0460000000000003</c:v>
                </c:pt>
                <c:pt idx="5">
                  <c:v>5.0339999999999998</c:v>
                </c:pt>
                <c:pt idx="7">
                  <c:v>5.1760000000000002</c:v>
                </c:pt>
                <c:pt idx="8">
                  <c:v>5.4240000000000004</c:v>
                </c:pt>
                <c:pt idx="9">
                  <c:v>4.8440000000000003</c:v>
                </c:pt>
                <c:pt idx="10">
                  <c:v>4.6740000000000004</c:v>
                </c:pt>
                <c:pt idx="11">
                  <c:v>4.0910000000000002</c:v>
                </c:pt>
              </c:numCache>
            </c:numRef>
          </c:xVal>
          <c:yVal>
            <c:numRef>
              <c:f>'Driver 2'!$G$2:$G$15</c:f>
              <c:numCache>
                <c:formatCode>General</c:formatCode>
                <c:ptCount val="14"/>
                <c:pt idx="0">
                  <c:v>-221.12</c:v>
                </c:pt>
                <c:pt idx="1">
                  <c:v>73.64</c:v>
                </c:pt>
                <c:pt idx="2">
                  <c:v>74.64</c:v>
                </c:pt>
                <c:pt idx="3">
                  <c:v>74.94</c:v>
                </c:pt>
                <c:pt idx="4">
                  <c:v>70.36</c:v>
                </c:pt>
                <c:pt idx="5">
                  <c:v>74.2</c:v>
                </c:pt>
                <c:pt idx="6">
                  <c:v>70.94</c:v>
                </c:pt>
                <c:pt idx="7">
                  <c:v>-451.18</c:v>
                </c:pt>
                <c:pt idx="8">
                  <c:v>73.06</c:v>
                </c:pt>
                <c:pt idx="9">
                  <c:v>74.739999999999995</c:v>
                </c:pt>
                <c:pt idx="10">
                  <c:v>70</c:v>
                </c:pt>
                <c:pt idx="11">
                  <c:v>73.92</c:v>
                </c:pt>
                <c:pt idx="12">
                  <c:v>69.680000000000007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1D-4CE6-98E0-EBFCEE6B3065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3'!$E$2:$E$12</c:f>
              <c:numCache>
                <c:formatCode>General</c:formatCode>
                <c:ptCount val="11"/>
                <c:pt idx="0">
                  <c:v>3.7050000000000001</c:v>
                </c:pt>
                <c:pt idx="1">
                  <c:v>3.7709999999999999</c:v>
                </c:pt>
                <c:pt idx="2">
                  <c:v>3.5990000000000002</c:v>
                </c:pt>
                <c:pt idx="3">
                  <c:v>3.859</c:v>
                </c:pt>
                <c:pt idx="4">
                  <c:v>3.5209999999999999</c:v>
                </c:pt>
                <c:pt idx="6">
                  <c:v>3.32</c:v>
                </c:pt>
                <c:pt idx="7">
                  <c:v>3.105</c:v>
                </c:pt>
                <c:pt idx="8">
                  <c:v>3.0259999999999998</c:v>
                </c:pt>
              </c:numCache>
            </c:numRef>
          </c:xVal>
          <c:yVal>
            <c:numRef>
              <c:f>'Driver 3'!$G$2:$G$12</c:f>
              <c:numCache>
                <c:formatCode>General</c:formatCode>
                <c:ptCount val="11"/>
                <c:pt idx="0">
                  <c:v>-348.8</c:v>
                </c:pt>
                <c:pt idx="1">
                  <c:v>72</c:v>
                </c:pt>
                <c:pt idx="2">
                  <c:v>73.98</c:v>
                </c:pt>
                <c:pt idx="3">
                  <c:v>75.02</c:v>
                </c:pt>
                <c:pt idx="4">
                  <c:v>74.900000000000006</c:v>
                </c:pt>
                <c:pt idx="5">
                  <c:v>66.86</c:v>
                </c:pt>
                <c:pt idx="6">
                  <c:v>-364.1</c:v>
                </c:pt>
                <c:pt idx="7">
                  <c:v>70.78</c:v>
                </c:pt>
                <c:pt idx="8">
                  <c:v>71.52</c:v>
                </c:pt>
                <c:pt idx="9">
                  <c:v>38.1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1D-4CE6-98E0-EBFCEE6B3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8147328"/>
        <c:axId val="1268148576"/>
      </c:scatterChart>
      <c:valAx>
        <c:axId val="1268147328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Throttle smoothness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8148576"/>
        <c:crosses val="autoZero"/>
        <c:crossBetween val="midCat"/>
      </c:valAx>
      <c:valAx>
        <c:axId val="1268148576"/>
        <c:scaling>
          <c:orientation val="minMax"/>
          <c:max val="8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8147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All!$BE$5</c:f>
              <c:strCache>
                <c:ptCount val="1"/>
                <c:pt idx="0">
                  <c:v>Max Load_FL_Ch1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All!$BE$6:$BE$186</c:f>
              <c:numCache>
                <c:formatCode>General</c:formatCode>
                <c:ptCount val="181"/>
                <c:pt idx="0">
                  <c:v>15.31</c:v>
                </c:pt>
                <c:pt idx="1">
                  <c:v>17.190000000000001</c:v>
                </c:pt>
                <c:pt idx="2">
                  <c:v>17.43</c:v>
                </c:pt>
                <c:pt idx="3">
                  <c:v>17.239999999999998</c:v>
                </c:pt>
                <c:pt idx="7">
                  <c:v>16.004999999999999</c:v>
                </c:pt>
                <c:pt idx="8">
                  <c:v>15.84</c:v>
                </c:pt>
                <c:pt idx="9">
                  <c:v>15.525</c:v>
                </c:pt>
                <c:pt idx="10">
                  <c:v>16.41</c:v>
                </c:pt>
                <c:pt idx="11">
                  <c:v>16.75</c:v>
                </c:pt>
                <c:pt idx="12">
                  <c:v>16.55</c:v>
                </c:pt>
                <c:pt idx="13">
                  <c:v>16.41</c:v>
                </c:pt>
                <c:pt idx="17">
                  <c:v>17.594999999999999</c:v>
                </c:pt>
                <c:pt idx="18">
                  <c:v>15.574999999999999</c:v>
                </c:pt>
                <c:pt idx="19">
                  <c:v>16.71</c:v>
                </c:pt>
                <c:pt idx="20">
                  <c:v>17</c:v>
                </c:pt>
                <c:pt idx="21">
                  <c:v>17.190000000000001</c:v>
                </c:pt>
                <c:pt idx="22">
                  <c:v>16.52</c:v>
                </c:pt>
                <c:pt idx="26">
                  <c:v>15.335000000000001</c:v>
                </c:pt>
                <c:pt idx="27">
                  <c:v>15.21</c:v>
                </c:pt>
                <c:pt idx="28">
                  <c:v>16.36</c:v>
                </c:pt>
                <c:pt idx="29">
                  <c:v>17.18</c:v>
                </c:pt>
                <c:pt idx="30">
                  <c:v>16.420000000000002</c:v>
                </c:pt>
                <c:pt idx="31">
                  <c:v>14.13</c:v>
                </c:pt>
                <c:pt idx="35">
                  <c:v>13.93</c:v>
                </c:pt>
                <c:pt idx="36">
                  <c:v>14.404999999999999</c:v>
                </c:pt>
                <c:pt idx="37">
                  <c:v>16.89</c:v>
                </c:pt>
                <c:pt idx="38">
                  <c:v>12.935</c:v>
                </c:pt>
                <c:pt idx="42">
                  <c:v>14.96</c:v>
                </c:pt>
                <c:pt idx="43">
                  <c:v>13.664999999999999</c:v>
                </c:pt>
                <c:pt idx="44">
                  <c:v>16.864999999999998</c:v>
                </c:pt>
                <c:pt idx="45">
                  <c:v>16.925000000000001</c:v>
                </c:pt>
                <c:pt idx="46">
                  <c:v>15.965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2A-4C1B-BA6A-35253FFFEE55}"/>
            </c:ext>
          </c:extLst>
        </c:ser>
        <c:ser>
          <c:idx val="1"/>
          <c:order val="1"/>
          <c:tx>
            <c:strRef>
              <c:f>All!$BF$5</c:f>
              <c:strCache>
                <c:ptCount val="1"/>
                <c:pt idx="0">
                  <c:v>Max Load_FR_Ch1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All!$BF$6:$BF$186</c:f>
              <c:numCache>
                <c:formatCode>General</c:formatCode>
                <c:ptCount val="181"/>
                <c:pt idx="0">
                  <c:v>12.705</c:v>
                </c:pt>
                <c:pt idx="1">
                  <c:v>12.565</c:v>
                </c:pt>
                <c:pt idx="2">
                  <c:v>13.835000000000001</c:v>
                </c:pt>
                <c:pt idx="3">
                  <c:v>14.17</c:v>
                </c:pt>
                <c:pt idx="7">
                  <c:v>13.48</c:v>
                </c:pt>
                <c:pt idx="8">
                  <c:v>12.465</c:v>
                </c:pt>
                <c:pt idx="9">
                  <c:v>12.115</c:v>
                </c:pt>
                <c:pt idx="10">
                  <c:v>13.255000000000001</c:v>
                </c:pt>
                <c:pt idx="11">
                  <c:v>14.12</c:v>
                </c:pt>
                <c:pt idx="12">
                  <c:v>14.22</c:v>
                </c:pt>
                <c:pt idx="13">
                  <c:v>14.195</c:v>
                </c:pt>
                <c:pt idx="17">
                  <c:v>12.855</c:v>
                </c:pt>
                <c:pt idx="18">
                  <c:v>14.71</c:v>
                </c:pt>
                <c:pt idx="19">
                  <c:v>14.525</c:v>
                </c:pt>
                <c:pt idx="20">
                  <c:v>14.775</c:v>
                </c:pt>
                <c:pt idx="21">
                  <c:v>15.19</c:v>
                </c:pt>
                <c:pt idx="22">
                  <c:v>13.645</c:v>
                </c:pt>
                <c:pt idx="26">
                  <c:v>13.585000000000001</c:v>
                </c:pt>
                <c:pt idx="27">
                  <c:v>12.845000000000001</c:v>
                </c:pt>
                <c:pt idx="28">
                  <c:v>14.4</c:v>
                </c:pt>
                <c:pt idx="29">
                  <c:v>13.045</c:v>
                </c:pt>
                <c:pt idx="30">
                  <c:v>13.77</c:v>
                </c:pt>
                <c:pt idx="31">
                  <c:v>12.53</c:v>
                </c:pt>
                <c:pt idx="35">
                  <c:v>12.98</c:v>
                </c:pt>
                <c:pt idx="36">
                  <c:v>13.305</c:v>
                </c:pt>
                <c:pt idx="37">
                  <c:v>15.025</c:v>
                </c:pt>
                <c:pt idx="38">
                  <c:v>12.955</c:v>
                </c:pt>
                <c:pt idx="42">
                  <c:v>11.16</c:v>
                </c:pt>
                <c:pt idx="43">
                  <c:v>11.525</c:v>
                </c:pt>
                <c:pt idx="44">
                  <c:v>14.07</c:v>
                </c:pt>
                <c:pt idx="45">
                  <c:v>15.225</c:v>
                </c:pt>
                <c:pt idx="46">
                  <c:v>11.675000000000001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2A-4C1B-BA6A-35253FFFEE55}"/>
            </c:ext>
          </c:extLst>
        </c:ser>
        <c:ser>
          <c:idx val="2"/>
          <c:order val="2"/>
          <c:tx>
            <c:strRef>
              <c:f>All!$BG$5</c:f>
              <c:strCache>
                <c:ptCount val="1"/>
                <c:pt idx="0">
                  <c:v>Max Load_RL_Ch1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All!$BG$6:$BG$186</c:f>
              <c:numCache>
                <c:formatCode>General</c:formatCode>
                <c:ptCount val="181"/>
                <c:pt idx="0">
                  <c:v>26.68</c:v>
                </c:pt>
                <c:pt idx="1">
                  <c:v>27.86</c:v>
                </c:pt>
                <c:pt idx="2">
                  <c:v>28.99</c:v>
                </c:pt>
                <c:pt idx="3">
                  <c:v>29.03</c:v>
                </c:pt>
                <c:pt idx="7">
                  <c:v>26.25</c:v>
                </c:pt>
                <c:pt idx="8">
                  <c:v>28.25</c:v>
                </c:pt>
                <c:pt idx="9">
                  <c:v>29.12</c:v>
                </c:pt>
                <c:pt idx="10">
                  <c:v>28.42</c:v>
                </c:pt>
                <c:pt idx="11">
                  <c:v>27.01</c:v>
                </c:pt>
                <c:pt idx="12">
                  <c:v>28.9</c:v>
                </c:pt>
                <c:pt idx="13">
                  <c:v>28.16</c:v>
                </c:pt>
                <c:pt idx="17">
                  <c:v>28.44</c:v>
                </c:pt>
                <c:pt idx="18">
                  <c:v>28.69</c:v>
                </c:pt>
                <c:pt idx="19">
                  <c:v>28.56</c:v>
                </c:pt>
                <c:pt idx="20">
                  <c:v>29.62</c:v>
                </c:pt>
                <c:pt idx="21">
                  <c:v>28.2</c:v>
                </c:pt>
                <c:pt idx="22">
                  <c:v>28.46</c:v>
                </c:pt>
                <c:pt idx="26">
                  <c:v>26.19</c:v>
                </c:pt>
                <c:pt idx="27">
                  <c:v>29.01</c:v>
                </c:pt>
                <c:pt idx="28">
                  <c:v>28.8</c:v>
                </c:pt>
                <c:pt idx="29">
                  <c:v>28.2</c:v>
                </c:pt>
                <c:pt idx="30">
                  <c:v>29.6</c:v>
                </c:pt>
                <c:pt idx="31">
                  <c:v>28.71</c:v>
                </c:pt>
                <c:pt idx="35">
                  <c:v>26.68</c:v>
                </c:pt>
                <c:pt idx="36">
                  <c:v>27.59</c:v>
                </c:pt>
                <c:pt idx="37">
                  <c:v>28.42</c:v>
                </c:pt>
                <c:pt idx="38">
                  <c:v>24.96</c:v>
                </c:pt>
                <c:pt idx="42">
                  <c:v>27.29</c:v>
                </c:pt>
                <c:pt idx="43">
                  <c:v>26.17</c:v>
                </c:pt>
                <c:pt idx="44">
                  <c:v>28.1</c:v>
                </c:pt>
                <c:pt idx="45">
                  <c:v>28.73</c:v>
                </c:pt>
                <c:pt idx="46">
                  <c:v>29.09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2A-4C1B-BA6A-35253FFFEE55}"/>
            </c:ext>
          </c:extLst>
        </c:ser>
        <c:ser>
          <c:idx val="3"/>
          <c:order val="3"/>
          <c:tx>
            <c:strRef>
              <c:f>All!$BH$5</c:f>
              <c:strCache>
                <c:ptCount val="1"/>
                <c:pt idx="0">
                  <c:v>Max Load_RR_Ch1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All!$BH$6:$BH$186</c:f>
              <c:numCache>
                <c:formatCode>General</c:formatCode>
                <c:ptCount val="181"/>
                <c:pt idx="0">
                  <c:v>26.42</c:v>
                </c:pt>
                <c:pt idx="1">
                  <c:v>26.32</c:v>
                </c:pt>
                <c:pt idx="2">
                  <c:v>26.62</c:v>
                </c:pt>
                <c:pt idx="3">
                  <c:v>26.95</c:v>
                </c:pt>
                <c:pt idx="7">
                  <c:v>25.53</c:v>
                </c:pt>
                <c:pt idx="8">
                  <c:v>25.26</c:v>
                </c:pt>
                <c:pt idx="9">
                  <c:v>25.83</c:v>
                </c:pt>
                <c:pt idx="10">
                  <c:v>26.13</c:v>
                </c:pt>
                <c:pt idx="11">
                  <c:v>27.36</c:v>
                </c:pt>
                <c:pt idx="12">
                  <c:v>26.79</c:v>
                </c:pt>
                <c:pt idx="13">
                  <c:v>27.42</c:v>
                </c:pt>
                <c:pt idx="17">
                  <c:v>25.24</c:v>
                </c:pt>
                <c:pt idx="18">
                  <c:v>30.91</c:v>
                </c:pt>
                <c:pt idx="19">
                  <c:v>28.54</c:v>
                </c:pt>
                <c:pt idx="20">
                  <c:v>25.13</c:v>
                </c:pt>
                <c:pt idx="21">
                  <c:v>26.3</c:v>
                </c:pt>
                <c:pt idx="22">
                  <c:v>26.57</c:v>
                </c:pt>
                <c:pt idx="26">
                  <c:v>26.13</c:v>
                </c:pt>
                <c:pt idx="27">
                  <c:v>28.08</c:v>
                </c:pt>
                <c:pt idx="28">
                  <c:v>28.86</c:v>
                </c:pt>
                <c:pt idx="29">
                  <c:v>27.55</c:v>
                </c:pt>
                <c:pt idx="30">
                  <c:v>30.13</c:v>
                </c:pt>
                <c:pt idx="31">
                  <c:v>27.29</c:v>
                </c:pt>
                <c:pt idx="35">
                  <c:v>26.49</c:v>
                </c:pt>
                <c:pt idx="36">
                  <c:v>25.56</c:v>
                </c:pt>
                <c:pt idx="37">
                  <c:v>27.53</c:v>
                </c:pt>
                <c:pt idx="38">
                  <c:v>25.2</c:v>
                </c:pt>
                <c:pt idx="42">
                  <c:v>26.85</c:v>
                </c:pt>
                <c:pt idx="43">
                  <c:v>25.94</c:v>
                </c:pt>
                <c:pt idx="44">
                  <c:v>26.34</c:v>
                </c:pt>
                <c:pt idx="45">
                  <c:v>28.06</c:v>
                </c:pt>
                <c:pt idx="46">
                  <c:v>24.26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2A-4C1B-BA6A-35253FFFE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532799"/>
        <c:axId val="1423540703"/>
      </c:lineChart>
      <c:catAx>
        <c:axId val="14235327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3540703"/>
        <c:crosses val="autoZero"/>
        <c:auto val="1"/>
        <c:lblAlgn val="ctr"/>
        <c:lblOffset val="100"/>
        <c:noMultiLvlLbl val="0"/>
      </c:catAx>
      <c:valAx>
        <c:axId val="1423540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3532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All!$D$6:$D$217</c:f>
              <c:strCache>
                <c:ptCount val="212"/>
                <c:pt idx="0">
                  <c:v>24:32.10 &lt;</c:v>
                </c:pt>
                <c:pt idx="1">
                  <c:v>03:40.0</c:v>
                </c:pt>
                <c:pt idx="2">
                  <c:v>03:32.3</c:v>
                </c:pt>
                <c:pt idx="3">
                  <c:v>03:57.5</c:v>
                </c:pt>
                <c:pt idx="7">
                  <c:v>04:49.8</c:v>
                </c:pt>
                <c:pt idx="8">
                  <c:v>03:33.5</c:v>
                </c:pt>
                <c:pt idx="9">
                  <c:v>03:33.1</c:v>
                </c:pt>
                <c:pt idx="10">
                  <c:v>03:31.4</c:v>
                </c:pt>
                <c:pt idx="11">
                  <c:v>04:03.6</c:v>
                </c:pt>
                <c:pt idx="12">
                  <c:v>03:32.9</c:v>
                </c:pt>
                <c:pt idx="13">
                  <c:v>04:00.5</c:v>
                </c:pt>
                <c:pt idx="17">
                  <c:v>06:55.8</c:v>
                </c:pt>
                <c:pt idx="18">
                  <c:v>03:33.7</c:v>
                </c:pt>
                <c:pt idx="19">
                  <c:v>03:30.2</c:v>
                </c:pt>
                <c:pt idx="20">
                  <c:v>03:32.7</c:v>
                </c:pt>
                <c:pt idx="21">
                  <c:v>03:31.0</c:v>
                </c:pt>
                <c:pt idx="22">
                  <c:v>04:06.3</c:v>
                </c:pt>
                <c:pt idx="26">
                  <c:v>04:13.6</c:v>
                </c:pt>
                <c:pt idx="27">
                  <c:v>03:41.6</c:v>
                </c:pt>
                <c:pt idx="28">
                  <c:v>03:34.9</c:v>
                </c:pt>
                <c:pt idx="29">
                  <c:v>03:39.0</c:v>
                </c:pt>
                <c:pt idx="30">
                  <c:v>03:32.0</c:v>
                </c:pt>
                <c:pt idx="31">
                  <c:v>04:10.8</c:v>
                </c:pt>
                <c:pt idx="35">
                  <c:v>24:47.1</c:v>
                </c:pt>
                <c:pt idx="36">
                  <c:v>03:34.5</c:v>
                </c:pt>
                <c:pt idx="37">
                  <c:v>03:46.7</c:v>
                </c:pt>
                <c:pt idx="38">
                  <c:v>07:06.3</c:v>
                </c:pt>
                <c:pt idx="42">
                  <c:v>06:04.7</c:v>
                </c:pt>
                <c:pt idx="43">
                  <c:v>05:41.1</c:v>
                </c:pt>
                <c:pt idx="44">
                  <c:v>03:34.9</c:v>
                </c:pt>
                <c:pt idx="45">
                  <c:v>03:31.2</c:v>
                </c:pt>
                <c:pt idx="46">
                  <c:v>04:00.9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All!$D$218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AE-4C44-AD77-5C6A943D0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415632"/>
        <c:axId val="2063421040"/>
      </c:scatterChart>
      <c:valAx>
        <c:axId val="2063415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63421040"/>
        <c:crosses val="autoZero"/>
        <c:crossBetween val="midCat"/>
      </c:valAx>
      <c:valAx>
        <c:axId val="206342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63415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6.xml"/><Relationship Id="rId21" Type="http://schemas.openxmlformats.org/officeDocument/2006/relationships/chart" Target="../charts/chart21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63" Type="http://schemas.openxmlformats.org/officeDocument/2006/relationships/chart" Target="../charts/chart63.xml"/><Relationship Id="rId68" Type="http://schemas.openxmlformats.org/officeDocument/2006/relationships/chart" Target="../charts/chart68.xml"/><Relationship Id="rId7" Type="http://schemas.openxmlformats.org/officeDocument/2006/relationships/chart" Target="../charts/chart7.xml"/><Relationship Id="rId71" Type="http://schemas.openxmlformats.org/officeDocument/2006/relationships/chart" Target="../charts/chart71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66" Type="http://schemas.openxmlformats.org/officeDocument/2006/relationships/chart" Target="../charts/chart66.xml"/><Relationship Id="rId5" Type="http://schemas.openxmlformats.org/officeDocument/2006/relationships/chart" Target="../charts/chart5.xml"/><Relationship Id="rId61" Type="http://schemas.openxmlformats.org/officeDocument/2006/relationships/chart" Target="../charts/chart61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69" Type="http://schemas.openxmlformats.org/officeDocument/2006/relationships/chart" Target="../charts/chart69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67" Type="http://schemas.openxmlformats.org/officeDocument/2006/relationships/chart" Target="../charts/chart67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70" Type="http://schemas.openxmlformats.org/officeDocument/2006/relationships/chart" Target="../charts/chart7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9" Type="http://schemas.openxmlformats.org/officeDocument/2006/relationships/chart" Target="../charts/chart39.xml"/><Relationship Id="rId34" Type="http://schemas.openxmlformats.org/officeDocument/2006/relationships/chart" Target="../charts/chart34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4</xdr:row>
      <xdr:rowOff>123825</xdr:rowOff>
    </xdr:from>
    <xdr:to>
      <xdr:col>3</xdr:col>
      <xdr:colOff>295275</xdr:colOff>
      <xdr:row>6</xdr:row>
      <xdr:rowOff>66675</xdr:rowOff>
    </xdr:to>
    <xdr:sp macro="[0]!Data_copy" textlink="">
      <xdr:nvSpPr>
        <xdr:cNvPr id="2" name="Rectangle 1">
          <a:extLst>
            <a:ext uri="{FF2B5EF4-FFF2-40B4-BE49-F238E27FC236}">
              <a16:creationId xmlns:a16="http://schemas.microsoft.com/office/drawing/2014/main" id="{531677E9-6C34-43CF-9C39-DFE57837B0F1}"/>
            </a:ext>
          </a:extLst>
        </xdr:cNvPr>
        <xdr:cNvSpPr/>
      </xdr:nvSpPr>
      <xdr:spPr>
        <a:xfrm>
          <a:off x="1285875" y="885825"/>
          <a:ext cx="83820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Data_Copy</a:t>
          </a:r>
        </a:p>
      </xdr:txBody>
    </xdr:sp>
    <xdr:clientData/>
  </xdr:twoCellAnchor>
  <xdr:twoCellAnchor>
    <xdr:from>
      <xdr:col>1</xdr:col>
      <xdr:colOff>428625</xdr:colOff>
      <xdr:row>7</xdr:row>
      <xdr:rowOff>0</xdr:rowOff>
    </xdr:from>
    <xdr:to>
      <xdr:col>3</xdr:col>
      <xdr:colOff>533400</xdr:colOff>
      <xdr:row>10</xdr:row>
      <xdr:rowOff>85725</xdr:rowOff>
    </xdr:to>
    <xdr:sp macro="[0]!Plot_Export" textlink="">
      <xdr:nvSpPr>
        <xdr:cNvPr id="3" name="Oval 2">
          <a:extLst>
            <a:ext uri="{FF2B5EF4-FFF2-40B4-BE49-F238E27FC236}">
              <a16:creationId xmlns:a16="http://schemas.microsoft.com/office/drawing/2014/main" id="{4FBB1FD2-A080-4466-B886-BCF4B0EBAE98}"/>
            </a:ext>
          </a:extLst>
        </xdr:cNvPr>
        <xdr:cNvSpPr/>
      </xdr:nvSpPr>
      <xdr:spPr>
        <a:xfrm>
          <a:off x="1400175" y="1333500"/>
          <a:ext cx="1323975" cy="657225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Export</a:t>
          </a:r>
          <a:r>
            <a:rPr lang="it-IT" sz="1100" baseline="0"/>
            <a:t> plots</a:t>
          </a:r>
          <a:endParaRPr lang="it-IT" sz="1100"/>
        </a:p>
      </xdr:txBody>
    </xdr:sp>
    <xdr:clientData/>
  </xdr:twoCellAnchor>
  <xdr:twoCellAnchor>
    <xdr:from>
      <xdr:col>1</xdr:col>
      <xdr:colOff>990599</xdr:colOff>
      <xdr:row>11</xdr:row>
      <xdr:rowOff>19050</xdr:rowOff>
    </xdr:from>
    <xdr:to>
      <xdr:col>1</xdr:col>
      <xdr:colOff>1981200</xdr:colOff>
      <xdr:row>12</xdr:row>
      <xdr:rowOff>180975</xdr:rowOff>
    </xdr:to>
    <xdr:sp macro="[0]!plot_clear" textlink="">
      <xdr:nvSpPr>
        <xdr:cNvPr id="4" name="Rectangle: Diagonal Corners Snipped 3">
          <a:extLst>
            <a:ext uri="{FF2B5EF4-FFF2-40B4-BE49-F238E27FC236}">
              <a16:creationId xmlns:a16="http://schemas.microsoft.com/office/drawing/2014/main" id="{117EB9CB-AA22-4D9B-AA31-AB7F5B126E9B}"/>
            </a:ext>
          </a:extLst>
        </xdr:cNvPr>
        <xdr:cNvSpPr/>
      </xdr:nvSpPr>
      <xdr:spPr>
        <a:xfrm>
          <a:off x="2400299" y="2114550"/>
          <a:ext cx="990601" cy="352425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Plot cleanup</a:t>
          </a:r>
        </a:p>
      </xdr:txBody>
    </xdr:sp>
    <xdr:clientData/>
  </xdr:twoCellAnchor>
  <xdr:twoCellAnchor>
    <xdr:from>
      <xdr:col>6</xdr:col>
      <xdr:colOff>581024</xdr:colOff>
      <xdr:row>4</xdr:row>
      <xdr:rowOff>142875</xdr:rowOff>
    </xdr:from>
    <xdr:to>
      <xdr:col>10</xdr:col>
      <xdr:colOff>114299</xdr:colOff>
      <xdr:row>9</xdr:row>
      <xdr:rowOff>104775</xdr:rowOff>
    </xdr:to>
    <xdr:sp macro="[0]!Add_Titles" textlink="">
      <xdr:nvSpPr>
        <xdr:cNvPr id="5" name="Oval 4">
          <a:extLst>
            <a:ext uri="{FF2B5EF4-FFF2-40B4-BE49-F238E27FC236}">
              <a16:creationId xmlns:a16="http://schemas.microsoft.com/office/drawing/2014/main" id="{094A8ABA-77F5-45A0-9226-7ADFDAC50548}"/>
            </a:ext>
          </a:extLst>
        </xdr:cNvPr>
        <xdr:cNvSpPr/>
      </xdr:nvSpPr>
      <xdr:spPr>
        <a:xfrm>
          <a:off x="7019924" y="904875"/>
          <a:ext cx="1971675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Add titles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12700</xdr:colOff>
      <xdr:row>1</xdr:row>
      <xdr:rowOff>63500</xdr:rowOff>
    </xdr:from>
    <xdr:to>
      <xdr:col>26</xdr:col>
      <xdr:colOff>628650</xdr:colOff>
      <xdr:row>13</xdr:row>
      <xdr:rowOff>0</xdr:rowOff>
    </xdr:to>
    <xdr:graphicFrame macro="">
      <xdr:nvGraphicFramePr>
        <xdr:cNvPr id="9942" name="Chart 9941">
          <a:extLst>
            <a:ext uri="{FF2B5EF4-FFF2-40B4-BE49-F238E27FC236}">
              <a16:creationId xmlns:a16="http://schemas.microsoft.com/office/drawing/2014/main" id="{C9419E16-F57D-46CF-8AF0-5F9661358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12700</xdr:colOff>
      <xdr:row>13</xdr:row>
      <xdr:rowOff>63500</xdr:rowOff>
    </xdr:from>
    <xdr:to>
      <xdr:col>26</xdr:col>
      <xdr:colOff>628650</xdr:colOff>
      <xdr:row>25</xdr:row>
      <xdr:rowOff>0</xdr:rowOff>
    </xdr:to>
    <xdr:graphicFrame macro="">
      <xdr:nvGraphicFramePr>
        <xdr:cNvPr id="9943" name="Chart 9942">
          <a:extLst>
            <a:ext uri="{FF2B5EF4-FFF2-40B4-BE49-F238E27FC236}">
              <a16:creationId xmlns:a16="http://schemas.microsoft.com/office/drawing/2014/main" id="{3819BBF4-C22B-4FBD-9149-AB0AC9D26B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12700</xdr:colOff>
      <xdr:row>25</xdr:row>
      <xdr:rowOff>63500</xdr:rowOff>
    </xdr:from>
    <xdr:to>
      <xdr:col>26</xdr:col>
      <xdr:colOff>628650</xdr:colOff>
      <xdr:row>37</xdr:row>
      <xdr:rowOff>0</xdr:rowOff>
    </xdr:to>
    <xdr:graphicFrame macro="">
      <xdr:nvGraphicFramePr>
        <xdr:cNvPr id="9944" name="Chart 9943">
          <a:extLst>
            <a:ext uri="{FF2B5EF4-FFF2-40B4-BE49-F238E27FC236}">
              <a16:creationId xmlns:a16="http://schemas.microsoft.com/office/drawing/2014/main" id="{C4046F49-0F7F-4576-97BD-C4B270F233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12700</xdr:colOff>
      <xdr:row>37</xdr:row>
      <xdr:rowOff>63500</xdr:rowOff>
    </xdr:from>
    <xdr:to>
      <xdr:col>26</xdr:col>
      <xdr:colOff>628650</xdr:colOff>
      <xdr:row>49</xdr:row>
      <xdr:rowOff>0</xdr:rowOff>
    </xdr:to>
    <xdr:graphicFrame macro="">
      <xdr:nvGraphicFramePr>
        <xdr:cNvPr id="9945" name="Chart 9944">
          <a:extLst>
            <a:ext uri="{FF2B5EF4-FFF2-40B4-BE49-F238E27FC236}">
              <a16:creationId xmlns:a16="http://schemas.microsoft.com/office/drawing/2014/main" id="{F498EC22-1CA6-4DFA-8053-18DF54436B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12700</xdr:colOff>
      <xdr:row>1</xdr:row>
      <xdr:rowOff>63500</xdr:rowOff>
    </xdr:from>
    <xdr:to>
      <xdr:col>35</xdr:col>
      <xdr:colOff>628650</xdr:colOff>
      <xdr:row>13</xdr:row>
      <xdr:rowOff>0</xdr:rowOff>
    </xdr:to>
    <xdr:graphicFrame macro="">
      <xdr:nvGraphicFramePr>
        <xdr:cNvPr id="9946" name="Chart 9945">
          <a:extLst>
            <a:ext uri="{FF2B5EF4-FFF2-40B4-BE49-F238E27FC236}">
              <a16:creationId xmlns:a16="http://schemas.microsoft.com/office/drawing/2014/main" id="{18881A39-A8B6-4430-9FA0-15F9370C28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12700</xdr:colOff>
      <xdr:row>13</xdr:row>
      <xdr:rowOff>63500</xdr:rowOff>
    </xdr:from>
    <xdr:to>
      <xdr:col>35</xdr:col>
      <xdr:colOff>628650</xdr:colOff>
      <xdr:row>25</xdr:row>
      <xdr:rowOff>0</xdr:rowOff>
    </xdr:to>
    <xdr:graphicFrame macro="">
      <xdr:nvGraphicFramePr>
        <xdr:cNvPr id="9947" name="Chart 9946">
          <a:extLst>
            <a:ext uri="{FF2B5EF4-FFF2-40B4-BE49-F238E27FC236}">
              <a16:creationId xmlns:a16="http://schemas.microsoft.com/office/drawing/2014/main" id="{AACF7D80-F5A5-485B-BBC6-99BDB9D212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12700</xdr:colOff>
      <xdr:row>25</xdr:row>
      <xdr:rowOff>63500</xdr:rowOff>
    </xdr:from>
    <xdr:to>
      <xdr:col>35</xdr:col>
      <xdr:colOff>628650</xdr:colOff>
      <xdr:row>37</xdr:row>
      <xdr:rowOff>0</xdr:rowOff>
    </xdr:to>
    <xdr:graphicFrame macro="">
      <xdr:nvGraphicFramePr>
        <xdr:cNvPr id="9948" name="Chart 9947">
          <a:extLst>
            <a:ext uri="{FF2B5EF4-FFF2-40B4-BE49-F238E27FC236}">
              <a16:creationId xmlns:a16="http://schemas.microsoft.com/office/drawing/2014/main" id="{56AFA3FB-D0E2-41C2-9017-DF3AA2604E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12700</xdr:colOff>
      <xdr:row>37</xdr:row>
      <xdr:rowOff>63500</xdr:rowOff>
    </xdr:from>
    <xdr:to>
      <xdr:col>35</xdr:col>
      <xdr:colOff>628650</xdr:colOff>
      <xdr:row>49</xdr:row>
      <xdr:rowOff>0</xdr:rowOff>
    </xdr:to>
    <xdr:graphicFrame macro="">
      <xdr:nvGraphicFramePr>
        <xdr:cNvPr id="9949" name="Chart 9948">
          <a:extLst>
            <a:ext uri="{FF2B5EF4-FFF2-40B4-BE49-F238E27FC236}">
              <a16:creationId xmlns:a16="http://schemas.microsoft.com/office/drawing/2014/main" id="{7F868EB6-1209-418E-8CF8-8AA5749F18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12700</xdr:colOff>
      <xdr:row>1</xdr:row>
      <xdr:rowOff>63500</xdr:rowOff>
    </xdr:from>
    <xdr:to>
      <xdr:col>44</xdr:col>
      <xdr:colOff>628650</xdr:colOff>
      <xdr:row>13</xdr:row>
      <xdr:rowOff>0</xdr:rowOff>
    </xdr:to>
    <xdr:graphicFrame macro="">
      <xdr:nvGraphicFramePr>
        <xdr:cNvPr id="9950" name="Chart 9949">
          <a:extLst>
            <a:ext uri="{FF2B5EF4-FFF2-40B4-BE49-F238E27FC236}">
              <a16:creationId xmlns:a16="http://schemas.microsoft.com/office/drawing/2014/main" id="{1AF08F64-DD27-41E7-ADF3-83F20821FB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12700</xdr:colOff>
      <xdr:row>13</xdr:row>
      <xdr:rowOff>63500</xdr:rowOff>
    </xdr:from>
    <xdr:to>
      <xdr:col>44</xdr:col>
      <xdr:colOff>628650</xdr:colOff>
      <xdr:row>25</xdr:row>
      <xdr:rowOff>0</xdr:rowOff>
    </xdr:to>
    <xdr:graphicFrame macro="">
      <xdr:nvGraphicFramePr>
        <xdr:cNvPr id="9951" name="Chart 9950">
          <a:extLst>
            <a:ext uri="{FF2B5EF4-FFF2-40B4-BE49-F238E27FC236}">
              <a16:creationId xmlns:a16="http://schemas.microsoft.com/office/drawing/2014/main" id="{72D6C6DB-5837-41CE-A7EA-B36B6CFF50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36</xdr:col>
      <xdr:colOff>12700</xdr:colOff>
      <xdr:row>25</xdr:row>
      <xdr:rowOff>63500</xdr:rowOff>
    </xdr:from>
    <xdr:to>
      <xdr:col>44</xdr:col>
      <xdr:colOff>628650</xdr:colOff>
      <xdr:row>37</xdr:row>
      <xdr:rowOff>0</xdr:rowOff>
    </xdr:to>
    <xdr:graphicFrame macro="">
      <xdr:nvGraphicFramePr>
        <xdr:cNvPr id="9952" name="Chart 9951">
          <a:extLst>
            <a:ext uri="{FF2B5EF4-FFF2-40B4-BE49-F238E27FC236}">
              <a16:creationId xmlns:a16="http://schemas.microsoft.com/office/drawing/2014/main" id="{2F627E25-7DE8-4E2A-BA42-7B401CEF8C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12700</xdr:colOff>
      <xdr:row>37</xdr:row>
      <xdr:rowOff>63500</xdr:rowOff>
    </xdr:from>
    <xdr:to>
      <xdr:col>44</xdr:col>
      <xdr:colOff>628650</xdr:colOff>
      <xdr:row>49</xdr:row>
      <xdr:rowOff>0</xdr:rowOff>
    </xdr:to>
    <xdr:graphicFrame macro="">
      <xdr:nvGraphicFramePr>
        <xdr:cNvPr id="9953" name="Chart 9952">
          <a:extLst>
            <a:ext uri="{FF2B5EF4-FFF2-40B4-BE49-F238E27FC236}">
              <a16:creationId xmlns:a16="http://schemas.microsoft.com/office/drawing/2014/main" id="{532D9057-665D-4F0A-89B4-C6A6F8B708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45</xdr:col>
      <xdr:colOff>12700</xdr:colOff>
      <xdr:row>1</xdr:row>
      <xdr:rowOff>63500</xdr:rowOff>
    </xdr:from>
    <xdr:to>
      <xdr:col>53</xdr:col>
      <xdr:colOff>628650</xdr:colOff>
      <xdr:row>13</xdr:row>
      <xdr:rowOff>0</xdr:rowOff>
    </xdr:to>
    <xdr:graphicFrame macro="">
      <xdr:nvGraphicFramePr>
        <xdr:cNvPr id="9954" name="Chart 9953">
          <a:extLst>
            <a:ext uri="{FF2B5EF4-FFF2-40B4-BE49-F238E27FC236}">
              <a16:creationId xmlns:a16="http://schemas.microsoft.com/office/drawing/2014/main" id="{5A9F95EB-E45E-4A5E-96BF-C6044F207F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12700</xdr:colOff>
      <xdr:row>13</xdr:row>
      <xdr:rowOff>63500</xdr:rowOff>
    </xdr:from>
    <xdr:to>
      <xdr:col>53</xdr:col>
      <xdr:colOff>628650</xdr:colOff>
      <xdr:row>25</xdr:row>
      <xdr:rowOff>0</xdr:rowOff>
    </xdr:to>
    <xdr:graphicFrame macro="">
      <xdr:nvGraphicFramePr>
        <xdr:cNvPr id="9955" name="Chart 9954">
          <a:extLst>
            <a:ext uri="{FF2B5EF4-FFF2-40B4-BE49-F238E27FC236}">
              <a16:creationId xmlns:a16="http://schemas.microsoft.com/office/drawing/2014/main" id="{E9337AD8-F514-43E9-A11A-D218B39ED9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45</xdr:col>
      <xdr:colOff>12700</xdr:colOff>
      <xdr:row>25</xdr:row>
      <xdr:rowOff>63500</xdr:rowOff>
    </xdr:from>
    <xdr:to>
      <xdr:col>53</xdr:col>
      <xdr:colOff>628650</xdr:colOff>
      <xdr:row>37</xdr:row>
      <xdr:rowOff>0</xdr:rowOff>
    </xdr:to>
    <xdr:graphicFrame macro="">
      <xdr:nvGraphicFramePr>
        <xdr:cNvPr id="9956" name="Chart 9955">
          <a:extLst>
            <a:ext uri="{FF2B5EF4-FFF2-40B4-BE49-F238E27FC236}">
              <a16:creationId xmlns:a16="http://schemas.microsoft.com/office/drawing/2014/main" id="{64BF4DAE-EE51-42D7-A110-4793AB6DEA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45</xdr:col>
      <xdr:colOff>12700</xdr:colOff>
      <xdr:row>37</xdr:row>
      <xdr:rowOff>63500</xdr:rowOff>
    </xdr:from>
    <xdr:to>
      <xdr:col>53</xdr:col>
      <xdr:colOff>628650</xdr:colOff>
      <xdr:row>49</xdr:row>
      <xdr:rowOff>0</xdr:rowOff>
    </xdr:to>
    <xdr:graphicFrame macro="">
      <xdr:nvGraphicFramePr>
        <xdr:cNvPr id="9957" name="Chart 9956">
          <a:extLst>
            <a:ext uri="{FF2B5EF4-FFF2-40B4-BE49-F238E27FC236}">
              <a16:creationId xmlns:a16="http://schemas.microsoft.com/office/drawing/2014/main" id="{573648D0-05EB-475F-B474-74EDB92C0E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12700</xdr:colOff>
      <xdr:row>1</xdr:row>
      <xdr:rowOff>63500</xdr:rowOff>
    </xdr:from>
    <xdr:to>
      <xdr:col>62</xdr:col>
      <xdr:colOff>628650</xdr:colOff>
      <xdr:row>13</xdr:row>
      <xdr:rowOff>0</xdr:rowOff>
    </xdr:to>
    <xdr:graphicFrame macro="">
      <xdr:nvGraphicFramePr>
        <xdr:cNvPr id="9958" name="Chart 9957">
          <a:extLst>
            <a:ext uri="{FF2B5EF4-FFF2-40B4-BE49-F238E27FC236}">
              <a16:creationId xmlns:a16="http://schemas.microsoft.com/office/drawing/2014/main" id="{8CDEA047-A4FF-44B7-866D-373BA3EE76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54</xdr:col>
      <xdr:colOff>12700</xdr:colOff>
      <xdr:row>13</xdr:row>
      <xdr:rowOff>63500</xdr:rowOff>
    </xdr:from>
    <xdr:to>
      <xdr:col>62</xdr:col>
      <xdr:colOff>628650</xdr:colOff>
      <xdr:row>25</xdr:row>
      <xdr:rowOff>0</xdr:rowOff>
    </xdr:to>
    <xdr:graphicFrame macro="">
      <xdr:nvGraphicFramePr>
        <xdr:cNvPr id="9959" name="Chart 9958">
          <a:extLst>
            <a:ext uri="{FF2B5EF4-FFF2-40B4-BE49-F238E27FC236}">
              <a16:creationId xmlns:a16="http://schemas.microsoft.com/office/drawing/2014/main" id="{FC223931-95D2-4305-8721-0D821BC61F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63</xdr:col>
      <xdr:colOff>12700</xdr:colOff>
      <xdr:row>1</xdr:row>
      <xdr:rowOff>63500</xdr:rowOff>
    </xdr:from>
    <xdr:to>
      <xdr:col>71</xdr:col>
      <xdr:colOff>628650</xdr:colOff>
      <xdr:row>13</xdr:row>
      <xdr:rowOff>0</xdr:rowOff>
    </xdr:to>
    <xdr:graphicFrame macro="">
      <xdr:nvGraphicFramePr>
        <xdr:cNvPr id="9960" name="Chart 9959">
          <a:extLst>
            <a:ext uri="{FF2B5EF4-FFF2-40B4-BE49-F238E27FC236}">
              <a16:creationId xmlns:a16="http://schemas.microsoft.com/office/drawing/2014/main" id="{478150FC-CC78-4150-960A-32CCA3262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63</xdr:col>
      <xdr:colOff>12700</xdr:colOff>
      <xdr:row>13</xdr:row>
      <xdr:rowOff>63500</xdr:rowOff>
    </xdr:from>
    <xdr:to>
      <xdr:col>71</xdr:col>
      <xdr:colOff>628650</xdr:colOff>
      <xdr:row>25</xdr:row>
      <xdr:rowOff>0</xdr:rowOff>
    </xdr:to>
    <xdr:graphicFrame macro="">
      <xdr:nvGraphicFramePr>
        <xdr:cNvPr id="9961" name="Chart 9960">
          <a:extLst>
            <a:ext uri="{FF2B5EF4-FFF2-40B4-BE49-F238E27FC236}">
              <a16:creationId xmlns:a16="http://schemas.microsoft.com/office/drawing/2014/main" id="{118ABBD3-E9E7-4FE0-80A6-3C48468B48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63</xdr:col>
      <xdr:colOff>12700</xdr:colOff>
      <xdr:row>25</xdr:row>
      <xdr:rowOff>63500</xdr:rowOff>
    </xdr:from>
    <xdr:to>
      <xdr:col>71</xdr:col>
      <xdr:colOff>628650</xdr:colOff>
      <xdr:row>37</xdr:row>
      <xdr:rowOff>0</xdr:rowOff>
    </xdr:to>
    <xdr:graphicFrame macro="">
      <xdr:nvGraphicFramePr>
        <xdr:cNvPr id="9962" name="Chart 9961">
          <a:extLst>
            <a:ext uri="{FF2B5EF4-FFF2-40B4-BE49-F238E27FC236}">
              <a16:creationId xmlns:a16="http://schemas.microsoft.com/office/drawing/2014/main" id="{CF8CF57C-11B8-4437-AB83-8F55D5A283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72</xdr:col>
      <xdr:colOff>12700</xdr:colOff>
      <xdr:row>1</xdr:row>
      <xdr:rowOff>63500</xdr:rowOff>
    </xdr:from>
    <xdr:to>
      <xdr:col>80</xdr:col>
      <xdr:colOff>628650</xdr:colOff>
      <xdr:row>13</xdr:row>
      <xdr:rowOff>0</xdr:rowOff>
    </xdr:to>
    <xdr:graphicFrame macro="">
      <xdr:nvGraphicFramePr>
        <xdr:cNvPr id="9963" name="Chart 9962">
          <a:extLst>
            <a:ext uri="{FF2B5EF4-FFF2-40B4-BE49-F238E27FC236}">
              <a16:creationId xmlns:a16="http://schemas.microsoft.com/office/drawing/2014/main" id="{4319A4BB-4ECF-47E6-8CAE-67EEA6C791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72</xdr:col>
      <xdr:colOff>12700</xdr:colOff>
      <xdr:row>13</xdr:row>
      <xdr:rowOff>63500</xdr:rowOff>
    </xdr:from>
    <xdr:to>
      <xdr:col>80</xdr:col>
      <xdr:colOff>628650</xdr:colOff>
      <xdr:row>25</xdr:row>
      <xdr:rowOff>0</xdr:rowOff>
    </xdr:to>
    <xdr:graphicFrame macro="">
      <xdr:nvGraphicFramePr>
        <xdr:cNvPr id="9964" name="Chart 9963">
          <a:extLst>
            <a:ext uri="{FF2B5EF4-FFF2-40B4-BE49-F238E27FC236}">
              <a16:creationId xmlns:a16="http://schemas.microsoft.com/office/drawing/2014/main" id="{C52DD5A8-AF2F-48D1-9593-644CBAD336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72</xdr:col>
      <xdr:colOff>12700</xdr:colOff>
      <xdr:row>25</xdr:row>
      <xdr:rowOff>63500</xdr:rowOff>
    </xdr:from>
    <xdr:to>
      <xdr:col>80</xdr:col>
      <xdr:colOff>628650</xdr:colOff>
      <xdr:row>37</xdr:row>
      <xdr:rowOff>0</xdr:rowOff>
    </xdr:to>
    <xdr:graphicFrame macro="">
      <xdr:nvGraphicFramePr>
        <xdr:cNvPr id="9965" name="Chart 9964">
          <a:extLst>
            <a:ext uri="{FF2B5EF4-FFF2-40B4-BE49-F238E27FC236}">
              <a16:creationId xmlns:a16="http://schemas.microsoft.com/office/drawing/2014/main" id="{DC326597-67BD-420C-8438-7042E828A0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81</xdr:col>
      <xdr:colOff>12700</xdr:colOff>
      <xdr:row>1</xdr:row>
      <xdr:rowOff>63500</xdr:rowOff>
    </xdr:from>
    <xdr:to>
      <xdr:col>89</xdr:col>
      <xdr:colOff>628650</xdr:colOff>
      <xdr:row>13</xdr:row>
      <xdr:rowOff>0</xdr:rowOff>
    </xdr:to>
    <xdr:graphicFrame macro="">
      <xdr:nvGraphicFramePr>
        <xdr:cNvPr id="9966" name="Chart 9965">
          <a:extLst>
            <a:ext uri="{FF2B5EF4-FFF2-40B4-BE49-F238E27FC236}">
              <a16:creationId xmlns:a16="http://schemas.microsoft.com/office/drawing/2014/main" id="{81875E8F-9C1A-4DCD-847A-2CB4629845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81</xdr:col>
      <xdr:colOff>12700</xdr:colOff>
      <xdr:row>13</xdr:row>
      <xdr:rowOff>63500</xdr:rowOff>
    </xdr:from>
    <xdr:to>
      <xdr:col>89</xdr:col>
      <xdr:colOff>628650</xdr:colOff>
      <xdr:row>25</xdr:row>
      <xdr:rowOff>0</xdr:rowOff>
    </xdr:to>
    <xdr:graphicFrame macro="">
      <xdr:nvGraphicFramePr>
        <xdr:cNvPr id="9967" name="Chart 9966">
          <a:extLst>
            <a:ext uri="{FF2B5EF4-FFF2-40B4-BE49-F238E27FC236}">
              <a16:creationId xmlns:a16="http://schemas.microsoft.com/office/drawing/2014/main" id="{3B06449D-2CFA-4CBB-AEA2-AA26C5C202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81</xdr:col>
      <xdr:colOff>12700</xdr:colOff>
      <xdr:row>25</xdr:row>
      <xdr:rowOff>63500</xdr:rowOff>
    </xdr:from>
    <xdr:to>
      <xdr:col>89</xdr:col>
      <xdr:colOff>628650</xdr:colOff>
      <xdr:row>37</xdr:row>
      <xdr:rowOff>0</xdr:rowOff>
    </xdr:to>
    <xdr:graphicFrame macro="">
      <xdr:nvGraphicFramePr>
        <xdr:cNvPr id="9968" name="Chart 9967">
          <a:extLst>
            <a:ext uri="{FF2B5EF4-FFF2-40B4-BE49-F238E27FC236}">
              <a16:creationId xmlns:a16="http://schemas.microsoft.com/office/drawing/2014/main" id="{7504E929-3729-4ED2-A872-FB5FB7089F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81</xdr:col>
      <xdr:colOff>12700</xdr:colOff>
      <xdr:row>37</xdr:row>
      <xdr:rowOff>63500</xdr:rowOff>
    </xdr:from>
    <xdr:to>
      <xdr:col>89</xdr:col>
      <xdr:colOff>628650</xdr:colOff>
      <xdr:row>49</xdr:row>
      <xdr:rowOff>0</xdr:rowOff>
    </xdr:to>
    <xdr:graphicFrame macro="">
      <xdr:nvGraphicFramePr>
        <xdr:cNvPr id="9969" name="Chart 9968">
          <a:extLst>
            <a:ext uri="{FF2B5EF4-FFF2-40B4-BE49-F238E27FC236}">
              <a16:creationId xmlns:a16="http://schemas.microsoft.com/office/drawing/2014/main" id="{77213DB2-3EB1-499B-AB19-5D63B5B461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90</xdr:col>
      <xdr:colOff>12700</xdr:colOff>
      <xdr:row>1</xdr:row>
      <xdr:rowOff>63500</xdr:rowOff>
    </xdr:from>
    <xdr:to>
      <xdr:col>98</xdr:col>
      <xdr:colOff>628650</xdr:colOff>
      <xdr:row>13</xdr:row>
      <xdr:rowOff>0</xdr:rowOff>
    </xdr:to>
    <xdr:graphicFrame macro="">
      <xdr:nvGraphicFramePr>
        <xdr:cNvPr id="9970" name="Chart 9969">
          <a:extLst>
            <a:ext uri="{FF2B5EF4-FFF2-40B4-BE49-F238E27FC236}">
              <a16:creationId xmlns:a16="http://schemas.microsoft.com/office/drawing/2014/main" id="{33B612BC-84FC-49B8-9A56-DC9F0BDC1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90</xdr:col>
      <xdr:colOff>12700</xdr:colOff>
      <xdr:row>13</xdr:row>
      <xdr:rowOff>63500</xdr:rowOff>
    </xdr:from>
    <xdr:to>
      <xdr:col>98</xdr:col>
      <xdr:colOff>628650</xdr:colOff>
      <xdr:row>25</xdr:row>
      <xdr:rowOff>0</xdr:rowOff>
    </xdr:to>
    <xdr:graphicFrame macro="">
      <xdr:nvGraphicFramePr>
        <xdr:cNvPr id="9971" name="Chart 9970">
          <a:extLst>
            <a:ext uri="{FF2B5EF4-FFF2-40B4-BE49-F238E27FC236}">
              <a16:creationId xmlns:a16="http://schemas.microsoft.com/office/drawing/2014/main" id="{67EF2703-770D-49AE-926B-91E04C4038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90</xdr:col>
      <xdr:colOff>12700</xdr:colOff>
      <xdr:row>25</xdr:row>
      <xdr:rowOff>63500</xdr:rowOff>
    </xdr:from>
    <xdr:to>
      <xdr:col>98</xdr:col>
      <xdr:colOff>628650</xdr:colOff>
      <xdr:row>37</xdr:row>
      <xdr:rowOff>0</xdr:rowOff>
    </xdr:to>
    <xdr:graphicFrame macro="">
      <xdr:nvGraphicFramePr>
        <xdr:cNvPr id="9972" name="Chart 9971">
          <a:extLst>
            <a:ext uri="{FF2B5EF4-FFF2-40B4-BE49-F238E27FC236}">
              <a16:creationId xmlns:a16="http://schemas.microsoft.com/office/drawing/2014/main" id="{C459BDC1-1D02-4E72-A796-65DBC6A3DD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90</xdr:col>
      <xdr:colOff>12700</xdr:colOff>
      <xdr:row>37</xdr:row>
      <xdr:rowOff>63500</xdr:rowOff>
    </xdr:from>
    <xdr:to>
      <xdr:col>98</xdr:col>
      <xdr:colOff>628650</xdr:colOff>
      <xdr:row>49</xdr:row>
      <xdr:rowOff>0</xdr:rowOff>
    </xdr:to>
    <xdr:graphicFrame macro="">
      <xdr:nvGraphicFramePr>
        <xdr:cNvPr id="9973" name="Chart 9972">
          <a:extLst>
            <a:ext uri="{FF2B5EF4-FFF2-40B4-BE49-F238E27FC236}">
              <a16:creationId xmlns:a16="http://schemas.microsoft.com/office/drawing/2014/main" id="{A4747E47-D8CA-442C-9FD3-8BEBC235BB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99</xdr:col>
      <xdr:colOff>12700</xdr:colOff>
      <xdr:row>1</xdr:row>
      <xdr:rowOff>63500</xdr:rowOff>
    </xdr:from>
    <xdr:to>
      <xdr:col>107</xdr:col>
      <xdr:colOff>628650</xdr:colOff>
      <xdr:row>13</xdr:row>
      <xdr:rowOff>0</xdr:rowOff>
    </xdr:to>
    <xdr:graphicFrame macro="">
      <xdr:nvGraphicFramePr>
        <xdr:cNvPr id="9974" name="Chart 9973">
          <a:extLst>
            <a:ext uri="{FF2B5EF4-FFF2-40B4-BE49-F238E27FC236}">
              <a16:creationId xmlns:a16="http://schemas.microsoft.com/office/drawing/2014/main" id="{2CD29078-D376-4A59-86F8-B5A373F6B7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99</xdr:col>
      <xdr:colOff>12700</xdr:colOff>
      <xdr:row>13</xdr:row>
      <xdr:rowOff>63500</xdr:rowOff>
    </xdr:from>
    <xdr:to>
      <xdr:col>107</xdr:col>
      <xdr:colOff>628650</xdr:colOff>
      <xdr:row>25</xdr:row>
      <xdr:rowOff>0</xdr:rowOff>
    </xdr:to>
    <xdr:graphicFrame macro="">
      <xdr:nvGraphicFramePr>
        <xdr:cNvPr id="9975" name="Chart 9974">
          <a:extLst>
            <a:ext uri="{FF2B5EF4-FFF2-40B4-BE49-F238E27FC236}">
              <a16:creationId xmlns:a16="http://schemas.microsoft.com/office/drawing/2014/main" id="{A22BB450-D251-49B1-9F9B-737453E03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99</xdr:col>
      <xdr:colOff>12700</xdr:colOff>
      <xdr:row>25</xdr:row>
      <xdr:rowOff>63500</xdr:rowOff>
    </xdr:from>
    <xdr:to>
      <xdr:col>107</xdr:col>
      <xdr:colOff>628650</xdr:colOff>
      <xdr:row>37</xdr:row>
      <xdr:rowOff>0</xdr:rowOff>
    </xdr:to>
    <xdr:graphicFrame macro="">
      <xdr:nvGraphicFramePr>
        <xdr:cNvPr id="9976" name="Chart 9975">
          <a:extLst>
            <a:ext uri="{FF2B5EF4-FFF2-40B4-BE49-F238E27FC236}">
              <a16:creationId xmlns:a16="http://schemas.microsoft.com/office/drawing/2014/main" id="{4BB53C59-7932-406E-9397-8FB02820F6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99</xdr:col>
      <xdr:colOff>12700</xdr:colOff>
      <xdr:row>37</xdr:row>
      <xdr:rowOff>63500</xdr:rowOff>
    </xdr:from>
    <xdr:to>
      <xdr:col>107</xdr:col>
      <xdr:colOff>628650</xdr:colOff>
      <xdr:row>49</xdr:row>
      <xdr:rowOff>0</xdr:rowOff>
    </xdr:to>
    <xdr:graphicFrame macro="">
      <xdr:nvGraphicFramePr>
        <xdr:cNvPr id="9977" name="Chart 9976">
          <a:extLst>
            <a:ext uri="{FF2B5EF4-FFF2-40B4-BE49-F238E27FC236}">
              <a16:creationId xmlns:a16="http://schemas.microsoft.com/office/drawing/2014/main" id="{00268832-03B5-4491-9FB4-0E5CA4C9C5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108</xdr:col>
      <xdr:colOff>12700</xdr:colOff>
      <xdr:row>1</xdr:row>
      <xdr:rowOff>63500</xdr:rowOff>
    </xdr:from>
    <xdr:to>
      <xdr:col>116</xdr:col>
      <xdr:colOff>628650</xdr:colOff>
      <xdr:row>13</xdr:row>
      <xdr:rowOff>0</xdr:rowOff>
    </xdr:to>
    <xdr:graphicFrame macro="">
      <xdr:nvGraphicFramePr>
        <xdr:cNvPr id="9978" name="Chart 9977">
          <a:extLst>
            <a:ext uri="{FF2B5EF4-FFF2-40B4-BE49-F238E27FC236}">
              <a16:creationId xmlns:a16="http://schemas.microsoft.com/office/drawing/2014/main" id="{CB9AD874-4440-48AA-9AB6-28883C6103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108</xdr:col>
      <xdr:colOff>12700</xdr:colOff>
      <xdr:row>13</xdr:row>
      <xdr:rowOff>63500</xdr:rowOff>
    </xdr:from>
    <xdr:to>
      <xdr:col>116</xdr:col>
      <xdr:colOff>628650</xdr:colOff>
      <xdr:row>25</xdr:row>
      <xdr:rowOff>0</xdr:rowOff>
    </xdr:to>
    <xdr:graphicFrame macro="">
      <xdr:nvGraphicFramePr>
        <xdr:cNvPr id="9979" name="Chart 9978">
          <a:extLst>
            <a:ext uri="{FF2B5EF4-FFF2-40B4-BE49-F238E27FC236}">
              <a16:creationId xmlns:a16="http://schemas.microsoft.com/office/drawing/2014/main" id="{39678D90-871F-42B9-8CC1-1B84E736F8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117</xdr:col>
      <xdr:colOff>12700</xdr:colOff>
      <xdr:row>1</xdr:row>
      <xdr:rowOff>63500</xdr:rowOff>
    </xdr:from>
    <xdr:to>
      <xdr:col>125</xdr:col>
      <xdr:colOff>628650</xdr:colOff>
      <xdr:row>13</xdr:row>
      <xdr:rowOff>0</xdr:rowOff>
    </xdr:to>
    <xdr:graphicFrame macro="">
      <xdr:nvGraphicFramePr>
        <xdr:cNvPr id="9980" name="Chart 9979">
          <a:extLst>
            <a:ext uri="{FF2B5EF4-FFF2-40B4-BE49-F238E27FC236}">
              <a16:creationId xmlns:a16="http://schemas.microsoft.com/office/drawing/2014/main" id="{6A2846AF-9DC4-4F3C-A784-791ECCE6E0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117</xdr:col>
      <xdr:colOff>12700</xdr:colOff>
      <xdr:row>13</xdr:row>
      <xdr:rowOff>63500</xdr:rowOff>
    </xdr:from>
    <xdr:to>
      <xdr:col>125</xdr:col>
      <xdr:colOff>628650</xdr:colOff>
      <xdr:row>25</xdr:row>
      <xdr:rowOff>0</xdr:rowOff>
    </xdr:to>
    <xdr:graphicFrame macro="">
      <xdr:nvGraphicFramePr>
        <xdr:cNvPr id="9981" name="Chart 9980">
          <a:extLst>
            <a:ext uri="{FF2B5EF4-FFF2-40B4-BE49-F238E27FC236}">
              <a16:creationId xmlns:a16="http://schemas.microsoft.com/office/drawing/2014/main" id="{FDDE0AE8-AB17-486E-BFE9-E476994C29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117</xdr:col>
      <xdr:colOff>12700</xdr:colOff>
      <xdr:row>25</xdr:row>
      <xdr:rowOff>63500</xdr:rowOff>
    </xdr:from>
    <xdr:to>
      <xdr:col>125</xdr:col>
      <xdr:colOff>628650</xdr:colOff>
      <xdr:row>37</xdr:row>
      <xdr:rowOff>0</xdr:rowOff>
    </xdr:to>
    <xdr:graphicFrame macro="">
      <xdr:nvGraphicFramePr>
        <xdr:cNvPr id="9982" name="Chart 9981">
          <a:extLst>
            <a:ext uri="{FF2B5EF4-FFF2-40B4-BE49-F238E27FC236}">
              <a16:creationId xmlns:a16="http://schemas.microsoft.com/office/drawing/2014/main" id="{CE6BCBA2-EB6A-4F51-B207-23675651E4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117</xdr:col>
      <xdr:colOff>12700</xdr:colOff>
      <xdr:row>37</xdr:row>
      <xdr:rowOff>63500</xdr:rowOff>
    </xdr:from>
    <xdr:to>
      <xdr:col>125</xdr:col>
      <xdr:colOff>628650</xdr:colOff>
      <xdr:row>49</xdr:row>
      <xdr:rowOff>0</xdr:rowOff>
    </xdr:to>
    <xdr:graphicFrame macro="">
      <xdr:nvGraphicFramePr>
        <xdr:cNvPr id="9983" name="Chart 9982">
          <a:extLst>
            <a:ext uri="{FF2B5EF4-FFF2-40B4-BE49-F238E27FC236}">
              <a16:creationId xmlns:a16="http://schemas.microsoft.com/office/drawing/2014/main" id="{6019D54A-0CAE-43B3-A930-3D50D4902A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126</xdr:col>
      <xdr:colOff>12700</xdr:colOff>
      <xdr:row>1</xdr:row>
      <xdr:rowOff>63500</xdr:rowOff>
    </xdr:from>
    <xdr:to>
      <xdr:col>134</xdr:col>
      <xdr:colOff>628650</xdr:colOff>
      <xdr:row>13</xdr:row>
      <xdr:rowOff>0</xdr:rowOff>
    </xdr:to>
    <xdr:graphicFrame macro="">
      <xdr:nvGraphicFramePr>
        <xdr:cNvPr id="9984" name="Chart 9983">
          <a:extLst>
            <a:ext uri="{FF2B5EF4-FFF2-40B4-BE49-F238E27FC236}">
              <a16:creationId xmlns:a16="http://schemas.microsoft.com/office/drawing/2014/main" id="{D9C7410D-AABD-4E80-8083-E8C2B81828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126</xdr:col>
      <xdr:colOff>12700</xdr:colOff>
      <xdr:row>13</xdr:row>
      <xdr:rowOff>63500</xdr:rowOff>
    </xdr:from>
    <xdr:to>
      <xdr:col>134</xdr:col>
      <xdr:colOff>628650</xdr:colOff>
      <xdr:row>25</xdr:row>
      <xdr:rowOff>0</xdr:rowOff>
    </xdr:to>
    <xdr:graphicFrame macro="">
      <xdr:nvGraphicFramePr>
        <xdr:cNvPr id="9985" name="Chart 9984">
          <a:extLst>
            <a:ext uri="{FF2B5EF4-FFF2-40B4-BE49-F238E27FC236}">
              <a16:creationId xmlns:a16="http://schemas.microsoft.com/office/drawing/2014/main" id="{64CF863C-3DF6-4772-8002-FD4F2C57FB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126</xdr:col>
      <xdr:colOff>12700</xdr:colOff>
      <xdr:row>25</xdr:row>
      <xdr:rowOff>63500</xdr:rowOff>
    </xdr:from>
    <xdr:to>
      <xdr:col>134</xdr:col>
      <xdr:colOff>628650</xdr:colOff>
      <xdr:row>37</xdr:row>
      <xdr:rowOff>0</xdr:rowOff>
    </xdr:to>
    <xdr:graphicFrame macro="">
      <xdr:nvGraphicFramePr>
        <xdr:cNvPr id="9986" name="Chart 9985">
          <a:extLst>
            <a:ext uri="{FF2B5EF4-FFF2-40B4-BE49-F238E27FC236}">
              <a16:creationId xmlns:a16="http://schemas.microsoft.com/office/drawing/2014/main" id="{B6BF6649-829D-473A-B3B8-E069C5F435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126</xdr:col>
      <xdr:colOff>12700</xdr:colOff>
      <xdr:row>37</xdr:row>
      <xdr:rowOff>63500</xdr:rowOff>
    </xdr:from>
    <xdr:to>
      <xdr:col>134</xdr:col>
      <xdr:colOff>628650</xdr:colOff>
      <xdr:row>49</xdr:row>
      <xdr:rowOff>0</xdr:rowOff>
    </xdr:to>
    <xdr:graphicFrame macro="">
      <xdr:nvGraphicFramePr>
        <xdr:cNvPr id="9987" name="Chart 9986">
          <a:extLst>
            <a:ext uri="{FF2B5EF4-FFF2-40B4-BE49-F238E27FC236}">
              <a16:creationId xmlns:a16="http://schemas.microsoft.com/office/drawing/2014/main" id="{1CB11A9E-AF2C-49BB-BA69-B6AED7A05F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135</xdr:col>
      <xdr:colOff>12700</xdr:colOff>
      <xdr:row>1</xdr:row>
      <xdr:rowOff>63500</xdr:rowOff>
    </xdr:from>
    <xdr:to>
      <xdr:col>143</xdr:col>
      <xdr:colOff>628650</xdr:colOff>
      <xdr:row>13</xdr:row>
      <xdr:rowOff>0</xdr:rowOff>
    </xdr:to>
    <xdr:graphicFrame macro="">
      <xdr:nvGraphicFramePr>
        <xdr:cNvPr id="9988" name="Chart 9987">
          <a:extLst>
            <a:ext uri="{FF2B5EF4-FFF2-40B4-BE49-F238E27FC236}">
              <a16:creationId xmlns:a16="http://schemas.microsoft.com/office/drawing/2014/main" id="{E8501463-A02E-4C7A-A9B5-364F4161A5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135</xdr:col>
      <xdr:colOff>12700</xdr:colOff>
      <xdr:row>13</xdr:row>
      <xdr:rowOff>63500</xdr:rowOff>
    </xdr:from>
    <xdr:to>
      <xdr:col>143</xdr:col>
      <xdr:colOff>628650</xdr:colOff>
      <xdr:row>25</xdr:row>
      <xdr:rowOff>0</xdr:rowOff>
    </xdr:to>
    <xdr:graphicFrame macro="">
      <xdr:nvGraphicFramePr>
        <xdr:cNvPr id="9989" name="Chart 9988">
          <a:extLst>
            <a:ext uri="{FF2B5EF4-FFF2-40B4-BE49-F238E27FC236}">
              <a16:creationId xmlns:a16="http://schemas.microsoft.com/office/drawing/2014/main" id="{42797C76-31D4-41CE-9678-2080DF1D1A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135</xdr:col>
      <xdr:colOff>12700</xdr:colOff>
      <xdr:row>25</xdr:row>
      <xdr:rowOff>63500</xdr:rowOff>
    </xdr:from>
    <xdr:to>
      <xdr:col>143</xdr:col>
      <xdr:colOff>628650</xdr:colOff>
      <xdr:row>37</xdr:row>
      <xdr:rowOff>0</xdr:rowOff>
    </xdr:to>
    <xdr:graphicFrame macro="">
      <xdr:nvGraphicFramePr>
        <xdr:cNvPr id="9990" name="Chart 9989">
          <a:extLst>
            <a:ext uri="{FF2B5EF4-FFF2-40B4-BE49-F238E27FC236}">
              <a16:creationId xmlns:a16="http://schemas.microsoft.com/office/drawing/2014/main" id="{50EDBE4B-855B-4286-BAF4-9C85C57D6A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135</xdr:col>
      <xdr:colOff>12700</xdr:colOff>
      <xdr:row>37</xdr:row>
      <xdr:rowOff>63500</xdr:rowOff>
    </xdr:from>
    <xdr:to>
      <xdr:col>143</xdr:col>
      <xdr:colOff>628650</xdr:colOff>
      <xdr:row>49</xdr:row>
      <xdr:rowOff>0</xdr:rowOff>
    </xdr:to>
    <xdr:graphicFrame macro="">
      <xdr:nvGraphicFramePr>
        <xdr:cNvPr id="9991" name="Chart 9990">
          <a:extLst>
            <a:ext uri="{FF2B5EF4-FFF2-40B4-BE49-F238E27FC236}">
              <a16:creationId xmlns:a16="http://schemas.microsoft.com/office/drawing/2014/main" id="{A23F4A20-ABDD-47AA-9490-7FCDA5EE69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144</xdr:col>
      <xdr:colOff>12700</xdr:colOff>
      <xdr:row>1</xdr:row>
      <xdr:rowOff>63500</xdr:rowOff>
    </xdr:from>
    <xdr:to>
      <xdr:col>152</xdr:col>
      <xdr:colOff>628650</xdr:colOff>
      <xdr:row>13</xdr:row>
      <xdr:rowOff>0</xdr:rowOff>
    </xdr:to>
    <xdr:graphicFrame macro="">
      <xdr:nvGraphicFramePr>
        <xdr:cNvPr id="9992" name="Chart 9991">
          <a:extLst>
            <a:ext uri="{FF2B5EF4-FFF2-40B4-BE49-F238E27FC236}">
              <a16:creationId xmlns:a16="http://schemas.microsoft.com/office/drawing/2014/main" id="{5BCD96F7-B0A1-4EB3-8CF2-724548B03C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144</xdr:col>
      <xdr:colOff>12700</xdr:colOff>
      <xdr:row>13</xdr:row>
      <xdr:rowOff>63500</xdr:rowOff>
    </xdr:from>
    <xdr:to>
      <xdr:col>152</xdr:col>
      <xdr:colOff>628650</xdr:colOff>
      <xdr:row>25</xdr:row>
      <xdr:rowOff>0</xdr:rowOff>
    </xdr:to>
    <xdr:graphicFrame macro="">
      <xdr:nvGraphicFramePr>
        <xdr:cNvPr id="9993" name="Chart 9992">
          <a:extLst>
            <a:ext uri="{FF2B5EF4-FFF2-40B4-BE49-F238E27FC236}">
              <a16:creationId xmlns:a16="http://schemas.microsoft.com/office/drawing/2014/main" id="{26350AB8-541F-4189-B3FD-61A63D63B1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144</xdr:col>
      <xdr:colOff>12700</xdr:colOff>
      <xdr:row>25</xdr:row>
      <xdr:rowOff>63500</xdr:rowOff>
    </xdr:from>
    <xdr:to>
      <xdr:col>152</xdr:col>
      <xdr:colOff>628650</xdr:colOff>
      <xdr:row>37</xdr:row>
      <xdr:rowOff>0</xdr:rowOff>
    </xdr:to>
    <xdr:graphicFrame macro="">
      <xdr:nvGraphicFramePr>
        <xdr:cNvPr id="9994" name="Chart 9993">
          <a:extLst>
            <a:ext uri="{FF2B5EF4-FFF2-40B4-BE49-F238E27FC236}">
              <a16:creationId xmlns:a16="http://schemas.microsoft.com/office/drawing/2014/main" id="{24EFB0F7-7473-43AD-BA7F-1783FA6A6F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153</xdr:col>
      <xdr:colOff>12700</xdr:colOff>
      <xdr:row>1</xdr:row>
      <xdr:rowOff>63500</xdr:rowOff>
    </xdr:from>
    <xdr:to>
      <xdr:col>161</xdr:col>
      <xdr:colOff>628650</xdr:colOff>
      <xdr:row>13</xdr:row>
      <xdr:rowOff>0</xdr:rowOff>
    </xdr:to>
    <xdr:graphicFrame macro="">
      <xdr:nvGraphicFramePr>
        <xdr:cNvPr id="9995" name="Chart 9994">
          <a:extLst>
            <a:ext uri="{FF2B5EF4-FFF2-40B4-BE49-F238E27FC236}">
              <a16:creationId xmlns:a16="http://schemas.microsoft.com/office/drawing/2014/main" id="{9078959C-0256-4731-A0C9-09CAB6CC5D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153</xdr:col>
      <xdr:colOff>12700</xdr:colOff>
      <xdr:row>13</xdr:row>
      <xdr:rowOff>63500</xdr:rowOff>
    </xdr:from>
    <xdr:to>
      <xdr:col>161</xdr:col>
      <xdr:colOff>628650</xdr:colOff>
      <xdr:row>25</xdr:row>
      <xdr:rowOff>0</xdr:rowOff>
    </xdr:to>
    <xdr:graphicFrame macro="">
      <xdr:nvGraphicFramePr>
        <xdr:cNvPr id="9996" name="Chart 9995">
          <a:extLst>
            <a:ext uri="{FF2B5EF4-FFF2-40B4-BE49-F238E27FC236}">
              <a16:creationId xmlns:a16="http://schemas.microsoft.com/office/drawing/2014/main" id="{E91C7199-607C-497B-96F0-84A255F456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153</xdr:col>
      <xdr:colOff>12700</xdr:colOff>
      <xdr:row>25</xdr:row>
      <xdr:rowOff>63500</xdr:rowOff>
    </xdr:from>
    <xdr:to>
      <xdr:col>161</xdr:col>
      <xdr:colOff>628650</xdr:colOff>
      <xdr:row>37</xdr:row>
      <xdr:rowOff>0</xdr:rowOff>
    </xdr:to>
    <xdr:graphicFrame macro="">
      <xdr:nvGraphicFramePr>
        <xdr:cNvPr id="9997" name="Chart 9996">
          <a:extLst>
            <a:ext uri="{FF2B5EF4-FFF2-40B4-BE49-F238E27FC236}">
              <a16:creationId xmlns:a16="http://schemas.microsoft.com/office/drawing/2014/main" id="{204A3C49-D8F2-4555-BD39-87896AE895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153</xdr:col>
      <xdr:colOff>12700</xdr:colOff>
      <xdr:row>37</xdr:row>
      <xdr:rowOff>63500</xdr:rowOff>
    </xdr:from>
    <xdr:to>
      <xdr:col>161</xdr:col>
      <xdr:colOff>628650</xdr:colOff>
      <xdr:row>49</xdr:row>
      <xdr:rowOff>0</xdr:rowOff>
    </xdr:to>
    <xdr:graphicFrame macro="">
      <xdr:nvGraphicFramePr>
        <xdr:cNvPr id="9998" name="Chart 9997">
          <a:extLst>
            <a:ext uri="{FF2B5EF4-FFF2-40B4-BE49-F238E27FC236}">
              <a16:creationId xmlns:a16="http://schemas.microsoft.com/office/drawing/2014/main" id="{AA1C968F-994E-4248-9518-C534A2C931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162</xdr:col>
      <xdr:colOff>12700</xdr:colOff>
      <xdr:row>1</xdr:row>
      <xdr:rowOff>63500</xdr:rowOff>
    </xdr:from>
    <xdr:to>
      <xdr:col>170</xdr:col>
      <xdr:colOff>628650</xdr:colOff>
      <xdr:row>13</xdr:row>
      <xdr:rowOff>0</xdr:rowOff>
    </xdr:to>
    <xdr:graphicFrame macro="">
      <xdr:nvGraphicFramePr>
        <xdr:cNvPr id="9999" name="Chart 9998">
          <a:extLst>
            <a:ext uri="{FF2B5EF4-FFF2-40B4-BE49-F238E27FC236}">
              <a16:creationId xmlns:a16="http://schemas.microsoft.com/office/drawing/2014/main" id="{4658EE29-5DA7-476C-8520-D40DB0B54A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162</xdr:col>
      <xdr:colOff>12700</xdr:colOff>
      <xdr:row>13</xdr:row>
      <xdr:rowOff>63500</xdr:rowOff>
    </xdr:from>
    <xdr:to>
      <xdr:col>170</xdr:col>
      <xdr:colOff>628650</xdr:colOff>
      <xdr:row>25</xdr:row>
      <xdr:rowOff>0</xdr:rowOff>
    </xdr:to>
    <xdr:graphicFrame macro="">
      <xdr:nvGraphicFramePr>
        <xdr:cNvPr id="10000" name="Chart 9999">
          <a:extLst>
            <a:ext uri="{FF2B5EF4-FFF2-40B4-BE49-F238E27FC236}">
              <a16:creationId xmlns:a16="http://schemas.microsoft.com/office/drawing/2014/main" id="{595D63A2-78E2-49B4-909F-146CF1BFF5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162</xdr:col>
      <xdr:colOff>12700</xdr:colOff>
      <xdr:row>25</xdr:row>
      <xdr:rowOff>63500</xdr:rowOff>
    </xdr:from>
    <xdr:to>
      <xdr:col>170</xdr:col>
      <xdr:colOff>628650</xdr:colOff>
      <xdr:row>37</xdr:row>
      <xdr:rowOff>0</xdr:rowOff>
    </xdr:to>
    <xdr:graphicFrame macro="">
      <xdr:nvGraphicFramePr>
        <xdr:cNvPr id="10001" name="Chart 10000">
          <a:extLst>
            <a:ext uri="{FF2B5EF4-FFF2-40B4-BE49-F238E27FC236}">
              <a16:creationId xmlns:a16="http://schemas.microsoft.com/office/drawing/2014/main" id="{DD5EDBCF-C63E-43D3-8DA8-977560AA84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162</xdr:col>
      <xdr:colOff>12700</xdr:colOff>
      <xdr:row>37</xdr:row>
      <xdr:rowOff>63500</xdr:rowOff>
    </xdr:from>
    <xdr:to>
      <xdr:col>170</xdr:col>
      <xdr:colOff>628650</xdr:colOff>
      <xdr:row>49</xdr:row>
      <xdr:rowOff>0</xdr:rowOff>
    </xdr:to>
    <xdr:graphicFrame macro="">
      <xdr:nvGraphicFramePr>
        <xdr:cNvPr id="10002" name="Chart 10001">
          <a:extLst>
            <a:ext uri="{FF2B5EF4-FFF2-40B4-BE49-F238E27FC236}">
              <a16:creationId xmlns:a16="http://schemas.microsoft.com/office/drawing/2014/main" id="{04439A84-87CE-40C8-A4BE-C8CDE628E8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171</xdr:col>
      <xdr:colOff>12700</xdr:colOff>
      <xdr:row>1</xdr:row>
      <xdr:rowOff>63500</xdr:rowOff>
    </xdr:from>
    <xdr:to>
      <xdr:col>179</xdr:col>
      <xdr:colOff>628650</xdr:colOff>
      <xdr:row>13</xdr:row>
      <xdr:rowOff>0</xdr:rowOff>
    </xdr:to>
    <xdr:graphicFrame macro="">
      <xdr:nvGraphicFramePr>
        <xdr:cNvPr id="10003" name="Chart 10002">
          <a:extLst>
            <a:ext uri="{FF2B5EF4-FFF2-40B4-BE49-F238E27FC236}">
              <a16:creationId xmlns:a16="http://schemas.microsoft.com/office/drawing/2014/main" id="{3E64D3EE-7884-46B8-AF05-B691240D1F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171</xdr:col>
      <xdr:colOff>12700</xdr:colOff>
      <xdr:row>13</xdr:row>
      <xdr:rowOff>63500</xdr:rowOff>
    </xdr:from>
    <xdr:to>
      <xdr:col>179</xdr:col>
      <xdr:colOff>628650</xdr:colOff>
      <xdr:row>25</xdr:row>
      <xdr:rowOff>0</xdr:rowOff>
    </xdr:to>
    <xdr:graphicFrame macro="">
      <xdr:nvGraphicFramePr>
        <xdr:cNvPr id="10004" name="Chart 10003">
          <a:extLst>
            <a:ext uri="{FF2B5EF4-FFF2-40B4-BE49-F238E27FC236}">
              <a16:creationId xmlns:a16="http://schemas.microsoft.com/office/drawing/2014/main" id="{0018A9BC-02B8-4ADE-B687-4975A7BFE9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171</xdr:col>
      <xdr:colOff>12700</xdr:colOff>
      <xdr:row>25</xdr:row>
      <xdr:rowOff>63500</xdr:rowOff>
    </xdr:from>
    <xdr:to>
      <xdr:col>179</xdr:col>
      <xdr:colOff>628650</xdr:colOff>
      <xdr:row>37</xdr:row>
      <xdr:rowOff>0</xdr:rowOff>
    </xdr:to>
    <xdr:graphicFrame macro="">
      <xdr:nvGraphicFramePr>
        <xdr:cNvPr id="10005" name="Chart 10004">
          <a:extLst>
            <a:ext uri="{FF2B5EF4-FFF2-40B4-BE49-F238E27FC236}">
              <a16:creationId xmlns:a16="http://schemas.microsoft.com/office/drawing/2014/main" id="{8B234B88-872C-4FDD-8F74-A6E32763A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171</xdr:col>
      <xdr:colOff>12700</xdr:colOff>
      <xdr:row>37</xdr:row>
      <xdr:rowOff>63500</xdr:rowOff>
    </xdr:from>
    <xdr:to>
      <xdr:col>179</xdr:col>
      <xdr:colOff>628650</xdr:colOff>
      <xdr:row>49</xdr:row>
      <xdr:rowOff>0</xdr:rowOff>
    </xdr:to>
    <xdr:graphicFrame macro="">
      <xdr:nvGraphicFramePr>
        <xdr:cNvPr id="10006" name="Chart 10005">
          <a:extLst>
            <a:ext uri="{FF2B5EF4-FFF2-40B4-BE49-F238E27FC236}">
              <a16:creationId xmlns:a16="http://schemas.microsoft.com/office/drawing/2014/main" id="{57D5049F-2F97-416E-81D4-7993CF6E52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180</xdr:col>
      <xdr:colOff>12700</xdr:colOff>
      <xdr:row>1</xdr:row>
      <xdr:rowOff>63500</xdr:rowOff>
    </xdr:from>
    <xdr:to>
      <xdr:col>188</xdr:col>
      <xdr:colOff>628650</xdr:colOff>
      <xdr:row>13</xdr:row>
      <xdr:rowOff>0</xdr:rowOff>
    </xdr:to>
    <xdr:graphicFrame macro="">
      <xdr:nvGraphicFramePr>
        <xdr:cNvPr id="10007" name="Chart 10006">
          <a:extLst>
            <a:ext uri="{FF2B5EF4-FFF2-40B4-BE49-F238E27FC236}">
              <a16:creationId xmlns:a16="http://schemas.microsoft.com/office/drawing/2014/main" id="{2C83A239-0BFC-452E-8563-92B6CEB9B2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18</xdr:col>
      <xdr:colOff>647700</xdr:colOff>
      <xdr:row>0</xdr:row>
      <xdr:rowOff>0</xdr:rowOff>
    </xdr:from>
    <xdr:to>
      <xdr:col>25</xdr:col>
      <xdr:colOff>492125</xdr:colOff>
      <xdr:row>1</xdr:row>
      <xdr:rowOff>0</xdr:rowOff>
    </xdr:to>
    <xdr:sp macro="" textlink="">
      <xdr:nvSpPr>
        <xdr:cNvPr id="10008" name="Rectangle 10007">
          <a:extLst>
            <a:ext uri="{FF2B5EF4-FFF2-40B4-BE49-F238E27FC236}">
              <a16:creationId xmlns:a16="http://schemas.microsoft.com/office/drawing/2014/main" id="{20617FAE-6225-47CB-B1F1-419254B5B493}"/>
            </a:ext>
          </a:extLst>
        </xdr:cNvPr>
        <xdr:cNvSpPr/>
      </xdr:nvSpPr>
      <xdr:spPr>
        <a:xfrm>
          <a:off x="12477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Driver</a:t>
          </a:r>
        </a:p>
      </xdr:txBody>
    </xdr:sp>
    <xdr:clientData/>
  </xdr:twoCellAnchor>
  <xdr:twoCellAnchor>
    <xdr:from>
      <xdr:col>27</xdr:col>
      <xdr:colOff>650875</xdr:colOff>
      <xdr:row>0</xdr:row>
      <xdr:rowOff>0</xdr:rowOff>
    </xdr:from>
    <xdr:to>
      <xdr:col>34</xdr:col>
      <xdr:colOff>495300</xdr:colOff>
      <xdr:row>1</xdr:row>
      <xdr:rowOff>0</xdr:rowOff>
    </xdr:to>
    <xdr:sp macro="" textlink="">
      <xdr:nvSpPr>
        <xdr:cNvPr id="10009" name="Rectangle 10008">
          <a:extLst>
            <a:ext uri="{FF2B5EF4-FFF2-40B4-BE49-F238E27FC236}">
              <a16:creationId xmlns:a16="http://schemas.microsoft.com/office/drawing/2014/main" id="{C3184992-F997-4B37-A9C0-90B6AE97E864}"/>
            </a:ext>
          </a:extLst>
        </xdr:cNvPr>
        <xdr:cNvSpPr/>
      </xdr:nvSpPr>
      <xdr:spPr>
        <a:xfrm>
          <a:off x="18395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Driver 2</a:t>
          </a:r>
        </a:p>
      </xdr:txBody>
    </xdr:sp>
    <xdr:clientData/>
  </xdr:twoCellAnchor>
  <xdr:twoCellAnchor>
    <xdr:from>
      <xdr:col>36</xdr:col>
      <xdr:colOff>654050</xdr:colOff>
      <xdr:row>0</xdr:row>
      <xdr:rowOff>0</xdr:rowOff>
    </xdr:from>
    <xdr:to>
      <xdr:col>43</xdr:col>
      <xdr:colOff>498475</xdr:colOff>
      <xdr:row>1</xdr:row>
      <xdr:rowOff>0</xdr:rowOff>
    </xdr:to>
    <xdr:sp macro="" textlink="">
      <xdr:nvSpPr>
        <xdr:cNvPr id="10010" name="Rectangle 10009">
          <a:extLst>
            <a:ext uri="{FF2B5EF4-FFF2-40B4-BE49-F238E27FC236}">
              <a16:creationId xmlns:a16="http://schemas.microsoft.com/office/drawing/2014/main" id="{834B897F-63FF-4E25-B3F0-7B518532B814}"/>
            </a:ext>
          </a:extLst>
        </xdr:cNvPr>
        <xdr:cNvSpPr/>
      </xdr:nvSpPr>
      <xdr:spPr>
        <a:xfrm>
          <a:off x="24314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1</a:t>
          </a:r>
        </a:p>
      </xdr:txBody>
    </xdr:sp>
    <xdr:clientData/>
  </xdr:twoCellAnchor>
  <xdr:twoCellAnchor>
    <xdr:from>
      <xdr:col>46</xdr:col>
      <xdr:colOff>0</xdr:colOff>
      <xdr:row>0</xdr:row>
      <xdr:rowOff>0</xdr:rowOff>
    </xdr:from>
    <xdr:to>
      <xdr:col>52</xdr:col>
      <xdr:colOff>501650</xdr:colOff>
      <xdr:row>1</xdr:row>
      <xdr:rowOff>0</xdr:rowOff>
    </xdr:to>
    <xdr:sp macro="" textlink="">
      <xdr:nvSpPr>
        <xdr:cNvPr id="10011" name="Rectangle 10010">
          <a:extLst>
            <a:ext uri="{FF2B5EF4-FFF2-40B4-BE49-F238E27FC236}">
              <a16:creationId xmlns:a16="http://schemas.microsoft.com/office/drawing/2014/main" id="{FE41ADCA-B697-4FEC-8082-195C02CA1612}"/>
            </a:ext>
          </a:extLst>
        </xdr:cNvPr>
        <xdr:cNvSpPr/>
      </xdr:nvSpPr>
      <xdr:spPr>
        <a:xfrm>
          <a:off x="30232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2</a:t>
          </a:r>
        </a:p>
      </xdr:txBody>
    </xdr:sp>
    <xdr:clientData/>
  </xdr:twoCellAnchor>
  <xdr:twoCellAnchor>
    <xdr:from>
      <xdr:col>55</xdr:col>
      <xdr:colOff>3175</xdr:colOff>
      <xdr:row>0</xdr:row>
      <xdr:rowOff>0</xdr:rowOff>
    </xdr:from>
    <xdr:to>
      <xdr:col>61</xdr:col>
      <xdr:colOff>504825</xdr:colOff>
      <xdr:row>1</xdr:row>
      <xdr:rowOff>0</xdr:rowOff>
    </xdr:to>
    <xdr:sp macro="" textlink="">
      <xdr:nvSpPr>
        <xdr:cNvPr id="10012" name="Rectangle 10011">
          <a:extLst>
            <a:ext uri="{FF2B5EF4-FFF2-40B4-BE49-F238E27FC236}">
              <a16:creationId xmlns:a16="http://schemas.microsoft.com/office/drawing/2014/main" id="{D225D4FF-EB03-41B9-A3B2-5D513DF04265}"/>
            </a:ext>
          </a:extLst>
        </xdr:cNvPr>
        <xdr:cNvSpPr/>
      </xdr:nvSpPr>
      <xdr:spPr>
        <a:xfrm>
          <a:off x="36150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3 (Track specific)</a:t>
          </a:r>
        </a:p>
      </xdr:txBody>
    </xdr:sp>
    <xdr:clientData/>
  </xdr:twoCellAnchor>
  <xdr:twoCellAnchor>
    <xdr:from>
      <xdr:col>64</xdr:col>
      <xdr:colOff>6350</xdr:colOff>
      <xdr:row>0</xdr:row>
      <xdr:rowOff>0</xdr:rowOff>
    </xdr:from>
    <xdr:to>
      <xdr:col>70</xdr:col>
      <xdr:colOff>508000</xdr:colOff>
      <xdr:row>1</xdr:row>
      <xdr:rowOff>0</xdr:rowOff>
    </xdr:to>
    <xdr:sp macro="" textlink="">
      <xdr:nvSpPr>
        <xdr:cNvPr id="10013" name="Rectangle 10012">
          <a:extLst>
            <a:ext uri="{FF2B5EF4-FFF2-40B4-BE49-F238E27FC236}">
              <a16:creationId xmlns:a16="http://schemas.microsoft.com/office/drawing/2014/main" id="{85F93D68-523E-4F9E-872C-9AA93B4B41C1}"/>
            </a:ext>
          </a:extLst>
        </xdr:cNvPr>
        <xdr:cNvSpPr/>
      </xdr:nvSpPr>
      <xdr:spPr>
        <a:xfrm>
          <a:off x="42068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Setup 1</a:t>
          </a:r>
        </a:p>
      </xdr:txBody>
    </xdr:sp>
    <xdr:clientData/>
  </xdr:twoCellAnchor>
  <xdr:twoCellAnchor>
    <xdr:from>
      <xdr:col>73</xdr:col>
      <xdr:colOff>9525</xdr:colOff>
      <xdr:row>0</xdr:row>
      <xdr:rowOff>0</xdr:rowOff>
    </xdr:from>
    <xdr:to>
      <xdr:col>79</xdr:col>
      <xdr:colOff>511175</xdr:colOff>
      <xdr:row>1</xdr:row>
      <xdr:rowOff>0</xdr:rowOff>
    </xdr:to>
    <xdr:sp macro="" textlink="">
      <xdr:nvSpPr>
        <xdr:cNvPr id="10014" name="Rectangle 10013">
          <a:extLst>
            <a:ext uri="{FF2B5EF4-FFF2-40B4-BE49-F238E27FC236}">
              <a16:creationId xmlns:a16="http://schemas.microsoft.com/office/drawing/2014/main" id="{7CA08A81-25A1-482C-8DC0-64A88DE3D792}"/>
            </a:ext>
          </a:extLst>
        </xdr:cNvPr>
        <xdr:cNvSpPr/>
      </xdr:nvSpPr>
      <xdr:spPr>
        <a:xfrm>
          <a:off x="47986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Setup 2</a:t>
          </a:r>
        </a:p>
      </xdr:txBody>
    </xdr:sp>
    <xdr:clientData/>
  </xdr:twoCellAnchor>
  <xdr:twoCellAnchor>
    <xdr:from>
      <xdr:col>82</xdr:col>
      <xdr:colOff>12700</xdr:colOff>
      <xdr:row>0</xdr:row>
      <xdr:rowOff>0</xdr:rowOff>
    </xdr:from>
    <xdr:to>
      <xdr:col>88</xdr:col>
      <xdr:colOff>514350</xdr:colOff>
      <xdr:row>1</xdr:row>
      <xdr:rowOff>0</xdr:rowOff>
    </xdr:to>
    <xdr:sp macro="" textlink="">
      <xdr:nvSpPr>
        <xdr:cNvPr id="10015" name="Rectangle 10014">
          <a:extLst>
            <a:ext uri="{FF2B5EF4-FFF2-40B4-BE49-F238E27FC236}">
              <a16:creationId xmlns:a16="http://schemas.microsoft.com/office/drawing/2014/main" id="{80E88BF1-ECB7-474F-92C7-8AD6A77F80B8}"/>
            </a:ext>
          </a:extLst>
        </xdr:cNvPr>
        <xdr:cNvSpPr/>
      </xdr:nvSpPr>
      <xdr:spPr>
        <a:xfrm>
          <a:off x="53905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Damper</a:t>
          </a:r>
        </a:p>
      </xdr:txBody>
    </xdr:sp>
    <xdr:clientData/>
  </xdr:twoCellAnchor>
  <xdr:twoCellAnchor>
    <xdr:from>
      <xdr:col>91</xdr:col>
      <xdr:colOff>15875</xdr:colOff>
      <xdr:row>0</xdr:row>
      <xdr:rowOff>0</xdr:rowOff>
    </xdr:from>
    <xdr:to>
      <xdr:col>97</xdr:col>
      <xdr:colOff>517525</xdr:colOff>
      <xdr:row>1</xdr:row>
      <xdr:rowOff>0</xdr:rowOff>
    </xdr:to>
    <xdr:sp macro="" textlink="">
      <xdr:nvSpPr>
        <xdr:cNvPr id="10016" name="Rectangle 10015">
          <a:extLst>
            <a:ext uri="{FF2B5EF4-FFF2-40B4-BE49-F238E27FC236}">
              <a16:creationId xmlns:a16="http://schemas.microsoft.com/office/drawing/2014/main" id="{9D9B1252-93DC-41FC-A414-990FABDE9B18}"/>
            </a:ext>
          </a:extLst>
        </xdr:cNvPr>
        <xdr:cNvSpPr/>
      </xdr:nvSpPr>
      <xdr:spPr>
        <a:xfrm>
          <a:off x="59823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Tyres</a:t>
          </a:r>
        </a:p>
      </xdr:txBody>
    </xdr:sp>
    <xdr:clientData/>
  </xdr:twoCellAnchor>
  <xdr:twoCellAnchor>
    <xdr:from>
      <xdr:col>100</xdr:col>
      <xdr:colOff>19050</xdr:colOff>
      <xdr:row>0</xdr:row>
      <xdr:rowOff>0</xdr:rowOff>
    </xdr:from>
    <xdr:to>
      <xdr:col>106</xdr:col>
      <xdr:colOff>520700</xdr:colOff>
      <xdr:row>1</xdr:row>
      <xdr:rowOff>0</xdr:rowOff>
    </xdr:to>
    <xdr:sp macro="" textlink="">
      <xdr:nvSpPr>
        <xdr:cNvPr id="10017" name="Rectangle 10016">
          <a:extLst>
            <a:ext uri="{FF2B5EF4-FFF2-40B4-BE49-F238E27FC236}">
              <a16:creationId xmlns:a16="http://schemas.microsoft.com/office/drawing/2014/main" id="{80FD7E9C-0EDF-4AF4-BAAF-1DB85BE165AD}"/>
            </a:ext>
          </a:extLst>
        </xdr:cNvPr>
        <xdr:cNvSpPr/>
      </xdr:nvSpPr>
      <xdr:spPr>
        <a:xfrm>
          <a:off x="65741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Brakes</a:t>
          </a:r>
        </a:p>
      </xdr:txBody>
    </xdr:sp>
    <xdr:clientData/>
  </xdr:twoCellAnchor>
  <xdr:twoCellAnchor>
    <xdr:from>
      <xdr:col>109</xdr:col>
      <xdr:colOff>22225</xdr:colOff>
      <xdr:row>0</xdr:row>
      <xdr:rowOff>0</xdr:rowOff>
    </xdr:from>
    <xdr:to>
      <xdr:col>115</xdr:col>
      <xdr:colOff>523875</xdr:colOff>
      <xdr:row>1</xdr:row>
      <xdr:rowOff>0</xdr:rowOff>
    </xdr:to>
    <xdr:sp macro="" textlink="">
      <xdr:nvSpPr>
        <xdr:cNvPr id="10018" name="Rectangle 10017">
          <a:extLst>
            <a:ext uri="{FF2B5EF4-FFF2-40B4-BE49-F238E27FC236}">
              <a16:creationId xmlns:a16="http://schemas.microsoft.com/office/drawing/2014/main" id="{EDBE28C1-5B02-44E8-963C-901C36E5073F}"/>
            </a:ext>
          </a:extLst>
        </xdr:cNvPr>
        <xdr:cNvSpPr/>
      </xdr:nvSpPr>
      <xdr:spPr>
        <a:xfrm>
          <a:off x="71659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Brake wear</a:t>
          </a:r>
        </a:p>
      </xdr:txBody>
    </xdr:sp>
    <xdr:clientData/>
  </xdr:twoCellAnchor>
  <xdr:twoCellAnchor>
    <xdr:from>
      <xdr:col>118</xdr:col>
      <xdr:colOff>25400</xdr:colOff>
      <xdr:row>0</xdr:row>
      <xdr:rowOff>0</xdr:rowOff>
    </xdr:from>
    <xdr:to>
      <xdr:col>124</xdr:col>
      <xdr:colOff>527050</xdr:colOff>
      <xdr:row>1</xdr:row>
      <xdr:rowOff>0</xdr:rowOff>
    </xdr:to>
    <xdr:sp macro="" textlink="">
      <xdr:nvSpPr>
        <xdr:cNvPr id="10019" name="Rectangle 10018">
          <a:extLst>
            <a:ext uri="{FF2B5EF4-FFF2-40B4-BE49-F238E27FC236}">
              <a16:creationId xmlns:a16="http://schemas.microsoft.com/office/drawing/2014/main" id="{2CBFD145-5D2A-4DEC-8B63-05C474B42806}"/>
            </a:ext>
          </a:extLst>
        </xdr:cNvPr>
        <xdr:cNvSpPr/>
      </xdr:nvSpPr>
      <xdr:spPr>
        <a:xfrm>
          <a:off x="77577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</a:t>
          </a:r>
        </a:p>
      </xdr:txBody>
    </xdr:sp>
    <xdr:clientData/>
  </xdr:twoCellAnchor>
  <xdr:twoCellAnchor>
    <xdr:from>
      <xdr:col>127</xdr:col>
      <xdr:colOff>28575</xdr:colOff>
      <xdr:row>0</xdr:row>
      <xdr:rowOff>0</xdr:rowOff>
    </xdr:from>
    <xdr:to>
      <xdr:col>133</xdr:col>
      <xdr:colOff>530225</xdr:colOff>
      <xdr:row>1</xdr:row>
      <xdr:rowOff>0</xdr:rowOff>
    </xdr:to>
    <xdr:sp macro="" textlink="">
      <xdr:nvSpPr>
        <xdr:cNvPr id="10020" name="Rectangle 10019">
          <a:extLst>
            <a:ext uri="{FF2B5EF4-FFF2-40B4-BE49-F238E27FC236}">
              <a16:creationId xmlns:a16="http://schemas.microsoft.com/office/drawing/2014/main" id="{BCA7800F-070C-4990-9632-87AA3544E0A5}"/>
            </a:ext>
          </a:extLst>
        </xdr:cNvPr>
        <xdr:cNvSpPr/>
      </xdr:nvSpPr>
      <xdr:spPr>
        <a:xfrm>
          <a:off x="83496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2</a:t>
          </a:r>
        </a:p>
      </xdr:txBody>
    </xdr:sp>
    <xdr:clientData/>
  </xdr:twoCellAnchor>
  <xdr:twoCellAnchor>
    <xdr:from>
      <xdr:col>136</xdr:col>
      <xdr:colOff>31750</xdr:colOff>
      <xdr:row>0</xdr:row>
      <xdr:rowOff>0</xdr:rowOff>
    </xdr:from>
    <xdr:to>
      <xdr:col>142</xdr:col>
      <xdr:colOff>533400</xdr:colOff>
      <xdr:row>1</xdr:row>
      <xdr:rowOff>0</xdr:rowOff>
    </xdr:to>
    <xdr:sp macro="" textlink="">
      <xdr:nvSpPr>
        <xdr:cNvPr id="10021" name="Rectangle 10020">
          <a:extLst>
            <a:ext uri="{FF2B5EF4-FFF2-40B4-BE49-F238E27FC236}">
              <a16:creationId xmlns:a16="http://schemas.microsoft.com/office/drawing/2014/main" id="{B2EA164F-8AD5-41E9-9D02-EB63034137F7}"/>
            </a:ext>
          </a:extLst>
        </xdr:cNvPr>
        <xdr:cNvSpPr/>
      </xdr:nvSpPr>
      <xdr:spPr>
        <a:xfrm>
          <a:off x="89414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3</a:t>
          </a:r>
        </a:p>
      </xdr:txBody>
    </xdr:sp>
    <xdr:clientData/>
  </xdr:twoCellAnchor>
  <xdr:twoCellAnchor>
    <xdr:from>
      <xdr:col>145</xdr:col>
      <xdr:colOff>34925</xdr:colOff>
      <xdr:row>0</xdr:row>
      <xdr:rowOff>0</xdr:rowOff>
    </xdr:from>
    <xdr:to>
      <xdr:col>151</xdr:col>
      <xdr:colOff>536575</xdr:colOff>
      <xdr:row>1</xdr:row>
      <xdr:rowOff>0</xdr:rowOff>
    </xdr:to>
    <xdr:sp macro="" textlink="">
      <xdr:nvSpPr>
        <xdr:cNvPr id="10022" name="Rectangle 10021">
          <a:extLst>
            <a:ext uri="{FF2B5EF4-FFF2-40B4-BE49-F238E27FC236}">
              <a16:creationId xmlns:a16="http://schemas.microsoft.com/office/drawing/2014/main" id="{D54EFFF1-8163-43CE-A686-D3E784EECC16}"/>
            </a:ext>
          </a:extLst>
        </xdr:cNvPr>
        <xdr:cNvSpPr/>
      </xdr:nvSpPr>
      <xdr:spPr>
        <a:xfrm>
          <a:off x="95332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4</a:t>
          </a:r>
        </a:p>
      </xdr:txBody>
    </xdr:sp>
    <xdr:clientData/>
  </xdr:twoCellAnchor>
  <xdr:twoCellAnchor>
    <xdr:from>
      <xdr:col>154</xdr:col>
      <xdr:colOff>38100</xdr:colOff>
      <xdr:row>0</xdr:row>
      <xdr:rowOff>0</xdr:rowOff>
    </xdr:from>
    <xdr:to>
      <xdr:col>160</xdr:col>
      <xdr:colOff>539750</xdr:colOff>
      <xdr:row>1</xdr:row>
      <xdr:rowOff>0</xdr:rowOff>
    </xdr:to>
    <xdr:sp macro="" textlink="">
      <xdr:nvSpPr>
        <xdr:cNvPr id="10023" name="Rectangle 10022">
          <a:extLst>
            <a:ext uri="{FF2B5EF4-FFF2-40B4-BE49-F238E27FC236}">
              <a16:creationId xmlns:a16="http://schemas.microsoft.com/office/drawing/2014/main" id="{9D0D2A5F-E176-4FA0-8AFF-8E3EE0C7A4B2}"/>
            </a:ext>
          </a:extLst>
        </xdr:cNvPr>
        <xdr:cNvSpPr/>
      </xdr:nvSpPr>
      <xdr:spPr>
        <a:xfrm>
          <a:off x="101250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</a:t>
          </a:r>
        </a:p>
      </xdr:txBody>
    </xdr:sp>
    <xdr:clientData/>
  </xdr:twoCellAnchor>
  <xdr:twoCellAnchor>
    <xdr:from>
      <xdr:col>163</xdr:col>
      <xdr:colOff>41275</xdr:colOff>
      <xdr:row>0</xdr:row>
      <xdr:rowOff>0</xdr:rowOff>
    </xdr:from>
    <xdr:to>
      <xdr:col>169</xdr:col>
      <xdr:colOff>542925</xdr:colOff>
      <xdr:row>1</xdr:row>
      <xdr:rowOff>0</xdr:rowOff>
    </xdr:to>
    <xdr:sp macro="" textlink="">
      <xdr:nvSpPr>
        <xdr:cNvPr id="10024" name="Rectangle 10023">
          <a:extLst>
            <a:ext uri="{FF2B5EF4-FFF2-40B4-BE49-F238E27FC236}">
              <a16:creationId xmlns:a16="http://schemas.microsoft.com/office/drawing/2014/main" id="{9FD684EB-6549-4A18-90A4-FC09B6A16067}"/>
            </a:ext>
          </a:extLst>
        </xdr:cNvPr>
        <xdr:cNvSpPr/>
      </xdr:nvSpPr>
      <xdr:spPr>
        <a:xfrm>
          <a:off x="107168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2</a:t>
          </a:r>
        </a:p>
      </xdr:txBody>
    </xdr:sp>
    <xdr:clientData/>
  </xdr:twoCellAnchor>
  <xdr:twoCellAnchor>
    <xdr:from>
      <xdr:col>172</xdr:col>
      <xdr:colOff>44450</xdr:colOff>
      <xdr:row>0</xdr:row>
      <xdr:rowOff>0</xdr:rowOff>
    </xdr:from>
    <xdr:to>
      <xdr:col>178</xdr:col>
      <xdr:colOff>546100</xdr:colOff>
      <xdr:row>1</xdr:row>
      <xdr:rowOff>0</xdr:rowOff>
    </xdr:to>
    <xdr:sp macro="" textlink="">
      <xdr:nvSpPr>
        <xdr:cNvPr id="10025" name="Rectangle 10024">
          <a:extLst>
            <a:ext uri="{FF2B5EF4-FFF2-40B4-BE49-F238E27FC236}">
              <a16:creationId xmlns:a16="http://schemas.microsoft.com/office/drawing/2014/main" id="{408074FA-254F-4C88-9E53-5D526BD28C01}"/>
            </a:ext>
          </a:extLst>
        </xdr:cNvPr>
        <xdr:cNvSpPr/>
      </xdr:nvSpPr>
      <xdr:spPr>
        <a:xfrm>
          <a:off x="113087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3</a:t>
          </a:r>
        </a:p>
      </xdr:txBody>
    </xdr:sp>
    <xdr:clientData/>
  </xdr:twoCellAnchor>
  <xdr:twoCellAnchor>
    <xdr:from>
      <xdr:col>181</xdr:col>
      <xdr:colOff>47625</xdr:colOff>
      <xdr:row>0</xdr:row>
      <xdr:rowOff>0</xdr:rowOff>
    </xdr:from>
    <xdr:to>
      <xdr:col>187</xdr:col>
      <xdr:colOff>549275</xdr:colOff>
      <xdr:row>1</xdr:row>
      <xdr:rowOff>0</xdr:rowOff>
    </xdr:to>
    <xdr:sp macro="" textlink="">
      <xdr:nvSpPr>
        <xdr:cNvPr id="10026" name="Rectangle 10025">
          <a:extLst>
            <a:ext uri="{FF2B5EF4-FFF2-40B4-BE49-F238E27FC236}">
              <a16:creationId xmlns:a16="http://schemas.microsoft.com/office/drawing/2014/main" id="{4673C6D5-2B3B-4A17-9868-23C0818B05AD}"/>
            </a:ext>
          </a:extLst>
        </xdr:cNvPr>
        <xdr:cNvSpPr/>
      </xdr:nvSpPr>
      <xdr:spPr>
        <a:xfrm>
          <a:off x="119005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4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615950</xdr:colOff>
      <xdr:row>16</xdr:row>
      <xdr:rowOff>0</xdr:rowOff>
    </xdr:to>
    <xdr:graphicFrame macro="">
      <xdr:nvGraphicFramePr>
        <xdr:cNvPr id="10027" name="Chart 10026">
          <a:extLst>
            <a:ext uri="{FF2B5EF4-FFF2-40B4-BE49-F238E27FC236}">
              <a16:creationId xmlns:a16="http://schemas.microsoft.com/office/drawing/2014/main" id="{C09E0AA2-44E1-4EC6-AA41-B54A2A5C65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615950</xdr:colOff>
      <xdr:row>32</xdr:row>
      <xdr:rowOff>0</xdr:rowOff>
    </xdr:to>
    <xdr:graphicFrame macro="">
      <xdr:nvGraphicFramePr>
        <xdr:cNvPr id="10028" name="Chart 10027">
          <a:extLst>
            <a:ext uri="{FF2B5EF4-FFF2-40B4-BE49-F238E27FC236}">
              <a16:creationId xmlns:a16="http://schemas.microsoft.com/office/drawing/2014/main" id="{AF06A164-40C1-4BCE-AEEC-79E4E60291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8</xdr:col>
      <xdr:colOff>615950</xdr:colOff>
      <xdr:row>48</xdr:row>
      <xdr:rowOff>0</xdr:rowOff>
    </xdr:to>
    <xdr:graphicFrame macro="">
      <xdr:nvGraphicFramePr>
        <xdr:cNvPr id="10029" name="Chart 10028">
          <a:extLst>
            <a:ext uri="{FF2B5EF4-FFF2-40B4-BE49-F238E27FC236}">
              <a16:creationId xmlns:a16="http://schemas.microsoft.com/office/drawing/2014/main" id="{2A3B1DD0-9D03-4B41-A667-7BCA25F4B4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9</xdr:col>
      <xdr:colOff>6350</xdr:colOff>
      <xdr:row>0</xdr:row>
      <xdr:rowOff>0</xdr:rowOff>
    </xdr:from>
    <xdr:to>
      <xdr:col>17</xdr:col>
      <xdr:colOff>622300</xdr:colOff>
      <xdr:row>16</xdr:row>
      <xdr:rowOff>0</xdr:rowOff>
    </xdr:to>
    <xdr:graphicFrame macro="">
      <xdr:nvGraphicFramePr>
        <xdr:cNvPr id="10030" name="Chart 10029">
          <a:extLst>
            <a:ext uri="{FF2B5EF4-FFF2-40B4-BE49-F238E27FC236}">
              <a16:creationId xmlns:a16="http://schemas.microsoft.com/office/drawing/2014/main" id="{6B8AA009-D3D3-43E4-BB5F-B6D0CEA2D6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9</xdr:col>
      <xdr:colOff>6350</xdr:colOff>
      <xdr:row>16</xdr:row>
      <xdr:rowOff>0</xdr:rowOff>
    </xdr:from>
    <xdr:to>
      <xdr:col>17</xdr:col>
      <xdr:colOff>622300</xdr:colOff>
      <xdr:row>32</xdr:row>
      <xdr:rowOff>0</xdr:rowOff>
    </xdr:to>
    <xdr:graphicFrame macro="">
      <xdr:nvGraphicFramePr>
        <xdr:cNvPr id="10031" name="Chart 10030">
          <a:extLst>
            <a:ext uri="{FF2B5EF4-FFF2-40B4-BE49-F238E27FC236}">
              <a16:creationId xmlns:a16="http://schemas.microsoft.com/office/drawing/2014/main" id="{0C1C101C-50A4-4E49-BEB2-4EB42215B5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9</xdr:col>
      <xdr:colOff>6350</xdr:colOff>
      <xdr:row>32</xdr:row>
      <xdr:rowOff>0</xdr:rowOff>
    </xdr:from>
    <xdr:to>
      <xdr:col>17</xdr:col>
      <xdr:colOff>622300</xdr:colOff>
      <xdr:row>48</xdr:row>
      <xdr:rowOff>0</xdr:rowOff>
    </xdr:to>
    <xdr:graphicFrame macro="">
      <xdr:nvGraphicFramePr>
        <xdr:cNvPr id="10032" name="Chart 10031">
          <a:extLst>
            <a:ext uri="{FF2B5EF4-FFF2-40B4-BE49-F238E27FC236}">
              <a16:creationId xmlns:a16="http://schemas.microsoft.com/office/drawing/2014/main" id="{D5CDA8E8-59AF-4155-91F7-178C7510ED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366432</xdr:colOff>
      <xdr:row>176</xdr:row>
      <xdr:rowOff>99452</xdr:rowOff>
    </xdr:from>
    <xdr:to>
      <xdr:col>59</xdr:col>
      <xdr:colOff>1160370</xdr:colOff>
      <xdr:row>190</xdr:row>
      <xdr:rowOff>175652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64AF25-30F9-4C71-B1B7-D528726A33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319767</xdr:colOff>
      <xdr:row>234</xdr:row>
      <xdr:rowOff>159203</xdr:rowOff>
    </xdr:from>
    <xdr:to>
      <xdr:col>18</xdr:col>
      <xdr:colOff>700767</xdr:colOff>
      <xdr:row>249</xdr:row>
      <xdr:rowOff>44903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FF686D-5063-4A8B-B14B-507ABC860C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498A18-2103-4C11-A46F-A2F26CD31C28}" name="Table1" displayName="Table1" ref="B5:BM186" totalsRowShown="0" headerRowDxfId="2" headerRowBorderDxfId="1" tableBorderDxfId="0">
  <autoFilter ref="B5:BM186" xr:uid="{21498A18-2103-4C11-A46F-A2F26CD31C28}"/>
  <tableColumns count="64">
    <tableColumn id="1" xr3:uid="{B224B905-02ED-4D17-9016-A79F8A83CB62}" name="Evaluate"/>
    <tableColumn id="2" xr3:uid="{6A9C05F4-367F-4CCC-A473-934BB3D8C462}" name="Lap"/>
    <tableColumn id="3" xr3:uid="{4EADEFB1-DA57-40CF-92E8-F0EB3B7FF18F}" name="Laptime"/>
    <tableColumn id="4" xr3:uid="{9F95A4E5-48A6-41A8-8942-8F73BCEEF438}" name="Max laptime"/>
    <tableColumn id="5" xr3:uid="{85057596-2776-4EB6-9423-26383ADFAD5B}" name="Max speed"/>
    <tableColumn id="6" xr3:uid="{477043DF-DDC0-41EB-B56F-A4076A56D176}" name="Lap-Diff fuelcons_kg"/>
    <tableColumn id="7" xr3:uid="{4E64040B-6535-40F0-879D-E7781FE9E13E}" name="Max FIA_TCockpit"/>
    <tableColumn id="8" xr3:uid="{5B75B9D4-7846-4E6C-AAA8-6F7C2D442D1C}" name="Max CrossTimeLap"/>
    <tableColumn id="9" xr3:uid="{7788350A-0B9E-4895-9265-76DBF9EE0753}" name="Max CoastTimeLap"/>
    <tableColumn id="10" xr3:uid="{213483C5-7299-4FB8-BF72-B12EF8123B86}" name="Max TC_gain"/>
    <tableColumn id="11" xr3:uid="{07D33E29-D6D0-406C-A1E2-4ED0362A64DC}" name="Max TC_slip"/>
    <tableColumn id="12" xr3:uid="{69715355-4B52-4933-A42B-4EA66E45D409}" name="Max EngineMap"/>
    <tableColumn id="13" xr3:uid="{25B72174-B785-454E-990B-B493C116E5A0}" name="Max PedalMap"/>
    <tableColumn id="14" xr3:uid="{55C5476C-6A3B-4CEC-B55B-77BC3B760F1B}" name="Max SteerMap"/>
    <tableColumn id="15" xr3:uid="{B288BECD-E084-47AF-A5FD-7E86094B60DE}" name="Ave understeer"/>
    <tableColumn id="16" xr3:uid="{A20000E3-F5CC-434A-9CDB-9CE9231928EE}" name="Ave understeer_LS"/>
    <tableColumn id="17" xr3:uid="{F2EA34B5-6180-4123-8FB0-A59F389CDE5C}" name="Ave understeer_MS"/>
    <tableColumn id="18" xr3:uid="{9F5B7754-41EA-4047-A052-98D212EDAC81}" name="Ave understeer_HS"/>
    <tableColumn id="19" xr3:uid="{05847547-089B-4647-9B5D-85ED3D969A87}" name="Max pbrake_f"/>
    <tableColumn id="20" xr3:uid="{DBB5C32B-0D97-4BD0-8C91-F1AD97B8A294}" name="Ave Brake_bal %"/>
    <tableColumn id="21" xr3:uid="{18A87A73-9C3E-4289-ACC9-4A73473EC354}" name="Min tdisk_fl"/>
    <tableColumn id="22" xr3:uid="{EAC55DB7-1DC2-446F-88C2-71C6D87BB4AD}" name="Min tdisk_fr"/>
    <tableColumn id="23" xr3:uid="{8B6A774F-BBC7-4D1E-BBDE-A8A384B37BB5}" name="Min tdisk_rl"/>
    <tableColumn id="24" xr3:uid="{97BC91FD-1D38-4BFA-A2E9-70FE6452F595}" name="Min tdisk_rr"/>
    <tableColumn id="25" xr3:uid="{79E81673-7836-463E-A3B5-45A98E43FAEF}" name="Ave tdisk_fl"/>
    <tableColumn id="26" xr3:uid="{F8F93C17-0E31-494F-9285-D591A988479B}" name="Ave tdisk_fr"/>
    <tableColumn id="27" xr3:uid="{B07EB6BD-35B2-4B38-9F5C-E7557F32CED1}" name="Ave tdisk_rl"/>
    <tableColumn id="28" xr3:uid="{AC4E0CCB-A5BE-400A-BD33-11F0907EC70D}" name="Ave tdisk_rr"/>
    <tableColumn id="29" xr3:uid="{D87F28BE-C747-4BAA-AD78-5F6EEE060AA9}" name="Ave Pres_Rel_FL"/>
    <tableColumn id="30" xr3:uid="{D4A1509F-2C40-48BD-9C8F-6AB02F23A68D}" name="Ave Pres_Rel_FR"/>
    <tableColumn id="31" xr3:uid="{486F6A4B-6F6C-4C65-976D-5B39119F05A5}" name="Ave Pres_Rel_RL"/>
    <tableColumn id="32" xr3:uid="{EFB3A2EB-8BE1-4915-9377-1763504380BB}" name="Ave Pres_Rel_RR"/>
    <tableColumn id="33" xr3:uid="{C8E930C3-2FF1-475F-A1E6-1DFAEAB01E5A}" name="Ave FL_IR_Temp_Ch2"/>
    <tableColumn id="34" xr3:uid="{5A0D7EEE-A57E-499A-BA4E-54437C30260D}" name="Ave FR_IR_Temp_Ch2"/>
    <tableColumn id="35" xr3:uid="{C93FA4FF-9204-4B2F-9320-8748C41C8E9B}" name="Ave RL_IR_Temp_Ch2"/>
    <tableColumn id="36" xr3:uid="{3C00B400-62AD-4AB3-8C3C-4A267ED52B67}" name="Ave RR_IR_Temp_Ch2"/>
    <tableColumn id="37" xr3:uid="{DBC6A21A-40EA-45B9-8AC7-2A79AA7B877E}" name="Ave CPL_FL"/>
    <tableColumn id="38" xr3:uid="{A8CB5576-F10C-4333-8BD5-3CFD1FB0769C}" name="Ave CPL_FR"/>
    <tableColumn id="39" xr3:uid="{25C8E1D2-0257-4383-B1EC-E09B089DB394}" name="Ave CPL_RL"/>
    <tableColumn id="40" xr3:uid="{E804C4F0-9302-4D58-A427-42242AF575D9}" name="Ave CPL_RR"/>
    <tableColumn id="41" xr3:uid="{34ACE460-CBAA-4E01-B614-32ED27C3DB1A}" name="CzF_TS"/>
    <tableColumn id="42" xr3:uid="{E9E1C2D7-153D-44EB-AA4A-2198E55B29C0}" name="CzR_TS"/>
    <tableColumn id="43" xr3:uid="{C9CF65E4-9CDF-4610-81C0-32C263232B45}" name="Ave Ride_AxleFront_TS"/>
    <tableColumn id="44" xr3:uid="{EA8D65BA-624C-4CF2-8EA4-40DBDE4D4791}" name="Ave Ride_AxleRear_TS"/>
    <tableColumn id="45" xr3:uid="{EA4CC72D-4AAB-4EAD-B909-572E7A8F7E23}" name="Max tmot"/>
    <tableColumn id="46" xr3:uid="{4155252B-2C2A-4383-B508-5C10320E9E4E}" name="Max tgear"/>
    <tableColumn id="47" xr3:uid="{F0EFD019-BF74-4ED3-870F-FBD5BDB951B3}" name="Min Oil_level"/>
    <tableColumn id="48" xr3:uid="{8FD7296E-C1DE-413D-BF74-E113BA1EBD90}" name="Ave Oil_level"/>
    <tableColumn id="49" xr3:uid="{CE4FF0DA-9BC3-4F7F-9707-A7B5F3C560F7}" name="Ave pcrank"/>
    <tableColumn id="50" xr3:uid="{B8147BF2-29C2-448D-85C3-946CA7525FF1}" name="Max pwat_pod"/>
    <tableColumn id="51" xr3:uid="{2C2ADFBB-0C4B-4BC1-A6CC-EA3FE7440609}" name="Min pfuel"/>
    <tableColumn id="52" xr3:uid="{83C4E837-03F4-4279-AC23-F2EB80E2FDAB}" name="Min PRail_80"/>
    <tableColumn id="53" xr3:uid="{AE03A655-DC96-4FD9-9385-1F6EBDA90734}" name="Min PRail2_80"/>
    <tableColumn id="54" xr3:uid="{96FDCC47-E18A-4B79-A7B4-557B5BB8AEE4}" name="Max nmot"/>
    <tableColumn id="55" xr3:uid="{0839D66D-8DF0-4AC6-8551-D4C3BA5063AA}" name="Max mlo_egt_present_current_can"/>
    <tableColumn id="56" xr3:uid="{DB655C94-7D06-47E6-9FCA-31531933858D}" name="Max Load_FL_Ch1"/>
    <tableColumn id="57" xr3:uid="{EE751ECF-B211-4C7B-A7C9-30CCEE860A60}" name="Max Load_FR_Ch1"/>
    <tableColumn id="58" xr3:uid="{E138A204-AF1B-4C81-9B78-F376FF6F7E76}" name="Max Load_RL_Ch1"/>
    <tableColumn id="59" xr3:uid="{BE390017-BC01-42C5-81BD-1B45FDB89616}" name="Max Load_RR_Ch1"/>
    <tableColumn id="60" xr3:uid="{3CB2AB2D-E424-45D2-8EDF-075E652919A5}" name="Ave frh_pitlane"/>
    <tableColumn id="61" xr3:uid="{84FA8333-A2AE-484A-8764-5A193561CB2F}" name="Ave rrh_pitlane"/>
    <tableColumn id="62" xr3:uid="{A56EE3EE-A310-41E3-AF1F-62BF3EA9DB8F}" name="Ave Ride_F_pit"/>
    <tableColumn id="63" xr3:uid="{2D0C594A-BC42-4444-8E7D-6827C609F10C}" name="Ave Ride_RL_pit"/>
    <tableColumn id="64" xr3:uid="{F0F467D1-F119-4078-8B81-0521AF0C3322}" name="Ave Ride_RR_pi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Podium_Report_Theme">
  <a:themeElements>
    <a:clrScheme name="Podium_Report_Theme">
      <a:dk1>
        <a:sysClr val="windowText" lastClr="000000"/>
      </a:dk1>
      <a:lt1>
        <a:sysClr val="window" lastClr="FFFFFF"/>
      </a:lt1>
      <a:dk2>
        <a:srgbClr val="44546A"/>
      </a:dk2>
      <a:lt2>
        <a:srgbClr val="F2F2F2"/>
      </a:lt2>
      <a:accent1>
        <a:srgbClr val="FF0000"/>
      </a:accent1>
      <a:accent2>
        <a:srgbClr val="39E500"/>
      </a:accent2>
      <a:accent3>
        <a:srgbClr val="0678EB"/>
      </a:accent3>
      <a:accent4>
        <a:srgbClr val="FFC000"/>
      </a:accent4>
      <a:accent5>
        <a:srgbClr val="DE0000"/>
      </a:accent5>
      <a:accent6>
        <a:srgbClr val="00B050"/>
      </a:accent6>
      <a:hlink>
        <a:srgbClr val="7030A0"/>
      </a:hlink>
      <a:folHlink>
        <a:srgbClr val="48A1FA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86DC-C125-45A7-8946-4257C3CDFB2E}">
  <sheetPr codeName="Sheet11"/>
  <dimension ref="A2:X84"/>
  <sheetViews>
    <sheetView zoomScale="70" zoomScaleNormal="70" workbookViewId="0">
      <selection activeCell="D73" sqref="D73"/>
    </sheetView>
  </sheetViews>
  <sheetFormatPr defaultRowHeight="15" x14ac:dyDescent="0.25"/>
  <cols>
    <col min="1" max="1" width="21.140625" bestFit="1" customWidth="1"/>
    <col min="2" max="2" width="38.85546875" bestFit="1" customWidth="1"/>
    <col min="15" max="15" width="44.42578125" bestFit="1" customWidth="1"/>
    <col min="16" max="16" width="29.140625" bestFit="1" customWidth="1"/>
    <col min="17" max="17" width="33" bestFit="1" customWidth="1"/>
    <col min="20" max="20" width="13.5703125" bestFit="1" customWidth="1"/>
  </cols>
  <sheetData>
    <row r="2" spans="1:20" x14ac:dyDescent="0.25">
      <c r="B2" s="8"/>
    </row>
    <row r="3" spans="1:20" ht="15.75" thickBot="1" x14ac:dyDescent="0.3">
      <c r="A3" s="28" t="s">
        <v>273</v>
      </c>
      <c r="B3" s="28">
        <v>6</v>
      </c>
    </row>
    <row r="4" spans="1:20" ht="15.75" thickBot="1" x14ac:dyDescent="0.3">
      <c r="A4" s="27" t="s">
        <v>274</v>
      </c>
      <c r="B4" s="27">
        <v>56</v>
      </c>
      <c r="O4" s="38" t="s">
        <v>374</v>
      </c>
      <c r="P4" s="39" t="s">
        <v>373</v>
      </c>
      <c r="Q4" s="40" t="s">
        <v>375</v>
      </c>
    </row>
    <row r="5" spans="1:20" x14ac:dyDescent="0.25">
      <c r="A5" s="27" t="s">
        <v>368</v>
      </c>
      <c r="B5" s="27">
        <v>11</v>
      </c>
      <c r="O5" s="35">
        <f>P5/86400</f>
        <v>2.3495370370370367E-3</v>
      </c>
      <c r="P5" s="36">
        <f>P6-10</f>
        <v>202.99999999999997</v>
      </c>
      <c r="Q5" s="37">
        <f>P5/86400</f>
        <v>2.3495370370370367E-3</v>
      </c>
    </row>
    <row r="6" spans="1:20" x14ac:dyDescent="0.25">
      <c r="A6" s="27" t="s">
        <v>369</v>
      </c>
      <c r="B6" s="27">
        <v>15</v>
      </c>
      <c r="O6" s="31">
        <v>2.4652777777777776E-3</v>
      </c>
      <c r="P6" s="29">
        <f>+O6*86400</f>
        <v>212.99999999999997</v>
      </c>
      <c r="Q6" s="30">
        <f t="shared" ref="Q6:Q7" si="0">P6/86400</f>
        <v>2.4652777777777776E-3</v>
      </c>
    </row>
    <row r="7" spans="1:20" ht="15.75" thickBot="1" x14ac:dyDescent="0.3">
      <c r="A7" s="27" t="s">
        <v>370</v>
      </c>
      <c r="B7" s="27">
        <v>12</v>
      </c>
      <c r="O7" s="32">
        <f>P7/86400</f>
        <v>2.5810185185185181E-3</v>
      </c>
      <c r="P7" s="33">
        <f>P6+10</f>
        <v>222.99999999999997</v>
      </c>
      <c r="Q7" s="34">
        <f t="shared" si="0"/>
        <v>2.5810185185185181E-3</v>
      </c>
    </row>
    <row r="8" spans="1:20" ht="15.75" thickBot="1" x14ac:dyDescent="0.3">
      <c r="O8" s="38" t="s">
        <v>376</v>
      </c>
      <c r="P8" s="39" t="s">
        <v>378</v>
      </c>
      <c r="Q8" s="40" t="s">
        <v>379</v>
      </c>
    </row>
    <row r="9" spans="1:20" ht="15.75" thickBot="1" x14ac:dyDescent="0.3">
      <c r="O9" s="41">
        <v>6</v>
      </c>
      <c r="P9" s="42">
        <f>O9+1</f>
        <v>7</v>
      </c>
      <c r="Q9" s="43">
        <f>O9-1</f>
        <v>5</v>
      </c>
    </row>
    <row r="10" spans="1:20" ht="15.75" thickBot="1" x14ac:dyDescent="0.3">
      <c r="O10" s="38" t="s">
        <v>377</v>
      </c>
      <c r="P10" s="39" t="s">
        <v>380</v>
      </c>
      <c r="Q10" s="40" t="s">
        <v>381</v>
      </c>
    </row>
    <row r="11" spans="1:20" ht="15.75" thickBot="1" x14ac:dyDescent="0.3">
      <c r="O11" s="44">
        <v>70</v>
      </c>
      <c r="P11" s="45">
        <f>O11+10</f>
        <v>80</v>
      </c>
      <c r="Q11" s="46">
        <f>+O11-10</f>
        <v>60</v>
      </c>
    </row>
    <row r="13" spans="1:20" x14ac:dyDescent="0.25">
      <c r="T13">
        <f>COLUMN(FA2)</f>
        <v>157</v>
      </c>
    </row>
    <row r="16" spans="1:20" ht="15.75" thickBot="1" x14ac:dyDescent="0.3"/>
    <row r="17" spans="1:24" x14ac:dyDescent="0.25">
      <c r="A17" s="9" t="s">
        <v>275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1"/>
      <c r="N17" s="9" t="s">
        <v>348</v>
      </c>
      <c r="O17" s="10"/>
      <c r="P17" s="10"/>
      <c r="Q17" s="10"/>
      <c r="R17" s="11"/>
    </row>
    <row r="18" spans="1:24" ht="15.75" thickBot="1" x14ac:dyDescent="0.3">
      <c r="A18" s="17" t="s">
        <v>276</v>
      </c>
      <c r="B18" s="18" t="s">
        <v>277</v>
      </c>
      <c r="C18" s="18" t="s">
        <v>278</v>
      </c>
      <c r="D18" s="18" t="s">
        <v>279</v>
      </c>
      <c r="E18" s="18" t="s">
        <v>340</v>
      </c>
      <c r="F18" s="18" t="s">
        <v>341</v>
      </c>
      <c r="G18" s="18" t="s">
        <v>342</v>
      </c>
      <c r="H18" s="18" t="s">
        <v>343</v>
      </c>
      <c r="I18" s="18" t="s">
        <v>344</v>
      </c>
      <c r="J18" s="18" t="s">
        <v>345</v>
      </c>
      <c r="K18" s="18" t="s">
        <v>346</v>
      </c>
      <c r="L18" s="19" t="s">
        <v>347</v>
      </c>
      <c r="N18" s="17" t="s">
        <v>276</v>
      </c>
      <c r="O18" s="18" t="s">
        <v>349</v>
      </c>
      <c r="P18" s="18" t="s">
        <v>277</v>
      </c>
      <c r="Q18" s="18" t="s">
        <v>353</v>
      </c>
      <c r="R18" s="19" t="s">
        <v>279</v>
      </c>
    </row>
    <row r="19" spans="1:24" x14ac:dyDescent="0.25">
      <c r="A19" s="15">
        <v>1</v>
      </c>
      <c r="B19" s="16" t="s">
        <v>280</v>
      </c>
      <c r="C19" s="16">
        <v>932.5</v>
      </c>
      <c r="D19" s="16">
        <v>20</v>
      </c>
      <c r="E19" s="16">
        <v>4</v>
      </c>
      <c r="F19" s="16"/>
      <c r="G19" s="13"/>
      <c r="H19" s="13"/>
      <c r="I19" s="13"/>
      <c r="J19" s="13"/>
      <c r="K19" s="13"/>
      <c r="L19" s="14"/>
      <c r="N19" s="9">
        <v>1</v>
      </c>
      <c r="O19" s="10">
        <v>3</v>
      </c>
      <c r="P19" s="10" t="s">
        <v>67</v>
      </c>
      <c r="Q19" s="10">
        <v>982.5</v>
      </c>
      <c r="R19" s="11">
        <v>80</v>
      </c>
      <c r="X19">
        <v>932.5</v>
      </c>
    </row>
    <row r="20" spans="1:24" x14ac:dyDescent="0.25">
      <c r="A20" s="15">
        <v>2</v>
      </c>
      <c r="B20" s="16" t="s">
        <v>281</v>
      </c>
      <c r="C20" s="16">
        <v>932.5</v>
      </c>
      <c r="D20" s="16">
        <f>D19+180</f>
        <v>200</v>
      </c>
      <c r="E20" s="13">
        <f>COLUMN(G1)</f>
        <v>7</v>
      </c>
      <c r="F20" s="13">
        <f>COLUMN(EX1)</f>
        <v>154</v>
      </c>
      <c r="G20" s="13"/>
      <c r="H20" s="13"/>
      <c r="I20" s="13"/>
      <c r="J20" s="13"/>
      <c r="K20" s="13"/>
      <c r="L20" s="14"/>
      <c r="N20" s="12">
        <v>2</v>
      </c>
      <c r="O20" s="13">
        <v>4</v>
      </c>
      <c r="P20" s="13" t="s">
        <v>94</v>
      </c>
      <c r="Q20" s="13">
        <f>+Q19+466</f>
        <v>1448.5</v>
      </c>
      <c r="R20" s="14">
        <v>80</v>
      </c>
      <c r="X20">
        <f>+X19+465.75</f>
        <v>1398.25</v>
      </c>
    </row>
    <row r="21" spans="1:24" x14ac:dyDescent="0.25">
      <c r="A21" s="15">
        <v>3</v>
      </c>
      <c r="B21" s="16" t="s">
        <v>282</v>
      </c>
      <c r="C21" s="16">
        <v>932.5</v>
      </c>
      <c r="D21" s="16">
        <f>D20+180</f>
        <v>380</v>
      </c>
      <c r="E21" s="13">
        <f>COLUMN(BR1)</f>
        <v>70</v>
      </c>
      <c r="F21" s="13"/>
      <c r="G21" s="13"/>
      <c r="H21" s="13"/>
      <c r="I21" s="13"/>
      <c r="J21" s="13"/>
      <c r="K21" s="13"/>
      <c r="L21" s="14"/>
      <c r="N21" s="12">
        <v>3</v>
      </c>
      <c r="O21" s="13">
        <v>5</v>
      </c>
      <c r="P21" s="13" t="s">
        <v>262</v>
      </c>
      <c r="Q21" s="13">
        <f t="shared" ref="Q21:Q37" si="1">+Q20+466</f>
        <v>1914.5</v>
      </c>
      <c r="R21" s="14">
        <v>80</v>
      </c>
      <c r="X21">
        <f t="shared" ref="X21:X37" si="2">+X20+465.75</f>
        <v>1864</v>
      </c>
    </row>
    <row r="22" spans="1:24" x14ac:dyDescent="0.25">
      <c r="A22" s="15">
        <v>4</v>
      </c>
      <c r="B22" s="16" t="s">
        <v>283</v>
      </c>
      <c r="C22" s="16">
        <v>932.5</v>
      </c>
      <c r="D22" s="16">
        <f>D21+180</f>
        <v>560</v>
      </c>
      <c r="E22" s="13">
        <f>COLUMN(K1)</f>
        <v>11</v>
      </c>
      <c r="F22" s="13">
        <f>COLUMN(L1)</f>
        <v>12</v>
      </c>
      <c r="G22" s="13">
        <f>COLUMN(M1)</f>
        <v>13</v>
      </c>
      <c r="H22" s="13">
        <f>COLUMN(N1)</f>
        <v>14</v>
      </c>
      <c r="I22" s="13">
        <f>COLUMN(O1)</f>
        <v>15</v>
      </c>
      <c r="J22" s="13"/>
      <c r="K22" s="13"/>
      <c r="L22" s="14"/>
      <c r="N22" s="12">
        <v>4</v>
      </c>
      <c r="O22" s="13">
        <v>6</v>
      </c>
      <c r="P22" s="13" t="s">
        <v>93</v>
      </c>
      <c r="Q22" s="13">
        <f t="shared" si="1"/>
        <v>2380.5</v>
      </c>
      <c r="R22" s="14">
        <v>80</v>
      </c>
      <c r="X22">
        <f t="shared" si="2"/>
        <v>2329.75</v>
      </c>
    </row>
    <row r="23" spans="1:24" x14ac:dyDescent="0.25">
      <c r="A23" s="12">
        <v>5</v>
      </c>
      <c r="B23" s="13" t="s">
        <v>284</v>
      </c>
      <c r="C23" s="13">
        <f>$X$20</f>
        <v>1398.25</v>
      </c>
      <c r="D23" s="16">
        <v>20</v>
      </c>
      <c r="E23" s="13">
        <f>COLUMN(CI1)</f>
        <v>87</v>
      </c>
      <c r="F23" s="13">
        <f>COLUMN(CJ1)</f>
        <v>88</v>
      </c>
      <c r="G23" s="13">
        <f>COLUMN(CK1)</f>
        <v>89</v>
      </c>
      <c r="H23" s="13"/>
      <c r="I23" s="13"/>
      <c r="J23" s="13"/>
      <c r="K23" s="13"/>
      <c r="L23" s="14"/>
      <c r="N23" s="12">
        <v>5</v>
      </c>
      <c r="O23" s="13">
        <v>7</v>
      </c>
      <c r="P23" s="13" t="s">
        <v>350</v>
      </c>
      <c r="Q23" s="13">
        <f t="shared" si="1"/>
        <v>2846.5</v>
      </c>
      <c r="R23" s="14">
        <v>80</v>
      </c>
      <c r="X23">
        <f t="shared" si="2"/>
        <v>2795.5</v>
      </c>
    </row>
    <row r="24" spans="1:24" x14ac:dyDescent="0.25">
      <c r="A24" s="12">
        <v>6</v>
      </c>
      <c r="B24" s="13" t="s">
        <v>285</v>
      </c>
      <c r="C24" s="13">
        <f>$X$20</f>
        <v>1398.25</v>
      </c>
      <c r="D24" s="16">
        <f>D23+180</f>
        <v>200</v>
      </c>
      <c r="E24" s="13">
        <f>COLUMN(I1)</f>
        <v>9</v>
      </c>
      <c r="F24" s="13">
        <f>COLUMN(J1)</f>
        <v>10</v>
      </c>
      <c r="G24" s="13">
        <f>COLUMN(EY1)</f>
        <v>155</v>
      </c>
      <c r="H24" s="13"/>
      <c r="I24" s="13"/>
      <c r="J24" s="13"/>
      <c r="K24" s="13"/>
      <c r="L24" s="14"/>
      <c r="N24" s="12">
        <v>6</v>
      </c>
      <c r="O24" s="13">
        <v>8</v>
      </c>
      <c r="P24" s="13" t="s">
        <v>140</v>
      </c>
      <c r="Q24" s="13">
        <f t="shared" si="1"/>
        <v>3312.5</v>
      </c>
      <c r="R24" s="14">
        <v>80</v>
      </c>
      <c r="X24">
        <f t="shared" si="2"/>
        <v>3261.25</v>
      </c>
    </row>
    <row r="25" spans="1:24" x14ac:dyDescent="0.25">
      <c r="A25" s="12">
        <v>7</v>
      </c>
      <c r="B25" s="13" t="s">
        <v>286</v>
      </c>
      <c r="C25" s="13">
        <f>$X$20</f>
        <v>1398.25</v>
      </c>
      <c r="D25" s="16">
        <f>D24+180</f>
        <v>380</v>
      </c>
      <c r="E25" s="13">
        <f>COLUMN(BT1)</f>
        <v>72</v>
      </c>
      <c r="F25" s="13">
        <f>COLUMN(EZ1)</f>
        <v>156</v>
      </c>
      <c r="G25" s="13">
        <f>COLUMN(FA1)</f>
        <v>157</v>
      </c>
      <c r="H25" s="13"/>
      <c r="I25" s="13"/>
      <c r="J25" s="13"/>
      <c r="K25" s="13"/>
      <c r="L25" s="14"/>
      <c r="N25" s="12">
        <v>7</v>
      </c>
      <c r="O25" s="13">
        <v>9</v>
      </c>
      <c r="P25" s="13" t="s">
        <v>351</v>
      </c>
      <c r="Q25" s="13">
        <f t="shared" si="1"/>
        <v>3778.5</v>
      </c>
      <c r="R25" s="14">
        <v>80</v>
      </c>
      <c r="X25">
        <f t="shared" si="2"/>
        <v>3727</v>
      </c>
    </row>
    <row r="26" spans="1:24" x14ac:dyDescent="0.25">
      <c r="A26" s="12">
        <v>8</v>
      </c>
      <c r="B26" s="13" t="s">
        <v>287</v>
      </c>
      <c r="C26" s="13">
        <f>$X$20</f>
        <v>1398.25</v>
      </c>
      <c r="D26" s="16">
        <f>D25+180</f>
        <v>560</v>
      </c>
      <c r="E26" s="13">
        <f>COLUMN(BY1)</f>
        <v>77</v>
      </c>
      <c r="F26" s="13">
        <f>COLUMN(BZ1)</f>
        <v>78</v>
      </c>
      <c r="G26" s="13"/>
      <c r="H26" s="13"/>
      <c r="I26" s="13"/>
      <c r="J26" s="13"/>
      <c r="K26" s="13"/>
      <c r="L26" s="14"/>
      <c r="N26" s="12">
        <v>8</v>
      </c>
      <c r="O26" s="13">
        <v>10</v>
      </c>
      <c r="P26" s="13" t="s">
        <v>352</v>
      </c>
      <c r="Q26" s="13">
        <f t="shared" si="1"/>
        <v>4244.5</v>
      </c>
      <c r="R26" s="14">
        <v>80</v>
      </c>
      <c r="X26">
        <f t="shared" si="2"/>
        <v>4192.75</v>
      </c>
    </row>
    <row r="27" spans="1:24" x14ac:dyDescent="0.25">
      <c r="A27" s="15">
        <v>9</v>
      </c>
      <c r="B27" s="16" t="s">
        <v>288</v>
      </c>
      <c r="C27" s="16">
        <f>$X$21</f>
        <v>1864</v>
      </c>
      <c r="D27" s="16">
        <v>20</v>
      </c>
      <c r="E27" s="13">
        <f>COLUMN(BI2)</f>
        <v>61</v>
      </c>
      <c r="F27" s="13">
        <f>COLUMN(BJ2)</f>
        <v>62</v>
      </c>
      <c r="G27" s="13"/>
      <c r="H27" s="13"/>
      <c r="I27" s="13"/>
      <c r="J27" s="13"/>
      <c r="K27" s="13"/>
      <c r="L27" s="14"/>
      <c r="N27" s="12">
        <v>9</v>
      </c>
      <c r="O27" s="13">
        <v>11</v>
      </c>
      <c r="P27" s="13" t="s">
        <v>59</v>
      </c>
      <c r="Q27" s="13">
        <f t="shared" si="1"/>
        <v>4710.5</v>
      </c>
      <c r="R27" s="14">
        <v>80</v>
      </c>
      <c r="X27">
        <f t="shared" si="2"/>
        <v>4658.5</v>
      </c>
    </row>
    <row r="28" spans="1:24" x14ac:dyDescent="0.25">
      <c r="A28" s="15">
        <v>10</v>
      </c>
      <c r="B28" s="16" t="s">
        <v>289</v>
      </c>
      <c r="C28" s="16">
        <f>$X$21</f>
        <v>1864</v>
      </c>
      <c r="D28" s="16">
        <f>D27+180</f>
        <v>200</v>
      </c>
      <c r="E28" s="13">
        <f>COLUMN(AR3)</f>
        <v>44</v>
      </c>
      <c r="F28" s="13">
        <f>COLUMN(AS3)</f>
        <v>45</v>
      </c>
      <c r="G28" s="13"/>
      <c r="H28" s="13"/>
      <c r="I28" s="13"/>
      <c r="J28" s="13"/>
      <c r="K28" s="13"/>
      <c r="L28" s="14"/>
      <c r="N28" s="12">
        <v>10</v>
      </c>
      <c r="O28" s="13">
        <v>12</v>
      </c>
      <c r="P28" s="13" t="s">
        <v>60</v>
      </c>
      <c r="Q28" s="13">
        <f t="shared" si="1"/>
        <v>5176.5</v>
      </c>
      <c r="R28" s="14">
        <v>80</v>
      </c>
      <c r="X28">
        <f t="shared" si="2"/>
        <v>5124.25</v>
      </c>
    </row>
    <row r="29" spans="1:24" x14ac:dyDescent="0.25">
      <c r="A29" s="15">
        <v>11</v>
      </c>
      <c r="B29" s="16" t="s">
        <v>290</v>
      </c>
      <c r="C29" s="16">
        <f>$X$21</f>
        <v>1864</v>
      </c>
      <c r="D29" s="16">
        <f>D28+180</f>
        <v>380</v>
      </c>
      <c r="E29" s="13">
        <f>COLUMN(F4)</f>
        <v>6</v>
      </c>
      <c r="F29" s="13">
        <f>COLUMN(IA4)</f>
        <v>235</v>
      </c>
      <c r="G29" s="13"/>
      <c r="H29" s="13"/>
      <c r="I29" s="13"/>
      <c r="J29" s="13"/>
      <c r="K29" s="13"/>
      <c r="L29" s="14"/>
      <c r="N29" s="12">
        <v>11</v>
      </c>
      <c r="O29" s="13">
        <v>13</v>
      </c>
      <c r="P29" s="23" t="s">
        <v>408</v>
      </c>
      <c r="Q29" s="13">
        <f t="shared" si="1"/>
        <v>5642.5</v>
      </c>
      <c r="R29" s="24">
        <v>80</v>
      </c>
      <c r="X29">
        <f t="shared" si="2"/>
        <v>5590</v>
      </c>
    </row>
    <row r="30" spans="1:24" x14ac:dyDescent="0.25">
      <c r="A30" s="15">
        <v>12</v>
      </c>
      <c r="B30" s="16" t="s">
        <v>291</v>
      </c>
      <c r="C30" s="16">
        <f>$X$21</f>
        <v>1864</v>
      </c>
      <c r="D30" s="16">
        <f>D29+180</f>
        <v>560</v>
      </c>
      <c r="E30" s="13">
        <f>COLUMN(AP5)</f>
        <v>42</v>
      </c>
      <c r="F30" s="13">
        <f>COLUMN(AQ5)</f>
        <v>43</v>
      </c>
      <c r="G30" s="13"/>
      <c r="H30" s="13"/>
      <c r="I30" s="13"/>
      <c r="J30" s="13"/>
      <c r="K30" s="13"/>
      <c r="L30" s="14"/>
      <c r="N30" s="12">
        <v>12</v>
      </c>
      <c r="O30" s="13">
        <v>14</v>
      </c>
      <c r="P30" s="13" t="s">
        <v>61</v>
      </c>
      <c r="Q30" s="13">
        <f t="shared" si="1"/>
        <v>6108.5</v>
      </c>
      <c r="R30" s="14">
        <v>80</v>
      </c>
      <c r="X30">
        <f t="shared" si="2"/>
        <v>6055.75</v>
      </c>
    </row>
    <row r="31" spans="1:24" x14ac:dyDescent="0.25">
      <c r="A31" s="12">
        <v>13</v>
      </c>
      <c r="B31" s="13" t="s">
        <v>293</v>
      </c>
      <c r="C31" s="13">
        <f>$X$22</f>
        <v>2329.75</v>
      </c>
      <c r="D31" s="16">
        <v>20</v>
      </c>
      <c r="E31" s="13">
        <f>COLUMN(CC6)</f>
        <v>81</v>
      </c>
      <c r="F31" s="13">
        <f>COLUMN(CD6)</f>
        <v>82</v>
      </c>
      <c r="G31" s="13"/>
      <c r="H31" s="13"/>
      <c r="I31" s="13"/>
      <c r="J31" s="13"/>
      <c r="K31" s="13"/>
      <c r="L31" s="14"/>
      <c r="N31" s="12">
        <v>13</v>
      </c>
      <c r="O31" s="13">
        <v>15</v>
      </c>
      <c r="P31" s="13" t="s">
        <v>138</v>
      </c>
      <c r="Q31" s="13">
        <f t="shared" si="1"/>
        <v>6574.5</v>
      </c>
      <c r="R31" s="14">
        <v>80</v>
      </c>
      <c r="X31">
        <f t="shared" si="2"/>
        <v>6521.5</v>
      </c>
    </row>
    <row r="32" spans="1:24" x14ac:dyDescent="0.25">
      <c r="A32" s="12">
        <v>14</v>
      </c>
      <c r="B32" s="13" t="s">
        <v>294</v>
      </c>
      <c r="C32" s="13">
        <f>$X$22</f>
        <v>2329.75</v>
      </c>
      <c r="D32" s="16">
        <f>D31+180</f>
        <v>200</v>
      </c>
      <c r="E32" s="13">
        <f>COLUMN(CE7)</f>
        <v>83</v>
      </c>
      <c r="F32" s="13">
        <f>COLUMN(CF7)</f>
        <v>84</v>
      </c>
      <c r="G32" s="13"/>
      <c r="H32" s="13"/>
      <c r="I32" s="13"/>
      <c r="J32" s="13"/>
      <c r="K32" s="13"/>
      <c r="L32" s="14"/>
      <c r="N32" s="12">
        <v>14</v>
      </c>
      <c r="O32" s="13">
        <v>16</v>
      </c>
      <c r="P32" s="13" t="s">
        <v>268</v>
      </c>
      <c r="Q32" s="13">
        <f t="shared" si="1"/>
        <v>7040.5</v>
      </c>
      <c r="R32" s="14">
        <v>80</v>
      </c>
      <c r="X32">
        <f t="shared" si="2"/>
        <v>6987.25</v>
      </c>
    </row>
    <row r="33" spans="1:24" x14ac:dyDescent="0.25">
      <c r="A33" s="12">
        <v>15</v>
      </c>
      <c r="B33" s="13" t="s">
        <v>292</v>
      </c>
      <c r="C33" s="13">
        <f>$X$22</f>
        <v>2329.75</v>
      </c>
      <c r="D33" s="16">
        <f>D32+180</f>
        <v>380</v>
      </c>
      <c r="E33" s="13">
        <f>COLUMN(DP8)</f>
        <v>120</v>
      </c>
      <c r="F33" s="13">
        <f>COLUMN(DQ8)</f>
        <v>121</v>
      </c>
      <c r="G33" s="13">
        <f>COLUMN(DR8)</f>
        <v>122</v>
      </c>
      <c r="H33" s="13">
        <f>COLUMN(DS8)</f>
        <v>123</v>
      </c>
      <c r="I33" s="13"/>
      <c r="J33" s="13"/>
      <c r="K33" s="13"/>
      <c r="L33" s="14"/>
      <c r="N33" s="12">
        <v>15</v>
      </c>
      <c r="O33" s="13">
        <v>17</v>
      </c>
      <c r="P33" s="23" t="s">
        <v>398</v>
      </c>
      <c r="Q33" s="13">
        <f t="shared" si="1"/>
        <v>7506.5</v>
      </c>
      <c r="R33" s="24">
        <v>80</v>
      </c>
      <c r="X33">
        <f t="shared" si="2"/>
        <v>7453</v>
      </c>
    </row>
    <row r="34" spans="1:24" x14ac:dyDescent="0.25">
      <c r="A34" s="12">
        <v>16</v>
      </c>
      <c r="B34" s="13" t="s">
        <v>295</v>
      </c>
      <c r="C34" s="13">
        <f>$X$22</f>
        <v>2329.75</v>
      </c>
      <c r="D34" s="16">
        <f>D33+180</f>
        <v>560</v>
      </c>
      <c r="E34" s="13">
        <f>COLUMN(DL9)</f>
        <v>116</v>
      </c>
      <c r="F34" s="13">
        <f>COLUMN(DM9)</f>
        <v>117</v>
      </c>
      <c r="G34" s="13">
        <f>COLUMN(DN9)</f>
        <v>118</v>
      </c>
      <c r="H34" s="13">
        <f>COLUMN(DO9)</f>
        <v>119</v>
      </c>
      <c r="I34" s="13"/>
      <c r="J34" s="13"/>
      <c r="K34" s="13"/>
      <c r="L34" s="14"/>
      <c r="N34" s="12">
        <v>16</v>
      </c>
      <c r="O34" s="13">
        <v>18</v>
      </c>
      <c r="P34" s="13" t="s">
        <v>95</v>
      </c>
      <c r="Q34" s="13">
        <f t="shared" si="1"/>
        <v>7972.5</v>
      </c>
      <c r="R34" s="14">
        <v>80</v>
      </c>
      <c r="X34">
        <f t="shared" si="2"/>
        <v>7918.75</v>
      </c>
    </row>
    <row r="35" spans="1:24" x14ac:dyDescent="0.25">
      <c r="A35" s="15">
        <v>17</v>
      </c>
      <c r="B35" s="16" t="s">
        <v>296</v>
      </c>
      <c r="C35" s="16">
        <f>$X$23</f>
        <v>2795.5</v>
      </c>
      <c r="D35" s="16">
        <v>20</v>
      </c>
      <c r="E35" s="13">
        <f>COLUMN(HW10)</f>
        <v>231</v>
      </c>
      <c r="F35" s="13">
        <f>COLUMN(HX10)</f>
        <v>232</v>
      </c>
      <c r="G35" s="13"/>
      <c r="H35" s="13"/>
      <c r="I35" s="13"/>
      <c r="J35" s="13"/>
      <c r="K35" s="13"/>
      <c r="L35" s="14"/>
      <c r="N35" s="12">
        <v>17</v>
      </c>
      <c r="O35" s="13">
        <v>19</v>
      </c>
      <c r="P35" s="13" t="s">
        <v>139</v>
      </c>
      <c r="Q35" s="13">
        <f t="shared" si="1"/>
        <v>8438.5</v>
      </c>
      <c r="R35" s="14">
        <v>80</v>
      </c>
      <c r="X35">
        <f t="shared" si="2"/>
        <v>8384.5</v>
      </c>
    </row>
    <row r="36" spans="1:24" x14ac:dyDescent="0.25">
      <c r="A36" s="15">
        <v>18</v>
      </c>
      <c r="B36" s="16" t="s">
        <v>297</v>
      </c>
      <c r="C36" s="16">
        <f>$X$23</f>
        <v>2795.5</v>
      </c>
      <c r="D36" s="16">
        <v>200</v>
      </c>
      <c r="E36" s="13">
        <f>COLUMN(HY11)</f>
        <v>233</v>
      </c>
      <c r="F36" s="13">
        <f>COLUMN(HZ11)</f>
        <v>234</v>
      </c>
      <c r="G36" s="13"/>
      <c r="H36" s="13"/>
      <c r="I36" s="13"/>
      <c r="J36" s="13"/>
      <c r="K36" s="13"/>
      <c r="L36" s="14"/>
      <c r="N36" s="12">
        <v>18</v>
      </c>
      <c r="O36" s="13">
        <v>20</v>
      </c>
      <c r="P36" s="13" t="s">
        <v>269</v>
      </c>
      <c r="Q36" s="13">
        <f t="shared" si="1"/>
        <v>8904.5</v>
      </c>
      <c r="R36" s="14">
        <v>80</v>
      </c>
      <c r="X36">
        <f t="shared" si="2"/>
        <v>8850.25</v>
      </c>
    </row>
    <row r="37" spans="1:24" ht="15.75" thickBot="1" x14ac:dyDescent="0.3">
      <c r="A37" s="12">
        <v>19</v>
      </c>
      <c r="B37" s="13" t="s">
        <v>298</v>
      </c>
      <c r="C37" s="20">
        <f>$X$24</f>
        <v>3261.25</v>
      </c>
      <c r="D37" s="16">
        <v>20</v>
      </c>
      <c r="E37" s="13">
        <f>COLUMN(AL12)</f>
        <v>38</v>
      </c>
      <c r="F37" s="13">
        <f>COLUMN(AM12)</f>
        <v>39</v>
      </c>
      <c r="G37" s="13">
        <f>COLUMN(AN12)</f>
        <v>40</v>
      </c>
      <c r="H37" s="13">
        <f>COLUMN(AO12)</f>
        <v>41</v>
      </c>
      <c r="I37" s="13"/>
      <c r="J37" s="13"/>
      <c r="K37" s="13"/>
      <c r="L37" s="14"/>
      <c r="N37" s="17">
        <v>19</v>
      </c>
      <c r="O37" s="18">
        <v>21</v>
      </c>
      <c r="P37" s="18" t="s">
        <v>270</v>
      </c>
      <c r="Q37" s="18">
        <f t="shared" si="1"/>
        <v>9370.5</v>
      </c>
      <c r="R37" s="19">
        <v>80</v>
      </c>
      <c r="X37">
        <f t="shared" si="2"/>
        <v>9316</v>
      </c>
    </row>
    <row r="38" spans="1:24" ht="15.75" thickBot="1" x14ac:dyDescent="0.3">
      <c r="A38" s="12">
        <v>20</v>
      </c>
      <c r="B38" s="13" t="s">
        <v>299</v>
      </c>
      <c r="C38" s="20">
        <f>$X$24</f>
        <v>3261.25</v>
      </c>
      <c r="D38" s="16">
        <f>D37+180</f>
        <v>200</v>
      </c>
      <c r="E38" s="13">
        <f>COLUMN(BU13)</f>
        <v>73</v>
      </c>
      <c r="F38" s="13">
        <f>COLUMN(BV13)</f>
        <v>74</v>
      </c>
      <c r="G38" s="13">
        <f>COLUMN(BW13)</f>
        <v>75</v>
      </c>
      <c r="H38" s="13">
        <f>COLUMN(BX13)</f>
        <v>76</v>
      </c>
      <c r="I38" s="13"/>
      <c r="J38" s="13"/>
      <c r="K38" s="13"/>
      <c r="L38" s="14"/>
      <c r="T38" s="23"/>
      <c r="U38" s="23"/>
    </row>
    <row r="39" spans="1:24" x14ac:dyDescent="0.25">
      <c r="A39" s="12">
        <v>21</v>
      </c>
      <c r="B39" s="13" t="s">
        <v>300</v>
      </c>
      <c r="C39" s="20">
        <f>$X$24</f>
        <v>3261.25</v>
      </c>
      <c r="D39" s="16">
        <f>D38+180</f>
        <v>380</v>
      </c>
      <c r="E39" s="13">
        <f>COLUMN(CA14)</f>
        <v>79</v>
      </c>
      <c r="F39" s="13">
        <f>COLUMN(CB14)</f>
        <v>80</v>
      </c>
      <c r="G39" s="13"/>
      <c r="H39" s="13"/>
      <c r="I39" s="13"/>
      <c r="J39" s="13"/>
      <c r="K39" s="13"/>
      <c r="L39" s="14"/>
      <c r="N39" s="9" t="s">
        <v>354</v>
      </c>
      <c r="O39" s="10"/>
      <c r="P39" s="10"/>
      <c r="Q39" s="10"/>
      <c r="R39" s="10"/>
      <c r="S39" s="11"/>
    </row>
    <row r="40" spans="1:24" ht="15.75" thickBot="1" x14ac:dyDescent="0.3">
      <c r="A40" s="15">
        <v>22</v>
      </c>
      <c r="B40" s="16" t="s">
        <v>301</v>
      </c>
      <c r="C40" s="21">
        <f>$X$25</f>
        <v>3727</v>
      </c>
      <c r="D40" s="16">
        <v>20</v>
      </c>
      <c r="E40" s="13">
        <f>COLUMN(DF15)</f>
        <v>110</v>
      </c>
      <c r="F40" s="13"/>
      <c r="G40" s="13"/>
      <c r="H40" s="13"/>
      <c r="I40" s="13"/>
      <c r="J40" s="13"/>
      <c r="K40" s="13"/>
      <c r="L40" s="14"/>
      <c r="N40" s="17" t="s">
        <v>276</v>
      </c>
      <c r="O40" s="18" t="s">
        <v>277</v>
      </c>
      <c r="P40" s="18" t="s">
        <v>353</v>
      </c>
      <c r="Q40" s="18" t="s">
        <v>279</v>
      </c>
      <c r="R40" s="25" t="s">
        <v>366</v>
      </c>
      <c r="S40" s="26" t="s">
        <v>367</v>
      </c>
    </row>
    <row r="41" spans="1:24" x14ac:dyDescent="0.25">
      <c r="A41" s="15">
        <v>23</v>
      </c>
      <c r="B41" s="16" t="s">
        <v>302</v>
      </c>
      <c r="C41" s="21">
        <f>$X$25</f>
        <v>3727</v>
      </c>
      <c r="D41" s="16">
        <f>D40+180</f>
        <v>200</v>
      </c>
      <c r="E41" s="13">
        <f>COLUMN(DG16)</f>
        <v>111</v>
      </c>
      <c r="F41" s="13">
        <f>COLUMN(DH16)</f>
        <v>112</v>
      </c>
      <c r="G41" s="13">
        <f>COLUMN(DI16)</f>
        <v>113</v>
      </c>
      <c r="H41" s="13"/>
      <c r="I41" s="13"/>
      <c r="J41" s="13"/>
      <c r="K41" s="13"/>
      <c r="L41" s="14"/>
      <c r="N41" s="12">
        <v>1</v>
      </c>
      <c r="O41" s="13" t="s">
        <v>355</v>
      </c>
      <c r="P41" s="13">
        <v>0</v>
      </c>
      <c r="Q41" s="13">
        <v>0</v>
      </c>
      <c r="R41" s="23">
        <v>2</v>
      </c>
      <c r="S41" s="24">
        <v>3</v>
      </c>
    </row>
    <row r="42" spans="1:24" x14ac:dyDescent="0.25">
      <c r="A42" s="15">
        <v>24</v>
      </c>
      <c r="B42" s="16" t="s">
        <v>303</v>
      </c>
      <c r="C42" s="21">
        <f>$X$25</f>
        <v>3727</v>
      </c>
      <c r="D42" s="16">
        <f>D41+180</f>
        <v>380</v>
      </c>
      <c r="E42" s="13">
        <f>COLUMN(DJ17)</f>
        <v>114</v>
      </c>
      <c r="F42" s="13">
        <f>COLUMN(DK17)</f>
        <v>115</v>
      </c>
      <c r="G42" s="13"/>
      <c r="H42" s="13"/>
      <c r="I42" s="13"/>
      <c r="J42" s="13"/>
      <c r="K42" s="13"/>
      <c r="L42" s="14"/>
      <c r="N42" s="12">
        <v>2</v>
      </c>
      <c r="O42" s="13" t="s">
        <v>356</v>
      </c>
      <c r="P42" s="13">
        <v>0</v>
      </c>
      <c r="Q42" s="13">
        <v>240</v>
      </c>
      <c r="R42" s="23">
        <v>2</v>
      </c>
      <c r="S42" s="24">
        <v>4</v>
      </c>
    </row>
    <row r="43" spans="1:24" x14ac:dyDescent="0.25">
      <c r="A43" s="12">
        <v>25</v>
      </c>
      <c r="B43" s="13" t="s">
        <v>304</v>
      </c>
      <c r="C43" s="20">
        <f>$X$26</f>
        <v>4192.75</v>
      </c>
      <c r="D43" s="16">
        <v>20</v>
      </c>
      <c r="E43" s="13">
        <f>COLUMN(DT18)</f>
        <v>124</v>
      </c>
      <c r="F43" s="13">
        <f>COLUMN(DU18)</f>
        <v>125</v>
      </c>
      <c r="G43" s="13">
        <f>COLUMN(DV18)</f>
        <v>126</v>
      </c>
      <c r="H43" s="13">
        <f>COLUMN(DW18)</f>
        <v>127</v>
      </c>
      <c r="I43" s="13"/>
      <c r="J43" s="13"/>
      <c r="K43" s="13"/>
      <c r="L43" s="14"/>
      <c r="N43" s="12">
        <v>3</v>
      </c>
      <c r="O43" s="13" t="s">
        <v>357</v>
      </c>
      <c r="P43" s="13">
        <v>0</v>
      </c>
      <c r="Q43" s="13">
        <v>480</v>
      </c>
      <c r="R43" s="23">
        <v>2</v>
      </c>
      <c r="S43" s="24">
        <v>5</v>
      </c>
    </row>
    <row r="44" spans="1:24" x14ac:dyDescent="0.25">
      <c r="A44" s="12">
        <v>26</v>
      </c>
      <c r="B44" s="13" t="s">
        <v>305</v>
      </c>
      <c r="C44" s="20">
        <f>$X$26</f>
        <v>4192.75</v>
      </c>
      <c r="D44" s="16">
        <f>D43+180</f>
        <v>200</v>
      </c>
      <c r="E44" s="13">
        <f>COLUMN(DX19)</f>
        <v>128</v>
      </c>
      <c r="F44" s="13">
        <f>COLUMN(DY19)</f>
        <v>129</v>
      </c>
      <c r="G44" s="13">
        <f>COLUMN(DZ19)</f>
        <v>130</v>
      </c>
      <c r="H44" s="13">
        <f>COLUMN(EA19)</f>
        <v>131</v>
      </c>
      <c r="I44" s="13"/>
      <c r="J44" s="13"/>
      <c r="K44" s="13"/>
      <c r="L44" s="14"/>
      <c r="N44" s="12">
        <v>4</v>
      </c>
      <c r="O44" s="13" t="s">
        <v>371</v>
      </c>
      <c r="P44" s="13">
        <v>466.25</v>
      </c>
      <c r="Q44" s="13">
        <v>0</v>
      </c>
      <c r="R44" s="23">
        <v>2</v>
      </c>
      <c r="S44" s="24">
        <v>6</v>
      </c>
    </row>
    <row r="45" spans="1:24" x14ac:dyDescent="0.25">
      <c r="A45" s="12">
        <v>27</v>
      </c>
      <c r="B45" s="13" t="s">
        <v>306</v>
      </c>
      <c r="C45" s="20">
        <f>$X$26</f>
        <v>4192.75</v>
      </c>
      <c r="D45" s="16">
        <f>D44+180</f>
        <v>380</v>
      </c>
      <c r="E45" s="13">
        <f>COLUMN(EB20)</f>
        <v>132</v>
      </c>
      <c r="F45" s="13">
        <f>COLUMN(EC20)</f>
        <v>133</v>
      </c>
      <c r="G45" s="13">
        <f>COLUMN(ED20)</f>
        <v>134</v>
      </c>
      <c r="H45" s="13">
        <f>COLUMN(EE20)</f>
        <v>135</v>
      </c>
      <c r="I45" s="13"/>
      <c r="J45" s="13"/>
      <c r="K45" s="13"/>
      <c r="L45" s="14"/>
      <c r="N45" s="12">
        <v>5</v>
      </c>
      <c r="O45" s="13" t="s">
        <v>372</v>
      </c>
      <c r="P45" s="13">
        <v>466.25</v>
      </c>
      <c r="Q45" s="13">
        <v>240</v>
      </c>
      <c r="R45" s="23">
        <v>5</v>
      </c>
      <c r="S45" s="24">
        <v>3</v>
      </c>
    </row>
    <row r="46" spans="1:24" ht="15.75" thickBot="1" x14ac:dyDescent="0.3">
      <c r="A46" s="12">
        <v>28</v>
      </c>
      <c r="B46" s="13" t="s">
        <v>307</v>
      </c>
      <c r="C46" s="20">
        <f>$X$26</f>
        <v>4192.75</v>
      </c>
      <c r="D46" s="16">
        <f>D45+180</f>
        <v>560</v>
      </c>
      <c r="E46" s="13">
        <f>COLUMN(EF21)</f>
        <v>136</v>
      </c>
      <c r="F46" s="13">
        <f>COLUMN(EG21)</f>
        <v>137</v>
      </c>
      <c r="G46" s="13">
        <f>COLUMN(EH21)</f>
        <v>138</v>
      </c>
      <c r="H46" s="13">
        <f>COLUMN(EI21)</f>
        <v>139</v>
      </c>
      <c r="I46" s="13"/>
      <c r="J46" s="13"/>
      <c r="K46" s="13"/>
      <c r="L46" s="14"/>
      <c r="N46" s="17">
        <v>6</v>
      </c>
      <c r="O46" s="18" t="s">
        <v>358</v>
      </c>
      <c r="P46" s="18">
        <v>466.25</v>
      </c>
      <c r="Q46" s="18">
        <v>480</v>
      </c>
      <c r="R46" s="25">
        <v>5</v>
      </c>
      <c r="S46" s="26">
        <v>7</v>
      </c>
    </row>
    <row r="47" spans="1:24" ht="15.75" thickBot="1" x14ac:dyDescent="0.3">
      <c r="A47" s="15">
        <v>29</v>
      </c>
      <c r="B47" s="16" t="s">
        <v>308</v>
      </c>
      <c r="C47" s="16">
        <f>$X$27</f>
        <v>4658.5</v>
      </c>
      <c r="D47" s="16">
        <v>20</v>
      </c>
      <c r="E47" s="13">
        <f>COLUMN(AD22)</f>
        <v>30</v>
      </c>
      <c r="F47" s="13">
        <f>COLUMN(AE22)</f>
        <v>31</v>
      </c>
      <c r="G47" s="13">
        <f>COLUMN(AF22)</f>
        <v>32</v>
      </c>
      <c r="H47" s="13">
        <f>COLUMN(AG22)</f>
        <v>33</v>
      </c>
      <c r="I47" s="13"/>
      <c r="J47" s="13"/>
      <c r="K47" s="13"/>
      <c r="L47" s="14"/>
    </row>
    <row r="48" spans="1:24" x14ac:dyDescent="0.25">
      <c r="A48" s="15">
        <v>30</v>
      </c>
      <c r="B48" s="16" t="s">
        <v>312</v>
      </c>
      <c r="C48" s="16">
        <f>$X$27</f>
        <v>4658.5</v>
      </c>
      <c r="D48" s="16">
        <f>D47+180</f>
        <v>200</v>
      </c>
      <c r="E48" s="13">
        <f>COLUMN(AH23)</f>
        <v>34</v>
      </c>
      <c r="F48" s="13">
        <f>COLUMN(AI23)</f>
        <v>35</v>
      </c>
      <c r="G48" s="13">
        <f>COLUMN(AJ23)</f>
        <v>36</v>
      </c>
      <c r="H48" s="13">
        <f>COLUMN(AK23)</f>
        <v>37</v>
      </c>
      <c r="I48" s="13"/>
      <c r="J48" s="13"/>
      <c r="K48" s="13"/>
      <c r="L48" s="14"/>
      <c r="N48" s="9" t="s">
        <v>360</v>
      </c>
      <c r="O48" s="11"/>
    </row>
    <row r="49" spans="1:15" ht="15.75" thickBot="1" x14ac:dyDescent="0.3">
      <c r="A49" s="15">
        <v>31</v>
      </c>
      <c r="B49" s="16" t="s">
        <v>311</v>
      </c>
      <c r="C49" s="16">
        <f>$X$27</f>
        <v>4658.5</v>
      </c>
      <c r="D49" s="16">
        <f>D48+180</f>
        <v>380</v>
      </c>
      <c r="E49" s="13">
        <f>COLUMN(FC24)</f>
        <v>159</v>
      </c>
      <c r="F49" s="13">
        <f>COLUMN(FD24)</f>
        <v>160</v>
      </c>
      <c r="G49" s="13">
        <f>COLUMN(FE24)</f>
        <v>161</v>
      </c>
      <c r="H49" s="13">
        <f>COLUMN(FF24)</f>
        <v>162</v>
      </c>
      <c r="I49" s="13"/>
      <c r="J49" s="13"/>
      <c r="K49" s="13"/>
      <c r="L49" s="14"/>
      <c r="N49" s="17" t="s">
        <v>276</v>
      </c>
      <c r="O49" s="19"/>
    </row>
    <row r="50" spans="1:15" x14ac:dyDescent="0.25">
      <c r="A50" s="15">
        <v>32</v>
      </c>
      <c r="B50" s="16" t="s">
        <v>309</v>
      </c>
      <c r="C50" s="16">
        <f>$X$27</f>
        <v>4658.5</v>
      </c>
      <c r="D50" s="16">
        <f>D49+180</f>
        <v>560</v>
      </c>
      <c r="E50" s="13">
        <f>COLUMN(CL25)</f>
        <v>90</v>
      </c>
      <c r="F50" s="13">
        <f>COLUMN(CM25)</f>
        <v>91</v>
      </c>
      <c r="G50" s="13">
        <f>COLUMN(CN25)</f>
        <v>92</v>
      </c>
      <c r="H50" s="13">
        <f>COLUMN(CO25)</f>
        <v>93</v>
      </c>
      <c r="I50" s="13"/>
      <c r="J50" s="13"/>
      <c r="K50" s="13"/>
      <c r="L50" s="14"/>
      <c r="N50" s="12">
        <v>1</v>
      </c>
      <c r="O50" s="14" t="s">
        <v>416</v>
      </c>
    </row>
    <row r="51" spans="1:15" x14ac:dyDescent="0.25">
      <c r="A51" s="12">
        <v>33</v>
      </c>
      <c r="B51" s="13" t="s">
        <v>310</v>
      </c>
      <c r="C51" s="20">
        <f>$X$28</f>
        <v>5124.25</v>
      </c>
      <c r="D51" s="16">
        <v>20</v>
      </c>
      <c r="E51" s="13">
        <f>COLUMN(V26)</f>
        <v>22</v>
      </c>
      <c r="F51" s="13">
        <f>COLUMN(W26)</f>
        <v>23</v>
      </c>
      <c r="G51" s="13">
        <f>COLUMN(X26)</f>
        <v>24</v>
      </c>
      <c r="H51" s="13">
        <f>COLUMN(Y26)</f>
        <v>25</v>
      </c>
      <c r="I51" s="13"/>
      <c r="J51" s="13"/>
      <c r="K51" s="13"/>
      <c r="L51" s="14"/>
      <c r="N51" s="12">
        <v>2</v>
      </c>
      <c r="O51" s="14" t="s">
        <v>417</v>
      </c>
    </row>
    <row r="52" spans="1:15" ht="15.75" thickBot="1" x14ac:dyDescent="0.3">
      <c r="A52" s="12">
        <v>34</v>
      </c>
      <c r="B52" s="13" t="s">
        <v>313</v>
      </c>
      <c r="C52" s="20">
        <f>$X$28</f>
        <v>5124.25</v>
      </c>
      <c r="D52" s="16">
        <f>D51+180</f>
        <v>200</v>
      </c>
      <c r="E52" s="13">
        <f>COLUMN(Z27)</f>
        <v>26</v>
      </c>
      <c r="F52" s="13">
        <f>COLUMN(AA27)</f>
        <v>27</v>
      </c>
      <c r="G52" s="13">
        <f>COLUMN(AB27)</f>
        <v>28</v>
      </c>
      <c r="H52" s="13">
        <f>COLUMN(AC27)</f>
        <v>29</v>
      </c>
      <c r="I52" s="13"/>
      <c r="J52" s="13"/>
      <c r="K52" s="13"/>
      <c r="L52" s="14"/>
      <c r="N52" s="17">
        <v>3</v>
      </c>
      <c r="O52" s="19" t="s">
        <v>418</v>
      </c>
    </row>
    <row r="53" spans="1:15" x14ac:dyDescent="0.25">
      <c r="A53" s="12">
        <v>35</v>
      </c>
      <c r="B53" s="13" t="s">
        <v>314</v>
      </c>
      <c r="C53" s="20">
        <f>$X$28</f>
        <v>5124.25</v>
      </c>
      <c r="D53" s="16">
        <f>D52+180</f>
        <v>380</v>
      </c>
      <c r="E53" s="13">
        <f>COLUMN(T28)</f>
        <v>20</v>
      </c>
      <c r="F53" s="13">
        <f>COLUMN(U28)</f>
        <v>21</v>
      </c>
      <c r="G53" s="13"/>
      <c r="H53" s="13"/>
      <c r="I53" s="13"/>
      <c r="J53" s="13"/>
      <c r="K53" s="13"/>
      <c r="L53" s="14"/>
    </row>
    <row r="54" spans="1:15" x14ac:dyDescent="0.25">
      <c r="A54" s="12">
        <v>36</v>
      </c>
      <c r="B54" s="13" t="s">
        <v>315</v>
      </c>
      <c r="C54" s="20">
        <f>$X$28</f>
        <v>5124.25</v>
      </c>
      <c r="D54" s="16">
        <f>D53+180</f>
        <v>560</v>
      </c>
      <c r="E54" s="13">
        <f>COLUMN(BN29)</f>
        <v>66</v>
      </c>
      <c r="F54" s="13">
        <f>COLUMN(BO29)</f>
        <v>67</v>
      </c>
      <c r="G54" s="13">
        <f>COLUMN(BP29)</f>
        <v>68</v>
      </c>
      <c r="H54" s="13">
        <f>COLUMN(BQ29)</f>
        <v>69</v>
      </c>
      <c r="I54" s="13">
        <f>COLUMN(CP29)</f>
        <v>94</v>
      </c>
      <c r="J54" s="13">
        <f>COLUMN(CQ29)</f>
        <v>95</v>
      </c>
      <c r="K54" s="13">
        <f>COLUMN(CR29)</f>
        <v>96</v>
      </c>
      <c r="L54" s="14">
        <f>COLUMN(CS29)</f>
        <v>97</v>
      </c>
    </row>
    <row r="55" spans="1:15" x14ac:dyDescent="0.25">
      <c r="A55" s="15">
        <v>37</v>
      </c>
      <c r="B55" s="54" t="s">
        <v>402</v>
      </c>
      <c r="C55" s="16">
        <f>$X$29</f>
        <v>5590</v>
      </c>
      <c r="D55" s="16">
        <v>20</v>
      </c>
      <c r="E55" s="13">
        <v>251</v>
      </c>
      <c r="F55" s="54">
        <v>252</v>
      </c>
      <c r="G55" s="13"/>
      <c r="H55" s="13"/>
      <c r="I55" s="13"/>
      <c r="J55" s="13"/>
      <c r="K55" s="13"/>
      <c r="L55" s="14"/>
    </row>
    <row r="56" spans="1:15" x14ac:dyDescent="0.25">
      <c r="A56" s="15">
        <v>38</v>
      </c>
      <c r="B56" s="54" t="s">
        <v>403</v>
      </c>
      <c r="C56" s="16">
        <f>$X$29</f>
        <v>5590</v>
      </c>
      <c r="D56" s="16">
        <f>D55+180</f>
        <v>200</v>
      </c>
      <c r="E56" s="13">
        <v>253</v>
      </c>
      <c r="F56" s="13">
        <v>254</v>
      </c>
      <c r="G56" s="13"/>
      <c r="H56" s="13"/>
      <c r="I56" s="13"/>
      <c r="J56" s="13"/>
      <c r="K56" s="13"/>
      <c r="L56" s="14"/>
    </row>
    <row r="57" spans="1:15" x14ac:dyDescent="0.25">
      <c r="A57" s="12">
        <v>39</v>
      </c>
      <c r="B57" s="47" t="s">
        <v>316</v>
      </c>
      <c r="C57" s="48">
        <f>$X$30</f>
        <v>6055.75</v>
      </c>
      <c r="D57" s="47">
        <v>20</v>
      </c>
      <c r="E57" s="47">
        <f>COLUMN(AV30)</f>
        <v>48</v>
      </c>
      <c r="F57" s="13">
        <f>COLUMN(AW30)</f>
        <v>49</v>
      </c>
      <c r="G57" s="13">
        <f>COLUMN(FS30)</f>
        <v>175</v>
      </c>
      <c r="H57" s="13">
        <f>COLUMN(FT30)</f>
        <v>176</v>
      </c>
      <c r="I57" s="13"/>
      <c r="J57" s="13"/>
      <c r="K57" s="13"/>
      <c r="L57" s="14"/>
    </row>
    <row r="58" spans="1:15" x14ac:dyDescent="0.25">
      <c r="A58" s="12">
        <v>40</v>
      </c>
      <c r="B58" s="47" t="s">
        <v>317</v>
      </c>
      <c r="C58" s="48">
        <f>$X$30</f>
        <v>6055.75</v>
      </c>
      <c r="D58" s="47">
        <f>D57+180</f>
        <v>200</v>
      </c>
      <c r="E58" s="47">
        <f>COLUMN(AT31)</f>
        <v>46</v>
      </c>
      <c r="F58" s="13">
        <f>COLUMN(FL31)</f>
        <v>168</v>
      </c>
      <c r="G58" s="13">
        <f>COLUMN(AU31)</f>
        <v>47</v>
      </c>
      <c r="H58" s="13">
        <f>COLUMN(EK31)</f>
        <v>141</v>
      </c>
      <c r="I58" s="13">
        <v>237</v>
      </c>
      <c r="J58" s="13">
        <v>237</v>
      </c>
      <c r="K58" s="13"/>
      <c r="L58" s="14"/>
    </row>
    <row r="59" spans="1:15" x14ac:dyDescent="0.25">
      <c r="A59" s="12">
        <v>41</v>
      </c>
      <c r="B59" s="47" t="s">
        <v>318</v>
      </c>
      <c r="C59" s="48">
        <f>$X$30</f>
        <v>6055.75</v>
      </c>
      <c r="D59" s="47">
        <f>D58+180</f>
        <v>380</v>
      </c>
      <c r="E59" s="47">
        <f>COLUMN(CU32)</f>
        <v>99</v>
      </c>
      <c r="F59" s="13">
        <f t="shared" ref="F59:L59" si="3">COLUMN(CV32)</f>
        <v>100</v>
      </c>
      <c r="G59" s="13">
        <f t="shared" si="3"/>
        <v>101</v>
      </c>
      <c r="H59" s="13">
        <f t="shared" si="3"/>
        <v>102</v>
      </c>
      <c r="I59" s="13">
        <f t="shared" si="3"/>
        <v>103</v>
      </c>
      <c r="J59" s="13">
        <f t="shared" si="3"/>
        <v>104</v>
      </c>
      <c r="K59" s="13">
        <f t="shared" si="3"/>
        <v>105</v>
      </c>
      <c r="L59" s="14">
        <f t="shared" si="3"/>
        <v>106</v>
      </c>
    </row>
    <row r="60" spans="1:15" x14ac:dyDescent="0.25">
      <c r="A60" s="12">
        <v>42</v>
      </c>
      <c r="B60" s="47" t="s">
        <v>319</v>
      </c>
      <c r="C60" s="48">
        <f>$X$30</f>
        <v>6055.75</v>
      </c>
      <c r="D60" s="47">
        <f>D59+180</f>
        <v>560</v>
      </c>
      <c r="E60" s="47">
        <f>COLUMN(AZ33)</f>
        <v>52</v>
      </c>
      <c r="F60" s="13">
        <f>COLUMN(FO33)</f>
        <v>171</v>
      </c>
      <c r="G60" s="13">
        <f>COLUMN(BA33)</f>
        <v>53</v>
      </c>
      <c r="H60" s="13">
        <f>COLUMN(BB33)</f>
        <v>54</v>
      </c>
      <c r="I60" s="13">
        <v>238</v>
      </c>
      <c r="J60" s="13">
        <v>239</v>
      </c>
      <c r="K60" s="13"/>
      <c r="L60" s="14"/>
    </row>
    <row r="61" spans="1:15" x14ac:dyDescent="0.25">
      <c r="A61" s="15">
        <v>43</v>
      </c>
      <c r="B61" s="16" t="s">
        <v>320</v>
      </c>
      <c r="C61" s="22">
        <f>$X$31</f>
        <v>6521.5</v>
      </c>
      <c r="D61" s="16">
        <v>20</v>
      </c>
      <c r="E61" s="13">
        <f>COLUMN(EL34)</f>
        <v>142</v>
      </c>
      <c r="F61" s="13">
        <f>COLUMN(EM34)</f>
        <v>143</v>
      </c>
      <c r="G61" s="13">
        <f>COLUMN(FM34)</f>
        <v>169</v>
      </c>
      <c r="H61" s="13">
        <f>COLUMN(FN34)</f>
        <v>170</v>
      </c>
      <c r="I61" s="13">
        <f>COLUMN(HV34)</f>
        <v>230</v>
      </c>
      <c r="J61" s="13"/>
      <c r="K61" s="13"/>
      <c r="L61" s="14"/>
    </row>
    <row r="62" spans="1:15" x14ac:dyDescent="0.25">
      <c r="A62" s="15">
        <v>44</v>
      </c>
      <c r="B62" s="16" t="s">
        <v>321</v>
      </c>
      <c r="C62" s="22">
        <f>$X$31</f>
        <v>6521.5</v>
      </c>
      <c r="D62" s="16">
        <f>D61+180</f>
        <v>200</v>
      </c>
      <c r="E62" s="13">
        <f>COLUMN(FG35)</f>
        <v>163</v>
      </c>
      <c r="F62" s="13">
        <f>COLUMN(FH35)</f>
        <v>164</v>
      </c>
      <c r="G62" s="13">
        <f>COLUMN(FI35)</f>
        <v>165</v>
      </c>
      <c r="H62" s="13">
        <f>COLUMN(FJ35)</f>
        <v>166</v>
      </c>
      <c r="I62" s="13">
        <v>246</v>
      </c>
      <c r="J62" s="13">
        <v>247</v>
      </c>
      <c r="K62" s="13"/>
      <c r="L62" s="14"/>
    </row>
    <row r="63" spans="1:15" x14ac:dyDescent="0.25">
      <c r="A63" s="15">
        <v>45</v>
      </c>
      <c r="B63" s="16" t="s">
        <v>322</v>
      </c>
      <c r="C63" s="22">
        <f>$X$31</f>
        <v>6521.5</v>
      </c>
      <c r="D63" s="16">
        <f>D62+180</f>
        <v>380</v>
      </c>
      <c r="E63" s="13">
        <f>COLUMN(FK36)</f>
        <v>167</v>
      </c>
      <c r="F63" s="13">
        <f>COLUMN(FP36)</f>
        <v>172</v>
      </c>
      <c r="G63" s="13">
        <f>COLUMN(FQ36)</f>
        <v>173</v>
      </c>
      <c r="H63" s="13">
        <f>COLUMN(FR36)</f>
        <v>174</v>
      </c>
      <c r="I63" s="13"/>
      <c r="J63" s="13"/>
      <c r="K63" s="13"/>
      <c r="L63" s="14"/>
    </row>
    <row r="64" spans="1:15" x14ac:dyDescent="0.25">
      <c r="A64" s="15">
        <v>46</v>
      </c>
      <c r="B64" s="16" t="s">
        <v>323</v>
      </c>
      <c r="C64" s="22">
        <f>$X$31</f>
        <v>6521.5</v>
      </c>
      <c r="D64" s="16">
        <f>D63+180</f>
        <v>560</v>
      </c>
      <c r="E64" s="13">
        <f>COLUMN(FU37)</f>
        <v>177</v>
      </c>
      <c r="F64" s="13">
        <f>COLUMN(GF37)</f>
        <v>188</v>
      </c>
      <c r="G64" s="13"/>
      <c r="H64" s="13"/>
      <c r="I64" s="13"/>
      <c r="J64" s="13"/>
      <c r="K64" s="13"/>
      <c r="L64" s="14"/>
    </row>
    <row r="65" spans="1:12" x14ac:dyDescent="0.25">
      <c r="A65" s="12">
        <v>47</v>
      </c>
      <c r="B65" s="47" t="s">
        <v>324</v>
      </c>
      <c r="C65" s="48">
        <f>$X$32</f>
        <v>6987.25</v>
      </c>
      <c r="D65" s="47">
        <v>20</v>
      </c>
      <c r="E65" s="13">
        <f>COLUMN(FV38)</f>
        <v>178</v>
      </c>
      <c r="F65" s="13">
        <f>COLUMN(FW38)</f>
        <v>179</v>
      </c>
      <c r="G65" s="13"/>
      <c r="H65" s="13"/>
      <c r="I65" s="13"/>
      <c r="J65" s="13"/>
      <c r="K65" s="13"/>
      <c r="L65" s="14"/>
    </row>
    <row r="66" spans="1:12" x14ac:dyDescent="0.25">
      <c r="A66" s="12">
        <v>48</v>
      </c>
      <c r="B66" s="47" t="s">
        <v>325</v>
      </c>
      <c r="C66" s="48">
        <f>$X$32</f>
        <v>6987.25</v>
      </c>
      <c r="D66" s="47">
        <f>D65+180</f>
        <v>200</v>
      </c>
      <c r="E66" s="13">
        <f>COLUMN(FX39)</f>
        <v>180</v>
      </c>
      <c r="F66" s="13">
        <f>COLUMN(FY39)</f>
        <v>181</v>
      </c>
      <c r="G66" s="13">
        <f>COLUMN(FZ39)</f>
        <v>182</v>
      </c>
      <c r="H66" s="13">
        <f>COLUMN(GA39)</f>
        <v>183</v>
      </c>
      <c r="I66" s="13"/>
      <c r="J66" s="13"/>
      <c r="K66" s="13"/>
      <c r="L66" s="14"/>
    </row>
    <row r="67" spans="1:12" x14ac:dyDescent="0.25">
      <c r="A67" s="12">
        <v>49</v>
      </c>
      <c r="B67" s="47" t="s">
        <v>326</v>
      </c>
      <c r="C67" s="48">
        <f>$X$32</f>
        <v>6987.25</v>
      </c>
      <c r="D67" s="47">
        <f>D66+180</f>
        <v>380</v>
      </c>
      <c r="E67" s="13">
        <f>COLUMN(GB40)</f>
        <v>184</v>
      </c>
      <c r="F67" s="13">
        <f>COLUMN(GC40)</f>
        <v>185</v>
      </c>
      <c r="G67" s="13">
        <f>COLUMN(GD40)</f>
        <v>186</v>
      </c>
      <c r="H67" s="13">
        <f>COLUMN(GE40)</f>
        <v>187</v>
      </c>
      <c r="I67" s="13"/>
      <c r="J67" s="13"/>
      <c r="K67" s="13"/>
      <c r="L67" s="14"/>
    </row>
    <row r="68" spans="1:12" x14ac:dyDescent="0.25">
      <c r="A68" s="12">
        <v>50</v>
      </c>
      <c r="B68" s="47" t="s">
        <v>407</v>
      </c>
      <c r="C68" s="48">
        <f>$X$32</f>
        <v>6987.25</v>
      </c>
      <c r="D68" s="47">
        <f>D67+180</f>
        <v>560</v>
      </c>
      <c r="E68" s="13">
        <f>COLUMN(GG41)</f>
        <v>189</v>
      </c>
      <c r="F68" s="13">
        <f>COLUMN(GH41)</f>
        <v>190</v>
      </c>
      <c r="G68" s="13">
        <f>COLUMN(GI41)</f>
        <v>191</v>
      </c>
      <c r="H68" s="13">
        <f>COLUMN(GJ41)</f>
        <v>192</v>
      </c>
      <c r="I68" s="13"/>
      <c r="J68" s="13"/>
      <c r="K68" s="13"/>
      <c r="L68" s="14"/>
    </row>
    <row r="69" spans="1:12" x14ac:dyDescent="0.25">
      <c r="A69" s="15">
        <v>51</v>
      </c>
      <c r="B69" s="16" t="s">
        <v>396</v>
      </c>
      <c r="C69" s="16">
        <f>$X$33</f>
        <v>7453</v>
      </c>
      <c r="D69" s="16">
        <v>20</v>
      </c>
      <c r="E69" s="47">
        <v>238</v>
      </c>
      <c r="F69" s="55">
        <v>239</v>
      </c>
      <c r="G69" s="55">
        <v>244</v>
      </c>
      <c r="H69" s="55">
        <v>245</v>
      </c>
      <c r="I69" s="55">
        <v>249</v>
      </c>
      <c r="J69" s="47"/>
      <c r="K69" s="47"/>
      <c r="L69" s="56"/>
    </row>
    <row r="70" spans="1:12" x14ac:dyDescent="0.25">
      <c r="A70" s="15">
        <v>52</v>
      </c>
      <c r="B70" s="16" t="s">
        <v>397</v>
      </c>
      <c r="C70" s="16">
        <f>$X$33</f>
        <v>7453</v>
      </c>
      <c r="D70" s="16">
        <f>D69+180</f>
        <v>200</v>
      </c>
      <c r="E70" s="47">
        <v>240</v>
      </c>
      <c r="F70" s="47">
        <v>241</v>
      </c>
      <c r="G70" s="47">
        <v>242</v>
      </c>
      <c r="H70" s="55">
        <v>243</v>
      </c>
      <c r="I70" s="55">
        <v>248</v>
      </c>
      <c r="J70" s="47"/>
      <c r="K70" s="47"/>
      <c r="L70" s="56"/>
    </row>
    <row r="71" spans="1:12" x14ac:dyDescent="0.25">
      <c r="A71" s="15">
        <v>53</v>
      </c>
      <c r="B71" s="54" t="s">
        <v>401</v>
      </c>
      <c r="C71" s="16">
        <f>$X$33</f>
        <v>7453</v>
      </c>
      <c r="D71" s="4">
        <v>380</v>
      </c>
      <c r="E71" s="57">
        <v>250</v>
      </c>
      <c r="F71" s="57"/>
      <c r="G71" s="57"/>
      <c r="H71" s="57"/>
      <c r="I71" s="57"/>
      <c r="J71" s="57"/>
      <c r="K71" s="57"/>
      <c r="L71" s="57"/>
    </row>
    <row r="72" spans="1:12" x14ac:dyDescent="0.25">
      <c r="A72" s="12">
        <v>54</v>
      </c>
      <c r="B72" s="47" t="s">
        <v>327</v>
      </c>
      <c r="C72" s="48">
        <f>$X$34</f>
        <v>7918.75</v>
      </c>
      <c r="D72" s="47">
        <v>20</v>
      </c>
      <c r="E72" s="13">
        <f>COLUMN(CG42)</f>
        <v>85</v>
      </c>
      <c r="F72" s="13">
        <f>COLUMN(CH42)</f>
        <v>86</v>
      </c>
      <c r="G72" s="13">
        <f>COLUMN(GK42)</f>
        <v>193</v>
      </c>
      <c r="H72" s="13">
        <f>COLUMN(GL42)</f>
        <v>194</v>
      </c>
      <c r="I72" s="13">
        <f>COLUMN(GM42)</f>
        <v>195</v>
      </c>
      <c r="J72" s="13"/>
      <c r="K72" s="13"/>
      <c r="L72" s="14"/>
    </row>
    <row r="73" spans="1:12" x14ac:dyDescent="0.25">
      <c r="A73" s="12">
        <v>55</v>
      </c>
      <c r="B73" s="47" t="s">
        <v>328</v>
      </c>
      <c r="C73" s="48">
        <f>$X$34</f>
        <v>7918.75</v>
      </c>
      <c r="D73" s="47">
        <f>D72+180</f>
        <v>200</v>
      </c>
      <c r="E73" s="13">
        <f>COLUMN(GN43)</f>
        <v>196</v>
      </c>
      <c r="F73" s="13"/>
      <c r="G73" s="13"/>
      <c r="H73" s="13"/>
      <c r="I73" s="13"/>
      <c r="J73" s="13"/>
      <c r="K73" s="13"/>
      <c r="L73" s="14"/>
    </row>
    <row r="74" spans="1:12" x14ac:dyDescent="0.25">
      <c r="A74" s="12">
        <v>56</v>
      </c>
      <c r="B74" s="47" t="s">
        <v>329</v>
      </c>
      <c r="C74" s="48">
        <f>$X$34</f>
        <v>7918.75</v>
      </c>
      <c r="D74" s="47">
        <f>D73+180</f>
        <v>380</v>
      </c>
      <c r="E74" s="13">
        <f>COLUMN(CT44)</f>
        <v>98</v>
      </c>
      <c r="F74" s="13"/>
      <c r="G74" s="13"/>
      <c r="H74" s="13"/>
      <c r="I74" s="13"/>
      <c r="J74" s="13"/>
      <c r="K74" s="13"/>
      <c r="L74" s="14"/>
    </row>
    <row r="75" spans="1:12" x14ac:dyDescent="0.25">
      <c r="A75" s="12">
        <v>57</v>
      </c>
      <c r="B75" s="47" t="s">
        <v>330</v>
      </c>
      <c r="C75" s="48">
        <f>$X$34</f>
        <v>7918.75</v>
      </c>
      <c r="D75" s="47">
        <f>D74+180</f>
        <v>560</v>
      </c>
      <c r="E75" s="13">
        <f>COLUMN(ER45)</f>
        <v>148</v>
      </c>
      <c r="F75" s="13">
        <f>COLUMN(EQ45)</f>
        <v>147</v>
      </c>
      <c r="G75" s="13">
        <f>COLUMN(EP45)</f>
        <v>146</v>
      </c>
      <c r="H75" s="13">
        <f>COLUMN(GO45)</f>
        <v>197</v>
      </c>
      <c r="I75" s="13"/>
      <c r="J75" s="13"/>
      <c r="K75" s="13"/>
      <c r="L75" s="14"/>
    </row>
    <row r="76" spans="1:12" x14ac:dyDescent="0.25">
      <c r="A76" s="15">
        <v>58</v>
      </c>
      <c r="B76" s="16" t="s">
        <v>332</v>
      </c>
      <c r="C76" s="22">
        <f>$X$35</f>
        <v>8384.5</v>
      </c>
      <c r="D76" s="16">
        <v>20</v>
      </c>
      <c r="E76" s="13">
        <f>COLUMN(GQ46)</f>
        <v>199</v>
      </c>
      <c r="F76" s="13">
        <f>COLUMN(ES46)</f>
        <v>149</v>
      </c>
      <c r="G76" s="13">
        <f>COLUMN(GP46)</f>
        <v>198</v>
      </c>
      <c r="H76" s="13"/>
      <c r="I76" s="13"/>
      <c r="J76" s="13"/>
      <c r="K76" s="13"/>
      <c r="L76" s="14"/>
    </row>
    <row r="77" spans="1:12" x14ac:dyDescent="0.25">
      <c r="A77" s="15">
        <v>59</v>
      </c>
      <c r="B77" s="16" t="s">
        <v>333</v>
      </c>
      <c r="C77" s="22">
        <f t="shared" ref="C77:C79" si="4">$X$35</f>
        <v>8384.5</v>
      </c>
      <c r="D77" s="16">
        <f>D76+180</f>
        <v>200</v>
      </c>
      <c r="E77" s="13">
        <f>COLUMN(GS47)</f>
        <v>201</v>
      </c>
      <c r="F77" s="13">
        <f>COLUMN(ET47)</f>
        <v>150</v>
      </c>
      <c r="G77" s="13">
        <f>COLUMN(GR47)</f>
        <v>200</v>
      </c>
      <c r="H77" s="13"/>
      <c r="I77" s="13"/>
      <c r="J77" s="13"/>
      <c r="K77" s="13"/>
      <c r="L77" s="14"/>
    </row>
    <row r="78" spans="1:12" x14ac:dyDescent="0.25">
      <c r="A78" s="15">
        <v>60</v>
      </c>
      <c r="B78" s="16" t="s">
        <v>334</v>
      </c>
      <c r="C78" s="22">
        <f t="shared" si="4"/>
        <v>8384.5</v>
      </c>
      <c r="D78" s="16">
        <f>D77+180</f>
        <v>380</v>
      </c>
      <c r="E78" s="13">
        <f>COLUMN(GU48)</f>
        <v>203</v>
      </c>
      <c r="F78" s="13">
        <f>COLUMN(EU48)</f>
        <v>151</v>
      </c>
      <c r="G78" s="13">
        <f>COLUMN(GT48)</f>
        <v>202</v>
      </c>
      <c r="H78" s="13"/>
      <c r="I78" s="13"/>
      <c r="J78" s="13"/>
      <c r="K78" s="13"/>
      <c r="L78" s="14"/>
    </row>
    <row r="79" spans="1:12" x14ac:dyDescent="0.25">
      <c r="A79" s="15">
        <v>61</v>
      </c>
      <c r="B79" s="16" t="s">
        <v>331</v>
      </c>
      <c r="C79" s="22">
        <f t="shared" si="4"/>
        <v>8384.5</v>
      </c>
      <c r="D79" s="16">
        <f>D78+180</f>
        <v>560</v>
      </c>
      <c r="E79" s="13">
        <f t="shared" ref="E79:J79" si="5">COLUMN(GV49)</f>
        <v>204</v>
      </c>
      <c r="F79" s="13">
        <f t="shared" si="5"/>
        <v>205</v>
      </c>
      <c r="G79" s="13">
        <f t="shared" si="5"/>
        <v>206</v>
      </c>
      <c r="H79" s="13">
        <f t="shared" si="5"/>
        <v>207</v>
      </c>
      <c r="I79" s="13">
        <f t="shared" si="5"/>
        <v>208</v>
      </c>
      <c r="J79" s="13">
        <f t="shared" si="5"/>
        <v>209</v>
      </c>
      <c r="K79" s="13"/>
      <c r="L79" s="14"/>
    </row>
    <row r="80" spans="1:12" x14ac:dyDescent="0.25">
      <c r="A80" s="12">
        <v>62</v>
      </c>
      <c r="B80" s="47" t="s">
        <v>335</v>
      </c>
      <c r="C80" s="58">
        <f>$X$36</f>
        <v>8850.25</v>
      </c>
      <c r="D80" s="57">
        <v>20</v>
      </c>
      <c r="E80" s="13">
        <f>COLUMN(BS1)</f>
        <v>71</v>
      </c>
      <c r="F80" s="13">
        <f>COLUMN(EJ1)</f>
        <v>140</v>
      </c>
      <c r="G80" s="13">
        <f>COLUMN(FB1)</f>
        <v>158</v>
      </c>
      <c r="H80" s="13"/>
      <c r="I80" s="13"/>
      <c r="J80" s="13"/>
      <c r="K80" s="13"/>
      <c r="L80" s="14"/>
    </row>
    <row r="81" spans="1:12" x14ac:dyDescent="0.25">
      <c r="A81" s="12">
        <v>63</v>
      </c>
      <c r="B81" s="47" t="s">
        <v>336</v>
      </c>
      <c r="C81" s="58">
        <f t="shared" ref="C81:C83" si="6">$X$36</f>
        <v>8850.25</v>
      </c>
      <c r="D81" s="47">
        <f>D80+180</f>
        <v>200</v>
      </c>
      <c r="E81" s="13">
        <f>COLUMN(HB51)</f>
        <v>210</v>
      </c>
      <c r="F81" s="13">
        <f>COLUMN(HC51)</f>
        <v>211</v>
      </c>
      <c r="G81" s="13">
        <f>COLUMN(HD51)</f>
        <v>212</v>
      </c>
      <c r="H81" s="13"/>
      <c r="I81" s="13"/>
      <c r="J81" s="13"/>
      <c r="K81" s="13"/>
      <c r="L81" s="14"/>
    </row>
    <row r="82" spans="1:12" x14ac:dyDescent="0.25">
      <c r="A82" s="12">
        <v>64</v>
      </c>
      <c r="B82" s="47" t="s">
        <v>337</v>
      </c>
      <c r="C82" s="58">
        <f t="shared" si="6"/>
        <v>8850.25</v>
      </c>
      <c r="D82" s="47">
        <f>D81+180</f>
        <v>380</v>
      </c>
      <c r="E82" s="13">
        <f t="shared" ref="E82:K82" si="7">COLUMN(HE52)</f>
        <v>213</v>
      </c>
      <c r="F82" s="13">
        <f t="shared" si="7"/>
        <v>214</v>
      </c>
      <c r="G82" s="13">
        <f t="shared" si="7"/>
        <v>215</v>
      </c>
      <c r="H82" s="13">
        <f t="shared" si="7"/>
        <v>216</v>
      </c>
      <c r="I82" s="13">
        <f t="shared" si="7"/>
        <v>217</v>
      </c>
      <c r="J82" s="13">
        <f t="shared" si="7"/>
        <v>218</v>
      </c>
      <c r="K82" s="13">
        <f t="shared" si="7"/>
        <v>219</v>
      </c>
      <c r="L82" s="14"/>
    </row>
    <row r="83" spans="1:12" ht="15.75" thickBot="1" x14ac:dyDescent="0.3">
      <c r="A83" s="12">
        <v>65</v>
      </c>
      <c r="B83" s="59" t="s">
        <v>338</v>
      </c>
      <c r="C83" s="58">
        <f t="shared" si="6"/>
        <v>8850.25</v>
      </c>
      <c r="D83" s="47">
        <f>D82+180</f>
        <v>560</v>
      </c>
      <c r="E83" s="18">
        <f t="shared" ref="E83:L83" si="8">COLUMN(HL53)</f>
        <v>220</v>
      </c>
      <c r="F83" s="18">
        <f t="shared" si="8"/>
        <v>221</v>
      </c>
      <c r="G83" s="18">
        <f t="shared" si="8"/>
        <v>222</v>
      </c>
      <c r="H83" s="18">
        <f t="shared" si="8"/>
        <v>223</v>
      </c>
      <c r="I83" s="18">
        <f t="shared" si="8"/>
        <v>224</v>
      </c>
      <c r="J83" s="18">
        <f t="shared" si="8"/>
        <v>225</v>
      </c>
      <c r="K83" s="18">
        <f t="shared" si="8"/>
        <v>226</v>
      </c>
      <c r="L83" s="19">
        <f t="shared" si="8"/>
        <v>227</v>
      </c>
    </row>
    <row r="84" spans="1:12" x14ac:dyDescent="0.25">
      <c r="A84" s="15">
        <v>66</v>
      </c>
      <c r="B84" s="4" t="s">
        <v>339</v>
      </c>
      <c r="C84" s="4">
        <f>$X$37</f>
        <v>9316</v>
      </c>
      <c r="D84" s="4">
        <v>20</v>
      </c>
      <c r="E84">
        <f>COLUMN(HT54)</f>
        <v>228</v>
      </c>
      <c r="F84">
        <f>COLUMN(HU54)</f>
        <v>229</v>
      </c>
    </row>
  </sheetData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94C3B-CF72-4EAA-9680-EA62CAEF07B0}">
  <sheetPr codeName="Sheet12"/>
  <dimension ref="A1"/>
  <sheetViews>
    <sheetView tabSelected="1" view="pageLayout" topLeftCell="EM10" zoomScale="85" zoomScaleNormal="50" zoomScaleSheetLayoutView="90" zoomScalePageLayoutView="85" workbookViewId="0">
      <selection activeCell="GF15" sqref="GF15"/>
    </sheetView>
  </sheetViews>
  <sheetFormatPr defaultRowHeight="15" x14ac:dyDescent="0.25"/>
  <sheetData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&amp;LSCG 007 LMH&amp;CKsiKpi_Track report&amp;R&amp;G</oddHeader>
    <oddFooter>&amp;L&amp;G&amp;C&amp;D&amp;R&amp;P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32841-EACD-47B5-84EC-94E235021666}">
  <sheetPr codeName="Sheet2"/>
  <dimension ref="A2:IT147"/>
  <sheetViews>
    <sheetView zoomScale="70" zoomScaleNormal="70" workbookViewId="0">
      <pane xSplit="1" topLeftCell="B1" activePane="topRight" state="frozen"/>
      <selection pane="topRight" activeCell="HL50" sqref="HL50"/>
    </sheetView>
  </sheetViews>
  <sheetFormatPr defaultRowHeight="15" x14ac:dyDescent="0.25"/>
  <cols>
    <col min="1" max="1" width="3.5703125" bestFit="1" customWidth="1"/>
    <col min="2" max="151" width="15.7109375" customWidth="1"/>
    <col min="152" max="152" width="20.140625" customWidth="1"/>
    <col min="153" max="153" width="22.140625" customWidth="1"/>
    <col min="154" max="154" width="16.140625" customWidth="1"/>
    <col min="155" max="155" width="17.85546875" customWidth="1"/>
    <col min="156" max="156" width="21" customWidth="1"/>
    <col min="157" max="157" width="23.28515625" customWidth="1"/>
    <col min="158" max="158" width="19.28515625" customWidth="1"/>
    <col min="159" max="159" width="12.140625" customWidth="1"/>
    <col min="160" max="160" width="12.42578125" bestFit="1" customWidth="1"/>
    <col min="161" max="162" width="10.7109375" bestFit="1" customWidth="1"/>
    <col min="204" max="204" width="8.7109375" bestFit="1" customWidth="1"/>
    <col min="211" max="211" width="25.140625" customWidth="1"/>
    <col min="212" max="212" width="18" customWidth="1"/>
    <col min="231" max="231" width="13.28515625" customWidth="1"/>
    <col min="232" max="232" width="14" customWidth="1"/>
  </cols>
  <sheetData>
    <row r="2" spans="1:254" x14ac:dyDescent="0.25">
      <c r="B2" s="4" t="s">
        <v>47</v>
      </c>
      <c r="C2">
        <f>MAX(C8:C108)</f>
        <v>0</v>
      </c>
      <c r="D2" s="5">
        <f>MAX(D8:D108)*3600*24</f>
        <v>1487.1000000000001</v>
      </c>
      <c r="E2">
        <f t="shared" ref="E2:BP2" si="0">MAX(E8:E108)</f>
        <v>1487.1030000000001</v>
      </c>
      <c r="F2">
        <f t="shared" si="0"/>
        <v>335.68</v>
      </c>
      <c r="G2">
        <f t="shared" si="0"/>
        <v>6.1</v>
      </c>
      <c r="H2">
        <f t="shared" si="0"/>
        <v>29.9</v>
      </c>
      <c r="I2">
        <f t="shared" si="0"/>
        <v>3.1190000000000002</v>
      </c>
      <c r="J2">
        <f t="shared" si="0"/>
        <v>1267.5999999999999</v>
      </c>
      <c r="K2">
        <f t="shared" si="0"/>
        <v>11</v>
      </c>
      <c r="L2">
        <f t="shared" si="0"/>
        <v>9</v>
      </c>
      <c r="M2">
        <f t="shared" si="0"/>
        <v>6</v>
      </c>
      <c r="N2">
        <f t="shared" si="0"/>
        <v>3</v>
      </c>
      <c r="O2">
        <f t="shared" si="0"/>
        <v>3</v>
      </c>
      <c r="P2">
        <f t="shared" si="0"/>
        <v>1.141</v>
      </c>
      <c r="Q2">
        <f t="shared" si="0"/>
        <v>1.9830000000000001</v>
      </c>
      <c r="R2">
        <f t="shared" si="0"/>
        <v>1.849</v>
      </c>
      <c r="S2">
        <f t="shared" si="0"/>
        <v>0.91700000000000004</v>
      </c>
      <c r="T2">
        <f t="shared" si="0"/>
        <v>89.89</v>
      </c>
      <c r="U2">
        <f t="shared" si="0"/>
        <v>63.218000000000004</v>
      </c>
      <c r="V2">
        <f t="shared" si="0"/>
        <v>300</v>
      </c>
      <c r="W2">
        <f t="shared" si="0"/>
        <v>316</v>
      </c>
      <c r="X2">
        <f t="shared" si="0"/>
        <v>246.66</v>
      </c>
      <c r="Y2">
        <f t="shared" si="0"/>
        <v>314</v>
      </c>
      <c r="Z2">
        <f t="shared" si="0"/>
        <v>440.72</v>
      </c>
      <c r="AA2">
        <f t="shared" si="0"/>
        <v>462.41</v>
      </c>
      <c r="AB2">
        <f t="shared" si="0"/>
        <v>386.89</v>
      </c>
      <c r="AC2">
        <f t="shared" si="0"/>
        <v>466.86</v>
      </c>
      <c r="AD2">
        <f t="shared" si="0"/>
        <v>1.887</v>
      </c>
      <c r="AE2">
        <f t="shared" si="0"/>
        <v>1.9379999999999999</v>
      </c>
      <c r="AF2">
        <f t="shared" si="0"/>
        <v>1.972</v>
      </c>
      <c r="AG2">
        <f t="shared" si="0"/>
        <v>2.048</v>
      </c>
      <c r="AH2">
        <f t="shared" si="0"/>
        <v>85.22</v>
      </c>
      <c r="AI2">
        <f t="shared" si="0"/>
        <v>81.7</v>
      </c>
      <c r="AJ2">
        <f t="shared" si="0"/>
        <v>119.68</v>
      </c>
      <c r="AK2">
        <f t="shared" si="0"/>
        <v>114.42</v>
      </c>
      <c r="AL2">
        <f t="shared" si="0"/>
        <v>695.06799999999998</v>
      </c>
      <c r="AM2">
        <f t="shared" si="0"/>
        <v>697.58299999999997</v>
      </c>
      <c r="AN2">
        <f t="shared" si="0"/>
        <v>864.45500000000004</v>
      </c>
      <c r="AO2">
        <f t="shared" si="0"/>
        <v>831.08100000000002</v>
      </c>
      <c r="AP2">
        <f t="shared" si="0"/>
        <v>1.425</v>
      </c>
      <c r="AQ2">
        <f t="shared" si="0"/>
        <v>1.887</v>
      </c>
      <c r="AR2">
        <f t="shared" si="0"/>
        <v>44.110999999999997</v>
      </c>
      <c r="AS2">
        <f t="shared" si="0"/>
        <v>40.716000000000001</v>
      </c>
      <c r="AT2">
        <f t="shared" si="0"/>
        <v>87</v>
      </c>
      <c r="AU2">
        <f t="shared" si="0"/>
        <v>122</v>
      </c>
      <c r="AV2">
        <f t="shared" si="0"/>
        <v>2.9580000000000002</v>
      </c>
      <c r="AW2">
        <f t="shared" si="0"/>
        <v>5.5320999999999998</v>
      </c>
      <c r="AX2">
        <f t="shared" si="0"/>
        <v>1028.5</v>
      </c>
      <c r="AY2">
        <f t="shared" si="0"/>
        <v>2.57</v>
      </c>
      <c r="AZ2">
        <f t="shared" si="0"/>
        <v>5.85</v>
      </c>
      <c r="BA2">
        <f t="shared" si="0"/>
        <v>141.44999999999999</v>
      </c>
      <c r="BB2">
        <f t="shared" si="0"/>
        <v>140.816</v>
      </c>
      <c r="BC2">
        <f t="shared" si="0"/>
        <v>7885</v>
      </c>
      <c r="BD2">
        <f t="shared" si="0"/>
        <v>90.25</v>
      </c>
      <c r="BE2">
        <f t="shared" si="0"/>
        <v>17.594999999999999</v>
      </c>
      <c r="BF2">
        <f t="shared" si="0"/>
        <v>15.225</v>
      </c>
      <c r="BG2">
        <f t="shared" si="0"/>
        <v>29.62</v>
      </c>
      <c r="BH2">
        <f t="shared" si="0"/>
        <v>30.91</v>
      </c>
      <c r="BI2">
        <f t="shared" si="0"/>
        <v>66.403999999999996</v>
      </c>
      <c r="BJ2">
        <f t="shared" si="0"/>
        <v>82.686000000000007</v>
      </c>
      <c r="BK2">
        <f t="shared" si="0"/>
        <v>64.768000000000001</v>
      </c>
      <c r="BL2">
        <f t="shared" si="0"/>
        <v>79.837999999999994</v>
      </c>
      <c r="BM2">
        <f t="shared" si="0"/>
        <v>81.710999999999999</v>
      </c>
      <c r="BN2">
        <f t="shared" si="0"/>
        <v>151.94399999999999</v>
      </c>
      <c r="BO2">
        <f t="shared" si="0"/>
        <v>147.06399999999999</v>
      </c>
      <c r="BP2">
        <f t="shared" si="0"/>
        <v>165.06399999999999</v>
      </c>
      <c r="BQ2">
        <f t="shared" ref="BQ2:EB2" si="1">MAX(BQ8:BQ108)</f>
        <v>166.15199999999999</v>
      </c>
      <c r="BR2">
        <f t="shared" si="1"/>
        <v>61.386000000000003</v>
      </c>
      <c r="BS2">
        <f t="shared" si="1"/>
        <v>29.7</v>
      </c>
      <c r="BT2">
        <f t="shared" si="1"/>
        <v>7498.3580000000002</v>
      </c>
      <c r="BU2">
        <f t="shared" si="1"/>
        <v>51.536000000000001</v>
      </c>
      <c r="BV2">
        <f t="shared" si="1"/>
        <v>56.585999999999999</v>
      </c>
      <c r="BW2">
        <f t="shared" si="1"/>
        <v>58.741</v>
      </c>
      <c r="BX2">
        <f t="shared" si="1"/>
        <v>59.103999999999999</v>
      </c>
      <c r="BY2">
        <f t="shared" si="1"/>
        <v>1.5680000000000001</v>
      </c>
      <c r="BZ2">
        <f t="shared" si="1"/>
        <v>3.3650000000000002</v>
      </c>
      <c r="CA2">
        <f t="shared" si="1"/>
        <v>3.899</v>
      </c>
      <c r="CB2">
        <f t="shared" si="1"/>
        <v>4.1769999999999996</v>
      </c>
      <c r="CC2">
        <f t="shared" si="1"/>
        <v>1.325</v>
      </c>
      <c r="CD2">
        <f t="shared" si="1"/>
        <v>2.7970000000000002</v>
      </c>
      <c r="CE2">
        <f t="shared" si="1"/>
        <v>1.3879999999999999</v>
      </c>
      <c r="CF2">
        <f t="shared" si="1"/>
        <v>2.206</v>
      </c>
      <c r="CG2">
        <f t="shared" si="1"/>
        <v>13.997999999999999</v>
      </c>
      <c r="CH2">
        <f t="shared" si="1"/>
        <v>13.829000000000001</v>
      </c>
      <c r="CI2">
        <f t="shared" si="1"/>
        <v>6.0579999999999998</v>
      </c>
      <c r="CJ2">
        <f t="shared" si="1"/>
        <v>328.32900000000001</v>
      </c>
      <c r="CK2">
        <f t="shared" si="1"/>
        <v>1.81</v>
      </c>
      <c r="CL2">
        <f t="shared" si="1"/>
        <v>0.8</v>
      </c>
      <c r="CM2">
        <f t="shared" si="1"/>
        <v>1.5</v>
      </c>
      <c r="CN2">
        <f t="shared" si="1"/>
        <v>1.2</v>
      </c>
      <c r="CO2">
        <f t="shared" si="1"/>
        <v>1.2</v>
      </c>
      <c r="CP2">
        <f t="shared" si="1"/>
        <v>112.173</v>
      </c>
      <c r="CQ2">
        <f t="shared" si="1"/>
        <v>111.22499999999999</v>
      </c>
      <c r="CR2">
        <f t="shared" si="1"/>
        <v>150.36099999999999</v>
      </c>
      <c r="CS2">
        <f t="shared" si="1"/>
        <v>156.30699999999999</v>
      </c>
      <c r="CT2">
        <f t="shared" si="1"/>
        <v>1.3069999999999999</v>
      </c>
      <c r="CU2">
        <f t="shared" si="1"/>
        <v>8.0779999999999994</v>
      </c>
      <c r="CV2">
        <f t="shared" si="1"/>
        <v>8.6809999999999992</v>
      </c>
      <c r="CW2">
        <f t="shared" si="1"/>
        <v>8.0790000000000006</v>
      </c>
      <c r="CX2">
        <f t="shared" si="1"/>
        <v>8.3740000000000006</v>
      </c>
      <c r="CY2">
        <f t="shared" si="1"/>
        <v>8.375</v>
      </c>
      <c r="CZ2">
        <f t="shared" si="1"/>
        <v>8.5790000000000006</v>
      </c>
      <c r="DA2">
        <f t="shared" si="1"/>
        <v>7.6790000000000003</v>
      </c>
      <c r="DB2">
        <f t="shared" si="1"/>
        <v>8.9809999999999999</v>
      </c>
      <c r="DC2">
        <f t="shared" si="1"/>
        <v>8.0000000000000002E-3</v>
      </c>
      <c r="DD2">
        <f t="shared" si="1"/>
        <v>0</v>
      </c>
      <c r="DE2">
        <f t="shared" si="1"/>
        <v>0.36499999999999999</v>
      </c>
      <c r="DF2">
        <f t="shared" si="1"/>
        <v>0.20799999999999999</v>
      </c>
      <c r="DG2">
        <f t="shared" si="1"/>
        <v>1.3089999999999999</v>
      </c>
      <c r="DH2">
        <f t="shared" si="1"/>
        <v>3.7</v>
      </c>
      <c r="DI2">
        <f t="shared" si="1"/>
        <v>1.49</v>
      </c>
      <c r="DJ2">
        <f t="shared" si="1"/>
        <v>0.38500000000000001</v>
      </c>
      <c r="DK2">
        <f t="shared" si="1"/>
        <v>1.3839999999999999</v>
      </c>
      <c r="DL2">
        <f t="shared" si="1"/>
        <v>0.41699999999999998</v>
      </c>
      <c r="DM2">
        <f t="shared" si="1"/>
        <v>0.91700000000000004</v>
      </c>
      <c r="DN2">
        <f t="shared" si="1"/>
        <v>4.8659999999999997</v>
      </c>
      <c r="DO2">
        <f t="shared" si="1"/>
        <v>0.67400000000000004</v>
      </c>
      <c r="DP2">
        <f t="shared" si="1"/>
        <v>70.597999999999999</v>
      </c>
      <c r="DQ2">
        <f t="shared" si="1"/>
        <v>64.287000000000006</v>
      </c>
      <c r="DR2">
        <f t="shared" si="1"/>
        <v>56.128999999999998</v>
      </c>
      <c r="DS2">
        <f t="shared" si="1"/>
        <v>55.134</v>
      </c>
      <c r="DT2">
        <f t="shared" si="1"/>
        <v>7.32</v>
      </c>
      <c r="DU2">
        <f t="shared" si="1"/>
        <v>6.96</v>
      </c>
      <c r="DV2">
        <f t="shared" si="1"/>
        <v>15.79</v>
      </c>
      <c r="DW2">
        <f t="shared" si="1"/>
        <v>13.51</v>
      </c>
      <c r="DX2">
        <f t="shared" si="1"/>
        <v>7.69</v>
      </c>
      <c r="DY2">
        <f t="shared" si="1"/>
        <v>7.31</v>
      </c>
      <c r="DZ2">
        <f t="shared" si="1"/>
        <v>15.72</v>
      </c>
      <c r="EA2">
        <f t="shared" si="1"/>
        <v>13.71</v>
      </c>
      <c r="EB2">
        <f t="shared" si="1"/>
        <v>43.41</v>
      </c>
      <c r="EC2">
        <f t="shared" ref="EC2:GN2" si="2">MAX(EC8:EC108)</f>
        <v>43.26</v>
      </c>
      <c r="ED2">
        <f t="shared" si="2"/>
        <v>35.950000000000003</v>
      </c>
      <c r="EE2">
        <f t="shared" si="2"/>
        <v>36.29</v>
      </c>
      <c r="EF2">
        <f t="shared" si="2"/>
        <v>84.58</v>
      </c>
      <c r="EG2">
        <f t="shared" si="2"/>
        <v>82.22</v>
      </c>
      <c r="EH2">
        <f t="shared" si="2"/>
        <v>73.56</v>
      </c>
      <c r="EI2">
        <f t="shared" si="2"/>
        <v>85.58</v>
      </c>
      <c r="EJ2">
        <f t="shared" si="2"/>
        <v>7.4349999999999996</v>
      </c>
      <c r="EK2">
        <f t="shared" si="2"/>
        <v>60.030999999999999</v>
      </c>
      <c r="EL2">
        <f t="shared" si="2"/>
        <v>2.2999999999999998</v>
      </c>
      <c r="EM2">
        <f t="shared" si="2"/>
        <v>1.7</v>
      </c>
      <c r="EN2">
        <f t="shared" si="2"/>
        <v>1.65</v>
      </c>
      <c r="EO2">
        <f t="shared" si="2"/>
        <v>1.64</v>
      </c>
      <c r="EP2">
        <f t="shared" si="2"/>
        <v>-62.421999999999997</v>
      </c>
      <c r="EQ2">
        <f t="shared" si="2"/>
        <v>-0.223</v>
      </c>
      <c r="ER2">
        <f t="shared" si="2"/>
        <v>142.27000000000001</v>
      </c>
      <c r="ES2">
        <f t="shared" si="2"/>
        <v>1.6</v>
      </c>
      <c r="ET2">
        <f t="shared" si="2"/>
        <v>1.6579999999999999</v>
      </c>
      <c r="EU2">
        <f t="shared" si="2"/>
        <v>1.573</v>
      </c>
      <c r="EV2">
        <f t="shared" si="2"/>
        <v>7.8049999999999997</v>
      </c>
      <c r="EW2">
        <f t="shared" si="2"/>
        <v>2.536</v>
      </c>
      <c r="EX2">
        <f t="shared" si="2"/>
        <v>76.599999999999994</v>
      </c>
      <c r="EY2">
        <f t="shared" si="2"/>
        <v>9.8350000000000009</v>
      </c>
      <c r="EZ2">
        <f t="shared" si="2"/>
        <v>24.507000000000001</v>
      </c>
      <c r="FA2">
        <f t="shared" si="2"/>
        <v>0</v>
      </c>
      <c r="FB2">
        <f t="shared" si="2"/>
        <v>9.4550000000000001</v>
      </c>
      <c r="FC2">
        <f t="shared" si="2"/>
        <v>76.549000000000007</v>
      </c>
      <c r="FD2">
        <f t="shared" si="2"/>
        <v>71.287000000000006</v>
      </c>
      <c r="FE2">
        <f t="shared" si="2"/>
        <v>92.456999999999994</v>
      </c>
      <c r="FF2">
        <f t="shared" si="2"/>
        <v>89.846999999999994</v>
      </c>
      <c r="FG2">
        <f t="shared" si="2"/>
        <v>1.0369999999999999</v>
      </c>
      <c r="FH2">
        <f t="shared" si="2"/>
        <v>1.0469999999999999</v>
      </c>
      <c r="FI2">
        <f t="shared" si="2"/>
        <v>1.0129999999999999</v>
      </c>
      <c r="FJ2">
        <f t="shared" si="2"/>
        <v>1.0149999999999999</v>
      </c>
      <c r="FK2">
        <f t="shared" si="2"/>
        <v>0.40300000000000002</v>
      </c>
      <c r="FL2">
        <f t="shared" si="2"/>
        <v>87</v>
      </c>
      <c r="FM2">
        <f t="shared" si="2"/>
        <v>3.76</v>
      </c>
      <c r="FN2">
        <f t="shared" si="2"/>
        <v>2.13</v>
      </c>
      <c r="FO2">
        <f t="shared" si="2"/>
        <v>5.53</v>
      </c>
      <c r="FP2">
        <f t="shared" si="2"/>
        <v>4.6500000000000004</v>
      </c>
      <c r="FQ2">
        <f t="shared" si="2"/>
        <v>4.95</v>
      </c>
      <c r="FR2">
        <f t="shared" si="2"/>
        <v>5.25</v>
      </c>
      <c r="FS2">
        <f t="shared" si="2"/>
        <v>6.9039999999999999</v>
      </c>
      <c r="FT2">
        <f t="shared" si="2"/>
        <v>1083.9000000000001</v>
      </c>
      <c r="FU2">
        <f t="shared" si="2"/>
        <v>8.49</v>
      </c>
      <c r="FV2">
        <f t="shared" si="2"/>
        <v>40.130000000000003</v>
      </c>
      <c r="FW2">
        <f t="shared" si="2"/>
        <v>3373.5</v>
      </c>
      <c r="FX2">
        <f t="shared" si="2"/>
        <v>174700</v>
      </c>
      <c r="FY2">
        <f t="shared" si="2"/>
        <v>177600</v>
      </c>
      <c r="FZ2">
        <f t="shared" si="2"/>
        <v>51.923999999999999</v>
      </c>
      <c r="GA2">
        <f t="shared" si="2"/>
        <v>51.548000000000002</v>
      </c>
      <c r="GB2">
        <f t="shared" si="2"/>
        <v>2473.8000000000002</v>
      </c>
      <c r="GC2">
        <f t="shared" si="2"/>
        <v>2386</v>
      </c>
      <c r="GD2">
        <f t="shared" si="2"/>
        <v>2549.6999999999998</v>
      </c>
      <c r="GE2">
        <f t="shared" si="2"/>
        <v>2563.9</v>
      </c>
      <c r="GF2">
        <f t="shared" si="2"/>
        <v>1731.5625</v>
      </c>
      <c r="GG2">
        <f t="shared" si="2"/>
        <v>39</v>
      </c>
      <c r="GH2">
        <f t="shared" si="2"/>
        <v>38.9</v>
      </c>
      <c r="GI2">
        <f t="shared" si="2"/>
        <v>82.2</v>
      </c>
      <c r="GJ2">
        <f t="shared" si="2"/>
        <v>83.6</v>
      </c>
      <c r="GK2">
        <f t="shared" si="2"/>
        <v>99.5</v>
      </c>
      <c r="GL2">
        <f t="shared" si="2"/>
        <v>96.7</v>
      </c>
      <c r="GM2">
        <f t="shared" si="2"/>
        <v>0</v>
      </c>
      <c r="GN2">
        <f t="shared" si="2"/>
        <v>29.527999999999999</v>
      </c>
      <c r="GO2">
        <f t="shared" ref="GO2:IA2" si="3">MAX(GO8:GO108)</f>
        <v>142.27000000000001</v>
      </c>
      <c r="GP2">
        <f t="shared" si="3"/>
        <v>1.121</v>
      </c>
      <c r="GQ2">
        <f t="shared" si="3"/>
        <v>5.6050000000000004</v>
      </c>
      <c r="GR2">
        <f t="shared" si="3"/>
        <v>1.298</v>
      </c>
      <c r="GS2">
        <f t="shared" si="3"/>
        <v>5.3689999999999998</v>
      </c>
      <c r="GT2">
        <f t="shared" si="3"/>
        <v>1.0620000000000001</v>
      </c>
      <c r="GU2">
        <f t="shared" si="3"/>
        <v>4.8380000000000001</v>
      </c>
      <c r="GV2">
        <f t="shared" si="3"/>
        <v>13.132</v>
      </c>
      <c r="GW2">
        <f t="shared" si="3"/>
        <v>14.199</v>
      </c>
      <c r="GX2">
        <f t="shared" si="3"/>
        <v>22.54</v>
      </c>
      <c r="GY2">
        <f t="shared" si="3"/>
        <v>0</v>
      </c>
      <c r="GZ2">
        <f t="shared" si="3"/>
        <v>0</v>
      </c>
      <c r="HA2">
        <f t="shared" si="3"/>
        <v>0</v>
      </c>
      <c r="HB2">
        <f t="shared" si="3"/>
        <v>1</v>
      </c>
      <c r="HC2">
        <f t="shared" si="3"/>
        <v>27.405999999999999</v>
      </c>
      <c r="HD2">
        <f t="shared" si="3"/>
        <v>90</v>
      </c>
      <c r="HE2">
        <f t="shared" si="3"/>
        <v>0</v>
      </c>
      <c r="HF2">
        <f t="shared" si="3"/>
        <v>0</v>
      </c>
      <c r="HG2">
        <f t="shared" si="3"/>
        <v>91.48</v>
      </c>
      <c r="HH2">
        <f t="shared" si="3"/>
        <v>100</v>
      </c>
      <c r="HI2">
        <f t="shared" si="3"/>
        <v>0</v>
      </c>
      <c r="HJ2">
        <f t="shared" si="3"/>
        <v>0</v>
      </c>
      <c r="HK2">
        <f t="shared" si="3"/>
        <v>0</v>
      </c>
      <c r="HL2">
        <f t="shared" si="3"/>
        <v>73</v>
      </c>
      <c r="HM2">
        <f t="shared" si="3"/>
        <v>56</v>
      </c>
      <c r="HN2">
        <f t="shared" si="3"/>
        <v>70</v>
      </c>
      <c r="HO2">
        <f t="shared" si="3"/>
        <v>64</v>
      </c>
      <c r="HP2">
        <f t="shared" si="3"/>
        <v>67</v>
      </c>
      <c r="HQ2">
        <f t="shared" si="3"/>
        <v>64</v>
      </c>
      <c r="HR2">
        <f t="shared" si="3"/>
        <v>56</v>
      </c>
      <c r="HS2">
        <f t="shared" si="3"/>
        <v>70</v>
      </c>
      <c r="HT2">
        <f t="shared" si="3"/>
        <v>-1.22</v>
      </c>
      <c r="HU2">
        <f t="shared" si="3"/>
        <v>0</v>
      </c>
      <c r="HV2">
        <f t="shared" si="3"/>
        <v>1.321</v>
      </c>
      <c r="HW2">
        <f t="shared" si="3"/>
        <v>53.99</v>
      </c>
      <c r="HX2">
        <f t="shared" si="3"/>
        <v>71.62</v>
      </c>
      <c r="HY2">
        <f t="shared" si="3"/>
        <v>52.8</v>
      </c>
      <c r="HZ2">
        <f t="shared" si="3"/>
        <v>65.47</v>
      </c>
      <c r="IA2">
        <f t="shared" si="3"/>
        <v>3.0859999999999999</v>
      </c>
    </row>
    <row r="3" spans="1:254" x14ac:dyDescent="0.25">
      <c r="B3" s="4" t="s">
        <v>48</v>
      </c>
      <c r="C3">
        <f>MIN(C8:C108)</f>
        <v>0</v>
      </c>
      <c r="D3" s="5">
        <f>MIN(D8:D108)*3600*24</f>
        <v>210.15999999999997</v>
      </c>
      <c r="E3">
        <f t="shared" ref="E3:BP3" si="4">MIN(E8:E108)</f>
        <v>210.2</v>
      </c>
      <c r="F3">
        <f t="shared" si="4"/>
        <v>321.36</v>
      </c>
      <c r="G3">
        <f t="shared" si="4"/>
        <v>-28.27</v>
      </c>
      <c r="H3">
        <f t="shared" si="4"/>
        <v>27.5</v>
      </c>
      <c r="I3">
        <f t="shared" si="4"/>
        <v>0</v>
      </c>
      <c r="J3">
        <f t="shared" si="4"/>
        <v>9.9</v>
      </c>
      <c r="K3">
        <f t="shared" si="4"/>
        <v>7</v>
      </c>
      <c r="L3">
        <f t="shared" si="4"/>
        <v>2</v>
      </c>
      <c r="M3">
        <f t="shared" si="4"/>
        <v>5</v>
      </c>
      <c r="N3">
        <f t="shared" si="4"/>
        <v>3</v>
      </c>
      <c r="O3">
        <f t="shared" si="4"/>
        <v>3</v>
      </c>
      <c r="P3">
        <f t="shared" si="4"/>
        <v>0.41699999999999998</v>
      </c>
      <c r="Q3">
        <f t="shared" si="4"/>
        <v>0.98299999999999998</v>
      </c>
      <c r="R3">
        <f t="shared" si="4"/>
        <v>0.35</v>
      </c>
      <c r="S3">
        <f t="shared" si="4"/>
        <v>0.29099999999999998</v>
      </c>
      <c r="T3">
        <f t="shared" si="4"/>
        <v>54.2</v>
      </c>
      <c r="U3">
        <f t="shared" si="4"/>
        <v>60.009</v>
      </c>
      <c r="V3">
        <f t="shared" si="4"/>
        <v>50</v>
      </c>
      <c r="W3">
        <f t="shared" si="4"/>
        <v>40</v>
      </c>
      <c r="X3">
        <f t="shared" si="4"/>
        <v>80</v>
      </c>
      <c r="Y3">
        <f t="shared" si="4"/>
        <v>80</v>
      </c>
      <c r="Z3">
        <f t="shared" si="4"/>
        <v>176.15</v>
      </c>
      <c r="AA3">
        <f t="shared" si="4"/>
        <v>170.75</v>
      </c>
      <c r="AB3">
        <f t="shared" si="4"/>
        <v>126.05</v>
      </c>
      <c r="AC3">
        <f t="shared" si="4"/>
        <v>148.04</v>
      </c>
      <c r="AD3">
        <f t="shared" si="4"/>
        <v>1.5780000000000001</v>
      </c>
      <c r="AE3">
        <f t="shared" si="4"/>
        <v>1.671</v>
      </c>
      <c r="AF3">
        <f t="shared" si="4"/>
        <v>1.413</v>
      </c>
      <c r="AG3">
        <f t="shared" si="4"/>
        <v>1.466</v>
      </c>
      <c r="AH3">
        <f t="shared" si="4"/>
        <v>50.87</v>
      </c>
      <c r="AI3">
        <f t="shared" si="4"/>
        <v>49.22</v>
      </c>
      <c r="AJ3">
        <f t="shared" si="4"/>
        <v>59.55</v>
      </c>
      <c r="AK3">
        <f t="shared" si="4"/>
        <v>58.82</v>
      </c>
      <c r="AL3">
        <f t="shared" si="4"/>
        <v>504.18099999999998</v>
      </c>
      <c r="AM3">
        <f t="shared" si="4"/>
        <v>556.66800000000001</v>
      </c>
      <c r="AN3">
        <f t="shared" si="4"/>
        <v>614.90499999999997</v>
      </c>
      <c r="AO3">
        <f t="shared" si="4"/>
        <v>591.52499999999998</v>
      </c>
      <c r="AP3">
        <f t="shared" si="4"/>
        <v>1.2310000000000001</v>
      </c>
      <c r="AQ3">
        <f t="shared" si="4"/>
        <v>1.7430000000000001</v>
      </c>
      <c r="AR3">
        <f t="shared" si="4"/>
        <v>36.267000000000003</v>
      </c>
      <c r="AS3">
        <f t="shared" si="4"/>
        <v>31.879000000000001</v>
      </c>
      <c r="AT3">
        <f t="shared" si="4"/>
        <v>82</v>
      </c>
      <c r="AU3">
        <f t="shared" si="4"/>
        <v>98</v>
      </c>
      <c r="AV3">
        <f t="shared" si="4"/>
        <v>1.7729999999999999</v>
      </c>
      <c r="AW3">
        <f t="shared" si="4"/>
        <v>4.3868</v>
      </c>
      <c r="AX3">
        <f t="shared" si="4"/>
        <v>1007.7</v>
      </c>
      <c r="AY3">
        <f t="shared" si="4"/>
        <v>1.85</v>
      </c>
      <c r="AZ3">
        <f t="shared" si="4"/>
        <v>5.21</v>
      </c>
      <c r="BA3">
        <f t="shared" si="4"/>
        <v>64.099999999999994</v>
      </c>
      <c r="BB3">
        <f t="shared" si="4"/>
        <v>65.709000000000003</v>
      </c>
      <c r="BC3">
        <f t="shared" si="4"/>
        <v>7622</v>
      </c>
      <c r="BD3">
        <f t="shared" si="4"/>
        <v>87.75</v>
      </c>
      <c r="BE3">
        <f t="shared" si="4"/>
        <v>12.935</v>
      </c>
      <c r="BF3">
        <f t="shared" si="4"/>
        <v>11.16</v>
      </c>
      <c r="BG3">
        <f t="shared" si="4"/>
        <v>24.96</v>
      </c>
      <c r="BH3">
        <f t="shared" si="4"/>
        <v>24.26</v>
      </c>
      <c r="BI3">
        <f t="shared" si="4"/>
        <v>63.195</v>
      </c>
      <c r="BJ3">
        <f t="shared" si="4"/>
        <v>70.73</v>
      </c>
      <c r="BK3">
        <f t="shared" si="4"/>
        <v>61.938000000000002</v>
      </c>
      <c r="BL3">
        <f t="shared" si="4"/>
        <v>59.728000000000002</v>
      </c>
      <c r="BM3">
        <f t="shared" si="4"/>
        <v>77.62</v>
      </c>
      <c r="BN3">
        <f t="shared" si="4"/>
        <v>96.263999999999996</v>
      </c>
      <c r="BO3">
        <f t="shared" si="4"/>
        <v>92.632000000000005</v>
      </c>
      <c r="BP3">
        <f t="shared" si="4"/>
        <v>88.135999999999996</v>
      </c>
      <c r="BQ3">
        <f t="shared" ref="BQ3:EB3" si="5">MIN(BQ8:BQ108)</f>
        <v>93.367999999999995</v>
      </c>
      <c r="BR3">
        <f t="shared" si="5"/>
        <v>58.741</v>
      </c>
      <c r="BS3">
        <f t="shared" si="5"/>
        <v>25.9</v>
      </c>
      <c r="BT3">
        <f t="shared" si="5"/>
        <v>6255.1989999999996</v>
      </c>
      <c r="BU3">
        <f t="shared" si="5"/>
        <v>26.334</v>
      </c>
      <c r="BV3">
        <f t="shared" si="5"/>
        <v>52.93</v>
      </c>
      <c r="BW3">
        <f t="shared" si="5"/>
        <v>53.564999999999998</v>
      </c>
      <c r="BX3">
        <f t="shared" si="5"/>
        <v>55.298000000000002</v>
      </c>
      <c r="BY3">
        <f t="shared" si="5"/>
        <v>1.284</v>
      </c>
      <c r="BZ3">
        <f t="shared" si="5"/>
        <v>1.843</v>
      </c>
      <c r="CA3">
        <f t="shared" si="5"/>
        <v>2.2930000000000001</v>
      </c>
      <c r="CB3">
        <f t="shared" si="5"/>
        <v>2.1930000000000001</v>
      </c>
      <c r="CC3">
        <f t="shared" si="5"/>
        <v>0.80900000000000005</v>
      </c>
      <c r="CD3">
        <f t="shared" si="5"/>
        <v>1.9790000000000001</v>
      </c>
      <c r="CE3">
        <f t="shared" si="5"/>
        <v>1.125</v>
      </c>
      <c r="CF3">
        <f t="shared" si="5"/>
        <v>1.925</v>
      </c>
      <c r="CG3">
        <f t="shared" si="5"/>
        <v>13.632999999999999</v>
      </c>
      <c r="CH3">
        <f t="shared" si="5"/>
        <v>9.7759999999999998</v>
      </c>
      <c r="CI3">
        <f t="shared" si="5"/>
        <v>2.3690000000000002</v>
      </c>
      <c r="CJ3">
        <f t="shared" si="5"/>
        <v>-748.80399999999997</v>
      </c>
      <c r="CK3">
        <f t="shared" si="5"/>
        <v>0.92900000000000005</v>
      </c>
      <c r="CL3">
        <f t="shared" si="5"/>
        <v>0</v>
      </c>
      <c r="CM3">
        <f t="shared" si="5"/>
        <v>0</v>
      </c>
      <c r="CN3">
        <f t="shared" si="5"/>
        <v>0</v>
      </c>
      <c r="CO3">
        <f t="shared" si="5"/>
        <v>0</v>
      </c>
      <c r="CP3">
        <f t="shared" si="5"/>
        <v>76.325000000000003</v>
      </c>
      <c r="CQ3">
        <f t="shared" si="5"/>
        <v>74.010999999999996</v>
      </c>
      <c r="CR3">
        <f t="shared" si="5"/>
        <v>70.13</v>
      </c>
      <c r="CS3">
        <f t="shared" si="5"/>
        <v>74.073999999999998</v>
      </c>
      <c r="CT3">
        <f t="shared" si="5"/>
        <v>0.22700000000000001</v>
      </c>
      <c r="CU3">
        <f t="shared" si="5"/>
        <v>0.499</v>
      </c>
      <c r="CV3">
        <f t="shared" si="5"/>
        <v>0.99299999999999999</v>
      </c>
      <c r="CW3">
        <f t="shared" si="5"/>
        <v>0.498</v>
      </c>
      <c r="CX3">
        <f t="shared" si="5"/>
        <v>0.89800000000000002</v>
      </c>
      <c r="CY3">
        <f t="shared" si="5"/>
        <v>0.39700000000000002</v>
      </c>
      <c r="CZ3">
        <f t="shared" si="5"/>
        <v>0.501</v>
      </c>
      <c r="DA3">
        <f t="shared" si="5"/>
        <v>0.5</v>
      </c>
      <c r="DB3">
        <f t="shared" si="5"/>
        <v>0.60299999999999998</v>
      </c>
      <c r="DC3">
        <f t="shared" si="5"/>
        <v>0</v>
      </c>
      <c r="DD3">
        <f t="shared" si="5"/>
        <v>0</v>
      </c>
      <c r="DE3">
        <f t="shared" si="5"/>
        <v>0.04</v>
      </c>
      <c r="DF3">
        <f t="shared" si="5"/>
        <v>1.7999999999999999E-2</v>
      </c>
      <c r="DG3">
        <f t="shared" si="5"/>
        <v>0.109</v>
      </c>
      <c r="DH3">
        <f t="shared" si="5"/>
        <v>1.266</v>
      </c>
      <c r="DI3">
        <f t="shared" si="5"/>
        <v>0.61899999999999999</v>
      </c>
      <c r="DJ3">
        <f t="shared" si="5"/>
        <v>-6.6000000000000003E-2</v>
      </c>
      <c r="DK3">
        <f t="shared" si="5"/>
        <v>0.51700000000000002</v>
      </c>
      <c r="DL3">
        <f t="shared" si="5"/>
        <v>0.39500000000000002</v>
      </c>
      <c r="DM3">
        <f t="shared" si="5"/>
        <v>-3.8029999999999999</v>
      </c>
      <c r="DN3">
        <f t="shared" si="5"/>
        <v>-9.8000000000000007</v>
      </c>
      <c r="DO3">
        <f t="shared" si="5"/>
        <v>-6.9000000000000006E-2</v>
      </c>
      <c r="DP3">
        <f t="shared" si="5"/>
        <v>61.99</v>
      </c>
      <c r="DQ3">
        <f t="shared" si="5"/>
        <v>56.906999999999996</v>
      </c>
      <c r="DR3">
        <f t="shared" si="5"/>
        <v>50.837000000000003</v>
      </c>
      <c r="DS3">
        <f t="shared" si="5"/>
        <v>50.267000000000003</v>
      </c>
      <c r="DT3">
        <f t="shared" si="5"/>
        <v>0.75</v>
      </c>
      <c r="DU3">
        <f t="shared" si="5"/>
        <v>0.84</v>
      </c>
      <c r="DV3">
        <f t="shared" si="5"/>
        <v>1.91</v>
      </c>
      <c r="DW3">
        <f t="shared" si="5"/>
        <v>1.68</v>
      </c>
      <c r="DX3">
        <f t="shared" si="5"/>
        <v>0.79</v>
      </c>
      <c r="DY3">
        <f t="shared" si="5"/>
        <v>0.83</v>
      </c>
      <c r="DZ3">
        <f t="shared" si="5"/>
        <v>1.82</v>
      </c>
      <c r="EA3">
        <f t="shared" si="5"/>
        <v>1.65</v>
      </c>
      <c r="EB3">
        <f t="shared" si="5"/>
        <v>13.88</v>
      </c>
      <c r="EC3">
        <f t="shared" ref="EC3:GN3" si="6">MIN(EC8:EC108)</f>
        <v>16.11</v>
      </c>
      <c r="ED3">
        <f t="shared" si="6"/>
        <v>22.7</v>
      </c>
      <c r="EE3">
        <f t="shared" si="6"/>
        <v>11.09</v>
      </c>
      <c r="EF3">
        <f t="shared" si="6"/>
        <v>43.45</v>
      </c>
      <c r="EG3">
        <f t="shared" si="6"/>
        <v>44.76</v>
      </c>
      <c r="EH3">
        <f t="shared" si="6"/>
        <v>38.19</v>
      </c>
      <c r="EI3">
        <f t="shared" si="6"/>
        <v>40.619999999999997</v>
      </c>
      <c r="EJ3">
        <f t="shared" si="6"/>
        <v>4.8289999999999997</v>
      </c>
      <c r="EK3">
        <f t="shared" si="6"/>
        <v>51.146000000000001</v>
      </c>
      <c r="EL3">
        <f t="shared" si="6"/>
        <v>1.55</v>
      </c>
      <c r="EM3">
        <f t="shared" si="6"/>
        <v>1.2</v>
      </c>
      <c r="EN3">
        <f t="shared" si="6"/>
        <v>1.06</v>
      </c>
      <c r="EO3">
        <f t="shared" si="6"/>
        <v>1.06</v>
      </c>
      <c r="EP3">
        <f t="shared" si="6"/>
        <v>-124.61799999999999</v>
      </c>
      <c r="EQ3">
        <f t="shared" si="6"/>
        <v>-3.1680000000000001</v>
      </c>
      <c r="ER3">
        <f t="shared" si="6"/>
        <v>63.722000000000001</v>
      </c>
      <c r="ES3">
        <f t="shared" si="6"/>
        <v>0.23400000000000001</v>
      </c>
      <c r="ET3">
        <f t="shared" si="6"/>
        <v>0.253</v>
      </c>
      <c r="EU3">
        <f t="shared" si="6"/>
        <v>0.22600000000000001</v>
      </c>
      <c r="EV3">
        <f t="shared" si="6"/>
        <v>6.6539999999999999</v>
      </c>
      <c r="EW3">
        <f t="shared" si="6"/>
        <v>1.0999999999999999E-2</v>
      </c>
      <c r="EX3">
        <f t="shared" si="6"/>
        <v>-451.18</v>
      </c>
      <c r="EY3">
        <f t="shared" si="6"/>
        <v>0</v>
      </c>
      <c r="EZ3">
        <f t="shared" si="6"/>
        <v>0</v>
      </c>
      <c r="FA3">
        <f t="shared" si="6"/>
        <v>0</v>
      </c>
      <c r="FB3">
        <f t="shared" si="6"/>
        <v>1.3740000000000001</v>
      </c>
      <c r="FC3">
        <f t="shared" si="6"/>
        <v>55.045000000000002</v>
      </c>
      <c r="FD3">
        <f t="shared" si="6"/>
        <v>52.567999999999998</v>
      </c>
      <c r="FE3">
        <f t="shared" si="6"/>
        <v>53.552999999999997</v>
      </c>
      <c r="FF3">
        <f t="shared" si="6"/>
        <v>53.878999999999998</v>
      </c>
      <c r="FG3">
        <f t="shared" si="6"/>
        <v>0.91300000000000003</v>
      </c>
      <c r="FH3">
        <f t="shared" si="6"/>
        <v>0.91400000000000003</v>
      </c>
      <c r="FI3">
        <f t="shared" si="6"/>
        <v>0.98299999999999998</v>
      </c>
      <c r="FJ3">
        <f t="shared" si="6"/>
        <v>0.98699999999999999</v>
      </c>
      <c r="FK3">
        <f t="shared" si="6"/>
        <v>0</v>
      </c>
      <c r="FL3">
        <f t="shared" si="6"/>
        <v>82</v>
      </c>
      <c r="FM3">
        <f t="shared" si="6"/>
        <v>3.07</v>
      </c>
      <c r="FN3">
        <f t="shared" si="6"/>
        <v>-0.93</v>
      </c>
      <c r="FO3">
        <f t="shared" si="6"/>
        <v>5.12</v>
      </c>
      <c r="FP3">
        <f t="shared" si="6"/>
        <v>0.15</v>
      </c>
      <c r="FQ3">
        <f t="shared" si="6"/>
        <v>0.3</v>
      </c>
      <c r="FR3">
        <f t="shared" si="6"/>
        <v>4.95</v>
      </c>
      <c r="FS3">
        <f t="shared" si="6"/>
        <v>6.2515000000000001</v>
      </c>
      <c r="FT3">
        <f t="shared" si="6"/>
        <v>1065.8</v>
      </c>
      <c r="FU3">
        <f t="shared" si="6"/>
        <v>6.27</v>
      </c>
      <c r="FV3">
        <f t="shared" si="6"/>
        <v>4.72</v>
      </c>
      <c r="FW3">
        <f t="shared" si="6"/>
        <v>3047.5</v>
      </c>
      <c r="FX3">
        <f t="shared" si="6"/>
        <v>161700</v>
      </c>
      <c r="FY3">
        <f t="shared" si="6"/>
        <v>162300</v>
      </c>
      <c r="FZ3">
        <f t="shared" si="6"/>
        <v>47.250999999999998</v>
      </c>
      <c r="GA3">
        <f t="shared" si="6"/>
        <v>46.601999999999997</v>
      </c>
      <c r="GB3">
        <f t="shared" si="6"/>
        <v>2130.1999999999998</v>
      </c>
      <c r="GC3">
        <f t="shared" si="6"/>
        <v>2132.1999999999998</v>
      </c>
      <c r="GD3">
        <f t="shared" si="6"/>
        <v>2184</v>
      </c>
      <c r="GE3">
        <f t="shared" si="6"/>
        <v>2177.1999999999998</v>
      </c>
      <c r="GF3">
        <f t="shared" si="6"/>
        <v>1143.6719000000001</v>
      </c>
      <c r="GG3">
        <f t="shared" si="6"/>
        <v>24</v>
      </c>
      <c r="GH3">
        <f t="shared" si="6"/>
        <v>24.2</v>
      </c>
      <c r="GI3">
        <f t="shared" si="6"/>
        <v>47</v>
      </c>
      <c r="GJ3">
        <f t="shared" si="6"/>
        <v>51.4</v>
      </c>
      <c r="GK3">
        <f t="shared" si="6"/>
        <v>95</v>
      </c>
      <c r="GL3">
        <f t="shared" si="6"/>
        <v>73.7</v>
      </c>
      <c r="GM3">
        <f t="shared" si="6"/>
        <v>0</v>
      </c>
      <c r="GN3">
        <f t="shared" si="6"/>
        <v>25.346</v>
      </c>
      <c r="GO3">
        <f t="shared" ref="GO3:HM3" si="7">MIN(GO8:GO108)</f>
        <v>63.722000000000001</v>
      </c>
      <c r="GP3">
        <f t="shared" si="7"/>
        <v>0</v>
      </c>
      <c r="GQ3">
        <f t="shared" si="7"/>
        <v>1.8879999999999999</v>
      </c>
      <c r="GR3">
        <f t="shared" si="7"/>
        <v>0</v>
      </c>
      <c r="GS3">
        <f t="shared" si="7"/>
        <v>1.9470000000000001</v>
      </c>
      <c r="GT3">
        <f t="shared" si="7"/>
        <v>0</v>
      </c>
      <c r="GU3">
        <f t="shared" si="7"/>
        <v>1.829</v>
      </c>
      <c r="GV3">
        <f t="shared" si="7"/>
        <v>0</v>
      </c>
      <c r="GW3">
        <f t="shared" si="7"/>
        <v>2.145</v>
      </c>
      <c r="GX3">
        <f t="shared" si="7"/>
        <v>14.994</v>
      </c>
      <c r="GY3">
        <f t="shared" si="7"/>
        <v>0</v>
      </c>
      <c r="GZ3">
        <f t="shared" si="7"/>
        <v>0</v>
      </c>
      <c r="HA3">
        <f t="shared" si="7"/>
        <v>0</v>
      </c>
      <c r="HB3">
        <f t="shared" si="7"/>
        <v>0</v>
      </c>
      <c r="HC3">
        <f t="shared" si="7"/>
        <v>16.163</v>
      </c>
      <c r="HD3">
        <f t="shared" si="7"/>
        <v>78</v>
      </c>
      <c r="HE3">
        <f t="shared" si="7"/>
        <v>0</v>
      </c>
      <c r="HF3">
        <f t="shared" si="7"/>
        <v>0</v>
      </c>
      <c r="HG3">
        <f t="shared" si="7"/>
        <v>72.27</v>
      </c>
      <c r="HH3">
        <f t="shared" si="7"/>
        <v>78.099999999999994</v>
      </c>
      <c r="HI3">
        <f t="shared" si="7"/>
        <v>0</v>
      </c>
      <c r="HJ3">
        <f t="shared" si="7"/>
        <v>0</v>
      </c>
      <c r="HK3">
        <f t="shared" si="7"/>
        <v>0</v>
      </c>
      <c r="HL3">
        <f t="shared" si="7"/>
        <v>57</v>
      </c>
      <c r="HM3">
        <f t="shared" si="7"/>
        <v>50</v>
      </c>
      <c r="HN3">
        <f t="shared" ref="HN3:HZ3" si="8">MIN(HN8:HN108)</f>
        <v>58</v>
      </c>
      <c r="HO3">
        <f t="shared" si="8"/>
        <v>53</v>
      </c>
      <c r="HP3">
        <f t="shared" si="8"/>
        <v>56</v>
      </c>
      <c r="HQ3">
        <f t="shared" si="8"/>
        <v>54</v>
      </c>
      <c r="HR3">
        <f t="shared" si="8"/>
        <v>45</v>
      </c>
      <c r="HS3">
        <f t="shared" si="8"/>
        <v>58</v>
      </c>
      <c r="HT3">
        <f t="shared" si="8"/>
        <v>-1.357</v>
      </c>
      <c r="HU3">
        <f t="shared" si="8"/>
        <v>0</v>
      </c>
      <c r="HV3">
        <f t="shared" si="8"/>
        <v>-0.95499999999999996</v>
      </c>
      <c r="HW3">
        <f t="shared" si="8"/>
        <v>34.18</v>
      </c>
      <c r="HX3">
        <f t="shared" si="8"/>
        <v>37.36</v>
      </c>
      <c r="HY3">
        <f t="shared" si="8"/>
        <v>46.76</v>
      </c>
      <c r="HZ3">
        <f t="shared" si="8"/>
        <v>55.69</v>
      </c>
      <c r="IA3">
        <f>MIN(IA8:IA108)</f>
        <v>1.9990000000000001</v>
      </c>
    </row>
    <row r="4" spans="1:254" x14ac:dyDescent="0.25">
      <c r="B4">
        <f>COLUMN(B1)</f>
        <v>2</v>
      </c>
      <c r="C4">
        <f t="shared" ref="C4:BN4" si="9">COLUMN(C1)</f>
        <v>3</v>
      </c>
      <c r="D4">
        <f t="shared" si="9"/>
        <v>4</v>
      </c>
      <c r="E4">
        <f t="shared" si="9"/>
        <v>5</v>
      </c>
      <c r="F4">
        <f t="shared" si="9"/>
        <v>6</v>
      </c>
      <c r="G4">
        <f t="shared" si="9"/>
        <v>7</v>
      </c>
      <c r="H4">
        <f t="shared" si="9"/>
        <v>8</v>
      </c>
      <c r="I4">
        <f t="shared" si="9"/>
        <v>9</v>
      </c>
      <c r="J4">
        <f t="shared" si="9"/>
        <v>10</v>
      </c>
      <c r="K4">
        <f t="shared" si="9"/>
        <v>11</v>
      </c>
      <c r="L4">
        <f t="shared" si="9"/>
        <v>12</v>
      </c>
      <c r="M4">
        <f t="shared" si="9"/>
        <v>13</v>
      </c>
      <c r="N4">
        <f t="shared" si="9"/>
        <v>14</v>
      </c>
      <c r="O4">
        <f t="shared" si="9"/>
        <v>15</v>
      </c>
      <c r="P4">
        <f t="shared" si="9"/>
        <v>16</v>
      </c>
      <c r="Q4">
        <f t="shared" si="9"/>
        <v>17</v>
      </c>
      <c r="R4">
        <f t="shared" si="9"/>
        <v>18</v>
      </c>
      <c r="S4">
        <f t="shared" si="9"/>
        <v>19</v>
      </c>
      <c r="T4">
        <f t="shared" si="9"/>
        <v>20</v>
      </c>
      <c r="U4">
        <f t="shared" si="9"/>
        <v>21</v>
      </c>
      <c r="V4">
        <f t="shared" si="9"/>
        <v>22</v>
      </c>
      <c r="W4">
        <f t="shared" si="9"/>
        <v>23</v>
      </c>
      <c r="X4">
        <f t="shared" si="9"/>
        <v>24</v>
      </c>
      <c r="Y4">
        <f t="shared" si="9"/>
        <v>25</v>
      </c>
      <c r="Z4">
        <f t="shared" si="9"/>
        <v>26</v>
      </c>
      <c r="AA4">
        <f t="shared" si="9"/>
        <v>27</v>
      </c>
      <c r="AB4">
        <f t="shared" si="9"/>
        <v>28</v>
      </c>
      <c r="AC4">
        <f t="shared" si="9"/>
        <v>29</v>
      </c>
      <c r="AD4">
        <f t="shared" si="9"/>
        <v>30</v>
      </c>
      <c r="AE4">
        <f t="shared" si="9"/>
        <v>31</v>
      </c>
      <c r="AF4">
        <f t="shared" si="9"/>
        <v>32</v>
      </c>
      <c r="AG4">
        <f t="shared" si="9"/>
        <v>33</v>
      </c>
      <c r="AH4">
        <f t="shared" si="9"/>
        <v>34</v>
      </c>
      <c r="AI4">
        <f t="shared" si="9"/>
        <v>35</v>
      </c>
      <c r="AJ4">
        <f t="shared" si="9"/>
        <v>36</v>
      </c>
      <c r="AK4">
        <f t="shared" si="9"/>
        <v>37</v>
      </c>
      <c r="AL4">
        <f t="shared" si="9"/>
        <v>38</v>
      </c>
      <c r="AM4">
        <f t="shared" si="9"/>
        <v>39</v>
      </c>
      <c r="AN4">
        <f t="shared" si="9"/>
        <v>40</v>
      </c>
      <c r="AO4">
        <f t="shared" si="9"/>
        <v>41</v>
      </c>
      <c r="AP4">
        <f t="shared" si="9"/>
        <v>42</v>
      </c>
      <c r="AQ4">
        <f t="shared" si="9"/>
        <v>43</v>
      </c>
      <c r="AR4">
        <f t="shared" si="9"/>
        <v>44</v>
      </c>
      <c r="AS4">
        <f t="shared" si="9"/>
        <v>45</v>
      </c>
      <c r="AT4">
        <f t="shared" si="9"/>
        <v>46</v>
      </c>
      <c r="AU4">
        <f t="shared" si="9"/>
        <v>47</v>
      </c>
      <c r="AV4">
        <f t="shared" si="9"/>
        <v>48</v>
      </c>
      <c r="AW4">
        <f t="shared" si="9"/>
        <v>49</v>
      </c>
      <c r="AX4">
        <f t="shared" si="9"/>
        <v>50</v>
      </c>
      <c r="AY4">
        <f t="shared" si="9"/>
        <v>51</v>
      </c>
      <c r="AZ4">
        <f t="shared" si="9"/>
        <v>52</v>
      </c>
      <c r="BA4">
        <f t="shared" si="9"/>
        <v>53</v>
      </c>
      <c r="BB4">
        <f t="shared" si="9"/>
        <v>54</v>
      </c>
      <c r="BC4">
        <f t="shared" si="9"/>
        <v>55</v>
      </c>
      <c r="BD4">
        <f t="shared" si="9"/>
        <v>56</v>
      </c>
      <c r="BE4">
        <f t="shared" si="9"/>
        <v>57</v>
      </c>
      <c r="BF4">
        <f t="shared" si="9"/>
        <v>58</v>
      </c>
      <c r="BG4">
        <f t="shared" si="9"/>
        <v>59</v>
      </c>
      <c r="BH4">
        <f t="shared" si="9"/>
        <v>60</v>
      </c>
      <c r="BI4">
        <f t="shared" si="9"/>
        <v>61</v>
      </c>
      <c r="BJ4">
        <f t="shared" si="9"/>
        <v>62</v>
      </c>
      <c r="BK4">
        <f t="shared" si="9"/>
        <v>63</v>
      </c>
      <c r="BL4">
        <f t="shared" si="9"/>
        <v>64</v>
      </c>
      <c r="BM4">
        <f t="shared" si="9"/>
        <v>65</v>
      </c>
      <c r="BN4">
        <f t="shared" si="9"/>
        <v>66</v>
      </c>
      <c r="BO4">
        <f t="shared" ref="BO4:DZ4" si="10">COLUMN(BO1)</f>
        <v>67</v>
      </c>
      <c r="BP4">
        <f t="shared" si="10"/>
        <v>68</v>
      </c>
      <c r="BQ4">
        <f t="shared" si="10"/>
        <v>69</v>
      </c>
      <c r="BR4">
        <f t="shared" si="10"/>
        <v>70</v>
      </c>
      <c r="BS4">
        <f t="shared" si="10"/>
        <v>71</v>
      </c>
      <c r="BT4">
        <f t="shared" si="10"/>
        <v>72</v>
      </c>
      <c r="BU4">
        <f t="shared" si="10"/>
        <v>73</v>
      </c>
      <c r="BV4">
        <f t="shared" si="10"/>
        <v>74</v>
      </c>
      <c r="BW4">
        <f t="shared" si="10"/>
        <v>75</v>
      </c>
      <c r="BX4">
        <f t="shared" si="10"/>
        <v>76</v>
      </c>
      <c r="BY4">
        <f t="shared" si="10"/>
        <v>77</v>
      </c>
      <c r="BZ4">
        <f t="shared" si="10"/>
        <v>78</v>
      </c>
      <c r="CA4">
        <f t="shared" si="10"/>
        <v>79</v>
      </c>
      <c r="CB4">
        <f t="shared" si="10"/>
        <v>80</v>
      </c>
      <c r="CC4">
        <f t="shared" si="10"/>
        <v>81</v>
      </c>
      <c r="CD4">
        <f t="shared" si="10"/>
        <v>82</v>
      </c>
      <c r="CE4">
        <f t="shared" si="10"/>
        <v>83</v>
      </c>
      <c r="CF4">
        <f t="shared" si="10"/>
        <v>84</v>
      </c>
      <c r="CG4">
        <f t="shared" si="10"/>
        <v>85</v>
      </c>
      <c r="CH4">
        <f t="shared" si="10"/>
        <v>86</v>
      </c>
      <c r="CI4">
        <f t="shared" si="10"/>
        <v>87</v>
      </c>
      <c r="CJ4">
        <f t="shared" si="10"/>
        <v>88</v>
      </c>
      <c r="CK4">
        <f t="shared" si="10"/>
        <v>89</v>
      </c>
      <c r="CL4">
        <f t="shared" si="10"/>
        <v>90</v>
      </c>
      <c r="CM4">
        <f t="shared" si="10"/>
        <v>91</v>
      </c>
      <c r="CN4">
        <f t="shared" si="10"/>
        <v>92</v>
      </c>
      <c r="CO4">
        <f t="shared" si="10"/>
        <v>93</v>
      </c>
      <c r="CP4">
        <f t="shared" si="10"/>
        <v>94</v>
      </c>
      <c r="CQ4">
        <f t="shared" si="10"/>
        <v>95</v>
      </c>
      <c r="CR4">
        <f t="shared" si="10"/>
        <v>96</v>
      </c>
      <c r="CS4">
        <f t="shared" si="10"/>
        <v>97</v>
      </c>
      <c r="CT4">
        <f t="shared" si="10"/>
        <v>98</v>
      </c>
      <c r="CU4">
        <f t="shared" si="10"/>
        <v>99</v>
      </c>
      <c r="CV4">
        <f t="shared" si="10"/>
        <v>100</v>
      </c>
      <c r="CW4">
        <f t="shared" si="10"/>
        <v>101</v>
      </c>
      <c r="CX4">
        <f t="shared" si="10"/>
        <v>102</v>
      </c>
      <c r="CY4">
        <f t="shared" si="10"/>
        <v>103</v>
      </c>
      <c r="CZ4">
        <f t="shared" si="10"/>
        <v>104</v>
      </c>
      <c r="DA4">
        <f t="shared" si="10"/>
        <v>105</v>
      </c>
      <c r="DB4">
        <f t="shared" si="10"/>
        <v>106</v>
      </c>
      <c r="DC4">
        <f t="shared" si="10"/>
        <v>107</v>
      </c>
      <c r="DD4">
        <f t="shared" si="10"/>
        <v>108</v>
      </c>
      <c r="DE4">
        <f t="shared" si="10"/>
        <v>109</v>
      </c>
      <c r="DF4">
        <f t="shared" si="10"/>
        <v>110</v>
      </c>
      <c r="DG4">
        <f t="shared" si="10"/>
        <v>111</v>
      </c>
      <c r="DH4">
        <f t="shared" si="10"/>
        <v>112</v>
      </c>
      <c r="DI4">
        <f t="shared" si="10"/>
        <v>113</v>
      </c>
      <c r="DJ4">
        <f t="shared" si="10"/>
        <v>114</v>
      </c>
      <c r="DK4">
        <f t="shared" si="10"/>
        <v>115</v>
      </c>
      <c r="DL4">
        <f t="shared" si="10"/>
        <v>116</v>
      </c>
      <c r="DM4">
        <f t="shared" si="10"/>
        <v>117</v>
      </c>
      <c r="DN4">
        <f t="shared" si="10"/>
        <v>118</v>
      </c>
      <c r="DO4">
        <f t="shared" si="10"/>
        <v>119</v>
      </c>
      <c r="DP4">
        <f t="shared" si="10"/>
        <v>120</v>
      </c>
      <c r="DQ4">
        <f t="shared" si="10"/>
        <v>121</v>
      </c>
      <c r="DR4">
        <f t="shared" si="10"/>
        <v>122</v>
      </c>
      <c r="DS4">
        <f t="shared" si="10"/>
        <v>123</v>
      </c>
      <c r="DT4">
        <f t="shared" si="10"/>
        <v>124</v>
      </c>
      <c r="DU4">
        <f t="shared" si="10"/>
        <v>125</v>
      </c>
      <c r="DV4">
        <f t="shared" si="10"/>
        <v>126</v>
      </c>
      <c r="DW4">
        <f t="shared" si="10"/>
        <v>127</v>
      </c>
      <c r="DX4">
        <f t="shared" si="10"/>
        <v>128</v>
      </c>
      <c r="DY4">
        <f t="shared" si="10"/>
        <v>129</v>
      </c>
      <c r="DZ4">
        <f t="shared" si="10"/>
        <v>130</v>
      </c>
      <c r="EA4">
        <f t="shared" ref="EA4:GL4" si="11">COLUMN(EA1)</f>
        <v>131</v>
      </c>
      <c r="EB4">
        <f t="shared" si="11"/>
        <v>132</v>
      </c>
      <c r="EC4">
        <f t="shared" si="11"/>
        <v>133</v>
      </c>
      <c r="ED4">
        <f t="shared" si="11"/>
        <v>134</v>
      </c>
      <c r="EE4">
        <f t="shared" si="11"/>
        <v>135</v>
      </c>
      <c r="EF4">
        <f t="shared" si="11"/>
        <v>136</v>
      </c>
      <c r="EG4">
        <f t="shared" si="11"/>
        <v>137</v>
      </c>
      <c r="EH4">
        <f t="shared" si="11"/>
        <v>138</v>
      </c>
      <c r="EI4">
        <f t="shared" si="11"/>
        <v>139</v>
      </c>
      <c r="EJ4">
        <f t="shared" si="11"/>
        <v>140</v>
      </c>
      <c r="EK4">
        <f t="shared" si="11"/>
        <v>141</v>
      </c>
      <c r="EL4">
        <f t="shared" si="11"/>
        <v>142</v>
      </c>
      <c r="EM4">
        <f t="shared" si="11"/>
        <v>143</v>
      </c>
      <c r="EN4">
        <f t="shared" si="11"/>
        <v>144</v>
      </c>
      <c r="EO4">
        <f t="shared" si="11"/>
        <v>145</v>
      </c>
      <c r="EP4">
        <f t="shared" si="11"/>
        <v>146</v>
      </c>
      <c r="EQ4">
        <f t="shared" si="11"/>
        <v>147</v>
      </c>
      <c r="ER4">
        <f t="shared" si="11"/>
        <v>148</v>
      </c>
      <c r="ES4">
        <f t="shared" si="11"/>
        <v>149</v>
      </c>
      <c r="ET4">
        <f t="shared" si="11"/>
        <v>150</v>
      </c>
      <c r="EU4">
        <f t="shared" si="11"/>
        <v>151</v>
      </c>
      <c r="EV4">
        <f t="shared" si="11"/>
        <v>152</v>
      </c>
      <c r="EW4">
        <f t="shared" si="11"/>
        <v>153</v>
      </c>
      <c r="EX4">
        <f t="shared" si="11"/>
        <v>154</v>
      </c>
      <c r="EY4">
        <f t="shared" si="11"/>
        <v>155</v>
      </c>
      <c r="EZ4">
        <f t="shared" si="11"/>
        <v>156</v>
      </c>
      <c r="FA4">
        <f t="shared" si="11"/>
        <v>157</v>
      </c>
      <c r="FB4">
        <f t="shared" si="11"/>
        <v>158</v>
      </c>
      <c r="FC4">
        <f t="shared" si="11"/>
        <v>159</v>
      </c>
      <c r="FD4">
        <f t="shared" si="11"/>
        <v>160</v>
      </c>
      <c r="FE4">
        <f t="shared" si="11"/>
        <v>161</v>
      </c>
      <c r="FF4">
        <f t="shared" si="11"/>
        <v>162</v>
      </c>
      <c r="FG4">
        <f t="shared" si="11"/>
        <v>163</v>
      </c>
      <c r="FH4">
        <f t="shared" si="11"/>
        <v>164</v>
      </c>
      <c r="FI4">
        <f t="shared" si="11"/>
        <v>165</v>
      </c>
      <c r="FJ4">
        <f t="shared" si="11"/>
        <v>166</v>
      </c>
      <c r="FK4">
        <f t="shared" si="11"/>
        <v>167</v>
      </c>
      <c r="FL4">
        <f t="shared" si="11"/>
        <v>168</v>
      </c>
      <c r="FM4">
        <f t="shared" si="11"/>
        <v>169</v>
      </c>
      <c r="FN4">
        <f t="shared" si="11"/>
        <v>170</v>
      </c>
      <c r="FO4">
        <f t="shared" si="11"/>
        <v>171</v>
      </c>
      <c r="FP4">
        <f t="shared" si="11"/>
        <v>172</v>
      </c>
      <c r="FQ4">
        <f t="shared" si="11"/>
        <v>173</v>
      </c>
      <c r="FR4">
        <f t="shared" si="11"/>
        <v>174</v>
      </c>
      <c r="FS4">
        <f t="shared" si="11"/>
        <v>175</v>
      </c>
      <c r="FT4">
        <f t="shared" si="11"/>
        <v>176</v>
      </c>
      <c r="FU4">
        <f t="shared" si="11"/>
        <v>177</v>
      </c>
      <c r="FV4">
        <f t="shared" si="11"/>
        <v>178</v>
      </c>
      <c r="FW4">
        <f t="shared" si="11"/>
        <v>179</v>
      </c>
      <c r="FX4">
        <f t="shared" si="11"/>
        <v>180</v>
      </c>
      <c r="FY4">
        <f t="shared" si="11"/>
        <v>181</v>
      </c>
      <c r="FZ4">
        <f t="shared" si="11"/>
        <v>182</v>
      </c>
      <c r="GA4">
        <f t="shared" si="11"/>
        <v>183</v>
      </c>
      <c r="GB4">
        <f t="shared" si="11"/>
        <v>184</v>
      </c>
      <c r="GC4">
        <f t="shared" si="11"/>
        <v>185</v>
      </c>
      <c r="GD4">
        <f t="shared" si="11"/>
        <v>186</v>
      </c>
      <c r="GE4">
        <f t="shared" si="11"/>
        <v>187</v>
      </c>
      <c r="GF4">
        <f t="shared" si="11"/>
        <v>188</v>
      </c>
      <c r="GG4">
        <f t="shared" si="11"/>
        <v>189</v>
      </c>
      <c r="GH4">
        <f t="shared" si="11"/>
        <v>190</v>
      </c>
      <c r="GI4">
        <f t="shared" si="11"/>
        <v>191</v>
      </c>
      <c r="GJ4">
        <f t="shared" si="11"/>
        <v>192</v>
      </c>
      <c r="GK4">
        <f t="shared" si="11"/>
        <v>193</v>
      </c>
      <c r="GL4">
        <f t="shared" si="11"/>
        <v>194</v>
      </c>
      <c r="GM4">
        <f t="shared" ref="GM4:IT4" si="12">COLUMN(GM1)</f>
        <v>195</v>
      </c>
      <c r="GN4">
        <f t="shared" si="12"/>
        <v>196</v>
      </c>
      <c r="GO4">
        <f t="shared" si="12"/>
        <v>197</v>
      </c>
      <c r="GP4">
        <f t="shared" si="12"/>
        <v>198</v>
      </c>
      <c r="GQ4">
        <f t="shared" si="12"/>
        <v>199</v>
      </c>
      <c r="GR4">
        <f t="shared" si="12"/>
        <v>200</v>
      </c>
      <c r="GS4">
        <f t="shared" si="12"/>
        <v>201</v>
      </c>
      <c r="GT4">
        <f t="shared" si="12"/>
        <v>202</v>
      </c>
      <c r="GU4">
        <f t="shared" si="12"/>
        <v>203</v>
      </c>
      <c r="GV4">
        <f t="shared" si="12"/>
        <v>204</v>
      </c>
      <c r="GW4">
        <f t="shared" si="12"/>
        <v>205</v>
      </c>
      <c r="GX4">
        <f t="shared" si="12"/>
        <v>206</v>
      </c>
      <c r="GY4">
        <f t="shared" si="12"/>
        <v>207</v>
      </c>
      <c r="GZ4">
        <f t="shared" si="12"/>
        <v>208</v>
      </c>
      <c r="HA4">
        <f t="shared" si="12"/>
        <v>209</v>
      </c>
      <c r="HB4">
        <f t="shared" si="12"/>
        <v>210</v>
      </c>
      <c r="HC4">
        <f t="shared" si="12"/>
        <v>211</v>
      </c>
      <c r="HD4">
        <f t="shared" si="12"/>
        <v>212</v>
      </c>
      <c r="HE4">
        <f t="shared" si="12"/>
        <v>213</v>
      </c>
      <c r="HF4">
        <f t="shared" si="12"/>
        <v>214</v>
      </c>
      <c r="HG4">
        <f t="shared" si="12"/>
        <v>215</v>
      </c>
      <c r="HH4">
        <f t="shared" si="12"/>
        <v>216</v>
      </c>
      <c r="HI4">
        <f t="shared" si="12"/>
        <v>217</v>
      </c>
      <c r="HJ4">
        <f t="shared" si="12"/>
        <v>218</v>
      </c>
      <c r="HK4">
        <f t="shared" si="12"/>
        <v>219</v>
      </c>
      <c r="HL4">
        <f t="shared" si="12"/>
        <v>220</v>
      </c>
      <c r="HM4">
        <f t="shared" si="12"/>
        <v>221</v>
      </c>
      <c r="HN4">
        <f t="shared" si="12"/>
        <v>222</v>
      </c>
      <c r="HO4">
        <f t="shared" si="12"/>
        <v>223</v>
      </c>
      <c r="HP4">
        <f t="shared" si="12"/>
        <v>224</v>
      </c>
      <c r="HQ4">
        <f t="shared" si="12"/>
        <v>225</v>
      </c>
      <c r="HR4">
        <f t="shared" si="12"/>
        <v>226</v>
      </c>
      <c r="HS4">
        <f t="shared" si="12"/>
        <v>227</v>
      </c>
      <c r="HT4">
        <f t="shared" si="12"/>
        <v>228</v>
      </c>
      <c r="HU4">
        <f t="shared" si="12"/>
        <v>229</v>
      </c>
      <c r="HV4">
        <f t="shared" si="12"/>
        <v>230</v>
      </c>
      <c r="HW4">
        <f t="shared" si="12"/>
        <v>231</v>
      </c>
      <c r="HX4">
        <f t="shared" si="12"/>
        <v>232</v>
      </c>
      <c r="HY4">
        <f t="shared" si="12"/>
        <v>233</v>
      </c>
      <c r="HZ4">
        <f t="shared" si="12"/>
        <v>234</v>
      </c>
      <c r="IA4">
        <f t="shared" si="12"/>
        <v>235</v>
      </c>
      <c r="IB4">
        <f t="shared" si="12"/>
        <v>236</v>
      </c>
      <c r="IC4">
        <f t="shared" si="12"/>
        <v>237</v>
      </c>
      <c r="ID4">
        <f t="shared" si="12"/>
        <v>238</v>
      </c>
      <c r="IE4">
        <f t="shared" si="12"/>
        <v>239</v>
      </c>
      <c r="IF4">
        <f t="shared" si="12"/>
        <v>240</v>
      </c>
      <c r="IG4">
        <f t="shared" si="12"/>
        <v>241</v>
      </c>
      <c r="IH4">
        <f t="shared" si="12"/>
        <v>242</v>
      </c>
      <c r="II4">
        <f t="shared" si="12"/>
        <v>243</v>
      </c>
      <c r="IJ4">
        <f t="shared" si="12"/>
        <v>244</v>
      </c>
      <c r="IK4">
        <f t="shared" si="12"/>
        <v>245</v>
      </c>
      <c r="IL4">
        <f t="shared" si="12"/>
        <v>246</v>
      </c>
      <c r="IM4">
        <f t="shared" si="12"/>
        <v>247</v>
      </c>
      <c r="IN4">
        <f t="shared" si="12"/>
        <v>248</v>
      </c>
      <c r="IO4">
        <f t="shared" si="12"/>
        <v>249</v>
      </c>
      <c r="IP4">
        <f t="shared" si="12"/>
        <v>250</v>
      </c>
      <c r="IQ4">
        <f t="shared" si="12"/>
        <v>251</v>
      </c>
      <c r="IR4">
        <f t="shared" si="12"/>
        <v>252</v>
      </c>
      <c r="IS4">
        <f t="shared" si="12"/>
        <v>253</v>
      </c>
      <c r="IT4">
        <f t="shared" si="12"/>
        <v>254</v>
      </c>
    </row>
    <row r="5" spans="1:254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259</v>
      </c>
      <c r="AQ5" s="1" t="s">
        <v>260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249</v>
      </c>
      <c r="BW5" s="1" t="s">
        <v>250</v>
      </c>
      <c r="BX5" s="1" t="s">
        <v>251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252</v>
      </c>
      <c r="DF5" s="1" t="s">
        <v>253</v>
      </c>
      <c r="DG5" s="1" t="s">
        <v>254</v>
      </c>
      <c r="DH5" s="1" t="s">
        <v>255</v>
      </c>
      <c r="DI5" s="1" t="s">
        <v>256</v>
      </c>
      <c r="DJ5" s="1" t="s">
        <v>257</v>
      </c>
      <c r="DK5" s="1" t="s">
        <v>258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  <c r="IS5" s="60" t="s">
        <v>409</v>
      </c>
      <c r="IT5" s="60" t="s">
        <v>410</v>
      </c>
    </row>
    <row r="6" spans="1:254" x14ac:dyDescent="0.25">
      <c r="A6" s="6" t="s">
        <v>137</v>
      </c>
      <c r="B6" s="2" t="s">
        <v>412</v>
      </c>
      <c r="C6" s="2" t="s">
        <v>41</v>
      </c>
      <c r="D6" s="2" t="s">
        <v>413</v>
      </c>
      <c r="E6" s="50">
        <v>1472.097</v>
      </c>
      <c r="F6" s="49">
        <v>326.04000000000002</v>
      </c>
      <c r="G6" s="49">
        <v>4.92</v>
      </c>
      <c r="H6" s="49">
        <v>26</v>
      </c>
      <c r="I6" s="50">
        <v>0</v>
      </c>
      <c r="J6" s="50">
        <v>1216.7</v>
      </c>
      <c r="K6" s="50">
        <v>8</v>
      </c>
      <c r="L6" s="50">
        <v>5</v>
      </c>
      <c r="M6" s="49">
        <v>5</v>
      </c>
      <c r="N6" s="50">
        <v>3</v>
      </c>
      <c r="O6" s="50">
        <v>3</v>
      </c>
      <c r="P6" s="50">
        <v>0.73099999999999998</v>
      </c>
      <c r="Q6" s="49">
        <v>1.04</v>
      </c>
      <c r="R6" s="49">
        <v>0.65900000000000003</v>
      </c>
      <c r="S6" s="50">
        <v>0.47899999999999998</v>
      </c>
      <c r="T6" s="49">
        <v>60.11</v>
      </c>
      <c r="U6" s="50">
        <v>60.767000000000003</v>
      </c>
      <c r="V6" s="50">
        <v>50</v>
      </c>
      <c r="W6" s="50">
        <v>40</v>
      </c>
      <c r="X6" s="50">
        <v>80</v>
      </c>
      <c r="Y6" s="50">
        <v>80</v>
      </c>
      <c r="Z6" s="49">
        <v>108.87</v>
      </c>
      <c r="AA6" s="49">
        <v>107.16</v>
      </c>
      <c r="AB6" s="49">
        <v>99.85</v>
      </c>
      <c r="AC6" s="49">
        <v>101.82</v>
      </c>
      <c r="AD6" s="49">
        <v>0.35</v>
      </c>
      <c r="AE6" s="49">
        <v>0.36499999999999999</v>
      </c>
      <c r="AF6" s="49">
        <v>0.36</v>
      </c>
      <c r="AG6" s="49">
        <v>0.372</v>
      </c>
      <c r="AH6" s="49">
        <v>-17.22</v>
      </c>
      <c r="AI6" s="49">
        <v>-17.77</v>
      </c>
      <c r="AJ6" s="49">
        <v>-13.43</v>
      </c>
      <c r="AK6" s="49">
        <v>-14.09</v>
      </c>
      <c r="AL6" s="49">
        <v>601.20500000000004</v>
      </c>
      <c r="AM6" s="49">
        <v>608.875</v>
      </c>
      <c r="AN6" s="49">
        <v>741.46</v>
      </c>
      <c r="AO6" s="49">
        <v>749.947</v>
      </c>
      <c r="AP6" s="50">
        <v>1.44</v>
      </c>
      <c r="AQ6" s="50">
        <v>1.966</v>
      </c>
      <c r="AR6" s="49">
        <v>40.575000000000003</v>
      </c>
      <c r="AS6" s="49">
        <v>33.262</v>
      </c>
      <c r="AT6" s="49">
        <v>82</v>
      </c>
      <c r="AU6" s="49">
        <v>85</v>
      </c>
      <c r="AV6" s="49">
        <v>2.6145</v>
      </c>
      <c r="AW6" s="50">
        <v>6.0892999999999997</v>
      </c>
      <c r="AX6" s="50">
        <v>1026.2</v>
      </c>
      <c r="AY6" s="49">
        <v>1.77</v>
      </c>
      <c r="AZ6" s="50">
        <v>0.22</v>
      </c>
      <c r="BA6" s="49">
        <v>135.893</v>
      </c>
      <c r="BB6" s="49">
        <v>130.47499999999999</v>
      </c>
      <c r="BC6" s="49">
        <v>7620</v>
      </c>
      <c r="BD6" s="49">
        <v>88.25</v>
      </c>
      <c r="BE6" s="49">
        <v>15.31</v>
      </c>
      <c r="BF6" s="49">
        <v>12.705</v>
      </c>
      <c r="BG6" s="49">
        <v>26.68</v>
      </c>
      <c r="BH6" s="49">
        <v>26.42</v>
      </c>
      <c r="BI6" s="50">
        <v>64.873999999999995</v>
      </c>
      <c r="BJ6" s="50">
        <v>81.978999999999999</v>
      </c>
      <c r="BK6" s="50">
        <v>63.066000000000003</v>
      </c>
      <c r="BL6" s="50">
        <v>78.775999999999996</v>
      </c>
      <c r="BM6" s="50">
        <v>79.712000000000003</v>
      </c>
      <c r="BN6" s="49">
        <v>83.24</v>
      </c>
      <c r="BO6" s="49">
        <v>84.84</v>
      </c>
      <c r="BP6" s="49">
        <v>87.367999999999995</v>
      </c>
      <c r="BQ6" s="49">
        <v>84.536000000000001</v>
      </c>
      <c r="BR6" s="49">
        <v>58.305</v>
      </c>
      <c r="BS6" s="49">
        <v>23.8</v>
      </c>
      <c r="BT6" s="49">
        <v>6634.9539999999997</v>
      </c>
      <c r="BU6" s="50">
        <v>56.116999999999997</v>
      </c>
      <c r="BV6" s="50">
        <v>57.186999999999998</v>
      </c>
      <c r="BW6" s="50">
        <v>57.765000000000001</v>
      </c>
      <c r="BX6" s="49">
        <v>57.493000000000002</v>
      </c>
      <c r="BY6" s="49">
        <v>1.5469999999999999</v>
      </c>
      <c r="BZ6" s="49">
        <v>2.367</v>
      </c>
      <c r="CA6" s="49">
        <v>2.85</v>
      </c>
      <c r="CB6" s="49">
        <v>3.5710000000000002</v>
      </c>
      <c r="CC6" s="49">
        <v>1.2110000000000001</v>
      </c>
      <c r="CD6" s="49">
        <v>2.6070000000000002</v>
      </c>
      <c r="CE6" s="50">
        <v>1.498</v>
      </c>
      <c r="CF6" s="50">
        <v>2.3279999999999998</v>
      </c>
      <c r="CG6" s="49">
        <v>13.023</v>
      </c>
      <c r="CH6" s="50">
        <v>9.9649999999999999</v>
      </c>
      <c r="CI6" s="50">
        <v>14.084</v>
      </c>
      <c r="CJ6" s="50">
        <v>15.163</v>
      </c>
      <c r="CK6" s="49">
        <v>1.0369999999999999</v>
      </c>
      <c r="CL6" s="49">
        <v>0</v>
      </c>
      <c r="CM6" s="49">
        <v>0</v>
      </c>
      <c r="CN6" s="49">
        <v>0</v>
      </c>
      <c r="CO6" s="49">
        <v>0</v>
      </c>
      <c r="CP6" s="49">
        <v>30.044</v>
      </c>
      <c r="CQ6" s="49">
        <v>30.678999999999998</v>
      </c>
      <c r="CR6" s="49">
        <v>31.998000000000001</v>
      </c>
      <c r="CS6" s="49">
        <v>30.033999999999999</v>
      </c>
      <c r="CT6" s="49">
        <v>0.379</v>
      </c>
      <c r="CU6" s="49">
        <v>0.999</v>
      </c>
      <c r="CV6" s="49">
        <v>1.595</v>
      </c>
      <c r="CW6" s="49">
        <v>0.89800000000000002</v>
      </c>
      <c r="CX6" s="49">
        <v>0.79900000000000004</v>
      </c>
      <c r="CY6" s="50">
        <v>0.79600000000000004</v>
      </c>
      <c r="CZ6" s="49">
        <v>1.101</v>
      </c>
      <c r="DA6" s="49">
        <v>0.9</v>
      </c>
      <c r="DB6" s="49">
        <v>0.998</v>
      </c>
      <c r="DC6" s="50">
        <v>0</v>
      </c>
      <c r="DD6" s="50">
        <v>0</v>
      </c>
      <c r="DE6" s="49">
        <v>0.05</v>
      </c>
      <c r="DF6" s="50">
        <v>0.106</v>
      </c>
      <c r="DG6" s="49">
        <v>0.193</v>
      </c>
      <c r="DH6" s="49">
        <v>0.90300000000000002</v>
      </c>
      <c r="DI6" s="49">
        <v>0.97299999999999998</v>
      </c>
      <c r="DJ6" s="50">
        <v>0.129</v>
      </c>
      <c r="DK6" s="50">
        <v>0.93700000000000006</v>
      </c>
      <c r="DL6" s="50">
        <v>0.41399999999999998</v>
      </c>
      <c r="DM6" s="50">
        <v>0.54600000000000004</v>
      </c>
      <c r="DN6" s="49">
        <v>0.156</v>
      </c>
      <c r="DO6" s="50">
        <v>0.372</v>
      </c>
      <c r="DP6" s="49">
        <v>62.255000000000003</v>
      </c>
      <c r="DQ6" s="49">
        <v>60.051000000000002</v>
      </c>
      <c r="DR6" s="49">
        <v>50.404000000000003</v>
      </c>
      <c r="DS6" s="49">
        <v>50.787999999999997</v>
      </c>
      <c r="DT6" s="49">
        <v>0.62</v>
      </c>
      <c r="DU6" s="49">
        <v>0.63</v>
      </c>
      <c r="DV6" s="49">
        <v>1.34</v>
      </c>
      <c r="DW6" s="49">
        <v>1.32</v>
      </c>
      <c r="DX6" s="49">
        <v>0.66</v>
      </c>
      <c r="DY6" s="49">
        <v>0.65</v>
      </c>
      <c r="DZ6" s="49">
        <v>1.22</v>
      </c>
      <c r="EA6" s="49">
        <v>1.22</v>
      </c>
      <c r="EB6" s="49">
        <v>8.9600000000000009</v>
      </c>
      <c r="EC6" s="50">
        <v>74.16</v>
      </c>
      <c r="ED6" s="50">
        <v>72.349999999999994</v>
      </c>
      <c r="EE6" s="50">
        <v>72.62</v>
      </c>
      <c r="EF6" s="50">
        <v>89.75</v>
      </c>
      <c r="EG6" s="49">
        <v>24.56</v>
      </c>
      <c r="EH6" s="49">
        <v>25.08</v>
      </c>
      <c r="EI6" s="49">
        <v>24.84</v>
      </c>
      <c r="EJ6" s="49">
        <v>2.2799999999999998</v>
      </c>
      <c r="EK6" s="49">
        <v>51.935000000000002</v>
      </c>
      <c r="EL6" s="49">
        <v>1.7</v>
      </c>
      <c r="EM6" s="50">
        <v>1.1000000000000001</v>
      </c>
      <c r="EN6" s="49">
        <v>1.06</v>
      </c>
      <c r="EO6" s="49">
        <v>1.07</v>
      </c>
      <c r="EP6" s="49">
        <v>-97.608000000000004</v>
      </c>
      <c r="EQ6" s="50">
        <v>-0.21099999999999999</v>
      </c>
      <c r="ER6" s="49">
        <v>91.608000000000004</v>
      </c>
      <c r="ES6" s="49">
        <v>0.36399999999999999</v>
      </c>
      <c r="ET6" s="49">
        <v>0.38100000000000001</v>
      </c>
      <c r="EU6" s="49">
        <v>0.35599999999999998</v>
      </c>
      <c r="EV6" s="49">
        <v>7.5869999999999997</v>
      </c>
      <c r="EW6" s="49">
        <v>0.63100000000000001</v>
      </c>
      <c r="EX6" s="49">
        <v>64.44</v>
      </c>
      <c r="EY6" s="49">
        <v>0.06</v>
      </c>
      <c r="EZ6" s="49">
        <v>0</v>
      </c>
      <c r="FA6" s="50">
        <v>0</v>
      </c>
      <c r="FB6" s="49">
        <v>1.718</v>
      </c>
      <c r="FC6" s="49">
        <v>16.218</v>
      </c>
      <c r="FD6" s="49">
        <v>16.056999999999999</v>
      </c>
      <c r="FE6" s="49">
        <v>18.628</v>
      </c>
      <c r="FF6" s="49">
        <v>17.942</v>
      </c>
      <c r="FG6" s="50">
        <v>1.0129999999999999</v>
      </c>
      <c r="FH6" s="50">
        <v>1.0169999999999999</v>
      </c>
      <c r="FI6" s="50">
        <v>1.0009999999999999</v>
      </c>
      <c r="FJ6" s="50">
        <v>1.0009999999999999</v>
      </c>
      <c r="FK6" s="50">
        <v>0.30199999999999999</v>
      </c>
      <c r="FL6" s="49">
        <v>82</v>
      </c>
      <c r="FM6" s="49">
        <v>2.7</v>
      </c>
      <c r="FN6" s="50">
        <v>-0.88</v>
      </c>
      <c r="FO6" s="50">
        <v>0.22</v>
      </c>
      <c r="FP6" s="50">
        <v>0.15</v>
      </c>
      <c r="FQ6" s="50">
        <v>0.55000000000000004</v>
      </c>
      <c r="FR6" s="49">
        <v>5.35</v>
      </c>
      <c r="FS6" s="50">
        <v>7.1734999999999998</v>
      </c>
      <c r="FT6" s="50">
        <v>1074.2</v>
      </c>
      <c r="FU6" s="49">
        <v>7.38</v>
      </c>
      <c r="FV6" s="49">
        <v>5.3</v>
      </c>
      <c r="FW6" s="50">
        <v>16383.5</v>
      </c>
      <c r="FX6" s="49">
        <v>164900</v>
      </c>
      <c r="FY6" s="49">
        <v>165700</v>
      </c>
      <c r="FZ6" s="50">
        <v>49.674999999999997</v>
      </c>
      <c r="GA6" s="50">
        <v>48.9</v>
      </c>
      <c r="GB6" s="49">
        <v>2241</v>
      </c>
      <c r="GC6" s="49">
        <v>2198.5</v>
      </c>
      <c r="GD6" s="49">
        <v>2247.5</v>
      </c>
      <c r="GE6" s="50">
        <v>2898.3</v>
      </c>
      <c r="GF6" s="49">
        <v>1423.4219000000001</v>
      </c>
      <c r="GG6" s="50">
        <v>32</v>
      </c>
      <c r="GH6" s="50">
        <v>32.1</v>
      </c>
      <c r="GI6" s="50">
        <v>71.400000000000006</v>
      </c>
      <c r="GJ6" s="50">
        <v>71.599999999999994</v>
      </c>
      <c r="GK6" s="50">
        <v>77</v>
      </c>
      <c r="GL6" s="49">
        <v>77.5</v>
      </c>
      <c r="GM6" s="50">
        <v>0</v>
      </c>
      <c r="GN6" s="49">
        <v>26.398</v>
      </c>
      <c r="GO6" s="49">
        <v>97.608000000000004</v>
      </c>
      <c r="GP6" s="50">
        <v>0</v>
      </c>
      <c r="GQ6" s="50">
        <v>5.782</v>
      </c>
      <c r="GR6" s="50">
        <v>0</v>
      </c>
      <c r="GS6" s="50">
        <v>6.0179999999999998</v>
      </c>
      <c r="GT6" s="50">
        <v>0</v>
      </c>
      <c r="GU6" s="50">
        <v>5.6050000000000004</v>
      </c>
      <c r="GV6" s="50">
        <v>0</v>
      </c>
      <c r="GW6" s="49">
        <v>3.0880000000000001</v>
      </c>
      <c r="GX6" s="50">
        <v>24.99</v>
      </c>
      <c r="GY6" s="50">
        <v>0</v>
      </c>
      <c r="GZ6" s="50">
        <v>0</v>
      </c>
      <c r="HA6" s="50">
        <v>0</v>
      </c>
      <c r="HB6" s="50">
        <v>1</v>
      </c>
      <c r="HC6" s="49">
        <v>19.847000000000001</v>
      </c>
      <c r="HD6" s="49">
        <v>78</v>
      </c>
      <c r="HE6" s="7">
        <v>0</v>
      </c>
      <c r="HF6" s="7">
        <v>0</v>
      </c>
      <c r="HG6" s="7">
        <v>85.44</v>
      </c>
      <c r="HH6" s="7">
        <v>80.36</v>
      </c>
      <c r="HI6" s="7">
        <v>0</v>
      </c>
      <c r="HJ6" s="7">
        <v>0</v>
      </c>
      <c r="HK6" s="7">
        <v>0</v>
      </c>
      <c r="HL6" s="7">
        <v>48</v>
      </c>
      <c r="HM6" s="7">
        <v>50</v>
      </c>
      <c r="HN6" s="7">
        <v>54</v>
      </c>
      <c r="HO6" s="7">
        <v>47</v>
      </c>
      <c r="HP6" s="7">
        <v>50</v>
      </c>
      <c r="HQ6" s="7">
        <v>48</v>
      </c>
      <c r="HR6" s="7">
        <v>43</v>
      </c>
      <c r="HS6" s="7">
        <v>56</v>
      </c>
      <c r="HT6" s="7">
        <v>-1.2035</v>
      </c>
      <c r="HU6" s="7">
        <v>0</v>
      </c>
      <c r="HV6" s="7">
        <v>0.435</v>
      </c>
      <c r="HW6" s="7">
        <v>40.130000000000003</v>
      </c>
      <c r="HX6" s="7">
        <v>45.89</v>
      </c>
      <c r="HY6" s="3"/>
      <c r="HZ6" s="3"/>
      <c r="IA6" s="7">
        <v>2.754</v>
      </c>
      <c r="IB6" s="7">
        <v>74</v>
      </c>
      <c r="IC6" s="7">
        <v>4.5720000000000001</v>
      </c>
      <c r="ID6" s="7">
        <v>-1.7999999999999999E-2</v>
      </c>
      <c r="IE6" s="7">
        <v>-8.9999999999999993E-3</v>
      </c>
      <c r="IF6" s="7">
        <v>823.1</v>
      </c>
      <c r="IG6" s="7">
        <v>243.6</v>
      </c>
      <c r="IH6" s="7">
        <v>824.3</v>
      </c>
      <c r="II6" s="7">
        <v>254.7</v>
      </c>
      <c r="IJ6" s="7">
        <v>-1E-3</v>
      </c>
      <c r="IK6" s="7">
        <v>-6.0000000000000001E-3</v>
      </c>
      <c r="IL6" s="7">
        <v>1299.348</v>
      </c>
      <c r="IM6" s="7">
        <v>1299.1679999999999</v>
      </c>
      <c r="IN6" s="7">
        <v>11.567</v>
      </c>
      <c r="IO6" s="7">
        <v>8.2000000000000003E-2</v>
      </c>
      <c r="IP6" s="7">
        <v>12.92</v>
      </c>
      <c r="IQ6" s="7">
        <v>2.5000000000000001E-2</v>
      </c>
      <c r="IR6" s="7">
        <v>7.4999999999999997E-2</v>
      </c>
      <c r="IS6" s="7">
        <v>2.5000000000000001E-2</v>
      </c>
      <c r="IT6" s="7">
        <v>7.4999999999999997E-2</v>
      </c>
    </row>
    <row r="7" spans="1:254" x14ac:dyDescent="0.25">
      <c r="B7" s="2" t="s">
        <v>412</v>
      </c>
      <c r="C7" s="2" t="s">
        <v>42</v>
      </c>
      <c r="D7" s="61">
        <v>2.5464120370370371E-3</v>
      </c>
      <c r="E7" s="49">
        <v>220.05</v>
      </c>
      <c r="F7" s="50">
        <v>332.23</v>
      </c>
      <c r="G7" s="49">
        <v>5.82</v>
      </c>
      <c r="H7" s="49">
        <v>27.4</v>
      </c>
      <c r="I7" s="50">
        <v>0</v>
      </c>
      <c r="J7" s="49">
        <v>11.6</v>
      </c>
      <c r="K7" s="50">
        <v>8</v>
      </c>
      <c r="L7" s="50">
        <v>5</v>
      </c>
      <c r="M7" s="49">
        <v>5</v>
      </c>
      <c r="N7" s="50">
        <v>3</v>
      </c>
      <c r="O7" s="50">
        <v>3</v>
      </c>
      <c r="P7" s="49">
        <v>0.67100000000000004</v>
      </c>
      <c r="Q7" s="50">
        <v>1.1910000000000001</v>
      </c>
      <c r="R7" s="50">
        <v>0.66500000000000004</v>
      </c>
      <c r="S7" s="3"/>
      <c r="T7" s="49">
        <v>72.61</v>
      </c>
      <c r="U7" s="49">
        <v>60.295000000000002</v>
      </c>
      <c r="V7" s="49">
        <v>273.33999999999997</v>
      </c>
      <c r="W7" s="49">
        <v>291.66000000000003</v>
      </c>
      <c r="X7" s="49">
        <v>195</v>
      </c>
      <c r="Y7" s="49">
        <v>228.34</v>
      </c>
      <c r="Z7" s="49">
        <v>436.41</v>
      </c>
      <c r="AA7" s="49">
        <v>453.95</v>
      </c>
      <c r="AB7" s="49">
        <v>360.91</v>
      </c>
      <c r="AC7" s="49">
        <v>428.63</v>
      </c>
      <c r="AD7" s="49">
        <v>1.8759999999999999</v>
      </c>
      <c r="AE7" s="50">
        <v>1.944</v>
      </c>
      <c r="AF7" s="49">
        <v>1.865</v>
      </c>
      <c r="AG7" s="49">
        <v>1.9419999999999999</v>
      </c>
      <c r="AH7" s="49">
        <v>80.78</v>
      </c>
      <c r="AI7" s="49">
        <v>77.069999999999993</v>
      </c>
      <c r="AJ7" s="49">
        <v>105.36</v>
      </c>
      <c r="AK7" s="49">
        <v>100.5</v>
      </c>
      <c r="AL7" s="49">
        <v>649.10799999999995</v>
      </c>
      <c r="AM7" s="49">
        <v>645.976</v>
      </c>
      <c r="AN7" s="49">
        <v>757.55</v>
      </c>
      <c r="AO7" s="49">
        <v>724.42499999999995</v>
      </c>
      <c r="AP7" s="49">
        <v>1.4379999999999999</v>
      </c>
      <c r="AQ7" s="49">
        <v>1.944</v>
      </c>
      <c r="AR7" s="50">
        <v>40.889000000000003</v>
      </c>
      <c r="AS7" s="49">
        <v>34.375999999999998</v>
      </c>
      <c r="AT7" s="50">
        <v>83</v>
      </c>
      <c r="AU7" s="49">
        <v>102</v>
      </c>
      <c r="AV7" s="49">
        <v>3.234</v>
      </c>
      <c r="AW7" s="49">
        <v>5.5739000000000001</v>
      </c>
      <c r="AX7" s="49">
        <v>1017.9</v>
      </c>
      <c r="AY7" s="49">
        <v>1.76</v>
      </c>
      <c r="AZ7" s="49">
        <v>5.75</v>
      </c>
      <c r="BA7" s="49">
        <v>140.916</v>
      </c>
      <c r="BB7" s="49">
        <v>139.61099999999999</v>
      </c>
      <c r="BC7" s="49">
        <v>7706</v>
      </c>
      <c r="BD7" s="49">
        <v>89.5</v>
      </c>
      <c r="BE7" s="49">
        <v>17.190000000000001</v>
      </c>
      <c r="BF7" s="49">
        <v>12.565</v>
      </c>
      <c r="BG7" s="49">
        <v>27.86</v>
      </c>
      <c r="BH7" s="49">
        <v>26.32</v>
      </c>
      <c r="BI7" s="3"/>
      <c r="BJ7" s="3"/>
      <c r="BK7" s="3"/>
      <c r="BL7" s="3"/>
      <c r="BM7" s="3"/>
      <c r="BN7" s="49">
        <v>113.592</v>
      </c>
      <c r="BO7" s="49">
        <v>110.408</v>
      </c>
      <c r="BP7" s="49">
        <v>145.75200000000001</v>
      </c>
      <c r="BQ7" s="49">
        <v>146.34399999999999</v>
      </c>
      <c r="BR7" s="3"/>
      <c r="BS7" s="49">
        <v>26.7</v>
      </c>
      <c r="BT7" s="49">
        <v>7337.8980000000001</v>
      </c>
      <c r="BU7" s="49">
        <v>50.936999999999998</v>
      </c>
      <c r="BV7" s="49">
        <v>54.765999999999998</v>
      </c>
      <c r="BW7" s="49">
        <v>56.207999999999998</v>
      </c>
      <c r="BX7" s="49">
        <v>56.228999999999999</v>
      </c>
      <c r="BY7" s="49">
        <v>1.4179999999999999</v>
      </c>
      <c r="BZ7" s="49">
        <v>3.0409999999999999</v>
      </c>
      <c r="CA7" s="49">
        <v>2.9</v>
      </c>
      <c r="CB7" s="49">
        <v>3.4</v>
      </c>
      <c r="CC7" s="50">
        <v>1.288</v>
      </c>
      <c r="CD7" s="50">
        <v>2.6949999999999998</v>
      </c>
      <c r="CE7" s="49">
        <v>1.385</v>
      </c>
      <c r="CF7" s="49">
        <v>2.2400000000000002</v>
      </c>
      <c r="CG7" s="50">
        <v>13.943</v>
      </c>
      <c r="CH7" s="49">
        <v>13.755000000000001</v>
      </c>
      <c r="CI7" s="49">
        <v>4.8849999999999998</v>
      </c>
      <c r="CJ7" s="49">
        <v>3.3439999999999999</v>
      </c>
      <c r="CK7" s="49">
        <v>1.4430000000000001</v>
      </c>
      <c r="CL7" s="49">
        <v>0</v>
      </c>
      <c r="CM7" s="49">
        <v>0</v>
      </c>
      <c r="CN7" s="49">
        <v>0</v>
      </c>
      <c r="CO7" s="49">
        <v>0</v>
      </c>
      <c r="CP7" s="49">
        <v>96.628</v>
      </c>
      <c r="CQ7" s="49">
        <v>97.539000000000001</v>
      </c>
      <c r="CR7" s="49">
        <v>114.09399999999999</v>
      </c>
      <c r="CS7" s="49">
        <v>115.142</v>
      </c>
      <c r="CT7" s="50">
        <v>0.61599999999999999</v>
      </c>
      <c r="CU7" s="49">
        <v>1.099</v>
      </c>
      <c r="CV7" s="49">
        <v>1.4</v>
      </c>
      <c r="CW7" s="49">
        <v>1.002</v>
      </c>
      <c r="CX7" s="49">
        <v>1.5009999999999999</v>
      </c>
      <c r="CY7" s="49">
        <v>0.70199999999999996</v>
      </c>
      <c r="CZ7" s="50">
        <v>1.9</v>
      </c>
      <c r="DA7" s="50">
        <v>1.0009999999999999</v>
      </c>
      <c r="DB7" s="50">
        <v>1.105</v>
      </c>
      <c r="DC7" s="50">
        <v>0</v>
      </c>
      <c r="DD7" s="50">
        <v>0</v>
      </c>
      <c r="DE7" s="50">
        <v>0.24</v>
      </c>
      <c r="DF7" s="49">
        <v>5.8000000000000003E-2</v>
      </c>
      <c r="DG7" s="49">
        <v>0.375</v>
      </c>
      <c r="DH7" s="50">
        <v>2.077</v>
      </c>
      <c r="DI7" s="50">
        <v>1.0880000000000001</v>
      </c>
      <c r="DJ7" s="49">
        <v>0.11700000000000001</v>
      </c>
      <c r="DK7" s="49">
        <v>0.79300000000000004</v>
      </c>
      <c r="DL7" s="49">
        <v>0.41099999999999998</v>
      </c>
      <c r="DM7" s="49">
        <v>0.46400000000000002</v>
      </c>
      <c r="DN7" s="49">
        <v>0.432</v>
      </c>
      <c r="DO7" s="49">
        <v>0.35099999999999998</v>
      </c>
      <c r="DP7" s="50">
        <v>63.445</v>
      </c>
      <c r="DQ7" s="49">
        <v>60.402999999999999</v>
      </c>
      <c r="DR7" s="49">
        <v>52.779000000000003</v>
      </c>
      <c r="DS7" s="49">
        <v>51.923999999999999</v>
      </c>
      <c r="DT7" s="49">
        <v>5.54</v>
      </c>
      <c r="DU7" s="49">
        <v>5.12</v>
      </c>
      <c r="DV7" s="49">
        <v>11.67</v>
      </c>
      <c r="DW7" s="49">
        <v>10.11</v>
      </c>
      <c r="DX7" s="49">
        <v>5.8</v>
      </c>
      <c r="DY7" s="49">
        <v>5.0999999999999996</v>
      </c>
      <c r="DZ7" s="49">
        <v>11.1</v>
      </c>
      <c r="EA7" s="49">
        <v>9.86</v>
      </c>
      <c r="EB7" s="50">
        <v>43.05</v>
      </c>
      <c r="EC7" s="49">
        <v>42.9</v>
      </c>
      <c r="ED7" s="49">
        <v>34.18</v>
      </c>
      <c r="EE7" s="49">
        <v>36.409999999999997</v>
      </c>
      <c r="EF7" s="49">
        <v>45.61</v>
      </c>
      <c r="EG7" s="50">
        <v>46.87</v>
      </c>
      <c r="EH7" s="49">
        <v>43.05</v>
      </c>
      <c r="EI7" s="49">
        <v>43.61</v>
      </c>
      <c r="EJ7" s="49">
        <v>4.1360000000000001</v>
      </c>
      <c r="EK7" s="49">
        <v>58.734000000000002</v>
      </c>
      <c r="EL7" s="49">
        <v>1.6</v>
      </c>
      <c r="EM7" s="49">
        <v>1.2</v>
      </c>
      <c r="EN7" s="50">
        <v>1.23</v>
      </c>
      <c r="EO7" s="50">
        <v>1.23</v>
      </c>
      <c r="EP7" s="50">
        <v>-125.494</v>
      </c>
      <c r="EQ7" s="49">
        <v>-2.6019999999999999</v>
      </c>
      <c r="ER7" s="49">
        <v>81.825999999999993</v>
      </c>
      <c r="ES7" s="50">
        <v>1.583</v>
      </c>
      <c r="ET7" s="49">
        <v>1.647</v>
      </c>
      <c r="EU7" s="50">
        <v>1.5720000000000001</v>
      </c>
      <c r="EV7" s="49">
        <v>7.5270000000000001</v>
      </c>
      <c r="EW7" s="49">
        <v>0.70399999999999996</v>
      </c>
      <c r="EX7" s="49">
        <v>74.239999999999995</v>
      </c>
      <c r="EY7" s="49">
        <v>4.1000000000000002E-2</v>
      </c>
      <c r="EZ7" s="50">
        <v>0.27200000000000002</v>
      </c>
      <c r="FA7" s="50">
        <v>0</v>
      </c>
      <c r="FB7" s="49">
        <v>9.1120000000000001</v>
      </c>
      <c r="FC7" s="49">
        <v>75.572999999999993</v>
      </c>
      <c r="FD7" s="50">
        <v>72.694999999999993</v>
      </c>
      <c r="FE7" s="49">
        <v>80.703999999999994</v>
      </c>
      <c r="FF7" s="49">
        <v>77.906999999999996</v>
      </c>
      <c r="FG7" s="49">
        <v>0.94699999999999995</v>
      </c>
      <c r="FH7" s="49">
        <v>0.94699999999999995</v>
      </c>
      <c r="FI7" s="49">
        <v>0.98499999999999999</v>
      </c>
      <c r="FJ7" s="49">
        <v>0.98799999999999999</v>
      </c>
      <c r="FK7" s="49">
        <v>0</v>
      </c>
      <c r="FL7" s="50">
        <v>83</v>
      </c>
      <c r="FM7" s="49">
        <v>2.87</v>
      </c>
      <c r="FN7" s="49">
        <v>-0.83</v>
      </c>
      <c r="FO7" s="49">
        <v>5.56</v>
      </c>
      <c r="FP7" s="3"/>
      <c r="FQ7" s="49">
        <v>4.9000000000000004</v>
      </c>
      <c r="FR7" s="49">
        <v>5.05</v>
      </c>
      <c r="FS7" s="49">
        <v>6.9249999999999998</v>
      </c>
      <c r="FT7" s="50">
        <v>1074.2</v>
      </c>
      <c r="FU7" s="49">
        <v>8.1</v>
      </c>
      <c r="FV7" s="49">
        <v>11.11</v>
      </c>
      <c r="FW7" s="49">
        <v>3224.5</v>
      </c>
      <c r="FX7" s="49">
        <v>163100</v>
      </c>
      <c r="FY7" s="49">
        <v>166000</v>
      </c>
      <c r="FZ7" s="49">
        <v>47.648000000000003</v>
      </c>
      <c r="GA7" s="49">
        <v>47.018000000000001</v>
      </c>
      <c r="GB7" s="49">
        <v>2246.6999999999998</v>
      </c>
      <c r="GC7" s="49">
        <v>2269.6999999999998</v>
      </c>
      <c r="GD7" s="49">
        <v>2298</v>
      </c>
      <c r="GE7" s="49">
        <v>2350.9</v>
      </c>
      <c r="GF7" s="49">
        <v>1293.5469000000001</v>
      </c>
      <c r="GG7" s="49">
        <v>23</v>
      </c>
      <c r="GH7" s="49">
        <v>23.5</v>
      </c>
      <c r="GI7" s="49">
        <v>49.2</v>
      </c>
      <c r="GJ7" s="49">
        <v>53.6</v>
      </c>
      <c r="GK7" s="49">
        <v>99.5</v>
      </c>
      <c r="GL7" s="49">
        <v>89.2</v>
      </c>
      <c r="GM7" s="50">
        <v>0</v>
      </c>
      <c r="GN7" s="50">
        <v>27.149000000000001</v>
      </c>
      <c r="GO7" s="50">
        <v>125.494</v>
      </c>
      <c r="GP7" s="49">
        <v>1.2390000000000001</v>
      </c>
      <c r="GQ7" s="49">
        <v>1.9470000000000001</v>
      </c>
      <c r="GR7" s="49">
        <v>1.298</v>
      </c>
      <c r="GS7" s="49">
        <v>2.0059999999999998</v>
      </c>
      <c r="GT7" s="49">
        <v>1.2390000000000001</v>
      </c>
      <c r="GU7" s="49">
        <v>1.829</v>
      </c>
      <c r="GV7" s="49">
        <v>12.74</v>
      </c>
      <c r="GW7" s="50">
        <v>14.051</v>
      </c>
      <c r="GX7" s="49">
        <v>15.385999999999999</v>
      </c>
      <c r="GY7" s="50">
        <v>0</v>
      </c>
      <c r="GZ7" s="50">
        <v>0</v>
      </c>
      <c r="HA7" s="50">
        <v>0</v>
      </c>
      <c r="HB7" s="49">
        <v>0</v>
      </c>
      <c r="HC7" s="50">
        <v>24.309000000000001</v>
      </c>
      <c r="HD7" s="49">
        <v>82</v>
      </c>
      <c r="HE7" s="7">
        <v>0</v>
      </c>
      <c r="HF7" s="7">
        <v>0</v>
      </c>
      <c r="HG7" s="7">
        <v>72.47</v>
      </c>
      <c r="HH7" s="7">
        <v>80.260000000000005</v>
      </c>
      <c r="HI7" s="7">
        <v>0</v>
      </c>
      <c r="HJ7" s="7">
        <v>0</v>
      </c>
      <c r="HK7" s="7">
        <v>0</v>
      </c>
      <c r="HL7" s="7">
        <v>55</v>
      </c>
      <c r="HM7" s="7">
        <v>49</v>
      </c>
      <c r="HN7" s="7">
        <v>56</v>
      </c>
      <c r="HO7" s="7">
        <v>50</v>
      </c>
      <c r="HP7" s="7">
        <v>53</v>
      </c>
      <c r="HQ7" s="7">
        <v>51</v>
      </c>
      <c r="HR7" s="7">
        <v>44</v>
      </c>
      <c r="HS7" s="7">
        <v>70</v>
      </c>
      <c r="HT7" s="7">
        <v>-1.21</v>
      </c>
      <c r="HU7" s="7">
        <v>0</v>
      </c>
      <c r="HV7" s="7">
        <v>1E-3</v>
      </c>
      <c r="HW7" s="7">
        <v>39.18</v>
      </c>
      <c r="HX7" s="7">
        <v>37.36</v>
      </c>
      <c r="HY7" s="3"/>
      <c r="HZ7" s="3"/>
      <c r="IA7" s="7">
        <v>2.758</v>
      </c>
      <c r="IB7" s="7">
        <v>103</v>
      </c>
      <c r="IC7" s="7">
        <v>22.102</v>
      </c>
      <c r="ID7" s="7">
        <v>-0.19700000000000001</v>
      </c>
      <c r="IE7" s="7">
        <v>-7.2999999999999995E-2</v>
      </c>
      <c r="IF7" s="7">
        <v>816.7</v>
      </c>
      <c r="IG7" s="7">
        <v>769</v>
      </c>
      <c r="IH7" s="7">
        <v>829</v>
      </c>
      <c r="II7" s="7">
        <v>780.3</v>
      </c>
      <c r="IJ7" s="7">
        <v>-7.3999999999999996E-2</v>
      </c>
      <c r="IK7" s="7">
        <v>-0.122</v>
      </c>
      <c r="IL7" s="7">
        <v>74.271000000000001</v>
      </c>
      <c r="IM7" s="7">
        <v>74.271000000000001</v>
      </c>
      <c r="IN7" s="7">
        <v>11.332000000000001</v>
      </c>
      <c r="IO7" s="7">
        <v>0.41699999999999998</v>
      </c>
      <c r="IP7" s="7">
        <v>11.07</v>
      </c>
      <c r="IQ7" s="7">
        <v>-1E-3</v>
      </c>
      <c r="IR7" s="7">
        <v>1.2E-2</v>
      </c>
      <c r="IS7">
        <v>0.22500000000000001</v>
      </c>
      <c r="IT7">
        <v>9.9000000000000005E-2</v>
      </c>
    </row>
    <row r="8" spans="1:254" x14ac:dyDescent="0.25">
      <c r="B8" s="2" t="s">
        <v>412</v>
      </c>
      <c r="C8" s="62" t="s">
        <v>43</v>
      </c>
      <c r="D8" s="63">
        <v>2.457638888888889E-3</v>
      </c>
      <c r="E8" s="49">
        <v>212.38</v>
      </c>
      <c r="F8" s="49">
        <v>330.06</v>
      </c>
      <c r="G8" s="50">
        <v>5.96</v>
      </c>
      <c r="H8" s="49">
        <v>28.1</v>
      </c>
      <c r="I8" s="50">
        <v>0</v>
      </c>
      <c r="J8" s="49">
        <v>9.9</v>
      </c>
      <c r="K8" s="50">
        <v>8</v>
      </c>
      <c r="L8" s="50">
        <v>5</v>
      </c>
      <c r="M8" s="49">
        <v>5</v>
      </c>
      <c r="N8" s="50">
        <v>3</v>
      </c>
      <c r="O8" s="50">
        <v>3</v>
      </c>
      <c r="P8" s="49">
        <v>0.41699999999999998</v>
      </c>
      <c r="Q8" s="49">
        <v>1.0069999999999999</v>
      </c>
      <c r="R8" s="49">
        <v>0.35</v>
      </c>
      <c r="S8" s="49">
        <v>0.29099999999999998</v>
      </c>
      <c r="T8" s="49">
        <v>82.45</v>
      </c>
      <c r="U8" s="49">
        <v>60.222000000000001</v>
      </c>
      <c r="V8" s="49">
        <v>300</v>
      </c>
      <c r="W8" s="49">
        <v>316</v>
      </c>
      <c r="X8" s="49">
        <v>245</v>
      </c>
      <c r="Y8" s="49">
        <v>309</v>
      </c>
      <c r="Z8" s="50">
        <v>440.72</v>
      </c>
      <c r="AA8" s="50">
        <v>462.41</v>
      </c>
      <c r="AB8" s="50">
        <v>386.89</v>
      </c>
      <c r="AC8" s="50">
        <v>466.86</v>
      </c>
      <c r="AD8" s="49">
        <v>1.8740000000000001</v>
      </c>
      <c r="AE8" s="49">
        <v>1.9279999999999999</v>
      </c>
      <c r="AF8" s="49">
        <v>1.919</v>
      </c>
      <c r="AG8" s="49">
        <v>1.994</v>
      </c>
      <c r="AH8" s="49">
        <v>80.92</v>
      </c>
      <c r="AI8" s="49">
        <v>76.02</v>
      </c>
      <c r="AJ8" s="49">
        <v>112.94</v>
      </c>
      <c r="AK8" s="49">
        <v>107.31</v>
      </c>
      <c r="AL8" s="50">
        <v>694.78300000000002</v>
      </c>
      <c r="AM8" s="50">
        <v>697.58299999999997</v>
      </c>
      <c r="AN8" s="49">
        <v>834.03800000000001</v>
      </c>
      <c r="AO8" s="50">
        <v>818.44899999999996</v>
      </c>
      <c r="AP8" s="49">
        <v>1.425</v>
      </c>
      <c r="AQ8" s="49">
        <v>1.887</v>
      </c>
      <c r="AR8" s="49">
        <v>40.021000000000001</v>
      </c>
      <c r="AS8" s="49">
        <v>32.792999999999999</v>
      </c>
      <c r="AT8" s="50">
        <v>83</v>
      </c>
      <c r="AU8" s="49">
        <v>112</v>
      </c>
      <c r="AV8" s="49">
        <v>2.641</v>
      </c>
      <c r="AW8" s="49">
        <v>5.5320999999999998</v>
      </c>
      <c r="AX8" s="49">
        <v>1018.1</v>
      </c>
      <c r="AY8" s="49">
        <v>1.85</v>
      </c>
      <c r="AZ8" s="49">
        <v>5.37</v>
      </c>
      <c r="BA8" s="49">
        <v>108.381</v>
      </c>
      <c r="BB8" s="49">
        <v>107.996</v>
      </c>
      <c r="BC8" s="49">
        <v>7671</v>
      </c>
      <c r="BD8" s="50">
        <v>89.75</v>
      </c>
      <c r="BE8" s="50">
        <v>17.43</v>
      </c>
      <c r="BF8" s="49">
        <v>13.835000000000001</v>
      </c>
      <c r="BG8" s="49">
        <v>28.99</v>
      </c>
      <c r="BH8" s="49">
        <v>26.62</v>
      </c>
      <c r="BI8" s="3"/>
      <c r="BJ8" s="3"/>
      <c r="BK8" s="3"/>
      <c r="BL8" s="3"/>
      <c r="BM8" s="3"/>
      <c r="BN8" s="49">
        <v>115.64</v>
      </c>
      <c r="BO8" s="49">
        <v>114.232</v>
      </c>
      <c r="BP8" s="49">
        <v>151.94399999999999</v>
      </c>
      <c r="BQ8" s="49">
        <v>157.048</v>
      </c>
      <c r="BR8" s="3"/>
      <c r="BS8" s="49">
        <v>27.6</v>
      </c>
      <c r="BT8" s="49">
        <v>7390.33</v>
      </c>
      <c r="BU8" s="49">
        <v>51.197000000000003</v>
      </c>
      <c r="BV8" s="49">
        <v>53.688000000000002</v>
      </c>
      <c r="BW8" s="49">
        <v>56.600999999999999</v>
      </c>
      <c r="BX8" s="50">
        <v>57.865000000000002</v>
      </c>
      <c r="BY8" s="50">
        <v>1.5680000000000001</v>
      </c>
      <c r="BZ8" s="49">
        <v>2.9609999999999999</v>
      </c>
      <c r="CA8" s="49">
        <v>3.4049999999999998</v>
      </c>
      <c r="CB8" s="50">
        <v>4.1769999999999996</v>
      </c>
      <c r="CC8" s="49">
        <v>1.282</v>
      </c>
      <c r="CD8" s="49">
        <v>2.5059999999999998</v>
      </c>
      <c r="CE8" s="49">
        <v>1.3879999999999999</v>
      </c>
      <c r="CF8" s="49">
        <v>2.206</v>
      </c>
      <c r="CG8" s="49">
        <v>13.939</v>
      </c>
      <c r="CH8" s="49">
        <v>13.785</v>
      </c>
      <c r="CI8" s="49">
        <v>5.5789999999999997</v>
      </c>
      <c r="CJ8" s="49">
        <v>2.9060000000000001</v>
      </c>
      <c r="CK8" s="50">
        <v>1.718</v>
      </c>
      <c r="CL8" s="50">
        <v>0.1</v>
      </c>
      <c r="CM8" s="49">
        <v>0</v>
      </c>
      <c r="CN8" s="49">
        <v>0</v>
      </c>
      <c r="CO8" s="49">
        <v>0</v>
      </c>
      <c r="CP8" s="50">
        <v>107.658</v>
      </c>
      <c r="CQ8" s="50">
        <v>107.807</v>
      </c>
      <c r="CR8" s="49">
        <v>145.364</v>
      </c>
      <c r="CS8" s="49">
        <v>150.673</v>
      </c>
      <c r="CT8" s="49">
        <v>0.27800000000000002</v>
      </c>
      <c r="CU8" s="49">
        <v>0.499</v>
      </c>
      <c r="CV8" s="50">
        <v>1.6990000000000001</v>
      </c>
      <c r="CW8" s="50">
        <v>1.7969999999999999</v>
      </c>
      <c r="CX8" s="49">
        <v>0.998</v>
      </c>
      <c r="CY8" s="49">
        <v>0.5</v>
      </c>
      <c r="CZ8" s="49">
        <v>1.2969999999999999</v>
      </c>
      <c r="DA8" s="49">
        <v>0.5</v>
      </c>
      <c r="DB8" s="49">
        <v>1.1020000000000001</v>
      </c>
      <c r="DC8" s="50">
        <v>0</v>
      </c>
      <c r="DD8" s="50">
        <v>0</v>
      </c>
      <c r="DE8" s="49">
        <v>0.18099999999999999</v>
      </c>
      <c r="DF8" s="49">
        <v>6.8000000000000005E-2</v>
      </c>
      <c r="DG8" s="50">
        <v>0.433</v>
      </c>
      <c r="DH8" s="49">
        <v>1.8819999999999999</v>
      </c>
      <c r="DI8" s="49">
        <v>0.91200000000000003</v>
      </c>
      <c r="DJ8" s="49">
        <v>6.4000000000000001E-2</v>
      </c>
      <c r="DK8" s="49">
        <v>0.72</v>
      </c>
      <c r="DL8" s="49">
        <v>0.41299999999999998</v>
      </c>
      <c r="DM8" s="49">
        <v>0.436</v>
      </c>
      <c r="DN8" s="49">
        <v>0.29899999999999999</v>
      </c>
      <c r="DO8" s="49">
        <v>0.31</v>
      </c>
      <c r="DP8" s="49">
        <v>61.99</v>
      </c>
      <c r="DQ8" s="49">
        <v>58.801000000000002</v>
      </c>
      <c r="DR8" s="50">
        <v>53.167000000000002</v>
      </c>
      <c r="DS8" s="49">
        <v>52.003999999999998</v>
      </c>
      <c r="DT8" s="50">
        <v>6.17</v>
      </c>
      <c r="DU8" s="50">
        <v>6.32</v>
      </c>
      <c r="DV8" s="50">
        <v>14.12</v>
      </c>
      <c r="DW8" s="50">
        <v>12.05</v>
      </c>
      <c r="DX8" s="50">
        <v>6.37</v>
      </c>
      <c r="DY8" s="50">
        <v>6.49</v>
      </c>
      <c r="DZ8" s="50">
        <v>13.37</v>
      </c>
      <c r="EA8" s="50">
        <v>11.99</v>
      </c>
      <c r="EB8" s="49">
        <v>42.51</v>
      </c>
      <c r="EC8" s="49">
        <v>41.71</v>
      </c>
      <c r="ED8" s="49">
        <v>31.98</v>
      </c>
      <c r="EE8" s="49">
        <v>34.33</v>
      </c>
      <c r="EF8" s="49">
        <v>44.95</v>
      </c>
      <c r="EG8" s="49">
        <v>45.48</v>
      </c>
      <c r="EH8" s="49">
        <v>40.53</v>
      </c>
      <c r="EI8" s="49">
        <v>41.64</v>
      </c>
      <c r="EJ8" s="49">
        <v>5.4169999999999998</v>
      </c>
      <c r="EK8" s="50">
        <v>59.246000000000002</v>
      </c>
      <c r="EL8" s="49">
        <v>1.55</v>
      </c>
      <c r="EM8" s="49">
        <v>1.2</v>
      </c>
      <c r="EN8" s="49">
        <v>1.2</v>
      </c>
      <c r="EO8" s="49">
        <v>1.2</v>
      </c>
      <c r="EP8" s="49">
        <v>-119.946</v>
      </c>
      <c r="EQ8" s="49">
        <v>-2.468</v>
      </c>
      <c r="ER8" s="50">
        <v>104.018</v>
      </c>
      <c r="ES8" s="49">
        <v>1.577</v>
      </c>
      <c r="ET8" s="50">
        <v>1.6539999999999999</v>
      </c>
      <c r="EU8" s="49">
        <v>1.526</v>
      </c>
      <c r="EV8" s="50">
        <v>7.766</v>
      </c>
      <c r="EW8" s="50">
        <v>0.88800000000000001</v>
      </c>
      <c r="EX8" s="50">
        <v>76.599999999999994</v>
      </c>
      <c r="EY8" s="49">
        <v>0</v>
      </c>
      <c r="EZ8" s="49">
        <v>0</v>
      </c>
      <c r="FA8" s="50">
        <v>0</v>
      </c>
      <c r="FB8" s="49">
        <v>9.1669999999999998</v>
      </c>
      <c r="FC8" s="49">
        <v>75.923000000000002</v>
      </c>
      <c r="FD8" s="49">
        <v>71.120999999999995</v>
      </c>
      <c r="FE8" s="49">
        <v>87.394000000000005</v>
      </c>
      <c r="FF8" s="49">
        <v>84.478999999999999</v>
      </c>
      <c r="FG8" s="49">
        <v>0.94399999999999995</v>
      </c>
      <c r="FH8" s="49">
        <v>0.94399999999999995</v>
      </c>
      <c r="FI8" s="49">
        <v>0.98299999999999998</v>
      </c>
      <c r="FJ8" s="49">
        <v>0.98699999999999999</v>
      </c>
      <c r="FK8" s="49">
        <v>0</v>
      </c>
      <c r="FL8" s="50">
        <v>83</v>
      </c>
      <c r="FM8" s="49">
        <v>3.07</v>
      </c>
      <c r="FN8" s="49">
        <v>-0.82</v>
      </c>
      <c r="FO8" s="49">
        <v>5.41</v>
      </c>
      <c r="FP8" s="3"/>
      <c r="FQ8" s="49">
        <v>4.95</v>
      </c>
      <c r="FR8" s="49">
        <v>5.05</v>
      </c>
      <c r="FS8" s="49">
        <v>6.84</v>
      </c>
      <c r="FT8" s="49">
        <v>1070.8</v>
      </c>
      <c r="FU8" s="50">
        <v>8.49</v>
      </c>
      <c r="FV8" s="49">
        <v>17.079999999999998</v>
      </c>
      <c r="FW8" s="49">
        <v>3373.5</v>
      </c>
      <c r="FX8" s="49">
        <v>165400</v>
      </c>
      <c r="FY8" s="49">
        <v>167300</v>
      </c>
      <c r="FZ8" s="49">
        <v>47.47</v>
      </c>
      <c r="GA8" s="49">
        <v>46.723999999999997</v>
      </c>
      <c r="GB8" s="50">
        <v>2280.6999999999998</v>
      </c>
      <c r="GC8" s="50">
        <v>2280.3000000000002</v>
      </c>
      <c r="GD8" s="49">
        <v>2372.1999999999998</v>
      </c>
      <c r="GE8" s="49">
        <v>2280.3000000000002</v>
      </c>
      <c r="GF8" s="50">
        <v>1731.5625</v>
      </c>
      <c r="GG8" s="49">
        <v>24</v>
      </c>
      <c r="GH8" s="49">
        <v>24.2</v>
      </c>
      <c r="GI8" s="49">
        <v>47</v>
      </c>
      <c r="GJ8" s="49">
        <v>51.4</v>
      </c>
      <c r="GK8" s="49">
        <v>99.5</v>
      </c>
      <c r="GL8" s="50">
        <v>92.1</v>
      </c>
      <c r="GM8" s="50">
        <v>0</v>
      </c>
      <c r="GN8" s="49">
        <v>25.48</v>
      </c>
      <c r="GO8" s="49">
        <v>119.946</v>
      </c>
      <c r="GP8" s="49">
        <v>1.0620000000000001</v>
      </c>
      <c r="GQ8" s="49">
        <v>1.8879999999999999</v>
      </c>
      <c r="GR8" s="49">
        <v>1.298</v>
      </c>
      <c r="GS8" s="49">
        <v>2.0059999999999998</v>
      </c>
      <c r="GT8" s="49">
        <v>1.0029999999999999</v>
      </c>
      <c r="GU8" s="49">
        <v>1.829</v>
      </c>
      <c r="GV8" s="49">
        <v>12.74</v>
      </c>
      <c r="GW8" s="49">
        <v>14.023</v>
      </c>
      <c r="GX8" s="49">
        <v>15.19</v>
      </c>
      <c r="GY8" s="50">
        <v>0</v>
      </c>
      <c r="GZ8" s="50">
        <v>0</v>
      </c>
      <c r="HA8" s="50">
        <v>0</v>
      </c>
      <c r="HB8" s="49">
        <v>0</v>
      </c>
      <c r="HC8" s="49">
        <v>23.974</v>
      </c>
      <c r="HD8" s="49">
        <v>82</v>
      </c>
      <c r="HE8" s="7">
        <v>0</v>
      </c>
      <c r="HF8" s="7">
        <v>0</v>
      </c>
      <c r="HG8" s="7">
        <v>74.959999999999994</v>
      </c>
      <c r="HH8" s="7">
        <v>80.489999999999995</v>
      </c>
      <c r="HI8" s="7">
        <v>0</v>
      </c>
      <c r="HJ8" s="7">
        <v>0</v>
      </c>
      <c r="HK8" s="7">
        <v>0</v>
      </c>
      <c r="HL8" s="7">
        <v>57</v>
      </c>
      <c r="HM8" s="7">
        <v>50</v>
      </c>
      <c r="HN8" s="7">
        <v>58</v>
      </c>
      <c r="HO8" s="7">
        <v>53</v>
      </c>
      <c r="HP8" s="7">
        <v>56</v>
      </c>
      <c r="HQ8" s="7">
        <v>54</v>
      </c>
      <c r="HR8" s="7">
        <v>45</v>
      </c>
      <c r="HS8" s="7">
        <v>62</v>
      </c>
      <c r="HT8" s="7">
        <v>-1.22</v>
      </c>
      <c r="HU8" s="7">
        <v>0</v>
      </c>
      <c r="HV8" s="7">
        <v>0.27300000000000002</v>
      </c>
      <c r="HW8" s="7">
        <v>35.229999999999997</v>
      </c>
      <c r="HX8" s="7">
        <v>37.36</v>
      </c>
      <c r="HY8" s="7">
        <v>50.69</v>
      </c>
      <c r="HZ8" s="7">
        <v>63.75</v>
      </c>
      <c r="IA8" s="7">
        <v>2.9319999999999999</v>
      </c>
      <c r="IB8" s="7">
        <v>104</v>
      </c>
      <c r="IC8" s="7">
        <v>22.658999999999999</v>
      </c>
      <c r="ID8" s="7">
        <v>-0.24299999999999999</v>
      </c>
      <c r="IE8" s="7">
        <v>-7.9000000000000001E-2</v>
      </c>
      <c r="IF8" s="7">
        <v>823.2</v>
      </c>
      <c r="IG8" s="7">
        <v>775.6</v>
      </c>
      <c r="IH8" s="7">
        <v>833.5</v>
      </c>
      <c r="II8" s="7">
        <v>787.7</v>
      </c>
      <c r="IJ8" s="7">
        <v>-8.5000000000000006E-2</v>
      </c>
      <c r="IK8" s="7">
        <v>-0.16500000000000001</v>
      </c>
      <c r="IL8" s="7">
        <v>67.009</v>
      </c>
      <c r="IM8" s="7">
        <v>67.009</v>
      </c>
      <c r="IN8" s="7">
        <v>12.127000000000001</v>
      </c>
      <c r="IO8" s="7">
        <v>0.47499999999999998</v>
      </c>
      <c r="IP8" s="7">
        <v>10.5</v>
      </c>
      <c r="IQ8" s="7">
        <v>8.9999999999999993E-3</v>
      </c>
      <c r="IR8" s="7">
        <v>1.0999999999999999E-2</v>
      </c>
      <c r="IS8">
        <v>0.23400000000000001</v>
      </c>
      <c r="IT8">
        <v>0.11</v>
      </c>
    </row>
    <row r="9" spans="1:254" x14ac:dyDescent="0.25">
      <c r="B9" s="2" t="s">
        <v>412</v>
      </c>
      <c r="C9" s="2" t="s">
        <v>44</v>
      </c>
      <c r="D9" s="61">
        <v>2.7488425925925927E-3</v>
      </c>
      <c r="E9" s="49">
        <v>237.499</v>
      </c>
      <c r="F9" s="49">
        <v>330.52</v>
      </c>
      <c r="G9" s="49">
        <v>5.88</v>
      </c>
      <c r="H9" s="50">
        <v>28.6</v>
      </c>
      <c r="I9" s="50">
        <v>0</v>
      </c>
      <c r="J9" s="49">
        <v>11.4</v>
      </c>
      <c r="K9" s="50">
        <v>8</v>
      </c>
      <c r="L9" s="50">
        <v>5</v>
      </c>
      <c r="M9" s="50">
        <v>6</v>
      </c>
      <c r="N9" s="50">
        <v>3</v>
      </c>
      <c r="O9" s="50">
        <v>3</v>
      </c>
      <c r="P9" s="49">
        <v>0.434</v>
      </c>
      <c r="Q9" s="49">
        <v>1.004</v>
      </c>
      <c r="R9" s="49">
        <v>0.39200000000000002</v>
      </c>
      <c r="S9" s="49">
        <v>0.36799999999999999</v>
      </c>
      <c r="T9" s="50">
        <v>84.31</v>
      </c>
      <c r="U9" s="49">
        <v>60.162999999999997</v>
      </c>
      <c r="V9" s="49">
        <v>281.66000000000003</v>
      </c>
      <c r="W9" s="49">
        <v>312</v>
      </c>
      <c r="X9" s="49">
        <v>246.66</v>
      </c>
      <c r="Y9" s="49">
        <v>314</v>
      </c>
      <c r="Z9" s="49">
        <v>425.87</v>
      </c>
      <c r="AA9" s="49">
        <v>452.78</v>
      </c>
      <c r="AB9" s="49">
        <v>378.83</v>
      </c>
      <c r="AC9" s="49">
        <v>452.27</v>
      </c>
      <c r="AD9" s="50">
        <v>1.887</v>
      </c>
      <c r="AE9" s="49">
        <v>1.9379999999999999</v>
      </c>
      <c r="AF9" s="50">
        <v>1.972</v>
      </c>
      <c r="AG9" s="50">
        <v>2.048</v>
      </c>
      <c r="AH9" s="50">
        <v>83.56</v>
      </c>
      <c r="AI9" s="50">
        <v>79.23</v>
      </c>
      <c r="AJ9" s="50">
        <v>119.68</v>
      </c>
      <c r="AK9" s="50">
        <v>114.42</v>
      </c>
      <c r="AL9" s="49">
        <v>665.70699999999999</v>
      </c>
      <c r="AM9" s="49">
        <v>694.85599999999999</v>
      </c>
      <c r="AN9" s="50">
        <v>864.45500000000004</v>
      </c>
      <c r="AO9" s="49">
        <v>808.93700000000001</v>
      </c>
      <c r="AP9" s="49">
        <v>1.411</v>
      </c>
      <c r="AQ9" s="49">
        <v>1.871</v>
      </c>
      <c r="AR9" s="49">
        <v>40.088000000000001</v>
      </c>
      <c r="AS9" s="50">
        <v>34.942999999999998</v>
      </c>
      <c r="AT9" s="50">
        <v>83</v>
      </c>
      <c r="AU9" s="50">
        <v>117</v>
      </c>
      <c r="AV9" s="50">
        <v>2.4464999999999999</v>
      </c>
      <c r="AW9" s="49">
        <v>5.4074999999999998</v>
      </c>
      <c r="AX9" s="49">
        <v>1018.6</v>
      </c>
      <c r="AY9" s="50">
        <v>1.87</v>
      </c>
      <c r="AZ9" s="49">
        <v>5.78</v>
      </c>
      <c r="BA9" s="50">
        <v>69.2</v>
      </c>
      <c r="BB9" s="50">
        <v>69.400000000000006</v>
      </c>
      <c r="BC9" s="50">
        <v>7819</v>
      </c>
      <c r="BD9" s="49">
        <v>89</v>
      </c>
      <c r="BE9" s="49">
        <v>17.239999999999998</v>
      </c>
      <c r="BF9" s="50">
        <v>14.17</v>
      </c>
      <c r="BG9" s="50">
        <v>29.03</v>
      </c>
      <c r="BH9" s="50">
        <v>26.95</v>
      </c>
      <c r="BI9" s="49">
        <v>63.195</v>
      </c>
      <c r="BJ9" s="49">
        <v>70.73</v>
      </c>
      <c r="BK9" s="49">
        <v>62.398000000000003</v>
      </c>
      <c r="BL9" s="49">
        <v>59.728000000000002</v>
      </c>
      <c r="BM9" s="49">
        <v>79.322999999999993</v>
      </c>
      <c r="BN9" s="50">
        <v>120.328</v>
      </c>
      <c r="BO9" s="50">
        <v>120.968</v>
      </c>
      <c r="BP9" s="50">
        <v>165.06399999999999</v>
      </c>
      <c r="BQ9" s="50">
        <v>166.15199999999999</v>
      </c>
      <c r="BR9" s="50">
        <v>61.127000000000002</v>
      </c>
      <c r="BS9" s="50">
        <v>28.3</v>
      </c>
      <c r="BT9" s="50">
        <v>7413.4269999999997</v>
      </c>
      <c r="BU9" s="49">
        <v>49.082999999999998</v>
      </c>
      <c r="BV9" s="49">
        <v>54.906999999999996</v>
      </c>
      <c r="BW9" s="49">
        <v>56.008000000000003</v>
      </c>
      <c r="BX9" s="49">
        <v>57.802</v>
      </c>
      <c r="BY9" s="49">
        <v>1.37</v>
      </c>
      <c r="BZ9" s="50">
        <v>3.3650000000000002</v>
      </c>
      <c r="CA9" s="50">
        <v>3.415</v>
      </c>
      <c r="CB9" s="49">
        <v>3.5840000000000001</v>
      </c>
      <c r="CC9" s="49">
        <v>1.268</v>
      </c>
      <c r="CD9" s="49">
        <v>2.4729999999999999</v>
      </c>
      <c r="CE9" s="49">
        <v>1.3640000000000001</v>
      </c>
      <c r="CF9" s="49">
        <v>2.1320000000000001</v>
      </c>
      <c r="CG9" s="49">
        <v>13.942</v>
      </c>
      <c r="CH9" s="49">
        <v>13.632</v>
      </c>
      <c r="CI9" s="3"/>
      <c r="CJ9" s="3"/>
      <c r="CK9" s="3"/>
      <c r="CL9" s="50">
        <v>0.1</v>
      </c>
      <c r="CM9" s="50">
        <v>0.2</v>
      </c>
      <c r="CN9" s="50">
        <v>0.2</v>
      </c>
      <c r="CO9" s="50">
        <v>0.3</v>
      </c>
      <c r="CP9" s="49">
        <v>105.88</v>
      </c>
      <c r="CQ9" s="49">
        <v>106.947</v>
      </c>
      <c r="CR9" s="50">
        <v>150.36099999999999</v>
      </c>
      <c r="CS9" s="50">
        <v>156.30699999999999</v>
      </c>
      <c r="CT9" s="49">
        <v>0.23200000000000001</v>
      </c>
      <c r="CU9" s="50">
        <v>1.1000000000000001</v>
      </c>
      <c r="CV9" s="49">
        <v>1.5980000000000001</v>
      </c>
      <c r="CW9" s="49">
        <v>0.79700000000000004</v>
      </c>
      <c r="CX9" s="50">
        <v>1.5029999999999999</v>
      </c>
      <c r="CY9" s="49">
        <v>0.59799999999999998</v>
      </c>
      <c r="CZ9" s="49">
        <v>0.89800000000000002</v>
      </c>
      <c r="DA9" s="50">
        <v>1.0009999999999999</v>
      </c>
      <c r="DB9" s="49">
        <v>1.1000000000000001</v>
      </c>
      <c r="DC9" s="50">
        <v>0</v>
      </c>
      <c r="DD9" s="50">
        <v>0</v>
      </c>
      <c r="DE9" s="49">
        <v>0.14199999999999999</v>
      </c>
      <c r="DF9" s="49">
        <v>6.4000000000000001E-2</v>
      </c>
      <c r="DG9" s="49">
        <v>0.218</v>
      </c>
      <c r="DH9" s="49">
        <v>1.9259999999999999</v>
      </c>
      <c r="DI9" s="49">
        <v>0.80500000000000005</v>
      </c>
      <c r="DJ9" s="49">
        <v>-6.6000000000000003E-2</v>
      </c>
      <c r="DK9" s="49">
        <v>0.51700000000000002</v>
      </c>
      <c r="DL9" s="49">
        <v>0.41299999999999998</v>
      </c>
      <c r="DM9" s="49">
        <v>0.441</v>
      </c>
      <c r="DN9" s="50">
        <v>0.434</v>
      </c>
      <c r="DO9" s="49">
        <v>0.26700000000000002</v>
      </c>
      <c r="DP9" s="49">
        <v>62.667999999999999</v>
      </c>
      <c r="DQ9" s="50">
        <v>61.203000000000003</v>
      </c>
      <c r="DR9" s="49">
        <v>53.165999999999997</v>
      </c>
      <c r="DS9" s="50">
        <v>52.49</v>
      </c>
      <c r="DT9" s="49">
        <v>5.94</v>
      </c>
      <c r="DU9" s="49">
        <v>5.82</v>
      </c>
      <c r="DV9" s="49">
        <v>12.69</v>
      </c>
      <c r="DW9" s="49">
        <v>11.13</v>
      </c>
      <c r="DX9" s="49">
        <v>6.11</v>
      </c>
      <c r="DY9" s="49">
        <v>6.06</v>
      </c>
      <c r="DZ9" s="49">
        <v>12.2</v>
      </c>
      <c r="EA9" s="49">
        <v>11.12</v>
      </c>
      <c r="EB9" s="49">
        <v>42.24</v>
      </c>
      <c r="EC9" s="49">
        <v>41.7</v>
      </c>
      <c r="ED9" s="49">
        <v>31.91</v>
      </c>
      <c r="EE9" s="49">
        <v>33.85</v>
      </c>
      <c r="EF9" s="49">
        <v>45.72</v>
      </c>
      <c r="EG9" s="49">
        <v>46.42</v>
      </c>
      <c r="EH9" s="50">
        <v>43.2</v>
      </c>
      <c r="EI9" s="50">
        <v>43.89</v>
      </c>
      <c r="EJ9" s="50">
        <v>5.9390000000000001</v>
      </c>
      <c r="EK9" s="49">
        <v>59.073</v>
      </c>
      <c r="EL9" s="50">
        <v>1.75</v>
      </c>
      <c r="EM9" s="49">
        <v>1.25</v>
      </c>
      <c r="EN9" s="49">
        <v>1.2</v>
      </c>
      <c r="EO9" s="49">
        <v>1.21</v>
      </c>
      <c r="EP9" s="49">
        <v>-118.486</v>
      </c>
      <c r="EQ9" s="49">
        <v>-2.363</v>
      </c>
      <c r="ER9" s="49">
        <v>102.85</v>
      </c>
      <c r="ES9" s="49">
        <v>1.5229999999999999</v>
      </c>
      <c r="ET9" s="49">
        <v>1.6220000000000001</v>
      </c>
      <c r="EU9" s="49">
        <v>1.4510000000000001</v>
      </c>
      <c r="EV9" s="49">
        <v>7.7069999999999999</v>
      </c>
      <c r="EW9" s="49">
        <v>0.81</v>
      </c>
      <c r="EX9" s="49">
        <v>75</v>
      </c>
      <c r="EY9" s="50">
        <v>6.0999999999999999E-2</v>
      </c>
      <c r="EZ9" s="49">
        <v>0</v>
      </c>
      <c r="FA9" s="50">
        <v>0</v>
      </c>
      <c r="FB9" s="50">
        <v>9.2319999999999993</v>
      </c>
      <c r="FC9" s="50">
        <v>76.442999999999998</v>
      </c>
      <c r="FD9" s="49">
        <v>71.287000000000006</v>
      </c>
      <c r="FE9" s="50">
        <v>92.456999999999994</v>
      </c>
      <c r="FF9" s="50">
        <v>89.846999999999994</v>
      </c>
      <c r="FG9" s="49">
        <v>0.97299999999999998</v>
      </c>
      <c r="FH9" s="49">
        <v>0.97899999999999998</v>
      </c>
      <c r="FI9" s="49">
        <v>0.98399999999999999</v>
      </c>
      <c r="FJ9" s="49">
        <v>0.98799999999999999</v>
      </c>
      <c r="FK9" s="49">
        <v>0</v>
      </c>
      <c r="FL9" s="50">
        <v>83</v>
      </c>
      <c r="FM9" s="50">
        <v>3.19</v>
      </c>
      <c r="FN9" s="49">
        <v>-0.6</v>
      </c>
      <c r="FO9" s="49">
        <v>5.46</v>
      </c>
      <c r="FP9" s="49">
        <v>4.0999999999999996</v>
      </c>
      <c r="FQ9" s="49">
        <v>4.3499999999999996</v>
      </c>
      <c r="FR9" s="50">
        <v>4.95</v>
      </c>
      <c r="FS9" s="49">
        <v>6.8540000000000001</v>
      </c>
      <c r="FT9" s="49">
        <v>1071.3</v>
      </c>
      <c r="FU9" s="49">
        <v>8.36</v>
      </c>
      <c r="FV9" s="50">
        <v>22.96</v>
      </c>
      <c r="FW9" s="49">
        <v>3197.5</v>
      </c>
      <c r="FX9" s="50">
        <v>168400</v>
      </c>
      <c r="FY9" s="50">
        <v>168800</v>
      </c>
      <c r="FZ9" s="49">
        <v>47.250999999999998</v>
      </c>
      <c r="GA9" s="49">
        <v>46.601999999999997</v>
      </c>
      <c r="GB9" s="49">
        <v>2190.5</v>
      </c>
      <c r="GC9" s="49">
        <v>2158.8000000000002</v>
      </c>
      <c r="GD9" s="50">
        <v>2406.8000000000002</v>
      </c>
      <c r="GE9" s="49">
        <v>2315.9</v>
      </c>
      <c r="GF9" s="49">
        <v>1484.1094000000001</v>
      </c>
      <c r="GG9" s="49">
        <v>25</v>
      </c>
      <c r="GH9" s="49">
        <v>25.3</v>
      </c>
      <c r="GI9" s="49">
        <v>47.1</v>
      </c>
      <c r="GJ9" s="49">
        <v>51.7</v>
      </c>
      <c r="GK9" s="49">
        <v>99.5</v>
      </c>
      <c r="GL9" s="49">
        <v>88.7</v>
      </c>
      <c r="GM9" s="50">
        <v>0</v>
      </c>
      <c r="GN9" s="49">
        <v>25.469000000000001</v>
      </c>
      <c r="GO9" s="49">
        <v>118.486</v>
      </c>
      <c r="GP9" s="50">
        <v>0</v>
      </c>
      <c r="GQ9" s="49">
        <v>1.9470000000000001</v>
      </c>
      <c r="GR9" s="50">
        <v>0</v>
      </c>
      <c r="GS9" s="49">
        <v>2.0059999999999998</v>
      </c>
      <c r="GT9" s="50">
        <v>0</v>
      </c>
      <c r="GU9" s="49">
        <v>1.8879999999999999</v>
      </c>
      <c r="GV9" s="50">
        <v>0</v>
      </c>
      <c r="GW9" s="49">
        <v>13.83</v>
      </c>
      <c r="GX9" s="49">
        <v>16.170000000000002</v>
      </c>
      <c r="GY9" s="50">
        <v>0</v>
      </c>
      <c r="GZ9" s="50">
        <v>0</v>
      </c>
      <c r="HA9" s="50">
        <v>0</v>
      </c>
      <c r="HB9" s="49">
        <v>0</v>
      </c>
      <c r="HC9" s="49">
        <v>23.864999999999998</v>
      </c>
      <c r="HD9" s="50">
        <v>86</v>
      </c>
      <c r="HE9" s="7">
        <v>0</v>
      </c>
      <c r="HF9" s="7">
        <v>0</v>
      </c>
      <c r="HG9" s="7">
        <v>74.290000000000006</v>
      </c>
      <c r="HH9" s="7">
        <v>80.709999999999994</v>
      </c>
      <c r="HI9" s="7">
        <v>0</v>
      </c>
      <c r="HJ9" s="7">
        <v>0</v>
      </c>
      <c r="HK9" s="7">
        <v>0</v>
      </c>
      <c r="HL9" s="7">
        <v>59</v>
      </c>
      <c r="HM9" s="7">
        <v>50</v>
      </c>
      <c r="HN9" s="7">
        <v>60</v>
      </c>
      <c r="HO9" s="7">
        <v>55</v>
      </c>
      <c r="HP9" s="7">
        <v>58</v>
      </c>
      <c r="HQ9" s="7">
        <v>56</v>
      </c>
      <c r="HR9" s="7">
        <v>47</v>
      </c>
      <c r="HS9" s="7">
        <v>70</v>
      </c>
      <c r="HT9" s="7">
        <v>-1.2244999999999999</v>
      </c>
      <c r="HU9" s="7">
        <v>0</v>
      </c>
      <c r="HV9" s="7">
        <v>0.72399999999999998</v>
      </c>
      <c r="HW9" s="7">
        <v>35.229999999999997</v>
      </c>
      <c r="HX9" s="7">
        <v>38.03</v>
      </c>
      <c r="HY9" s="3"/>
      <c r="HZ9" s="3"/>
      <c r="IA9" s="7">
        <v>3.05</v>
      </c>
      <c r="IB9" s="7">
        <v>104</v>
      </c>
      <c r="IC9" s="7">
        <v>23.016999999999999</v>
      </c>
      <c r="ID9" s="7">
        <v>-0.215</v>
      </c>
      <c r="IE9" s="7">
        <v>-7.0000000000000007E-2</v>
      </c>
      <c r="IF9" s="7">
        <v>821.9</v>
      </c>
      <c r="IG9" s="7">
        <v>764.5</v>
      </c>
      <c r="IH9" s="7">
        <v>822.3</v>
      </c>
      <c r="II9" s="7">
        <v>778.4</v>
      </c>
      <c r="IJ9" s="7">
        <v>-6.7000000000000004E-2</v>
      </c>
      <c r="IK9" s="7">
        <v>-0.14299999999999999</v>
      </c>
      <c r="IL9" s="7">
        <v>71.942999999999998</v>
      </c>
      <c r="IM9" s="7">
        <v>71.942999999999998</v>
      </c>
      <c r="IN9" s="7">
        <v>13.936</v>
      </c>
      <c r="IO9" s="7">
        <v>0.374</v>
      </c>
      <c r="IP9" s="7">
        <v>10.79</v>
      </c>
      <c r="IQ9" s="7">
        <v>0</v>
      </c>
      <c r="IR9" s="7">
        <v>0</v>
      </c>
      <c r="IS9">
        <v>0.23400000000000001</v>
      </c>
      <c r="IT9">
        <v>0.11</v>
      </c>
    </row>
    <row r="10" spans="1:254" x14ac:dyDescent="0.25">
      <c r="IS10">
        <v>0.23400000000000001</v>
      </c>
      <c r="IT10">
        <v>0.11</v>
      </c>
    </row>
    <row r="11" spans="1:254" x14ac:dyDescent="0.25">
      <c r="IS11">
        <v>0.23400000000000001</v>
      </c>
      <c r="IT11">
        <v>0.11</v>
      </c>
    </row>
    <row r="12" spans="1:254" x14ac:dyDescent="0.25">
      <c r="IS12">
        <v>0.23400000000000001</v>
      </c>
      <c r="IT12">
        <v>0.11</v>
      </c>
    </row>
    <row r="13" spans="1:254" x14ac:dyDescent="0.25">
      <c r="B13" s="2" t="s">
        <v>412</v>
      </c>
      <c r="C13" s="2" t="s">
        <v>41</v>
      </c>
      <c r="D13" s="61">
        <v>3.3539351851851851E-3</v>
      </c>
      <c r="E13" s="50">
        <v>289.77800000000002</v>
      </c>
      <c r="F13" s="49">
        <v>331.4</v>
      </c>
      <c r="G13" s="49">
        <v>5.62</v>
      </c>
      <c r="H13" s="49">
        <v>28.9</v>
      </c>
      <c r="I13" s="50">
        <v>0</v>
      </c>
      <c r="J13" s="50">
        <v>46</v>
      </c>
      <c r="K13" s="49">
        <v>8</v>
      </c>
      <c r="L13" s="50">
        <v>3</v>
      </c>
      <c r="M13" s="50">
        <v>6</v>
      </c>
      <c r="N13" s="50">
        <v>3</v>
      </c>
      <c r="O13" s="50">
        <v>3</v>
      </c>
      <c r="P13" s="49">
        <v>0.747</v>
      </c>
      <c r="Q13" s="49">
        <v>1.298</v>
      </c>
      <c r="R13" s="49">
        <v>0.82299999999999995</v>
      </c>
      <c r="S13" s="49">
        <v>0.55600000000000005</v>
      </c>
      <c r="T13" s="49">
        <v>64.930000000000007</v>
      </c>
      <c r="U13" s="50">
        <v>60.720999999999997</v>
      </c>
      <c r="V13" s="50">
        <v>130</v>
      </c>
      <c r="W13" s="50">
        <v>135</v>
      </c>
      <c r="X13" s="50">
        <v>110</v>
      </c>
      <c r="Y13" s="50">
        <v>127.5</v>
      </c>
      <c r="Z13" s="49">
        <v>276.66000000000003</v>
      </c>
      <c r="AA13" s="49">
        <v>291.54000000000002</v>
      </c>
      <c r="AB13" s="49">
        <v>229.32</v>
      </c>
      <c r="AC13" s="49">
        <v>266.74</v>
      </c>
      <c r="AD13" s="49">
        <v>1.776</v>
      </c>
      <c r="AE13" s="49">
        <v>1.853</v>
      </c>
      <c r="AF13" s="49">
        <v>1.6679999999999999</v>
      </c>
      <c r="AG13" s="49">
        <v>1.696</v>
      </c>
      <c r="AH13" s="49">
        <v>65.400000000000006</v>
      </c>
      <c r="AI13" s="49">
        <v>61.19</v>
      </c>
      <c r="AJ13" s="49">
        <v>83.07</v>
      </c>
      <c r="AK13" s="49">
        <v>80.349999999999994</v>
      </c>
      <c r="AL13" s="49">
        <v>608.34400000000005</v>
      </c>
      <c r="AM13" s="49">
        <v>631.48199999999997</v>
      </c>
      <c r="AN13" s="49">
        <v>740.42700000000002</v>
      </c>
      <c r="AO13" s="49">
        <v>730.61900000000003</v>
      </c>
      <c r="AP13" s="50">
        <v>1.401</v>
      </c>
      <c r="AQ13" s="50">
        <v>1.88</v>
      </c>
      <c r="AR13" s="49">
        <v>38.780999999999999</v>
      </c>
      <c r="AS13" s="49">
        <v>31.879000000000001</v>
      </c>
      <c r="AT13" s="50">
        <v>87</v>
      </c>
      <c r="AU13" s="49">
        <v>111</v>
      </c>
      <c r="AV13" s="49">
        <v>2.597</v>
      </c>
      <c r="AW13" s="49">
        <v>5.3297999999999996</v>
      </c>
      <c r="AX13" s="50">
        <v>1019.6</v>
      </c>
      <c r="AY13" s="50">
        <v>2.4700000000000002</v>
      </c>
      <c r="AZ13" s="49">
        <v>5.7</v>
      </c>
      <c r="BA13" s="49">
        <v>67.099999999999994</v>
      </c>
      <c r="BB13" s="49">
        <v>67.203000000000003</v>
      </c>
      <c r="BC13" s="49">
        <v>7747</v>
      </c>
      <c r="BD13" s="49">
        <v>88.75</v>
      </c>
      <c r="BE13" s="49">
        <v>16.004999999999999</v>
      </c>
      <c r="BF13" s="49">
        <v>13.48</v>
      </c>
      <c r="BG13" s="49">
        <v>26.25</v>
      </c>
      <c r="BH13" s="49">
        <v>25.53</v>
      </c>
      <c r="BI13" s="49">
        <v>63.682000000000002</v>
      </c>
      <c r="BJ13" s="49">
        <v>80.177999999999997</v>
      </c>
      <c r="BK13" s="49">
        <v>61.938000000000002</v>
      </c>
      <c r="BL13" s="50">
        <v>77.462000000000003</v>
      </c>
      <c r="BM13" s="49">
        <v>77.62</v>
      </c>
      <c r="BN13" s="50">
        <v>151.94399999999999</v>
      </c>
      <c r="BO13" s="50">
        <v>147.06399999999999</v>
      </c>
      <c r="BP13" s="49">
        <v>140.82400000000001</v>
      </c>
      <c r="BQ13" s="49">
        <v>135.49600000000001</v>
      </c>
      <c r="BR13" s="49">
        <v>58.741</v>
      </c>
      <c r="BS13" s="49">
        <v>28.5</v>
      </c>
      <c r="BT13" s="49">
        <v>6255.1989999999996</v>
      </c>
      <c r="BU13" s="49">
        <v>49.725999999999999</v>
      </c>
      <c r="BV13" s="49">
        <v>56.109000000000002</v>
      </c>
      <c r="BW13" s="50">
        <v>57.225999999999999</v>
      </c>
      <c r="BX13" s="49">
        <v>57.817</v>
      </c>
      <c r="BY13" s="49">
        <v>1.3839999999999999</v>
      </c>
      <c r="BZ13" s="49">
        <v>2.4420000000000002</v>
      </c>
      <c r="CA13" s="49">
        <v>3.335</v>
      </c>
      <c r="CB13" s="49">
        <v>3.1160000000000001</v>
      </c>
      <c r="CC13" s="49">
        <v>1.1990000000000001</v>
      </c>
      <c r="CD13" s="49">
        <v>2.4369999999999998</v>
      </c>
      <c r="CE13" s="50">
        <v>1.379</v>
      </c>
      <c r="CF13" s="49">
        <v>2.1989999999999998</v>
      </c>
      <c r="CG13" s="49">
        <v>13.632999999999999</v>
      </c>
      <c r="CH13" s="50">
        <v>9.7759999999999998</v>
      </c>
      <c r="CI13" s="50">
        <v>6.0579999999999998</v>
      </c>
      <c r="CJ13" s="49">
        <v>3.3</v>
      </c>
      <c r="CK13" s="49">
        <v>1.58</v>
      </c>
      <c r="CL13" s="49">
        <v>0</v>
      </c>
      <c r="CM13" s="49">
        <v>0.6</v>
      </c>
      <c r="CN13" s="49">
        <v>0</v>
      </c>
      <c r="CO13" s="49">
        <v>0</v>
      </c>
      <c r="CP13" s="50">
        <v>112.173</v>
      </c>
      <c r="CQ13" s="50">
        <v>111.22499999999999</v>
      </c>
      <c r="CR13" s="49">
        <v>121.277</v>
      </c>
      <c r="CS13" s="49">
        <v>118.735</v>
      </c>
      <c r="CT13" s="50">
        <v>1.3069999999999999</v>
      </c>
      <c r="CU13" s="49">
        <v>0.998</v>
      </c>
      <c r="CV13" s="49">
        <v>1.5029999999999999</v>
      </c>
      <c r="CW13" s="49">
        <v>1.3</v>
      </c>
      <c r="CX13" s="49">
        <v>1.7989999999999999</v>
      </c>
      <c r="CY13" s="49">
        <v>0.7</v>
      </c>
      <c r="CZ13" s="49">
        <v>1.895</v>
      </c>
      <c r="DA13" s="49">
        <v>0.89800000000000002</v>
      </c>
      <c r="DB13" s="49">
        <v>0.60299999999999998</v>
      </c>
      <c r="DC13" s="50">
        <v>0</v>
      </c>
      <c r="DD13" s="50">
        <v>0</v>
      </c>
      <c r="DE13" s="49">
        <v>0.224</v>
      </c>
      <c r="DF13" s="49">
        <v>0.125</v>
      </c>
      <c r="DG13" s="49">
        <v>0.109</v>
      </c>
      <c r="DH13" s="49">
        <v>2.149</v>
      </c>
      <c r="DI13" s="49">
        <v>1.21</v>
      </c>
      <c r="DJ13" s="49">
        <v>0.21</v>
      </c>
      <c r="DK13" s="49">
        <v>0.88200000000000001</v>
      </c>
      <c r="DL13" s="49">
        <v>0.41099999999999998</v>
      </c>
      <c r="DM13" s="49">
        <v>0.52200000000000002</v>
      </c>
      <c r="DN13" s="49">
        <v>0.42399999999999999</v>
      </c>
      <c r="DO13" s="50">
        <v>0.4</v>
      </c>
      <c r="DP13" s="49">
        <v>62.136000000000003</v>
      </c>
      <c r="DQ13" s="50">
        <v>63.62</v>
      </c>
      <c r="DR13" s="49">
        <v>53.082000000000001</v>
      </c>
      <c r="DS13" s="49">
        <v>50.463999999999999</v>
      </c>
      <c r="DT13" s="49">
        <v>4.17</v>
      </c>
      <c r="DU13" s="49">
        <v>4.1399999999999997</v>
      </c>
      <c r="DV13" s="49">
        <v>8.68</v>
      </c>
      <c r="DW13" s="49">
        <v>7.83</v>
      </c>
      <c r="DX13" s="49">
        <v>4.21</v>
      </c>
      <c r="DY13" s="49">
        <v>4.09</v>
      </c>
      <c r="DZ13" s="49">
        <v>8.2200000000000006</v>
      </c>
      <c r="EA13" s="49">
        <v>7.28</v>
      </c>
      <c r="EB13" s="49">
        <v>37.22</v>
      </c>
      <c r="EC13" s="49">
        <v>37.380000000000003</v>
      </c>
      <c r="ED13" s="49">
        <v>29.38</v>
      </c>
      <c r="EE13" s="49">
        <v>30.17</v>
      </c>
      <c r="EF13" s="50">
        <v>54.4</v>
      </c>
      <c r="EG13" s="50">
        <v>54.38</v>
      </c>
      <c r="EH13" s="50">
        <v>53.71</v>
      </c>
      <c r="EI13" s="50">
        <v>54.72</v>
      </c>
      <c r="EJ13" s="49">
        <v>5.1420000000000003</v>
      </c>
      <c r="EK13" s="49">
        <v>57.231000000000002</v>
      </c>
      <c r="EL13" s="50">
        <v>2.25</v>
      </c>
      <c r="EM13" s="50">
        <v>1.25</v>
      </c>
      <c r="EN13" s="49">
        <v>1.24</v>
      </c>
      <c r="EO13" s="49">
        <v>1.25</v>
      </c>
      <c r="EP13" s="49">
        <v>-108.85</v>
      </c>
      <c r="EQ13" s="50">
        <v>-1.1559999999999999</v>
      </c>
      <c r="ER13" s="49">
        <v>107.81399999999999</v>
      </c>
      <c r="ES13" s="49">
        <v>1.3620000000000001</v>
      </c>
      <c r="ET13" s="49">
        <v>1.4079999999999999</v>
      </c>
      <c r="EU13" s="49">
        <v>1.3120000000000001</v>
      </c>
      <c r="EV13" s="49">
        <v>7.4509999999999996</v>
      </c>
      <c r="EW13" s="49">
        <v>0.38300000000000001</v>
      </c>
      <c r="EX13" s="49">
        <v>-221.12</v>
      </c>
      <c r="EY13" s="49">
        <v>0</v>
      </c>
      <c r="EZ13" s="50">
        <v>24.507000000000001</v>
      </c>
      <c r="FA13" s="50">
        <v>0</v>
      </c>
      <c r="FB13" s="49">
        <v>8.99</v>
      </c>
      <c r="FC13" s="49">
        <v>74.778000000000006</v>
      </c>
      <c r="FD13" s="49">
        <v>66.436999999999998</v>
      </c>
      <c r="FE13" s="49">
        <v>76.805000000000007</v>
      </c>
      <c r="FF13" s="49">
        <v>75.515000000000001</v>
      </c>
      <c r="FG13" s="50">
        <v>1.0369999999999999</v>
      </c>
      <c r="FH13" s="50">
        <v>1.0469999999999999</v>
      </c>
      <c r="FI13" s="50">
        <v>0.996</v>
      </c>
      <c r="FJ13" s="50">
        <v>0.999</v>
      </c>
      <c r="FK13" s="50">
        <v>0.40300000000000002</v>
      </c>
      <c r="FL13" s="50">
        <v>87</v>
      </c>
      <c r="FM13" s="50">
        <v>3.51</v>
      </c>
      <c r="FN13" s="49">
        <v>-0.44</v>
      </c>
      <c r="FO13" s="49">
        <v>5.44</v>
      </c>
      <c r="FP13" s="50">
        <v>0.4</v>
      </c>
      <c r="FQ13" s="50">
        <v>0.3</v>
      </c>
      <c r="FR13" s="49">
        <v>5.0999999999999996</v>
      </c>
      <c r="FS13" s="49">
        <v>6.7774999999999999</v>
      </c>
      <c r="FT13" s="49">
        <v>1078.2</v>
      </c>
      <c r="FU13" s="49">
        <v>6.58</v>
      </c>
      <c r="FV13" s="49">
        <v>5.62</v>
      </c>
      <c r="FW13" s="50">
        <v>3254</v>
      </c>
      <c r="FX13" s="49">
        <v>168000</v>
      </c>
      <c r="FY13" s="50">
        <v>171200</v>
      </c>
      <c r="FZ13" s="50">
        <v>49.442999999999998</v>
      </c>
      <c r="GA13" s="50">
        <v>48.405000000000001</v>
      </c>
      <c r="GB13" s="50">
        <v>2473.8000000000002</v>
      </c>
      <c r="GC13" s="49">
        <v>2260.6999999999998</v>
      </c>
      <c r="GD13" s="50">
        <v>2473.8000000000002</v>
      </c>
      <c r="GE13" s="49">
        <v>2260.6999999999998</v>
      </c>
      <c r="GF13" s="49">
        <v>1380.7344000000001</v>
      </c>
      <c r="GG13" s="50">
        <v>30</v>
      </c>
      <c r="GH13" s="49">
        <v>29.5</v>
      </c>
      <c r="GI13" s="50">
        <v>70.3</v>
      </c>
      <c r="GJ13" s="50">
        <v>75.099999999999994</v>
      </c>
      <c r="GK13" s="50">
        <v>95</v>
      </c>
      <c r="GL13" s="49">
        <v>89.3</v>
      </c>
      <c r="GM13" s="50">
        <v>0</v>
      </c>
      <c r="GN13" s="49">
        <v>25.346</v>
      </c>
      <c r="GO13" s="49">
        <v>108.85</v>
      </c>
      <c r="GP13" s="50">
        <v>0</v>
      </c>
      <c r="GQ13" s="50">
        <v>4.13</v>
      </c>
      <c r="GR13" s="50">
        <v>0</v>
      </c>
      <c r="GS13" s="50">
        <v>4.0119999999999996</v>
      </c>
      <c r="GT13" s="50">
        <v>0</v>
      </c>
      <c r="GU13" s="50">
        <v>3.7170000000000001</v>
      </c>
      <c r="GV13" s="50">
        <v>0</v>
      </c>
      <c r="GW13" s="49">
        <v>12.161</v>
      </c>
      <c r="GX13" s="50">
        <v>22.54</v>
      </c>
      <c r="GY13" s="50">
        <v>0</v>
      </c>
      <c r="GZ13" s="50">
        <v>0</v>
      </c>
      <c r="HA13" s="50">
        <v>0</v>
      </c>
      <c r="HB13" s="50">
        <v>1</v>
      </c>
      <c r="HC13" s="50">
        <v>27.405999999999999</v>
      </c>
      <c r="HD13" s="50">
        <v>90</v>
      </c>
      <c r="HE13" s="50">
        <v>0</v>
      </c>
      <c r="HF13" s="50">
        <v>0</v>
      </c>
      <c r="HG13" s="50">
        <v>88.85</v>
      </c>
      <c r="HH13" s="49">
        <v>82.58</v>
      </c>
      <c r="HI13" s="50">
        <v>0</v>
      </c>
      <c r="HJ13" s="50">
        <v>0</v>
      </c>
      <c r="HK13" s="50">
        <v>0</v>
      </c>
      <c r="HL13" s="50">
        <v>73</v>
      </c>
      <c r="HM13" s="50">
        <v>55</v>
      </c>
      <c r="HN13" s="49">
        <v>62</v>
      </c>
      <c r="HO13" s="49">
        <v>56</v>
      </c>
      <c r="HP13" s="49">
        <v>58</v>
      </c>
      <c r="HQ13" s="49">
        <v>56</v>
      </c>
      <c r="HR13" s="49">
        <v>50</v>
      </c>
      <c r="HS13" s="49">
        <v>62</v>
      </c>
      <c r="HT13" s="50">
        <v>-1.2989999999999999</v>
      </c>
      <c r="HU13" s="50">
        <v>0</v>
      </c>
      <c r="HV13" s="49">
        <v>0.20399999999999999</v>
      </c>
      <c r="HW13" s="49">
        <v>37.020000000000003</v>
      </c>
      <c r="HX13" s="49">
        <v>47.6</v>
      </c>
      <c r="HY13" s="3"/>
      <c r="HZ13" s="3"/>
      <c r="IA13" s="49">
        <v>2.637</v>
      </c>
      <c r="IB13" s="49">
        <v>99</v>
      </c>
      <c r="IC13" s="49">
        <v>18.283999999999999</v>
      </c>
      <c r="ID13" s="50">
        <v>-0.151</v>
      </c>
      <c r="IE13" s="50">
        <v>-3.3000000000000002E-2</v>
      </c>
      <c r="IF13" s="49">
        <v>817</v>
      </c>
      <c r="IG13" s="49">
        <v>641.29999999999995</v>
      </c>
      <c r="IH13" s="49">
        <v>828.4</v>
      </c>
      <c r="II13" s="49">
        <v>654</v>
      </c>
      <c r="IJ13" s="50">
        <v>8.4000000000000005E-2</v>
      </c>
      <c r="IK13" s="50">
        <v>-5.0000000000000001E-3</v>
      </c>
      <c r="IL13" s="50">
        <v>134.124</v>
      </c>
      <c r="IM13" s="50">
        <v>134.124</v>
      </c>
      <c r="IN13" s="49">
        <v>13.132</v>
      </c>
      <c r="IO13" s="49">
        <v>0.39700000000000002</v>
      </c>
      <c r="IP13" s="50">
        <v>11.2</v>
      </c>
      <c r="IQ13" s="49">
        <v>1.2999999999999999E-2</v>
      </c>
      <c r="IR13" s="50">
        <v>1.4999999999999999E-2</v>
      </c>
      <c r="IS13">
        <v>0.23400000000000001</v>
      </c>
      <c r="IT13">
        <v>0.11</v>
      </c>
    </row>
    <row r="14" spans="1:254" x14ac:dyDescent="0.25">
      <c r="B14" s="2" t="s">
        <v>412</v>
      </c>
      <c r="C14" s="2" t="s">
        <v>42</v>
      </c>
      <c r="D14" s="61">
        <v>2.4716435185185184E-3</v>
      </c>
      <c r="E14" s="49">
        <v>213.59</v>
      </c>
      <c r="F14" s="49">
        <v>333.32</v>
      </c>
      <c r="G14" s="49">
        <v>5.77</v>
      </c>
      <c r="H14" s="49">
        <v>29.3</v>
      </c>
      <c r="I14" s="50">
        <v>0</v>
      </c>
      <c r="J14" s="49">
        <v>14.6</v>
      </c>
      <c r="K14" s="49">
        <v>8</v>
      </c>
      <c r="L14" s="50">
        <v>3</v>
      </c>
      <c r="M14" s="50">
        <v>6</v>
      </c>
      <c r="N14" s="50">
        <v>3</v>
      </c>
      <c r="O14" s="50">
        <v>3</v>
      </c>
      <c r="P14" s="49">
        <v>0.69899999999999995</v>
      </c>
      <c r="Q14" s="49">
        <v>1.349</v>
      </c>
      <c r="R14" s="49">
        <v>0.60399999999999998</v>
      </c>
      <c r="S14" s="49">
        <v>0.71399999999999997</v>
      </c>
      <c r="T14" s="49">
        <v>73.52</v>
      </c>
      <c r="U14" s="49">
        <v>60.109000000000002</v>
      </c>
      <c r="V14" s="49">
        <v>248.34</v>
      </c>
      <c r="W14" s="49">
        <v>260</v>
      </c>
      <c r="X14" s="49">
        <v>208.34</v>
      </c>
      <c r="Y14" s="49">
        <v>251.66</v>
      </c>
      <c r="Z14" s="49">
        <v>397.61</v>
      </c>
      <c r="AA14" s="49">
        <v>406.45</v>
      </c>
      <c r="AB14" s="49">
        <v>334.49</v>
      </c>
      <c r="AC14" s="49">
        <v>392.81</v>
      </c>
      <c r="AD14" s="49">
        <v>1.8149999999999999</v>
      </c>
      <c r="AE14" s="49">
        <v>1.87</v>
      </c>
      <c r="AF14" s="49">
        <v>1.786</v>
      </c>
      <c r="AG14" s="49">
        <v>1.8069999999999999</v>
      </c>
      <c r="AH14" s="49">
        <v>81.290000000000006</v>
      </c>
      <c r="AI14" s="49">
        <v>76.42</v>
      </c>
      <c r="AJ14" s="49">
        <v>107.86</v>
      </c>
      <c r="AK14" s="49">
        <v>103.05</v>
      </c>
      <c r="AL14" s="49">
        <v>647.67999999999995</v>
      </c>
      <c r="AM14" s="49">
        <v>671.16600000000005</v>
      </c>
      <c r="AN14" s="49">
        <v>827.78499999999997</v>
      </c>
      <c r="AO14" s="49">
        <v>788.43700000000001</v>
      </c>
      <c r="AP14" s="49">
        <v>1.3939999999999999</v>
      </c>
      <c r="AQ14" s="49">
        <v>1.865</v>
      </c>
      <c r="AR14" s="49">
        <v>41.143999999999998</v>
      </c>
      <c r="AS14" s="49">
        <v>34.872999999999998</v>
      </c>
      <c r="AT14" s="49">
        <v>83</v>
      </c>
      <c r="AU14" s="49">
        <v>116</v>
      </c>
      <c r="AV14" s="49">
        <v>2.6145</v>
      </c>
      <c r="AW14" s="50">
        <v>5.4661999999999997</v>
      </c>
      <c r="AX14" s="49">
        <v>1018.9</v>
      </c>
      <c r="AY14" s="49">
        <v>1.91</v>
      </c>
      <c r="AZ14" s="49">
        <v>5.76</v>
      </c>
      <c r="BA14" s="49">
        <v>97.081000000000003</v>
      </c>
      <c r="BB14" s="49">
        <v>92.271000000000001</v>
      </c>
      <c r="BC14" s="49">
        <v>7722</v>
      </c>
      <c r="BD14" s="49">
        <v>88.75</v>
      </c>
      <c r="BE14" s="49">
        <v>15.84</v>
      </c>
      <c r="BF14" s="49">
        <v>12.465</v>
      </c>
      <c r="BG14" s="49">
        <v>28.25</v>
      </c>
      <c r="BH14" s="49">
        <v>25.26</v>
      </c>
      <c r="BI14" s="3"/>
      <c r="BJ14" s="3"/>
      <c r="BK14" s="3"/>
      <c r="BL14" s="3"/>
      <c r="BM14" s="3"/>
      <c r="BN14" s="49">
        <v>104.84</v>
      </c>
      <c r="BO14" s="49">
        <v>102.024</v>
      </c>
      <c r="BP14" s="49">
        <v>139.01599999999999</v>
      </c>
      <c r="BQ14" s="49">
        <v>138.184</v>
      </c>
      <c r="BR14" s="3"/>
      <c r="BS14" s="49">
        <v>28.9</v>
      </c>
      <c r="BT14" s="50">
        <v>7418.11</v>
      </c>
      <c r="BU14" s="49">
        <v>50.798000000000002</v>
      </c>
      <c r="BV14" s="49">
        <v>54.884</v>
      </c>
      <c r="BW14" s="49">
        <v>56.616999999999997</v>
      </c>
      <c r="BX14" s="49">
        <v>57.048000000000002</v>
      </c>
      <c r="BY14" s="49">
        <v>1.482</v>
      </c>
      <c r="BZ14" s="50">
        <v>3.06</v>
      </c>
      <c r="CA14" s="49">
        <v>3.7429999999999999</v>
      </c>
      <c r="CB14" s="49">
        <v>3.6160000000000001</v>
      </c>
      <c r="CC14" s="50">
        <v>1.325</v>
      </c>
      <c r="CD14" s="50">
        <v>2.5019999999999998</v>
      </c>
      <c r="CE14" s="49">
        <v>1.3520000000000001</v>
      </c>
      <c r="CF14" s="50">
        <v>2.2040000000000002</v>
      </c>
      <c r="CG14" s="49">
        <v>13.944000000000001</v>
      </c>
      <c r="CH14" s="49">
        <v>13.779</v>
      </c>
      <c r="CI14" s="49">
        <v>5.3479999999999999</v>
      </c>
      <c r="CJ14" s="50">
        <v>3.415</v>
      </c>
      <c r="CK14" s="49">
        <v>1.6819999999999999</v>
      </c>
      <c r="CL14" s="49">
        <v>0.1</v>
      </c>
      <c r="CM14" s="49">
        <v>0.3</v>
      </c>
      <c r="CN14" s="49">
        <v>0</v>
      </c>
      <c r="CO14" s="49">
        <v>0</v>
      </c>
      <c r="CP14" s="49">
        <v>98.147999999999996</v>
      </c>
      <c r="CQ14" s="49">
        <v>97.213999999999999</v>
      </c>
      <c r="CR14" s="49">
        <v>129.71600000000001</v>
      </c>
      <c r="CS14" s="49">
        <v>130.286</v>
      </c>
      <c r="CT14" s="49">
        <v>0.32300000000000001</v>
      </c>
      <c r="CU14" s="49">
        <v>1</v>
      </c>
      <c r="CV14" s="49">
        <v>0.997</v>
      </c>
      <c r="CW14" s="49">
        <v>1.198</v>
      </c>
      <c r="CX14" s="49">
        <v>1.1000000000000001</v>
      </c>
      <c r="CY14" s="49">
        <v>0.79900000000000004</v>
      </c>
      <c r="CZ14" s="49">
        <v>0.79800000000000004</v>
      </c>
      <c r="DA14" s="49">
        <v>0.5</v>
      </c>
      <c r="DB14" s="49">
        <v>1.504</v>
      </c>
      <c r="DC14" s="50">
        <v>0</v>
      </c>
      <c r="DD14" s="50">
        <v>0</v>
      </c>
      <c r="DE14" s="49">
        <v>0.28699999999999998</v>
      </c>
      <c r="DF14" s="49">
        <v>0.114</v>
      </c>
      <c r="DG14" s="49">
        <v>0.55100000000000005</v>
      </c>
      <c r="DH14" s="49">
        <v>2.35</v>
      </c>
      <c r="DI14" s="49">
        <v>1.369</v>
      </c>
      <c r="DJ14" s="49">
        <v>0.14599999999999999</v>
      </c>
      <c r="DK14" s="49">
        <v>0.82899999999999996</v>
      </c>
      <c r="DL14" s="49">
        <v>0.40799999999999997</v>
      </c>
      <c r="DM14" s="49">
        <v>0.45900000000000002</v>
      </c>
      <c r="DN14" s="49">
        <v>0.39600000000000002</v>
      </c>
      <c r="DO14" s="49">
        <v>0.316</v>
      </c>
      <c r="DP14" s="49">
        <v>66.415999999999997</v>
      </c>
      <c r="DQ14" s="49">
        <v>57.921999999999997</v>
      </c>
      <c r="DR14" s="49">
        <v>53.674999999999997</v>
      </c>
      <c r="DS14" s="49">
        <v>51.670999999999999</v>
      </c>
      <c r="DT14" s="49">
        <v>6.35</v>
      </c>
      <c r="DU14" s="49">
        <v>6.16</v>
      </c>
      <c r="DV14" s="49">
        <v>13.33</v>
      </c>
      <c r="DW14" s="49">
        <v>11.41</v>
      </c>
      <c r="DX14" s="49">
        <v>6.69</v>
      </c>
      <c r="DY14" s="50">
        <v>6.63</v>
      </c>
      <c r="DZ14" s="49">
        <v>12.85</v>
      </c>
      <c r="EA14" s="49">
        <v>11.16</v>
      </c>
      <c r="EB14" s="49">
        <v>41.96</v>
      </c>
      <c r="EC14" s="49">
        <v>41.59</v>
      </c>
      <c r="ED14" s="49">
        <v>32.520000000000003</v>
      </c>
      <c r="EE14" s="49">
        <v>34.42</v>
      </c>
      <c r="EF14" s="49">
        <v>45</v>
      </c>
      <c r="EG14" s="49">
        <v>45.61</v>
      </c>
      <c r="EH14" s="49">
        <v>41.3</v>
      </c>
      <c r="EI14" s="49">
        <v>43.01</v>
      </c>
      <c r="EJ14" s="49">
        <v>6.1529999999999996</v>
      </c>
      <c r="EK14" s="49">
        <v>58.555</v>
      </c>
      <c r="EL14" s="49">
        <v>1.7</v>
      </c>
      <c r="EM14" s="49">
        <v>1.4</v>
      </c>
      <c r="EN14" s="49">
        <v>1.23</v>
      </c>
      <c r="EO14" s="49">
        <v>1.23</v>
      </c>
      <c r="EP14" s="49">
        <v>-104.178</v>
      </c>
      <c r="EQ14" s="49">
        <v>-2.6920000000000002</v>
      </c>
      <c r="ER14" s="49">
        <v>92.921999999999997</v>
      </c>
      <c r="ES14" s="50">
        <v>1.5609999999999999</v>
      </c>
      <c r="ET14" s="49">
        <v>1.653</v>
      </c>
      <c r="EU14" s="50">
        <v>1.484</v>
      </c>
      <c r="EV14" s="49">
        <v>7.468</v>
      </c>
      <c r="EW14" s="49">
        <v>0.39500000000000002</v>
      </c>
      <c r="EX14" s="49">
        <v>73.64</v>
      </c>
      <c r="EY14" s="49">
        <v>0</v>
      </c>
      <c r="EZ14" s="49">
        <v>0</v>
      </c>
      <c r="FA14" s="50">
        <v>0</v>
      </c>
      <c r="FB14" s="49">
        <v>9.1739999999999995</v>
      </c>
      <c r="FC14" s="49">
        <v>71.3</v>
      </c>
      <c r="FD14" s="49">
        <v>66.17</v>
      </c>
      <c r="FE14" s="49">
        <v>80.724000000000004</v>
      </c>
      <c r="FF14" s="49">
        <v>78.385999999999996</v>
      </c>
      <c r="FG14" s="49">
        <v>0.94499999999999995</v>
      </c>
      <c r="FH14" s="49">
        <v>0.94599999999999995</v>
      </c>
      <c r="FI14" s="49">
        <v>0.98599999999999999</v>
      </c>
      <c r="FJ14" s="49">
        <v>0.99</v>
      </c>
      <c r="FK14" s="49">
        <v>0</v>
      </c>
      <c r="FL14" s="49">
        <v>83</v>
      </c>
      <c r="FM14" s="49">
        <v>3.28</v>
      </c>
      <c r="FN14" s="49">
        <v>0.14000000000000001</v>
      </c>
      <c r="FO14" s="49">
        <v>5.49</v>
      </c>
      <c r="FP14" s="3"/>
      <c r="FQ14" s="49">
        <v>4.7</v>
      </c>
      <c r="FR14" s="49">
        <v>5.2</v>
      </c>
      <c r="FS14" s="50">
        <v>6.8520000000000003</v>
      </c>
      <c r="FT14" s="49">
        <v>1074.8</v>
      </c>
      <c r="FU14" s="49">
        <v>6.71</v>
      </c>
      <c r="FV14" s="49">
        <v>11.38</v>
      </c>
      <c r="FW14" s="49">
        <v>3128.5</v>
      </c>
      <c r="FX14" s="49">
        <v>166800</v>
      </c>
      <c r="FY14" s="49">
        <v>168000</v>
      </c>
      <c r="FZ14" s="49">
        <v>48.354999999999997</v>
      </c>
      <c r="GA14" s="49">
        <v>47.106000000000002</v>
      </c>
      <c r="GB14" s="49">
        <v>2171.1</v>
      </c>
      <c r="GC14" s="49">
        <v>2222.8000000000002</v>
      </c>
      <c r="GD14" s="49">
        <v>2199.4</v>
      </c>
      <c r="GE14" s="49">
        <v>2331.4</v>
      </c>
      <c r="GF14" s="50">
        <v>1455.6094000000001</v>
      </c>
      <c r="GG14" s="49">
        <v>27</v>
      </c>
      <c r="GH14" s="49">
        <v>26.8</v>
      </c>
      <c r="GI14" s="49">
        <v>52.7</v>
      </c>
      <c r="GJ14" s="49">
        <v>57.6</v>
      </c>
      <c r="GK14" s="49">
        <v>99.5</v>
      </c>
      <c r="GL14" s="49">
        <v>90</v>
      </c>
      <c r="GM14" s="50">
        <v>0</v>
      </c>
      <c r="GN14" s="49">
        <v>26.084</v>
      </c>
      <c r="GO14" s="49">
        <v>104.178</v>
      </c>
      <c r="GP14" s="49">
        <v>1.0029999999999999</v>
      </c>
      <c r="GQ14" s="49">
        <v>1.9470000000000001</v>
      </c>
      <c r="GR14" s="49">
        <v>1.298</v>
      </c>
      <c r="GS14" s="49">
        <v>2.0059999999999998</v>
      </c>
      <c r="GT14" s="49">
        <v>0.82599999999999996</v>
      </c>
      <c r="GU14" s="49">
        <v>1.829</v>
      </c>
      <c r="GV14" s="49">
        <v>13.034000000000001</v>
      </c>
      <c r="GW14" s="49">
        <v>14.074</v>
      </c>
      <c r="GX14" s="49">
        <v>15.385999999999999</v>
      </c>
      <c r="GY14" s="50">
        <v>0</v>
      </c>
      <c r="GZ14" s="50">
        <v>0</v>
      </c>
      <c r="HA14" s="50">
        <v>0</v>
      </c>
      <c r="HB14" s="49">
        <v>0</v>
      </c>
      <c r="HC14" s="49">
        <v>23.37</v>
      </c>
      <c r="HD14" s="49">
        <v>82</v>
      </c>
      <c r="HE14" s="50">
        <v>0</v>
      </c>
      <c r="HF14" s="50">
        <v>0</v>
      </c>
      <c r="HG14" s="49">
        <v>75.69</v>
      </c>
      <c r="HH14" s="49">
        <v>82.5</v>
      </c>
      <c r="HI14" s="50">
        <v>0</v>
      </c>
      <c r="HJ14" s="50">
        <v>0</v>
      </c>
      <c r="HK14" s="50">
        <v>0</v>
      </c>
      <c r="HL14" s="49">
        <v>65</v>
      </c>
      <c r="HM14" s="49">
        <v>54</v>
      </c>
      <c r="HN14" s="49">
        <v>63</v>
      </c>
      <c r="HO14" s="49">
        <v>57</v>
      </c>
      <c r="HP14" s="49">
        <v>60</v>
      </c>
      <c r="HQ14" s="49">
        <v>58</v>
      </c>
      <c r="HR14" s="49">
        <v>50</v>
      </c>
      <c r="HS14" s="49">
        <v>62</v>
      </c>
      <c r="HT14" s="49">
        <v>-1.298</v>
      </c>
      <c r="HU14" s="50">
        <v>0</v>
      </c>
      <c r="HV14" s="49">
        <v>1.1879999999999999</v>
      </c>
      <c r="HW14" s="49">
        <v>37.020000000000003</v>
      </c>
      <c r="HX14" s="50">
        <v>44.16</v>
      </c>
      <c r="HY14" s="50">
        <v>49.18</v>
      </c>
      <c r="HZ14" s="49">
        <v>59.62</v>
      </c>
      <c r="IA14" s="49">
        <v>2.8740000000000001</v>
      </c>
      <c r="IB14" s="49">
        <v>104</v>
      </c>
      <c r="IC14" s="49">
        <v>22.917999999999999</v>
      </c>
      <c r="ID14" s="49">
        <v>-0.26400000000000001</v>
      </c>
      <c r="IE14" s="49">
        <v>-8.5999999999999993E-2</v>
      </c>
      <c r="IF14" s="49">
        <v>823.9</v>
      </c>
      <c r="IG14" s="49">
        <v>771.4</v>
      </c>
      <c r="IH14" s="49">
        <v>832.2</v>
      </c>
      <c r="II14" s="49">
        <v>785.8</v>
      </c>
      <c r="IJ14" s="49">
        <v>1.0999999999999999E-2</v>
      </c>
      <c r="IK14" s="49">
        <v>-0.11600000000000001</v>
      </c>
      <c r="IL14" s="49">
        <v>73.87</v>
      </c>
      <c r="IM14" s="49">
        <v>73.87</v>
      </c>
      <c r="IN14" s="49">
        <v>14.423999999999999</v>
      </c>
      <c r="IO14" s="50">
        <v>0.74399999999999999</v>
      </c>
      <c r="IP14" s="49">
        <v>11.1</v>
      </c>
      <c r="IQ14" s="49">
        <v>7.0000000000000001E-3</v>
      </c>
      <c r="IR14" s="49">
        <v>0.01</v>
      </c>
      <c r="IS14">
        <v>0.24100000000000002</v>
      </c>
      <c r="IT14">
        <v>0.12</v>
      </c>
    </row>
    <row r="15" spans="1:254" x14ac:dyDescent="0.25">
      <c r="B15" s="2" t="s">
        <v>412</v>
      </c>
      <c r="C15" s="2" t="s">
        <v>43</v>
      </c>
      <c r="D15" s="61">
        <v>2.4660879629629629E-3</v>
      </c>
      <c r="E15" s="49">
        <v>213.11</v>
      </c>
      <c r="F15" s="49">
        <v>330.51</v>
      </c>
      <c r="G15" s="49">
        <v>5.84</v>
      </c>
      <c r="H15" s="49">
        <v>29.3</v>
      </c>
      <c r="I15" s="50">
        <v>0</v>
      </c>
      <c r="J15" s="49">
        <v>14.2</v>
      </c>
      <c r="K15" s="49">
        <v>9</v>
      </c>
      <c r="L15" s="50">
        <v>3</v>
      </c>
      <c r="M15" s="50">
        <v>6</v>
      </c>
      <c r="N15" s="50">
        <v>3</v>
      </c>
      <c r="O15" s="50">
        <v>3</v>
      </c>
      <c r="P15" s="49">
        <v>0.68300000000000005</v>
      </c>
      <c r="Q15" s="49">
        <v>1.276</v>
      </c>
      <c r="R15" s="49">
        <v>0.45400000000000001</v>
      </c>
      <c r="S15" s="50">
        <v>0.81</v>
      </c>
      <c r="T15" s="49">
        <v>74.78</v>
      </c>
      <c r="U15" s="49">
        <v>60.107999999999997</v>
      </c>
      <c r="V15" s="49">
        <v>255</v>
      </c>
      <c r="W15" s="49">
        <v>266.66000000000003</v>
      </c>
      <c r="X15" s="49">
        <v>206.66</v>
      </c>
      <c r="Y15" s="49">
        <v>248.34</v>
      </c>
      <c r="Z15" s="50">
        <v>404.61</v>
      </c>
      <c r="AA15" s="50">
        <v>418.28</v>
      </c>
      <c r="AB15" s="50">
        <v>345.95</v>
      </c>
      <c r="AC15" s="50">
        <v>408.82</v>
      </c>
      <c r="AD15" s="49">
        <v>1.839</v>
      </c>
      <c r="AE15" s="49">
        <v>1.889</v>
      </c>
      <c r="AF15" s="49">
        <v>1.829</v>
      </c>
      <c r="AG15" s="49">
        <v>1.847</v>
      </c>
      <c r="AH15" s="49">
        <v>84.24</v>
      </c>
      <c r="AI15" s="49">
        <v>78.989999999999995</v>
      </c>
      <c r="AJ15" s="49">
        <v>113.26</v>
      </c>
      <c r="AK15" s="49">
        <v>108.59</v>
      </c>
      <c r="AL15" s="49">
        <v>645.93899999999996</v>
      </c>
      <c r="AM15" s="49">
        <v>653.00800000000004</v>
      </c>
      <c r="AN15" s="50">
        <v>836.64400000000001</v>
      </c>
      <c r="AO15" s="49">
        <v>762.01900000000001</v>
      </c>
      <c r="AP15" s="49">
        <v>1.38</v>
      </c>
      <c r="AQ15" s="49">
        <v>1.839</v>
      </c>
      <c r="AR15" s="49">
        <v>40.326000000000001</v>
      </c>
      <c r="AS15" s="49">
        <v>33.331000000000003</v>
      </c>
      <c r="AT15" s="49">
        <v>83</v>
      </c>
      <c r="AU15" s="49">
        <v>119</v>
      </c>
      <c r="AV15" s="49">
        <v>2.3694999999999999</v>
      </c>
      <c r="AW15" s="49">
        <v>5.4602000000000004</v>
      </c>
      <c r="AX15" s="49">
        <v>1018</v>
      </c>
      <c r="AY15" s="49">
        <v>1.97</v>
      </c>
      <c r="AZ15" s="49">
        <v>5.65</v>
      </c>
      <c r="BA15" s="49">
        <v>105.259</v>
      </c>
      <c r="BB15" s="49">
        <v>105.164</v>
      </c>
      <c r="BC15" s="49">
        <v>7643</v>
      </c>
      <c r="BD15" s="49">
        <v>89.5</v>
      </c>
      <c r="BE15" s="49">
        <v>15.525</v>
      </c>
      <c r="BF15" s="49">
        <v>12.115</v>
      </c>
      <c r="BG15" s="50">
        <v>29.12</v>
      </c>
      <c r="BH15" s="49">
        <v>25.83</v>
      </c>
      <c r="BI15" s="3"/>
      <c r="BJ15" s="3"/>
      <c r="BK15" s="3"/>
      <c r="BL15" s="3"/>
      <c r="BM15" s="3"/>
      <c r="BN15" s="49">
        <v>108.16800000000001</v>
      </c>
      <c r="BO15" s="49">
        <v>105.52800000000001</v>
      </c>
      <c r="BP15" s="49">
        <v>144.66399999999999</v>
      </c>
      <c r="BQ15" s="49">
        <v>144.376</v>
      </c>
      <c r="BR15" s="3"/>
      <c r="BS15" s="49">
        <v>29.1</v>
      </c>
      <c r="BT15" s="49">
        <v>7396.67</v>
      </c>
      <c r="BU15" s="50">
        <v>51.271000000000001</v>
      </c>
      <c r="BV15" s="49">
        <v>54.034999999999997</v>
      </c>
      <c r="BW15" s="49">
        <v>57.127000000000002</v>
      </c>
      <c r="BX15" s="50">
        <v>58.12</v>
      </c>
      <c r="BY15" s="49">
        <v>1.357</v>
      </c>
      <c r="BZ15" s="49">
        <v>2.7909999999999999</v>
      </c>
      <c r="CA15" s="49">
        <v>3.5329999999999999</v>
      </c>
      <c r="CB15" s="50">
        <v>4.1769999999999996</v>
      </c>
      <c r="CC15" s="49">
        <v>1.1120000000000001</v>
      </c>
      <c r="CD15" s="49">
        <v>2.4169999999999998</v>
      </c>
      <c r="CE15" s="49">
        <v>1.3240000000000001</v>
      </c>
      <c r="CF15" s="49">
        <v>2.137</v>
      </c>
      <c r="CG15" s="49">
        <v>13.943</v>
      </c>
      <c r="CH15" s="49">
        <v>13.789</v>
      </c>
      <c r="CI15" s="49">
        <v>4.25</v>
      </c>
      <c r="CJ15" s="49">
        <v>3.3260000000000001</v>
      </c>
      <c r="CK15" s="50">
        <v>1.81</v>
      </c>
      <c r="CL15" s="49">
        <v>0.7</v>
      </c>
      <c r="CM15" s="49">
        <v>0.3</v>
      </c>
      <c r="CN15" s="49">
        <v>0</v>
      </c>
      <c r="CO15" s="49">
        <v>0</v>
      </c>
      <c r="CP15" s="49">
        <v>102.562</v>
      </c>
      <c r="CQ15" s="49">
        <v>101.167</v>
      </c>
      <c r="CR15" s="49">
        <v>136.357</v>
      </c>
      <c r="CS15" s="49">
        <v>137.52799999999999</v>
      </c>
      <c r="CT15" s="49">
        <v>0.36799999999999999</v>
      </c>
      <c r="CU15" s="49">
        <v>0.7</v>
      </c>
      <c r="CV15" s="49">
        <v>1.599</v>
      </c>
      <c r="CW15" s="49">
        <v>1.302</v>
      </c>
      <c r="CX15" s="49">
        <v>1.7969999999999999</v>
      </c>
      <c r="CY15" s="49">
        <v>1.0980000000000001</v>
      </c>
      <c r="CZ15" s="49">
        <v>1.3029999999999999</v>
      </c>
      <c r="DA15" s="49">
        <v>1.099</v>
      </c>
      <c r="DB15" s="49">
        <v>1.401</v>
      </c>
      <c r="DC15" s="50">
        <v>0</v>
      </c>
      <c r="DD15" s="50">
        <v>0</v>
      </c>
      <c r="DE15" s="49">
        <v>0.26400000000000001</v>
      </c>
      <c r="DF15" s="49">
        <v>0.113</v>
      </c>
      <c r="DG15" s="49">
        <v>0.58699999999999997</v>
      </c>
      <c r="DH15" s="49">
        <v>2.448</v>
      </c>
      <c r="DI15" s="49">
        <v>1.3879999999999999</v>
      </c>
      <c r="DJ15" s="49">
        <v>7.5999999999999998E-2</v>
      </c>
      <c r="DK15" s="49">
        <v>0.80400000000000005</v>
      </c>
      <c r="DL15" s="49">
        <v>0.40500000000000003</v>
      </c>
      <c r="DM15" s="49">
        <v>0.46300000000000002</v>
      </c>
      <c r="DN15" s="49">
        <v>0.439</v>
      </c>
      <c r="DO15" s="49">
        <v>0.31900000000000001</v>
      </c>
      <c r="DP15" s="49">
        <v>64.402000000000001</v>
      </c>
      <c r="DQ15" s="49">
        <v>58.131999999999998</v>
      </c>
      <c r="DR15" s="49">
        <v>54.106000000000002</v>
      </c>
      <c r="DS15" s="49">
        <v>52.262</v>
      </c>
      <c r="DT15" s="50">
        <v>6.69</v>
      </c>
      <c r="DU15" s="49">
        <v>6.01</v>
      </c>
      <c r="DV15" s="49">
        <v>13.64</v>
      </c>
      <c r="DW15" s="49">
        <v>11</v>
      </c>
      <c r="DX15" s="50">
        <v>6.97</v>
      </c>
      <c r="DY15" s="49">
        <v>6.18</v>
      </c>
      <c r="DZ15" s="49">
        <v>12.95</v>
      </c>
      <c r="EA15" s="49">
        <v>10.74</v>
      </c>
      <c r="EB15" s="49">
        <v>41.73</v>
      </c>
      <c r="EC15" s="49">
        <v>41.88</v>
      </c>
      <c r="ED15" s="49">
        <v>32.200000000000003</v>
      </c>
      <c r="EE15" s="49">
        <v>35.159999999999997</v>
      </c>
      <c r="EF15" s="49">
        <v>44.6</v>
      </c>
      <c r="EG15" s="49">
        <v>45.93</v>
      </c>
      <c r="EH15" s="49">
        <v>41.21</v>
      </c>
      <c r="EI15" s="49">
        <v>43.09</v>
      </c>
      <c r="EJ15" s="49">
        <v>6.3570000000000002</v>
      </c>
      <c r="EK15" s="49">
        <v>58.738999999999997</v>
      </c>
      <c r="EL15" s="49">
        <v>1.75</v>
      </c>
      <c r="EM15" s="49">
        <v>1.35</v>
      </c>
      <c r="EN15" s="49">
        <v>1.21</v>
      </c>
      <c r="EO15" s="49">
        <v>1.22</v>
      </c>
      <c r="EP15" s="50">
        <v>-114.398</v>
      </c>
      <c r="EQ15" s="49">
        <v>-2.5049999999999999</v>
      </c>
      <c r="ER15" s="49">
        <v>101.098</v>
      </c>
      <c r="ES15" s="49">
        <v>1.524</v>
      </c>
      <c r="ET15" s="49">
        <v>1.6559999999999999</v>
      </c>
      <c r="EU15" s="49">
        <v>1.4610000000000001</v>
      </c>
      <c r="EV15" s="50">
        <v>7.5030000000000001</v>
      </c>
      <c r="EW15" s="49">
        <v>0.57099999999999995</v>
      </c>
      <c r="EX15" s="49">
        <v>74.64</v>
      </c>
      <c r="EY15" s="49">
        <v>0</v>
      </c>
      <c r="EZ15" s="49">
        <v>0</v>
      </c>
      <c r="FA15" s="50">
        <v>0</v>
      </c>
      <c r="FB15" s="49">
        <v>9.2059999999999995</v>
      </c>
      <c r="FC15" s="49">
        <v>75.501999999999995</v>
      </c>
      <c r="FD15" s="49">
        <v>69.572000000000003</v>
      </c>
      <c r="FE15" s="49">
        <v>87.200999999999993</v>
      </c>
      <c r="FF15" s="49">
        <v>84.340999999999994</v>
      </c>
      <c r="FG15" s="49">
        <v>0.94499999999999995</v>
      </c>
      <c r="FH15" s="49">
        <v>0.94499999999999995</v>
      </c>
      <c r="FI15" s="49">
        <v>0.98599999999999999</v>
      </c>
      <c r="FJ15" s="49">
        <v>0.99099999999999999</v>
      </c>
      <c r="FK15" s="49">
        <v>0</v>
      </c>
      <c r="FL15" s="49">
        <v>83</v>
      </c>
      <c r="FM15" s="49">
        <v>3.31</v>
      </c>
      <c r="FN15" s="49">
        <v>2.1</v>
      </c>
      <c r="FO15" s="49">
        <v>5.5</v>
      </c>
      <c r="FP15" s="3"/>
      <c r="FQ15" s="49">
        <v>4.8499999999999996</v>
      </c>
      <c r="FR15" s="49">
        <v>5</v>
      </c>
      <c r="FS15" s="49">
        <v>6.7670000000000003</v>
      </c>
      <c r="FT15" s="49">
        <v>1071.5999999999999</v>
      </c>
      <c r="FU15" s="50">
        <v>7.18</v>
      </c>
      <c r="FV15" s="49">
        <v>17.22</v>
      </c>
      <c r="FW15" s="49">
        <v>3194</v>
      </c>
      <c r="FX15" s="49">
        <v>162700</v>
      </c>
      <c r="FY15" s="49">
        <v>163600</v>
      </c>
      <c r="FZ15" s="49">
        <v>48.19</v>
      </c>
      <c r="GA15" s="49">
        <v>47.231999999999999</v>
      </c>
      <c r="GB15" s="49">
        <v>2157.5</v>
      </c>
      <c r="GC15" s="49">
        <v>2161.5</v>
      </c>
      <c r="GD15" s="49">
        <v>2202.3000000000002</v>
      </c>
      <c r="GE15" s="49">
        <v>2204.1999999999998</v>
      </c>
      <c r="GF15" s="49">
        <v>1273.7655999999999</v>
      </c>
      <c r="GG15" s="49">
        <v>27</v>
      </c>
      <c r="GH15" s="49">
        <v>27.3</v>
      </c>
      <c r="GI15" s="49">
        <v>48.2</v>
      </c>
      <c r="GJ15" s="49">
        <v>53</v>
      </c>
      <c r="GK15" s="49">
        <v>99.5</v>
      </c>
      <c r="GL15" s="49">
        <v>88.5</v>
      </c>
      <c r="GM15" s="50">
        <v>0</v>
      </c>
      <c r="GN15" s="49">
        <v>28.405999999999999</v>
      </c>
      <c r="GO15" s="49">
        <v>114.398</v>
      </c>
      <c r="GP15" s="49">
        <v>0.82599999999999996</v>
      </c>
      <c r="GQ15" s="49">
        <v>1.9470000000000001</v>
      </c>
      <c r="GR15" s="49">
        <v>1.298</v>
      </c>
      <c r="GS15" s="49">
        <v>2.0059999999999998</v>
      </c>
      <c r="GT15" s="49">
        <v>0.76700000000000002</v>
      </c>
      <c r="GU15" s="49">
        <v>1.8879999999999999</v>
      </c>
      <c r="GV15" s="49">
        <v>12.936</v>
      </c>
      <c r="GW15" s="49">
        <v>14.084</v>
      </c>
      <c r="GX15" s="49">
        <v>15.68</v>
      </c>
      <c r="GY15" s="50">
        <v>0</v>
      </c>
      <c r="GZ15" s="50">
        <v>0</v>
      </c>
      <c r="HA15" s="50">
        <v>0</v>
      </c>
      <c r="HB15" s="49">
        <v>0</v>
      </c>
      <c r="HC15" s="49">
        <v>23.276</v>
      </c>
      <c r="HD15" s="49">
        <v>82</v>
      </c>
      <c r="HE15" s="50">
        <v>0</v>
      </c>
      <c r="HF15" s="50">
        <v>0</v>
      </c>
      <c r="HG15" s="49">
        <v>77.83</v>
      </c>
      <c r="HH15" s="49">
        <v>82.87</v>
      </c>
      <c r="HI15" s="50">
        <v>0</v>
      </c>
      <c r="HJ15" s="50">
        <v>0</v>
      </c>
      <c r="HK15" s="50">
        <v>0</v>
      </c>
      <c r="HL15" s="49">
        <v>63</v>
      </c>
      <c r="HM15" s="49">
        <v>54</v>
      </c>
      <c r="HN15" s="49">
        <v>64</v>
      </c>
      <c r="HO15" s="49">
        <v>58</v>
      </c>
      <c r="HP15" s="49">
        <v>61</v>
      </c>
      <c r="HQ15" s="49">
        <v>59</v>
      </c>
      <c r="HR15" s="49">
        <v>51</v>
      </c>
      <c r="HS15" s="50">
        <v>70</v>
      </c>
      <c r="HT15" s="49">
        <v>-1.2689999999999999</v>
      </c>
      <c r="HU15" s="50">
        <v>0</v>
      </c>
      <c r="HV15" s="49">
        <v>1.304</v>
      </c>
      <c r="HW15" s="50">
        <v>34.18</v>
      </c>
      <c r="HX15" s="50">
        <v>44.16</v>
      </c>
      <c r="HY15" s="49">
        <v>47.76</v>
      </c>
      <c r="HZ15" s="50">
        <v>59.66</v>
      </c>
      <c r="IA15" s="49">
        <v>2.7069999999999999</v>
      </c>
      <c r="IB15" s="49">
        <v>104</v>
      </c>
      <c r="IC15" s="49">
        <v>22.895</v>
      </c>
      <c r="ID15" s="49">
        <v>-0.26</v>
      </c>
      <c r="IE15" s="49">
        <v>-8.5999999999999993E-2</v>
      </c>
      <c r="IF15" s="49">
        <v>822.9</v>
      </c>
      <c r="IG15" s="50">
        <v>775.2</v>
      </c>
      <c r="IH15" s="49">
        <v>832.6</v>
      </c>
      <c r="II15" s="49">
        <v>786.9</v>
      </c>
      <c r="IJ15" s="49">
        <v>-2.7E-2</v>
      </c>
      <c r="IK15" s="49">
        <v>-0.153</v>
      </c>
      <c r="IL15" s="49">
        <v>71.332999999999998</v>
      </c>
      <c r="IM15" s="49">
        <v>71.332999999999998</v>
      </c>
      <c r="IN15" s="49">
        <v>11.933</v>
      </c>
      <c r="IO15" s="49">
        <v>0.59299999999999997</v>
      </c>
      <c r="IP15" s="49">
        <v>10.97</v>
      </c>
      <c r="IQ15" s="49">
        <v>1.0999999999999999E-2</v>
      </c>
      <c r="IR15" s="49">
        <v>8.9999999999999993E-3</v>
      </c>
      <c r="IS15">
        <v>0.252</v>
      </c>
      <c r="IT15">
        <v>0.129</v>
      </c>
    </row>
    <row r="16" spans="1:254" x14ac:dyDescent="0.25">
      <c r="B16" s="2" t="s">
        <v>412</v>
      </c>
      <c r="C16" s="62" t="s">
        <v>44</v>
      </c>
      <c r="D16" s="63">
        <v>2.4462962962962967E-3</v>
      </c>
      <c r="E16" s="49">
        <v>211.4</v>
      </c>
      <c r="F16" s="49">
        <v>329.72</v>
      </c>
      <c r="G16" s="50">
        <v>5.85</v>
      </c>
      <c r="H16" s="49">
        <v>29.3</v>
      </c>
      <c r="I16" s="50">
        <v>0</v>
      </c>
      <c r="J16" s="49">
        <v>14.8</v>
      </c>
      <c r="K16" s="50">
        <v>10</v>
      </c>
      <c r="L16" s="50">
        <v>3</v>
      </c>
      <c r="M16" s="50">
        <v>6</v>
      </c>
      <c r="N16" s="50">
        <v>3</v>
      </c>
      <c r="O16" s="50">
        <v>3</v>
      </c>
      <c r="P16" s="49">
        <v>0.79700000000000004</v>
      </c>
      <c r="Q16" s="49">
        <v>1.395</v>
      </c>
      <c r="R16" s="49">
        <v>0.72699999999999998</v>
      </c>
      <c r="S16" s="49">
        <v>0.71399999999999997</v>
      </c>
      <c r="T16" s="49">
        <v>80.75</v>
      </c>
      <c r="U16" s="49">
        <v>60.061</v>
      </c>
      <c r="V16" s="49">
        <v>248.34</v>
      </c>
      <c r="W16" s="49">
        <v>261.66000000000003</v>
      </c>
      <c r="X16" s="49">
        <v>213.34</v>
      </c>
      <c r="Y16" s="49">
        <v>258.33999999999997</v>
      </c>
      <c r="Z16" s="49">
        <v>394.89</v>
      </c>
      <c r="AA16" s="49">
        <v>407.01</v>
      </c>
      <c r="AB16" s="49">
        <v>335.84</v>
      </c>
      <c r="AC16" s="49">
        <v>398.92</v>
      </c>
      <c r="AD16" s="50">
        <v>1.8460000000000001</v>
      </c>
      <c r="AE16" s="50">
        <v>1.8979999999999999</v>
      </c>
      <c r="AF16" s="50">
        <v>1.849</v>
      </c>
      <c r="AG16" s="50">
        <v>1.8660000000000001</v>
      </c>
      <c r="AH16" s="50">
        <v>84.95</v>
      </c>
      <c r="AI16" s="50">
        <v>80.819999999999993</v>
      </c>
      <c r="AJ16" s="50">
        <v>115.14</v>
      </c>
      <c r="AK16" s="50">
        <v>110.23</v>
      </c>
      <c r="AL16" s="49">
        <v>667.36800000000005</v>
      </c>
      <c r="AM16" s="49">
        <v>651.23299999999995</v>
      </c>
      <c r="AN16" s="49">
        <v>811.95799999999997</v>
      </c>
      <c r="AO16" s="49">
        <v>800.71100000000001</v>
      </c>
      <c r="AP16" s="49">
        <v>1.369</v>
      </c>
      <c r="AQ16" s="49">
        <v>1.827</v>
      </c>
      <c r="AR16" s="49">
        <v>41.41</v>
      </c>
      <c r="AS16" s="49">
        <v>34.609000000000002</v>
      </c>
      <c r="AT16" s="49">
        <v>83</v>
      </c>
      <c r="AU16" s="49">
        <v>120</v>
      </c>
      <c r="AV16" s="49">
        <v>2.3290000000000002</v>
      </c>
      <c r="AW16" s="49">
        <v>5.4340999999999999</v>
      </c>
      <c r="AX16" s="49">
        <v>1018.1</v>
      </c>
      <c r="AY16" s="49">
        <v>2.0299999999999998</v>
      </c>
      <c r="AZ16" s="49">
        <v>5.73</v>
      </c>
      <c r="BA16" s="49">
        <v>112.649</v>
      </c>
      <c r="BB16" s="49">
        <v>111.938</v>
      </c>
      <c r="BC16" s="49">
        <v>7706</v>
      </c>
      <c r="BD16" s="50">
        <v>90</v>
      </c>
      <c r="BE16" s="49">
        <v>16.41</v>
      </c>
      <c r="BF16" s="49">
        <v>13.255000000000001</v>
      </c>
      <c r="BG16" s="49">
        <v>28.42</v>
      </c>
      <c r="BH16" s="49">
        <v>26.13</v>
      </c>
      <c r="BI16" s="3"/>
      <c r="BJ16" s="3"/>
      <c r="BK16" s="3"/>
      <c r="BL16" s="3"/>
      <c r="BM16" s="3"/>
      <c r="BN16" s="49">
        <v>107.57599999999999</v>
      </c>
      <c r="BO16" s="49">
        <v>105.752</v>
      </c>
      <c r="BP16" s="49">
        <v>145.33600000000001</v>
      </c>
      <c r="BQ16" s="49">
        <v>145.11199999999999</v>
      </c>
      <c r="BR16" s="3"/>
      <c r="BS16" s="49">
        <v>29.1</v>
      </c>
      <c r="BT16" s="49">
        <v>7395.33</v>
      </c>
      <c r="BU16" s="49">
        <v>51.076000000000001</v>
      </c>
      <c r="BV16" s="49">
        <v>54.88</v>
      </c>
      <c r="BW16" s="49">
        <v>56.758000000000003</v>
      </c>
      <c r="BX16" s="49">
        <v>57.265000000000001</v>
      </c>
      <c r="BY16" s="49">
        <v>1.3220000000000001</v>
      </c>
      <c r="BZ16" s="49">
        <v>2.8210000000000002</v>
      </c>
      <c r="CA16" s="49">
        <v>3.4889999999999999</v>
      </c>
      <c r="CB16" s="49">
        <v>3.7349999999999999</v>
      </c>
      <c r="CC16" s="49">
        <v>1.1819999999999999</v>
      </c>
      <c r="CD16" s="49">
        <v>2.3029999999999999</v>
      </c>
      <c r="CE16" s="49">
        <v>1.3460000000000001</v>
      </c>
      <c r="CF16" s="49">
        <v>2.137</v>
      </c>
      <c r="CG16" s="49">
        <v>13.942</v>
      </c>
      <c r="CH16" s="49">
        <v>13.781000000000001</v>
      </c>
      <c r="CI16" s="49">
        <v>4.4020000000000001</v>
      </c>
      <c r="CJ16" s="49">
        <v>3.194</v>
      </c>
      <c r="CK16" s="49">
        <v>1.649</v>
      </c>
      <c r="CL16" s="49">
        <v>0.3</v>
      </c>
      <c r="CM16" s="49">
        <v>0.5</v>
      </c>
      <c r="CN16" s="50">
        <v>0.3</v>
      </c>
      <c r="CO16" s="49">
        <v>0.2</v>
      </c>
      <c r="CP16" s="49">
        <v>100.651</v>
      </c>
      <c r="CQ16" s="49">
        <v>99.977999999999994</v>
      </c>
      <c r="CR16" s="50">
        <v>137.45400000000001</v>
      </c>
      <c r="CS16" s="50">
        <v>139.46799999999999</v>
      </c>
      <c r="CT16" s="49">
        <v>0.52200000000000002</v>
      </c>
      <c r="CU16" s="49">
        <v>0.59899999999999998</v>
      </c>
      <c r="CV16" s="49">
        <v>1.7030000000000001</v>
      </c>
      <c r="CW16" s="49">
        <v>1.9019999999999999</v>
      </c>
      <c r="CX16" s="49">
        <v>1.4970000000000001</v>
      </c>
      <c r="CY16" s="49">
        <v>1.0029999999999999</v>
      </c>
      <c r="CZ16" s="49">
        <v>1.4</v>
      </c>
      <c r="DA16" s="49">
        <v>1</v>
      </c>
      <c r="DB16" s="49">
        <v>0.999</v>
      </c>
      <c r="DC16" s="50">
        <v>0</v>
      </c>
      <c r="DD16" s="50">
        <v>0</v>
      </c>
      <c r="DE16" s="49">
        <v>0.29199999999999998</v>
      </c>
      <c r="DF16" s="49">
        <v>0.13600000000000001</v>
      </c>
      <c r="DG16" s="49">
        <v>0.50900000000000001</v>
      </c>
      <c r="DH16" s="50">
        <v>2.589</v>
      </c>
      <c r="DI16" s="50">
        <v>1.49</v>
      </c>
      <c r="DJ16" s="49">
        <v>0.17499999999999999</v>
      </c>
      <c r="DK16" s="49">
        <v>0.79700000000000004</v>
      </c>
      <c r="DL16" s="49">
        <v>0.40799999999999997</v>
      </c>
      <c r="DM16" s="49">
        <v>0.45900000000000002</v>
      </c>
      <c r="DN16" s="49">
        <v>0.46300000000000002</v>
      </c>
      <c r="DO16" s="49">
        <v>0.34499999999999997</v>
      </c>
      <c r="DP16" s="49">
        <v>64.725999999999999</v>
      </c>
      <c r="DQ16" s="49">
        <v>58.968000000000004</v>
      </c>
      <c r="DR16" s="49">
        <v>52.582000000000001</v>
      </c>
      <c r="DS16" s="49">
        <v>51.238999999999997</v>
      </c>
      <c r="DT16" s="49">
        <v>6.65</v>
      </c>
      <c r="DU16" s="50">
        <v>6.24</v>
      </c>
      <c r="DV16" s="50">
        <v>13.78</v>
      </c>
      <c r="DW16" s="50">
        <v>11.69</v>
      </c>
      <c r="DX16" s="49">
        <v>6.87</v>
      </c>
      <c r="DY16" s="49">
        <v>6.37</v>
      </c>
      <c r="DZ16" s="50">
        <v>13.31</v>
      </c>
      <c r="EA16" s="50">
        <v>11.4</v>
      </c>
      <c r="EB16" s="49">
        <v>41.83</v>
      </c>
      <c r="EC16" s="49">
        <v>41.2</v>
      </c>
      <c r="ED16" s="49">
        <v>31.51</v>
      </c>
      <c r="EE16" s="49">
        <v>33.78</v>
      </c>
      <c r="EF16" s="49">
        <v>44.64</v>
      </c>
      <c r="EG16" s="49">
        <v>46.19</v>
      </c>
      <c r="EH16" s="49">
        <v>41.4</v>
      </c>
      <c r="EI16" s="49">
        <v>43.12</v>
      </c>
      <c r="EJ16" s="50">
        <v>6.81</v>
      </c>
      <c r="EK16" s="50">
        <v>59.183</v>
      </c>
      <c r="EL16" s="49">
        <v>1.9</v>
      </c>
      <c r="EM16" s="49">
        <v>1.4</v>
      </c>
      <c r="EN16" s="49">
        <v>1.21</v>
      </c>
      <c r="EO16" s="49">
        <v>1.22</v>
      </c>
      <c r="EP16" s="49">
        <v>-105.054</v>
      </c>
      <c r="EQ16" s="49">
        <v>-2.29</v>
      </c>
      <c r="ER16" s="49">
        <v>104.31</v>
      </c>
      <c r="ES16" s="49">
        <v>1.478</v>
      </c>
      <c r="ET16" s="50">
        <v>1.6579999999999999</v>
      </c>
      <c r="EU16" s="49">
        <v>1.4330000000000001</v>
      </c>
      <c r="EV16" s="49">
        <v>7.4909999999999997</v>
      </c>
      <c r="EW16" s="49">
        <v>0.59899999999999998</v>
      </c>
      <c r="EX16" s="50">
        <v>74.94</v>
      </c>
      <c r="EY16" s="49">
        <v>0</v>
      </c>
      <c r="EZ16" s="49">
        <v>5.8000000000000003E-2</v>
      </c>
      <c r="FA16" s="50">
        <v>0</v>
      </c>
      <c r="FB16" s="49">
        <v>9.2100000000000009</v>
      </c>
      <c r="FC16" s="50">
        <v>76.549000000000007</v>
      </c>
      <c r="FD16" s="50">
        <v>70.911000000000001</v>
      </c>
      <c r="FE16" s="50">
        <v>90.117999999999995</v>
      </c>
      <c r="FF16" s="50">
        <v>87.099000000000004</v>
      </c>
      <c r="FG16" s="49">
        <v>0.94499999999999995</v>
      </c>
      <c r="FH16" s="49">
        <v>0.94599999999999995</v>
      </c>
      <c r="FI16" s="49">
        <v>0.98599999999999999</v>
      </c>
      <c r="FJ16" s="49">
        <v>0.99</v>
      </c>
      <c r="FK16" s="49">
        <v>0</v>
      </c>
      <c r="FL16" s="49">
        <v>83</v>
      </c>
      <c r="FM16" s="49">
        <v>3.31</v>
      </c>
      <c r="FN16" s="49">
        <v>2.0499999999999998</v>
      </c>
      <c r="FO16" s="49">
        <v>5.48</v>
      </c>
      <c r="FP16" s="49">
        <v>4.5</v>
      </c>
      <c r="FQ16" s="49">
        <v>4.8499999999999996</v>
      </c>
      <c r="FR16" s="49">
        <v>5.05</v>
      </c>
      <c r="FS16" s="49">
        <v>6.8315000000000001</v>
      </c>
      <c r="FT16" s="49">
        <v>1072.0999999999999</v>
      </c>
      <c r="FU16" s="49">
        <v>6.95</v>
      </c>
      <c r="FV16" s="49">
        <v>23.08</v>
      </c>
      <c r="FW16" s="49">
        <v>3091</v>
      </c>
      <c r="FX16" s="49">
        <v>166900</v>
      </c>
      <c r="FY16" s="49">
        <v>167800</v>
      </c>
      <c r="FZ16" s="49">
        <v>47.944000000000003</v>
      </c>
      <c r="GA16" s="49">
        <v>46.993000000000002</v>
      </c>
      <c r="GB16" s="49">
        <v>2178.8000000000002</v>
      </c>
      <c r="GC16" s="50">
        <v>2350.6999999999998</v>
      </c>
      <c r="GD16" s="49">
        <v>2221.1</v>
      </c>
      <c r="GE16" s="50">
        <v>2350.6999999999998</v>
      </c>
      <c r="GF16" s="49">
        <v>1437.9219000000001</v>
      </c>
      <c r="GG16" s="49">
        <v>28</v>
      </c>
      <c r="GH16" s="49">
        <v>27.9</v>
      </c>
      <c r="GI16" s="49">
        <v>48</v>
      </c>
      <c r="GJ16" s="49">
        <v>52.7</v>
      </c>
      <c r="GK16" s="49">
        <v>99.5</v>
      </c>
      <c r="GL16" s="49">
        <v>77.8</v>
      </c>
      <c r="GM16" s="50">
        <v>0</v>
      </c>
      <c r="GN16" s="50">
        <v>28.806000000000001</v>
      </c>
      <c r="GO16" s="49">
        <v>105.054</v>
      </c>
      <c r="GP16" s="49">
        <v>0.53100000000000003</v>
      </c>
      <c r="GQ16" s="49">
        <v>1.9470000000000001</v>
      </c>
      <c r="GR16" s="49">
        <v>1.121</v>
      </c>
      <c r="GS16" s="49">
        <v>2.0059999999999998</v>
      </c>
      <c r="GT16" s="49">
        <v>0.70799999999999996</v>
      </c>
      <c r="GU16" s="49">
        <v>1.8879999999999999</v>
      </c>
      <c r="GV16" s="49">
        <v>13.034000000000001</v>
      </c>
      <c r="GW16" s="49">
        <v>14.063000000000001</v>
      </c>
      <c r="GX16" s="49">
        <v>15.092000000000001</v>
      </c>
      <c r="GY16" s="50">
        <v>0</v>
      </c>
      <c r="GZ16" s="50">
        <v>0</v>
      </c>
      <c r="HA16" s="50">
        <v>0</v>
      </c>
      <c r="HB16" s="49">
        <v>0</v>
      </c>
      <c r="HC16" s="49">
        <v>23.283000000000001</v>
      </c>
      <c r="HD16" s="49">
        <v>82</v>
      </c>
      <c r="HE16" s="50">
        <v>0</v>
      </c>
      <c r="HF16" s="50">
        <v>0</v>
      </c>
      <c r="HG16" s="49">
        <v>76.94</v>
      </c>
      <c r="HH16" s="49">
        <v>82.74</v>
      </c>
      <c r="HI16" s="50">
        <v>0</v>
      </c>
      <c r="HJ16" s="50">
        <v>0</v>
      </c>
      <c r="HK16" s="50">
        <v>0</v>
      </c>
      <c r="HL16" s="49">
        <v>63</v>
      </c>
      <c r="HM16" s="49">
        <v>53</v>
      </c>
      <c r="HN16" s="49">
        <v>65</v>
      </c>
      <c r="HO16" s="49">
        <v>59</v>
      </c>
      <c r="HP16" s="49">
        <v>62</v>
      </c>
      <c r="HQ16" s="49">
        <v>60</v>
      </c>
      <c r="HR16" s="49">
        <v>51</v>
      </c>
      <c r="HS16" s="49">
        <v>64</v>
      </c>
      <c r="HT16" s="49">
        <v>-1.27</v>
      </c>
      <c r="HU16" s="50">
        <v>0</v>
      </c>
      <c r="HV16" s="50">
        <v>1.321</v>
      </c>
      <c r="HW16" s="50">
        <v>34.18</v>
      </c>
      <c r="HX16" s="49">
        <v>46.49</v>
      </c>
      <c r="HY16" s="49">
        <v>47.44</v>
      </c>
      <c r="HZ16" s="49">
        <v>59.42</v>
      </c>
      <c r="IA16" s="50">
        <v>2.9489999999999998</v>
      </c>
      <c r="IB16" s="50">
        <v>105</v>
      </c>
      <c r="IC16" s="50">
        <v>23.055</v>
      </c>
      <c r="ID16" s="49">
        <v>-0.25</v>
      </c>
      <c r="IE16" s="49">
        <v>-7.3999999999999996E-2</v>
      </c>
      <c r="IF16" s="49">
        <v>821.5</v>
      </c>
      <c r="IG16" s="49">
        <v>774.3</v>
      </c>
      <c r="IH16" s="49">
        <v>831.6</v>
      </c>
      <c r="II16" s="50">
        <v>787.3</v>
      </c>
      <c r="IJ16" s="49">
        <v>-2.4E-2</v>
      </c>
      <c r="IK16" s="49">
        <v>-0.13</v>
      </c>
      <c r="IL16" s="49">
        <v>70.33</v>
      </c>
      <c r="IM16" s="49">
        <v>70.33</v>
      </c>
      <c r="IN16" s="49">
        <v>13.01</v>
      </c>
      <c r="IO16" s="49">
        <v>0.57399999999999995</v>
      </c>
      <c r="IP16" s="49">
        <v>10.81</v>
      </c>
      <c r="IQ16" s="50">
        <v>1.4E-2</v>
      </c>
      <c r="IR16" s="49">
        <v>1.2E-2</v>
      </c>
      <c r="IS16">
        <v>0.26600000000000001</v>
      </c>
      <c r="IT16">
        <v>0.14100000000000001</v>
      </c>
    </row>
    <row r="17" spans="1:254" x14ac:dyDescent="0.25">
      <c r="B17" s="2" t="s">
        <v>412</v>
      </c>
      <c r="C17" s="2" t="s">
        <v>45</v>
      </c>
      <c r="D17" s="61">
        <v>2.8197916666666666E-3</v>
      </c>
      <c r="E17" s="49">
        <v>243.68</v>
      </c>
      <c r="F17" s="49">
        <v>329.54</v>
      </c>
      <c r="G17" s="49">
        <v>5.61</v>
      </c>
      <c r="H17" s="49">
        <v>29.2</v>
      </c>
      <c r="I17" s="50">
        <v>0</v>
      </c>
      <c r="J17" s="49">
        <v>14.1</v>
      </c>
      <c r="K17" s="50">
        <v>10</v>
      </c>
      <c r="L17" s="50">
        <v>3</v>
      </c>
      <c r="M17" s="50">
        <v>6</v>
      </c>
      <c r="N17" s="50">
        <v>3</v>
      </c>
      <c r="O17" s="50">
        <v>3</v>
      </c>
      <c r="P17" s="50">
        <v>0.89500000000000002</v>
      </c>
      <c r="Q17" s="50">
        <v>1.708</v>
      </c>
      <c r="R17" s="50">
        <v>0.84799999999999998</v>
      </c>
      <c r="S17" s="49">
        <v>0.58299999999999996</v>
      </c>
      <c r="T17" s="50">
        <v>81.36</v>
      </c>
      <c r="U17" s="49">
        <v>60.134999999999998</v>
      </c>
      <c r="V17" s="49">
        <v>185</v>
      </c>
      <c r="W17" s="49">
        <v>195</v>
      </c>
      <c r="X17" s="49">
        <v>147.5</v>
      </c>
      <c r="Y17" s="49">
        <v>185</v>
      </c>
      <c r="Z17" s="49">
        <v>350.25</v>
      </c>
      <c r="AA17" s="49">
        <v>362.75</v>
      </c>
      <c r="AB17" s="49">
        <v>293.3</v>
      </c>
      <c r="AC17" s="49">
        <v>349.09</v>
      </c>
      <c r="AD17" s="49">
        <v>1.821</v>
      </c>
      <c r="AE17" s="49">
        <v>1.8819999999999999</v>
      </c>
      <c r="AF17" s="49">
        <v>1.8160000000000001</v>
      </c>
      <c r="AG17" s="49">
        <v>1.843</v>
      </c>
      <c r="AH17" s="49">
        <v>80.06</v>
      </c>
      <c r="AI17" s="49">
        <v>76.86</v>
      </c>
      <c r="AJ17" s="49">
        <v>107.1</v>
      </c>
      <c r="AK17" s="49">
        <v>104.42</v>
      </c>
      <c r="AL17" s="50">
        <v>680.83799999999997</v>
      </c>
      <c r="AM17" s="50">
        <v>679.45100000000002</v>
      </c>
      <c r="AN17" s="49">
        <v>822.01900000000001</v>
      </c>
      <c r="AO17" s="50">
        <v>822.61800000000005</v>
      </c>
      <c r="AP17" s="49">
        <v>1.35</v>
      </c>
      <c r="AQ17" s="49">
        <v>1.8080000000000001</v>
      </c>
      <c r="AR17" s="49">
        <v>40.624000000000002</v>
      </c>
      <c r="AS17" s="49">
        <v>32.698</v>
      </c>
      <c r="AT17" s="49">
        <v>83</v>
      </c>
      <c r="AU17" s="49">
        <v>119</v>
      </c>
      <c r="AV17" s="49">
        <v>2.3904999999999998</v>
      </c>
      <c r="AW17" s="49">
        <v>5.2743000000000002</v>
      </c>
      <c r="AX17" s="49">
        <v>1016.5</v>
      </c>
      <c r="AY17" s="49">
        <v>2.0099999999999998</v>
      </c>
      <c r="AZ17" s="49">
        <v>5.54</v>
      </c>
      <c r="BA17" s="50">
        <v>64.099999999999994</v>
      </c>
      <c r="BB17" s="50">
        <v>65.709000000000003</v>
      </c>
      <c r="BC17" s="49">
        <v>7768</v>
      </c>
      <c r="BD17" s="49">
        <v>89.75</v>
      </c>
      <c r="BE17" s="50">
        <v>16.75</v>
      </c>
      <c r="BF17" s="49">
        <v>14.12</v>
      </c>
      <c r="BG17" s="49">
        <v>27.01</v>
      </c>
      <c r="BH17" s="49">
        <v>27.36</v>
      </c>
      <c r="BI17" s="3"/>
      <c r="BJ17" s="3"/>
      <c r="BK17" s="3"/>
      <c r="BL17" s="3"/>
      <c r="BM17" s="3"/>
      <c r="BN17" s="49">
        <v>117.83199999999999</v>
      </c>
      <c r="BO17" s="49">
        <v>115.14400000000001</v>
      </c>
      <c r="BP17" s="50">
        <v>149.84800000000001</v>
      </c>
      <c r="BQ17" s="50">
        <v>149.11199999999999</v>
      </c>
      <c r="BR17" s="3"/>
      <c r="BS17" s="49">
        <v>29</v>
      </c>
      <c r="BT17" s="49">
        <v>7262.6779999999999</v>
      </c>
      <c r="BU17" s="49">
        <v>48.091999999999999</v>
      </c>
      <c r="BV17" s="49">
        <v>53.475000000000001</v>
      </c>
      <c r="BW17" s="49">
        <v>55.503999999999998</v>
      </c>
      <c r="BX17" s="49">
        <v>56.326999999999998</v>
      </c>
      <c r="BY17" s="49">
        <v>1.472</v>
      </c>
      <c r="BZ17" s="49">
        <v>3.044</v>
      </c>
      <c r="CA17" s="49">
        <v>3.4710000000000001</v>
      </c>
      <c r="CB17" s="49">
        <v>3.4550000000000001</v>
      </c>
      <c r="CC17" s="49">
        <v>1.1319999999999999</v>
      </c>
      <c r="CD17" s="49">
        <v>2.3170000000000002</v>
      </c>
      <c r="CE17" s="49">
        <v>1.27</v>
      </c>
      <c r="CF17" s="49">
        <v>2.0630000000000002</v>
      </c>
      <c r="CG17" s="50">
        <v>13.958</v>
      </c>
      <c r="CH17" s="49">
        <v>13.792</v>
      </c>
      <c r="CI17" s="49">
        <v>5.0460000000000003</v>
      </c>
      <c r="CJ17" s="49">
        <v>3.2109999999999999</v>
      </c>
      <c r="CK17" s="49">
        <v>1.357</v>
      </c>
      <c r="CL17" s="49">
        <v>0.4</v>
      </c>
      <c r="CM17" s="49">
        <v>0.8</v>
      </c>
      <c r="CN17" s="50">
        <v>0.3</v>
      </c>
      <c r="CO17" s="50">
        <v>0.3</v>
      </c>
      <c r="CP17" s="49">
        <v>99.960999999999999</v>
      </c>
      <c r="CQ17" s="49">
        <v>98.738</v>
      </c>
      <c r="CR17" s="49">
        <v>129.721</v>
      </c>
      <c r="CS17" s="49">
        <v>131.69800000000001</v>
      </c>
      <c r="CT17" s="49">
        <v>0.308</v>
      </c>
      <c r="CU17" s="49">
        <v>1.4</v>
      </c>
      <c r="CV17" s="49">
        <v>1.1020000000000001</v>
      </c>
      <c r="CW17" s="49">
        <v>1.9</v>
      </c>
      <c r="CX17" s="49">
        <v>1.4930000000000001</v>
      </c>
      <c r="CY17" s="49">
        <v>1.1040000000000001</v>
      </c>
      <c r="CZ17" s="49">
        <v>1.6020000000000001</v>
      </c>
      <c r="DA17" s="49">
        <v>0.8</v>
      </c>
      <c r="DB17" s="49">
        <v>2.1970000000000001</v>
      </c>
      <c r="DC17" s="50">
        <v>0</v>
      </c>
      <c r="DD17" s="50">
        <v>0</v>
      </c>
      <c r="DE17" s="49">
        <v>0.27</v>
      </c>
      <c r="DF17" s="49">
        <v>0.121</v>
      </c>
      <c r="DG17" s="49">
        <v>0.84399999999999997</v>
      </c>
      <c r="DH17" s="49">
        <v>2.2570000000000001</v>
      </c>
      <c r="DI17" s="49">
        <v>1.1479999999999999</v>
      </c>
      <c r="DJ17" s="50">
        <v>0.215</v>
      </c>
      <c r="DK17" s="49">
        <v>0.90400000000000003</v>
      </c>
      <c r="DL17" s="50">
        <v>0.41399999999999998</v>
      </c>
      <c r="DM17" s="49">
        <v>0.53100000000000003</v>
      </c>
      <c r="DN17" s="49">
        <v>0.44600000000000001</v>
      </c>
      <c r="DO17" s="49">
        <v>0.376</v>
      </c>
      <c r="DP17" s="49">
        <v>65.558000000000007</v>
      </c>
      <c r="DQ17" s="49">
        <v>60.768000000000001</v>
      </c>
      <c r="DR17" s="49">
        <v>53.351999999999997</v>
      </c>
      <c r="DS17" s="49">
        <v>51.609000000000002</v>
      </c>
      <c r="DT17" s="49">
        <v>5.85</v>
      </c>
      <c r="DU17" s="49">
        <v>5.39</v>
      </c>
      <c r="DV17" s="49">
        <v>11.12</v>
      </c>
      <c r="DW17" s="49">
        <v>9.5</v>
      </c>
      <c r="DX17" s="49">
        <v>6.04</v>
      </c>
      <c r="DY17" s="49">
        <v>5.74</v>
      </c>
      <c r="DZ17" s="49">
        <v>10.76</v>
      </c>
      <c r="EA17" s="49">
        <v>9.15</v>
      </c>
      <c r="EB17" s="49">
        <v>41.33</v>
      </c>
      <c r="EC17" s="49">
        <v>41.04</v>
      </c>
      <c r="ED17" s="50">
        <v>33.65</v>
      </c>
      <c r="EE17" s="49">
        <v>34.71</v>
      </c>
      <c r="EF17" s="49">
        <v>46.79</v>
      </c>
      <c r="EG17" s="49">
        <v>47.82</v>
      </c>
      <c r="EH17" s="49">
        <v>44.47</v>
      </c>
      <c r="EI17" s="49">
        <v>46.64</v>
      </c>
      <c r="EJ17" s="49">
        <v>6.7290000000000001</v>
      </c>
      <c r="EK17" s="49">
        <v>58.720999999999997</v>
      </c>
      <c r="EL17" s="49">
        <v>1.8</v>
      </c>
      <c r="EM17" s="49">
        <v>1.45</v>
      </c>
      <c r="EN17" s="50">
        <v>1.28</v>
      </c>
      <c r="EO17" s="50">
        <v>1.28</v>
      </c>
      <c r="EP17" s="49">
        <v>-107.682</v>
      </c>
      <c r="EQ17" s="49">
        <v>-1.448</v>
      </c>
      <c r="ER17" s="49">
        <v>99.638000000000005</v>
      </c>
      <c r="ES17" s="49">
        <v>1.4990000000000001</v>
      </c>
      <c r="ET17" s="49">
        <v>1.6559999999999999</v>
      </c>
      <c r="EU17" s="49">
        <v>1.46</v>
      </c>
      <c r="EV17" s="49">
        <v>7.4710000000000001</v>
      </c>
      <c r="EW17" s="50">
        <v>0.62</v>
      </c>
      <c r="EX17" s="49">
        <v>70.36</v>
      </c>
      <c r="EY17" s="50">
        <v>0.08</v>
      </c>
      <c r="EZ17" s="49">
        <v>9.4109999999999996</v>
      </c>
      <c r="FA17" s="50">
        <v>0</v>
      </c>
      <c r="FB17" s="50">
        <v>9.2810000000000006</v>
      </c>
      <c r="FC17" s="49">
        <v>74.707999999999998</v>
      </c>
      <c r="FD17" s="49">
        <v>69.900000000000006</v>
      </c>
      <c r="FE17" s="49">
        <v>87.400999999999996</v>
      </c>
      <c r="FF17" s="49">
        <v>85.259</v>
      </c>
      <c r="FG17" s="49">
        <v>0.94699999999999995</v>
      </c>
      <c r="FH17" s="49">
        <v>0.94699999999999995</v>
      </c>
      <c r="FI17" s="49">
        <v>0.98799999999999999</v>
      </c>
      <c r="FJ17" s="49">
        <v>0.99299999999999999</v>
      </c>
      <c r="FK17" s="49">
        <v>0</v>
      </c>
      <c r="FL17" s="49">
        <v>83</v>
      </c>
      <c r="FM17" s="49">
        <v>3.36</v>
      </c>
      <c r="FN17" s="49">
        <v>0.25</v>
      </c>
      <c r="FO17" s="49">
        <v>5.49</v>
      </c>
      <c r="FP17" s="49">
        <v>3.8</v>
      </c>
      <c r="FQ17" s="49">
        <v>4.55</v>
      </c>
      <c r="FR17" s="49">
        <v>5.0999999999999996</v>
      </c>
      <c r="FS17" s="49">
        <v>6.8470000000000004</v>
      </c>
      <c r="FT17" s="50">
        <v>1078.5999999999999</v>
      </c>
      <c r="FU17" s="49">
        <v>6.88</v>
      </c>
      <c r="FV17" s="49">
        <v>28.69</v>
      </c>
      <c r="FW17" s="49">
        <v>3050.5</v>
      </c>
      <c r="FX17" s="49">
        <v>164300</v>
      </c>
      <c r="FY17" s="49">
        <v>163800</v>
      </c>
      <c r="FZ17" s="49">
        <v>48.716000000000001</v>
      </c>
      <c r="GA17" s="49">
        <v>47.823999999999998</v>
      </c>
      <c r="GB17" s="49">
        <v>2278.4</v>
      </c>
      <c r="GC17" s="49">
        <v>2196.1</v>
      </c>
      <c r="GD17" s="49">
        <v>2278.4</v>
      </c>
      <c r="GE17" s="49">
        <v>2203.3000000000002</v>
      </c>
      <c r="GF17" s="49">
        <v>1375.5313000000001</v>
      </c>
      <c r="GG17" s="49">
        <v>29</v>
      </c>
      <c r="GH17" s="49">
        <v>28.5</v>
      </c>
      <c r="GI17" s="49">
        <v>48.2</v>
      </c>
      <c r="GJ17" s="49">
        <v>53.4</v>
      </c>
      <c r="GK17" s="49">
        <v>99.5</v>
      </c>
      <c r="GL17" s="49">
        <v>76</v>
      </c>
      <c r="GM17" s="50">
        <v>0</v>
      </c>
      <c r="GN17" s="49">
        <v>28.489000000000001</v>
      </c>
      <c r="GO17" s="49">
        <v>107.682</v>
      </c>
      <c r="GP17" s="49">
        <v>0.53100000000000003</v>
      </c>
      <c r="GQ17" s="49">
        <v>1.9470000000000001</v>
      </c>
      <c r="GR17" s="49">
        <v>0.94399999999999995</v>
      </c>
      <c r="GS17" s="49">
        <v>2.0059999999999998</v>
      </c>
      <c r="GT17" s="49">
        <v>0.70799999999999996</v>
      </c>
      <c r="GU17" s="49">
        <v>1.829</v>
      </c>
      <c r="GV17" s="49">
        <v>12.837999999999999</v>
      </c>
      <c r="GW17" s="50">
        <v>14.127000000000001</v>
      </c>
      <c r="GX17" s="49">
        <v>15.484</v>
      </c>
      <c r="GY17" s="50">
        <v>0</v>
      </c>
      <c r="GZ17" s="50">
        <v>0</v>
      </c>
      <c r="HA17" s="50">
        <v>0</v>
      </c>
      <c r="HB17" s="49">
        <v>0</v>
      </c>
      <c r="HC17" s="49">
        <v>23.105</v>
      </c>
      <c r="HD17" s="49">
        <v>86</v>
      </c>
      <c r="HE17" s="50">
        <v>0</v>
      </c>
      <c r="HF17" s="50">
        <v>0</v>
      </c>
      <c r="HG17" s="49">
        <v>73.86</v>
      </c>
      <c r="HH17" s="49">
        <v>82.75</v>
      </c>
      <c r="HI17" s="50">
        <v>0</v>
      </c>
      <c r="HJ17" s="50">
        <v>0</v>
      </c>
      <c r="HK17" s="50">
        <v>0</v>
      </c>
      <c r="HL17" s="49">
        <v>64</v>
      </c>
      <c r="HM17" s="49">
        <v>54</v>
      </c>
      <c r="HN17" s="49">
        <v>66</v>
      </c>
      <c r="HO17" s="49">
        <v>60</v>
      </c>
      <c r="HP17" s="49">
        <v>63</v>
      </c>
      <c r="HQ17" s="49">
        <v>61</v>
      </c>
      <c r="HR17" s="50">
        <v>52</v>
      </c>
      <c r="HS17" s="49">
        <v>64</v>
      </c>
      <c r="HT17" s="49">
        <v>-1.282</v>
      </c>
      <c r="HU17" s="50">
        <v>0</v>
      </c>
      <c r="HV17" s="49">
        <v>0.73599999999999999</v>
      </c>
      <c r="HW17" s="49">
        <v>36.08</v>
      </c>
      <c r="HX17" s="49">
        <v>44.28</v>
      </c>
      <c r="HY17" s="49">
        <v>47.8</v>
      </c>
      <c r="HZ17" s="49">
        <v>58.81</v>
      </c>
      <c r="IA17" s="49">
        <v>2.9159999999999999</v>
      </c>
      <c r="IB17" s="49">
        <v>103</v>
      </c>
      <c r="IC17" s="49">
        <v>21.777000000000001</v>
      </c>
      <c r="ID17" s="49">
        <v>-0.222</v>
      </c>
      <c r="IE17" s="49">
        <v>-7.6999999999999999E-2</v>
      </c>
      <c r="IF17" s="50">
        <v>833.7</v>
      </c>
      <c r="IG17" s="49">
        <v>751.3</v>
      </c>
      <c r="IH17" s="50">
        <v>841.9</v>
      </c>
      <c r="II17" s="49">
        <v>765.4</v>
      </c>
      <c r="IJ17" s="49">
        <v>6.0999999999999999E-2</v>
      </c>
      <c r="IK17" s="49">
        <v>-3.5999999999999997E-2</v>
      </c>
      <c r="IL17" s="49">
        <v>112.23099999999999</v>
      </c>
      <c r="IM17" s="49">
        <v>112.23099999999999</v>
      </c>
      <c r="IN17" s="50">
        <v>14.512</v>
      </c>
      <c r="IO17" s="49">
        <v>0.42599999999999999</v>
      </c>
      <c r="IP17" s="49">
        <v>10.94</v>
      </c>
      <c r="IQ17" s="49">
        <v>6.0000000000000001E-3</v>
      </c>
      <c r="IR17" s="49">
        <v>6.0000000000000001E-3</v>
      </c>
      <c r="IS17">
        <v>0.27200000000000002</v>
      </c>
      <c r="IT17">
        <v>0.14700000000000002</v>
      </c>
    </row>
    <row r="18" spans="1:254" x14ac:dyDescent="0.25">
      <c r="B18" s="2" t="s">
        <v>412</v>
      </c>
      <c r="C18" s="2" t="s">
        <v>46</v>
      </c>
      <c r="D18" s="61">
        <v>2.4636574074074075E-3</v>
      </c>
      <c r="E18" s="49">
        <v>212.9</v>
      </c>
      <c r="F18" s="50">
        <v>335.68</v>
      </c>
      <c r="G18" s="49">
        <v>5.81</v>
      </c>
      <c r="H18" s="49">
        <v>29.4</v>
      </c>
      <c r="I18" s="50">
        <v>0</v>
      </c>
      <c r="J18" s="49">
        <v>12.8</v>
      </c>
      <c r="K18" s="50">
        <v>10</v>
      </c>
      <c r="L18" s="50">
        <v>3</v>
      </c>
      <c r="M18" s="50">
        <v>6</v>
      </c>
      <c r="N18" s="50">
        <v>3</v>
      </c>
      <c r="O18" s="50">
        <v>3</v>
      </c>
      <c r="P18" s="49">
        <v>0.88400000000000001</v>
      </c>
      <c r="Q18" s="49">
        <v>1.631</v>
      </c>
      <c r="R18" s="49">
        <v>0.83</v>
      </c>
      <c r="S18" s="49">
        <v>0.63700000000000001</v>
      </c>
      <c r="T18" s="49">
        <v>67.95</v>
      </c>
      <c r="U18" s="49">
        <v>60.131999999999998</v>
      </c>
      <c r="V18" s="49">
        <v>246.66</v>
      </c>
      <c r="W18" s="49">
        <v>256.66000000000003</v>
      </c>
      <c r="X18" s="49">
        <v>197.5</v>
      </c>
      <c r="Y18" s="49">
        <v>240</v>
      </c>
      <c r="Z18" s="49">
        <v>397.41</v>
      </c>
      <c r="AA18" s="49">
        <v>399.08</v>
      </c>
      <c r="AB18" s="49">
        <v>315.94</v>
      </c>
      <c r="AC18" s="49">
        <v>377.62</v>
      </c>
      <c r="AD18" s="49">
        <v>1.831</v>
      </c>
      <c r="AE18" s="49">
        <v>1.8819999999999999</v>
      </c>
      <c r="AF18" s="49">
        <v>1.83</v>
      </c>
      <c r="AG18" s="49">
        <v>1.853</v>
      </c>
      <c r="AH18" s="49">
        <v>84.22</v>
      </c>
      <c r="AI18" s="49">
        <v>79.510000000000005</v>
      </c>
      <c r="AJ18" s="49">
        <v>111.37</v>
      </c>
      <c r="AK18" s="49">
        <v>107.35</v>
      </c>
      <c r="AL18" s="49">
        <v>666.20699999999999</v>
      </c>
      <c r="AM18" s="49">
        <v>642.846</v>
      </c>
      <c r="AN18" s="49">
        <v>818.94399999999996</v>
      </c>
      <c r="AO18" s="49">
        <v>764.625</v>
      </c>
      <c r="AP18" s="49">
        <v>1.3440000000000001</v>
      </c>
      <c r="AQ18" s="49">
        <v>1.821</v>
      </c>
      <c r="AR18" s="50">
        <v>42.548999999999999</v>
      </c>
      <c r="AS18" s="50">
        <v>36.064999999999998</v>
      </c>
      <c r="AT18" s="49">
        <v>83</v>
      </c>
      <c r="AU18" s="49">
        <v>120</v>
      </c>
      <c r="AV18" s="50">
        <v>2.1259999999999999</v>
      </c>
      <c r="AW18" s="49">
        <v>5.4131</v>
      </c>
      <c r="AX18" s="49">
        <v>1018</v>
      </c>
      <c r="AY18" s="49">
        <v>2.09</v>
      </c>
      <c r="AZ18" s="50">
        <v>5.21</v>
      </c>
      <c r="BA18" s="49">
        <v>85.896000000000001</v>
      </c>
      <c r="BB18" s="49">
        <v>85.632999999999996</v>
      </c>
      <c r="BC18" s="50">
        <v>7885</v>
      </c>
      <c r="BD18" s="49">
        <v>89.5</v>
      </c>
      <c r="BE18" s="49">
        <v>16.55</v>
      </c>
      <c r="BF18" s="50">
        <v>14.22</v>
      </c>
      <c r="BG18" s="49">
        <v>28.9</v>
      </c>
      <c r="BH18" s="49">
        <v>26.79</v>
      </c>
      <c r="BI18" s="3"/>
      <c r="BJ18" s="3"/>
      <c r="BK18" s="3"/>
      <c r="BL18" s="3"/>
      <c r="BM18" s="3"/>
      <c r="BN18" s="49">
        <v>105.16</v>
      </c>
      <c r="BO18" s="49">
        <v>102.12</v>
      </c>
      <c r="BP18" s="49">
        <v>132.584</v>
      </c>
      <c r="BQ18" s="49">
        <v>133.63999999999999</v>
      </c>
      <c r="BR18" s="3"/>
      <c r="BS18" s="49">
        <v>29.1</v>
      </c>
      <c r="BT18" s="49">
        <v>7409.0330000000004</v>
      </c>
      <c r="BU18" s="49">
        <v>51.137</v>
      </c>
      <c r="BV18" s="49">
        <v>55.116999999999997</v>
      </c>
      <c r="BW18" s="49">
        <v>56.265999999999998</v>
      </c>
      <c r="BX18" s="49">
        <v>57.878999999999998</v>
      </c>
      <c r="BY18" s="49">
        <v>1.528</v>
      </c>
      <c r="BZ18" s="49">
        <v>2.7639999999999998</v>
      </c>
      <c r="CA18" s="50">
        <v>3.778</v>
      </c>
      <c r="CB18" s="49">
        <v>3.3570000000000002</v>
      </c>
      <c r="CC18" s="49">
        <v>1.2070000000000001</v>
      </c>
      <c r="CD18" s="49">
        <v>2.4180000000000001</v>
      </c>
      <c r="CE18" s="49">
        <v>1.3</v>
      </c>
      <c r="CF18" s="49">
        <v>2.081</v>
      </c>
      <c r="CG18" s="49">
        <v>13.939</v>
      </c>
      <c r="CH18" s="49">
        <v>13.782</v>
      </c>
      <c r="CI18" s="49">
        <v>5.0339999999999998</v>
      </c>
      <c r="CJ18" s="49">
        <v>3.2730000000000001</v>
      </c>
      <c r="CK18" s="49">
        <v>1.43</v>
      </c>
      <c r="CL18" s="50">
        <v>0.8</v>
      </c>
      <c r="CM18" s="49">
        <v>0.3</v>
      </c>
      <c r="CN18" s="49">
        <v>0</v>
      </c>
      <c r="CO18" s="49">
        <v>0</v>
      </c>
      <c r="CP18" s="49">
        <v>98.646000000000001</v>
      </c>
      <c r="CQ18" s="49">
        <v>96.617000000000004</v>
      </c>
      <c r="CR18" s="49">
        <v>126.54</v>
      </c>
      <c r="CS18" s="49">
        <v>129.273</v>
      </c>
      <c r="CT18" s="49">
        <v>0.22800000000000001</v>
      </c>
      <c r="CU18" s="49">
        <v>1.0009999999999999</v>
      </c>
      <c r="CV18" s="49">
        <v>1.3</v>
      </c>
      <c r="CW18" s="49">
        <v>1.002</v>
      </c>
      <c r="CX18" s="49">
        <v>1.1020000000000001</v>
      </c>
      <c r="CY18" s="49">
        <v>1.298</v>
      </c>
      <c r="CZ18" s="49">
        <v>0.90300000000000002</v>
      </c>
      <c r="DA18" s="49">
        <v>0.7</v>
      </c>
      <c r="DB18" s="49">
        <v>1.3979999999999999</v>
      </c>
      <c r="DC18" s="50">
        <v>0</v>
      </c>
      <c r="DD18" s="50">
        <v>0</v>
      </c>
      <c r="DE18" s="50">
        <v>0.32600000000000001</v>
      </c>
      <c r="DF18" s="50">
        <v>0.15</v>
      </c>
      <c r="DG18" s="50">
        <v>1.04</v>
      </c>
      <c r="DH18" s="49">
        <v>1.905</v>
      </c>
      <c r="DI18" s="49">
        <v>1.252</v>
      </c>
      <c r="DJ18" s="49">
        <v>0.17499999999999999</v>
      </c>
      <c r="DK18" s="50">
        <v>0.93200000000000005</v>
      </c>
      <c r="DL18" s="49">
        <v>0.40699999999999997</v>
      </c>
      <c r="DM18" s="49">
        <v>0.44700000000000001</v>
      </c>
      <c r="DN18" s="49">
        <v>0.373</v>
      </c>
      <c r="DO18" s="49">
        <v>0.182</v>
      </c>
      <c r="DP18" s="49">
        <v>65.671999999999997</v>
      </c>
      <c r="DQ18" s="49">
        <v>59.350999999999999</v>
      </c>
      <c r="DR18" s="49">
        <v>53.139000000000003</v>
      </c>
      <c r="DS18" s="49">
        <v>52.890999999999998</v>
      </c>
      <c r="DT18" s="49">
        <v>6.42</v>
      </c>
      <c r="DU18" s="49">
        <v>5.57</v>
      </c>
      <c r="DV18" s="49">
        <v>13.04</v>
      </c>
      <c r="DW18" s="49">
        <v>10.89</v>
      </c>
      <c r="DX18" s="49">
        <v>6.74</v>
      </c>
      <c r="DY18" s="49">
        <v>5.89</v>
      </c>
      <c r="DZ18" s="49">
        <v>12.4</v>
      </c>
      <c r="EA18" s="49">
        <v>10.36</v>
      </c>
      <c r="EB18" s="49">
        <v>42.15</v>
      </c>
      <c r="EC18" s="50">
        <v>42.42</v>
      </c>
      <c r="ED18" s="49">
        <v>32.71</v>
      </c>
      <c r="EE18" s="50">
        <v>35.29</v>
      </c>
      <c r="EF18" s="49">
        <v>44.69</v>
      </c>
      <c r="EG18" s="49">
        <v>46.12</v>
      </c>
      <c r="EH18" s="49">
        <v>41.85</v>
      </c>
      <c r="EI18" s="49">
        <v>43.45</v>
      </c>
      <c r="EJ18" s="49">
        <v>6.3979999999999997</v>
      </c>
      <c r="EK18" s="49">
        <v>58.875999999999998</v>
      </c>
      <c r="EL18" s="49">
        <v>1.9</v>
      </c>
      <c r="EM18" s="49">
        <v>1.45</v>
      </c>
      <c r="EN18" s="49">
        <v>1.22</v>
      </c>
      <c r="EO18" s="49">
        <v>1.22</v>
      </c>
      <c r="EP18" s="49">
        <v>-111.77</v>
      </c>
      <c r="EQ18" s="49">
        <v>-2.2309999999999999</v>
      </c>
      <c r="ER18" s="50">
        <v>132.63399999999999</v>
      </c>
      <c r="ES18" s="49">
        <v>1.462</v>
      </c>
      <c r="ET18" s="49">
        <v>1.629</v>
      </c>
      <c r="EU18" s="49">
        <v>1.407</v>
      </c>
      <c r="EV18" s="49">
        <v>7.0949999999999998</v>
      </c>
      <c r="EW18" s="49">
        <v>1.0999999999999999E-2</v>
      </c>
      <c r="EX18" s="49">
        <v>74.2</v>
      </c>
      <c r="EY18" s="49">
        <v>0</v>
      </c>
      <c r="EZ18" s="49">
        <v>18.137</v>
      </c>
      <c r="FA18" s="50">
        <v>0</v>
      </c>
      <c r="FB18" s="49">
        <v>9.1920000000000002</v>
      </c>
      <c r="FC18" s="49">
        <v>73.966999999999999</v>
      </c>
      <c r="FD18" s="49">
        <v>68.786000000000001</v>
      </c>
      <c r="FE18" s="49">
        <v>86.067999999999998</v>
      </c>
      <c r="FF18" s="49">
        <v>83.971999999999994</v>
      </c>
      <c r="FG18" s="49">
        <v>0.94399999999999995</v>
      </c>
      <c r="FH18" s="49">
        <v>0.94399999999999995</v>
      </c>
      <c r="FI18" s="49">
        <v>0.98899999999999999</v>
      </c>
      <c r="FJ18" s="49">
        <v>0.99399999999999999</v>
      </c>
      <c r="FK18" s="49">
        <v>0</v>
      </c>
      <c r="FL18" s="49">
        <v>83</v>
      </c>
      <c r="FM18" s="49">
        <v>3.35</v>
      </c>
      <c r="FN18" s="49">
        <v>-0.41</v>
      </c>
      <c r="FO18" s="50">
        <v>5.12</v>
      </c>
      <c r="FP18" s="3"/>
      <c r="FQ18" s="49">
        <v>4.5999999999999996</v>
      </c>
      <c r="FR18" s="50">
        <v>4.95</v>
      </c>
      <c r="FS18" s="49">
        <v>6.8449999999999998</v>
      </c>
      <c r="FT18" s="50">
        <v>1078.5999999999999</v>
      </c>
      <c r="FU18" s="49">
        <v>7.08</v>
      </c>
      <c r="FV18" s="49">
        <v>34.5</v>
      </c>
      <c r="FW18" s="49">
        <v>3116.5</v>
      </c>
      <c r="FX18" s="50">
        <v>169900</v>
      </c>
      <c r="FY18" s="49">
        <v>171000</v>
      </c>
      <c r="FZ18" s="49">
        <v>48.274999999999999</v>
      </c>
      <c r="GA18" s="49">
        <v>47.316000000000003</v>
      </c>
      <c r="GB18" s="49">
        <v>2192.3000000000002</v>
      </c>
      <c r="GC18" s="49">
        <v>2177.4</v>
      </c>
      <c r="GD18" s="49">
        <v>2330.8000000000002</v>
      </c>
      <c r="GE18" s="49">
        <v>2227.5</v>
      </c>
      <c r="GF18" s="49">
        <v>1316</v>
      </c>
      <c r="GG18" s="49">
        <v>29</v>
      </c>
      <c r="GH18" s="49">
        <v>29.2</v>
      </c>
      <c r="GI18" s="49">
        <v>48.2</v>
      </c>
      <c r="GJ18" s="49">
        <v>53</v>
      </c>
      <c r="GK18" s="49">
        <v>99.5</v>
      </c>
      <c r="GL18" s="50">
        <v>96.7</v>
      </c>
      <c r="GM18" s="50">
        <v>0</v>
      </c>
      <c r="GN18" s="49">
        <v>25.681999999999999</v>
      </c>
      <c r="GO18" s="50">
        <v>132.63399999999999</v>
      </c>
      <c r="GP18" s="49">
        <v>0.64900000000000002</v>
      </c>
      <c r="GQ18" s="49">
        <v>1.9470000000000001</v>
      </c>
      <c r="GR18" s="49">
        <v>0.82599999999999996</v>
      </c>
      <c r="GS18" s="49">
        <v>2.0059999999999998</v>
      </c>
      <c r="GT18" s="49">
        <v>0.53100000000000003</v>
      </c>
      <c r="GU18" s="49">
        <v>1.829</v>
      </c>
      <c r="GV18" s="49">
        <v>12.544</v>
      </c>
      <c r="GW18" s="49">
        <v>14.07</v>
      </c>
      <c r="GX18" s="49">
        <v>15.385999999999999</v>
      </c>
      <c r="GY18" s="50">
        <v>0</v>
      </c>
      <c r="GZ18" s="50">
        <v>0</v>
      </c>
      <c r="HA18" s="50">
        <v>0</v>
      </c>
      <c r="HB18" s="49">
        <v>0</v>
      </c>
      <c r="HC18" s="49">
        <v>23.369</v>
      </c>
      <c r="HD18" s="49">
        <v>82</v>
      </c>
      <c r="HE18" s="50">
        <v>0</v>
      </c>
      <c r="HF18" s="50">
        <v>0</v>
      </c>
      <c r="HG18" s="49">
        <v>75.2</v>
      </c>
      <c r="HH18" s="49">
        <v>82.81</v>
      </c>
      <c r="HI18" s="50">
        <v>0</v>
      </c>
      <c r="HJ18" s="50">
        <v>0</v>
      </c>
      <c r="HK18" s="50">
        <v>0</v>
      </c>
      <c r="HL18" s="49">
        <v>63</v>
      </c>
      <c r="HM18" s="49">
        <v>54</v>
      </c>
      <c r="HN18" s="49">
        <v>66</v>
      </c>
      <c r="HO18" s="49">
        <v>60</v>
      </c>
      <c r="HP18" s="50">
        <v>64</v>
      </c>
      <c r="HQ18" s="50">
        <v>62</v>
      </c>
      <c r="HR18" s="50">
        <v>52</v>
      </c>
      <c r="HS18" s="49">
        <v>64</v>
      </c>
      <c r="HT18" s="49">
        <v>-1.2515000000000001</v>
      </c>
      <c r="HU18" s="50">
        <v>0</v>
      </c>
      <c r="HV18" s="49">
        <v>0.35399999999999998</v>
      </c>
      <c r="HW18" s="49">
        <v>36.08</v>
      </c>
      <c r="HX18" s="49">
        <v>44.28</v>
      </c>
      <c r="HY18" s="49">
        <v>48.61</v>
      </c>
      <c r="HZ18" s="49">
        <v>59.2</v>
      </c>
      <c r="IA18" s="49">
        <v>2.87</v>
      </c>
      <c r="IB18" s="49">
        <v>104</v>
      </c>
      <c r="IC18" s="49">
        <v>22.841999999999999</v>
      </c>
      <c r="ID18" s="49">
        <v>-0.28199999999999997</v>
      </c>
      <c r="IE18" s="49">
        <v>-8.6999999999999994E-2</v>
      </c>
      <c r="IF18" s="49">
        <v>821.1</v>
      </c>
      <c r="IG18" s="49">
        <v>771.9</v>
      </c>
      <c r="IH18" s="49">
        <v>832.2</v>
      </c>
      <c r="II18" s="49">
        <v>785.7</v>
      </c>
      <c r="IJ18" s="49">
        <v>2.1000000000000001E-2</v>
      </c>
      <c r="IK18" s="49">
        <v>-8.4000000000000005E-2</v>
      </c>
      <c r="IL18" s="49">
        <v>69.664000000000001</v>
      </c>
      <c r="IM18" s="49">
        <v>69.664000000000001</v>
      </c>
      <c r="IN18" s="49">
        <v>13.765000000000001</v>
      </c>
      <c r="IO18" s="49">
        <v>0.57199999999999995</v>
      </c>
      <c r="IP18" s="49">
        <v>10.9</v>
      </c>
      <c r="IQ18" s="49">
        <v>8.9999999999999993E-3</v>
      </c>
      <c r="IR18" s="49">
        <v>8.9999999999999993E-3</v>
      </c>
      <c r="IS18">
        <v>0.28100000000000003</v>
      </c>
      <c r="IT18">
        <v>0.15600000000000003</v>
      </c>
    </row>
    <row r="19" spans="1:254" x14ac:dyDescent="0.25">
      <c r="B19" s="2" t="s">
        <v>412</v>
      </c>
      <c r="C19" s="2" t="s">
        <v>400</v>
      </c>
      <c r="D19" s="61">
        <v>2.7836805555555553E-3</v>
      </c>
      <c r="E19" s="49">
        <v>240.51300000000001</v>
      </c>
      <c r="F19" s="49">
        <v>332.8</v>
      </c>
      <c r="G19" s="49">
        <v>5.63</v>
      </c>
      <c r="H19" s="50">
        <v>29.5</v>
      </c>
      <c r="I19" s="50">
        <v>0</v>
      </c>
      <c r="J19" s="49">
        <v>17.2</v>
      </c>
      <c r="K19" s="50">
        <v>10</v>
      </c>
      <c r="L19" s="50">
        <v>3</v>
      </c>
      <c r="M19" s="50">
        <v>6</v>
      </c>
      <c r="N19" s="50">
        <v>3</v>
      </c>
      <c r="O19" s="50">
        <v>3</v>
      </c>
      <c r="P19" s="49">
        <v>0.76900000000000002</v>
      </c>
      <c r="Q19" s="49">
        <v>1.43</v>
      </c>
      <c r="R19" s="49">
        <v>0.59199999999999997</v>
      </c>
      <c r="S19" s="49">
        <v>0.626</v>
      </c>
      <c r="T19" s="49">
        <v>77.42</v>
      </c>
      <c r="U19" s="49">
        <v>60.1</v>
      </c>
      <c r="V19" s="49">
        <v>253.34</v>
      </c>
      <c r="W19" s="49">
        <v>258.33999999999997</v>
      </c>
      <c r="X19" s="49">
        <v>185</v>
      </c>
      <c r="Y19" s="49">
        <v>231.66</v>
      </c>
      <c r="Z19" s="49">
        <v>388.63</v>
      </c>
      <c r="AA19" s="49">
        <v>394.86</v>
      </c>
      <c r="AB19" s="49">
        <v>306.97000000000003</v>
      </c>
      <c r="AC19" s="49">
        <v>371.56</v>
      </c>
      <c r="AD19" s="50">
        <v>1.8460000000000001</v>
      </c>
      <c r="AE19" s="49">
        <v>1.895</v>
      </c>
      <c r="AF19" s="49">
        <v>1.8440000000000001</v>
      </c>
      <c r="AG19" s="49">
        <v>1.8640000000000001</v>
      </c>
      <c r="AH19" s="49">
        <v>84.81</v>
      </c>
      <c r="AI19" s="49">
        <v>80.13</v>
      </c>
      <c r="AJ19" s="49">
        <v>112.52</v>
      </c>
      <c r="AK19" s="49">
        <v>108.13</v>
      </c>
      <c r="AL19" s="49">
        <v>606.98599999999999</v>
      </c>
      <c r="AM19" s="49">
        <v>605.25300000000004</v>
      </c>
      <c r="AN19" s="49">
        <v>802.98199999999997</v>
      </c>
      <c r="AO19" s="49">
        <v>762.23299999999995</v>
      </c>
      <c r="AP19" s="49">
        <v>1.3480000000000001</v>
      </c>
      <c r="AQ19" s="49">
        <v>1.8069999999999999</v>
      </c>
      <c r="AR19" s="49">
        <v>42.002000000000002</v>
      </c>
      <c r="AS19" s="49">
        <v>35.405000000000001</v>
      </c>
      <c r="AT19" s="49">
        <v>83</v>
      </c>
      <c r="AU19" s="50">
        <v>121</v>
      </c>
      <c r="AV19" s="49">
        <v>2.2749999999999999</v>
      </c>
      <c r="AW19" s="49">
        <v>5.3101000000000003</v>
      </c>
      <c r="AX19" s="49">
        <v>1015.6</v>
      </c>
      <c r="AY19" s="49">
        <v>2.13</v>
      </c>
      <c r="AZ19" s="49">
        <v>5.74</v>
      </c>
      <c r="BA19" s="49">
        <v>69.5</v>
      </c>
      <c r="BB19" s="49">
        <v>69.400000000000006</v>
      </c>
      <c r="BC19" s="49">
        <v>7662</v>
      </c>
      <c r="BD19" s="49">
        <v>89.25</v>
      </c>
      <c r="BE19" s="49">
        <v>16.41</v>
      </c>
      <c r="BF19" s="49">
        <v>14.195</v>
      </c>
      <c r="BG19" s="49">
        <v>28.16</v>
      </c>
      <c r="BH19" s="50">
        <v>27.42</v>
      </c>
      <c r="BI19" s="50">
        <v>65.813999999999993</v>
      </c>
      <c r="BJ19" s="50">
        <v>80.372</v>
      </c>
      <c r="BK19" s="50">
        <v>64.275000000000006</v>
      </c>
      <c r="BL19" s="49">
        <v>76.331000000000003</v>
      </c>
      <c r="BM19" s="50">
        <v>79.757000000000005</v>
      </c>
      <c r="BN19" s="49">
        <v>116.376</v>
      </c>
      <c r="BO19" s="49">
        <v>114.28</v>
      </c>
      <c r="BP19" s="49">
        <v>140.42400000000001</v>
      </c>
      <c r="BQ19" s="49">
        <v>142.6</v>
      </c>
      <c r="BR19" s="50">
        <v>61.162999999999997</v>
      </c>
      <c r="BS19" s="50">
        <v>29.3</v>
      </c>
      <c r="BT19" s="49">
        <v>7368.0360000000001</v>
      </c>
      <c r="BU19" s="49">
        <v>49.633000000000003</v>
      </c>
      <c r="BV19" s="50">
        <v>56.585999999999999</v>
      </c>
      <c r="BW19" s="49">
        <v>55.823</v>
      </c>
      <c r="BX19" s="49">
        <v>57.527999999999999</v>
      </c>
      <c r="BY19" s="50">
        <v>1.5309999999999999</v>
      </c>
      <c r="BZ19" s="49">
        <v>2.8959999999999999</v>
      </c>
      <c r="CA19" s="49">
        <v>3.2010000000000001</v>
      </c>
      <c r="CB19" s="49">
        <v>3.3580000000000001</v>
      </c>
      <c r="CC19" s="49">
        <v>1.131</v>
      </c>
      <c r="CD19" s="49">
        <v>2.3410000000000002</v>
      </c>
      <c r="CE19" s="49">
        <v>1.272</v>
      </c>
      <c r="CF19" s="49">
        <v>2.0790000000000002</v>
      </c>
      <c r="CG19" s="49">
        <v>13.949</v>
      </c>
      <c r="CH19" s="49">
        <v>13.667999999999999</v>
      </c>
      <c r="CI19" s="3"/>
      <c r="CJ19" s="3"/>
      <c r="CK19" s="3"/>
      <c r="CL19" s="49">
        <v>0.4</v>
      </c>
      <c r="CM19" s="50">
        <v>1.1000000000000001</v>
      </c>
      <c r="CN19" s="49">
        <v>0</v>
      </c>
      <c r="CO19" s="49">
        <v>0</v>
      </c>
      <c r="CP19" s="49">
        <v>102.851</v>
      </c>
      <c r="CQ19" s="49">
        <v>100.336</v>
      </c>
      <c r="CR19" s="49">
        <v>128.31299999999999</v>
      </c>
      <c r="CS19" s="49">
        <v>132.41399999999999</v>
      </c>
      <c r="CT19" s="49">
        <v>0.41399999999999998</v>
      </c>
      <c r="CU19" s="50">
        <v>3.6219999999999999</v>
      </c>
      <c r="CV19" s="50">
        <v>4.016</v>
      </c>
      <c r="CW19" s="50">
        <v>4.0209999999999999</v>
      </c>
      <c r="CX19" s="50">
        <v>3.72</v>
      </c>
      <c r="CY19" s="50">
        <v>3.419</v>
      </c>
      <c r="CZ19" s="50">
        <v>3.42</v>
      </c>
      <c r="DA19" s="50">
        <v>3.121</v>
      </c>
      <c r="DB19" s="50">
        <v>4.1189999999999998</v>
      </c>
      <c r="DC19" s="50">
        <v>0</v>
      </c>
      <c r="DD19" s="50">
        <v>0</v>
      </c>
      <c r="DE19" s="49">
        <v>0.25700000000000001</v>
      </c>
      <c r="DF19" s="49">
        <v>0.123</v>
      </c>
      <c r="DG19" s="49">
        <v>0.57199999999999995</v>
      </c>
      <c r="DH19" s="49">
        <v>1.901</v>
      </c>
      <c r="DI19" s="49">
        <v>1.131</v>
      </c>
      <c r="DJ19" s="49">
        <v>0.11799999999999999</v>
      </c>
      <c r="DK19" s="49">
        <v>0.876</v>
      </c>
      <c r="DL19" s="49">
        <v>0.40799999999999997</v>
      </c>
      <c r="DM19" s="50">
        <v>0.54100000000000004</v>
      </c>
      <c r="DN19" s="50">
        <v>1.0309999999999999</v>
      </c>
      <c r="DO19" s="49">
        <v>0.309</v>
      </c>
      <c r="DP19" s="50">
        <v>66.418000000000006</v>
      </c>
      <c r="DQ19" s="49">
        <v>60.825000000000003</v>
      </c>
      <c r="DR19" s="50">
        <v>54.92</v>
      </c>
      <c r="DS19" s="50">
        <v>53.424999999999997</v>
      </c>
      <c r="DT19" s="49">
        <v>5.55</v>
      </c>
      <c r="DU19" s="49">
        <v>5.44</v>
      </c>
      <c r="DV19" s="49">
        <v>11.81</v>
      </c>
      <c r="DW19" s="49">
        <v>9.89</v>
      </c>
      <c r="DX19" s="49">
        <v>5.75</v>
      </c>
      <c r="DY19" s="49">
        <v>5.63</v>
      </c>
      <c r="DZ19" s="49">
        <v>11.32</v>
      </c>
      <c r="EA19" s="49">
        <v>9.59</v>
      </c>
      <c r="EB19" s="50">
        <v>43</v>
      </c>
      <c r="EC19" s="49">
        <v>42.11</v>
      </c>
      <c r="ED19" s="49">
        <v>32.64</v>
      </c>
      <c r="EE19" s="49">
        <v>34.590000000000003</v>
      </c>
      <c r="EF19" s="49">
        <v>45.7</v>
      </c>
      <c r="EG19" s="49">
        <v>46.82</v>
      </c>
      <c r="EH19" s="49">
        <v>44.22</v>
      </c>
      <c r="EI19" s="49">
        <v>45.92</v>
      </c>
      <c r="EJ19" s="49">
        <v>6.633</v>
      </c>
      <c r="EK19" s="49">
        <v>58.853000000000002</v>
      </c>
      <c r="EL19" s="49">
        <v>1.95</v>
      </c>
      <c r="EM19" s="49">
        <v>1.5</v>
      </c>
      <c r="EN19" s="49">
        <v>1.24</v>
      </c>
      <c r="EO19" s="49">
        <v>1.23</v>
      </c>
      <c r="EP19" s="49">
        <v>-110.602</v>
      </c>
      <c r="EQ19" s="49">
        <v>-2.2290000000000001</v>
      </c>
      <c r="ER19" s="49">
        <v>102.26600000000001</v>
      </c>
      <c r="ES19" s="49">
        <v>1.452</v>
      </c>
      <c r="ET19" s="49">
        <v>1.6080000000000001</v>
      </c>
      <c r="EU19" s="49">
        <v>1.4079999999999999</v>
      </c>
      <c r="EV19" s="49">
        <v>7.3029999999999999</v>
      </c>
      <c r="EW19" s="49">
        <v>0.377</v>
      </c>
      <c r="EX19" s="49">
        <v>70.94</v>
      </c>
      <c r="EY19" s="49">
        <v>0.02</v>
      </c>
      <c r="EZ19" s="49">
        <v>0.247</v>
      </c>
      <c r="FA19" s="50">
        <v>0</v>
      </c>
      <c r="FB19" s="49">
        <v>9.2520000000000007</v>
      </c>
      <c r="FC19" s="49">
        <v>75.968000000000004</v>
      </c>
      <c r="FD19" s="49">
        <v>70.209999999999994</v>
      </c>
      <c r="FE19" s="49">
        <v>87.379000000000005</v>
      </c>
      <c r="FF19" s="49">
        <v>85.141999999999996</v>
      </c>
      <c r="FG19" s="49">
        <v>0.97299999999999998</v>
      </c>
      <c r="FH19" s="49">
        <v>0.95399999999999996</v>
      </c>
      <c r="FI19" s="49">
        <v>0.99</v>
      </c>
      <c r="FJ19" s="49">
        <v>0.995</v>
      </c>
      <c r="FK19" s="49">
        <v>0</v>
      </c>
      <c r="FL19" s="49">
        <v>83</v>
      </c>
      <c r="FM19" s="49">
        <v>3.37</v>
      </c>
      <c r="FN19" s="50">
        <v>-0.57999999999999996</v>
      </c>
      <c r="FO19" s="49">
        <v>5.39</v>
      </c>
      <c r="FP19" s="49">
        <v>3.9</v>
      </c>
      <c r="FQ19" s="49">
        <v>4.45</v>
      </c>
      <c r="FR19" s="49">
        <v>5</v>
      </c>
      <c r="FS19" s="49">
        <v>6.8414999999999999</v>
      </c>
      <c r="FT19" s="49">
        <v>1075.3</v>
      </c>
      <c r="FU19" s="49">
        <v>6.95</v>
      </c>
      <c r="FV19" s="50">
        <v>40.130000000000003</v>
      </c>
      <c r="FW19" s="49">
        <v>3110.5</v>
      </c>
      <c r="FX19" s="49">
        <v>163800</v>
      </c>
      <c r="FY19" s="49">
        <v>165100</v>
      </c>
      <c r="FZ19" s="49">
        <v>48.276000000000003</v>
      </c>
      <c r="GA19" s="49">
        <v>47.244999999999997</v>
      </c>
      <c r="GB19" s="49">
        <v>2178</v>
      </c>
      <c r="GC19" s="49">
        <v>2251.8000000000002</v>
      </c>
      <c r="GD19" s="49">
        <v>2214.3000000000002</v>
      </c>
      <c r="GE19" s="49">
        <v>2330.1999999999998</v>
      </c>
      <c r="GF19" s="49">
        <v>1161.6563000000001</v>
      </c>
      <c r="GG19" s="50">
        <v>30</v>
      </c>
      <c r="GH19" s="50">
        <v>29.9</v>
      </c>
      <c r="GI19" s="49">
        <v>48.5</v>
      </c>
      <c r="GJ19" s="49">
        <v>53.3</v>
      </c>
      <c r="GK19" s="49">
        <v>99.5</v>
      </c>
      <c r="GL19" s="49">
        <v>88.3</v>
      </c>
      <c r="GM19" s="50">
        <v>0</v>
      </c>
      <c r="GN19" s="49">
        <v>27.48</v>
      </c>
      <c r="GO19" s="49">
        <v>110.602</v>
      </c>
      <c r="GP19" s="50">
        <v>0</v>
      </c>
      <c r="GQ19" s="49">
        <v>1.9470000000000001</v>
      </c>
      <c r="GR19" s="50">
        <v>0</v>
      </c>
      <c r="GS19" s="49">
        <v>1.9470000000000001</v>
      </c>
      <c r="GT19" s="50">
        <v>0</v>
      </c>
      <c r="GU19" s="49">
        <v>1.829</v>
      </c>
      <c r="GV19" s="50">
        <v>0</v>
      </c>
      <c r="GW19" s="49">
        <v>13.986000000000001</v>
      </c>
      <c r="GX19" s="49">
        <v>15.974</v>
      </c>
      <c r="GY19" s="50">
        <v>0</v>
      </c>
      <c r="GZ19" s="50">
        <v>0</v>
      </c>
      <c r="HA19" s="50">
        <v>0</v>
      </c>
      <c r="HB19" s="49">
        <v>0</v>
      </c>
      <c r="HC19" s="49">
        <v>23.29</v>
      </c>
      <c r="HD19" s="49">
        <v>86</v>
      </c>
      <c r="HE19" s="50">
        <v>0</v>
      </c>
      <c r="HF19" s="50">
        <v>0</v>
      </c>
      <c r="HG19" s="49">
        <v>76.62</v>
      </c>
      <c r="HH19" s="50">
        <v>82.94</v>
      </c>
      <c r="HI19" s="50">
        <v>0</v>
      </c>
      <c r="HJ19" s="50">
        <v>0</v>
      </c>
      <c r="HK19" s="50">
        <v>0</v>
      </c>
      <c r="HL19" s="49">
        <v>63</v>
      </c>
      <c r="HM19" s="49">
        <v>54</v>
      </c>
      <c r="HN19" s="50">
        <v>67</v>
      </c>
      <c r="HO19" s="50">
        <v>61</v>
      </c>
      <c r="HP19" s="50">
        <v>64</v>
      </c>
      <c r="HQ19" s="50">
        <v>62</v>
      </c>
      <c r="HR19" s="50">
        <v>52</v>
      </c>
      <c r="HS19" s="49">
        <v>64</v>
      </c>
      <c r="HT19" s="49">
        <v>-1.2665</v>
      </c>
      <c r="HU19" s="50">
        <v>0</v>
      </c>
      <c r="HV19" s="49">
        <v>-9.8000000000000004E-2</v>
      </c>
      <c r="HW19" s="49">
        <v>37</v>
      </c>
      <c r="HX19" s="49">
        <v>49.31</v>
      </c>
      <c r="HY19" s="3"/>
      <c r="HZ19" s="3"/>
      <c r="IA19" s="49">
        <v>2.9430000000000001</v>
      </c>
      <c r="IB19" s="49">
        <v>104</v>
      </c>
      <c r="IC19" s="49">
        <v>22.786000000000001</v>
      </c>
      <c r="ID19" s="49">
        <v>-0.23400000000000001</v>
      </c>
      <c r="IE19" s="49">
        <v>-7.6999999999999999E-2</v>
      </c>
      <c r="IF19" s="49">
        <v>821</v>
      </c>
      <c r="IG19" s="49">
        <v>759.6</v>
      </c>
      <c r="IH19" s="49">
        <v>834.5</v>
      </c>
      <c r="II19" s="49">
        <v>773.9</v>
      </c>
      <c r="IJ19" s="49">
        <v>8.0000000000000002E-3</v>
      </c>
      <c r="IK19" s="49">
        <v>-8.7999999999999995E-2</v>
      </c>
      <c r="IL19" s="49">
        <v>79.326999999999998</v>
      </c>
      <c r="IM19" s="49">
        <v>79.326999999999998</v>
      </c>
      <c r="IN19" s="49">
        <v>14.5</v>
      </c>
      <c r="IO19" s="49">
        <v>0.54600000000000004</v>
      </c>
      <c r="IP19" s="49">
        <v>10.71</v>
      </c>
      <c r="IQ19" s="49">
        <v>0</v>
      </c>
      <c r="IR19" s="49">
        <v>0</v>
      </c>
      <c r="IS19">
        <v>0.28100000000000003</v>
      </c>
      <c r="IT19">
        <v>0.15600000000000003</v>
      </c>
    </row>
    <row r="20" spans="1:254" x14ac:dyDescent="0.25">
      <c r="IS20">
        <v>0.28100000000000003</v>
      </c>
      <c r="IT20">
        <v>0.15600000000000003</v>
      </c>
    </row>
    <row r="21" spans="1:254" x14ac:dyDescent="0.25">
      <c r="IS21">
        <v>0.28100000000000003</v>
      </c>
      <c r="IT21">
        <v>0.15600000000000003</v>
      </c>
    </row>
    <row r="22" spans="1:254" x14ac:dyDescent="0.25">
      <c r="IS22">
        <v>0.28100000000000003</v>
      </c>
      <c r="IT22">
        <v>0.15600000000000003</v>
      </c>
    </row>
    <row r="23" spans="1:254" x14ac:dyDescent="0.25">
      <c r="B23" s="2" t="s">
        <v>412</v>
      </c>
      <c r="C23" s="2" t="s">
        <v>41</v>
      </c>
      <c r="D23" s="61">
        <v>4.8123842592592584E-3</v>
      </c>
      <c r="E23" s="50">
        <v>415.78500000000003</v>
      </c>
      <c r="F23" s="49">
        <v>321.36</v>
      </c>
      <c r="G23" s="49">
        <v>4.96</v>
      </c>
      <c r="H23" s="49">
        <v>29.1</v>
      </c>
      <c r="I23" s="50">
        <v>0.23</v>
      </c>
      <c r="J23" s="50">
        <v>118</v>
      </c>
      <c r="K23" s="50">
        <v>10</v>
      </c>
      <c r="L23" s="50">
        <v>2</v>
      </c>
      <c r="M23" s="50">
        <v>6</v>
      </c>
      <c r="N23" s="50">
        <v>3</v>
      </c>
      <c r="O23" s="50">
        <v>3</v>
      </c>
      <c r="P23" s="49">
        <v>0.70199999999999996</v>
      </c>
      <c r="Q23" s="49">
        <v>1.085</v>
      </c>
      <c r="R23" s="49">
        <v>0.90600000000000003</v>
      </c>
      <c r="S23" s="49">
        <v>0.49299999999999999</v>
      </c>
      <c r="T23" s="49">
        <v>54.2</v>
      </c>
      <c r="U23" s="49">
        <v>60.009</v>
      </c>
      <c r="V23" s="50">
        <v>117.5</v>
      </c>
      <c r="W23" s="50">
        <v>112.5</v>
      </c>
      <c r="X23" s="50">
        <v>102.5</v>
      </c>
      <c r="Y23" s="50">
        <v>110</v>
      </c>
      <c r="Z23" s="49">
        <v>254.27</v>
      </c>
      <c r="AA23" s="49">
        <v>256.44</v>
      </c>
      <c r="AB23" s="49">
        <v>167.98</v>
      </c>
      <c r="AC23" s="49">
        <v>204.25</v>
      </c>
      <c r="AD23" s="49">
        <v>1.728</v>
      </c>
      <c r="AE23" s="49">
        <v>1.8029999999999999</v>
      </c>
      <c r="AF23" s="49">
        <v>1.613</v>
      </c>
      <c r="AG23" s="49">
        <v>1.6559999999999999</v>
      </c>
      <c r="AH23" s="49">
        <v>59.88</v>
      </c>
      <c r="AI23" s="49">
        <v>56.87</v>
      </c>
      <c r="AJ23" s="49">
        <v>76.97</v>
      </c>
      <c r="AK23" s="49">
        <v>74.819999999999993</v>
      </c>
      <c r="AL23" s="49">
        <v>612.36699999999996</v>
      </c>
      <c r="AM23" s="49">
        <v>607.96</v>
      </c>
      <c r="AN23" s="49">
        <v>737.48500000000001</v>
      </c>
      <c r="AO23" s="49">
        <v>719.71799999999996</v>
      </c>
      <c r="AP23" s="50">
        <v>1.359</v>
      </c>
      <c r="AQ23" s="49">
        <v>1.7629999999999999</v>
      </c>
      <c r="AR23" s="49">
        <v>41.829000000000001</v>
      </c>
      <c r="AS23" s="49">
        <v>37.936</v>
      </c>
      <c r="AT23" s="50">
        <v>86</v>
      </c>
      <c r="AU23" s="49">
        <v>108</v>
      </c>
      <c r="AV23" s="49">
        <v>2.4255</v>
      </c>
      <c r="AW23" s="49">
        <v>4.9034000000000004</v>
      </c>
      <c r="AX23" s="49">
        <v>1014.9</v>
      </c>
      <c r="AY23" s="50">
        <v>2.57</v>
      </c>
      <c r="AZ23" s="49">
        <v>5.7</v>
      </c>
      <c r="BA23" s="50">
        <v>66.599999999999994</v>
      </c>
      <c r="BB23" s="50">
        <v>66.903999999999996</v>
      </c>
      <c r="BC23" s="49">
        <v>7622</v>
      </c>
      <c r="BD23" s="49">
        <v>89.25</v>
      </c>
      <c r="BE23" s="50">
        <v>17.594999999999999</v>
      </c>
      <c r="BF23" s="49">
        <v>12.855</v>
      </c>
      <c r="BG23" s="49">
        <v>28.44</v>
      </c>
      <c r="BH23" s="49">
        <v>25.24</v>
      </c>
      <c r="BI23" s="49">
        <v>64.932000000000002</v>
      </c>
      <c r="BJ23" s="49">
        <v>81.012</v>
      </c>
      <c r="BK23" s="49">
        <v>63.231999999999999</v>
      </c>
      <c r="BL23" s="50">
        <v>77.772999999999996</v>
      </c>
      <c r="BM23" s="49">
        <v>79.11</v>
      </c>
      <c r="BN23" s="50">
        <v>146.792</v>
      </c>
      <c r="BO23" s="50">
        <v>141.464</v>
      </c>
      <c r="BP23" s="49">
        <v>126.072</v>
      </c>
      <c r="BQ23" s="49">
        <v>132.63200000000001</v>
      </c>
      <c r="BR23" s="49">
        <v>59.106999999999999</v>
      </c>
      <c r="BS23" s="49">
        <v>28.9</v>
      </c>
      <c r="BT23" s="49">
        <v>7313.7030000000004</v>
      </c>
      <c r="BU23" s="49">
        <v>43.445999999999998</v>
      </c>
      <c r="BV23" s="50">
        <v>55.89</v>
      </c>
      <c r="BW23" s="50">
        <v>58.741</v>
      </c>
      <c r="BX23" s="50">
        <v>59.103999999999999</v>
      </c>
      <c r="BY23" s="49">
        <v>1.429</v>
      </c>
      <c r="BZ23" s="49">
        <v>2.2919999999999998</v>
      </c>
      <c r="CA23" s="49">
        <v>3.3919999999999999</v>
      </c>
      <c r="CB23" s="49">
        <v>3.1930000000000001</v>
      </c>
      <c r="CC23" s="49">
        <v>1.089</v>
      </c>
      <c r="CD23" s="49">
        <v>2.0390000000000001</v>
      </c>
      <c r="CE23" s="50">
        <v>1.36</v>
      </c>
      <c r="CF23" s="50">
        <v>2.085</v>
      </c>
      <c r="CG23" s="49">
        <v>13.858000000000001</v>
      </c>
      <c r="CH23" s="50">
        <v>10.02</v>
      </c>
      <c r="CI23" s="49">
        <v>5.1760000000000002</v>
      </c>
      <c r="CJ23" s="49">
        <v>-573.15499999999997</v>
      </c>
      <c r="CK23" s="49">
        <v>1.3839999999999999</v>
      </c>
      <c r="CL23" s="49">
        <v>0.1</v>
      </c>
      <c r="CM23" s="49">
        <v>0.5</v>
      </c>
      <c r="CN23" s="50">
        <v>0</v>
      </c>
      <c r="CO23" s="50">
        <v>0</v>
      </c>
      <c r="CP23" s="50">
        <v>108.494</v>
      </c>
      <c r="CQ23" s="50">
        <v>105.767</v>
      </c>
      <c r="CR23" s="49">
        <v>106.002</v>
      </c>
      <c r="CS23" s="49">
        <v>111.01</v>
      </c>
      <c r="CT23" s="50">
        <v>0.375</v>
      </c>
      <c r="CU23" s="49">
        <v>1.198</v>
      </c>
      <c r="CV23" s="49">
        <v>1.298</v>
      </c>
      <c r="CW23" s="49">
        <v>1.7989999999999999</v>
      </c>
      <c r="CX23" s="49">
        <v>1.796</v>
      </c>
      <c r="CY23" s="49">
        <v>1.1950000000000001</v>
      </c>
      <c r="CZ23" s="49">
        <v>1.2969999999999999</v>
      </c>
      <c r="DA23" s="49">
        <v>0.59799999999999998</v>
      </c>
      <c r="DB23" s="49">
        <v>1.397</v>
      </c>
      <c r="DC23" s="50">
        <v>6.0000000000000001E-3</v>
      </c>
      <c r="DD23" s="50">
        <v>0</v>
      </c>
      <c r="DE23" s="49">
        <v>0.20699999999999999</v>
      </c>
      <c r="DF23" s="49">
        <v>0.11600000000000001</v>
      </c>
      <c r="DG23" s="49">
        <v>0.60899999999999999</v>
      </c>
      <c r="DH23" s="49">
        <v>2.16</v>
      </c>
      <c r="DI23" s="49">
        <v>1.0780000000000001</v>
      </c>
      <c r="DJ23" s="49">
        <v>0.17599999999999999</v>
      </c>
      <c r="DK23" s="49">
        <v>0.82199999999999995</v>
      </c>
      <c r="DL23" s="50">
        <v>0.41699999999999998</v>
      </c>
      <c r="DM23" s="49">
        <v>0.54100000000000004</v>
      </c>
      <c r="DN23" s="49">
        <v>-0.06</v>
      </c>
      <c r="DO23" s="49">
        <v>-7.0000000000000001E-3</v>
      </c>
      <c r="DP23" s="49">
        <v>62.417000000000002</v>
      </c>
      <c r="DQ23" s="50">
        <v>62.317999999999998</v>
      </c>
      <c r="DR23" s="49">
        <v>51.276000000000003</v>
      </c>
      <c r="DS23" s="49">
        <v>51.067</v>
      </c>
      <c r="DT23" s="49">
        <v>2.2799999999999998</v>
      </c>
      <c r="DU23" s="49">
        <v>2.41</v>
      </c>
      <c r="DV23" s="49">
        <v>4.8099999999999996</v>
      </c>
      <c r="DW23" s="49">
        <v>4.25</v>
      </c>
      <c r="DX23" s="49">
        <v>2.4700000000000002</v>
      </c>
      <c r="DY23" s="49">
        <v>2.3199999999999998</v>
      </c>
      <c r="DZ23" s="49">
        <v>4.46</v>
      </c>
      <c r="EA23" s="49">
        <v>3.96</v>
      </c>
      <c r="EB23" s="49">
        <v>32.770000000000003</v>
      </c>
      <c r="EC23" s="49">
        <v>32.06</v>
      </c>
      <c r="ED23" s="49">
        <v>27.36</v>
      </c>
      <c r="EE23" s="49">
        <v>27.9</v>
      </c>
      <c r="EF23" s="50">
        <v>62.48</v>
      </c>
      <c r="EG23" s="50">
        <v>63.2</v>
      </c>
      <c r="EH23" s="50">
        <v>63.37</v>
      </c>
      <c r="EI23" s="50">
        <v>63.88</v>
      </c>
      <c r="EJ23" s="50">
        <v>7.4349999999999996</v>
      </c>
      <c r="EK23" s="49">
        <v>58.271000000000001</v>
      </c>
      <c r="EL23" s="50">
        <v>2.2999999999999998</v>
      </c>
      <c r="EM23" s="50">
        <v>1.4</v>
      </c>
      <c r="EN23" s="50">
        <v>1.43</v>
      </c>
      <c r="EO23" s="50">
        <v>1.42</v>
      </c>
      <c r="EP23" s="50">
        <v>-109.142</v>
      </c>
      <c r="EQ23" s="50">
        <v>-0.52100000000000002</v>
      </c>
      <c r="ER23" s="49">
        <v>83.286000000000001</v>
      </c>
      <c r="ES23" s="50">
        <v>1.4379999999999999</v>
      </c>
      <c r="ET23" s="49">
        <v>1.55</v>
      </c>
      <c r="EU23" s="50">
        <v>1.4019999999999999</v>
      </c>
      <c r="EV23" s="50">
        <v>7.4740000000000002</v>
      </c>
      <c r="EW23" s="49">
        <v>1.34</v>
      </c>
      <c r="EX23" s="49">
        <v>-451.18</v>
      </c>
      <c r="EY23" s="50">
        <v>1.7989999999999999</v>
      </c>
      <c r="EZ23" s="49">
        <v>0</v>
      </c>
      <c r="FA23" s="50">
        <v>0</v>
      </c>
      <c r="FB23" s="50">
        <v>9.3059999999999992</v>
      </c>
      <c r="FC23" s="49">
        <v>69.430999999999997</v>
      </c>
      <c r="FD23" s="49">
        <v>66.387</v>
      </c>
      <c r="FE23" s="49">
        <v>74.340999999999994</v>
      </c>
      <c r="FF23" s="49">
        <v>71.953000000000003</v>
      </c>
      <c r="FG23" s="49">
        <v>0.96099999999999997</v>
      </c>
      <c r="FH23" s="49">
        <v>0.96099999999999997</v>
      </c>
      <c r="FI23" s="50">
        <v>1.002</v>
      </c>
      <c r="FJ23" s="50">
        <v>1.0049999999999999</v>
      </c>
      <c r="FK23" s="50">
        <v>0.20200000000000001</v>
      </c>
      <c r="FL23" s="50">
        <v>86</v>
      </c>
      <c r="FM23" s="49">
        <v>3.27</v>
      </c>
      <c r="FN23" s="50">
        <v>-0.85</v>
      </c>
      <c r="FO23" s="49">
        <v>5.42</v>
      </c>
      <c r="FP23" s="50">
        <v>0.75</v>
      </c>
      <c r="FQ23" s="49">
        <v>4.75</v>
      </c>
      <c r="FR23" s="49">
        <v>5.25</v>
      </c>
      <c r="FS23" s="49">
        <v>6.5274999999999999</v>
      </c>
      <c r="FT23" s="49">
        <v>1073</v>
      </c>
      <c r="FU23" s="49">
        <v>6.28</v>
      </c>
      <c r="FV23" s="49">
        <v>4.96</v>
      </c>
      <c r="FW23" s="50">
        <v>3251</v>
      </c>
      <c r="FX23" s="49">
        <v>168500</v>
      </c>
      <c r="FY23" s="49">
        <v>172000</v>
      </c>
      <c r="FZ23" s="50">
        <v>50.787999999999997</v>
      </c>
      <c r="GA23" s="50">
        <v>49.610999999999997</v>
      </c>
      <c r="GB23" s="49">
        <v>2214.5</v>
      </c>
      <c r="GC23" s="49">
        <v>2208.1</v>
      </c>
      <c r="GD23" s="49">
        <v>2244</v>
      </c>
      <c r="GE23" s="49">
        <v>2208.3000000000002</v>
      </c>
      <c r="GF23" s="49">
        <v>1415</v>
      </c>
      <c r="GG23" s="49">
        <v>32</v>
      </c>
      <c r="GH23" s="49">
        <v>32.200000000000003</v>
      </c>
      <c r="GI23" s="50">
        <v>60.5</v>
      </c>
      <c r="GJ23" s="50">
        <v>65.8</v>
      </c>
      <c r="GK23" s="50">
        <v>97</v>
      </c>
      <c r="GL23" s="49">
        <v>77.099999999999994</v>
      </c>
      <c r="GM23" s="50">
        <v>0</v>
      </c>
      <c r="GN23" s="49">
        <v>26.039000000000001</v>
      </c>
      <c r="GO23" s="49">
        <v>109.142</v>
      </c>
      <c r="GP23" s="50">
        <v>0</v>
      </c>
      <c r="GQ23" s="49">
        <v>3.3039999999999998</v>
      </c>
      <c r="GR23" s="50">
        <v>0</v>
      </c>
      <c r="GS23" s="49">
        <v>3.4220000000000002</v>
      </c>
      <c r="GT23" s="50">
        <v>0</v>
      </c>
      <c r="GU23" s="49">
        <v>3.1859999999999999</v>
      </c>
      <c r="GV23" s="50">
        <v>0</v>
      </c>
      <c r="GW23" s="49">
        <v>13.35</v>
      </c>
      <c r="GX23" s="50">
        <v>17.934000000000001</v>
      </c>
      <c r="GY23" s="50">
        <v>0</v>
      </c>
      <c r="GZ23" s="50">
        <v>0</v>
      </c>
      <c r="HA23" s="50">
        <v>0</v>
      </c>
      <c r="HB23" s="50">
        <v>1</v>
      </c>
      <c r="HC23" s="50">
        <v>24.971</v>
      </c>
      <c r="HD23" s="50">
        <v>90</v>
      </c>
      <c r="HE23" s="50">
        <v>0</v>
      </c>
      <c r="HF23" s="50">
        <v>0</v>
      </c>
      <c r="HG23" s="50">
        <v>89.59</v>
      </c>
      <c r="HH23" s="49">
        <v>78.41</v>
      </c>
      <c r="HI23" s="50">
        <v>0</v>
      </c>
      <c r="HJ23" s="50">
        <v>0</v>
      </c>
      <c r="HK23" s="50">
        <v>0</v>
      </c>
      <c r="HL23" s="50">
        <v>73</v>
      </c>
      <c r="HM23" s="50">
        <v>56</v>
      </c>
      <c r="HN23" s="49">
        <v>67</v>
      </c>
      <c r="HO23" s="49">
        <v>60</v>
      </c>
      <c r="HP23" s="49">
        <v>63</v>
      </c>
      <c r="HQ23" s="49">
        <v>61</v>
      </c>
      <c r="HR23" s="49">
        <v>54</v>
      </c>
      <c r="HS23" s="49">
        <v>62</v>
      </c>
      <c r="HT23" s="50">
        <v>-1.3425</v>
      </c>
      <c r="HU23" s="50">
        <v>0</v>
      </c>
      <c r="HV23" s="49">
        <v>-0.95499999999999996</v>
      </c>
      <c r="HW23" s="49">
        <v>39.39</v>
      </c>
      <c r="HX23" s="49">
        <v>51.48</v>
      </c>
      <c r="HY23" s="49">
        <v>49.21</v>
      </c>
      <c r="HZ23" s="49">
        <v>58.54</v>
      </c>
      <c r="IA23" s="49">
        <v>2.472</v>
      </c>
      <c r="IB23" s="49">
        <v>97</v>
      </c>
      <c r="IC23" s="49">
        <v>17.736999999999998</v>
      </c>
      <c r="ID23" s="50">
        <v>-0.11899999999999999</v>
      </c>
      <c r="IE23" s="50">
        <v>-3.9E-2</v>
      </c>
      <c r="IF23" s="49">
        <v>807.4</v>
      </c>
      <c r="IG23" s="49">
        <v>641.29999999999995</v>
      </c>
      <c r="IH23" s="49">
        <v>813.3</v>
      </c>
      <c r="II23" s="49">
        <v>657.5</v>
      </c>
      <c r="IJ23" s="50">
        <v>5.2999999999999999E-2</v>
      </c>
      <c r="IK23" s="50">
        <v>1E-3</v>
      </c>
      <c r="IL23" s="50">
        <v>293.90600000000001</v>
      </c>
      <c r="IM23" s="50">
        <v>293.80500000000001</v>
      </c>
      <c r="IN23" s="50">
        <v>16.298999999999999</v>
      </c>
      <c r="IO23" s="49">
        <v>0.317</v>
      </c>
      <c r="IP23" s="50">
        <v>10.75</v>
      </c>
      <c r="IQ23" s="50">
        <v>1.6E-2</v>
      </c>
      <c r="IR23" s="50">
        <v>1.4E-2</v>
      </c>
      <c r="IS23">
        <v>0.28100000000000003</v>
      </c>
      <c r="IT23">
        <v>0.15600000000000003</v>
      </c>
    </row>
    <row r="24" spans="1:254" x14ac:dyDescent="0.25">
      <c r="B24" s="2" t="s">
        <v>412</v>
      </c>
      <c r="C24" s="2" t="s">
        <v>42</v>
      </c>
      <c r="D24" s="61">
        <v>2.4730324074074077E-3</v>
      </c>
      <c r="E24" s="49">
        <v>213.71</v>
      </c>
      <c r="F24" s="49">
        <v>328.4</v>
      </c>
      <c r="G24" s="49">
        <v>5.84</v>
      </c>
      <c r="H24" s="49">
        <v>29.2</v>
      </c>
      <c r="I24" s="49">
        <v>0</v>
      </c>
      <c r="J24" s="49">
        <v>15.2</v>
      </c>
      <c r="K24" s="50">
        <v>10</v>
      </c>
      <c r="L24" s="50">
        <v>2</v>
      </c>
      <c r="M24" s="50">
        <v>6</v>
      </c>
      <c r="N24" s="50">
        <v>3</v>
      </c>
      <c r="O24" s="50">
        <v>3</v>
      </c>
      <c r="P24" s="49">
        <v>0.78900000000000003</v>
      </c>
      <c r="Q24" s="49">
        <v>1.2809999999999999</v>
      </c>
      <c r="R24" s="49">
        <v>0.77100000000000002</v>
      </c>
      <c r="S24" s="49">
        <v>0.65100000000000002</v>
      </c>
      <c r="T24" s="49">
        <v>70.56</v>
      </c>
      <c r="U24" s="49">
        <v>60.012</v>
      </c>
      <c r="V24" s="49">
        <v>218.34</v>
      </c>
      <c r="W24" s="49">
        <v>220</v>
      </c>
      <c r="X24" s="49">
        <v>137.5</v>
      </c>
      <c r="Y24" s="49">
        <v>175</v>
      </c>
      <c r="Z24" s="49">
        <v>368.06</v>
      </c>
      <c r="AA24" s="49">
        <v>366.29</v>
      </c>
      <c r="AB24" s="49">
        <v>271.14999999999998</v>
      </c>
      <c r="AC24" s="49">
        <v>328.67</v>
      </c>
      <c r="AD24" s="49">
        <v>1.7549999999999999</v>
      </c>
      <c r="AE24" s="49">
        <v>1.8140000000000001</v>
      </c>
      <c r="AF24" s="49">
        <v>1.6859999999999999</v>
      </c>
      <c r="AG24" s="49">
        <v>1.7230000000000001</v>
      </c>
      <c r="AH24" s="49">
        <v>73.87</v>
      </c>
      <c r="AI24" s="49">
        <v>70.88</v>
      </c>
      <c r="AJ24" s="49">
        <v>94.14</v>
      </c>
      <c r="AK24" s="49">
        <v>91.5</v>
      </c>
      <c r="AL24" s="49">
        <v>661.63699999999994</v>
      </c>
      <c r="AM24" s="49">
        <v>681.53599999999994</v>
      </c>
      <c r="AN24" s="49">
        <v>779.30700000000002</v>
      </c>
      <c r="AO24" s="49">
        <v>781.27099999999996</v>
      </c>
      <c r="AP24" s="49">
        <v>1.3089999999999999</v>
      </c>
      <c r="AQ24" s="49">
        <v>1.7729999999999999</v>
      </c>
      <c r="AR24" s="49">
        <v>41.408999999999999</v>
      </c>
      <c r="AS24" s="49">
        <v>36.484999999999999</v>
      </c>
      <c r="AT24" s="49">
        <v>83</v>
      </c>
      <c r="AU24" s="49">
        <v>115</v>
      </c>
      <c r="AV24" s="49">
        <v>2.254</v>
      </c>
      <c r="AW24" s="50">
        <v>5.3724999999999996</v>
      </c>
      <c r="AX24" s="49">
        <v>1016</v>
      </c>
      <c r="AY24" s="49">
        <v>2.09</v>
      </c>
      <c r="AZ24" s="49">
        <v>5.62</v>
      </c>
      <c r="BA24" s="49">
        <v>93.8</v>
      </c>
      <c r="BB24" s="49">
        <v>93.1</v>
      </c>
      <c r="BC24" s="50">
        <v>7798</v>
      </c>
      <c r="BD24" s="49">
        <v>88</v>
      </c>
      <c r="BE24" s="49">
        <v>15.574999999999999</v>
      </c>
      <c r="BF24" s="49">
        <v>14.71</v>
      </c>
      <c r="BG24" s="49">
        <v>28.69</v>
      </c>
      <c r="BH24" s="50">
        <v>30.91</v>
      </c>
      <c r="BI24" s="3"/>
      <c r="BJ24" s="3"/>
      <c r="BK24" s="3"/>
      <c r="BL24" s="3"/>
      <c r="BM24" s="3"/>
      <c r="BN24" s="49">
        <v>96.263999999999996</v>
      </c>
      <c r="BO24" s="49">
        <v>92.632000000000005</v>
      </c>
      <c r="BP24" s="49">
        <v>115.32</v>
      </c>
      <c r="BQ24" s="49">
        <v>118.6</v>
      </c>
      <c r="BR24" s="3"/>
      <c r="BS24" s="49">
        <v>29</v>
      </c>
      <c r="BT24" s="49">
        <v>7467.076</v>
      </c>
      <c r="BU24" s="49">
        <v>51.457000000000001</v>
      </c>
      <c r="BV24" s="49">
        <v>54.441000000000003</v>
      </c>
      <c r="BW24" s="49">
        <v>56.539000000000001</v>
      </c>
      <c r="BX24" s="49">
        <v>57.762</v>
      </c>
      <c r="BY24" s="49">
        <v>1.4419999999999999</v>
      </c>
      <c r="BZ24" s="49">
        <v>2.7810000000000001</v>
      </c>
      <c r="CA24" s="49">
        <v>3.702</v>
      </c>
      <c r="CB24" s="49">
        <v>3.19</v>
      </c>
      <c r="CC24" s="49">
        <v>1.1100000000000001</v>
      </c>
      <c r="CD24" s="50">
        <v>2.1739999999999999</v>
      </c>
      <c r="CE24" s="49">
        <v>1.2869999999999999</v>
      </c>
      <c r="CF24" s="49">
        <v>1.998</v>
      </c>
      <c r="CG24" s="50">
        <v>13.941000000000001</v>
      </c>
      <c r="CH24" s="49">
        <v>13.803000000000001</v>
      </c>
      <c r="CI24" s="50">
        <v>5.4240000000000004</v>
      </c>
      <c r="CJ24" s="49">
        <v>-748.80399999999997</v>
      </c>
      <c r="CK24" s="49">
        <v>1.63</v>
      </c>
      <c r="CL24" s="49">
        <v>0.3</v>
      </c>
      <c r="CM24" s="50">
        <v>1.5</v>
      </c>
      <c r="CN24" s="50">
        <v>0</v>
      </c>
      <c r="CO24" s="50">
        <v>0</v>
      </c>
      <c r="CP24" s="49">
        <v>91.522000000000006</v>
      </c>
      <c r="CQ24" s="49">
        <v>88.893000000000001</v>
      </c>
      <c r="CR24" s="49">
        <v>100.41800000000001</v>
      </c>
      <c r="CS24" s="49">
        <v>105.55800000000001</v>
      </c>
      <c r="CT24" s="49">
        <v>0.312</v>
      </c>
      <c r="CU24" s="49">
        <v>1.3</v>
      </c>
      <c r="CV24" s="49">
        <v>1.099</v>
      </c>
      <c r="CW24" s="49">
        <v>1.1990000000000001</v>
      </c>
      <c r="CX24" s="49">
        <v>1.397</v>
      </c>
      <c r="CY24" s="49">
        <v>1.002</v>
      </c>
      <c r="CZ24" s="49">
        <v>1.298</v>
      </c>
      <c r="DA24" s="49">
        <v>0.90100000000000002</v>
      </c>
      <c r="DB24" s="49">
        <v>1.099</v>
      </c>
      <c r="DC24" s="49">
        <v>0</v>
      </c>
      <c r="DD24" s="50">
        <v>0</v>
      </c>
      <c r="DE24" s="49">
        <v>0.33600000000000002</v>
      </c>
      <c r="DF24" s="49">
        <v>0.157</v>
      </c>
      <c r="DG24" s="50">
        <v>1.302</v>
      </c>
      <c r="DH24" s="49">
        <v>2.5470000000000002</v>
      </c>
      <c r="DI24" s="49">
        <v>1.304</v>
      </c>
      <c r="DJ24" s="49">
        <v>0.27800000000000002</v>
      </c>
      <c r="DK24" s="49">
        <v>1.0860000000000001</v>
      </c>
      <c r="DL24" s="49">
        <v>0.40600000000000003</v>
      </c>
      <c r="DM24" s="49">
        <v>0.47699999999999998</v>
      </c>
      <c r="DN24" s="49">
        <v>0.35799999999999998</v>
      </c>
      <c r="DO24" s="49">
        <v>0.32700000000000001</v>
      </c>
      <c r="DP24" s="49">
        <v>68.096000000000004</v>
      </c>
      <c r="DQ24" s="49">
        <v>62.218000000000004</v>
      </c>
      <c r="DR24" s="49">
        <v>52.335999999999999</v>
      </c>
      <c r="DS24" s="49">
        <v>51.597999999999999</v>
      </c>
      <c r="DT24" s="49">
        <v>6.6</v>
      </c>
      <c r="DU24" s="49">
        <v>6.22</v>
      </c>
      <c r="DV24" s="49">
        <v>12.98</v>
      </c>
      <c r="DW24" s="49">
        <v>11.11</v>
      </c>
      <c r="DX24" s="49">
        <v>7.05</v>
      </c>
      <c r="DY24" s="49">
        <v>6.62</v>
      </c>
      <c r="DZ24" s="49">
        <v>12.4</v>
      </c>
      <c r="EA24" s="49">
        <v>10.69</v>
      </c>
      <c r="EB24" s="49">
        <v>41.54</v>
      </c>
      <c r="EC24" s="50">
        <v>41.64</v>
      </c>
      <c r="ED24" s="49">
        <v>32.31</v>
      </c>
      <c r="EE24" s="49">
        <v>34.28</v>
      </c>
      <c r="EF24" s="49">
        <v>44.81</v>
      </c>
      <c r="EG24" s="49">
        <v>45.51</v>
      </c>
      <c r="EH24" s="49">
        <v>42.32</v>
      </c>
      <c r="EI24" s="49">
        <v>43.93</v>
      </c>
      <c r="EJ24" s="49">
        <v>7.1289999999999996</v>
      </c>
      <c r="EK24" s="49">
        <v>59.465000000000003</v>
      </c>
      <c r="EL24" s="49">
        <v>1.9</v>
      </c>
      <c r="EM24" s="49">
        <v>1.45</v>
      </c>
      <c r="EN24" s="49">
        <v>1.21</v>
      </c>
      <c r="EO24" s="49">
        <v>1.21</v>
      </c>
      <c r="EP24" s="49">
        <v>-103.01</v>
      </c>
      <c r="EQ24" s="49">
        <v>-2.423</v>
      </c>
      <c r="ER24" s="49">
        <v>105.77</v>
      </c>
      <c r="ES24" s="49">
        <v>1.415</v>
      </c>
      <c r="ET24" s="50">
        <v>1.5760000000000001</v>
      </c>
      <c r="EU24" s="49">
        <v>1.38</v>
      </c>
      <c r="EV24" s="49">
        <v>7.4169999999999998</v>
      </c>
      <c r="EW24" s="50">
        <v>1.8320000000000001</v>
      </c>
      <c r="EX24" s="49">
        <v>73.06</v>
      </c>
      <c r="EY24" s="49">
        <v>0</v>
      </c>
      <c r="EZ24" s="50">
        <v>5.92</v>
      </c>
      <c r="FA24" s="50">
        <v>0</v>
      </c>
      <c r="FB24" s="49">
        <v>9.1829999999999998</v>
      </c>
      <c r="FC24" s="49">
        <v>64.793000000000006</v>
      </c>
      <c r="FD24" s="49">
        <v>61.052999999999997</v>
      </c>
      <c r="FE24" s="49">
        <v>69.099000000000004</v>
      </c>
      <c r="FF24" s="49">
        <v>68.649000000000001</v>
      </c>
      <c r="FG24" s="49">
        <v>0.93400000000000005</v>
      </c>
      <c r="FH24" s="49">
        <v>0.93500000000000005</v>
      </c>
      <c r="FI24" s="49">
        <v>0.995</v>
      </c>
      <c r="FJ24" s="49">
        <v>1</v>
      </c>
      <c r="FK24" s="49">
        <v>0</v>
      </c>
      <c r="FL24" s="49">
        <v>83</v>
      </c>
      <c r="FM24" s="49">
        <v>3.37</v>
      </c>
      <c r="FN24" s="49">
        <v>-0.78</v>
      </c>
      <c r="FO24" s="49">
        <v>5.42</v>
      </c>
      <c r="FP24" s="3"/>
      <c r="FQ24" s="50">
        <v>4.5</v>
      </c>
      <c r="FR24" s="49">
        <v>5.0999999999999996</v>
      </c>
      <c r="FS24" s="49">
        <v>6.7774999999999999</v>
      </c>
      <c r="FT24" s="49">
        <v>1071.9000000000001</v>
      </c>
      <c r="FU24" s="49">
        <v>6.5</v>
      </c>
      <c r="FV24" s="49">
        <v>10.8</v>
      </c>
      <c r="FW24" s="49">
        <v>3188</v>
      </c>
      <c r="FX24" s="49">
        <v>166800</v>
      </c>
      <c r="FY24" s="49">
        <v>168300</v>
      </c>
      <c r="FZ24" s="49">
        <v>48.162999999999997</v>
      </c>
      <c r="GA24" s="49">
        <v>47.366999999999997</v>
      </c>
      <c r="GB24" s="49">
        <v>2174.8000000000002</v>
      </c>
      <c r="GC24" s="49">
        <v>2176.6999999999998</v>
      </c>
      <c r="GD24" s="49">
        <v>2206</v>
      </c>
      <c r="GE24" s="49">
        <v>2208.1999999999998</v>
      </c>
      <c r="GF24" s="49">
        <v>1464.0625</v>
      </c>
      <c r="GG24" s="49">
        <v>32</v>
      </c>
      <c r="GH24" s="49">
        <v>32.5</v>
      </c>
      <c r="GI24" s="49">
        <v>51.1</v>
      </c>
      <c r="GJ24" s="49">
        <v>56.6</v>
      </c>
      <c r="GK24" s="49">
        <v>99.5</v>
      </c>
      <c r="GL24" s="49">
        <v>89.8</v>
      </c>
      <c r="GM24" s="50">
        <v>0</v>
      </c>
      <c r="GN24" s="49">
        <v>27.158999999999999</v>
      </c>
      <c r="GO24" s="49">
        <v>105.77</v>
      </c>
      <c r="GP24" s="49">
        <v>0.35399999999999998</v>
      </c>
      <c r="GQ24" s="49">
        <v>1.9470000000000001</v>
      </c>
      <c r="GR24" s="49">
        <v>0.59</v>
      </c>
      <c r="GS24" s="49">
        <v>2.0059999999999998</v>
      </c>
      <c r="GT24" s="49">
        <v>0.53100000000000003</v>
      </c>
      <c r="GU24" s="49">
        <v>1.8879999999999999</v>
      </c>
      <c r="GV24" s="49">
        <v>13.132</v>
      </c>
      <c r="GW24" s="49">
        <v>14.12</v>
      </c>
      <c r="GX24" s="49">
        <v>15.875999999999999</v>
      </c>
      <c r="GY24" s="50">
        <v>0</v>
      </c>
      <c r="GZ24" s="50">
        <v>0</v>
      </c>
      <c r="HA24" s="50">
        <v>0</v>
      </c>
      <c r="HB24" s="49">
        <v>0</v>
      </c>
      <c r="HC24" s="49">
        <v>23.175999999999998</v>
      </c>
      <c r="HD24" s="49">
        <v>78</v>
      </c>
      <c r="HE24" s="50">
        <v>0</v>
      </c>
      <c r="HF24" s="50">
        <v>0</v>
      </c>
      <c r="HG24" s="49">
        <v>77.099999999999994</v>
      </c>
      <c r="HH24" s="49">
        <v>78.099999999999994</v>
      </c>
      <c r="HI24" s="50">
        <v>0</v>
      </c>
      <c r="HJ24" s="50">
        <v>0</v>
      </c>
      <c r="HK24" s="50">
        <v>0</v>
      </c>
      <c r="HL24" s="49">
        <v>65</v>
      </c>
      <c r="HM24" s="49">
        <v>55</v>
      </c>
      <c r="HN24" s="49">
        <v>67</v>
      </c>
      <c r="HO24" s="49">
        <v>61</v>
      </c>
      <c r="HP24" s="49">
        <v>64</v>
      </c>
      <c r="HQ24" s="49">
        <v>62</v>
      </c>
      <c r="HR24" s="49">
        <v>54</v>
      </c>
      <c r="HS24" s="49">
        <v>62</v>
      </c>
      <c r="HT24" s="49">
        <v>-1.3194999999999999</v>
      </c>
      <c r="HU24" s="50">
        <v>0</v>
      </c>
      <c r="HV24" s="49">
        <v>0.125</v>
      </c>
      <c r="HW24" s="50">
        <v>36.81</v>
      </c>
      <c r="HX24" s="50">
        <v>46.57</v>
      </c>
      <c r="HY24" s="49">
        <v>48.68</v>
      </c>
      <c r="HZ24" s="49">
        <v>59.91</v>
      </c>
      <c r="IA24" s="49">
        <v>2.7949999999999999</v>
      </c>
      <c r="IB24" s="49">
        <v>104</v>
      </c>
      <c r="IC24" s="49">
        <v>22.41</v>
      </c>
      <c r="ID24" s="49">
        <v>-0.28599999999999998</v>
      </c>
      <c r="IE24" s="49">
        <v>-0.108</v>
      </c>
      <c r="IF24" s="50">
        <v>818.1</v>
      </c>
      <c r="IG24" s="49">
        <v>768.2</v>
      </c>
      <c r="IH24" s="49">
        <v>828.1</v>
      </c>
      <c r="II24" s="49">
        <v>781.3</v>
      </c>
      <c r="IJ24" s="49">
        <v>-0.09</v>
      </c>
      <c r="IK24" s="49">
        <v>-0.20200000000000001</v>
      </c>
      <c r="IL24" s="49">
        <v>70.850999999999999</v>
      </c>
      <c r="IM24" s="49">
        <v>70.850999999999999</v>
      </c>
      <c r="IN24" s="49">
        <v>13.236000000000001</v>
      </c>
      <c r="IO24" s="49">
        <v>0.495</v>
      </c>
      <c r="IP24" s="49">
        <v>10.65</v>
      </c>
      <c r="IQ24" s="49">
        <v>0.01</v>
      </c>
      <c r="IR24" s="49">
        <v>5.0000000000000001E-3</v>
      </c>
      <c r="IS24">
        <v>0.29100000000000004</v>
      </c>
      <c r="IT24">
        <v>0.16100000000000003</v>
      </c>
    </row>
    <row r="25" spans="1:254" x14ac:dyDescent="0.25">
      <c r="B25" s="2" t="s">
        <v>412</v>
      </c>
      <c r="C25" s="62" t="s">
        <v>43</v>
      </c>
      <c r="D25" s="63">
        <v>2.4324074074074074E-3</v>
      </c>
      <c r="E25" s="49">
        <v>210.2</v>
      </c>
      <c r="F25" s="49">
        <v>329.44</v>
      </c>
      <c r="G25" s="50">
        <v>5.95</v>
      </c>
      <c r="H25" s="49">
        <v>29.4</v>
      </c>
      <c r="I25" s="49">
        <v>0</v>
      </c>
      <c r="J25" s="49">
        <v>12.3</v>
      </c>
      <c r="K25" s="50">
        <v>10</v>
      </c>
      <c r="L25" s="50">
        <v>2</v>
      </c>
      <c r="M25" s="50">
        <v>6</v>
      </c>
      <c r="N25" s="50">
        <v>3</v>
      </c>
      <c r="O25" s="50">
        <v>3</v>
      </c>
      <c r="P25" s="49">
        <v>0.877</v>
      </c>
      <c r="Q25" s="50">
        <v>1.466</v>
      </c>
      <c r="R25" s="49">
        <v>0.82899999999999996</v>
      </c>
      <c r="S25" s="50">
        <v>0.80400000000000005</v>
      </c>
      <c r="T25" s="49">
        <v>77.45</v>
      </c>
      <c r="U25" s="49">
        <v>60.12</v>
      </c>
      <c r="V25" s="49">
        <v>235</v>
      </c>
      <c r="W25" s="49">
        <v>236.66</v>
      </c>
      <c r="X25" s="49">
        <v>177.5</v>
      </c>
      <c r="Y25" s="49">
        <v>223.34</v>
      </c>
      <c r="Z25" s="49">
        <v>383.27</v>
      </c>
      <c r="AA25" s="50">
        <v>387.74</v>
      </c>
      <c r="AB25" s="50">
        <v>307.20999999999998</v>
      </c>
      <c r="AC25" s="50">
        <v>373.72</v>
      </c>
      <c r="AD25" s="49">
        <v>1.8069999999999999</v>
      </c>
      <c r="AE25" s="49">
        <v>1.867</v>
      </c>
      <c r="AF25" s="49">
        <v>1.784</v>
      </c>
      <c r="AG25" s="49">
        <v>1.81</v>
      </c>
      <c r="AH25" s="49">
        <v>83.32</v>
      </c>
      <c r="AI25" s="49">
        <v>80.39</v>
      </c>
      <c r="AJ25" s="49">
        <v>106.88</v>
      </c>
      <c r="AK25" s="49">
        <v>103.01</v>
      </c>
      <c r="AL25" s="50">
        <v>684.12800000000004</v>
      </c>
      <c r="AM25" s="50">
        <v>692.66800000000001</v>
      </c>
      <c r="AN25" s="50">
        <v>857.53099999999995</v>
      </c>
      <c r="AO25" s="49">
        <v>825.09199999999998</v>
      </c>
      <c r="AP25" s="49">
        <v>1.3049999999999999</v>
      </c>
      <c r="AQ25" s="50">
        <v>1.784</v>
      </c>
      <c r="AR25" s="49">
        <v>40.063000000000002</v>
      </c>
      <c r="AS25" s="49">
        <v>36.209000000000003</v>
      </c>
      <c r="AT25" s="49">
        <v>83</v>
      </c>
      <c r="AU25" s="49">
        <v>118</v>
      </c>
      <c r="AV25" s="50">
        <v>1.9015</v>
      </c>
      <c r="AW25" s="49">
        <v>5.3471000000000002</v>
      </c>
      <c r="AX25" s="49">
        <v>1014.5</v>
      </c>
      <c r="AY25" s="49">
        <v>2.17</v>
      </c>
      <c r="AZ25" s="49">
        <v>5.69</v>
      </c>
      <c r="BA25" s="49">
        <v>132.767</v>
      </c>
      <c r="BB25" s="49">
        <v>133.571</v>
      </c>
      <c r="BC25" s="49">
        <v>7777</v>
      </c>
      <c r="BD25" s="49">
        <v>88</v>
      </c>
      <c r="BE25" s="49">
        <v>16.71</v>
      </c>
      <c r="BF25" s="49">
        <v>14.525</v>
      </c>
      <c r="BG25" s="49">
        <v>28.56</v>
      </c>
      <c r="BH25" s="49">
        <v>28.54</v>
      </c>
      <c r="BI25" s="3"/>
      <c r="BJ25" s="3"/>
      <c r="BK25" s="3"/>
      <c r="BL25" s="3"/>
      <c r="BM25" s="3"/>
      <c r="BN25" s="49">
        <v>99.08</v>
      </c>
      <c r="BO25" s="49">
        <v>96.52</v>
      </c>
      <c r="BP25" s="49">
        <v>127.48</v>
      </c>
      <c r="BQ25" s="49">
        <v>130.904</v>
      </c>
      <c r="BR25" s="3"/>
      <c r="BS25" s="49">
        <v>29.1</v>
      </c>
      <c r="BT25" s="49">
        <v>7431.6459999999997</v>
      </c>
      <c r="BU25" s="49">
        <v>50.536999999999999</v>
      </c>
      <c r="BV25" s="49">
        <v>54.47</v>
      </c>
      <c r="BW25" s="49">
        <v>54.737000000000002</v>
      </c>
      <c r="BX25" s="49">
        <v>57.234999999999999</v>
      </c>
      <c r="BY25" s="50">
        <v>1.5189999999999999</v>
      </c>
      <c r="BZ25" s="49">
        <v>2.944</v>
      </c>
      <c r="CA25" s="49">
        <v>3.8069999999999999</v>
      </c>
      <c r="CB25" s="49">
        <v>3.669</v>
      </c>
      <c r="CC25" s="50">
        <v>1.1220000000000001</v>
      </c>
      <c r="CD25" s="49">
        <v>2.1560000000000001</v>
      </c>
      <c r="CE25" s="49">
        <v>1.2390000000000001</v>
      </c>
      <c r="CF25" s="49">
        <v>2.0259999999999998</v>
      </c>
      <c r="CG25" s="49">
        <v>13.939</v>
      </c>
      <c r="CH25" s="49">
        <v>13.781000000000001</v>
      </c>
      <c r="CI25" s="49">
        <v>4.8440000000000003</v>
      </c>
      <c r="CJ25" s="49">
        <v>-103.21299999999999</v>
      </c>
      <c r="CK25" s="50">
        <v>1.641</v>
      </c>
      <c r="CL25" s="49">
        <v>0</v>
      </c>
      <c r="CM25" s="49">
        <v>0.2</v>
      </c>
      <c r="CN25" s="50">
        <v>0</v>
      </c>
      <c r="CO25" s="50">
        <v>0</v>
      </c>
      <c r="CP25" s="49">
        <v>95.63</v>
      </c>
      <c r="CQ25" s="49">
        <v>93.314999999999998</v>
      </c>
      <c r="CR25" s="49">
        <v>117.905</v>
      </c>
      <c r="CS25" s="49">
        <v>122.992</v>
      </c>
      <c r="CT25" s="49">
        <v>0.32</v>
      </c>
      <c r="CU25" s="49">
        <v>0.7</v>
      </c>
      <c r="CV25" s="49">
        <v>0.998</v>
      </c>
      <c r="CW25" s="49">
        <v>0.998</v>
      </c>
      <c r="CX25" s="49">
        <v>1.597</v>
      </c>
      <c r="CY25" s="49">
        <v>1.595</v>
      </c>
      <c r="CZ25" s="49">
        <v>1.498</v>
      </c>
      <c r="DA25" s="49">
        <v>0.80100000000000005</v>
      </c>
      <c r="DB25" s="49">
        <v>1.698</v>
      </c>
      <c r="DC25" s="49">
        <v>0</v>
      </c>
      <c r="DD25" s="50">
        <v>0</v>
      </c>
      <c r="DE25" s="49">
        <v>0.34599999999999997</v>
      </c>
      <c r="DF25" s="50">
        <v>0.20799999999999999</v>
      </c>
      <c r="DG25" s="49">
        <v>0.88</v>
      </c>
      <c r="DH25" s="49">
        <v>2.6419999999999999</v>
      </c>
      <c r="DI25" s="49">
        <v>1.3140000000000001</v>
      </c>
      <c r="DJ25" s="49">
        <v>0.19400000000000001</v>
      </c>
      <c r="DK25" s="49">
        <v>1.2230000000000001</v>
      </c>
      <c r="DL25" s="49">
        <v>0.39900000000000002</v>
      </c>
      <c r="DM25" s="49">
        <v>0.52300000000000002</v>
      </c>
      <c r="DN25" s="49">
        <v>1.028</v>
      </c>
      <c r="DO25" s="49">
        <v>0.25800000000000001</v>
      </c>
      <c r="DP25" s="49">
        <v>66.376000000000005</v>
      </c>
      <c r="DQ25" s="49">
        <v>60.494</v>
      </c>
      <c r="DR25" s="49">
        <v>54.155000000000001</v>
      </c>
      <c r="DS25" s="49">
        <v>52.430999999999997</v>
      </c>
      <c r="DT25" s="49">
        <v>7.26</v>
      </c>
      <c r="DU25" s="49">
        <v>6.74</v>
      </c>
      <c r="DV25" s="50">
        <v>14.29</v>
      </c>
      <c r="DW25" s="50">
        <v>12.15</v>
      </c>
      <c r="DX25" s="50">
        <v>7.69</v>
      </c>
      <c r="DY25" s="50">
        <v>7.31</v>
      </c>
      <c r="DZ25" s="50">
        <v>13.75</v>
      </c>
      <c r="EA25" s="50">
        <v>12.02</v>
      </c>
      <c r="EB25" s="49">
        <v>41.29</v>
      </c>
      <c r="EC25" s="49">
        <v>41.18</v>
      </c>
      <c r="ED25" s="49">
        <v>31.66</v>
      </c>
      <c r="EE25" s="49">
        <v>33.68</v>
      </c>
      <c r="EF25" s="49">
        <v>43.75</v>
      </c>
      <c r="EG25" s="49">
        <v>44.76</v>
      </c>
      <c r="EH25" s="49">
        <v>40.299999999999997</v>
      </c>
      <c r="EI25" s="49">
        <v>42.15</v>
      </c>
      <c r="EJ25" s="49">
        <v>7.1580000000000004</v>
      </c>
      <c r="EK25" s="50">
        <v>59.610999999999997</v>
      </c>
      <c r="EL25" s="49">
        <v>1.95</v>
      </c>
      <c r="EM25" s="49">
        <v>1.55</v>
      </c>
      <c r="EN25" s="49">
        <v>1.19</v>
      </c>
      <c r="EO25" s="49">
        <v>1.2</v>
      </c>
      <c r="EP25" s="49">
        <v>-105.346</v>
      </c>
      <c r="EQ25" s="49">
        <v>-2.613</v>
      </c>
      <c r="ER25" s="49">
        <v>100.22199999999999</v>
      </c>
      <c r="ES25" s="49">
        <v>1.373</v>
      </c>
      <c r="ET25" s="49">
        <v>1.51</v>
      </c>
      <c r="EU25" s="49">
        <v>1.3240000000000001</v>
      </c>
      <c r="EV25" s="49">
        <v>7.2930000000000001</v>
      </c>
      <c r="EW25" s="49">
        <v>1.776</v>
      </c>
      <c r="EX25" s="50">
        <v>74.739999999999995</v>
      </c>
      <c r="EY25" s="49">
        <v>0</v>
      </c>
      <c r="EZ25" s="49">
        <v>5.1999999999999998E-2</v>
      </c>
      <c r="FA25" s="50">
        <v>0</v>
      </c>
      <c r="FB25" s="49">
        <v>9.1660000000000004</v>
      </c>
      <c r="FC25" s="49">
        <v>70.56</v>
      </c>
      <c r="FD25" s="49">
        <v>66.039000000000001</v>
      </c>
      <c r="FE25" s="49">
        <v>78.944999999999993</v>
      </c>
      <c r="FF25" s="49">
        <v>77.727000000000004</v>
      </c>
      <c r="FG25" s="49">
        <v>0.93400000000000005</v>
      </c>
      <c r="FH25" s="49">
        <v>0.93500000000000005</v>
      </c>
      <c r="FI25" s="49">
        <v>0.99299999999999999</v>
      </c>
      <c r="FJ25" s="49">
        <v>0.998</v>
      </c>
      <c r="FK25" s="49">
        <v>0</v>
      </c>
      <c r="FL25" s="49">
        <v>83</v>
      </c>
      <c r="FM25" s="49">
        <v>3.42</v>
      </c>
      <c r="FN25" s="49">
        <v>-0.62</v>
      </c>
      <c r="FO25" s="49">
        <v>5.4</v>
      </c>
      <c r="FP25" s="3"/>
      <c r="FQ25" s="49">
        <v>4.9000000000000004</v>
      </c>
      <c r="FR25" s="50">
        <v>5.05</v>
      </c>
      <c r="FS25" s="50">
        <v>6.9039999999999999</v>
      </c>
      <c r="FT25" s="49">
        <v>1072</v>
      </c>
      <c r="FU25" s="49">
        <v>6.5</v>
      </c>
      <c r="FV25" s="49">
        <v>16.75</v>
      </c>
      <c r="FW25" s="49">
        <v>3095.5</v>
      </c>
      <c r="FX25" s="49">
        <v>168600</v>
      </c>
      <c r="FY25" s="49">
        <v>169000</v>
      </c>
      <c r="FZ25" s="49">
        <v>48.183999999999997</v>
      </c>
      <c r="GA25" s="49">
        <v>47.210999999999999</v>
      </c>
      <c r="GB25" s="49">
        <v>2202.9</v>
      </c>
      <c r="GC25" s="49">
        <v>2186.9</v>
      </c>
      <c r="GD25" s="49">
        <v>2221.1999999999998</v>
      </c>
      <c r="GE25" s="49">
        <v>2225.1999999999998</v>
      </c>
      <c r="GF25" s="49">
        <v>1143.6719000000001</v>
      </c>
      <c r="GG25" s="49">
        <v>33</v>
      </c>
      <c r="GH25" s="49">
        <v>33.4</v>
      </c>
      <c r="GI25" s="49">
        <v>48.6</v>
      </c>
      <c r="GJ25" s="49">
        <v>53.4</v>
      </c>
      <c r="GK25" s="49">
        <v>99.5</v>
      </c>
      <c r="GL25" s="49">
        <v>87.7</v>
      </c>
      <c r="GM25" s="50">
        <v>0</v>
      </c>
      <c r="GN25" s="49">
        <v>26.988</v>
      </c>
      <c r="GO25" s="49">
        <v>105.346</v>
      </c>
      <c r="GP25" s="49">
        <v>0.35399999999999998</v>
      </c>
      <c r="GQ25" s="49">
        <v>1.9470000000000001</v>
      </c>
      <c r="GR25" s="49">
        <v>0.53100000000000003</v>
      </c>
      <c r="GS25" s="49">
        <v>2.0059999999999998</v>
      </c>
      <c r="GT25" s="49">
        <v>0.53100000000000003</v>
      </c>
      <c r="GU25" s="49">
        <v>1.8879999999999999</v>
      </c>
      <c r="GV25" s="49">
        <v>13.132</v>
      </c>
      <c r="GW25" s="49">
        <v>14.124000000000001</v>
      </c>
      <c r="GX25" s="49">
        <v>15.19</v>
      </c>
      <c r="GY25" s="50">
        <v>0</v>
      </c>
      <c r="GZ25" s="50">
        <v>0</v>
      </c>
      <c r="HA25" s="50">
        <v>0</v>
      </c>
      <c r="HB25" s="49">
        <v>0</v>
      </c>
      <c r="HC25" s="49">
        <v>23.146999999999998</v>
      </c>
      <c r="HD25" s="49">
        <v>78</v>
      </c>
      <c r="HE25" s="50">
        <v>0</v>
      </c>
      <c r="HF25" s="50">
        <v>0</v>
      </c>
      <c r="HG25" s="49">
        <v>73.19</v>
      </c>
      <c r="HH25" s="50">
        <v>78.790000000000006</v>
      </c>
      <c r="HI25" s="50">
        <v>0</v>
      </c>
      <c r="HJ25" s="50">
        <v>0</v>
      </c>
      <c r="HK25" s="50">
        <v>0</v>
      </c>
      <c r="HL25" s="49">
        <v>63</v>
      </c>
      <c r="HM25" s="49">
        <v>55</v>
      </c>
      <c r="HN25" s="49">
        <v>67</v>
      </c>
      <c r="HO25" s="49">
        <v>61</v>
      </c>
      <c r="HP25" s="49">
        <v>65</v>
      </c>
      <c r="HQ25" s="49">
        <v>62</v>
      </c>
      <c r="HR25" s="49">
        <v>54</v>
      </c>
      <c r="HS25" s="49">
        <v>64</v>
      </c>
      <c r="HT25" s="49">
        <v>-1.2889999999999999</v>
      </c>
      <c r="HU25" s="50">
        <v>0</v>
      </c>
      <c r="HV25" s="50">
        <v>0.44600000000000001</v>
      </c>
      <c r="HW25" s="50">
        <v>36.81</v>
      </c>
      <c r="HX25" s="50">
        <v>46.57</v>
      </c>
      <c r="HY25" s="49">
        <v>50.23</v>
      </c>
      <c r="HZ25" s="49">
        <v>61.14</v>
      </c>
      <c r="IA25" s="49">
        <v>2.8460000000000001</v>
      </c>
      <c r="IB25" s="50">
        <v>105</v>
      </c>
      <c r="IC25" s="50">
        <v>22.917999999999999</v>
      </c>
      <c r="ID25" s="49">
        <v>-0.28599999999999998</v>
      </c>
      <c r="IE25" s="49">
        <v>-9.6000000000000002E-2</v>
      </c>
      <c r="IF25" s="49">
        <v>818</v>
      </c>
      <c r="IG25" s="50">
        <v>770.6</v>
      </c>
      <c r="IH25" s="49">
        <v>829.5</v>
      </c>
      <c r="II25" s="50">
        <v>782.5</v>
      </c>
      <c r="IJ25" s="49">
        <v>-0.111</v>
      </c>
      <c r="IK25" s="49">
        <v>-0.25600000000000001</v>
      </c>
      <c r="IL25" s="49">
        <v>68.41</v>
      </c>
      <c r="IM25" s="49">
        <v>68.41</v>
      </c>
      <c r="IN25" s="49">
        <v>12.061</v>
      </c>
      <c r="IO25" s="50">
        <v>0.59699999999999998</v>
      </c>
      <c r="IP25" s="49">
        <v>10.46</v>
      </c>
      <c r="IQ25" s="49">
        <v>7.0000000000000001E-3</v>
      </c>
      <c r="IR25" s="49">
        <v>8.0000000000000002E-3</v>
      </c>
      <c r="IS25">
        <v>0.29800000000000004</v>
      </c>
      <c r="IT25">
        <v>0.16900000000000004</v>
      </c>
    </row>
    <row r="26" spans="1:254" x14ac:dyDescent="0.25">
      <c r="B26" s="2" t="s">
        <v>412</v>
      </c>
      <c r="C26" s="2" t="s">
        <v>44</v>
      </c>
      <c r="D26" s="61">
        <v>2.4615740740740739E-3</v>
      </c>
      <c r="E26" s="49">
        <v>212.72</v>
      </c>
      <c r="F26" s="49">
        <v>333.92</v>
      </c>
      <c r="G26" s="49">
        <v>5.64</v>
      </c>
      <c r="H26" s="49">
        <v>29.8</v>
      </c>
      <c r="I26" s="49">
        <v>0</v>
      </c>
      <c r="J26" s="49">
        <v>19.399999999999999</v>
      </c>
      <c r="K26" s="50">
        <v>10</v>
      </c>
      <c r="L26" s="50">
        <v>2</v>
      </c>
      <c r="M26" s="50">
        <v>6</v>
      </c>
      <c r="N26" s="50">
        <v>3</v>
      </c>
      <c r="O26" s="50">
        <v>3</v>
      </c>
      <c r="P26" s="49">
        <v>0.872</v>
      </c>
      <c r="Q26" s="49">
        <v>1.258</v>
      </c>
      <c r="R26" s="50">
        <v>1.0389999999999999</v>
      </c>
      <c r="S26" s="49">
        <v>0.60099999999999998</v>
      </c>
      <c r="T26" s="49">
        <v>63.98</v>
      </c>
      <c r="U26" s="49">
        <v>60.404000000000003</v>
      </c>
      <c r="V26" s="49">
        <v>243.34</v>
      </c>
      <c r="W26" s="49">
        <v>243.34</v>
      </c>
      <c r="X26" s="49">
        <v>170</v>
      </c>
      <c r="Y26" s="49">
        <v>221.66</v>
      </c>
      <c r="Z26" s="49">
        <v>375.43</v>
      </c>
      <c r="AA26" s="49">
        <v>368.59</v>
      </c>
      <c r="AB26" s="49">
        <v>253.53</v>
      </c>
      <c r="AC26" s="49">
        <v>320.04000000000002</v>
      </c>
      <c r="AD26" s="50">
        <v>1.825</v>
      </c>
      <c r="AE26" s="50">
        <v>1.881</v>
      </c>
      <c r="AF26" s="49">
        <v>1.804</v>
      </c>
      <c r="AG26" s="49">
        <v>1.8360000000000001</v>
      </c>
      <c r="AH26" s="50">
        <v>85.22</v>
      </c>
      <c r="AI26" s="50">
        <v>81.7</v>
      </c>
      <c r="AJ26" s="50">
        <v>109.02</v>
      </c>
      <c r="AK26" s="50">
        <v>105.71</v>
      </c>
      <c r="AL26" s="49">
        <v>654.77099999999996</v>
      </c>
      <c r="AM26" s="49">
        <v>642.77800000000002</v>
      </c>
      <c r="AN26" s="49">
        <v>835.548</v>
      </c>
      <c r="AO26" s="50">
        <v>831.08100000000002</v>
      </c>
      <c r="AP26" s="49">
        <v>1.2310000000000001</v>
      </c>
      <c r="AQ26" s="49">
        <v>1.7430000000000001</v>
      </c>
      <c r="AR26" s="49">
        <v>40.072000000000003</v>
      </c>
      <c r="AS26" s="50">
        <v>40.404000000000003</v>
      </c>
      <c r="AT26" s="49">
        <v>83</v>
      </c>
      <c r="AU26" s="49">
        <v>120</v>
      </c>
      <c r="AV26" s="49">
        <v>2.3744999999999998</v>
      </c>
      <c r="AW26" s="49">
        <v>5.3034999999999997</v>
      </c>
      <c r="AX26" s="49">
        <v>1012.7</v>
      </c>
      <c r="AY26" s="49">
        <v>2.2000000000000002</v>
      </c>
      <c r="AZ26" s="50">
        <v>5.35</v>
      </c>
      <c r="BA26" s="49">
        <v>113.342</v>
      </c>
      <c r="BB26" s="49">
        <v>111.45</v>
      </c>
      <c r="BC26" s="49">
        <v>7780</v>
      </c>
      <c r="BD26" s="49">
        <v>87.75</v>
      </c>
      <c r="BE26" s="49">
        <v>17</v>
      </c>
      <c r="BF26" s="49">
        <v>14.775</v>
      </c>
      <c r="BG26" s="50">
        <v>29.62</v>
      </c>
      <c r="BH26" s="49">
        <v>25.13</v>
      </c>
      <c r="BI26" s="3"/>
      <c r="BJ26" s="3"/>
      <c r="BK26" s="3"/>
      <c r="BL26" s="3"/>
      <c r="BM26" s="3"/>
      <c r="BN26" s="49">
        <v>101.70399999999999</v>
      </c>
      <c r="BO26" s="49">
        <v>98.12</v>
      </c>
      <c r="BP26" s="49">
        <v>126.44</v>
      </c>
      <c r="BQ26" s="49">
        <v>131.22399999999999</v>
      </c>
      <c r="BR26" s="3"/>
      <c r="BS26" s="49">
        <v>29.5</v>
      </c>
      <c r="BT26" s="50">
        <v>7498.3580000000002</v>
      </c>
      <c r="BU26" s="49">
        <v>50.343000000000004</v>
      </c>
      <c r="BV26" s="49">
        <v>53.783999999999999</v>
      </c>
      <c r="BW26" s="49">
        <v>56.012</v>
      </c>
      <c r="BX26" s="49">
        <v>57.048000000000002</v>
      </c>
      <c r="BY26" s="49">
        <v>1.385</v>
      </c>
      <c r="BZ26" s="49">
        <v>2.5</v>
      </c>
      <c r="CA26" s="49">
        <v>3.835</v>
      </c>
      <c r="CB26" s="50">
        <v>3.8919999999999999</v>
      </c>
      <c r="CC26" s="49">
        <v>1.03</v>
      </c>
      <c r="CD26" s="49">
        <v>2.1480000000000001</v>
      </c>
      <c r="CE26" s="49">
        <v>1.125</v>
      </c>
      <c r="CF26" s="49">
        <v>1.925</v>
      </c>
      <c r="CG26" s="49">
        <v>13.932</v>
      </c>
      <c r="CH26" s="49">
        <v>13.786</v>
      </c>
      <c r="CI26" s="49">
        <v>4.6740000000000004</v>
      </c>
      <c r="CJ26" s="49">
        <v>-33.445</v>
      </c>
      <c r="CK26" s="49">
        <v>1.615</v>
      </c>
      <c r="CL26" s="49">
        <v>0.1</v>
      </c>
      <c r="CM26" s="49">
        <v>0.5</v>
      </c>
      <c r="CN26" s="50">
        <v>0</v>
      </c>
      <c r="CO26" s="50">
        <v>0</v>
      </c>
      <c r="CP26" s="49">
        <v>97.882999999999996</v>
      </c>
      <c r="CQ26" s="49">
        <v>94.899000000000001</v>
      </c>
      <c r="CR26" s="49">
        <v>114.39100000000001</v>
      </c>
      <c r="CS26" s="49">
        <v>120.95399999999999</v>
      </c>
      <c r="CT26" s="49">
        <v>0.27900000000000003</v>
      </c>
      <c r="CU26" s="49">
        <v>1.0980000000000001</v>
      </c>
      <c r="CV26" s="49">
        <v>0.998</v>
      </c>
      <c r="CW26" s="49">
        <v>1.298</v>
      </c>
      <c r="CX26" s="49">
        <v>1.6970000000000001</v>
      </c>
      <c r="CY26" s="49">
        <v>0.89700000000000002</v>
      </c>
      <c r="CZ26" s="49">
        <v>1.5960000000000001</v>
      </c>
      <c r="DA26" s="49">
        <v>0.90100000000000002</v>
      </c>
      <c r="DB26" s="49">
        <v>1.6990000000000001</v>
      </c>
      <c r="DC26" s="49">
        <v>0</v>
      </c>
      <c r="DD26" s="50">
        <v>0</v>
      </c>
      <c r="DE26" s="50">
        <v>0.35799999999999998</v>
      </c>
      <c r="DF26" s="49">
        <v>0.18099999999999999</v>
      </c>
      <c r="DG26" s="49">
        <v>1.071</v>
      </c>
      <c r="DH26" s="50">
        <v>2.7850000000000001</v>
      </c>
      <c r="DI26" s="49">
        <v>1.2549999999999999</v>
      </c>
      <c r="DJ26" s="49">
        <v>0.27200000000000002</v>
      </c>
      <c r="DK26" s="49">
        <v>0.91100000000000003</v>
      </c>
      <c r="DL26" s="49">
        <v>0.39700000000000002</v>
      </c>
      <c r="DM26" s="50">
        <v>0.91700000000000004</v>
      </c>
      <c r="DN26" s="50">
        <v>4.8659999999999997</v>
      </c>
      <c r="DO26" s="49">
        <v>0.184</v>
      </c>
      <c r="DP26" s="49">
        <v>69.134</v>
      </c>
      <c r="DQ26" s="49">
        <v>62.164000000000001</v>
      </c>
      <c r="DR26" s="50">
        <v>56.128999999999998</v>
      </c>
      <c r="DS26" s="49">
        <v>54.914999999999999</v>
      </c>
      <c r="DT26" s="50">
        <v>7.28</v>
      </c>
      <c r="DU26" s="49">
        <v>6.68</v>
      </c>
      <c r="DV26" s="49">
        <v>13.84</v>
      </c>
      <c r="DW26" s="49">
        <v>11.94</v>
      </c>
      <c r="DX26" s="49">
        <v>7.44</v>
      </c>
      <c r="DY26" s="49">
        <v>7.13</v>
      </c>
      <c r="DZ26" s="49">
        <v>13.23</v>
      </c>
      <c r="EA26" s="49">
        <v>11.48</v>
      </c>
      <c r="EB26" s="49">
        <v>41.09</v>
      </c>
      <c r="EC26" s="49">
        <v>40.86</v>
      </c>
      <c r="ED26" s="49">
        <v>32.119999999999997</v>
      </c>
      <c r="EE26" s="49">
        <v>34.049999999999997</v>
      </c>
      <c r="EF26" s="49">
        <v>44.18</v>
      </c>
      <c r="EG26" s="49">
        <v>45.32</v>
      </c>
      <c r="EH26" s="49">
        <v>40.81</v>
      </c>
      <c r="EI26" s="49">
        <v>42.53</v>
      </c>
      <c r="EJ26" s="49">
        <v>6.5380000000000003</v>
      </c>
      <c r="EK26" s="49">
        <v>58.445</v>
      </c>
      <c r="EL26" s="49">
        <v>1.95</v>
      </c>
      <c r="EM26" s="49">
        <v>1.6</v>
      </c>
      <c r="EN26" s="49">
        <v>1.25</v>
      </c>
      <c r="EO26" s="49">
        <v>1.26</v>
      </c>
      <c r="EP26" s="49">
        <v>-103.59399999999999</v>
      </c>
      <c r="EQ26" s="49">
        <v>-2.3410000000000002</v>
      </c>
      <c r="ER26" s="49">
        <v>101.682</v>
      </c>
      <c r="ES26" s="49">
        <v>1.3420000000000001</v>
      </c>
      <c r="ET26" s="49">
        <v>1.431</v>
      </c>
      <c r="EU26" s="49">
        <v>1.258</v>
      </c>
      <c r="EV26" s="49">
        <v>6.6539999999999999</v>
      </c>
      <c r="EW26" s="49">
        <v>0.90700000000000003</v>
      </c>
      <c r="EX26" s="49">
        <v>70</v>
      </c>
      <c r="EY26" s="49">
        <v>0</v>
      </c>
      <c r="EZ26" s="49">
        <v>1.869</v>
      </c>
      <c r="FA26" s="50">
        <v>0</v>
      </c>
      <c r="FB26" s="49">
        <v>9.1679999999999993</v>
      </c>
      <c r="FC26" s="49">
        <v>73.355000000000004</v>
      </c>
      <c r="FD26" s="49">
        <v>68.811000000000007</v>
      </c>
      <c r="FE26" s="49">
        <v>83.421999999999997</v>
      </c>
      <c r="FF26" s="49">
        <v>82.069000000000003</v>
      </c>
      <c r="FG26" s="49">
        <v>0.93700000000000006</v>
      </c>
      <c r="FH26" s="49">
        <v>0.93799999999999994</v>
      </c>
      <c r="FI26" s="49">
        <v>0.99399999999999999</v>
      </c>
      <c r="FJ26" s="49">
        <v>1</v>
      </c>
      <c r="FK26" s="49">
        <v>0</v>
      </c>
      <c r="FL26" s="49">
        <v>83</v>
      </c>
      <c r="FM26" s="50">
        <v>3.48</v>
      </c>
      <c r="FN26" s="49">
        <v>-0.57999999999999996</v>
      </c>
      <c r="FO26" s="49">
        <v>5.36</v>
      </c>
      <c r="FP26" s="3"/>
      <c r="FQ26" s="49">
        <v>4.5999999999999996</v>
      </c>
      <c r="FR26" s="50">
        <v>5.05</v>
      </c>
      <c r="FS26" s="49">
        <v>6.7565</v>
      </c>
      <c r="FT26" s="50">
        <v>1076.7</v>
      </c>
      <c r="FU26" s="49">
        <v>7.02</v>
      </c>
      <c r="FV26" s="49">
        <v>22.39</v>
      </c>
      <c r="FW26" s="49">
        <v>3105</v>
      </c>
      <c r="FX26" s="50">
        <v>173700</v>
      </c>
      <c r="FY26" s="50">
        <v>175000</v>
      </c>
      <c r="FZ26" s="49">
        <v>48.875999999999998</v>
      </c>
      <c r="GA26" s="49">
        <v>47.753</v>
      </c>
      <c r="GB26" s="49">
        <v>2182.4</v>
      </c>
      <c r="GC26" s="49">
        <v>2178.6999999999998</v>
      </c>
      <c r="GD26" s="49">
        <v>2351.8000000000002</v>
      </c>
      <c r="GE26" s="49">
        <v>2405.4</v>
      </c>
      <c r="GF26" s="49">
        <v>1372.9375</v>
      </c>
      <c r="GG26" s="49">
        <v>34</v>
      </c>
      <c r="GH26" s="49">
        <v>34.5</v>
      </c>
      <c r="GI26" s="49">
        <v>49.2</v>
      </c>
      <c r="GJ26" s="49">
        <v>54.2</v>
      </c>
      <c r="GK26" s="49">
        <v>99.5</v>
      </c>
      <c r="GL26" s="50">
        <v>93.9</v>
      </c>
      <c r="GM26" s="50">
        <v>0</v>
      </c>
      <c r="GN26" s="49">
        <v>26.852</v>
      </c>
      <c r="GO26" s="49">
        <v>103.59399999999999</v>
      </c>
      <c r="GP26" s="49">
        <v>0.35399999999999998</v>
      </c>
      <c r="GQ26" s="49">
        <v>1.9470000000000001</v>
      </c>
      <c r="GR26" s="49">
        <v>0.53100000000000003</v>
      </c>
      <c r="GS26" s="49">
        <v>1.9470000000000001</v>
      </c>
      <c r="GT26" s="49">
        <v>0.41299999999999998</v>
      </c>
      <c r="GU26" s="49">
        <v>1.8879999999999999</v>
      </c>
      <c r="GV26" s="49">
        <v>12.936</v>
      </c>
      <c r="GW26" s="49">
        <v>14.144</v>
      </c>
      <c r="GX26" s="49">
        <v>15.484</v>
      </c>
      <c r="GY26" s="50">
        <v>0</v>
      </c>
      <c r="GZ26" s="50">
        <v>0</v>
      </c>
      <c r="HA26" s="50">
        <v>0</v>
      </c>
      <c r="HB26" s="49">
        <v>0</v>
      </c>
      <c r="HC26" s="49">
        <v>23.507999999999999</v>
      </c>
      <c r="HD26" s="49">
        <v>82</v>
      </c>
      <c r="HE26" s="50">
        <v>0</v>
      </c>
      <c r="HF26" s="50">
        <v>0</v>
      </c>
      <c r="HG26" s="49">
        <v>74.349999999999994</v>
      </c>
      <c r="HH26" s="49">
        <v>78.2</v>
      </c>
      <c r="HI26" s="50">
        <v>0</v>
      </c>
      <c r="HJ26" s="50">
        <v>0</v>
      </c>
      <c r="HK26" s="50">
        <v>0</v>
      </c>
      <c r="HL26" s="49">
        <v>63</v>
      </c>
      <c r="HM26" s="49">
        <v>55</v>
      </c>
      <c r="HN26" s="49">
        <v>68</v>
      </c>
      <c r="HO26" s="49">
        <v>62</v>
      </c>
      <c r="HP26" s="49">
        <v>65</v>
      </c>
      <c r="HQ26" s="49">
        <v>63</v>
      </c>
      <c r="HR26" s="49">
        <v>54</v>
      </c>
      <c r="HS26" s="49">
        <v>64</v>
      </c>
      <c r="HT26" s="49">
        <v>-1.2665</v>
      </c>
      <c r="HU26" s="50">
        <v>0</v>
      </c>
      <c r="HV26" s="49">
        <v>0.434</v>
      </c>
      <c r="HW26" s="49">
        <v>37.21</v>
      </c>
      <c r="HX26" s="49">
        <v>47.55</v>
      </c>
      <c r="HY26" s="49">
        <v>50.88</v>
      </c>
      <c r="HZ26" s="49">
        <v>61.91</v>
      </c>
      <c r="IA26" s="50">
        <v>3</v>
      </c>
      <c r="IB26" s="49">
        <v>104</v>
      </c>
      <c r="IC26" s="49">
        <v>22.852</v>
      </c>
      <c r="ID26" s="49">
        <v>-0.28699999999999998</v>
      </c>
      <c r="IE26" s="49">
        <v>-0.08</v>
      </c>
      <c r="IF26" s="49">
        <v>811.9</v>
      </c>
      <c r="IG26" s="49">
        <v>762.1</v>
      </c>
      <c r="IH26" s="49">
        <v>823.9</v>
      </c>
      <c r="II26" s="49">
        <v>774.2</v>
      </c>
      <c r="IJ26" s="49">
        <v>-6.3E-2</v>
      </c>
      <c r="IK26" s="49">
        <v>-0.22700000000000001</v>
      </c>
      <c r="IL26" s="49">
        <v>80.905000000000001</v>
      </c>
      <c r="IM26" s="49">
        <v>80.905000000000001</v>
      </c>
      <c r="IN26" s="49">
        <v>12.753</v>
      </c>
      <c r="IO26" s="49">
        <v>0.58899999999999997</v>
      </c>
      <c r="IP26" s="49">
        <v>10.42</v>
      </c>
      <c r="IQ26" s="49">
        <v>0.01</v>
      </c>
      <c r="IR26" s="49">
        <v>6.0000000000000001E-3</v>
      </c>
      <c r="IS26">
        <v>0.30800000000000005</v>
      </c>
      <c r="IT26">
        <v>0.17500000000000004</v>
      </c>
    </row>
    <row r="27" spans="1:254" x14ac:dyDescent="0.25">
      <c r="A27" s="6" t="s">
        <v>49</v>
      </c>
      <c r="B27" s="2" t="s">
        <v>412</v>
      </c>
      <c r="C27" s="2" t="s">
        <v>45</v>
      </c>
      <c r="D27" s="61">
        <v>2.4424768518518519E-3</v>
      </c>
      <c r="E27" s="49">
        <v>211.07</v>
      </c>
      <c r="F27" s="49">
        <v>330.81</v>
      </c>
      <c r="G27" s="49">
        <v>5.88</v>
      </c>
      <c r="H27" s="50">
        <v>29.9</v>
      </c>
      <c r="I27" s="49">
        <v>0</v>
      </c>
      <c r="J27" s="49">
        <v>15.4</v>
      </c>
      <c r="K27" s="50">
        <v>10</v>
      </c>
      <c r="L27" s="50">
        <v>2</v>
      </c>
      <c r="M27" s="50">
        <v>6</v>
      </c>
      <c r="N27" s="50">
        <v>3</v>
      </c>
      <c r="O27" s="50">
        <v>3</v>
      </c>
      <c r="P27" s="50">
        <v>0.878</v>
      </c>
      <c r="Q27" s="49">
        <v>1.228</v>
      </c>
      <c r="R27" s="49">
        <v>1.0309999999999999</v>
      </c>
      <c r="S27" s="49">
        <v>0.73299999999999998</v>
      </c>
      <c r="T27" s="50">
        <v>78.040000000000006</v>
      </c>
      <c r="U27" s="49">
        <v>60.267000000000003</v>
      </c>
      <c r="V27" s="49">
        <v>236.66</v>
      </c>
      <c r="W27" s="49">
        <v>236.66</v>
      </c>
      <c r="X27" s="49">
        <v>150</v>
      </c>
      <c r="Y27" s="49">
        <v>201.66</v>
      </c>
      <c r="Z27" s="50">
        <v>384.54</v>
      </c>
      <c r="AA27" s="49">
        <v>386.55</v>
      </c>
      <c r="AB27" s="49">
        <v>285.05</v>
      </c>
      <c r="AC27" s="49">
        <v>349.83</v>
      </c>
      <c r="AD27" s="49">
        <v>1.8240000000000001</v>
      </c>
      <c r="AE27" s="49">
        <v>1.8720000000000001</v>
      </c>
      <c r="AF27" s="49">
        <v>1.796</v>
      </c>
      <c r="AG27" s="49">
        <v>1.8280000000000001</v>
      </c>
      <c r="AH27" s="49">
        <v>84.45</v>
      </c>
      <c r="AI27" s="49">
        <v>80.900000000000006</v>
      </c>
      <c r="AJ27" s="49">
        <v>107.09</v>
      </c>
      <c r="AK27" s="49">
        <v>103.93</v>
      </c>
      <c r="AL27" s="49">
        <v>669.13599999999997</v>
      </c>
      <c r="AM27" s="49">
        <v>677.23900000000003</v>
      </c>
      <c r="AN27" s="49">
        <v>850.71799999999996</v>
      </c>
      <c r="AO27" s="49">
        <v>797.202</v>
      </c>
      <c r="AP27" s="49">
        <v>1.2809999999999999</v>
      </c>
      <c r="AQ27" s="49">
        <v>1.7769999999999999</v>
      </c>
      <c r="AR27" s="50">
        <v>42.372</v>
      </c>
      <c r="AS27" s="49">
        <v>37.058999999999997</v>
      </c>
      <c r="AT27" s="49">
        <v>83</v>
      </c>
      <c r="AU27" s="49">
        <v>121</v>
      </c>
      <c r="AV27" s="49">
        <v>2.2519999999999998</v>
      </c>
      <c r="AW27" s="49">
        <v>5.3287000000000004</v>
      </c>
      <c r="AX27" s="50">
        <v>1016.8</v>
      </c>
      <c r="AY27" s="49">
        <v>2.23</v>
      </c>
      <c r="AZ27" s="50">
        <v>5.35</v>
      </c>
      <c r="BA27" s="49">
        <v>93.856999999999999</v>
      </c>
      <c r="BB27" s="49">
        <v>93.289000000000001</v>
      </c>
      <c r="BC27" s="49">
        <v>7767</v>
      </c>
      <c r="BD27" s="49">
        <v>88.25</v>
      </c>
      <c r="BE27" s="49">
        <v>17.190000000000001</v>
      </c>
      <c r="BF27" s="50">
        <v>15.19</v>
      </c>
      <c r="BG27" s="49">
        <v>28.2</v>
      </c>
      <c r="BH27" s="49">
        <v>26.3</v>
      </c>
      <c r="BI27" s="3"/>
      <c r="BJ27" s="3"/>
      <c r="BK27" s="3"/>
      <c r="BL27" s="3"/>
      <c r="BM27" s="3"/>
      <c r="BN27" s="49">
        <v>103.624</v>
      </c>
      <c r="BO27" s="49">
        <v>98.68</v>
      </c>
      <c r="BP27" s="49">
        <v>120.328</v>
      </c>
      <c r="BQ27" s="49">
        <v>125.208</v>
      </c>
      <c r="BR27" s="3"/>
      <c r="BS27" s="50">
        <v>29.7</v>
      </c>
      <c r="BT27" s="49">
        <v>7413.2979999999998</v>
      </c>
      <c r="BU27" s="50">
        <v>51.47</v>
      </c>
      <c r="BV27" s="49">
        <v>54.924999999999997</v>
      </c>
      <c r="BW27" s="49">
        <v>55.651000000000003</v>
      </c>
      <c r="BX27" s="49">
        <v>58.027999999999999</v>
      </c>
      <c r="BY27" s="49">
        <v>1.347</v>
      </c>
      <c r="BZ27" s="49">
        <v>2.9239999999999999</v>
      </c>
      <c r="CA27" s="50">
        <v>3.8730000000000002</v>
      </c>
      <c r="CB27" s="49">
        <v>3.5630000000000002</v>
      </c>
      <c r="CC27" s="49">
        <v>0.85799999999999998</v>
      </c>
      <c r="CD27" s="49">
        <v>2.0979999999999999</v>
      </c>
      <c r="CE27" s="49">
        <v>1.1850000000000001</v>
      </c>
      <c r="CF27" s="49">
        <v>1.9570000000000001</v>
      </c>
      <c r="CG27" s="49">
        <v>13.936</v>
      </c>
      <c r="CH27" s="49">
        <v>13.794</v>
      </c>
      <c r="CI27" s="49">
        <v>4.0910000000000002</v>
      </c>
      <c r="CJ27" s="50">
        <v>328.32900000000001</v>
      </c>
      <c r="CK27" s="49">
        <v>1.417</v>
      </c>
      <c r="CL27" s="49">
        <v>0.5</v>
      </c>
      <c r="CM27" s="49">
        <v>0.6</v>
      </c>
      <c r="CN27" s="50">
        <v>0</v>
      </c>
      <c r="CO27" s="50">
        <v>0</v>
      </c>
      <c r="CP27" s="49">
        <v>98.186000000000007</v>
      </c>
      <c r="CQ27" s="49">
        <v>94.906000000000006</v>
      </c>
      <c r="CR27" s="49">
        <v>110.172</v>
      </c>
      <c r="CS27" s="49">
        <v>117.88</v>
      </c>
      <c r="CT27" s="49">
        <v>0.35199999999999998</v>
      </c>
      <c r="CU27" s="49">
        <v>0.9</v>
      </c>
      <c r="CV27" s="49">
        <v>0.997</v>
      </c>
      <c r="CW27" s="49">
        <v>0.80200000000000005</v>
      </c>
      <c r="CX27" s="49">
        <v>1.4950000000000001</v>
      </c>
      <c r="CY27" s="49">
        <v>0.69799999999999995</v>
      </c>
      <c r="CZ27" s="49">
        <v>1.3979999999999999</v>
      </c>
      <c r="DA27" s="49">
        <v>0.70099999999999996</v>
      </c>
      <c r="DB27" s="49">
        <v>1.7010000000000001</v>
      </c>
      <c r="DC27" s="49">
        <v>0</v>
      </c>
      <c r="DD27" s="50">
        <v>0</v>
      </c>
      <c r="DE27" s="49">
        <v>0.35199999999999998</v>
      </c>
      <c r="DF27" s="49">
        <v>0.16800000000000001</v>
      </c>
      <c r="DG27" s="49">
        <v>1.079</v>
      </c>
      <c r="DH27" s="49">
        <v>2.669</v>
      </c>
      <c r="DI27" s="50">
        <v>1.415</v>
      </c>
      <c r="DJ27" s="50">
        <v>0.33300000000000002</v>
      </c>
      <c r="DK27" s="50">
        <v>1.244</v>
      </c>
      <c r="DL27" s="49">
        <v>0.4</v>
      </c>
      <c r="DM27" s="49">
        <v>0.42499999999999999</v>
      </c>
      <c r="DN27" s="49">
        <v>-2E-3</v>
      </c>
      <c r="DO27" s="49">
        <v>-6.9000000000000006E-2</v>
      </c>
      <c r="DP27" s="49">
        <v>66.551000000000002</v>
      </c>
      <c r="DQ27" s="49">
        <v>61.758000000000003</v>
      </c>
      <c r="DR27" s="49">
        <v>53.762999999999998</v>
      </c>
      <c r="DS27" s="49">
        <v>53.008000000000003</v>
      </c>
      <c r="DT27" s="49">
        <v>6.99</v>
      </c>
      <c r="DU27" s="50">
        <v>6.83</v>
      </c>
      <c r="DV27" s="49">
        <v>13.74</v>
      </c>
      <c r="DW27" s="49">
        <v>11.33</v>
      </c>
      <c r="DX27" s="49">
        <v>7.2</v>
      </c>
      <c r="DY27" s="49">
        <v>6.92</v>
      </c>
      <c r="DZ27" s="49">
        <v>13.08</v>
      </c>
      <c r="EA27" s="49">
        <v>10.95</v>
      </c>
      <c r="EB27" s="50">
        <v>41.8</v>
      </c>
      <c r="EC27" s="49">
        <v>40.53</v>
      </c>
      <c r="ED27" s="50">
        <v>32.32</v>
      </c>
      <c r="EE27" s="50">
        <v>34.67</v>
      </c>
      <c r="EF27" s="49">
        <v>44.02</v>
      </c>
      <c r="EG27" s="49">
        <v>45.72</v>
      </c>
      <c r="EH27" s="49">
        <v>40.85</v>
      </c>
      <c r="EI27" s="49">
        <v>43.05</v>
      </c>
      <c r="EJ27" s="49">
        <v>7.3520000000000003</v>
      </c>
      <c r="EK27" s="49">
        <v>59.329000000000001</v>
      </c>
      <c r="EL27" s="49">
        <v>2</v>
      </c>
      <c r="EM27" s="49">
        <v>1.6</v>
      </c>
      <c r="EN27" s="49">
        <v>1.21</v>
      </c>
      <c r="EO27" s="49">
        <v>1.21</v>
      </c>
      <c r="EP27" s="49">
        <v>-102.134</v>
      </c>
      <c r="EQ27" s="49">
        <v>-2.2759999999999998</v>
      </c>
      <c r="ER27" s="50">
        <v>113.654</v>
      </c>
      <c r="ES27" s="49">
        <v>1.288</v>
      </c>
      <c r="ET27" s="49">
        <v>1.3169999999999999</v>
      </c>
      <c r="EU27" s="49">
        <v>1.1279999999999999</v>
      </c>
      <c r="EV27" s="49">
        <v>7.1589999999999998</v>
      </c>
      <c r="EW27" s="49">
        <v>1.698</v>
      </c>
      <c r="EX27" s="49">
        <v>73.92</v>
      </c>
      <c r="EY27" s="49">
        <v>0</v>
      </c>
      <c r="EZ27" s="49">
        <v>8.0000000000000002E-3</v>
      </c>
      <c r="FA27" s="50">
        <v>0</v>
      </c>
      <c r="FB27" s="49">
        <v>9.157</v>
      </c>
      <c r="FC27" s="49">
        <v>73.843999999999994</v>
      </c>
      <c r="FD27" s="49">
        <v>68.730999999999995</v>
      </c>
      <c r="FE27" s="49">
        <v>82.188000000000002</v>
      </c>
      <c r="FF27" s="49">
        <v>80.936999999999998</v>
      </c>
      <c r="FG27" s="49">
        <v>0.93500000000000005</v>
      </c>
      <c r="FH27" s="49">
        <v>0.93700000000000006</v>
      </c>
      <c r="FI27" s="49">
        <v>0.996</v>
      </c>
      <c r="FJ27" s="49">
        <v>1.0009999999999999</v>
      </c>
      <c r="FK27" s="49">
        <v>0</v>
      </c>
      <c r="FL27" s="49">
        <v>83</v>
      </c>
      <c r="FM27" s="49">
        <v>3.44</v>
      </c>
      <c r="FN27" s="49">
        <v>-0.64</v>
      </c>
      <c r="FO27" s="50">
        <v>5.3</v>
      </c>
      <c r="FP27" s="3"/>
      <c r="FQ27" s="49">
        <v>4.5999999999999996</v>
      </c>
      <c r="FR27" s="49">
        <v>5.0999999999999996</v>
      </c>
      <c r="FS27" s="49">
        <v>6.7030000000000003</v>
      </c>
      <c r="FT27" s="49">
        <v>1075.0999999999999</v>
      </c>
      <c r="FU27" s="49">
        <v>6.68</v>
      </c>
      <c r="FV27" s="49">
        <v>28.27</v>
      </c>
      <c r="FW27" s="49">
        <v>3055.5</v>
      </c>
      <c r="FX27" s="49">
        <v>168600</v>
      </c>
      <c r="FY27" s="49">
        <v>170700</v>
      </c>
      <c r="FZ27" s="49">
        <v>48.414000000000001</v>
      </c>
      <c r="GA27" s="49">
        <v>47.581000000000003</v>
      </c>
      <c r="GB27" s="49">
        <v>2301.1</v>
      </c>
      <c r="GC27" s="49">
        <v>2256.3000000000002</v>
      </c>
      <c r="GD27" s="49">
        <v>2355.6999999999998</v>
      </c>
      <c r="GE27" s="50">
        <v>2563.9</v>
      </c>
      <c r="GF27" s="50">
        <v>1556.4530999999999</v>
      </c>
      <c r="GG27" s="49">
        <v>36</v>
      </c>
      <c r="GH27" s="49">
        <v>35.6</v>
      </c>
      <c r="GI27" s="49">
        <v>49.4</v>
      </c>
      <c r="GJ27" s="49">
        <v>54.4</v>
      </c>
      <c r="GK27" s="49">
        <v>99.5</v>
      </c>
      <c r="GL27" s="49">
        <v>93.8</v>
      </c>
      <c r="GM27" s="50">
        <v>0</v>
      </c>
      <c r="GN27" s="50">
        <v>27.288</v>
      </c>
      <c r="GO27" s="50">
        <v>113.654</v>
      </c>
      <c r="GP27" s="49">
        <v>0.29499999999999998</v>
      </c>
      <c r="GQ27" s="49">
        <v>1.9470000000000001</v>
      </c>
      <c r="GR27" s="49">
        <v>0.47199999999999998</v>
      </c>
      <c r="GS27" s="49">
        <v>1.9470000000000001</v>
      </c>
      <c r="GT27" s="49">
        <v>0.41299999999999998</v>
      </c>
      <c r="GU27" s="49">
        <v>1.8879999999999999</v>
      </c>
      <c r="GV27" s="49">
        <v>12.936</v>
      </c>
      <c r="GW27" s="50">
        <v>14.148999999999999</v>
      </c>
      <c r="GX27" s="49">
        <v>16.071999999999999</v>
      </c>
      <c r="GY27" s="50">
        <v>0</v>
      </c>
      <c r="GZ27" s="50">
        <v>0</v>
      </c>
      <c r="HA27" s="50">
        <v>0</v>
      </c>
      <c r="HB27" s="49">
        <v>0</v>
      </c>
      <c r="HC27" s="49">
        <v>23.285</v>
      </c>
      <c r="HD27" s="49">
        <v>82</v>
      </c>
      <c r="HE27" s="50">
        <v>0</v>
      </c>
      <c r="HF27" s="50">
        <v>0</v>
      </c>
      <c r="HG27" s="49">
        <v>74.69</v>
      </c>
      <c r="HH27" s="49">
        <v>78.56</v>
      </c>
      <c r="HI27" s="50">
        <v>0</v>
      </c>
      <c r="HJ27" s="50">
        <v>0</v>
      </c>
      <c r="HK27" s="50">
        <v>0</v>
      </c>
      <c r="HL27" s="49">
        <v>63</v>
      </c>
      <c r="HM27" s="49">
        <v>55</v>
      </c>
      <c r="HN27" s="50">
        <v>69</v>
      </c>
      <c r="HO27" s="50">
        <v>63</v>
      </c>
      <c r="HP27" s="50">
        <v>66</v>
      </c>
      <c r="HQ27" s="50">
        <v>64</v>
      </c>
      <c r="HR27" s="49">
        <v>54</v>
      </c>
      <c r="HS27" s="50">
        <v>70</v>
      </c>
      <c r="HT27" s="49">
        <v>-1.276</v>
      </c>
      <c r="HU27" s="50">
        <v>0</v>
      </c>
      <c r="HV27" s="49">
        <v>0.193</v>
      </c>
      <c r="HW27" s="49">
        <v>37.21</v>
      </c>
      <c r="HX27" s="49">
        <v>47.55</v>
      </c>
      <c r="HY27" s="50">
        <v>51.21</v>
      </c>
      <c r="HZ27" s="50">
        <v>63.19</v>
      </c>
      <c r="IA27" s="49">
        <v>2.9350000000000001</v>
      </c>
      <c r="IB27" s="49">
        <v>104</v>
      </c>
      <c r="IC27" s="49">
        <v>22.756</v>
      </c>
      <c r="ID27" s="49">
        <v>-0.30299999999999999</v>
      </c>
      <c r="IE27" s="49">
        <v>-0.109</v>
      </c>
      <c r="IF27" s="49">
        <v>815.6</v>
      </c>
      <c r="IG27" s="49">
        <v>769.7</v>
      </c>
      <c r="IH27" s="49">
        <v>829.6</v>
      </c>
      <c r="II27" s="49">
        <v>781.5</v>
      </c>
      <c r="IJ27" s="49">
        <v>-0.104</v>
      </c>
      <c r="IK27" s="49">
        <v>-0.23100000000000001</v>
      </c>
      <c r="IL27" s="49">
        <v>71.688000000000002</v>
      </c>
      <c r="IM27" s="49">
        <v>71.688000000000002</v>
      </c>
      <c r="IN27" s="49">
        <v>11.942</v>
      </c>
      <c r="IO27" s="49">
        <v>0.57499999999999996</v>
      </c>
      <c r="IP27" s="49">
        <v>10.41</v>
      </c>
      <c r="IQ27" s="49">
        <v>1.0999999999999999E-2</v>
      </c>
      <c r="IR27" s="49">
        <v>0.01</v>
      </c>
      <c r="IS27">
        <v>0.31900000000000006</v>
      </c>
      <c r="IT27">
        <v>0.18500000000000005</v>
      </c>
    </row>
    <row r="28" spans="1:254" x14ac:dyDescent="0.25">
      <c r="B28" s="2" t="s">
        <v>412</v>
      </c>
      <c r="C28" s="2" t="s">
        <v>46</v>
      </c>
      <c r="D28" s="61">
        <v>2.8505787037037041E-3</v>
      </c>
      <c r="E28" s="49">
        <v>246.28899999999999</v>
      </c>
      <c r="F28" s="50">
        <v>334.25</v>
      </c>
      <c r="G28" s="49">
        <v>-28.27</v>
      </c>
      <c r="H28" s="49">
        <v>29.8</v>
      </c>
      <c r="I28" s="49">
        <v>0</v>
      </c>
      <c r="J28" s="49">
        <v>17.3</v>
      </c>
      <c r="K28" s="50">
        <v>10</v>
      </c>
      <c r="L28" s="50">
        <v>2</v>
      </c>
      <c r="M28" s="50">
        <v>6</v>
      </c>
      <c r="N28" s="50">
        <v>3</v>
      </c>
      <c r="O28" s="50">
        <v>3</v>
      </c>
      <c r="P28" s="49">
        <v>0.78800000000000003</v>
      </c>
      <c r="Q28" s="49">
        <v>1.4</v>
      </c>
      <c r="R28" s="49">
        <v>0.75</v>
      </c>
      <c r="S28" s="49">
        <v>0.57799999999999996</v>
      </c>
      <c r="T28" s="49">
        <v>72.489999999999995</v>
      </c>
      <c r="U28" s="50">
        <v>60.418999999999997</v>
      </c>
      <c r="V28" s="49">
        <v>255</v>
      </c>
      <c r="W28" s="49">
        <v>260</v>
      </c>
      <c r="X28" s="49">
        <v>180</v>
      </c>
      <c r="Y28" s="49">
        <v>230</v>
      </c>
      <c r="Z28" s="49">
        <v>381.79</v>
      </c>
      <c r="AA28" s="49">
        <v>381.14</v>
      </c>
      <c r="AB28" s="49">
        <v>288.32</v>
      </c>
      <c r="AC28" s="49">
        <v>350.94</v>
      </c>
      <c r="AD28" s="49">
        <v>1.8220000000000001</v>
      </c>
      <c r="AE28" s="49">
        <v>1.88</v>
      </c>
      <c r="AF28" s="50">
        <v>1.8169999999999999</v>
      </c>
      <c r="AG28" s="50">
        <v>1.8420000000000001</v>
      </c>
      <c r="AH28" s="49">
        <v>82.96</v>
      </c>
      <c r="AI28" s="49">
        <v>80.94</v>
      </c>
      <c r="AJ28" s="49">
        <v>108.57</v>
      </c>
      <c r="AK28" s="49">
        <v>105.03</v>
      </c>
      <c r="AL28" s="49">
        <v>650.38800000000003</v>
      </c>
      <c r="AM28" s="49">
        <v>640.80399999999997</v>
      </c>
      <c r="AN28" s="49">
        <v>853.78399999999999</v>
      </c>
      <c r="AO28" s="49">
        <v>771.76499999999999</v>
      </c>
      <c r="AP28" s="49">
        <v>1.282</v>
      </c>
      <c r="AQ28" s="49">
        <v>1.768</v>
      </c>
      <c r="AR28" s="49">
        <v>42.279000000000003</v>
      </c>
      <c r="AS28" s="49">
        <v>36.095999999999997</v>
      </c>
      <c r="AT28" s="49">
        <v>83</v>
      </c>
      <c r="AU28" s="50">
        <v>122</v>
      </c>
      <c r="AV28" s="49">
        <v>2.3815</v>
      </c>
      <c r="AW28" s="49">
        <v>5.2375999999999996</v>
      </c>
      <c r="AX28" s="49">
        <v>1016.5</v>
      </c>
      <c r="AY28" s="49">
        <v>2.25</v>
      </c>
      <c r="AZ28" s="49">
        <v>5.68</v>
      </c>
      <c r="BA28" s="49">
        <v>92.93</v>
      </c>
      <c r="BB28" s="49">
        <v>92.546999999999997</v>
      </c>
      <c r="BC28" s="49">
        <v>7662</v>
      </c>
      <c r="BD28" s="50">
        <v>89.75</v>
      </c>
      <c r="BE28" s="49">
        <v>16.52</v>
      </c>
      <c r="BF28" s="49">
        <v>13.645</v>
      </c>
      <c r="BG28" s="49">
        <v>28.46</v>
      </c>
      <c r="BH28" s="49">
        <v>26.57</v>
      </c>
      <c r="BI28" s="50">
        <v>65.757999999999996</v>
      </c>
      <c r="BJ28" s="50">
        <v>81.656000000000006</v>
      </c>
      <c r="BK28" s="50">
        <v>64.076999999999998</v>
      </c>
      <c r="BL28" s="49">
        <v>77.262</v>
      </c>
      <c r="BM28" s="50">
        <v>80.966999999999999</v>
      </c>
      <c r="BN28" s="49">
        <v>116.28</v>
      </c>
      <c r="BO28" s="49">
        <v>111.816</v>
      </c>
      <c r="BP28" s="50">
        <v>132.77600000000001</v>
      </c>
      <c r="BQ28" s="50">
        <v>136.50399999999999</v>
      </c>
      <c r="BR28" s="50">
        <v>61.386000000000003</v>
      </c>
      <c r="BS28" s="49">
        <v>29.5</v>
      </c>
      <c r="BT28" s="49">
        <v>7363.6080000000002</v>
      </c>
      <c r="BU28" s="49">
        <v>49.046999999999997</v>
      </c>
      <c r="BV28" s="49">
        <v>52.93</v>
      </c>
      <c r="BW28" s="49">
        <v>56.094000000000001</v>
      </c>
      <c r="BX28" s="49">
        <v>57.085000000000001</v>
      </c>
      <c r="BY28" s="49">
        <v>1.419</v>
      </c>
      <c r="BZ28" s="50">
        <v>3.2109999999999999</v>
      </c>
      <c r="CA28" s="49">
        <v>3.01</v>
      </c>
      <c r="CB28" s="49">
        <v>3.5350000000000001</v>
      </c>
      <c r="CC28" s="49">
        <v>0.95699999999999996</v>
      </c>
      <c r="CD28" s="49">
        <v>2.016</v>
      </c>
      <c r="CE28" s="49">
        <v>1.2669999999999999</v>
      </c>
      <c r="CF28" s="49">
        <v>1.998</v>
      </c>
      <c r="CG28" s="49">
        <v>13.923</v>
      </c>
      <c r="CH28" s="49">
        <v>10.493</v>
      </c>
      <c r="CI28" s="3"/>
      <c r="CJ28" s="3"/>
      <c r="CK28" s="3"/>
      <c r="CL28" s="50">
        <v>0.7</v>
      </c>
      <c r="CM28" s="49">
        <v>0.5</v>
      </c>
      <c r="CN28" s="50">
        <v>0</v>
      </c>
      <c r="CO28" s="50">
        <v>0</v>
      </c>
      <c r="CP28" s="49">
        <v>101.333</v>
      </c>
      <c r="CQ28" s="49">
        <v>97.894000000000005</v>
      </c>
      <c r="CR28" s="50">
        <v>121.22</v>
      </c>
      <c r="CS28" s="50">
        <v>126.944</v>
      </c>
      <c r="CT28" s="49">
        <v>0.23</v>
      </c>
      <c r="CU28" s="50">
        <v>8.0779999999999994</v>
      </c>
      <c r="CV28" s="50">
        <v>8.6809999999999992</v>
      </c>
      <c r="CW28" s="50">
        <v>8.0790000000000006</v>
      </c>
      <c r="CX28" s="50">
        <v>8.3740000000000006</v>
      </c>
      <c r="CY28" s="50">
        <v>8.375</v>
      </c>
      <c r="CZ28" s="50">
        <v>8.5790000000000006</v>
      </c>
      <c r="DA28" s="50">
        <v>7.6790000000000003</v>
      </c>
      <c r="DB28" s="50">
        <v>8.9809999999999999</v>
      </c>
      <c r="DC28" s="49">
        <v>0</v>
      </c>
      <c r="DD28" s="50">
        <v>0</v>
      </c>
      <c r="DE28" s="49">
        <v>0.26400000000000001</v>
      </c>
      <c r="DF28" s="49">
        <v>0.126</v>
      </c>
      <c r="DG28" s="49">
        <v>0.35899999999999999</v>
      </c>
      <c r="DH28" s="49">
        <v>2.3149999999999999</v>
      </c>
      <c r="DI28" s="49">
        <v>1.0369999999999999</v>
      </c>
      <c r="DJ28" s="49">
        <v>0.17899999999999999</v>
      </c>
      <c r="DK28" s="49">
        <v>0.79600000000000004</v>
      </c>
      <c r="DL28" s="49">
        <v>0.40600000000000003</v>
      </c>
      <c r="DM28" s="49">
        <v>0.46600000000000003</v>
      </c>
      <c r="DN28" s="49">
        <v>0.36799999999999999</v>
      </c>
      <c r="DO28" s="50">
        <v>0.36399999999999999</v>
      </c>
      <c r="DP28" s="50">
        <v>70.597999999999999</v>
      </c>
      <c r="DQ28" s="49">
        <v>58.88</v>
      </c>
      <c r="DR28" s="49">
        <v>52.226999999999997</v>
      </c>
      <c r="DS28" s="50">
        <v>55.134</v>
      </c>
      <c r="DT28" s="49">
        <v>5.79</v>
      </c>
      <c r="DU28" s="49">
        <v>5.67</v>
      </c>
      <c r="DV28" s="49">
        <v>11.68</v>
      </c>
      <c r="DW28" s="49">
        <v>9.8699999999999992</v>
      </c>
      <c r="DX28" s="49">
        <v>5.99</v>
      </c>
      <c r="DY28" s="49">
        <v>6.02</v>
      </c>
      <c r="DZ28" s="49">
        <v>11.23</v>
      </c>
      <c r="EA28" s="49">
        <v>9.43</v>
      </c>
      <c r="EB28" s="49">
        <v>41.68</v>
      </c>
      <c r="EC28" s="49">
        <v>41.52</v>
      </c>
      <c r="ED28" s="49">
        <v>32.1</v>
      </c>
      <c r="EE28" s="49">
        <v>34.06</v>
      </c>
      <c r="EF28" s="49">
        <v>46.54</v>
      </c>
      <c r="EG28" s="49">
        <v>46.79</v>
      </c>
      <c r="EH28" s="49">
        <v>44.98</v>
      </c>
      <c r="EI28" s="49">
        <v>46.63</v>
      </c>
      <c r="EJ28" s="49">
        <v>7.3440000000000003</v>
      </c>
      <c r="EK28" s="49">
        <v>59.164000000000001</v>
      </c>
      <c r="EL28" s="49">
        <v>2</v>
      </c>
      <c r="EM28" s="49">
        <v>1.55</v>
      </c>
      <c r="EN28" s="49">
        <v>1.24</v>
      </c>
      <c r="EO28" s="49">
        <v>1.24</v>
      </c>
      <c r="EP28" s="49">
        <v>-99.798000000000002</v>
      </c>
      <c r="EQ28" s="49">
        <v>-1.7989999999999999</v>
      </c>
      <c r="ER28" s="49">
        <v>88.542000000000002</v>
      </c>
      <c r="ES28" s="49">
        <v>0.95199999999999996</v>
      </c>
      <c r="ET28" s="49">
        <v>0.94399999999999995</v>
      </c>
      <c r="EU28" s="49">
        <v>0.78300000000000003</v>
      </c>
      <c r="EV28" s="49">
        <v>7.2240000000000002</v>
      </c>
      <c r="EW28" s="49">
        <v>1.67</v>
      </c>
      <c r="EX28" s="49">
        <v>69.680000000000007</v>
      </c>
      <c r="EY28" s="49">
        <v>0</v>
      </c>
      <c r="EZ28" s="49">
        <v>1.1970000000000001</v>
      </c>
      <c r="FA28" s="50">
        <v>0</v>
      </c>
      <c r="FB28" s="49">
        <v>9.1999999999999993</v>
      </c>
      <c r="FC28" s="50">
        <v>73.91</v>
      </c>
      <c r="FD28" s="50">
        <v>69.186999999999998</v>
      </c>
      <c r="FE28" s="50">
        <v>83.861000000000004</v>
      </c>
      <c r="FF28" s="50">
        <v>82.477000000000004</v>
      </c>
      <c r="FG28" s="50">
        <v>0.99</v>
      </c>
      <c r="FH28" s="50">
        <v>0.98899999999999999</v>
      </c>
      <c r="FI28" s="49">
        <v>0.998</v>
      </c>
      <c r="FJ28" s="49">
        <v>1.004</v>
      </c>
      <c r="FK28" s="49">
        <v>0</v>
      </c>
      <c r="FL28" s="49">
        <v>83</v>
      </c>
      <c r="FM28" s="50">
        <v>3.48</v>
      </c>
      <c r="FN28" s="49">
        <v>-0.7</v>
      </c>
      <c r="FO28" s="49">
        <v>5.42</v>
      </c>
      <c r="FP28" s="49">
        <v>4.0999999999999996</v>
      </c>
      <c r="FQ28" s="50">
        <v>4.5</v>
      </c>
      <c r="FR28" s="49">
        <v>5.0999999999999996</v>
      </c>
      <c r="FS28" s="49">
        <v>6.7634999999999996</v>
      </c>
      <c r="FT28" s="49">
        <v>1074.9000000000001</v>
      </c>
      <c r="FU28" s="50">
        <v>7.12</v>
      </c>
      <c r="FV28" s="50">
        <v>33.92</v>
      </c>
      <c r="FW28" s="49">
        <v>3047.5</v>
      </c>
      <c r="FX28" s="49">
        <v>165900</v>
      </c>
      <c r="FY28" s="49">
        <v>166800</v>
      </c>
      <c r="FZ28" s="49">
        <v>48.548999999999999</v>
      </c>
      <c r="GA28" s="49">
        <v>47.601999999999997</v>
      </c>
      <c r="GB28" s="50">
        <v>2445.6</v>
      </c>
      <c r="GC28" s="50">
        <v>2339.9</v>
      </c>
      <c r="GD28" s="50">
        <v>2549.6999999999998</v>
      </c>
      <c r="GE28" s="49">
        <v>2341.4</v>
      </c>
      <c r="GF28" s="49">
        <v>1443.2188000000001</v>
      </c>
      <c r="GG28" s="50">
        <v>37</v>
      </c>
      <c r="GH28" s="50">
        <v>36.799999999999997</v>
      </c>
      <c r="GI28" s="49">
        <v>49.4</v>
      </c>
      <c r="GJ28" s="49">
        <v>54.7</v>
      </c>
      <c r="GK28" s="49">
        <v>99</v>
      </c>
      <c r="GL28" s="49">
        <v>87.2</v>
      </c>
      <c r="GM28" s="50">
        <v>0</v>
      </c>
      <c r="GN28" s="49">
        <v>25.456</v>
      </c>
      <c r="GO28" s="49">
        <v>99.798000000000002</v>
      </c>
      <c r="GP28" s="50">
        <v>0</v>
      </c>
      <c r="GQ28" s="50">
        <v>5.6050000000000004</v>
      </c>
      <c r="GR28" s="50">
        <v>0</v>
      </c>
      <c r="GS28" s="50">
        <v>5.3689999999999998</v>
      </c>
      <c r="GT28" s="50">
        <v>0</v>
      </c>
      <c r="GU28" s="50">
        <v>4.8380000000000001</v>
      </c>
      <c r="GV28" s="50">
        <v>0</v>
      </c>
      <c r="GW28" s="49">
        <v>13.939</v>
      </c>
      <c r="GX28" s="49">
        <v>15.875999999999999</v>
      </c>
      <c r="GY28" s="50">
        <v>0</v>
      </c>
      <c r="GZ28" s="50">
        <v>0</v>
      </c>
      <c r="HA28" s="50">
        <v>0</v>
      </c>
      <c r="HB28" s="49">
        <v>0</v>
      </c>
      <c r="HC28" s="49">
        <v>22.715</v>
      </c>
      <c r="HD28" s="49">
        <v>82</v>
      </c>
      <c r="HE28" s="50">
        <v>0</v>
      </c>
      <c r="HF28" s="50">
        <v>0</v>
      </c>
      <c r="HG28" s="49">
        <v>74.42</v>
      </c>
      <c r="HH28" s="49">
        <v>78.5</v>
      </c>
      <c r="HI28" s="50">
        <v>0</v>
      </c>
      <c r="HJ28" s="50">
        <v>0</v>
      </c>
      <c r="HK28" s="50">
        <v>0</v>
      </c>
      <c r="HL28" s="49">
        <v>63</v>
      </c>
      <c r="HM28" s="49">
        <v>55</v>
      </c>
      <c r="HN28" s="50">
        <v>69</v>
      </c>
      <c r="HO28" s="50">
        <v>63</v>
      </c>
      <c r="HP28" s="50">
        <v>66</v>
      </c>
      <c r="HQ28" s="50">
        <v>64</v>
      </c>
      <c r="HR28" s="50">
        <v>55</v>
      </c>
      <c r="HS28" s="49">
        <v>64</v>
      </c>
      <c r="HT28" s="49">
        <v>-1.2535000000000001</v>
      </c>
      <c r="HU28" s="50">
        <v>0</v>
      </c>
      <c r="HV28" s="49">
        <v>-0.34100000000000003</v>
      </c>
      <c r="HW28" s="49">
        <v>46.75</v>
      </c>
      <c r="HX28" s="49">
        <v>52.53</v>
      </c>
      <c r="HY28" s="3"/>
      <c r="HZ28" s="3"/>
      <c r="IA28" s="49">
        <v>2.9340000000000002</v>
      </c>
      <c r="IB28" s="49">
        <v>104</v>
      </c>
      <c r="IC28" s="49">
        <v>22.667000000000002</v>
      </c>
      <c r="ID28" s="49">
        <v>-0.24099999999999999</v>
      </c>
      <c r="IE28" s="49">
        <v>-8.7999999999999995E-2</v>
      </c>
      <c r="IF28" s="49">
        <v>817.7</v>
      </c>
      <c r="IG28" s="49">
        <v>751.4</v>
      </c>
      <c r="IH28" s="50">
        <v>829.7</v>
      </c>
      <c r="II28" s="49">
        <v>767.6</v>
      </c>
      <c r="IJ28" s="49">
        <v>-0.09</v>
      </c>
      <c r="IK28" s="49">
        <v>-0.19400000000000001</v>
      </c>
      <c r="IL28" s="49">
        <v>85.578000000000003</v>
      </c>
      <c r="IM28" s="49">
        <v>85.578000000000003</v>
      </c>
      <c r="IN28" s="49">
        <v>16.283999999999999</v>
      </c>
      <c r="IO28" s="49">
        <v>0.45800000000000002</v>
      </c>
      <c r="IP28" s="49">
        <v>10.44</v>
      </c>
      <c r="IQ28" s="49">
        <v>0</v>
      </c>
      <c r="IR28" s="49">
        <v>0</v>
      </c>
      <c r="IS28">
        <v>0.31900000000000006</v>
      </c>
      <c r="IT28">
        <v>0.18500000000000005</v>
      </c>
    </row>
    <row r="29" spans="1:254" x14ac:dyDescent="0.25">
      <c r="IS29">
        <v>0.31900000000000006</v>
      </c>
      <c r="IT29">
        <v>0.18500000000000005</v>
      </c>
    </row>
    <row r="30" spans="1:254" x14ac:dyDescent="0.25">
      <c r="IS30">
        <v>0.31900000000000006</v>
      </c>
      <c r="IT30">
        <v>0.18500000000000005</v>
      </c>
    </row>
    <row r="31" spans="1:254" x14ac:dyDescent="0.25">
      <c r="IS31">
        <v>0.31900000000000006</v>
      </c>
      <c r="IT31">
        <v>0.18500000000000005</v>
      </c>
    </row>
    <row r="32" spans="1:254" x14ac:dyDescent="0.25">
      <c r="B32" s="2" t="s">
        <v>412</v>
      </c>
      <c r="C32" s="2" t="s">
        <v>41</v>
      </c>
      <c r="D32" s="61">
        <v>2.9356481481481477E-3</v>
      </c>
      <c r="E32" s="50">
        <v>253.63800000000001</v>
      </c>
      <c r="F32" s="49">
        <v>326.2</v>
      </c>
      <c r="G32" s="49">
        <v>5.65</v>
      </c>
      <c r="H32" s="49">
        <v>29.2</v>
      </c>
      <c r="I32" s="50">
        <v>0.14000000000000001</v>
      </c>
      <c r="J32" s="50">
        <v>34.700000000000003</v>
      </c>
      <c r="K32" s="50">
        <v>10</v>
      </c>
      <c r="L32" s="49">
        <v>2</v>
      </c>
      <c r="M32" s="50">
        <v>6</v>
      </c>
      <c r="N32" s="50">
        <v>3</v>
      </c>
      <c r="O32" s="50">
        <v>3</v>
      </c>
      <c r="P32" s="49">
        <v>0.73499999999999999</v>
      </c>
      <c r="Q32" s="49">
        <v>1.0369999999999999</v>
      </c>
      <c r="R32" s="49">
        <v>0.93700000000000006</v>
      </c>
      <c r="S32" s="49">
        <v>0.53200000000000003</v>
      </c>
      <c r="T32" s="49">
        <v>71.260000000000005</v>
      </c>
      <c r="U32" s="49">
        <v>60.533000000000001</v>
      </c>
      <c r="V32" s="50">
        <v>162.5</v>
      </c>
      <c r="W32" s="50">
        <v>167.5</v>
      </c>
      <c r="X32" s="50">
        <v>120</v>
      </c>
      <c r="Y32" s="50">
        <v>145</v>
      </c>
      <c r="Z32" s="49">
        <v>319.36</v>
      </c>
      <c r="AA32" s="49">
        <v>318.23</v>
      </c>
      <c r="AB32" s="49">
        <v>240.77</v>
      </c>
      <c r="AC32" s="49">
        <v>293.42</v>
      </c>
      <c r="AD32" s="49">
        <v>1.7450000000000001</v>
      </c>
      <c r="AE32" s="49">
        <v>1.827</v>
      </c>
      <c r="AF32" s="49">
        <v>1.6890000000000001</v>
      </c>
      <c r="AG32" s="49">
        <v>1.7230000000000001</v>
      </c>
      <c r="AH32" s="49">
        <v>67.430000000000007</v>
      </c>
      <c r="AI32" s="49">
        <v>66.62</v>
      </c>
      <c r="AJ32" s="49">
        <v>84.91</v>
      </c>
      <c r="AK32" s="49">
        <v>85.46</v>
      </c>
      <c r="AL32" s="49">
        <v>617.10799999999995</v>
      </c>
      <c r="AM32" s="49">
        <v>631.03300000000002</v>
      </c>
      <c r="AN32" s="49">
        <v>748.34199999999998</v>
      </c>
      <c r="AO32" s="49">
        <v>747.15899999999999</v>
      </c>
      <c r="AP32" s="50">
        <v>1.397</v>
      </c>
      <c r="AQ32" s="49">
        <v>1.861</v>
      </c>
      <c r="AR32" s="49">
        <v>39.881</v>
      </c>
      <c r="AS32" s="49">
        <v>38.103999999999999</v>
      </c>
      <c r="AT32" s="50">
        <v>84</v>
      </c>
      <c r="AU32" s="49">
        <v>115</v>
      </c>
      <c r="AV32" s="49">
        <v>2.2414999999999998</v>
      </c>
      <c r="AW32" s="49">
        <v>5.1563999999999997</v>
      </c>
      <c r="AX32" s="50">
        <v>1022.1</v>
      </c>
      <c r="AY32" s="50">
        <v>2.4300000000000002</v>
      </c>
      <c r="AZ32" s="49">
        <v>5.66</v>
      </c>
      <c r="BA32" s="50">
        <v>65.3</v>
      </c>
      <c r="BB32" s="50">
        <v>66.316999999999993</v>
      </c>
      <c r="BC32" s="49">
        <v>7745</v>
      </c>
      <c r="BD32" s="49">
        <v>88.75</v>
      </c>
      <c r="BE32" s="49">
        <v>15.335000000000001</v>
      </c>
      <c r="BF32" s="49">
        <v>13.585000000000001</v>
      </c>
      <c r="BG32" s="49">
        <v>26.19</v>
      </c>
      <c r="BH32" s="49">
        <v>26.13</v>
      </c>
      <c r="BI32" s="49">
        <v>63.963000000000001</v>
      </c>
      <c r="BJ32" s="49">
        <v>79.894000000000005</v>
      </c>
      <c r="BK32" s="49">
        <v>62.277999999999999</v>
      </c>
      <c r="BL32" s="49">
        <v>76.986000000000004</v>
      </c>
      <c r="BM32" s="49">
        <v>77.707999999999998</v>
      </c>
      <c r="BN32" s="50">
        <v>137.59200000000001</v>
      </c>
      <c r="BO32" s="50">
        <v>134.184</v>
      </c>
      <c r="BP32" s="49">
        <v>125.16</v>
      </c>
      <c r="BQ32" s="49">
        <v>127.48</v>
      </c>
      <c r="BR32" s="49">
        <v>59.088999999999999</v>
      </c>
      <c r="BS32" s="49">
        <v>28.9</v>
      </c>
      <c r="BT32" s="49">
        <v>7298.6450000000004</v>
      </c>
      <c r="BU32" s="49">
        <v>49.250999999999998</v>
      </c>
      <c r="BV32" s="50">
        <v>56.335999999999999</v>
      </c>
      <c r="BW32" s="49">
        <v>56.003</v>
      </c>
      <c r="BX32" s="49">
        <v>56.781999999999996</v>
      </c>
      <c r="BY32" s="50">
        <v>1.514</v>
      </c>
      <c r="BZ32" s="50">
        <v>3.3340000000000001</v>
      </c>
      <c r="CA32" s="49">
        <v>3.5529999999999999</v>
      </c>
      <c r="CB32" s="49">
        <v>3.0310000000000001</v>
      </c>
      <c r="CC32" s="49">
        <v>1.214</v>
      </c>
      <c r="CD32" s="49">
        <v>2.302</v>
      </c>
      <c r="CE32" s="50">
        <v>1.34</v>
      </c>
      <c r="CF32" s="50">
        <v>2.198</v>
      </c>
      <c r="CG32" s="49">
        <v>13.798</v>
      </c>
      <c r="CH32" s="50">
        <v>9.9039999999999999</v>
      </c>
      <c r="CI32" s="49">
        <v>3.7050000000000001</v>
      </c>
      <c r="CJ32" s="49">
        <v>3.36</v>
      </c>
      <c r="CK32" s="49">
        <v>1.083</v>
      </c>
      <c r="CL32" s="49">
        <v>0</v>
      </c>
      <c r="CM32" s="49">
        <v>0.7</v>
      </c>
      <c r="CN32" s="49">
        <v>0</v>
      </c>
      <c r="CO32" s="49">
        <v>0</v>
      </c>
      <c r="CP32" s="50">
        <v>104.854</v>
      </c>
      <c r="CQ32" s="49">
        <v>101.751</v>
      </c>
      <c r="CR32" s="49">
        <v>110.78700000000001</v>
      </c>
      <c r="CS32" s="49">
        <v>114.694</v>
      </c>
      <c r="CT32" s="50">
        <v>0.627</v>
      </c>
      <c r="CU32" s="49">
        <v>1.0980000000000001</v>
      </c>
      <c r="CV32" s="49">
        <v>1.093</v>
      </c>
      <c r="CW32" s="49">
        <v>1.5960000000000001</v>
      </c>
      <c r="CX32" s="49">
        <v>1.595</v>
      </c>
      <c r="CY32" s="49">
        <v>1.7989999999999999</v>
      </c>
      <c r="CZ32" s="49">
        <v>1.1930000000000001</v>
      </c>
      <c r="DA32" s="49">
        <v>0.9</v>
      </c>
      <c r="DB32" s="49">
        <v>1.8009999999999999</v>
      </c>
      <c r="DC32" s="50">
        <v>8.0000000000000002E-3</v>
      </c>
      <c r="DD32" s="50">
        <v>0</v>
      </c>
      <c r="DE32" s="49">
        <v>0.23100000000000001</v>
      </c>
      <c r="DF32" s="49">
        <v>9.7000000000000003E-2</v>
      </c>
      <c r="DG32" s="49">
        <v>0.33800000000000002</v>
      </c>
      <c r="DH32" s="49">
        <v>1.266</v>
      </c>
      <c r="DI32" s="49">
        <v>0.95399999999999996</v>
      </c>
      <c r="DJ32" s="49">
        <v>0.20399999999999999</v>
      </c>
      <c r="DK32" s="49">
        <v>0.78500000000000003</v>
      </c>
      <c r="DL32" s="49">
        <v>0.41</v>
      </c>
      <c r="DM32" s="49">
        <v>0.50800000000000001</v>
      </c>
      <c r="DN32" s="49">
        <v>0.39400000000000002</v>
      </c>
      <c r="DO32" s="49">
        <v>0.36299999999999999</v>
      </c>
      <c r="DP32" s="49">
        <v>62.767000000000003</v>
      </c>
      <c r="DQ32" s="49">
        <v>59.706000000000003</v>
      </c>
      <c r="DR32" s="49">
        <v>53.633000000000003</v>
      </c>
      <c r="DS32" s="49">
        <v>50.267000000000003</v>
      </c>
      <c r="DT32" s="49">
        <v>4.67</v>
      </c>
      <c r="DU32" s="49">
        <v>4.8099999999999996</v>
      </c>
      <c r="DV32" s="49">
        <v>9.51</v>
      </c>
      <c r="DW32" s="49">
        <v>8.18</v>
      </c>
      <c r="DX32" s="49">
        <v>5.05</v>
      </c>
      <c r="DY32" s="49">
        <v>4.76</v>
      </c>
      <c r="DZ32" s="49">
        <v>8.7200000000000006</v>
      </c>
      <c r="EA32" s="49">
        <v>7.6</v>
      </c>
      <c r="EB32" s="49">
        <v>41.74</v>
      </c>
      <c r="EC32" s="49">
        <v>40.01</v>
      </c>
      <c r="ED32" s="49">
        <v>33.049999999999997</v>
      </c>
      <c r="EE32" s="49">
        <v>34.54</v>
      </c>
      <c r="EF32" s="50">
        <v>48.54</v>
      </c>
      <c r="EG32" s="50">
        <v>50.42</v>
      </c>
      <c r="EH32" s="50">
        <v>48.72</v>
      </c>
      <c r="EI32" s="50">
        <v>49.68</v>
      </c>
      <c r="EJ32" s="49">
        <v>6.9</v>
      </c>
      <c r="EK32" s="49">
        <v>58.798000000000002</v>
      </c>
      <c r="EL32" s="50">
        <v>2.25</v>
      </c>
      <c r="EM32" s="50">
        <v>1.55</v>
      </c>
      <c r="EN32" s="49">
        <v>1.21</v>
      </c>
      <c r="EO32" s="49">
        <v>1.21</v>
      </c>
      <c r="EP32" s="49">
        <v>-102.426</v>
      </c>
      <c r="EQ32" s="50">
        <v>-1.0549999999999999</v>
      </c>
      <c r="ER32" s="49">
        <v>135.262</v>
      </c>
      <c r="ES32" s="49">
        <v>1.4730000000000001</v>
      </c>
      <c r="ET32" s="49">
        <v>1.4970000000000001</v>
      </c>
      <c r="EU32" s="49">
        <v>1.448</v>
      </c>
      <c r="EV32" s="50">
        <v>7.8049999999999997</v>
      </c>
      <c r="EW32" s="50">
        <v>2.536</v>
      </c>
      <c r="EX32" s="49">
        <v>-348.8</v>
      </c>
      <c r="EY32" s="50">
        <v>1.5209999999999999</v>
      </c>
      <c r="EZ32" s="49">
        <v>0</v>
      </c>
      <c r="FA32" s="50">
        <v>0</v>
      </c>
      <c r="FB32" s="49">
        <v>8.327</v>
      </c>
      <c r="FC32" s="49">
        <v>69.340999999999994</v>
      </c>
      <c r="FD32" s="49">
        <v>66.683999999999997</v>
      </c>
      <c r="FE32" s="49">
        <v>75.590999999999994</v>
      </c>
      <c r="FF32" s="49">
        <v>75.03</v>
      </c>
      <c r="FG32" s="50">
        <v>0.95</v>
      </c>
      <c r="FH32" s="50">
        <v>0.95099999999999996</v>
      </c>
      <c r="FI32" s="50">
        <v>0.997</v>
      </c>
      <c r="FJ32" s="49">
        <v>1</v>
      </c>
      <c r="FK32" s="50">
        <v>0.10199999999999999</v>
      </c>
      <c r="FL32" s="50">
        <v>85</v>
      </c>
      <c r="FM32" s="49">
        <v>3.41</v>
      </c>
      <c r="FN32" s="49">
        <v>-0.84</v>
      </c>
      <c r="FO32" s="50">
        <v>5.36</v>
      </c>
      <c r="FP32" s="49">
        <v>4.1500000000000004</v>
      </c>
      <c r="FQ32" s="50">
        <v>0.6</v>
      </c>
      <c r="FR32" s="49">
        <v>5.15</v>
      </c>
      <c r="FS32" s="49">
        <v>6.5810000000000004</v>
      </c>
      <c r="FT32" s="50">
        <v>1083.9000000000001</v>
      </c>
      <c r="FU32" s="50">
        <v>7.29</v>
      </c>
      <c r="FV32" s="49">
        <v>5.65</v>
      </c>
      <c r="FW32" s="49">
        <v>3298</v>
      </c>
      <c r="FX32" s="50">
        <v>174700</v>
      </c>
      <c r="FY32" s="50">
        <v>177600</v>
      </c>
      <c r="FZ32" s="50">
        <v>49.188000000000002</v>
      </c>
      <c r="GA32" s="50">
        <v>48.18</v>
      </c>
      <c r="GB32" s="49">
        <v>2179.4</v>
      </c>
      <c r="GC32" s="49">
        <v>2204.9</v>
      </c>
      <c r="GD32" s="49">
        <v>2223.5</v>
      </c>
      <c r="GE32" s="49">
        <v>2257.6999999999998</v>
      </c>
      <c r="GF32" s="50">
        <v>1454.1405999999999</v>
      </c>
      <c r="GG32" s="50">
        <v>37</v>
      </c>
      <c r="GH32" s="50">
        <v>36.6</v>
      </c>
      <c r="GI32" s="50">
        <v>56.1</v>
      </c>
      <c r="GJ32" s="50">
        <v>60.3</v>
      </c>
      <c r="GK32" s="50">
        <v>97</v>
      </c>
      <c r="GL32" s="50">
        <v>86.3</v>
      </c>
      <c r="GM32" s="50">
        <v>0</v>
      </c>
      <c r="GN32" s="49">
        <v>27.024999999999999</v>
      </c>
      <c r="GO32" s="49">
        <v>135.262</v>
      </c>
      <c r="GP32" s="50">
        <v>0</v>
      </c>
      <c r="GQ32" s="50">
        <v>4.0119999999999996</v>
      </c>
      <c r="GR32" s="50">
        <v>0</v>
      </c>
      <c r="GS32" s="50">
        <v>4.5430000000000001</v>
      </c>
      <c r="GT32" s="50">
        <v>0</v>
      </c>
      <c r="GU32" s="50">
        <v>4.4249999999999998</v>
      </c>
      <c r="GV32" s="50">
        <v>0</v>
      </c>
      <c r="GW32" s="49">
        <v>12.914999999999999</v>
      </c>
      <c r="GX32" s="50">
        <v>22.05</v>
      </c>
      <c r="GY32" s="50">
        <v>0</v>
      </c>
      <c r="GZ32" s="50">
        <v>0</v>
      </c>
      <c r="HA32" s="50">
        <v>0</v>
      </c>
      <c r="HB32" s="50">
        <v>1</v>
      </c>
      <c r="HC32" s="50">
        <v>25.673999999999999</v>
      </c>
      <c r="HD32" s="50">
        <v>90</v>
      </c>
      <c r="HE32" s="50">
        <v>0</v>
      </c>
      <c r="HF32" s="50">
        <v>0</v>
      </c>
      <c r="HG32" s="50">
        <v>91.48</v>
      </c>
      <c r="HH32" s="49">
        <v>82.85</v>
      </c>
      <c r="HI32" s="50">
        <v>0</v>
      </c>
      <c r="HJ32" s="50">
        <v>0</v>
      </c>
      <c r="HK32" s="50">
        <v>0</v>
      </c>
      <c r="HL32" s="50">
        <v>69</v>
      </c>
      <c r="HM32" s="50">
        <v>56</v>
      </c>
      <c r="HN32" s="49">
        <v>69</v>
      </c>
      <c r="HO32" s="49">
        <v>62</v>
      </c>
      <c r="HP32" s="49">
        <v>65</v>
      </c>
      <c r="HQ32" s="49">
        <v>63</v>
      </c>
      <c r="HR32" s="50">
        <v>55</v>
      </c>
      <c r="HS32" s="50">
        <v>70</v>
      </c>
      <c r="HT32" s="49">
        <v>-1.3109999999999999</v>
      </c>
      <c r="HU32" s="50">
        <v>0</v>
      </c>
      <c r="HV32" s="49">
        <v>-0.498</v>
      </c>
      <c r="HW32" s="49">
        <v>36.979999999999997</v>
      </c>
      <c r="HX32" s="49">
        <v>52.01</v>
      </c>
      <c r="HY32" s="3"/>
      <c r="HZ32" s="3"/>
      <c r="IA32" s="49">
        <v>2.5259999999999998</v>
      </c>
      <c r="IB32" s="49">
        <v>101</v>
      </c>
      <c r="IC32" s="49">
        <v>20.016999999999999</v>
      </c>
      <c r="ID32" s="50">
        <v>-0.189</v>
      </c>
      <c r="IE32" s="50">
        <v>-6.0999999999999999E-2</v>
      </c>
      <c r="IF32" s="49">
        <v>822</v>
      </c>
      <c r="IG32" s="49">
        <v>722.3</v>
      </c>
      <c r="IH32" s="49">
        <v>825</v>
      </c>
      <c r="II32" s="49">
        <v>735.8</v>
      </c>
      <c r="IJ32" s="50">
        <v>-3.9E-2</v>
      </c>
      <c r="IK32" s="50">
        <v>-0.11899999999999999</v>
      </c>
      <c r="IL32" s="50">
        <v>107.622</v>
      </c>
      <c r="IM32" s="50">
        <v>107.483</v>
      </c>
      <c r="IN32" s="49">
        <v>13.871</v>
      </c>
      <c r="IO32" s="49">
        <v>0.48799999999999999</v>
      </c>
      <c r="IP32" s="50">
        <v>10.42</v>
      </c>
      <c r="IQ32" s="49">
        <v>8.9999999999999993E-3</v>
      </c>
      <c r="IR32" s="50">
        <v>0.01</v>
      </c>
      <c r="IS32">
        <v>0.31900000000000006</v>
      </c>
      <c r="IT32">
        <v>0.18500000000000005</v>
      </c>
    </row>
    <row r="33" spans="2:254" x14ac:dyDescent="0.25">
      <c r="B33" s="2" t="s">
        <v>412</v>
      </c>
      <c r="C33" s="2" t="s">
        <v>42</v>
      </c>
      <c r="D33" s="61">
        <v>2.5643518518518519E-3</v>
      </c>
      <c r="E33" s="49">
        <v>221.6</v>
      </c>
      <c r="F33" s="50">
        <v>330.45</v>
      </c>
      <c r="G33" s="49">
        <v>5.72</v>
      </c>
      <c r="H33" s="50">
        <v>29.5</v>
      </c>
      <c r="I33" s="49">
        <v>0</v>
      </c>
      <c r="J33" s="49">
        <v>14.8</v>
      </c>
      <c r="K33" s="50">
        <v>10</v>
      </c>
      <c r="L33" s="50">
        <v>4</v>
      </c>
      <c r="M33" s="50">
        <v>6</v>
      </c>
      <c r="N33" s="50">
        <v>3</v>
      </c>
      <c r="O33" s="50">
        <v>3</v>
      </c>
      <c r="P33" s="50">
        <v>1.141</v>
      </c>
      <c r="Q33" s="49">
        <v>1.611</v>
      </c>
      <c r="R33" s="50">
        <v>1.3120000000000001</v>
      </c>
      <c r="S33" s="50">
        <v>0.91700000000000004</v>
      </c>
      <c r="T33" s="49">
        <v>79.319999999999993</v>
      </c>
      <c r="U33" s="49">
        <v>61.079000000000001</v>
      </c>
      <c r="V33" s="49">
        <v>236.66</v>
      </c>
      <c r="W33" s="49">
        <v>236.66</v>
      </c>
      <c r="X33" s="49">
        <v>165</v>
      </c>
      <c r="Y33" s="49">
        <v>211.66</v>
      </c>
      <c r="Z33" s="49">
        <v>394.47</v>
      </c>
      <c r="AA33" s="49">
        <v>397.21</v>
      </c>
      <c r="AB33" s="49">
        <v>302.48</v>
      </c>
      <c r="AC33" s="49">
        <v>368.8</v>
      </c>
      <c r="AD33" s="49">
        <v>1.7749999999999999</v>
      </c>
      <c r="AE33" s="49">
        <v>1.849</v>
      </c>
      <c r="AF33" s="49">
        <v>1.7509999999999999</v>
      </c>
      <c r="AG33" s="49">
        <v>1.7829999999999999</v>
      </c>
      <c r="AH33" s="49">
        <v>77.86</v>
      </c>
      <c r="AI33" s="49">
        <v>76.239999999999995</v>
      </c>
      <c r="AJ33" s="49">
        <v>100</v>
      </c>
      <c r="AK33" s="49">
        <v>97.42</v>
      </c>
      <c r="AL33" s="49">
        <v>634.49</v>
      </c>
      <c r="AM33" s="49">
        <v>644.101</v>
      </c>
      <c r="AN33" s="49">
        <v>789.98</v>
      </c>
      <c r="AO33" s="49">
        <v>786.20100000000002</v>
      </c>
      <c r="AP33" s="49">
        <v>1.359</v>
      </c>
      <c r="AQ33" s="50">
        <v>1.8640000000000001</v>
      </c>
      <c r="AR33" s="49">
        <v>41.362000000000002</v>
      </c>
      <c r="AS33" s="50">
        <v>39.337000000000003</v>
      </c>
      <c r="AT33" s="49">
        <v>83</v>
      </c>
      <c r="AU33" s="49">
        <v>117</v>
      </c>
      <c r="AV33" s="49">
        <v>2.3065000000000002</v>
      </c>
      <c r="AW33" s="49">
        <v>5.2747999999999999</v>
      </c>
      <c r="AX33" s="49">
        <v>1020.6</v>
      </c>
      <c r="AY33" s="49">
        <v>2.25</v>
      </c>
      <c r="AZ33" s="50">
        <v>5.39</v>
      </c>
      <c r="BA33" s="49">
        <v>97.691000000000003</v>
      </c>
      <c r="BB33" s="49">
        <v>99.682000000000002</v>
      </c>
      <c r="BC33" s="49">
        <v>7693</v>
      </c>
      <c r="BD33" s="49">
        <v>88.75</v>
      </c>
      <c r="BE33" s="49">
        <v>15.21</v>
      </c>
      <c r="BF33" s="49">
        <v>12.845000000000001</v>
      </c>
      <c r="BG33" s="49">
        <v>29.01</v>
      </c>
      <c r="BH33" s="49">
        <v>28.08</v>
      </c>
      <c r="BI33" s="3"/>
      <c r="BJ33" s="3"/>
      <c r="BK33" s="3"/>
      <c r="BL33" s="3"/>
      <c r="BM33" s="3"/>
      <c r="BN33" s="49">
        <v>104.93600000000001</v>
      </c>
      <c r="BO33" s="49">
        <v>101.01600000000001</v>
      </c>
      <c r="BP33" s="49">
        <v>129.624</v>
      </c>
      <c r="BQ33" s="49">
        <v>133.36799999999999</v>
      </c>
      <c r="BR33" s="3"/>
      <c r="BS33" s="49">
        <v>29.1</v>
      </c>
      <c r="BT33" s="49">
        <v>7421.81</v>
      </c>
      <c r="BU33" s="49">
        <v>50.158999999999999</v>
      </c>
      <c r="BV33" s="49">
        <v>53.247</v>
      </c>
      <c r="BW33" s="49">
        <v>55.054000000000002</v>
      </c>
      <c r="BX33" s="49">
        <v>55.662999999999997</v>
      </c>
      <c r="BY33" s="49">
        <v>1.284</v>
      </c>
      <c r="BZ33" s="49">
        <v>3.1930000000000001</v>
      </c>
      <c r="CA33" s="49">
        <v>3.194</v>
      </c>
      <c r="CB33" s="49">
        <v>3.9460000000000002</v>
      </c>
      <c r="CC33" s="49">
        <v>1.0409999999999999</v>
      </c>
      <c r="CD33" s="49">
        <v>2.508</v>
      </c>
      <c r="CE33" s="49">
        <v>1.3169999999999999</v>
      </c>
      <c r="CF33" s="49">
        <v>2.1739999999999999</v>
      </c>
      <c r="CG33" s="49">
        <v>13.936999999999999</v>
      </c>
      <c r="CH33" s="49">
        <v>13.815</v>
      </c>
      <c r="CI33" s="49">
        <v>3.7709999999999999</v>
      </c>
      <c r="CJ33" s="49">
        <v>3.5779999999999998</v>
      </c>
      <c r="CK33" s="49">
        <v>1.363</v>
      </c>
      <c r="CL33" s="49">
        <v>0.1</v>
      </c>
      <c r="CM33" s="49">
        <v>0.1</v>
      </c>
      <c r="CN33" s="50">
        <v>1.2</v>
      </c>
      <c r="CO33" s="50">
        <v>1.2</v>
      </c>
      <c r="CP33" s="49">
        <v>99.71</v>
      </c>
      <c r="CQ33" s="49">
        <v>95.981999999999999</v>
      </c>
      <c r="CR33" s="49">
        <v>119.512</v>
      </c>
      <c r="CS33" s="49">
        <v>124.489</v>
      </c>
      <c r="CT33" s="49">
        <v>0.33600000000000002</v>
      </c>
      <c r="CU33" s="49">
        <v>0.89900000000000002</v>
      </c>
      <c r="CV33" s="49">
        <v>1.2969999999999999</v>
      </c>
      <c r="CW33" s="49">
        <v>0.89800000000000002</v>
      </c>
      <c r="CX33" s="49">
        <v>1.401</v>
      </c>
      <c r="CY33" s="49">
        <v>0.39700000000000002</v>
      </c>
      <c r="CZ33" s="49">
        <v>0.79700000000000004</v>
      </c>
      <c r="DA33" s="49">
        <v>1.1950000000000001</v>
      </c>
      <c r="DB33" s="49">
        <v>1.794</v>
      </c>
      <c r="DC33" s="49">
        <v>0</v>
      </c>
      <c r="DD33" s="50">
        <v>0</v>
      </c>
      <c r="DE33" s="50">
        <v>0.36499999999999999</v>
      </c>
      <c r="DF33" s="49">
        <v>0.14699999999999999</v>
      </c>
      <c r="DG33" s="49">
        <v>0.11</v>
      </c>
      <c r="DH33" s="49">
        <v>1.875</v>
      </c>
      <c r="DI33" s="49">
        <v>1.25</v>
      </c>
      <c r="DJ33" s="50">
        <v>0.38500000000000001</v>
      </c>
      <c r="DK33" s="49">
        <v>1.2789999999999999</v>
      </c>
      <c r="DL33" s="49">
        <v>0.39700000000000002</v>
      </c>
      <c r="DM33" s="49">
        <v>0.438</v>
      </c>
      <c r="DN33" s="49">
        <v>0.36199999999999999</v>
      </c>
      <c r="DO33" s="49">
        <v>0.28299999999999997</v>
      </c>
      <c r="DP33" s="49">
        <v>65.983999999999995</v>
      </c>
      <c r="DQ33" s="49">
        <v>59.439</v>
      </c>
      <c r="DR33" s="49">
        <v>53.091000000000001</v>
      </c>
      <c r="DS33" s="49">
        <v>51.776000000000003</v>
      </c>
      <c r="DT33" s="49">
        <v>5.95</v>
      </c>
      <c r="DU33" s="49">
        <v>5.77</v>
      </c>
      <c r="DV33" s="49">
        <v>11.98</v>
      </c>
      <c r="DW33" s="49">
        <v>9.9499999999999993</v>
      </c>
      <c r="DX33" s="49">
        <v>6.22</v>
      </c>
      <c r="DY33" s="49">
        <v>5.68</v>
      </c>
      <c r="DZ33" s="49">
        <v>11.19</v>
      </c>
      <c r="EA33" s="49">
        <v>9.66</v>
      </c>
      <c r="EB33" s="49">
        <v>42.72</v>
      </c>
      <c r="EC33" s="49">
        <v>41.71</v>
      </c>
      <c r="ED33" s="49">
        <v>32.71</v>
      </c>
      <c r="EE33" s="49">
        <v>35.96</v>
      </c>
      <c r="EF33" s="49">
        <v>45.11</v>
      </c>
      <c r="EG33" s="49">
        <v>46.83</v>
      </c>
      <c r="EH33" s="49">
        <v>44.11</v>
      </c>
      <c r="EI33" s="49">
        <v>44.42</v>
      </c>
      <c r="EJ33" s="49">
        <v>6.976</v>
      </c>
      <c r="EK33" s="49">
        <v>59.252000000000002</v>
      </c>
      <c r="EL33" s="49">
        <v>2.0499999999999998</v>
      </c>
      <c r="EM33" s="49">
        <v>1.65</v>
      </c>
      <c r="EN33" s="50">
        <v>1.22</v>
      </c>
      <c r="EO33" s="50">
        <v>1.23</v>
      </c>
      <c r="EP33" s="49">
        <v>-101.258</v>
      </c>
      <c r="EQ33" s="49">
        <v>-2.512</v>
      </c>
      <c r="ER33" s="49">
        <v>106.646</v>
      </c>
      <c r="ES33" s="50">
        <v>1.6</v>
      </c>
      <c r="ET33" s="49">
        <v>1.639</v>
      </c>
      <c r="EU33" s="50">
        <v>1.573</v>
      </c>
      <c r="EV33" s="49">
        <v>7.4470000000000001</v>
      </c>
      <c r="EW33" s="49">
        <v>2.2669999999999999</v>
      </c>
      <c r="EX33" s="49">
        <v>72</v>
      </c>
      <c r="EY33" s="49">
        <v>0</v>
      </c>
      <c r="EZ33" s="50">
        <v>2.7280000000000002</v>
      </c>
      <c r="FA33" s="50">
        <v>0</v>
      </c>
      <c r="FB33" s="49">
        <v>9.16</v>
      </c>
      <c r="FC33" s="49">
        <v>68.625</v>
      </c>
      <c r="FD33" s="49">
        <v>65.256</v>
      </c>
      <c r="FE33" s="49">
        <v>76.87</v>
      </c>
      <c r="FF33" s="49">
        <v>75.978999999999999</v>
      </c>
      <c r="FG33" s="49">
        <v>0.93400000000000005</v>
      </c>
      <c r="FH33" s="49">
        <v>0.93500000000000005</v>
      </c>
      <c r="FI33" s="49">
        <v>0.99099999999999999</v>
      </c>
      <c r="FJ33" s="49">
        <v>0.995</v>
      </c>
      <c r="FK33" s="49">
        <v>0</v>
      </c>
      <c r="FL33" s="49">
        <v>83</v>
      </c>
      <c r="FM33" s="49">
        <v>3.53</v>
      </c>
      <c r="FN33" s="50">
        <v>-0.89</v>
      </c>
      <c r="FO33" s="49">
        <v>5.41</v>
      </c>
      <c r="FP33" s="49">
        <v>4.2</v>
      </c>
      <c r="FQ33" s="49">
        <v>4.45</v>
      </c>
      <c r="FR33" s="49">
        <v>5.0999999999999996</v>
      </c>
      <c r="FS33" s="49">
        <v>6.7859999999999996</v>
      </c>
      <c r="FT33" s="49">
        <v>1077.4000000000001</v>
      </c>
      <c r="FU33" s="49">
        <v>6.65</v>
      </c>
      <c r="FV33" s="49">
        <v>11.37</v>
      </c>
      <c r="FW33" s="50">
        <v>3299</v>
      </c>
      <c r="FX33" s="49">
        <v>173200</v>
      </c>
      <c r="FY33" s="49">
        <v>174400</v>
      </c>
      <c r="FZ33" s="49">
        <v>48.707999999999998</v>
      </c>
      <c r="GA33" s="49">
        <v>47.783999999999999</v>
      </c>
      <c r="GB33" s="49">
        <v>2176.3000000000002</v>
      </c>
      <c r="GC33" s="49">
        <v>2176.6999999999998</v>
      </c>
      <c r="GD33" s="49">
        <v>2189.4</v>
      </c>
      <c r="GE33" s="49">
        <v>2276.4</v>
      </c>
      <c r="GF33" s="49">
        <v>1273.0469000000001</v>
      </c>
      <c r="GG33" s="49">
        <v>26</v>
      </c>
      <c r="GH33" s="49">
        <v>26.3</v>
      </c>
      <c r="GI33" s="49">
        <v>48.8</v>
      </c>
      <c r="GJ33" s="49">
        <v>54.3</v>
      </c>
      <c r="GK33" s="49">
        <v>99.5</v>
      </c>
      <c r="GL33" s="49">
        <v>76.2</v>
      </c>
      <c r="GM33" s="50">
        <v>0</v>
      </c>
      <c r="GN33" s="49">
        <v>26.074999999999999</v>
      </c>
      <c r="GO33" s="49">
        <v>106.646</v>
      </c>
      <c r="GP33" s="49">
        <v>1.121</v>
      </c>
      <c r="GQ33" s="49">
        <v>1.9470000000000001</v>
      </c>
      <c r="GR33" s="49">
        <v>1.298</v>
      </c>
      <c r="GS33" s="49">
        <v>2.0059999999999998</v>
      </c>
      <c r="GT33" s="49">
        <v>1.0620000000000001</v>
      </c>
      <c r="GU33" s="49">
        <v>1.8879999999999999</v>
      </c>
      <c r="GV33" s="49">
        <v>12.544</v>
      </c>
      <c r="GW33" s="50">
        <v>14.058999999999999</v>
      </c>
      <c r="GX33" s="49">
        <v>15.385999999999999</v>
      </c>
      <c r="GY33" s="50">
        <v>0</v>
      </c>
      <c r="GZ33" s="50">
        <v>0</v>
      </c>
      <c r="HA33" s="50">
        <v>0</v>
      </c>
      <c r="HB33" s="49">
        <v>0</v>
      </c>
      <c r="HC33" s="49">
        <v>23.475999999999999</v>
      </c>
      <c r="HD33" s="49">
        <v>82</v>
      </c>
      <c r="HE33" s="50">
        <v>0</v>
      </c>
      <c r="HF33" s="50">
        <v>0</v>
      </c>
      <c r="HG33" s="49">
        <v>85.27</v>
      </c>
      <c r="HH33" s="49">
        <v>82.85</v>
      </c>
      <c r="HI33" s="50">
        <v>0</v>
      </c>
      <c r="HJ33" s="50">
        <v>0</v>
      </c>
      <c r="HK33" s="50">
        <v>0</v>
      </c>
      <c r="HL33" s="49">
        <v>63</v>
      </c>
      <c r="HM33" s="50">
        <v>56</v>
      </c>
      <c r="HN33" s="49">
        <v>69</v>
      </c>
      <c r="HO33" s="49">
        <v>63</v>
      </c>
      <c r="HP33" s="49">
        <v>66</v>
      </c>
      <c r="HQ33" s="49">
        <v>63</v>
      </c>
      <c r="HR33" s="50">
        <v>55</v>
      </c>
      <c r="HS33" s="50">
        <v>70</v>
      </c>
      <c r="HT33" s="49">
        <v>-1.31</v>
      </c>
      <c r="HU33" s="50">
        <v>0</v>
      </c>
      <c r="HV33" s="49">
        <v>1.7999999999999999E-2</v>
      </c>
      <c r="HW33" s="49">
        <v>36.979999999999997</v>
      </c>
      <c r="HX33" s="49">
        <v>50.78</v>
      </c>
      <c r="HY33" s="49">
        <v>52.11</v>
      </c>
      <c r="HZ33" s="49">
        <v>64.19</v>
      </c>
      <c r="IA33" s="49">
        <v>2.5209999999999999</v>
      </c>
      <c r="IB33" s="50">
        <v>104</v>
      </c>
      <c r="IC33" s="49">
        <v>22.327000000000002</v>
      </c>
      <c r="ID33" s="49">
        <v>-0.26900000000000002</v>
      </c>
      <c r="IE33" s="49">
        <v>-0.10100000000000001</v>
      </c>
      <c r="IF33" s="49">
        <v>818.3</v>
      </c>
      <c r="IG33" s="49">
        <v>768.4</v>
      </c>
      <c r="IH33" s="49">
        <v>829.3</v>
      </c>
      <c r="II33" s="49">
        <v>780.3</v>
      </c>
      <c r="IJ33" s="49">
        <v>-6.3E-2</v>
      </c>
      <c r="IK33" s="49">
        <v>-0.18</v>
      </c>
      <c r="IL33" s="49">
        <v>77.968000000000004</v>
      </c>
      <c r="IM33" s="49">
        <v>77.968000000000004</v>
      </c>
      <c r="IN33" s="49">
        <v>11.981</v>
      </c>
      <c r="IO33" s="49">
        <v>0.51300000000000001</v>
      </c>
      <c r="IP33" s="49">
        <v>10.39</v>
      </c>
      <c r="IQ33" s="49">
        <v>1.0999999999999999E-2</v>
      </c>
      <c r="IR33" s="50">
        <v>0.01</v>
      </c>
      <c r="IS33">
        <v>0.33000000000000007</v>
      </c>
      <c r="IT33">
        <v>0.19500000000000006</v>
      </c>
    </row>
    <row r="34" spans="2:254" x14ac:dyDescent="0.25">
      <c r="B34" s="2" t="s">
        <v>412</v>
      </c>
      <c r="C34" s="2" t="s">
        <v>43</v>
      </c>
      <c r="D34" s="61">
        <v>2.4874999999999997E-3</v>
      </c>
      <c r="E34" s="49">
        <v>214.96</v>
      </c>
      <c r="F34" s="49">
        <v>327.96</v>
      </c>
      <c r="G34" s="49">
        <v>5.86</v>
      </c>
      <c r="H34" s="50">
        <v>29.5</v>
      </c>
      <c r="I34" s="49">
        <v>0</v>
      </c>
      <c r="J34" s="49">
        <v>12.6</v>
      </c>
      <c r="K34" s="50">
        <v>10</v>
      </c>
      <c r="L34" s="50">
        <v>4</v>
      </c>
      <c r="M34" s="50">
        <v>6</v>
      </c>
      <c r="N34" s="50">
        <v>3</v>
      </c>
      <c r="O34" s="50">
        <v>3</v>
      </c>
      <c r="P34" s="49">
        <v>1.0269999999999999</v>
      </c>
      <c r="Q34" s="50">
        <v>1.897</v>
      </c>
      <c r="R34" s="49">
        <v>0.93400000000000005</v>
      </c>
      <c r="S34" s="49">
        <v>0.66600000000000004</v>
      </c>
      <c r="T34" s="50">
        <v>89.89</v>
      </c>
      <c r="U34" s="49">
        <v>61.109000000000002</v>
      </c>
      <c r="V34" s="49">
        <v>255</v>
      </c>
      <c r="W34" s="49">
        <v>260</v>
      </c>
      <c r="X34" s="49">
        <v>180</v>
      </c>
      <c r="Y34" s="49">
        <v>230</v>
      </c>
      <c r="Z34" s="49">
        <v>405.99</v>
      </c>
      <c r="AA34" s="49">
        <v>412.93</v>
      </c>
      <c r="AB34" s="49">
        <v>310.12</v>
      </c>
      <c r="AC34" s="49">
        <v>376.61</v>
      </c>
      <c r="AD34" s="49">
        <v>1.8080000000000001</v>
      </c>
      <c r="AE34" s="49">
        <v>1.8779999999999999</v>
      </c>
      <c r="AF34" s="49">
        <v>1.7929999999999999</v>
      </c>
      <c r="AG34" s="49">
        <v>1.8220000000000001</v>
      </c>
      <c r="AH34" s="49">
        <v>83.31</v>
      </c>
      <c r="AI34" s="50">
        <v>81.069999999999993</v>
      </c>
      <c r="AJ34" s="49">
        <v>105.4</v>
      </c>
      <c r="AK34" s="49">
        <v>102.46</v>
      </c>
      <c r="AL34" s="49">
        <v>663.43700000000001</v>
      </c>
      <c r="AM34" s="49">
        <v>647.87099999999998</v>
      </c>
      <c r="AN34" s="49">
        <v>791.25599999999997</v>
      </c>
      <c r="AO34" s="49">
        <v>812.08500000000004</v>
      </c>
      <c r="AP34" s="49">
        <v>1.369</v>
      </c>
      <c r="AQ34" s="49">
        <v>1.8320000000000001</v>
      </c>
      <c r="AR34" s="49">
        <v>40.994999999999997</v>
      </c>
      <c r="AS34" s="49">
        <v>38.807000000000002</v>
      </c>
      <c r="AT34" s="49">
        <v>83</v>
      </c>
      <c r="AU34" s="49">
        <v>119</v>
      </c>
      <c r="AV34" s="49">
        <v>2.177</v>
      </c>
      <c r="AW34" s="50">
        <v>5.3071000000000002</v>
      </c>
      <c r="AX34" s="49">
        <v>1015.4</v>
      </c>
      <c r="AY34" s="49">
        <v>2.27</v>
      </c>
      <c r="AZ34" s="49">
        <v>5.73</v>
      </c>
      <c r="BA34" s="49">
        <v>124.22</v>
      </c>
      <c r="BB34" s="49">
        <v>122.114</v>
      </c>
      <c r="BC34" s="50">
        <v>7756</v>
      </c>
      <c r="BD34" s="49">
        <v>89.5</v>
      </c>
      <c r="BE34" s="49">
        <v>16.36</v>
      </c>
      <c r="BF34" s="50">
        <v>14.4</v>
      </c>
      <c r="BG34" s="49">
        <v>28.8</v>
      </c>
      <c r="BH34" s="49">
        <v>28.86</v>
      </c>
      <c r="BI34" s="3"/>
      <c r="BJ34" s="3"/>
      <c r="BK34" s="3"/>
      <c r="BL34" s="3"/>
      <c r="BM34" s="3"/>
      <c r="BN34" s="49">
        <v>108.312</v>
      </c>
      <c r="BO34" s="49">
        <v>104.072</v>
      </c>
      <c r="BP34" s="49">
        <v>131.864</v>
      </c>
      <c r="BQ34" s="49">
        <v>135.68799999999999</v>
      </c>
      <c r="BR34" s="3"/>
      <c r="BS34" s="50">
        <v>29.2</v>
      </c>
      <c r="BT34" s="50">
        <v>7452.2489999999998</v>
      </c>
      <c r="BU34" s="49">
        <v>50.72</v>
      </c>
      <c r="BV34" s="49">
        <v>55.371000000000002</v>
      </c>
      <c r="BW34" s="49">
        <v>55.524999999999999</v>
      </c>
      <c r="BX34" s="49">
        <v>55.701999999999998</v>
      </c>
      <c r="BY34" s="49">
        <v>1.35</v>
      </c>
      <c r="BZ34" s="49">
        <v>3.1659999999999999</v>
      </c>
      <c r="CA34" s="49">
        <v>3.4039999999999999</v>
      </c>
      <c r="CB34" s="49">
        <v>3.548</v>
      </c>
      <c r="CC34" s="49">
        <v>1.173</v>
      </c>
      <c r="CD34" s="49">
        <v>2.4769999999999999</v>
      </c>
      <c r="CE34" s="49">
        <v>1.238</v>
      </c>
      <c r="CF34" s="49">
        <v>2.097</v>
      </c>
      <c r="CG34" s="49">
        <v>13.93</v>
      </c>
      <c r="CH34" s="49">
        <v>13.788</v>
      </c>
      <c r="CI34" s="49">
        <v>3.5990000000000002</v>
      </c>
      <c r="CJ34" s="49">
        <v>3.504</v>
      </c>
      <c r="CK34" s="49">
        <v>1.4650000000000001</v>
      </c>
      <c r="CL34" s="49">
        <v>0.1</v>
      </c>
      <c r="CM34" s="49">
        <v>0.7</v>
      </c>
      <c r="CN34" s="49">
        <v>0</v>
      </c>
      <c r="CO34" s="49">
        <v>0</v>
      </c>
      <c r="CP34" s="49">
        <v>102.26</v>
      </c>
      <c r="CQ34" s="49">
        <v>99.936000000000007</v>
      </c>
      <c r="CR34" s="49">
        <v>124.529</v>
      </c>
      <c r="CS34" s="49">
        <v>130.33799999999999</v>
      </c>
      <c r="CT34" s="49">
        <v>0.35499999999999998</v>
      </c>
      <c r="CU34" s="49">
        <v>0.90200000000000002</v>
      </c>
      <c r="CV34" s="49">
        <v>1.2969999999999999</v>
      </c>
      <c r="CW34" s="49">
        <v>0.498</v>
      </c>
      <c r="CX34" s="49">
        <v>1.5940000000000001</v>
      </c>
      <c r="CY34" s="49">
        <v>0.6</v>
      </c>
      <c r="CZ34" s="49">
        <v>0.998</v>
      </c>
      <c r="DA34" s="49">
        <v>0.60299999999999998</v>
      </c>
      <c r="DB34" s="49">
        <v>1.496</v>
      </c>
      <c r="DC34" s="49">
        <v>0</v>
      </c>
      <c r="DD34" s="50">
        <v>0</v>
      </c>
      <c r="DE34" s="49">
        <v>0.34</v>
      </c>
      <c r="DF34" s="49">
        <v>0.14599999999999999</v>
      </c>
      <c r="DG34" s="49">
        <v>0.71</v>
      </c>
      <c r="DH34" s="49">
        <v>1.8460000000000001</v>
      </c>
      <c r="DI34" s="50">
        <v>1.319</v>
      </c>
      <c r="DJ34" s="49">
        <v>0.29599999999999999</v>
      </c>
      <c r="DK34" s="49">
        <v>1.238</v>
      </c>
      <c r="DL34" s="49">
        <v>0.40799999999999997</v>
      </c>
      <c r="DM34" s="49">
        <v>0.45400000000000001</v>
      </c>
      <c r="DN34" s="50">
        <v>0.51400000000000001</v>
      </c>
      <c r="DO34" s="49">
        <v>0.308</v>
      </c>
      <c r="DP34" s="49">
        <v>64.822000000000003</v>
      </c>
      <c r="DQ34" s="49">
        <v>57.115000000000002</v>
      </c>
      <c r="DR34" s="49">
        <v>52.918999999999997</v>
      </c>
      <c r="DS34" s="49">
        <v>51.231000000000002</v>
      </c>
      <c r="DT34" s="49">
        <v>6.77</v>
      </c>
      <c r="DU34" s="49">
        <v>6.15</v>
      </c>
      <c r="DV34" s="49">
        <v>12.9</v>
      </c>
      <c r="DW34" s="49">
        <v>10.7</v>
      </c>
      <c r="DX34" s="49">
        <v>6.97</v>
      </c>
      <c r="DY34" s="49">
        <v>6.34</v>
      </c>
      <c r="DZ34" s="49">
        <v>12.03</v>
      </c>
      <c r="EA34" s="49">
        <v>10.56</v>
      </c>
      <c r="EB34" s="49">
        <v>41.88</v>
      </c>
      <c r="EC34" s="49">
        <v>41.76</v>
      </c>
      <c r="ED34" s="49">
        <v>32.590000000000003</v>
      </c>
      <c r="EE34" s="49">
        <v>35.340000000000003</v>
      </c>
      <c r="EF34" s="49">
        <v>44.38</v>
      </c>
      <c r="EG34" s="49">
        <v>45.74</v>
      </c>
      <c r="EH34" s="49">
        <v>42.48</v>
      </c>
      <c r="EI34" s="49">
        <v>43.39</v>
      </c>
      <c r="EJ34" s="49">
        <v>7.2939999999999996</v>
      </c>
      <c r="EK34" s="49">
        <v>59.732999999999997</v>
      </c>
      <c r="EL34" s="49">
        <v>2.0499999999999998</v>
      </c>
      <c r="EM34" s="49">
        <v>1.6</v>
      </c>
      <c r="EN34" s="49">
        <v>1.2</v>
      </c>
      <c r="EO34" s="49">
        <v>1.21</v>
      </c>
      <c r="EP34" s="50">
        <v>-108.55800000000001</v>
      </c>
      <c r="EQ34" s="49">
        <v>-3.1680000000000001</v>
      </c>
      <c r="ER34" s="49">
        <v>121.83</v>
      </c>
      <c r="ES34" s="49">
        <v>1.5680000000000001</v>
      </c>
      <c r="ET34" s="49">
        <v>1.643</v>
      </c>
      <c r="EU34" s="49">
        <v>1.5169999999999999</v>
      </c>
      <c r="EV34" s="49">
        <v>7.6319999999999997</v>
      </c>
      <c r="EW34" s="49">
        <v>2.359</v>
      </c>
      <c r="EX34" s="49">
        <v>73.98</v>
      </c>
      <c r="EY34" s="49">
        <v>0.02</v>
      </c>
      <c r="EZ34" s="49">
        <v>0.72</v>
      </c>
      <c r="FA34" s="50">
        <v>0</v>
      </c>
      <c r="FB34" s="49">
        <v>9.1259999999999994</v>
      </c>
      <c r="FC34" s="49">
        <v>72.745000000000005</v>
      </c>
      <c r="FD34" s="49">
        <v>68.807000000000002</v>
      </c>
      <c r="FE34" s="49">
        <v>81.69</v>
      </c>
      <c r="FF34" s="49">
        <v>80.543999999999997</v>
      </c>
      <c r="FG34" s="49">
        <v>0.93300000000000005</v>
      </c>
      <c r="FH34" s="49">
        <v>0.93400000000000005</v>
      </c>
      <c r="FI34" s="49">
        <v>0.98799999999999999</v>
      </c>
      <c r="FJ34" s="49">
        <v>0.99299999999999999</v>
      </c>
      <c r="FK34" s="49">
        <v>0</v>
      </c>
      <c r="FL34" s="49">
        <v>83</v>
      </c>
      <c r="FM34" s="50">
        <v>3.64</v>
      </c>
      <c r="FN34" s="49">
        <v>-0.56000000000000005</v>
      </c>
      <c r="FO34" s="49">
        <v>5.48</v>
      </c>
      <c r="FP34" s="3"/>
      <c r="FQ34" s="49">
        <v>4.6500000000000004</v>
      </c>
      <c r="FR34" s="49">
        <v>5.15</v>
      </c>
      <c r="FS34" s="49">
        <v>6.7915000000000001</v>
      </c>
      <c r="FT34" s="49">
        <v>1069.4000000000001</v>
      </c>
      <c r="FU34" s="49">
        <v>6.58</v>
      </c>
      <c r="FV34" s="49">
        <v>17.22</v>
      </c>
      <c r="FW34" s="49">
        <v>3075</v>
      </c>
      <c r="FX34" s="49">
        <v>165600</v>
      </c>
      <c r="FY34" s="49">
        <v>167400</v>
      </c>
      <c r="FZ34" s="49">
        <v>48.27</v>
      </c>
      <c r="GA34" s="49">
        <v>47.232999999999997</v>
      </c>
      <c r="GB34" s="50">
        <v>2250.8000000000002</v>
      </c>
      <c r="GC34" s="50">
        <v>2386</v>
      </c>
      <c r="GD34" s="49">
        <v>2250.8000000000002</v>
      </c>
      <c r="GE34" s="50">
        <v>2386</v>
      </c>
      <c r="GF34" s="49">
        <v>1342.9688000000001</v>
      </c>
      <c r="GG34" s="49">
        <v>27</v>
      </c>
      <c r="GH34" s="49">
        <v>27</v>
      </c>
      <c r="GI34" s="49">
        <v>47.6</v>
      </c>
      <c r="GJ34" s="49">
        <v>52.6</v>
      </c>
      <c r="GK34" s="49">
        <v>99.5</v>
      </c>
      <c r="GL34" s="49">
        <v>77.400000000000006</v>
      </c>
      <c r="GM34" s="50">
        <v>0</v>
      </c>
      <c r="GN34" s="49">
        <v>26.870999999999999</v>
      </c>
      <c r="GO34" s="49">
        <v>121.83</v>
      </c>
      <c r="GP34" s="49">
        <v>1.0029999999999999</v>
      </c>
      <c r="GQ34" s="49">
        <v>1.9470000000000001</v>
      </c>
      <c r="GR34" s="49">
        <v>1.298</v>
      </c>
      <c r="GS34" s="49">
        <v>2.0059999999999998</v>
      </c>
      <c r="GT34" s="49">
        <v>0.94399999999999995</v>
      </c>
      <c r="GU34" s="49">
        <v>1.8879999999999999</v>
      </c>
      <c r="GV34" s="49">
        <v>13.034000000000001</v>
      </c>
      <c r="GW34" s="49">
        <v>14.044</v>
      </c>
      <c r="GX34" s="49">
        <v>15.385999999999999</v>
      </c>
      <c r="GY34" s="50">
        <v>0</v>
      </c>
      <c r="GZ34" s="50">
        <v>0</v>
      </c>
      <c r="HA34" s="50">
        <v>0</v>
      </c>
      <c r="HB34" s="49">
        <v>0</v>
      </c>
      <c r="HC34" s="49">
        <v>23.616</v>
      </c>
      <c r="HD34" s="49">
        <v>82</v>
      </c>
      <c r="HE34" s="50">
        <v>0</v>
      </c>
      <c r="HF34" s="50">
        <v>0</v>
      </c>
      <c r="HG34" s="49">
        <v>72.33</v>
      </c>
      <c r="HH34" s="49">
        <v>82.91</v>
      </c>
      <c r="HI34" s="50">
        <v>0</v>
      </c>
      <c r="HJ34" s="50">
        <v>0</v>
      </c>
      <c r="HK34" s="50">
        <v>0</v>
      </c>
      <c r="HL34" s="49">
        <v>63</v>
      </c>
      <c r="HM34" s="49">
        <v>55</v>
      </c>
      <c r="HN34" s="49">
        <v>69</v>
      </c>
      <c r="HO34" s="49">
        <v>63</v>
      </c>
      <c r="HP34" s="49">
        <v>66</v>
      </c>
      <c r="HQ34" s="50">
        <v>64</v>
      </c>
      <c r="HR34" s="50">
        <v>55</v>
      </c>
      <c r="HS34" s="49">
        <v>64</v>
      </c>
      <c r="HT34" s="50">
        <v>-1.3169999999999999</v>
      </c>
      <c r="HU34" s="50">
        <v>0</v>
      </c>
      <c r="HV34" s="49">
        <v>0.47499999999999998</v>
      </c>
      <c r="HW34" s="50">
        <v>36.82</v>
      </c>
      <c r="HX34" s="50">
        <v>47.42</v>
      </c>
      <c r="HY34" s="49">
        <v>51.84</v>
      </c>
      <c r="HZ34" s="49">
        <v>65.239999999999995</v>
      </c>
      <c r="IA34" s="49">
        <v>2.6150000000000002</v>
      </c>
      <c r="IB34" s="50">
        <v>104</v>
      </c>
      <c r="IC34" s="49">
        <v>22.542000000000002</v>
      </c>
      <c r="ID34" s="49">
        <v>-0.28199999999999997</v>
      </c>
      <c r="IE34" s="49">
        <v>-0.106</v>
      </c>
      <c r="IF34" s="49">
        <v>820</v>
      </c>
      <c r="IG34" s="49">
        <v>769.8</v>
      </c>
      <c r="IH34" s="49">
        <v>827.8</v>
      </c>
      <c r="II34" s="49">
        <v>782.4</v>
      </c>
      <c r="IJ34" s="49">
        <v>-7.6999999999999999E-2</v>
      </c>
      <c r="IK34" s="49">
        <v>-0.20699999999999999</v>
      </c>
      <c r="IL34" s="49">
        <v>71.198999999999998</v>
      </c>
      <c r="IM34" s="49">
        <v>71.198999999999998</v>
      </c>
      <c r="IN34" s="49">
        <v>12.627000000000001</v>
      </c>
      <c r="IO34" s="49">
        <v>0.58699999999999997</v>
      </c>
      <c r="IP34" s="49">
        <v>10.37</v>
      </c>
      <c r="IQ34" s="49">
        <v>1.0999999999999999E-2</v>
      </c>
      <c r="IR34" s="49">
        <v>8.0000000000000002E-3</v>
      </c>
      <c r="IS34">
        <v>0.34100000000000008</v>
      </c>
      <c r="IT34">
        <v>0.20300000000000007</v>
      </c>
    </row>
    <row r="35" spans="2:254" x14ac:dyDescent="0.25">
      <c r="B35" s="2" t="s">
        <v>412</v>
      </c>
      <c r="C35" s="2" t="s">
        <v>44</v>
      </c>
      <c r="D35" s="61">
        <v>2.5350694444444444E-3</v>
      </c>
      <c r="E35" s="49">
        <v>219.07</v>
      </c>
      <c r="F35" s="49">
        <v>328.05</v>
      </c>
      <c r="G35" s="50">
        <v>5.92</v>
      </c>
      <c r="H35" s="49">
        <v>29.4</v>
      </c>
      <c r="I35" s="49">
        <v>0</v>
      </c>
      <c r="J35" s="49">
        <v>12.9</v>
      </c>
      <c r="K35" s="50">
        <v>10</v>
      </c>
      <c r="L35" s="50">
        <v>4</v>
      </c>
      <c r="M35" s="50">
        <v>6</v>
      </c>
      <c r="N35" s="50">
        <v>3</v>
      </c>
      <c r="O35" s="50">
        <v>3</v>
      </c>
      <c r="P35" s="49">
        <v>0.80300000000000005</v>
      </c>
      <c r="Q35" s="49">
        <v>1.3720000000000001</v>
      </c>
      <c r="R35" s="49">
        <v>0.71299999999999997</v>
      </c>
      <c r="S35" s="49">
        <v>0.71199999999999997</v>
      </c>
      <c r="T35" s="49">
        <v>78.040000000000006</v>
      </c>
      <c r="U35" s="49">
        <v>61.073</v>
      </c>
      <c r="V35" s="49">
        <v>280</v>
      </c>
      <c r="W35" s="49">
        <v>293.33999999999997</v>
      </c>
      <c r="X35" s="49">
        <v>210</v>
      </c>
      <c r="Y35" s="49">
        <v>260</v>
      </c>
      <c r="Z35" s="50">
        <v>421.43</v>
      </c>
      <c r="AA35" s="50">
        <v>424.98</v>
      </c>
      <c r="AB35" s="50">
        <v>323.89999999999998</v>
      </c>
      <c r="AC35" s="50">
        <v>391.84</v>
      </c>
      <c r="AD35" s="49">
        <v>1.8149999999999999</v>
      </c>
      <c r="AE35" s="50">
        <v>1.885</v>
      </c>
      <c r="AF35" s="49">
        <v>1.8120000000000001</v>
      </c>
      <c r="AG35" s="49">
        <v>1.8460000000000001</v>
      </c>
      <c r="AH35" s="49">
        <v>83.31</v>
      </c>
      <c r="AI35" s="49">
        <v>80.459999999999994</v>
      </c>
      <c r="AJ35" s="49">
        <v>107.18</v>
      </c>
      <c r="AK35" s="49">
        <v>105.18</v>
      </c>
      <c r="AL35" s="49">
        <v>626.79899999999998</v>
      </c>
      <c r="AM35" s="49">
        <v>637.52599999999995</v>
      </c>
      <c r="AN35" s="49">
        <v>803.6</v>
      </c>
      <c r="AO35" s="49">
        <v>774.89300000000003</v>
      </c>
      <c r="AP35" s="49">
        <v>1.371</v>
      </c>
      <c r="AQ35" s="49">
        <v>1.8480000000000001</v>
      </c>
      <c r="AR35" s="49">
        <v>40.512999999999998</v>
      </c>
      <c r="AS35" s="49">
        <v>37.119</v>
      </c>
      <c r="AT35" s="49">
        <v>83</v>
      </c>
      <c r="AU35" s="50">
        <v>120</v>
      </c>
      <c r="AV35" s="49">
        <v>2.1749999999999998</v>
      </c>
      <c r="AW35" s="49">
        <v>5.1957000000000004</v>
      </c>
      <c r="AX35" s="49">
        <v>1016.3</v>
      </c>
      <c r="AY35" s="49">
        <v>2.25</v>
      </c>
      <c r="AZ35" s="49">
        <v>5.76</v>
      </c>
      <c r="BA35" s="49">
        <v>137.81299999999999</v>
      </c>
      <c r="BB35" s="49">
        <v>136.81</v>
      </c>
      <c r="BC35" s="49">
        <v>7704</v>
      </c>
      <c r="BD35" s="49">
        <v>88.75</v>
      </c>
      <c r="BE35" s="50">
        <v>17.18</v>
      </c>
      <c r="BF35" s="49">
        <v>13.045</v>
      </c>
      <c r="BG35" s="49">
        <v>28.2</v>
      </c>
      <c r="BH35" s="49">
        <v>27.55</v>
      </c>
      <c r="BI35" s="3"/>
      <c r="BJ35" s="3"/>
      <c r="BK35" s="3"/>
      <c r="BL35" s="3"/>
      <c r="BM35" s="3"/>
      <c r="BN35" s="49">
        <v>112.264</v>
      </c>
      <c r="BO35" s="49">
        <v>109.544</v>
      </c>
      <c r="BP35" s="49">
        <v>137.048</v>
      </c>
      <c r="BQ35" s="49">
        <v>139.416</v>
      </c>
      <c r="BR35" s="3"/>
      <c r="BS35" s="50">
        <v>29.2</v>
      </c>
      <c r="BT35" s="49">
        <v>7328.7820000000002</v>
      </c>
      <c r="BU35" s="50">
        <v>50.844999999999999</v>
      </c>
      <c r="BV35" s="49">
        <v>54.237000000000002</v>
      </c>
      <c r="BW35" s="49">
        <v>56.231999999999999</v>
      </c>
      <c r="BX35" s="49">
        <v>56.491</v>
      </c>
      <c r="BY35" s="49">
        <v>1.411</v>
      </c>
      <c r="BZ35" s="49">
        <v>3.1459999999999999</v>
      </c>
      <c r="CA35" s="50">
        <v>3.589</v>
      </c>
      <c r="CB35" s="50">
        <v>3.9809999999999999</v>
      </c>
      <c r="CC35" s="50">
        <v>1.226</v>
      </c>
      <c r="CD35" s="49">
        <v>2.407</v>
      </c>
      <c r="CE35" s="50">
        <v>1.34</v>
      </c>
      <c r="CF35" s="49">
        <v>2.1629999999999998</v>
      </c>
      <c r="CG35" s="49">
        <v>13.932</v>
      </c>
      <c r="CH35" s="49">
        <v>13.769</v>
      </c>
      <c r="CI35" s="50">
        <v>3.859</v>
      </c>
      <c r="CJ35" s="50">
        <v>3.5910000000000002</v>
      </c>
      <c r="CK35" s="50">
        <v>1.4830000000000001</v>
      </c>
      <c r="CL35" s="49">
        <v>0.1</v>
      </c>
      <c r="CM35" s="49">
        <v>0.8</v>
      </c>
      <c r="CN35" s="49">
        <v>0</v>
      </c>
      <c r="CO35" s="49">
        <v>0.1</v>
      </c>
      <c r="CP35" s="49">
        <v>104.61</v>
      </c>
      <c r="CQ35" s="50">
        <v>102.791</v>
      </c>
      <c r="CR35" s="49">
        <v>130.71</v>
      </c>
      <c r="CS35" s="49">
        <v>135.142</v>
      </c>
      <c r="CT35" s="49">
        <v>0.33600000000000002</v>
      </c>
      <c r="CU35" s="49">
        <v>1.3029999999999999</v>
      </c>
      <c r="CV35" s="49">
        <v>1.202</v>
      </c>
      <c r="CW35" s="49">
        <v>0.80200000000000005</v>
      </c>
      <c r="CX35" s="49">
        <v>1.399</v>
      </c>
      <c r="CY35" s="49">
        <v>1.103</v>
      </c>
      <c r="CZ35" s="49">
        <v>1.4</v>
      </c>
      <c r="DA35" s="49">
        <v>0.69899999999999995</v>
      </c>
      <c r="DB35" s="49">
        <v>1.9990000000000001</v>
      </c>
      <c r="DC35" s="49">
        <v>0</v>
      </c>
      <c r="DD35" s="50">
        <v>0</v>
      </c>
      <c r="DE35" s="49">
        <v>0.28799999999999998</v>
      </c>
      <c r="DF35" s="49">
        <v>0.104</v>
      </c>
      <c r="DG35" s="49">
        <v>0.505</v>
      </c>
      <c r="DH35" s="49">
        <v>1.8129999999999999</v>
      </c>
      <c r="DI35" s="49">
        <v>1.2929999999999999</v>
      </c>
      <c r="DJ35" s="49">
        <v>0.26800000000000002</v>
      </c>
      <c r="DK35" s="49">
        <v>0.90800000000000003</v>
      </c>
      <c r="DL35" s="49">
        <v>0.40600000000000003</v>
      </c>
      <c r="DM35" s="49">
        <v>0.48199999999999998</v>
      </c>
      <c r="DN35" s="49">
        <v>0.50700000000000001</v>
      </c>
      <c r="DO35" s="49">
        <v>0.36</v>
      </c>
      <c r="DP35" s="49">
        <v>65.686000000000007</v>
      </c>
      <c r="DQ35" s="49">
        <v>59.076000000000001</v>
      </c>
      <c r="DR35" s="49">
        <v>53.499000000000002</v>
      </c>
      <c r="DS35" s="49">
        <v>51.543999999999997</v>
      </c>
      <c r="DT35" s="49">
        <v>6.27</v>
      </c>
      <c r="DU35" s="49">
        <v>6</v>
      </c>
      <c r="DV35" s="49">
        <v>12.27</v>
      </c>
      <c r="DW35" s="49">
        <v>9.98</v>
      </c>
      <c r="DX35" s="49">
        <v>6.6</v>
      </c>
      <c r="DY35" s="49">
        <v>6.17</v>
      </c>
      <c r="DZ35" s="49">
        <v>11.64</v>
      </c>
      <c r="EA35" s="49">
        <v>9.5399999999999991</v>
      </c>
      <c r="EB35" s="49">
        <v>42.12</v>
      </c>
      <c r="EC35" s="50">
        <v>41.92</v>
      </c>
      <c r="ED35" s="49">
        <v>33.44</v>
      </c>
      <c r="EE35" s="49">
        <v>36.270000000000003</v>
      </c>
      <c r="EF35" s="49">
        <v>45.01</v>
      </c>
      <c r="EG35" s="49">
        <v>45.92</v>
      </c>
      <c r="EH35" s="49">
        <v>42.65</v>
      </c>
      <c r="EI35" s="49">
        <v>44.21</v>
      </c>
      <c r="EJ35" s="49">
        <v>7.3159999999999998</v>
      </c>
      <c r="EK35" s="50">
        <v>59.878999999999998</v>
      </c>
      <c r="EL35" s="49">
        <v>2.0499999999999998</v>
      </c>
      <c r="EM35" s="49">
        <v>1.7</v>
      </c>
      <c r="EN35" s="49">
        <v>1.21</v>
      </c>
      <c r="EO35" s="49">
        <v>1.21</v>
      </c>
      <c r="EP35" s="49">
        <v>-105.93</v>
      </c>
      <c r="EQ35" s="49">
        <v>-2.8580000000000001</v>
      </c>
      <c r="ER35" s="50">
        <v>141.97800000000001</v>
      </c>
      <c r="ES35" s="49">
        <v>1.536</v>
      </c>
      <c r="ET35" s="49">
        <v>1.64</v>
      </c>
      <c r="EU35" s="49">
        <v>1.4870000000000001</v>
      </c>
      <c r="EV35" s="49">
        <v>7.7350000000000003</v>
      </c>
      <c r="EW35" s="49">
        <v>2.4510000000000001</v>
      </c>
      <c r="EX35" s="50">
        <v>75.02</v>
      </c>
      <c r="EY35" s="49">
        <v>2.1000000000000001E-2</v>
      </c>
      <c r="EZ35" s="49">
        <v>4.2999999999999997E-2</v>
      </c>
      <c r="FA35" s="50">
        <v>0</v>
      </c>
      <c r="FB35" s="50">
        <v>9.2040000000000006</v>
      </c>
      <c r="FC35" s="49">
        <v>74.528999999999996</v>
      </c>
      <c r="FD35" s="49">
        <v>70.525999999999996</v>
      </c>
      <c r="FE35" s="49">
        <v>84.183999999999997</v>
      </c>
      <c r="FF35" s="49">
        <v>83.085999999999999</v>
      </c>
      <c r="FG35" s="49">
        <v>0.93500000000000005</v>
      </c>
      <c r="FH35" s="49">
        <v>0.93500000000000005</v>
      </c>
      <c r="FI35" s="49">
        <v>0.98899999999999999</v>
      </c>
      <c r="FJ35" s="49">
        <v>0.995</v>
      </c>
      <c r="FK35" s="49">
        <v>0</v>
      </c>
      <c r="FL35" s="49">
        <v>83</v>
      </c>
      <c r="FM35" s="49">
        <v>3.52</v>
      </c>
      <c r="FN35" s="49">
        <v>-0.52</v>
      </c>
      <c r="FO35" s="49">
        <v>5.44</v>
      </c>
      <c r="FP35" s="3"/>
      <c r="FQ35" s="49">
        <v>4.5999999999999996</v>
      </c>
      <c r="FR35" s="49">
        <v>5.05</v>
      </c>
      <c r="FS35" s="50">
        <v>6.8540000000000001</v>
      </c>
      <c r="FT35" s="49">
        <v>1066.8</v>
      </c>
      <c r="FU35" s="49">
        <v>7.25</v>
      </c>
      <c r="FV35" s="49">
        <v>23.15</v>
      </c>
      <c r="FW35" s="49">
        <v>3111.5</v>
      </c>
      <c r="FX35" s="49">
        <v>161700</v>
      </c>
      <c r="FY35" s="49">
        <v>162300</v>
      </c>
      <c r="FZ35" s="49">
        <v>48.27</v>
      </c>
      <c r="GA35" s="49">
        <v>47.177</v>
      </c>
      <c r="GB35" s="49">
        <v>2164.3000000000002</v>
      </c>
      <c r="GC35" s="49">
        <v>2166.5</v>
      </c>
      <c r="GD35" s="50">
        <v>2278.5</v>
      </c>
      <c r="GE35" s="49">
        <v>2323.3000000000002</v>
      </c>
      <c r="GF35" s="49">
        <v>1353.0469000000001</v>
      </c>
      <c r="GG35" s="49">
        <v>28</v>
      </c>
      <c r="GH35" s="49">
        <v>27.6</v>
      </c>
      <c r="GI35" s="49">
        <v>47.7</v>
      </c>
      <c r="GJ35" s="49">
        <v>52.8</v>
      </c>
      <c r="GK35" s="49">
        <v>99.5</v>
      </c>
      <c r="GL35" s="49">
        <v>76.3</v>
      </c>
      <c r="GM35" s="50">
        <v>0</v>
      </c>
      <c r="GN35" s="49">
        <v>26.38</v>
      </c>
      <c r="GO35" s="50">
        <v>141.97800000000001</v>
      </c>
      <c r="GP35" s="49">
        <v>0.88500000000000001</v>
      </c>
      <c r="GQ35" s="49">
        <v>1.9470000000000001</v>
      </c>
      <c r="GR35" s="49">
        <v>1.298</v>
      </c>
      <c r="GS35" s="49">
        <v>2.0059999999999998</v>
      </c>
      <c r="GT35" s="49">
        <v>0.76700000000000002</v>
      </c>
      <c r="GU35" s="49">
        <v>1.8879999999999999</v>
      </c>
      <c r="GV35" s="49">
        <v>12.837999999999999</v>
      </c>
      <c r="GW35" s="49">
        <v>14.010999999999999</v>
      </c>
      <c r="GX35" s="49">
        <v>15.875999999999999</v>
      </c>
      <c r="GY35" s="50">
        <v>0</v>
      </c>
      <c r="GZ35" s="50">
        <v>0</v>
      </c>
      <c r="HA35" s="50">
        <v>0</v>
      </c>
      <c r="HB35" s="49">
        <v>0</v>
      </c>
      <c r="HC35" s="49">
        <v>23.626000000000001</v>
      </c>
      <c r="HD35" s="49">
        <v>82</v>
      </c>
      <c r="HE35" s="50">
        <v>0</v>
      </c>
      <c r="HF35" s="50">
        <v>0</v>
      </c>
      <c r="HG35" s="49">
        <v>72.63</v>
      </c>
      <c r="HH35" s="49">
        <v>82.51</v>
      </c>
      <c r="HI35" s="50">
        <v>0</v>
      </c>
      <c r="HJ35" s="50">
        <v>0</v>
      </c>
      <c r="HK35" s="50">
        <v>0</v>
      </c>
      <c r="HL35" s="49">
        <v>63</v>
      </c>
      <c r="HM35" s="49">
        <v>55</v>
      </c>
      <c r="HN35" s="49">
        <v>69</v>
      </c>
      <c r="HO35" s="50">
        <v>64</v>
      </c>
      <c r="HP35" s="49">
        <v>66</v>
      </c>
      <c r="HQ35" s="50">
        <v>64</v>
      </c>
      <c r="HR35" s="50">
        <v>55</v>
      </c>
      <c r="HS35" s="50">
        <v>70</v>
      </c>
      <c r="HT35" s="49">
        <v>-1.3075000000000001</v>
      </c>
      <c r="HU35" s="50">
        <v>0</v>
      </c>
      <c r="HV35" s="49">
        <v>0.127</v>
      </c>
      <c r="HW35" s="50">
        <v>36.82</v>
      </c>
      <c r="HX35" s="50">
        <v>47.42</v>
      </c>
      <c r="HY35" s="50">
        <v>52.8</v>
      </c>
      <c r="HZ35" s="50">
        <v>65.47</v>
      </c>
      <c r="IA35" s="49">
        <v>2.766</v>
      </c>
      <c r="IB35" s="50">
        <v>104</v>
      </c>
      <c r="IC35" s="49">
        <v>22.393000000000001</v>
      </c>
      <c r="ID35" s="49">
        <v>-0.25900000000000001</v>
      </c>
      <c r="IE35" s="49">
        <v>-9.6000000000000002E-2</v>
      </c>
      <c r="IF35" s="49">
        <v>819</v>
      </c>
      <c r="IG35" s="49">
        <v>770.1</v>
      </c>
      <c r="IH35" s="49">
        <v>829.9</v>
      </c>
      <c r="II35" s="49">
        <v>783.8</v>
      </c>
      <c r="IJ35" s="49">
        <v>-7.9000000000000001E-2</v>
      </c>
      <c r="IK35" s="49">
        <v>-0.20200000000000001</v>
      </c>
      <c r="IL35" s="49">
        <v>72.393000000000001</v>
      </c>
      <c r="IM35" s="49">
        <v>72.393000000000001</v>
      </c>
      <c r="IN35" s="49">
        <v>13.78</v>
      </c>
      <c r="IO35" s="50">
        <v>0.621</v>
      </c>
      <c r="IP35" s="49">
        <v>10.199999999999999</v>
      </c>
      <c r="IQ35" s="49">
        <v>0.01</v>
      </c>
      <c r="IR35" s="49">
        <v>8.0000000000000002E-3</v>
      </c>
      <c r="IS35">
        <v>0.35100000000000009</v>
      </c>
      <c r="IT35">
        <v>0.21100000000000008</v>
      </c>
    </row>
    <row r="36" spans="2:254" x14ac:dyDescent="0.25">
      <c r="B36" s="2" t="s">
        <v>412</v>
      </c>
      <c r="C36" s="62" t="s">
        <v>45</v>
      </c>
      <c r="D36" s="63">
        <v>2.4532407407407406E-3</v>
      </c>
      <c r="E36" s="49">
        <v>212</v>
      </c>
      <c r="F36" s="49">
        <v>329.33</v>
      </c>
      <c r="G36" s="49">
        <v>5.91</v>
      </c>
      <c r="H36" s="49">
        <v>29.4</v>
      </c>
      <c r="I36" s="49">
        <v>0</v>
      </c>
      <c r="J36" s="49">
        <v>12.8</v>
      </c>
      <c r="K36" s="50">
        <v>10</v>
      </c>
      <c r="L36" s="50">
        <v>4</v>
      </c>
      <c r="M36" s="50">
        <v>6</v>
      </c>
      <c r="N36" s="50">
        <v>3</v>
      </c>
      <c r="O36" s="50">
        <v>3</v>
      </c>
      <c r="P36" s="49">
        <v>0.93899999999999995</v>
      </c>
      <c r="Q36" s="49">
        <v>1.625</v>
      </c>
      <c r="R36" s="49">
        <v>0.84599999999999997</v>
      </c>
      <c r="S36" s="49">
        <v>0.73399999999999999</v>
      </c>
      <c r="T36" s="49">
        <v>89.11</v>
      </c>
      <c r="U36" s="49">
        <v>61.084000000000003</v>
      </c>
      <c r="V36" s="49">
        <v>260</v>
      </c>
      <c r="W36" s="49">
        <v>266.66000000000003</v>
      </c>
      <c r="X36" s="49">
        <v>197.5</v>
      </c>
      <c r="Y36" s="49">
        <v>243.34</v>
      </c>
      <c r="Z36" s="49">
        <v>408.67</v>
      </c>
      <c r="AA36" s="49">
        <v>412.66</v>
      </c>
      <c r="AB36" s="49">
        <v>323.70999999999998</v>
      </c>
      <c r="AC36" s="49">
        <v>389.1</v>
      </c>
      <c r="AD36" s="50">
        <v>1.819</v>
      </c>
      <c r="AE36" s="50">
        <v>1.885</v>
      </c>
      <c r="AF36" s="50">
        <v>1.8240000000000001</v>
      </c>
      <c r="AG36" s="50">
        <v>1.855</v>
      </c>
      <c r="AH36" s="50">
        <v>84.24</v>
      </c>
      <c r="AI36" s="49">
        <v>80.02</v>
      </c>
      <c r="AJ36" s="50">
        <v>108.38</v>
      </c>
      <c r="AK36" s="50">
        <v>105.61</v>
      </c>
      <c r="AL36" s="50">
        <v>695.06799999999998</v>
      </c>
      <c r="AM36" s="50">
        <v>693.00800000000004</v>
      </c>
      <c r="AN36" s="50">
        <v>852.89</v>
      </c>
      <c r="AO36" s="50">
        <v>814.07799999999997</v>
      </c>
      <c r="AP36" s="49">
        <v>1.357</v>
      </c>
      <c r="AQ36" s="49">
        <v>1.8480000000000001</v>
      </c>
      <c r="AR36" s="50">
        <v>41.384</v>
      </c>
      <c r="AS36" s="49">
        <v>39.152000000000001</v>
      </c>
      <c r="AT36" s="49">
        <v>83</v>
      </c>
      <c r="AU36" s="50">
        <v>120</v>
      </c>
      <c r="AV36" s="50">
        <v>1.9355</v>
      </c>
      <c r="AW36" s="49">
        <v>5.2820999999999998</v>
      </c>
      <c r="AX36" s="49">
        <v>1020</v>
      </c>
      <c r="AY36" s="49">
        <v>2.2400000000000002</v>
      </c>
      <c r="AZ36" s="49">
        <v>5.69</v>
      </c>
      <c r="BA36" s="49">
        <v>138.66800000000001</v>
      </c>
      <c r="BB36" s="49">
        <v>138.376</v>
      </c>
      <c r="BC36" s="49">
        <v>7707</v>
      </c>
      <c r="BD36" s="49">
        <v>87.75</v>
      </c>
      <c r="BE36" s="49">
        <v>16.420000000000002</v>
      </c>
      <c r="BF36" s="49">
        <v>13.77</v>
      </c>
      <c r="BG36" s="50">
        <v>29.6</v>
      </c>
      <c r="BH36" s="50">
        <v>30.13</v>
      </c>
      <c r="BI36" s="3"/>
      <c r="BJ36" s="3"/>
      <c r="BK36" s="3"/>
      <c r="BL36" s="3"/>
      <c r="BM36" s="3"/>
      <c r="BN36" s="49">
        <v>111.048</v>
      </c>
      <c r="BO36" s="49">
        <v>108.264</v>
      </c>
      <c r="BP36" s="49">
        <v>137.59200000000001</v>
      </c>
      <c r="BQ36" s="49">
        <v>140.15199999999999</v>
      </c>
      <c r="BR36" s="3"/>
      <c r="BS36" s="49">
        <v>29.1</v>
      </c>
      <c r="BT36" s="49">
        <v>7372.3760000000002</v>
      </c>
      <c r="BU36" s="49">
        <v>50.305</v>
      </c>
      <c r="BV36" s="49">
        <v>54.61</v>
      </c>
      <c r="BW36" s="49">
        <v>55.764000000000003</v>
      </c>
      <c r="BX36" s="49">
        <v>56.128</v>
      </c>
      <c r="BY36" s="49">
        <v>1.4430000000000001</v>
      </c>
      <c r="BZ36" s="49">
        <v>3.0329999999999999</v>
      </c>
      <c r="CA36" s="49">
        <v>3.5870000000000002</v>
      </c>
      <c r="CB36" s="49">
        <v>3.4769999999999999</v>
      </c>
      <c r="CC36" s="49">
        <v>1.1200000000000001</v>
      </c>
      <c r="CD36" s="49">
        <v>2.4079999999999999</v>
      </c>
      <c r="CE36" s="49">
        <v>1.26</v>
      </c>
      <c r="CF36" s="49">
        <v>2.109</v>
      </c>
      <c r="CG36" s="49">
        <v>13.929</v>
      </c>
      <c r="CH36" s="49">
        <v>13.787000000000001</v>
      </c>
      <c r="CI36" s="49">
        <v>3.5209999999999999</v>
      </c>
      <c r="CJ36" s="49">
        <v>3.3</v>
      </c>
      <c r="CK36" s="49">
        <v>1.19</v>
      </c>
      <c r="CL36" s="50">
        <v>0.5</v>
      </c>
      <c r="CM36" s="50">
        <v>1.3</v>
      </c>
      <c r="CN36" s="49">
        <v>0</v>
      </c>
      <c r="CO36" s="49">
        <v>0</v>
      </c>
      <c r="CP36" s="49">
        <v>103.941</v>
      </c>
      <c r="CQ36" s="49">
        <v>101.919</v>
      </c>
      <c r="CR36" s="50">
        <v>131.38999999999999</v>
      </c>
      <c r="CS36" s="50">
        <v>135.20500000000001</v>
      </c>
      <c r="CT36" s="49">
        <v>0.28399999999999997</v>
      </c>
      <c r="CU36" s="49">
        <v>1.302</v>
      </c>
      <c r="CV36" s="49">
        <v>1.194</v>
      </c>
      <c r="CW36" s="49">
        <v>1.399</v>
      </c>
      <c r="CX36" s="49">
        <v>0.89800000000000002</v>
      </c>
      <c r="CY36" s="49">
        <v>0.59899999999999998</v>
      </c>
      <c r="CZ36" s="49">
        <v>0.89700000000000002</v>
      </c>
      <c r="DA36" s="49">
        <v>0.60199999999999998</v>
      </c>
      <c r="DB36" s="49">
        <v>1.8049999999999999</v>
      </c>
      <c r="DC36" s="49">
        <v>0</v>
      </c>
      <c r="DD36" s="50">
        <v>0</v>
      </c>
      <c r="DE36" s="49">
        <v>0.33500000000000002</v>
      </c>
      <c r="DF36" s="50">
        <v>0.17100000000000001</v>
      </c>
      <c r="DG36" s="50">
        <v>1.0920000000000001</v>
      </c>
      <c r="DH36" s="50">
        <v>2.2989999999999999</v>
      </c>
      <c r="DI36" s="49">
        <v>1.3</v>
      </c>
      <c r="DJ36" s="49">
        <v>0.308</v>
      </c>
      <c r="DK36" s="50">
        <v>1.3839999999999999</v>
      </c>
      <c r="DL36" s="49">
        <v>0.40500000000000003</v>
      </c>
      <c r="DM36" s="49">
        <v>0.40600000000000003</v>
      </c>
      <c r="DN36" s="49">
        <v>0.219</v>
      </c>
      <c r="DO36" s="49">
        <v>0.28000000000000003</v>
      </c>
      <c r="DP36" s="50">
        <v>67.138000000000005</v>
      </c>
      <c r="DQ36" s="49">
        <v>56.906999999999996</v>
      </c>
      <c r="DR36" s="50">
        <v>53.741999999999997</v>
      </c>
      <c r="DS36" s="49">
        <v>51.511000000000003</v>
      </c>
      <c r="DT36" s="50">
        <v>7.32</v>
      </c>
      <c r="DU36" s="50">
        <v>6.96</v>
      </c>
      <c r="DV36" s="50">
        <v>13.5</v>
      </c>
      <c r="DW36" s="50">
        <v>11.09</v>
      </c>
      <c r="DX36" s="50">
        <v>7.64</v>
      </c>
      <c r="DY36" s="50">
        <v>7.13</v>
      </c>
      <c r="DZ36" s="50">
        <v>13.14</v>
      </c>
      <c r="EA36" s="50">
        <v>11.03</v>
      </c>
      <c r="EB36" s="49">
        <v>41.59</v>
      </c>
      <c r="EC36" s="49">
        <v>40.76</v>
      </c>
      <c r="ED36" s="49">
        <v>32.549999999999997</v>
      </c>
      <c r="EE36" s="49">
        <v>34.93</v>
      </c>
      <c r="EF36" s="49">
        <v>43.45</v>
      </c>
      <c r="EG36" s="49">
        <v>45.15</v>
      </c>
      <c r="EH36" s="49">
        <v>40.81</v>
      </c>
      <c r="EI36" s="49">
        <v>42.95</v>
      </c>
      <c r="EJ36" s="49">
        <v>7.0919999999999996</v>
      </c>
      <c r="EK36" s="49">
        <v>59.720999999999997</v>
      </c>
      <c r="EL36" s="49">
        <v>2.0499999999999998</v>
      </c>
      <c r="EM36" s="49">
        <v>1.65</v>
      </c>
      <c r="EN36" s="49">
        <v>1.19</v>
      </c>
      <c r="EO36" s="49">
        <v>1.2</v>
      </c>
      <c r="EP36" s="49">
        <v>-102.718</v>
      </c>
      <c r="EQ36" s="49">
        <v>-3.089</v>
      </c>
      <c r="ER36" s="49">
        <v>116.282</v>
      </c>
      <c r="ES36" s="49">
        <v>1.494</v>
      </c>
      <c r="ET36" s="50">
        <v>1.6439999999999999</v>
      </c>
      <c r="EU36" s="49">
        <v>1.4570000000000001</v>
      </c>
      <c r="EV36" s="49">
        <v>7.5679999999999996</v>
      </c>
      <c r="EW36" s="49">
        <v>2.351</v>
      </c>
      <c r="EX36" s="49">
        <v>74.900000000000006</v>
      </c>
      <c r="EY36" s="49">
        <v>0</v>
      </c>
      <c r="EZ36" s="49">
        <v>0</v>
      </c>
      <c r="FA36" s="50">
        <v>0</v>
      </c>
      <c r="FB36" s="49">
        <v>9.1630000000000003</v>
      </c>
      <c r="FC36" s="50">
        <v>75.070999999999998</v>
      </c>
      <c r="FD36" s="50">
        <v>70.974000000000004</v>
      </c>
      <c r="FE36" s="49">
        <v>85.331999999999994</v>
      </c>
      <c r="FF36" s="50">
        <v>84.236999999999995</v>
      </c>
      <c r="FG36" s="49">
        <v>0.93200000000000005</v>
      </c>
      <c r="FH36" s="49">
        <v>0.93300000000000005</v>
      </c>
      <c r="FI36" s="49">
        <v>0.98699999999999999</v>
      </c>
      <c r="FJ36" s="49">
        <v>0.99299999999999999</v>
      </c>
      <c r="FK36" s="49">
        <v>0</v>
      </c>
      <c r="FL36" s="49">
        <v>83</v>
      </c>
      <c r="FM36" s="49">
        <v>3.58</v>
      </c>
      <c r="FN36" s="49">
        <v>-0.28000000000000003</v>
      </c>
      <c r="FO36" s="49">
        <v>5.44</v>
      </c>
      <c r="FP36" s="3"/>
      <c r="FQ36" s="49">
        <v>4.5999999999999996</v>
      </c>
      <c r="FR36" s="50">
        <v>5</v>
      </c>
      <c r="FS36" s="49">
        <v>6.7095000000000002</v>
      </c>
      <c r="FT36" s="49">
        <v>1073.7</v>
      </c>
      <c r="FU36" s="49">
        <v>6.77</v>
      </c>
      <c r="FV36" s="49">
        <v>29.05</v>
      </c>
      <c r="FW36" s="49">
        <v>3055.5</v>
      </c>
      <c r="FX36" s="49">
        <v>165000</v>
      </c>
      <c r="FY36" s="49">
        <v>166300</v>
      </c>
      <c r="FZ36" s="49">
        <v>48.308</v>
      </c>
      <c r="GA36" s="49">
        <v>47.360999999999997</v>
      </c>
      <c r="GB36" s="49">
        <v>2166.8000000000002</v>
      </c>
      <c r="GC36" s="49">
        <v>2177.1999999999998</v>
      </c>
      <c r="GD36" s="49">
        <v>2213.6999999999998</v>
      </c>
      <c r="GE36" s="49">
        <v>2219.6</v>
      </c>
      <c r="GF36" s="49">
        <v>1415.1719000000001</v>
      </c>
      <c r="GG36" s="49">
        <v>28</v>
      </c>
      <c r="GH36" s="49">
        <v>28.2</v>
      </c>
      <c r="GI36" s="49">
        <v>47.6</v>
      </c>
      <c r="GJ36" s="49">
        <v>52.8</v>
      </c>
      <c r="GK36" s="49">
        <v>99.5</v>
      </c>
      <c r="GL36" s="49">
        <v>78.8</v>
      </c>
      <c r="GM36" s="50">
        <v>0</v>
      </c>
      <c r="GN36" s="49">
        <v>26.798999999999999</v>
      </c>
      <c r="GO36" s="49">
        <v>116.282</v>
      </c>
      <c r="GP36" s="49">
        <v>0.53100000000000003</v>
      </c>
      <c r="GQ36" s="49">
        <v>1.9470000000000001</v>
      </c>
      <c r="GR36" s="49">
        <v>1.298</v>
      </c>
      <c r="GS36" s="49">
        <v>2.0059999999999998</v>
      </c>
      <c r="GT36" s="49">
        <v>0.76700000000000002</v>
      </c>
      <c r="GU36" s="49">
        <v>1.8879999999999999</v>
      </c>
      <c r="GV36" s="49">
        <v>12.936</v>
      </c>
      <c r="GW36" s="49">
        <v>13.977</v>
      </c>
      <c r="GX36" s="49">
        <v>15.582000000000001</v>
      </c>
      <c r="GY36" s="50">
        <v>0</v>
      </c>
      <c r="GZ36" s="50">
        <v>0</v>
      </c>
      <c r="HA36" s="50">
        <v>0</v>
      </c>
      <c r="HB36" s="49">
        <v>0</v>
      </c>
      <c r="HC36" s="49">
        <v>23.696000000000002</v>
      </c>
      <c r="HD36" s="49">
        <v>82</v>
      </c>
      <c r="HE36" s="50">
        <v>0</v>
      </c>
      <c r="HF36" s="50">
        <v>0</v>
      </c>
      <c r="HG36" s="49">
        <v>86.15</v>
      </c>
      <c r="HH36" s="50">
        <v>83.98</v>
      </c>
      <c r="HI36" s="50">
        <v>0</v>
      </c>
      <c r="HJ36" s="50">
        <v>0</v>
      </c>
      <c r="HK36" s="50">
        <v>0</v>
      </c>
      <c r="HL36" s="49">
        <v>63</v>
      </c>
      <c r="HM36" s="49">
        <v>55</v>
      </c>
      <c r="HN36" s="49">
        <v>69</v>
      </c>
      <c r="HO36" s="49">
        <v>63</v>
      </c>
      <c r="HP36" s="49">
        <v>66</v>
      </c>
      <c r="HQ36" s="50">
        <v>64</v>
      </c>
      <c r="HR36" s="50">
        <v>55</v>
      </c>
      <c r="HS36" s="50">
        <v>70</v>
      </c>
      <c r="HT36" s="49">
        <v>-1.2985</v>
      </c>
      <c r="HU36" s="50">
        <v>0</v>
      </c>
      <c r="HV36" s="50">
        <v>0.63500000000000001</v>
      </c>
      <c r="HW36" s="49">
        <v>37.47</v>
      </c>
      <c r="HX36" s="49">
        <v>48.05</v>
      </c>
      <c r="HY36" s="49">
        <v>52.53</v>
      </c>
      <c r="HZ36" s="49">
        <v>64.239999999999995</v>
      </c>
      <c r="IA36" s="50">
        <v>2.794</v>
      </c>
      <c r="IB36" s="50">
        <v>104</v>
      </c>
      <c r="IC36" s="50">
        <v>22.606000000000002</v>
      </c>
      <c r="ID36" s="49">
        <v>-0.30399999999999999</v>
      </c>
      <c r="IE36" s="49">
        <v>-0.11700000000000001</v>
      </c>
      <c r="IF36" s="49">
        <v>819.1</v>
      </c>
      <c r="IG36" s="50">
        <v>774.2</v>
      </c>
      <c r="IH36" s="50">
        <v>831.6</v>
      </c>
      <c r="II36" s="50">
        <v>787.8</v>
      </c>
      <c r="IJ36" s="49">
        <v>-0.124</v>
      </c>
      <c r="IK36" s="49">
        <v>-0.23499999999999999</v>
      </c>
      <c r="IL36" s="49">
        <v>71.751999999999995</v>
      </c>
      <c r="IM36" s="49">
        <v>71.751999999999995</v>
      </c>
      <c r="IN36" s="49">
        <v>13.831</v>
      </c>
      <c r="IO36" s="49">
        <v>0.60299999999999998</v>
      </c>
      <c r="IP36" s="49">
        <v>10.3</v>
      </c>
      <c r="IQ36" s="50">
        <v>1.2999999999999999E-2</v>
      </c>
      <c r="IR36" s="49">
        <v>8.0000000000000002E-3</v>
      </c>
      <c r="IS36">
        <v>0.3640000000000001</v>
      </c>
      <c r="IT36">
        <v>0.21900000000000008</v>
      </c>
    </row>
    <row r="37" spans="2:254" x14ac:dyDescent="0.25">
      <c r="B37" s="2" t="s">
        <v>412</v>
      </c>
      <c r="C37" s="2" t="s">
        <v>46</v>
      </c>
      <c r="D37" s="61">
        <v>2.9023148148148146E-3</v>
      </c>
      <c r="E37" s="49">
        <v>250.76300000000001</v>
      </c>
      <c r="F37" s="49">
        <v>328.49</v>
      </c>
      <c r="G37" s="49">
        <v>5.47</v>
      </c>
      <c r="H37" s="50">
        <v>29.5</v>
      </c>
      <c r="I37" s="49">
        <v>0</v>
      </c>
      <c r="J37" s="49">
        <v>17</v>
      </c>
      <c r="K37" s="50">
        <v>10</v>
      </c>
      <c r="L37" s="50">
        <v>4</v>
      </c>
      <c r="M37" s="50">
        <v>6</v>
      </c>
      <c r="N37" s="50">
        <v>3</v>
      </c>
      <c r="O37" s="50">
        <v>3</v>
      </c>
      <c r="P37" s="49">
        <v>0.70299999999999996</v>
      </c>
      <c r="Q37" s="49">
        <v>1.123</v>
      </c>
      <c r="R37" s="49">
        <v>0.66100000000000003</v>
      </c>
      <c r="S37" s="49">
        <v>0.39600000000000002</v>
      </c>
      <c r="T37" s="49">
        <v>85.58</v>
      </c>
      <c r="U37" s="50">
        <v>61.289000000000001</v>
      </c>
      <c r="V37" s="49">
        <v>220</v>
      </c>
      <c r="W37" s="49">
        <v>220</v>
      </c>
      <c r="X37" s="49">
        <v>170</v>
      </c>
      <c r="Y37" s="49">
        <v>208.34</v>
      </c>
      <c r="Z37" s="49">
        <v>377.97</v>
      </c>
      <c r="AA37" s="49">
        <v>372.17</v>
      </c>
      <c r="AB37" s="49">
        <v>283.95</v>
      </c>
      <c r="AC37" s="49">
        <v>342.5</v>
      </c>
      <c r="AD37" s="49">
        <v>1.81</v>
      </c>
      <c r="AE37" s="49">
        <v>1.881</v>
      </c>
      <c r="AF37" s="49">
        <v>1.8129999999999999</v>
      </c>
      <c r="AG37" s="49">
        <v>1.8480000000000001</v>
      </c>
      <c r="AH37" s="49">
        <v>81.38</v>
      </c>
      <c r="AI37" s="49">
        <v>78.959999999999994</v>
      </c>
      <c r="AJ37" s="49">
        <v>106.26</v>
      </c>
      <c r="AK37" s="49">
        <v>103.76</v>
      </c>
      <c r="AL37" s="49">
        <v>559.88699999999994</v>
      </c>
      <c r="AM37" s="49">
        <v>620.41099999999994</v>
      </c>
      <c r="AN37" s="49">
        <v>736.952</v>
      </c>
      <c r="AO37" s="49">
        <v>702.19799999999998</v>
      </c>
      <c r="AP37" s="49">
        <v>1.373</v>
      </c>
      <c r="AQ37" s="49">
        <v>1.825</v>
      </c>
      <c r="AR37" s="49">
        <v>40.241</v>
      </c>
      <c r="AS37" s="49">
        <v>38.417000000000002</v>
      </c>
      <c r="AT37" s="49">
        <v>83</v>
      </c>
      <c r="AU37" s="50">
        <v>120</v>
      </c>
      <c r="AV37" s="49">
        <v>2.3955000000000002</v>
      </c>
      <c r="AW37" s="49">
        <v>5.1161000000000003</v>
      </c>
      <c r="AX37" s="49">
        <v>1015.7</v>
      </c>
      <c r="AY37" s="49">
        <v>2.2999999999999998</v>
      </c>
      <c r="AZ37" s="49">
        <v>5.85</v>
      </c>
      <c r="BA37" s="49">
        <v>141.44999999999999</v>
      </c>
      <c r="BB37" s="49">
        <v>140.816</v>
      </c>
      <c r="BC37" s="49">
        <v>7654</v>
      </c>
      <c r="BD37" s="50">
        <v>90.25</v>
      </c>
      <c r="BE37" s="49">
        <v>14.13</v>
      </c>
      <c r="BF37" s="49">
        <v>12.53</v>
      </c>
      <c r="BG37" s="49">
        <v>28.71</v>
      </c>
      <c r="BH37" s="49">
        <v>27.29</v>
      </c>
      <c r="BI37" s="50">
        <v>65.572000000000003</v>
      </c>
      <c r="BJ37" s="50">
        <v>81.207999999999998</v>
      </c>
      <c r="BK37" s="50">
        <v>63.918999999999997</v>
      </c>
      <c r="BL37" s="50">
        <v>78.227000000000004</v>
      </c>
      <c r="BM37" s="50">
        <v>79.188999999999993</v>
      </c>
      <c r="BN37" s="49">
        <v>112.904</v>
      </c>
      <c r="BO37" s="49">
        <v>109.544</v>
      </c>
      <c r="BP37" s="50">
        <v>138.87200000000001</v>
      </c>
      <c r="BQ37" s="50">
        <v>140.87200000000001</v>
      </c>
      <c r="BR37" s="50">
        <v>61.343000000000004</v>
      </c>
      <c r="BS37" s="50">
        <v>29.2</v>
      </c>
      <c r="BT37" s="49">
        <v>7344.4459999999999</v>
      </c>
      <c r="BU37" s="49">
        <v>48.664000000000001</v>
      </c>
      <c r="BV37" s="49">
        <v>53.997999999999998</v>
      </c>
      <c r="BW37" s="50">
        <v>56.259</v>
      </c>
      <c r="BX37" s="50">
        <v>56.875</v>
      </c>
      <c r="BY37" s="49">
        <v>1.371</v>
      </c>
      <c r="BZ37" s="49">
        <v>3.17</v>
      </c>
      <c r="CA37" s="49">
        <v>2.9119999999999999</v>
      </c>
      <c r="CB37" s="49">
        <v>2.9039999999999999</v>
      </c>
      <c r="CC37" s="49">
        <v>0.84099999999999997</v>
      </c>
      <c r="CD37" s="50">
        <v>2.7970000000000002</v>
      </c>
      <c r="CE37" s="49">
        <v>1.3149999999999999</v>
      </c>
      <c r="CF37" s="49">
        <v>1.978</v>
      </c>
      <c r="CG37" s="50">
        <v>13.943</v>
      </c>
      <c r="CH37" s="49">
        <v>13.635999999999999</v>
      </c>
      <c r="CI37" s="3"/>
      <c r="CJ37" s="3"/>
      <c r="CK37" s="3"/>
      <c r="CL37" s="49">
        <v>0.2</v>
      </c>
      <c r="CM37" s="49">
        <v>1.1000000000000001</v>
      </c>
      <c r="CN37" s="49">
        <v>0.1</v>
      </c>
      <c r="CO37" s="49">
        <v>0.1</v>
      </c>
      <c r="CP37" s="49">
        <v>103.35599999999999</v>
      </c>
      <c r="CQ37" s="49">
        <v>100.428</v>
      </c>
      <c r="CR37" s="49">
        <v>130.00299999999999</v>
      </c>
      <c r="CS37" s="49">
        <v>131.92099999999999</v>
      </c>
      <c r="CT37" s="49">
        <v>0.246</v>
      </c>
      <c r="CU37" s="50">
        <v>4.2009999999999996</v>
      </c>
      <c r="CV37" s="50">
        <v>4.5960000000000001</v>
      </c>
      <c r="CW37" s="50">
        <v>4.4989999999999997</v>
      </c>
      <c r="CX37" s="50">
        <v>4.5990000000000002</v>
      </c>
      <c r="CY37" s="50">
        <v>4.4009999999999998</v>
      </c>
      <c r="CZ37" s="50">
        <v>4.5990000000000002</v>
      </c>
      <c r="DA37" s="50">
        <v>3.899</v>
      </c>
      <c r="DB37" s="50">
        <v>4.601</v>
      </c>
      <c r="DC37" s="49">
        <v>0</v>
      </c>
      <c r="DD37" s="50">
        <v>0</v>
      </c>
      <c r="DE37" s="49">
        <v>0.21099999999999999</v>
      </c>
      <c r="DF37" s="49">
        <v>5.0999999999999997E-2</v>
      </c>
      <c r="DG37" s="49">
        <v>0.36199999999999999</v>
      </c>
      <c r="DH37" s="49">
        <v>1.482</v>
      </c>
      <c r="DI37" s="49">
        <v>0.999</v>
      </c>
      <c r="DJ37" s="49">
        <v>0.26700000000000002</v>
      </c>
      <c r="DK37" s="49">
        <v>0.83899999999999997</v>
      </c>
      <c r="DL37" s="50">
        <v>0.41299999999999998</v>
      </c>
      <c r="DM37" s="50">
        <v>0.53900000000000003</v>
      </c>
      <c r="DN37" s="49">
        <v>0.378</v>
      </c>
      <c r="DO37" s="50">
        <v>0.43</v>
      </c>
      <c r="DP37" s="49">
        <v>67.022999999999996</v>
      </c>
      <c r="DQ37" s="50">
        <v>63.991999999999997</v>
      </c>
      <c r="DR37" s="49">
        <v>51.776000000000003</v>
      </c>
      <c r="DS37" s="50">
        <v>53.356000000000002</v>
      </c>
      <c r="DT37" s="49">
        <v>4.57</v>
      </c>
      <c r="DU37" s="49">
        <v>5.2</v>
      </c>
      <c r="DV37" s="49">
        <v>9.93</v>
      </c>
      <c r="DW37" s="49">
        <v>8.26</v>
      </c>
      <c r="DX37" s="49">
        <v>4.8099999999999996</v>
      </c>
      <c r="DY37" s="49">
        <v>5.33</v>
      </c>
      <c r="DZ37" s="49">
        <v>9.44</v>
      </c>
      <c r="EA37" s="49">
        <v>8.06</v>
      </c>
      <c r="EB37" s="50">
        <v>43.41</v>
      </c>
      <c r="EC37" s="49">
        <v>41.69</v>
      </c>
      <c r="ED37" s="50">
        <v>34.840000000000003</v>
      </c>
      <c r="EE37" s="50">
        <v>36.29</v>
      </c>
      <c r="EF37" s="49">
        <v>47.19</v>
      </c>
      <c r="EG37" s="49">
        <v>47.77</v>
      </c>
      <c r="EH37" s="49">
        <v>45.78</v>
      </c>
      <c r="EI37" s="49">
        <v>47.38</v>
      </c>
      <c r="EJ37" s="50">
        <v>7.3179999999999996</v>
      </c>
      <c r="EK37" s="49">
        <v>59.45</v>
      </c>
      <c r="EL37" s="49">
        <v>2.1</v>
      </c>
      <c r="EM37" s="50">
        <v>1.55</v>
      </c>
      <c r="EN37" s="49">
        <v>1.19</v>
      </c>
      <c r="EO37" s="49">
        <v>1.19</v>
      </c>
      <c r="EP37" s="49">
        <v>-100.38200000000001</v>
      </c>
      <c r="EQ37" s="49">
        <v>-2.2130000000000001</v>
      </c>
      <c r="ER37" s="49">
        <v>97.885999999999996</v>
      </c>
      <c r="ES37" s="49">
        <v>1.524</v>
      </c>
      <c r="ET37" s="49">
        <v>1.629</v>
      </c>
      <c r="EU37" s="49">
        <v>1.4690000000000001</v>
      </c>
      <c r="EV37" s="49">
        <v>7.7619999999999996</v>
      </c>
      <c r="EW37" s="49">
        <v>2.3940000000000001</v>
      </c>
      <c r="EX37" s="49">
        <v>66.86</v>
      </c>
      <c r="EY37" s="49">
        <v>0.12</v>
      </c>
      <c r="EZ37" s="49">
        <v>0</v>
      </c>
      <c r="FA37" s="50">
        <v>0</v>
      </c>
      <c r="FB37" s="49">
        <v>9.1560000000000006</v>
      </c>
      <c r="FC37" s="49">
        <v>74.718999999999994</v>
      </c>
      <c r="FD37" s="49">
        <v>70.837000000000003</v>
      </c>
      <c r="FE37" s="50">
        <v>85.495000000000005</v>
      </c>
      <c r="FF37" s="49">
        <v>84.158000000000001</v>
      </c>
      <c r="FG37" s="49">
        <v>0.94</v>
      </c>
      <c r="FH37" s="49">
        <v>0.93899999999999995</v>
      </c>
      <c r="FI37" s="49">
        <v>0.995</v>
      </c>
      <c r="FJ37" s="50">
        <v>1.0009999999999999</v>
      </c>
      <c r="FK37" s="49">
        <v>0</v>
      </c>
      <c r="FL37" s="49">
        <v>83</v>
      </c>
      <c r="FM37" s="49">
        <v>3.53</v>
      </c>
      <c r="FN37" s="49">
        <v>-0.72</v>
      </c>
      <c r="FO37" s="49">
        <v>5.38</v>
      </c>
      <c r="FP37" s="50">
        <v>3.8</v>
      </c>
      <c r="FQ37" s="49">
        <v>4.55</v>
      </c>
      <c r="FR37" s="49">
        <v>5.05</v>
      </c>
      <c r="FS37" s="49">
        <v>6.6835000000000004</v>
      </c>
      <c r="FT37" s="49">
        <v>1079.8</v>
      </c>
      <c r="FU37" s="49">
        <v>6.83</v>
      </c>
      <c r="FV37" s="50">
        <v>34.53</v>
      </c>
      <c r="FW37" s="49">
        <v>3067.5</v>
      </c>
      <c r="FX37" s="49">
        <v>162600</v>
      </c>
      <c r="FY37" s="49">
        <v>162900</v>
      </c>
      <c r="FZ37" s="49">
        <v>48.499000000000002</v>
      </c>
      <c r="GA37" s="49">
        <v>47.616</v>
      </c>
      <c r="GB37" s="49">
        <v>2189.4</v>
      </c>
      <c r="GC37" s="49">
        <v>2163.3000000000002</v>
      </c>
      <c r="GD37" s="49">
        <v>2223.3000000000002</v>
      </c>
      <c r="GE37" s="49">
        <v>2225.1</v>
      </c>
      <c r="GF37" s="49">
        <v>1242.5780999999999</v>
      </c>
      <c r="GG37" s="49">
        <v>29</v>
      </c>
      <c r="GH37" s="49">
        <v>29</v>
      </c>
      <c r="GI37" s="49">
        <v>47.9</v>
      </c>
      <c r="GJ37" s="49">
        <v>53.3</v>
      </c>
      <c r="GK37" s="49">
        <v>99.5</v>
      </c>
      <c r="GL37" s="49">
        <v>76.8</v>
      </c>
      <c r="GM37" s="50">
        <v>0</v>
      </c>
      <c r="GN37" s="50">
        <v>27.315999999999999</v>
      </c>
      <c r="GO37" s="49">
        <v>100.38200000000001</v>
      </c>
      <c r="GP37" s="50">
        <v>0</v>
      </c>
      <c r="GQ37" s="49">
        <v>1.9470000000000001</v>
      </c>
      <c r="GR37" s="50">
        <v>0</v>
      </c>
      <c r="GS37" s="49">
        <v>2.0059999999999998</v>
      </c>
      <c r="GT37" s="50">
        <v>0</v>
      </c>
      <c r="GU37" s="49">
        <v>1.8879999999999999</v>
      </c>
      <c r="GV37" s="50">
        <v>0</v>
      </c>
      <c r="GW37" s="49">
        <v>13.827</v>
      </c>
      <c r="GX37" s="49">
        <v>15.19</v>
      </c>
      <c r="GY37" s="50">
        <v>0</v>
      </c>
      <c r="GZ37" s="50">
        <v>0</v>
      </c>
      <c r="HA37" s="50">
        <v>0</v>
      </c>
      <c r="HB37" s="49">
        <v>0</v>
      </c>
      <c r="HC37" s="49">
        <v>23.64</v>
      </c>
      <c r="HD37" s="49">
        <v>86</v>
      </c>
      <c r="HE37" s="50">
        <v>0</v>
      </c>
      <c r="HF37" s="50">
        <v>0</v>
      </c>
      <c r="HG37" s="49">
        <v>72.27</v>
      </c>
      <c r="HH37" s="49">
        <v>82.39</v>
      </c>
      <c r="HI37" s="50">
        <v>0</v>
      </c>
      <c r="HJ37" s="50">
        <v>0</v>
      </c>
      <c r="HK37" s="50">
        <v>0</v>
      </c>
      <c r="HL37" s="49">
        <v>63</v>
      </c>
      <c r="HM37" s="49">
        <v>55</v>
      </c>
      <c r="HN37" s="50">
        <v>70</v>
      </c>
      <c r="HO37" s="50">
        <v>64</v>
      </c>
      <c r="HP37" s="50">
        <v>67</v>
      </c>
      <c r="HQ37" s="50">
        <v>64</v>
      </c>
      <c r="HR37" s="50">
        <v>55</v>
      </c>
      <c r="HS37" s="49">
        <v>64</v>
      </c>
      <c r="HT37" s="49">
        <v>-1.2865</v>
      </c>
      <c r="HU37" s="50">
        <v>0</v>
      </c>
      <c r="HV37" s="49">
        <v>-0.13700000000000001</v>
      </c>
      <c r="HW37" s="49">
        <v>37.47</v>
      </c>
      <c r="HX37" s="49">
        <v>50.91</v>
      </c>
      <c r="HY37" s="3"/>
      <c r="HZ37" s="3"/>
      <c r="IA37" s="49">
        <v>2.661</v>
      </c>
      <c r="IB37" s="50">
        <v>104</v>
      </c>
      <c r="IC37" s="49">
        <v>22.239000000000001</v>
      </c>
      <c r="ID37" s="49">
        <v>-0.191</v>
      </c>
      <c r="IE37" s="49">
        <v>-7.5999999999999998E-2</v>
      </c>
      <c r="IF37" s="50">
        <v>839.9</v>
      </c>
      <c r="IG37" s="49">
        <v>761</v>
      </c>
      <c r="IH37" s="49">
        <v>831.5</v>
      </c>
      <c r="II37" s="49">
        <v>776.9</v>
      </c>
      <c r="IJ37" s="49">
        <v>-5.3999999999999999E-2</v>
      </c>
      <c r="IK37" s="50">
        <v>-0.11899999999999999</v>
      </c>
      <c r="IL37" s="49">
        <v>80.736000000000004</v>
      </c>
      <c r="IM37" s="49">
        <v>80.736000000000004</v>
      </c>
      <c r="IN37" s="50">
        <v>16.419</v>
      </c>
      <c r="IO37" s="49">
        <v>0.496</v>
      </c>
      <c r="IP37" s="49">
        <v>10.210000000000001</v>
      </c>
      <c r="IQ37" s="49">
        <v>0</v>
      </c>
      <c r="IR37" s="49">
        <v>0</v>
      </c>
      <c r="IS37">
        <v>0.3640000000000001</v>
      </c>
      <c r="IT37">
        <v>0.21900000000000008</v>
      </c>
    </row>
    <row r="38" spans="2:254" x14ac:dyDescent="0.25">
      <c r="IS38">
        <v>0.3640000000000001</v>
      </c>
      <c r="IT38">
        <v>0.21900000000000008</v>
      </c>
    </row>
    <row r="39" spans="2:254" x14ac:dyDescent="0.25">
      <c r="IS39">
        <v>0.3640000000000001</v>
      </c>
      <c r="IT39">
        <v>0.21900000000000008</v>
      </c>
    </row>
    <row r="40" spans="2:254" x14ac:dyDescent="0.25">
      <c r="IS40">
        <v>0.3640000000000001</v>
      </c>
      <c r="IT40">
        <v>0.21900000000000008</v>
      </c>
    </row>
    <row r="41" spans="2:254" x14ac:dyDescent="0.25">
      <c r="B41" s="2" t="s">
        <v>412</v>
      </c>
      <c r="C41" s="2" t="s">
        <v>41</v>
      </c>
      <c r="D41" s="61">
        <v>1.7211805555555557E-2</v>
      </c>
      <c r="E41" s="50">
        <v>1487.1030000000001</v>
      </c>
      <c r="F41" s="49">
        <v>328.85</v>
      </c>
      <c r="G41" s="49">
        <v>5.71</v>
      </c>
      <c r="H41" s="50">
        <v>29</v>
      </c>
      <c r="I41" s="50">
        <v>0</v>
      </c>
      <c r="J41" s="50">
        <v>1267.5999999999999</v>
      </c>
      <c r="K41" s="50">
        <v>11</v>
      </c>
      <c r="L41" s="49">
        <v>6</v>
      </c>
      <c r="M41" s="50">
        <v>6</v>
      </c>
      <c r="N41" s="50">
        <v>3</v>
      </c>
      <c r="O41" s="50">
        <v>3</v>
      </c>
      <c r="P41" s="49">
        <v>0.77200000000000002</v>
      </c>
      <c r="Q41" s="49">
        <v>1.1739999999999999</v>
      </c>
      <c r="R41" s="49">
        <v>0.82799999999999996</v>
      </c>
      <c r="S41" s="49">
        <v>0.64</v>
      </c>
      <c r="T41" s="49">
        <v>67.56</v>
      </c>
      <c r="U41" s="50">
        <v>61.539000000000001</v>
      </c>
      <c r="V41" s="49">
        <v>105</v>
      </c>
      <c r="W41" s="49">
        <v>70</v>
      </c>
      <c r="X41" s="50">
        <v>90</v>
      </c>
      <c r="Y41" s="50">
        <v>90</v>
      </c>
      <c r="Z41" s="49">
        <v>176.15</v>
      </c>
      <c r="AA41" s="49">
        <v>170.75</v>
      </c>
      <c r="AB41" s="49">
        <v>131.61000000000001</v>
      </c>
      <c r="AC41" s="49">
        <v>148.04</v>
      </c>
      <c r="AD41" s="49">
        <v>1.78</v>
      </c>
      <c r="AE41" s="50">
        <v>1.8580000000000001</v>
      </c>
      <c r="AF41" s="49">
        <v>1.6830000000000001</v>
      </c>
      <c r="AG41" s="49">
        <v>1.7310000000000001</v>
      </c>
      <c r="AH41" s="49">
        <v>68.14</v>
      </c>
      <c r="AI41" s="49">
        <v>66.23</v>
      </c>
      <c r="AJ41" s="49">
        <v>84.1</v>
      </c>
      <c r="AK41" s="49">
        <v>83.15</v>
      </c>
      <c r="AL41" s="49">
        <v>601.15200000000004</v>
      </c>
      <c r="AM41" s="49">
        <v>632.79899999999998</v>
      </c>
      <c r="AN41" s="49">
        <v>700.28800000000001</v>
      </c>
      <c r="AO41" s="49">
        <v>658.01800000000003</v>
      </c>
      <c r="AP41" s="50">
        <v>1.401</v>
      </c>
      <c r="AQ41" s="49">
        <v>1.87</v>
      </c>
      <c r="AR41" s="49">
        <v>39.156999999999996</v>
      </c>
      <c r="AS41" s="49">
        <v>39.389000000000003</v>
      </c>
      <c r="AT41" s="50">
        <v>85</v>
      </c>
      <c r="AU41" s="49">
        <v>109</v>
      </c>
      <c r="AV41" s="49">
        <v>2.1644999999999999</v>
      </c>
      <c r="AW41" s="49">
        <v>4.3868</v>
      </c>
      <c r="AX41" s="50">
        <v>1028.5</v>
      </c>
      <c r="AY41" s="50">
        <v>2.34</v>
      </c>
      <c r="AZ41" s="49">
        <v>5.7</v>
      </c>
      <c r="BA41" s="50">
        <v>66.900000000000006</v>
      </c>
      <c r="BB41" s="50">
        <v>67</v>
      </c>
      <c r="BC41" s="50">
        <v>7857</v>
      </c>
      <c r="BD41" s="49">
        <v>89.25</v>
      </c>
      <c r="BE41" s="49">
        <v>13.93</v>
      </c>
      <c r="BF41" s="49">
        <v>12.98</v>
      </c>
      <c r="BG41" s="49">
        <v>26.68</v>
      </c>
      <c r="BH41" s="49">
        <v>26.49</v>
      </c>
      <c r="BI41" s="50">
        <v>65.542000000000002</v>
      </c>
      <c r="BJ41" s="49">
        <v>82.534000000000006</v>
      </c>
      <c r="BK41" s="50">
        <v>63.746000000000002</v>
      </c>
      <c r="BL41" s="49">
        <v>79.683999999999997</v>
      </c>
      <c r="BM41" s="49">
        <v>79.951999999999998</v>
      </c>
      <c r="BN41" s="50">
        <v>130.71199999999999</v>
      </c>
      <c r="BO41" s="50">
        <v>124.98399999999999</v>
      </c>
      <c r="BP41" s="49">
        <v>120.47199999999999</v>
      </c>
      <c r="BQ41" s="49">
        <v>125.896</v>
      </c>
      <c r="BR41" s="49">
        <v>58.904000000000003</v>
      </c>
      <c r="BS41" s="49">
        <v>25.9</v>
      </c>
      <c r="BT41" s="49">
        <v>7161.17</v>
      </c>
      <c r="BU41" s="49">
        <v>26.334</v>
      </c>
      <c r="BV41" s="50">
        <v>54.689</v>
      </c>
      <c r="BW41" s="49">
        <v>55.436999999999998</v>
      </c>
      <c r="BX41" s="50">
        <v>56.747</v>
      </c>
      <c r="BY41" s="49">
        <v>1.35</v>
      </c>
      <c r="BZ41" s="49">
        <v>2.5870000000000002</v>
      </c>
      <c r="CA41" s="50">
        <v>3.706</v>
      </c>
      <c r="CB41" s="49">
        <v>2.7010000000000001</v>
      </c>
      <c r="CC41" s="50">
        <v>0.99399999999999999</v>
      </c>
      <c r="CD41" s="49">
        <v>2.2919999999999998</v>
      </c>
      <c r="CE41" s="50">
        <v>1.3759999999999999</v>
      </c>
      <c r="CF41" s="50">
        <v>2.1739999999999999</v>
      </c>
      <c r="CG41" s="49">
        <v>13.856999999999999</v>
      </c>
      <c r="CH41" s="50">
        <v>10.138999999999999</v>
      </c>
      <c r="CI41" s="50">
        <v>3.32</v>
      </c>
      <c r="CJ41" s="49">
        <v>2.2810000000000001</v>
      </c>
      <c r="CK41" s="49">
        <v>1.018</v>
      </c>
      <c r="CL41" s="49">
        <v>0</v>
      </c>
      <c r="CM41" s="49">
        <v>0.1</v>
      </c>
      <c r="CN41" s="50">
        <v>0</v>
      </c>
      <c r="CO41" s="50">
        <v>0</v>
      </c>
      <c r="CP41" s="50">
        <v>110.116</v>
      </c>
      <c r="CQ41" s="50">
        <v>104.36199999999999</v>
      </c>
      <c r="CR41" s="49">
        <v>91.070999999999998</v>
      </c>
      <c r="CS41" s="49">
        <v>93.119</v>
      </c>
      <c r="CT41" s="49">
        <v>0.34899999999999998</v>
      </c>
      <c r="CU41" s="49">
        <v>1.097</v>
      </c>
      <c r="CV41" s="49">
        <v>1.694</v>
      </c>
      <c r="CW41" s="49">
        <v>0.8</v>
      </c>
      <c r="CX41" s="49">
        <v>1.097</v>
      </c>
      <c r="CY41" s="49">
        <v>1.3959999999999999</v>
      </c>
      <c r="CZ41" s="49">
        <v>1.2949999999999999</v>
      </c>
      <c r="DA41" s="49">
        <v>0.69699999999999995</v>
      </c>
      <c r="DB41" s="49">
        <v>1.8939999999999999</v>
      </c>
      <c r="DC41" s="50">
        <v>0</v>
      </c>
      <c r="DD41" s="50">
        <v>0</v>
      </c>
      <c r="DE41" s="49">
        <v>0.04</v>
      </c>
      <c r="DF41" s="49">
        <v>5.6000000000000001E-2</v>
      </c>
      <c r="DG41" s="49">
        <v>0.28799999999999998</v>
      </c>
      <c r="DH41" s="50">
        <v>2.0699999999999998</v>
      </c>
      <c r="DI41" s="49">
        <v>1.075</v>
      </c>
      <c r="DJ41" s="49">
        <v>0.28999999999999998</v>
      </c>
      <c r="DK41" s="49">
        <v>0.80500000000000005</v>
      </c>
      <c r="DL41" s="50">
        <v>0.40799999999999997</v>
      </c>
      <c r="DM41" s="49">
        <v>0.48299999999999998</v>
      </c>
      <c r="DN41" s="49">
        <v>0.34799999999999998</v>
      </c>
      <c r="DO41" s="49">
        <v>0.36</v>
      </c>
      <c r="DP41" s="49">
        <v>64.302999999999997</v>
      </c>
      <c r="DQ41" s="49">
        <v>61.164999999999999</v>
      </c>
      <c r="DR41" s="49">
        <v>53.951999999999998</v>
      </c>
      <c r="DS41" s="49">
        <v>53.353999999999999</v>
      </c>
      <c r="DT41" s="49">
        <v>0.75</v>
      </c>
      <c r="DU41" s="49">
        <v>0.84</v>
      </c>
      <c r="DV41" s="49">
        <v>1.91</v>
      </c>
      <c r="DW41" s="49">
        <v>1.68</v>
      </c>
      <c r="DX41" s="49">
        <v>0.79</v>
      </c>
      <c r="DY41" s="49">
        <v>0.83</v>
      </c>
      <c r="DZ41" s="49">
        <v>1.82</v>
      </c>
      <c r="EA41" s="49">
        <v>1.65</v>
      </c>
      <c r="EB41" s="49">
        <v>13.88</v>
      </c>
      <c r="EC41" s="49">
        <v>16.11</v>
      </c>
      <c r="ED41" s="49">
        <v>22.7</v>
      </c>
      <c r="EE41" s="49">
        <v>11.09</v>
      </c>
      <c r="EF41" s="50">
        <v>84.58</v>
      </c>
      <c r="EG41" s="50">
        <v>82.22</v>
      </c>
      <c r="EH41" s="50">
        <v>73.56</v>
      </c>
      <c r="EI41" s="50">
        <v>85.58</v>
      </c>
      <c r="EJ41" s="49">
        <v>4.8289999999999997</v>
      </c>
      <c r="EK41" s="49">
        <v>51.146000000000001</v>
      </c>
      <c r="EL41" s="50">
        <v>2.2000000000000002</v>
      </c>
      <c r="EM41" s="50">
        <v>1.55</v>
      </c>
      <c r="EN41" s="49">
        <v>1.06</v>
      </c>
      <c r="EO41" s="49">
        <v>1.06</v>
      </c>
      <c r="EP41" s="50">
        <v>-107.682</v>
      </c>
      <c r="EQ41" s="49">
        <v>-0.375</v>
      </c>
      <c r="ER41" s="50">
        <v>142.27000000000001</v>
      </c>
      <c r="ES41" s="49">
        <v>0.23400000000000001</v>
      </c>
      <c r="ET41" s="49">
        <v>0.253</v>
      </c>
      <c r="EU41" s="49">
        <v>0.22600000000000001</v>
      </c>
      <c r="EV41" s="49">
        <v>7.766</v>
      </c>
      <c r="EW41" s="49">
        <v>1.8080000000000001</v>
      </c>
      <c r="EX41" s="49">
        <v>-364.1</v>
      </c>
      <c r="EY41" s="49">
        <v>0</v>
      </c>
      <c r="EZ41" s="49">
        <v>0</v>
      </c>
      <c r="FA41" s="50">
        <v>0</v>
      </c>
      <c r="FB41" s="49">
        <v>1.3740000000000001</v>
      </c>
      <c r="FC41" s="50">
        <v>71.257000000000005</v>
      </c>
      <c r="FD41" s="50">
        <v>67.998999999999995</v>
      </c>
      <c r="FE41" s="50">
        <v>78.394999999999996</v>
      </c>
      <c r="FF41" s="50">
        <v>77.572000000000003</v>
      </c>
      <c r="FG41" s="50">
        <v>1.016</v>
      </c>
      <c r="FH41" s="50">
        <v>1.016</v>
      </c>
      <c r="FI41" s="49">
        <v>1.0009999999999999</v>
      </c>
      <c r="FJ41" s="49">
        <v>1.0009999999999999</v>
      </c>
      <c r="FK41" s="50">
        <v>0.40200000000000002</v>
      </c>
      <c r="FL41" s="50">
        <v>85</v>
      </c>
      <c r="FM41" s="49">
        <v>3.58</v>
      </c>
      <c r="FN41" s="50">
        <v>-0.93</v>
      </c>
      <c r="FO41" s="49">
        <v>5.53</v>
      </c>
      <c r="FP41" s="50">
        <v>0.15</v>
      </c>
      <c r="FQ41" s="50">
        <v>0.7</v>
      </c>
      <c r="FR41" s="49">
        <v>5.15</v>
      </c>
      <c r="FS41" s="49">
        <v>6.6905000000000001</v>
      </c>
      <c r="FT41" s="49">
        <v>1072.2</v>
      </c>
      <c r="FU41" s="49">
        <v>6.27</v>
      </c>
      <c r="FV41" s="49">
        <v>5.7</v>
      </c>
      <c r="FW41" s="49">
        <v>3155.5</v>
      </c>
      <c r="FX41" s="49">
        <v>164800</v>
      </c>
      <c r="FY41" s="49">
        <v>165000</v>
      </c>
      <c r="FZ41" s="49">
        <v>49.418999999999997</v>
      </c>
      <c r="GA41" s="49">
        <v>48.834000000000003</v>
      </c>
      <c r="GB41" s="49">
        <v>2156.5</v>
      </c>
      <c r="GC41" s="50">
        <v>2329.5</v>
      </c>
      <c r="GD41" s="50">
        <v>2277.6</v>
      </c>
      <c r="GE41" s="50">
        <v>2329.5</v>
      </c>
      <c r="GF41" s="49">
        <v>1458.5</v>
      </c>
      <c r="GG41" s="50">
        <v>36</v>
      </c>
      <c r="GH41" s="50">
        <v>35.700000000000003</v>
      </c>
      <c r="GI41" s="50">
        <v>82.2</v>
      </c>
      <c r="GJ41" s="50">
        <v>83.6</v>
      </c>
      <c r="GK41" s="50">
        <v>96.5</v>
      </c>
      <c r="GL41" s="49">
        <v>78.2</v>
      </c>
      <c r="GM41" s="50">
        <v>0</v>
      </c>
      <c r="GN41" s="49">
        <v>27.126000000000001</v>
      </c>
      <c r="GO41" s="50">
        <v>142.27000000000001</v>
      </c>
      <c r="GP41" s="50">
        <v>0</v>
      </c>
      <c r="GQ41" s="50">
        <v>4.0119999999999996</v>
      </c>
      <c r="GR41" s="50">
        <v>0</v>
      </c>
      <c r="GS41" s="50">
        <v>4.5430000000000001</v>
      </c>
      <c r="GT41" s="50">
        <v>0</v>
      </c>
      <c r="GU41" s="50">
        <v>4.0709999999999997</v>
      </c>
      <c r="GV41" s="50">
        <v>0</v>
      </c>
      <c r="GW41" s="49">
        <v>2.145</v>
      </c>
      <c r="GX41" s="50">
        <v>22.54</v>
      </c>
      <c r="GY41" s="50">
        <v>0</v>
      </c>
      <c r="GZ41" s="50">
        <v>0</v>
      </c>
      <c r="HA41" s="50">
        <v>0</v>
      </c>
      <c r="HB41" s="50">
        <v>1</v>
      </c>
      <c r="HC41" s="49">
        <v>16.163</v>
      </c>
      <c r="HD41" s="50">
        <v>86</v>
      </c>
      <c r="HE41" s="50">
        <v>0</v>
      </c>
      <c r="HF41" s="50">
        <v>0</v>
      </c>
      <c r="HG41" s="49">
        <v>74.52</v>
      </c>
      <c r="HH41" s="50">
        <v>100</v>
      </c>
      <c r="HI41" s="50">
        <v>0</v>
      </c>
      <c r="HJ41" s="50">
        <v>0</v>
      </c>
      <c r="HK41" s="50">
        <v>0</v>
      </c>
      <c r="HL41" s="50">
        <v>72</v>
      </c>
      <c r="HM41" s="50">
        <v>56</v>
      </c>
      <c r="HN41" s="50">
        <v>70</v>
      </c>
      <c r="HO41" s="50">
        <v>61</v>
      </c>
      <c r="HP41" s="50">
        <v>60</v>
      </c>
      <c r="HQ41" s="50">
        <v>59</v>
      </c>
      <c r="HR41" s="50">
        <v>56</v>
      </c>
      <c r="HS41" s="50">
        <v>62</v>
      </c>
      <c r="HT41" s="49">
        <v>-1.3145</v>
      </c>
      <c r="HU41" s="50">
        <v>0</v>
      </c>
      <c r="HV41" s="49">
        <v>-0.32500000000000001</v>
      </c>
      <c r="HW41" s="50">
        <v>40.619999999999997</v>
      </c>
      <c r="HX41" s="50">
        <v>55.17</v>
      </c>
      <c r="HY41" s="3"/>
      <c r="HZ41" s="3"/>
      <c r="IA41" s="49">
        <v>2.2949999999999999</v>
      </c>
      <c r="IB41" s="49">
        <v>89</v>
      </c>
      <c r="IC41" s="49">
        <v>16.997</v>
      </c>
      <c r="ID41" s="50">
        <v>-4.2000000000000003E-2</v>
      </c>
      <c r="IE41" s="50">
        <v>-1.7999999999999999E-2</v>
      </c>
      <c r="IF41" s="49">
        <v>795.1</v>
      </c>
      <c r="IG41" s="49">
        <v>314.60000000000002</v>
      </c>
      <c r="IH41" s="49">
        <v>806.6</v>
      </c>
      <c r="II41" s="49">
        <v>335.7</v>
      </c>
      <c r="IJ41" s="49">
        <v>2.1999999999999999E-2</v>
      </c>
      <c r="IK41" s="49">
        <v>1.2999999999999999E-2</v>
      </c>
      <c r="IL41" s="50">
        <v>1344.675</v>
      </c>
      <c r="IM41" s="50">
        <v>1344.5160000000001</v>
      </c>
      <c r="IN41" s="50">
        <v>21.2</v>
      </c>
      <c r="IO41" s="49">
        <v>5.6000000000000001E-2</v>
      </c>
      <c r="IP41" s="50">
        <v>10.52</v>
      </c>
      <c r="IQ41" s="50">
        <v>3.4000000000000002E-2</v>
      </c>
      <c r="IR41" s="50">
        <v>3.4000000000000002E-2</v>
      </c>
      <c r="IS41">
        <v>0.3640000000000001</v>
      </c>
      <c r="IT41">
        <v>0.21900000000000008</v>
      </c>
    </row>
    <row r="42" spans="2:254" x14ac:dyDescent="0.25">
      <c r="B42" s="2" t="s">
        <v>412</v>
      </c>
      <c r="C42" s="62" t="s">
        <v>42</v>
      </c>
      <c r="D42" s="63">
        <v>2.4829861111111112E-3</v>
      </c>
      <c r="E42" s="49">
        <v>214.57</v>
      </c>
      <c r="F42" s="50">
        <v>332.83</v>
      </c>
      <c r="G42" s="49">
        <v>5.78</v>
      </c>
      <c r="H42" s="49">
        <v>28.1</v>
      </c>
      <c r="I42" s="50">
        <v>0</v>
      </c>
      <c r="J42" s="49">
        <v>18.399999999999999</v>
      </c>
      <c r="K42" s="49">
        <v>7</v>
      </c>
      <c r="L42" s="49">
        <v>7</v>
      </c>
      <c r="M42" s="50">
        <v>6</v>
      </c>
      <c r="N42" s="50">
        <v>3</v>
      </c>
      <c r="O42" s="50">
        <v>3</v>
      </c>
      <c r="P42" s="49">
        <v>0.81799999999999995</v>
      </c>
      <c r="Q42" s="49">
        <v>1.1020000000000001</v>
      </c>
      <c r="R42" s="49">
        <v>0.81799999999999995</v>
      </c>
      <c r="S42" s="50">
        <v>0.879</v>
      </c>
      <c r="T42" s="49">
        <v>78.88</v>
      </c>
      <c r="U42" s="49">
        <v>61.45</v>
      </c>
      <c r="V42" s="49">
        <v>223.34</v>
      </c>
      <c r="W42" s="49">
        <v>223.34</v>
      </c>
      <c r="X42" s="49">
        <v>152.5</v>
      </c>
      <c r="Y42" s="49">
        <v>197.5</v>
      </c>
      <c r="Z42" s="49">
        <v>361.02</v>
      </c>
      <c r="AA42" s="49">
        <v>360.76</v>
      </c>
      <c r="AB42" s="49">
        <v>260.39</v>
      </c>
      <c r="AC42" s="49">
        <v>323.61</v>
      </c>
      <c r="AD42" s="49">
        <v>1.7569999999999999</v>
      </c>
      <c r="AE42" s="49">
        <v>1.829</v>
      </c>
      <c r="AF42" s="49">
        <v>1.704</v>
      </c>
      <c r="AG42" s="49">
        <v>1.736</v>
      </c>
      <c r="AH42" s="49">
        <v>77.489999999999995</v>
      </c>
      <c r="AI42" s="49">
        <v>75.599999999999994</v>
      </c>
      <c r="AJ42" s="49">
        <v>96.11</v>
      </c>
      <c r="AK42" s="49">
        <v>92.83</v>
      </c>
      <c r="AL42" s="49">
        <v>605.79</v>
      </c>
      <c r="AM42" s="50">
        <v>647.18600000000004</v>
      </c>
      <c r="AN42" s="49">
        <v>730.47199999999998</v>
      </c>
      <c r="AO42" s="49">
        <v>706.95699999999999</v>
      </c>
      <c r="AP42" s="49">
        <v>1.381</v>
      </c>
      <c r="AQ42" s="49">
        <v>1.861</v>
      </c>
      <c r="AR42" s="50">
        <v>41.765999999999998</v>
      </c>
      <c r="AS42" s="49">
        <v>39.930999999999997</v>
      </c>
      <c r="AT42" s="49">
        <v>83</v>
      </c>
      <c r="AU42" s="49">
        <v>113</v>
      </c>
      <c r="AV42" s="49">
        <v>1.9355</v>
      </c>
      <c r="AW42" s="50">
        <v>5.1951000000000001</v>
      </c>
      <c r="AX42" s="49">
        <v>1017</v>
      </c>
      <c r="AY42" s="49">
        <v>2.27</v>
      </c>
      <c r="AZ42" s="50">
        <v>5.68</v>
      </c>
      <c r="BA42" s="49">
        <v>139.71600000000001</v>
      </c>
      <c r="BB42" s="49">
        <v>140.19800000000001</v>
      </c>
      <c r="BC42" s="49">
        <v>7735</v>
      </c>
      <c r="BD42" s="49">
        <v>88</v>
      </c>
      <c r="BE42" s="49">
        <v>14.404999999999999</v>
      </c>
      <c r="BF42" s="49">
        <v>13.305</v>
      </c>
      <c r="BG42" s="49">
        <v>27.59</v>
      </c>
      <c r="BH42" s="49">
        <v>25.56</v>
      </c>
      <c r="BI42" s="3"/>
      <c r="BJ42" s="3"/>
      <c r="BK42" s="3"/>
      <c r="BL42" s="3"/>
      <c r="BM42" s="3"/>
      <c r="BN42" s="49">
        <v>97.272000000000006</v>
      </c>
      <c r="BO42" s="49">
        <v>95.64</v>
      </c>
      <c r="BP42" s="49">
        <v>114.232</v>
      </c>
      <c r="BQ42" s="49">
        <v>118.648</v>
      </c>
      <c r="BR42" s="3"/>
      <c r="BS42" s="49">
        <v>27.7</v>
      </c>
      <c r="BT42" s="49">
        <v>7434.0829999999996</v>
      </c>
      <c r="BU42" s="50">
        <v>50.265000000000001</v>
      </c>
      <c r="BV42" s="49">
        <v>53.872999999999998</v>
      </c>
      <c r="BW42" s="49">
        <v>53.564999999999998</v>
      </c>
      <c r="BX42" s="49">
        <v>55.298000000000002</v>
      </c>
      <c r="BY42" s="49">
        <v>1.298</v>
      </c>
      <c r="BZ42" s="49">
        <v>2.9249999999999998</v>
      </c>
      <c r="CA42" s="49">
        <v>3.5609999999999999</v>
      </c>
      <c r="CB42" s="50">
        <v>3.1629999999999998</v>
      </c>
      <c r="CC42" s="49">
        <v>0.96</v>
      </c>
      <c r="CD42" s="49">
        <v>2.37</v>
      </c>
      <c r="CE42" s="49">
        <v>1.2450000000000001</v>
      </c>
      <c r="CF42" s="49">
        <v>2.097</v>
      </c>
      <c r="CG42" s="49">
        <v>13.951000000000001</v>
      </c>
      <c r="CH42" s="49">
        <v>13.8</v>
      </c>
      <c r="CI42" s="49">
        <v>3.105</v>
      </c>
      <c r="CJ42" s="50">
        <v>3.41</v>
      </c>
      <c r="CK42" s="50">
        <v>1.4510000000000001</v>
      </c>
      <c r="CL42" s="49">
        <v>0</v>
      </c>
      <c r="CM42" s="50">
        <v>1.2</v>
      </c>
      <c r="CN42" s="50">
        <v>0</v>
      </c>
      <c r="CO42" s="50">
        <v>0</v>
      </c>
      <c r="CP42" s="49">
        <v>91.938000000000002</v>
      </c>
      <c r="CQ42" s="49">
        <v>90.022000000000006</v>
      </c>
      <c r="CR42" s="49">
        <v>103.726</v>
      </c>
      <c r="CS42" s="49">
        <v>109.252</v>
      </c>
      <c r="CT42" s="49">
        <v>0.32400000000000001</v>
      </c>
      <c r="CU42" s="49">
        <v>1.196</v>
      </c>
      <c r="CV42" s="49">
        <v>1.196</v>
      </c>
      <c r="CW42" s="49">
        <v>1.2010000000000001</v>
      </c>
      <c r="CX42" s="49">
        <v>1.5980000000000001</v>
      </c>
      <c r="CY42" s="49">
        <v>1.0960000000000001</v>
      </c>
      <c r="CZ42" s="49">
        <v>1.101</v>
      </c>
      <c r="DA42" s="49">
        <v>0.6</v>
      </c>
      <c r="DB42" s="49">
        <v>1.5980000000000001</v>
      </c>
      <c r="DC42" s="50">
        <v>0</v>
      </c>
      <c r="DD42" s="50">
        <v>0</v>
      </c>
      <c r="DE42" s="50">
        <v>0.30299999999999999</v>
      </c>
      <c r="DF42" s="50">
        <v>0.17599999999999999</v>
      </c>
      <c r="DG42" s="50">
        <v>1.101</v>
      </c>
      <c r="DH42" s="49">
        <v>1.891</v>
      </c>
      <c r="DI42" s="50">
        <v>1.1120000000000001</v>
      </c>
      <c r="DJ42" s="49">
        <v>0.27400000000000002</v>
      </c>
      <c r="DK42" s="49">
        <v>0.76900000000000002</v>
      </c>
      <c r="DL42" s="49">
        <v>0.40600000000000003</v>
      </c>
      <c r="DM42" s="49">
        <v>-0.01</v>
      </c>
      <c r="DN42" s="49">
        <v>-2.4929999999999999</v>
      </c>
      <c r="DO42" s="49">
        <v>0.27100000000000002</v>
      </c>
      <c r="DP42" s="49">
        <v>63.87</v>
      </c>
      <c r="DQ42" s="50">
        <v>62.222999999999999</v>
      </c>
      <c r="DR42" s="49">
        <v>54.302</v>
      </c>
      <c r="DS42" s="49">
        <v>53.509</v>
      </c>
      <c r="DT42" s="50">
        <v>5.86</v>
      </c>
      <c r="DU42" s="50">
        <v>6.08</v>
      </c>
      <c r="DV42" s="50">
        <v>14.4</v>
      </c>
      <c r="DW42" s="50">
        <v>12.26</v>
      </c>
      <c r="DX42" s="50">
        <v>6.34</v>
      </c>
      <c r="DY42" s="50">
        <v>6.45</v>
      </c>
      <c r="DZ42" s="50">
        <v>14.12</v>
      </c>
      <c r="EA42" s="50">
        <v>12.37</v>
      </c>
      <c r="EB42" s="49">
        <v>43.11</v>
      </c>
      <c r="EC42" s="49">
        <v>41.71</v>
      </c>
      <c r="ED42" s="49">
        <v>31.69</v>
      </c>
      <c r="EE42" s="49">
        <v>33.619999999999997</v>
      </c>
      <c r="EF42" s="49">
        <v>44.7</v>
      </c>
      <c r="EG42" s="49">
        <v>45.76</v>
      </c>
      <c r="EH42" s="49">
        <v>39.79</v>
      </c>
      <c r="EI42" s="49">
        <v>41.75</v>
      </c>
      <c r="EJ42" s="49">
        <v>5.5839999999999996</v>
      </c>
      <c r="EK42" s="49">
        <v>59.274000000000001</v>
      </c>
      <c r="EL42" s="49">
        <v>2.1</v>
      </c>
      <c r="EM42" s="49">
        <v>1.6</v>
      </c>
      <c r="EN42" s="49">
        <v>1.23</v>
      </c>
      <c r="EO42" s="49">
        <v>1.23</v>
      </c>
      <c r="EP42" s="49">
        <v>-98.63</v>
      </c>
      <c r="EQ42" s="49">
        <v>-2.6909999999999998</v>
      </c>
      <c r="ER42" s="49">
        <v>99.93</v>
      </c>
      <c r="ES42" s="49">
        <v>1.474</v>
      </c>
      <c r="ET42" s="49">
        <v>1.6240000000000001</v>
      </c>
      <c r="EU42" s="49">
        <v>1.4379999999999999</v>
      </c>
      <c r="EV42" s="49">
        <v>7.4569999999999999</v>
      </c>
      <c r="EW42" s="49">
        <v>1.7410000000000001</v>
      </c>
      <c r="EX42" s="49">
        <v>70.78</v>
      </c>
      <c r="EY42" s="49">
        <v>0</v>
      </c>
      <c r="EZ42" s="50">
        <v>1.482</v>
      </c>
      <c r="FA42" s="50">
        <v>0</v>
      </c>
      <c r="FB42" s="49">
        <v>9.09</v>
      </c>
      <c r="FC42" s="49">
        <v>66.611000000000004</v>
      </c>
      <c r="FD42" s="49">
        <v>63.091999999999999</v>
      </c>
      <c r="FE42" s="49">
        <v>72.366</v>
      </c>
      <c r="FF42" s="49">
        <v>71.152000000000001</v>
      </c>
      <c r="FG42" s="49">
        <v>0.91300000000000003</v>
      </c>
      <c r="FH42" s="49">
        <v>0.91400000000000003</v>
      </c>
      <c r="FI42" s="49">
        <v>0.996</v>
      </c>
      <c r="FJ42" s="49">
        <v>0.999</v>
      </c>
      <c r="FK42" s="49">
        <v>0</v>
      </c>
      <c r="FL42" s="49">
        <v>83</v>
      </c>
      <c r="FM42" s="50">
        <v>3.67</v>
      </c>
      <c r="FN42" s="49">
        <v>0.13</v>
      </c>
      <c r="FO42" s="50">
        <v>5.43</v>
      </c>
      <c r="FP42" s="3"/>
      <c r="FQ42" s="49">
        <v>4.7</v>
      </c>
      <c r="FR42" s="50">
        <v>5</v>
      </c>
      <c r="FS42" s="49">
        <v>6.6974999999999998</v>
      </c>
      <c r="FT42" s="49">
        <v>1079.5</v>
      </c>
      <c r="FU42" s="49">
        <v>6.84</v>
      </c>
      <c r="FV42" s="49">
        <v>11.48</v>
      </c>
      <c r="FW42" s="50">
        <v>3163.5</v>
      </c>
      <c r="FX42" s="49">
        <v>162400</v>
      </c>
      <c r="FY42" s="49">
        <v>162900</v>
      </c>
      <c r="FZ42" s="49">
        <v>48.268000000000001</v>
      </c>
      <c r="GA42" s="49">
        <v>47.744999999999997</v>
      </c>
      <c r="GB42" s="50">
        <v>2223.6999999999998</v>
      </c>
      <c r="GC42" s="49">
        <v>2151.3000000000002</v>
      </c>
      <c r="GD42" s="49">
        <v>2223.6999999999998</v>
      </c>
      <c r="GE42" s="49">
        <v>2185.8000000000002</v>
      </c>
      <c r="GF42" s="49">
        <v>1216.5469000000001</v>
      </c>
      <c r="GG42" s="49">
        <v>31</v>
      </c>
      <c r="GH42" s="49">
        <v>31.4</v>
      </c>
      <c r="GI42" s="49">
        <v>55</v>
      </c>
      <c r="GJ42" s="49">
        <v>58.7</v>
      </c>
      <c r="GK42" s="49">
        <v>99.5</v>
      </c>
      <c r="GL42" s="49">
        <v>78.7</v>
      </c>
      <c r="GM42" s="50">
        <v>0</v>
      </c>
      <c r="GN42" s="49">
        <v>26.463999999999999</v>
      </c>
      <c r="GO42" s="49">
        <v>99.93</v>
      </c>
      <c r="GP42" s="49">
        <v>0.53100000000000003</v>
      </c>
      <c r="GQ42" s="49">
        <v>2.0649999999999999</v>
      </c>
      <c r="GR42" s="49">
        <v>0.82599999999999996</v>
      </c>
      <c r="GS42" s="49">
        <v>2.0059999999999998</v>
      </c>
      <c r="GT42" s="49">
        <v>0.70799999999999996</v>
      </c>
      <c r="GU42" s="49">
        <v>1.8879999999999999</v>
      </c>
      <c r="GV42" s="49">
        <v>12.837999999999999</v>
      </c>
      <c r="GW42" s="49">
        <v>13.926</v>
      </c>
      <c r="GX42" s="49">
        <v>14.994</v>
      </c>
      <c r="GY42" s="50">
        <v>0</v>
      </c>
      <c r="GZ42" s="50">
        <v>0</v>
      </c>
      <c r="HA42" s="50">
        <v>0</v>
      </c>
      <c r="HB42" s="49">
        <v>0</v>
      </c>
      <c r="HC42" s="49">
        <v>23.097999999999999</v>
      </c>
      <c r="HD42" s="49">
        <v>78</v>
      </c>
      <c r="HE42" s="50">
        <v>0</v>
      </c>
      <c r="HF42" s="50">
        <v>0</v>
      </c>
      <c r="HG42" s="49">
        <v>76.06</v>
      </c>
      <c r="HH42" s="49">
        <v>82.76</v>
      </c>
      <c r="HI42" s="50">
        <v>0</v>
      </c>
      <c r="HJ42" s="50">
        <v>0</v>
      </c>
      <c r="HK42" s="50">
        <v>0</v>
      </c>
      <c r="HL42" s="49">
        <v>63</v>
      </c>
      <c r="HM42" s="49">
        <v>55</v>
      </c>
      <c r="HN42" s="49">
        <v>61</v>
      </c>
      <c r="HO42" s="49">
        <v>55</v>
      </c>
      <c r="HP42" s="49">
        <v>58</v>
      </c>
      <c r="HQ42" s="49">
        <v>56</v>
      </c>
      <c r="HR42" s="49">
        <v>48</v>
      </c>
      <c r="HS42" s="50">
        <v>62</v>
      </c>
      <c r="HT42" s="49">
        <v>-1.323</v>
      </c>
      <c r="HU42" s="50">
        <v>0</v>
      </c>
      <c r="HV42" s="50">
        <v>1.119</v>
      </c>
      <c r="HW42" s="50">
        <v>40.619999999999997</v>
      </c>
      <c r="HX42" s="50">
        <v>55.17</v>
      </c>
      <c r="HY42" s="50">
        <v>51.19</v>
      </c>
      <c r="HZ42" s="50">
        <v>62.52</v>
      </c>
      <c r="IA42" s="49">
        <v>2.6709999999999998</v>
      </c>
      <c r="IB42" s="50">
        <v>104</v>
      </c>
      <c r="IC42" s="49">
        <v>22.163</v>
      </c>
      <c r="ID42" s="49">
        <v>-0.378</v>
      </c>
      <c r="IE42" s="49">
        <v>-0.16500000000000001</v>
      </c>
      <c r="IF42" s="49">
        <v>807.8</v>
      </c>
      <c r="IG42" s="50">
        <v>752.2</v>
      </c>
      <c r="IH42" s="49">
        <v>813</v>
      </c>
      <c r="II42" s="49">
        <v>761.9</v>
      </c>
      <c r="IJ42" s="50">
        <v>0.107</v>
      </c>
      <c r="IK42" s="49">
        <v>3.5999999999999997E-2</v>
      </c>
      <c r="IL42" s="49">
        <v>76.426000000000002</v>
      </c>
      <c r="IM42" s="49">
        <v>76.426000000000002</v>
      </c>
      <c r="IN42" s="49">
        <v>10.122</v>
      </c>
      <c r="IO42" s="49">
        <v>0.32200000000000001</v>
      </c>
      <c r="IP42" s="49">
        <v>9.99</v>
      </c>
      <c r="IQ42" s="49">
        <v>1.2E-2</v>
      </c>
      <c r="IR42" s="49">
        <v>8.9999999999999993E-3</v>
      </c>
      <c r="IS42">
        <v>0.37600000000000011</v>
      </c>
      <c r="IT42">
        <v>0.22800000000000009</v>
      </c>
    </row>
    <row r="43" spans="2:254" x14ac:dyDescent="0.25">
      <c r="B43" s="2" t="s">
        <v>412</v>
      </c>
      <c r="C43" s="2" t="s">
        <v>43</v>
      </c>
      <c r="D43" s="61">
        <v>2.6239583333333336E-3</v>
      </c>
      <c r="E43" s="49">
        <v>226.76</v>
      </c>
      <c r="F43" s="49">
        <v>327.64</v>
      </c>
      <c r="G43" s="50">
        <v>5.84</v>
      </c>
      <c r="H43" s="49">
        <v>28.3</v>
      </c>
      <c r="I43" s="50">
        <v>0</v>
      </c>
      <c r="J43" s="49">
        <v>14.2</v>
      </c>
      <c r="K43" s="49">
        <v>8</v>
      </c>
      <c r="L43" s="49">
        <v>8</v>
      </c>
      <c r="M43" s="50">
        <v>6</v>
      </c>
      <c r="N43" s="50">
        <v>3</v>
      </c>
      <c r="O43" s="50">
        <v>3</v>
      </c>
      <c r="P43" s="50">
        <v>0.85</v>
      </c>
      <c r="Q43" s="50">
        <v>1.236</v>
      </c>
      <c r="R43" s="50">
        <v>0.86799999999999999</v>
      </c>
      <c r="S43" s="49">
        <v>0.72699999999999998</v>
      </c>
      <c r="T43" s="50">
        <v>86.41</v>
      </c>
      <c r="U43" s="49">
        <v>61.292999999999999</v>
      </c>
      <c r="V43" s="49">
        <v>233.34</v>
      </c>
      <c r="W43" s="49">
        <v>225</v>
      </c>
      <c r="X43" s="49">
        <v>152.5</v>
      </c>
      <c r="Y43" s="49">
        <v>195</v>
      </c>
      <c r="Z43" s="50">
        <v>382.86</v>
      </c>
      <c r="AA43" s="50">
        <v>375.49</v>
      </c>
      <c r="AB43" s="50">
        <v>280.35000000000002</v>
      </c>
      <c r="AC43" s="50">
        <v>341.88</v>
      </c>
      <c r="AD43" s="50">
        <v>1.7849999999999999</v>
      </c>
      <c r="AE43" s="49">
        <v>1.855</v>
      </c>
      <c r="AF43" s="50">
        <v>1.744</v>
      </c>
      <c r="AG43" s="50">
        <v>1.776</v>
      </c>
      <c r="AH43" s="50">
        <v>80.69</v>
      </c>
      <c r="AI43" s="50">
        <v>79.459999999999994</v>
      </c>
      <c r="AJ43" s="50">
        <v>100.37</v>
      </c>
      <c r="AK43" s="50">
        <v>97.71</v>
      </c>
      <c r="AL43" s="50">
        <v>630.88</v>
      </c>
      <c r="AM43" s="49">
        <v>636.29399999999998</v>
      </c>
      <c r="AN43" s="50">
        <v>749.77599999999995</v>
      </c>
      <c r="AO43" s="50">
        <v>746.52700000000004</v>
      </c>
      <c r="AP43" s="49">
        <v>1.359</v>
      </c>
      <c r="AQ43" s="49">
        <v>1.8280000000000001</v>
      </c>
      <c r="AR43" s="49">
        <v>41.360999999999997</v>
      </c>
      <c r="AS43" s="49">
        <v>39.531999999999996</v>
      </c>
      <c r="AT43" s="49">
        <v>83</v>
      </c>
      <c r="AU43" s="50">
        <v>117</v>
      </c>
      <c r="AV43" s="50">
        <v>1.8640000000000001</v>
      </c>
      <c r="AW43" s="49">
        <v>5.1772999999999998</v>
      </c>
      <c r="AX43" s="49">
        <v>1018.4</v>
      </c>
      <c r="AY43" s="49">
        <v>2.2599999999999998</v>
      </c>
      <c r="AZ43" s="49">
        <v>5.74</v>
      </c>
      <c r="BA43" s="49">
        <v>77.802999999999997</v>
      </c>
      <c r="BB43" s="49">
        <v>78.316999999999993</v>
      </c>
      <c r="BC43" s="49">
        <v>7813</v>
      </c>
      <c r="BD43" s="50">
        <v>89.5</v>
      </c>
      <c r="BE43" s="50">
        <v>16.89</v>
      </c>
      <c r="BF43" s="50">
        <v>15.025</v>
      </c>
      <c r="BG43" s="50">
        <v>28.42</v>
      </c>
      <c r="BH43" s="50">
        <v>27.53</v>
      </c>
      <c r="BI43" s="3"/>
      <c r="BJ43" s="3"/>
      <c r="BK43" s="3"/>
      <c r="BL43" s="3"/>
      <c r="BM43" s="3"/>
      <c r="BN43" s="49">
        <v>104.29600000000001</v>
      </c>
      <c r="BO43" s="49">
        <v>98.007999999999996</v>
      </c>
      <c r="BP43" s="49">
        <v>123.208</v>
      </c>
      <c r="BQ43" s="49">
        <v>125.208</v>
      </c>
      <c r="BR43" s="3"/>
      <c r="BS43" s="50">
        <v>28</v>
      </c>
      <c r="BT43" s="50">
        <v>7448.8360000000002</v>
      </c>
      <c r="BU43" s="49">
        <v>48.969000000000001</v>
      </c>
      <c r="BV43" s="49">
        <v>54.317</v>
      </c>
      <c r="BW43" s="49">
        <v>55.588000000000001</v>
      </c>
      <c r="BX43" s="49">
        <v>55.356000000000002</v>
      </c>
      <c r="BY43" s="50">
        <v>1.4330000000000001</v>
      </c>
      <c r="BZ43" s="50">
        <v>3.1389999999999998</v>
      </c>
      <c r="CA43" s="49">
        <v>3.6669999999999998</v>
      </c>
      <c r="CB43" s="49">
        <v>3.0750000000000002</v>
      </c>
      <c r="CC43" s="49">
        <v>0.93200000000000005</v>
      </c>
      <c r="CD43" s="50">
        <v>2.452</v>
      </c>
      <c r="CE43" s="49">
        <v>1.248</v>
      </c>
      <c r="CF43" s="49">
        <v>2.036</v>
      </c>
      <c r="CG43" s="49">
        <v>13.955</v>
      </c>
      <c r="CH43" s="49">
        <v>13.829000000000001</v>
      </c>
      <c r="CI43" s="49">
        <v>3.0259999999999998</v>
      </c>
      <c r="CJ43" s="49">
        <v>2.476</v>
      </c>
      <c r="CK43" s="49">
        <v>0.92900000000000005</v>
      </c>
      <c r="CL43" s="50">
        <v>0.1</v>
      </c>
      <c r="CM43" s="49">
        <v>0.8</v>
      </c>
      <c r="CN43" s="50">
        <v>0</v>
      </c>
      <c r="CO43" s="50">
        <v>0</v>
      </c>
      <c r="CP43" s="49">
        <v>96.620999999999995</v>
      </c>
      <c r="CQ43" s="49">
        <v>92.997</v>
      </c>
      <c r="CR43" s="50">
        <v>110.77200000000001</v>
      </c>
      <c r="CS43" s="50">
        <v>116.11199999999999</v>
      </c>
      <c r="CT43" s="50">
        <v>0.504</v>
      </c>
      <c r="CU43" s="49">
        <v>0.80200000000000005</v>
      </c>
      <c r="CV43" s="49">
        <v>0.99299999999999999</v>
      </c>
      <c r="CW43" s="49">
        <v>0.79900000000000004</v>
      </c>
      <c r="CX43" s="49">
        <v>1.401</v>
      </c>
      <c r="CY43" s="49">
        <v>0.79800000000000004</v>
      </c>
      <c r="CZ43" s="49">
        <v>0.90300000000000002</v>
      </c>
      <c r="DA43" s="49">
        <v>0.59899999999999998</v>
      </c>
      <c r="DB43" s="49">
        <v>1.3959999999999999</v>
      </c>
      <c r="DC43" s="50">
        <v>0</v>
      </c>
      <c r="DD43" s="50">
        <v>0</v>
      </c>
      <c r="DE43" s="49">
        <v>0.27400000000000002</v>
      </c>
      <c r="DF43" s="49">
        <v>0.13300000000000001</v>
      </c>
      <c r="DG43" s="49">
        <v>0.58599999999999997</v>
      </c>
      <c r="DH43" s="49">
        <v>1.66</v>
      </c>
      <c r="DI43" s="49">
        <v>0.94199999999999995</v>
      </c>
      <c r="DJ43" s="50">
        <v>0.35899999999999999</v>
      </c>
      <c r="DK43" s="50">
        <v>1.071</v>
      </c>
      <c r="DL43" s="49">
        <v>0.40500000000000003</v>
      </c>
      <c r="DM43" s="49">
        <v>0.503</v>
      </c>
      <c r="DN43" s="50">
        <v>0.63500000000000001</v>
      </c>
      <c r="DO43" s="49">
        <v>0.26400000000000001</v>
      </c>
      <c r="DP43" s="50">
        <v>69.557000000000002</v>
      </c>
      <c r="DQ43" s="49">
        <v>61.030999999999999</v>
      </c>
      <c r="DR43" s="50">
        <v>54.911999999999999</v>
      </c>
      <c r="DS43" s="49">
        <v>52.856999999999999</v>
      </c>
      <c r="DT43" s="49">
        <v>5.0999999999999996</v>
      </c>
      <c r="DU43" s="49">
        <v>4.9800000000000004</v>
      </c>
      <c r="DV43" s="49">
        <v>13.22</v>
      </c>
      <c r="DW43" s="49">
        <v>11.24</v>
      </c>
      <c r="DX43" s="49">
        <v>5.3</v>
      </c>
      <c r="DY43" s="49">
        <v>5.33</v>
      </c>
      <c r="DZ43" s="49">
        <v>12.66</v>
      </c>
      <c r="EA43" s="49">
        <v>11.31</v>
      </c>
      <c r="EB43" s="49">
        <v>42.71</v>
      </c>
      <c r="EC43" s="50">
        <v>42.62</v>
      </c>
      <c r="ED43" s="49">
        <v>31.4</v>
      </c>
      <c r="EE43" s="49">
        <v>33.89</v>
      </c>
      <c r="EF43" s="49">
        <v>46.89</v>
      </c>
      <c r="EG43" s="49">
        <v>47.07</v>
      </c>
      <c r="EH43" s="49">
        <v>42.72</v>
      </c>
      <c r="EI43" s="49">
        <v>43.56</v>
      </c>
      <c r="EJ43" s="49">
        <v>6.5279999999999996</v>
      </c>
      <c r="EK43" s="50">
        <v>59.902999999999999</v>
      </c>
      <c r="EL43" s="49">
        <v>2.0499999999999998</v>
      </c>
      <c r="EM43" s="49">
        <v>1.6</v>
      </c>
      <c r="EN43" s="49">
        <v>1.25</v>
      </c>
      <c r="EO43" s="49">
        <v>1.25</v>
      </c>
      <c r="EP43" s="49">
        <v>-106.22199999999999</v>
      </c>
      <c r="EQ43" s="49">
        <v>-2.6829999999999998</v>
      </c>
      <c r="ER43" s="49">
        <v>100.806</v>
      </c>
      <c r="ES43" s="49">
        <v>1.458</v>
      </c>
      <c r="ET43" s="49">
        <v>1.603</v>
      </c>
      <c r="EU43" s="49">
        <v>1.45</v>
      </c>
      <c r="EV43" s="50">
        <v>7.798</v>
      </c>
      <c r="EW43" s="50">
        <v>2.1629999999999998</v>
      </c>
      <c r="EX43" s="50">
        <v>71.52</v>
      </c>
      <c r="EY43" s="49">
        <v>3.9E-2</v>
      </c>
      <c r="EZ43" s="49">
        <v>0.34100000000000003</v>
      </c>
      <c r="FA43" s="50">
        <v>0</v>
      </c>
      <c r="FB43" s="49">
        <v>9.1890000000000001</v>
      </c>
      <c r="FC43" s="49">
        <v>70.453000000000003</v>
      </c>
      <c r="FD43" s="49">
        <v>66.210999999999999</v>
      </c>
      <c r="FE43" s="49">
        <v>76.94</v>
      </c>
      <c r="FF43" s="49">
        <v>75.924999999999997</v>
      </c>
      <c r="FG43" s="49">
        <v>0.91800000000000004</v>
      </c>
      <c r="FH43" s="49">
        <v>0.91800000000000004</v>
      </c>
      <c r="FI43" s="49">
        <v>0.997</v>
      </c>
      <c r="FJ43" s="49">
        <v>1.0009999999999999</v>
      </c>
      <c r="FK43" s="49">
        <v>0</v>
      </c>
      <c r="FL43" s="49">
        <v>83</v>
      </c>
      <c r="FM43" s="49">
        <v>3.6</v>
      </c>
      <c r="FN43" s="49">
        <v>0.06</v>
      </c>
      <c r="FO43" s="49">
        <v>5.46</v>
      </c>
      <c r="FP43" s="49">
        <v>4.1500000000000004</v>
      </c>
      <c r="FQ43" s="49">
        <v>4.5</v>
      </c>
      <c r="FR43" s="50">
        <v>5</v>
      </c>
      <c r="FS43" s="50">
        <v>6.7565</v>
      </c>
      <c r="FT43" s="50">
        <v>1081.9000000000001</v>
      </c>
      <c r="FU43" s="50">
        <v>6.9</v>
      </c>
      <c r="FV43" s="49">
        <v>17.32</v>
      </c>
      <c r="FW43" s="49">
        <v>3112.5</v>
      </c>
      <c r="FX43" s="49">
        <v>163500</v>
      </c>
      <c r="FY43" s="49">
        <v>164700</v>
      </c>
      <c r="FZ43" s="49">
        <v>47.792999999999999</v>
      </c>
      <c r="GA43" s="49">
        <v>47.201999999999998</v>
      </c>
      <c r="GB43" s="49">
        <v>2194.5</v>
      </c>
      <c r="GC43" s="49">
        <v>2216.1999999999998</v>
      </c>
      <c r="GD43" s="49">
        <v>2203.6999999999998</v>
      </c>
      <c r="GE43" s="49">
        <v>2216.1999999999998</v>
      </c>
      <c r="GF43" s="49">
        <v>1284.125</v>
      </c>
      <c r="GG43" s="49">
        <v>32</v>
      </c>
      <c r="GH43" s="49">
        <v>32.200000000000003</v>
      </c>
      <c r="GI43" s="49">
        <v>48.9</v>
      </c>
      <c r="GJ43" s="49">
        <v>54.1</v>
      </c>
      <c r="GK43" s="49">
        <v>99.5</v>
      </c>
      <c r="GL43" s="50">
        <v>87.3</v>
      </c>
      <c r="GM43" s="50">
        <v>0</v>
      </c>
      <c r="GN43" s="50">
        <v>28.202000000000002</v>
      </c>
      <c r="GO43" s="49">
        <v>106.22199999999999</v>
      </c>
      <c r="GP43" s="49">
        <v>0.53100000000000003</v>
      </c>
      <c r="GQ43" s="49">
        <v>1.9470000000000001</v>
      </c>
      <c r="GR43" s="49">
        <v>0.59</v>
      </c>
      <c r="GS43" s="49">
        <v>2.0059999999999998</v>
      </c>
      <c r="GT43" s="49">
        <v>0.59</v>
      </c>
      <c r="GU43" s="49">
        <v>1.8879999999999999</v>
      </c>
      <c r="GV43" s="49">
        <v>12.74</v>
      </c>
      <c r="GW43" s="49">
        <v>13.954000000000001</v>
      </c>
      <c r="GX43" s="49">
        <v>15.19</v>
      </c>
      <c r="GY43" s="50">
        <v>0</v>
      </c>
      <c r="GZ43" s="50">
        <v>0</v>
      </c>
      <c r="HA43" s="50">
        <v>0</v>
      </c>
      <c r="HB43" s="49">
        <v>0</v>
      </c>
      <c r="HC43" s="49">
        <v>23.331</v>
      </c>
      <c r="HD43" s="49">
        <v>82</v>
      </c>
      <c r="HE43" s="50">
        <v>0</v>
      </c>
      <c r="HF43" s="50">
        <v>0</v>
      </c>
      <c r="HG43" s="50">
        <v>78.3</v>
      </c>
      <c r="HH43" s="49">
        <v>83.22</v>
      </c>
      <c r="HI43" s="50">
        <v>0</v>
      </c>
      <c r="HJ43" s="50">
        <v>0</v>
      </c>
      <c r="HK43" s="50">
        <v>0</v>
      </c>
      <c r="HL43" s="49">
        <v>62</v>
      </c>
      <c r="HM43" s="49">
        <v>54</v>
      </c>
      <c r="HN43" s="49">
        <v>62</v>
      </c>
      <c r="HO43" s="49">
        <v>57</v>
      </c>
      <c r="HP43" s="49">
        <v>59</v>
      </c>
      <c r="HQ43" s="49">
        <v>58</v>
      </c>
      <c r="HR43" s="49">
        <v>49</v>
      </c>
      <c r="HS43" s="50">
        <v>62</v>
      </c>
      <c r="HT43" s="49">
        <v>-1.3125</v>
      </c>
      <c r="HU43" s="50">
        <v>0</v>
      </c>
      <c r="HV43" s="49">
        <v>0.74199999999999999</v>
      </c>
      <c r="HW43" s="49">
        <v>46.77</v>
      </c>
      <c r="HX43" s="49">
        <v>62.81</v>
      </c>
      <c r="HY43" s="49">
        <v>50.07</v>
      </c>
      <c r="HZ43" s="49">
        <v>55.69</v>
      </c>
      <c r="IA43" s="50">
        <v>2.8</v>
      </c>
      <c r="IB43" s="50">
        <v>104</v>
      </c>
      <c r="IC43" s="50">
        <v>22.349</v>
      </c>
      <c r="ID43" s="49">
        <v>-0.32900000000000001</v>
      </c>
      <c r="IE43" s="49">
        <v>-0.14299999999999999</v>
      </c>
      <c r="IF43" s="49">
        <v>804.3</v>
      </c>
      <c r="IG43" s="49">
        <v>750.2</v>
      </c>
      <c r="IH43" s="49">
        <v>813.5</v>
      </c>
      <c r="II43" s="50">
        <v>762.7</v>
      </c>
      <c r="IJ43" s="49">
        <v>9.9000000000000005E-2</v>
      </c>
      <c r="IK43" s="49">
        <v>1.9E-2</v>
      </c>
      <c r="IL43" s="49">
        <v>89.474999999999994</v>
      </c>
      <c r="IM43" s="49">
        <v>89.474999999999994</v>
      </c>
      <c r="IN43" s="49">
        <v>12.76</v>
      </c>
      <c r="IO43" s="50">
        <v>0.32800000000000001</v>
      </c>
      <c r="IP43" s="49">
        <v>9.91</v>
      </c>
      <c r="IQ43" s="49">
        <v>1.0999999999999999E-2</v>
      </c>
      <c r="IR43" s="49">
        <v>1.7000000000000001E-2</v>
      </c>
      <c r="IS43">
        <v>0.38700000000000012</v>
      </c>
      <c r="IT43">
        <v>0.24500000000000011</v>
      </c>
    </row>
    <row r="44" spans="2:254" x14ac:dyDescent="0.25">
      <c r="B44" s="2" t="s">
        <v>412</v>
      </c>
      <c r="C44" s="2" t="s">
        <v>44</v>
      </c>
      <c r="D44" s="61">
        <v>4.9342592592592589E-3</v>
      </c>
      <c r="E44" s="49">
        <v>426.31700000000001</v>
      </c>
      <c r="F44" s="49">
        <v>324.23</v>
      </c>
      <c r="G44" s="49">
        <v>-17.32</v>
      </c>
      <c r="H44" s="49">
        <v>28</v>
      </c>
      <c r="I44" s="50">
        <v>0</v>
      </c>
      <c r="J44" s="49">
        <v>13.3</v>
      </c>
      <c r="K44" s="49">
        <v>10</v>
      </c>
      <c r="L44" s="50">
        <v>9</v>
      </c>
      <c r="M44" s="50">
        <v>6</v>
      </c>
      <c r="N44" s="50">
        <v>3</v>
      </c>
      <c r="O44" s="50">
        <v>3</v>
      </c>
      <c r="P44" s="49">
        <v>0.68400000000000005</v>
      </c>
      <c r="Q44" s="49">
        <v>1.0620000000000001</v>
      </c>
      <c r="R44" s="49">
        <v>0.64600000000000002</v>
      </c>
      <c r="S44" s="3"/>
      <c r="T44" s="49">
        <v>67.55</v>
      </c>
      <c r="U44" s="49">
        <v>61.497999999999998</v>
      </c>
      <c r="V44" s="50">
        <v>80</v>
      </c>
      <c r="W44" s="50">
        <v>50</v>
      </c>
      <c r="X44" s="50">
        <v>90</v>
      </c>
      <c r="Y44" s="49">
        <v>100</v>
      </c>
      <c r="Z44" s="49">
        <v>199.88</v>
      </c>
      <c r="AA44" s="49">
        <v>195.06</v>
      </c>
      <c r="AB44" s="49">
        <v>143.19999999999999</v>
      </c>
      <c r="AC44" s="49">
        <v>170.12</v>
      </c>
      <c r="AD44" s="49">
        <v>1.665</v>
      </c>
      <c r="AE44" s="49">
        <v>1.758</v>
      </c>
      <c r="AF44" s="49">
        <v>1.5680000000000001</v>
      </c>
      <c r="AG44" s="49">
        <v>1.623</v>
      </c>
      <c r="AH44" s="49">
        <v>62.66</v>
      </c>
      <c r="AI44" s="49">
        <v>59.67</v>
      </c>
      <c r="AJ44" s="49">
        <v>74.239999999999995</v>
      </c>
      <c r="AK44" s="49">
        <v>74.34</v>
      </c>
      <c r="AL44" s="49">
        <v>504.18099999999998</v>
      </c>
      <c r="AM44" s="49">
        <v>558.85</v>
      </c>
      <c r="AN44" s="49">
        <v>675.47900000000004</v>
      </c>
      <c r="AO44" s="49">
        <v>658.45899999999995</v>
      </c>
      <c r="AP44" s="49">
        <v>1.3560000000000001</v>
      </c>
      <c r="AQ44" s="50">
        <v>1.8859999999999999</v>
      </c>
      <c r="AR44" s="49">
        <v>40.088000000000001</v>
      </c>
      <c r="AS44" s="50">
        <v>40.003</v>
      </c>
      <c r="AT44" s="49">
        <v>82</v>
      </c>
      <c r="AU44" s="49">
        <v>115</v>
      </c>
      <c r="AV44" s="49">
        <v>2.4710000000000001</v>
      </c>
      <c r="AW44" s="49">
        <v>5.1543000000000001</v>
      </c>
      <c r="AX44" s="49">
        <v>1009.5</v>
      </c>
      <c r="AY44" s="49">
        <v>2.23</v>
      </c>
      <c r="AZ44" s="49">
        <v>5.69</v>
      </c>
      <c r="BA44" s="49">
        <v>72.798000000000002</v>
      </c>
      <c r="BB44" s="49">
        <v>70.5</v>
      </c>
      <c r="BC44" s="49">
        <v>7669</v>
      </c>
      <c r="BD44" s="49">
        <v>88.25</v>
      </c>
      <c r="BE44" s="49">
        <v>12.935</v>
      </c>
      <c r="BF44" s="49">
        <v>12.955</v>
      </c>
      <c r="BG44" s="49">
        <v>24.96</v>
      </c>
      <c r="BH44" s="49">
        <v>25.2</v>
      </c>
      <c r="BI44" s="49">
        <v>65.486000000000004</v>
      </c>
      <c r="BJ44" s="50">
        <v>82.686000000000007</v>
      </c>
      <c r="BK44" s="49">
        <v>63.667000000000002</v>
      </c>
      <c r="BL44" s="50">
        <v>79.837999999999994</v>
      </c>
      <c r="BM44" s="50">
        <v>80.034000000000006</v>
      </c>
      <c r="BN44" s="49">
        <v>113.32</v>
      </c>
      <c r="BO44" s="49">
        <v>109.224</v>
      </c>
      <c r="BP44" s="50">
        <v>130.76</v>
      </c>
      <c r="BQ44" s="50">
        <v>133.32</v>
      </c>
      <c r="BR44" s="50">
        <v>61.128</v>
      </c>
      <c r="BS44" s="49">
        <v>27.5</v>
      </c>
      <c r="BT44" s="49">
        <v>6840.2979999999998</v>
      </c>
      <c r="BU44" s="49">
        <v>39.509</v>
      </c>
      <c r="BV44" s="49">
        <v>53.987000000000002</v>
      </c>
      <c r="BW44" s="50">
        <v>57.262</v>
      </c>
      <c r="BX44" s="49">
        <v>55.917000000000002</v>
      </c>
      <c r="BY44" s="49">
        <v>1.2849999999999999</v>
      </c>
      <c r="BZ44" s="49">
        <v>1.843</v>
      </c>
      <c r="CA44" s="49">
        <v>2.2930000000000001</v>
      </c>
      <c r="CB44" s="49">
        <v>2.1930000000000001</v>
      </c>
      <c r="CC44" s="49">
        <v>0.9</v>
      </c>
      <c r="CD44" s="49">
        <v>2.1760000000000002</v>
      </c>
      <c r="CE44" s="49">
        <v>1.349</v>
      </c>
      <c r="CF44" s="49">
        <v>1.958</v>
      </c>
      <c r="CG44" s="50">
        <v>13.997999999999999</v>
      </c>
      <c r="CH44" s="49">
        <v>13.567</v>
      </c>
      <c r="CI44" s="3"/>
      <c r="CJ44" s="3"/>
      <c r="CK44" s="3"/>
      <c r="CL44" s="49">
        <v>0</v>
      </c>
      <c r="CM44" s="49">
        <v>1.1000000000000001</v>
      </c>
      <c r="CN44" s="50">
        <v>0</v>
      </c>
      <c r="CO44" s="50">
        <v>0</v>
      </c>
      <c r="CP44" s="49">
        <v>88.221000000000004</v>
      </c>
      <c r="CQ44" s="49">
        <v>86.274000000000001</v>
      </c>
      <c r="CR44" s="49">
        <v>99.076999999999998</v>
      </c>
      <c r="CS44" s="49">
        <v>101.996</v>
      </c>
      <c r="CT44" s="49">
        <v>0.22700000000000001</v>
      </c>
      <c r="CU44" s="50">
        <v>6.24</v>
      </c>
      <c r="CV44" s="50">
        <v>5.7389999999999999</v>
      </c>
      <c r="CW44" s="50">
        <v>5.7389999999999999</v>
      </c>
      <c r="CX44" s="50">
        <v>6.2380000000000004</v>
      </c>
      <c r="CY44" s="50">
        <v>5.5359999999999996</v>
      </c>
      <c r="CZ44" s="50">
        <v>6.0369999999999999</v>
      </c>
      <c r="DA44" s="50">
        <v>5.742</v>
      </c>
      <c r="DB44" s="50">
        <v>6.54</v>
      </c>
      <c r="DC44" s="50">
        <v>0</v>
      </c>
      <c r="DD44" s="50">
        <v>0</v>
      </c>
      <c r="DE44" s="49">
        <v>0.13800000000000001</v>
      </c>
      <c r="DF44" s="49">
        <v>5.5E-2</v>
      </c>
      <c r="DG44" s="49">
        <v>0.373</v>
      </c>
      <c r="DH44" s="49">
        <v>1.367</v>
      </c>
      <c r="DI44" s="49">
        <v>0.61899999999999999</v>
      </c>
      <c r="DJ44" s="49">
        <v>0.126</v>
      </c>
      <c r="DK44" s="49">
        <v>0.79800000000000004</v>
      </c>
      <c r="DL44" s="50">
        <v>0.40799999999999997</v>
      </c>
      <c r="DM44" s="50">
        <v>0.80200000000000005</v>
      </c>
      <c r="DN44" s="49">
        <v>0.41499999999999998</v>
      </c>
      <c r="DO44" s="50">
        <v>0.36299999999999999</v>
      </c>
      <c r="DP44" s="49">
        <v>63.292999999999999</v>
      </c>
      <c r="DQ44" s="49">
        <v>60.378</v>
      </c>
      <c r="DR44" s="49">
        <v>50.837000000000003</v>
      </c>
      <c r="DS44" s="50">
        <v>55.01</v>
      </c>
      <c r="DT44" s="49">
        <v>1.36</v>
      </c>
      <c r="DU44" s="49">
        <v>1.61</v>
      </c>
      <c r="DV44" s="49">
        <v>4.21</v>
      </c>
      <c r="DW44" s="49">
        <v>3.84</v>
      </c>
      <c r="DX44" s="49">
        <v>1.45</v>
      </c>
      <c r="DY44" s="49">
        <v>1.65</v>
      </c>
      <c r="DZ44" s="49">
        <v>3.84</v>
      </c>
      <c r="EA44" s="49">
        <v>3.66</v>
      </c>
      <c r="EB44" s="50">
        <v>43.29</v>
      </c>
      <c r="EC44" s="49">
        <v>42.6</v>
      </c>
      <c r="ED44" s="50">
        <v>35.950000000000003</v>
      </c>
      <c r="EE44" s="50">
        <v>35.909999999999997</v>
      </c>
      <c r="EF44" s="49">
        <v>53.91</v>
      </c>
      <c r="EG44" s="49">
        <v>54.13</v>
      </c>
      <c r="EH44" s="49">
        <v>56</v>
      </c>
      <c r="EI44" s="49">
        <v>56.59</v>
      </c>
      <c r="EJ44" s="50">
        <v>6.5289999999999999</v>
      </c>
      <c r="EK44" s="49">
        <v>58.131999999999998</v>
      </c>
      <c r="EL44" s="49">
        <v>2.1</v>
      </c>
      <c r="EM44" s="49">
        <v>1.6</v>
      </c>
      <c r="EN44" s="50">
        <v>1.65</v>
      </c>
      <c r="EO44" s="50">
        <v>1.64</v>
      </c>
      <c r="EP44" s="49">
        <v>-62.421999999999997</v>
      </c>
      <c r="EQ44" s="50">
        <v>-0.223</v>
      </c>
      <c r="ER44" s="49">
        <v>63.722000000000001</v>
      </c>
      <c r="ES44" s="50">
        <v>1.5660000000000001</v>
      </c>
      <c r="ET44" s="50">
        <v>1.651</v>
      </c>
      <c r="EU44" s="50">
        <v>1.554</v>
      </c>
      <c r="EV44" s="49">
        <v>7.2290000000000001</v>
      </c>
      <c r="EW44" s="49">
        <v>1.3029999999999999</v>
      </c>
      <c r="EX44" s="49">
        <v>38.1</v>
      </c>
      <c r="EY44" s="50">
        <v>2.601</v>
      </c>
      <c r="EZ44" s="49">
        <v>0</v>
      </c>
      <c r="FA44" s="50">
        <v>0</v>
      </c>
      <c r="FB44" s="50">
        <v>9.4550000000000001</v>
      </c>
      <c r="FC44" s="49">
        <v>64.772000000000006</v>
      </c>
      <c r="FD44" s="49">
        <v>61.338000000000001</v>
      </c>
      <c r="FE44" s="49">
        <v>69.950999999999993</v>
      </c>
      <c r="FF44" s="49">
        <v>69.802999999999997</v>
      </c>
      <c r="FG44" s="49">
        <v>0.98499999999999999</v>
      </c>
      <c r="FH44" s="49">
        <v>0.93400000000000005</v>
      </c>
      <c r="FI44" s="50">
        <v>1.0129999999999999</v>
      </c>
      <c r="FJ44" s="50">
        <v>1.0149999999999999</v>
      </c>
      <c r="FK44" s="49">
        <v>0</v>
      </c>
      <c r="FL44" s="49">
        <v>82</v>
      </c>
      <c r="FM44" s="49">
        <v>3.46</v>
      </c>
      <c r="FN44" s="49">
        <v>-0.74</v>
      </c>
      <c r="FO44" s="49">
        <v>5.46</v>
      </c>
      <c r="FP44" s="49">
        <v>4.1500000000000004</v>
      </c>
      <c r="FQ44" s="49">
        <v>4.5</v>
      </c>
      <c r="FR44" s="49">
        <v>5.15</v>
      </c>
      <c r="FS44" s="49">
        <v>6.5345000000000004</v>
      </c>
      <c r="FT44" s="49">
        <v>1065.8</v>
      </c>
      <c r="FU44" s="49">
        <v>6.87</v>
      </c>
      <c r="FV44" s="50">
        <v>21.18</v>
      </c>
      <c r="FW44" s="49">
        <v>3130.5</v>
      </c>
      <c r="FX44" s="50">
        <v>167500</v>
      </c>
      <c r="FY44" s="50">
        <v>169200</v>
      </c>
      <c r="FZ44" s="50">
        <v>51.923999999999999</v>
      </c>
      <c r="GA44" s="50">
        <v>51.548000000000002</v>
      </c>
      <c r="GB44" s="49">
        <v>2130.1999999999998</v>
      </c>
      <c r="GC44" s="49">
        <v>2132.1999999999998</v>
      </c>
      <c r="GD44" s="49">
        <v>2184</v>
      </c>
      <c r="GE44" s="49">
        <v>2184.9</v>
      </c>
      <c r="GF44" s="50">
        <v>1594.3125</v>
      </c>
      <c r="GG44" s="49">
        <v>34</v>
      </c>
      <c r="GH44" s="49">
        <v>33.799999999999997</v>
      </c>
      <c r="GI44" s="49">
        <v>50</v>
      </c>
      <c r="GJ44" s="49">
        <v>56.5</v>
      </c>
      <c r="GK44" s="49">
        <v>99.5</v>
      </c>
      <c r="GL44" s="49">
        <v>75.099999999999994</v>
      </c>
      <c r="GM44" s="50">
        <v>0</v>
      </c>
      <c r="GN44" s="49">
        <v>25.542999999999999</v>
      </c>
      <c r="GO44" s="49">
        <v>63.722000000000001</v>
      </c>
      <c r="GP44" s="50">
        <v>0</v>
      </c>
      <c r="GQ44" s="49">
        <v>1.9470000000000001</v>
      </c>
      <c r="GR44" s="50">
        <v>0</v>
      </c>
      <c r="GS44" s="49">
        <v>2.0059999999999998</v>
      </c>
      <c r="GT44" s="50">
        <v>0</v>
      </c>
      <c r="GU44" s="49">
        <v>1.9470000000000001</v>
      </c>
      <c r="GV44" s="50">
        <v>0</v>
      </c>
      <c r="GW44" s="50">
        <v>14.068</v>
      </c>
      <c r="GX44" s="49">
        <v>16.170000000000002</v>
      </c>
      <c r="GY44" s="50">
        <v>0</v>
      </c>
      <c r="GZ44" s="50">
        <v>0</v>
      </c>
      <c r="HA44" s="50">
        <v>0</v>
      </c>
      <c r="HB44" s="49">
        <v>0</v>
      </c>
      <c r="HC44" s="50">
        <v>23.675999999999998</v>
      </c>
      <c r="HD44" s="50">
        <v>86</v>
      </c>
      <c r="HE44" s="50">
        <v>0</v>
      </c>
      <c r="HF44" s="50">
        <v>0</v>
      </c>
      <c r="HG44" s="49">
        <v>76.19</v>
      </c>
      <c r="HH44" s="49">
        <v>82.61</v>
      </c>
      <c r="HI44" s="50">
        <v>0</v>
      </c>
      <c r="HJ44" s="50">
        <v>0</v>
      </c>
      <c r="HK44" s="50">
        <v>0</v>
      </c>
      <c r="HL44" s="49">
        <v>62</v>
      </c>
      <c r="HM44" s="49">
        <v>53</v>
      </c>
      <c r="HN44" s="49">
        <v>64</v>
      </c>
      <c r="HO44" s="49">
        <v>58</v>
      </c>
      <c r="HP44" s="50">
        <v>60</v>
      </c>
      <c r="HQ44" s="49">
        <v>58</v>
      </c>
      <c r="HR44" s="49">
        <v>51</v>
      </c>
      <c r="HS44" s="50">
        <v>62</v>
      </c>
      <c r="HT44" s="50">
        <v>-1.357</v>
      </c>
      <c r="HU44" s="50">
        <v>0</v>
      </c>
      <c r="HV44" s="49">
        <v>-0.78</v>
      </c>
      <c r="HW44" s="49">
        <v>53.29</v>
      </c>
      <c r="HX44" s="49">
        <v>71.62</v>
      </c>
      <c r="HY44" s="3"/>
      <c r="HZ44" s="3"/>
      <c r="IA44" s="49">
        <v>1.9990000000000001</v>
      </c>
      <c r="IB44" s="49">
        <v>95</v>
      </c>
      <c r="IC44" s="49">
        <v>16.343</v>
      </c>
      <c r="ID44" s="49">
        <v>-5.3999999999999999E-2</v>
      </c>
      <c r="IE44" s="49">
        <v>-2.4E-2</v>
      </c>
      <c r="IF44" s="50">
        <v>808.7</v>
      </c>
      <c r="IG44" s="49">
        <v>587</v>
      </c>
      <c r="IH44" s="50">
        <v>828.5</v>
      </c>
      <c r="II44" s="49">
        <v>599.79999999999995</v>
      </c>
      <c r="IJ44" s="49">
        <v>5.7000000000000002E-2</v>
      </c>
      <c r="IK44" s="50">
        <v>5.3999999999999999E-2</v>
      </c>
      <c r="IL44" s="49">
        <v>317.68900000000002</v>
      </c>
      <c r="IM44" s="49">
        <v>317.68900000000002</v>
      </c>
      <c r="IN44" s="49">
        <v>13.379</v>
      </c>
      <c r="IO44" s="49">
        <v>0.114</v>
      </c>
      <c r="IP44" s="49">
        <v>10.039999999999999</v>
      </c>
      <c r="IQ44" s="49">
        <v>0</v>
      </c>
      <c r="IR44" s="49">
        <v>0</v>
      </c>
      <c r="IS44">
        <v>0.38700000000000012</v>
      </c>
      <c r="IT44">
        <v>0.24500000000000011</v>
      </c>
    </row>
    <row r="45" spans="2:254" x14ac:dyDescent="0.25">
      <c r="IS45">
        <v>0.38700000000000012</v>
      </c>
      <c r="IT45">
        <v>0.24500000000000011</v>
      </c>
    </row>
    <row r="46" spans="2:254" x14ac:dyDescent="0.25">
      <c r="IS46">
        <v>0.38700000000000012</v>
      </c>
      <c r="IT46">
        <v>0.24500000000000011</v>
      </c>
    </row>
    <row r="47" spans="2:254" x14ac:dyDescent="0.25">
      <c r="IS47">
        <v>0.38700000000000012</v>
      </c>
      <c r="IT47">
        <v>0.24500000000000011</v>
      </c>
    </row>
    <row r="48" spans="2:254" x14ac:dyDescent="0.25">
      <c r="B48" s="2" t="s">
        <v>412</v>
      </c>
      <c r="C48" s="2" t="s">
        <v>41</v>
      </c>
      <c r="D48" s="61">
        <v>4.220949074074074E-3</v>
      </c>
      <c r="E48" s="50">
        <v>364.68900000000002</v>
      </c>
      <c r="F48" s="49">
        <v>326.74</v>
      </c>
      <c r="G48" s="49">
        <v>4.72</v>
      </c>
      <c r="H48" s="49">
        <v>27.8</v>
      </c>
      <c r="I48" s="50">
        <v>3.1190000000000002</v>
      </c>
      <c r="J48" s="50">
        <v>34.5</v>
      </c>
      <c r="K48" s="50">
        <v>9</v>
      </c>
      <c r="L48" s="50">
        <v>8</v>
      </c>
      <c r="M48" s="50">
        <v>6</v>
      </c>
      <c r="N48" s="50">
        <v>3</v>
      </c>
      <c r="O48" s="50">
        <v>3</v>
      </c>
      <c r="P48" s="49">
        <v>1.0049999999999999</v>
      </c>
      <c r="Q48" s="49">
        <v>0.98299999999999998</v>
      </c>
      <c r="R48" s="50">
        <v>1.849</v>
      </c>
      <c r="S48" s="3"/>
      <c r="T48" s="49">
        <v>62.64</v>
      </c>
      <c r="U48" s="50">
        <v>63.218000000000004</v>
      </c>
      <c r="V48" s="49">
        <v>150</v>
      </c>
      <c r="W48" s="49">
        <v>137.5</v>
      </c>
      <c r="X48" s="49">
        <v>110</v>
      </c>
      <c r="Y48" s="49">
        <v>122.5</v>
      </c>
      <c r="Z48" s="49">
        <v>278.45999999999998</v>
      </c>
      <c r="AA48" s="49">
        <v>275.73</v>
      </c>
      <c r="AB48" s="49">
        <v>157.22</v>
      </c>
      <c r="AC48" s="49">
        <v>196.7</v>
      </c>
      <c r="AD48" s="49">
        <v>1.6539999999999999</v>
      </c>
      <c r="AE48" s="49">
        <v>1.746</v>
      </c>
      <c r="AF48" s="49">
        <v>1.5049999999999999</v>
      </c>
      <c r="AG48" s="49">
        <v>1.56</v>
      </c>
      <c r="AH48" s="49">
        <v>61.46</v>
      </c>
      <c r="AI48" s="49">
        <v>58.45</v>
      </c>
      <c r="AJ48" s="49">
        <v>71.39</v>
      </c>
      <c r="AK48" s="49">
        <v>70.3</v>
      </c>
      <c r="AL48" s="49">
        <v>539.53</v>
      </c>
      <c r="AM48" s="49">
        <v>556.66800000000001</v>
      </c>
      <c r="AN48" s="49">
        <v>614.90499999999997</v>
      </c>
      <c r="AO48" s="49">
        <v>591.52499999999998</v>
      </c>
      <c r="AP48" s="49">
        <v>1.3240000000000001</v>
      </c>
      <c r="AQ48" s="49">
        <v>1.8089999999999999</v>
      </c>
      <c r="AR48" s="50">
        <v>44.110999999999997</v>
      </c>
      <c r="AS48" s="50">
        <v>40.716000000000001</v>
      </c>
      <c r="AT48" s="50">
        <v>83</v>
      </c>
      <c r="AU48" s="49">
        <v>103</v>
      </c>
      <c r="AV48" s="49">
        <v>2.9580000000000002</v>
      </c>
      <c r="AW48" s="49">
        <v>4.7058</v>
      </c>
      <c r="AX48" s="49">
        <v>1011.7</v>
      </c>
      <c r="AY48" s="50">
        <v>2.38</v>
      </c>
      <c r="AZ48" s="49">
        <v>5.66</v>
      </c>
      <c r="BA48" s="49">
        <v>71.305999999999997</v>
      </c>
      <c r="BB48" s="49">
        <v>72.305999999999997</v>
      </c>
      <c r="BC48" s="49">
        <v>7731</v>
      </c>
      <c r="BD48" s="49">
        <v>88.5</v>
      </c>
      <c r="BE48" s="49">
        <v>14.96</v>
      </c>
      <c r="BF48" s="49">
        <v>11.16</v>
      </c>
      <c r="BG48" s="49">
        <v>27.29</v>
      </c>
      <c r="BH48" s="49">
        <v>26.85</v>
      </c>
      <c r="BI48" s="49">
        <v>65.394000000000005</v>
      </c>
      <c r="BJ48" s="50">
        <v>81.995000000000005</v>
      </c>
      <c r="BK48" s="49">
        <v>63.639000000000003</v>
      </c>
      <c r="BL48" s="50">
        <v>79.256</v>
      </c>
      <c r="BM48" s="49">
        <v>79.426000000000002</v>
      </c>
      <c r="BN48" s="49">
        <v>108.712</v>
      </c>
      <c r="BO48" s="49">
        <v>107.032</v>
      </c>
      <c r="BP48" s="49">
        <v>95.224000000000004</v>
      </c>
      <c r="BQ48" s="49">
        <v>101.88</v>
      </c>
      <c r="BR48" s="49">
        <v>59.515999999999998</v>
      </c>
      <c r="BS48" s="49">
        <v>27.4</v>
      </c>
      <c r="BT48" s="49">
        <v>7226.9840000000004</v>
      </c>
      <c r="BU48" s="49">
        <v>46.591999999999999</v>
      </c>
      <c r="BV48" s="50">
        <v>55.582000000000001</v>
      </c>
      <c r="BW48" s="49">
        <v>54.893000000000001</v>
      </c>
      <c r="BX48" s="50">
        <v>58.926000000000002</v>
      </c>
      <c r="BY48" s="49">
        <v>1.4450000000000001</v>
      </c>
      <c r="BZ48" s="49">
        <v>2.4359999999999999</v>
      </c>
      <c r="CA48" s="49">
        <v>2.306</v>
      </c>
      <c r="CB48" s="49">
        <v>2.7509999999999999</v>
      </c>
      <c r="CC48" s="49">
        <v>0.95799999999999996</v>
      </c>
      <c r="CD48" s="49">
        <v>1.9790000000000001</v>
      </c>
      <c r="CE48" s="49">
        <v>1.2330000000000001</v>
      </c>
      <c r="CF48" s="49">
        <v>2.0089999999999999</v>
      </c>
      <c r="CG48" s="49">
        <v>13.914999999999999</v>
      </c>
      <c r="CH48" s="50">
        <v>10.404999999999999</v>
      </c>
      <c r="CI48" s="49">
        <v>2.3690000000000002</v>
      </c>
      <c r="CJ48" s="49">
        <v>2.2589999999999999</v>
      </c>
      <c r="CK48" s="49">
        <v>1.2949999999999999</v>
      </c>
      <c r="CL48" s="49">
        <v>0</v>
      </c>
      <c r="CM48" s="49">
        <v>0</v>
      </c>
      <c r="CN48" s="50">
        <v>0</v>
      </c>
      <c r="CO48" s="50">
        <v>0</v>
      </c>
      <c r="CP48" s="49">
        <v>95.415999999999997</v>
      </c>
      <c r="CQ48" s="49">
        <v>93.515000000000001</v>
      </c>
      <c r="CR48" s="49">
        <v>84.012</v>
      </c>
      <c r="CS48" s="49">
        <v>88.71</v>
      </c>
      <c r="CT48" s="49">
        <v>0.373</v>
      </c>
      <c r="CU48" s="49">
        <v>0.79900000000000004</v>
      </c>
      <c r="CV48" s="49">
        <v>1.4</v>
      </c>
      <c r="CW48" s="50">
        <v>1.5</v>
      </c>
      <c r="CX48" s="49">
        <v>1.298</v>
      </c>
      <c r="CY48" s="49">
        <v>0.90200000000000002</v>
      </c>
      <c r="CZ48" s="49">
        <v>1.099</v>
      </c>
      <c r="DA48" s="49">
        <v>0.59899999999999998</v>
      </c>
      <c r="DB48" s="49">
        <v>1.5</v>
      </c>
      <c r="DC48" s="50">
        <v>6.0000000000000001E-3</v>
      </c>
      <c r="DD48" s="50">
        <v>0</v>
      </c>
      <c r="DE48" s="49">
        <v>0.20399999999999999</v>
      </c>
      <c r="DF48" s="49">
        <v>1.7999999999999999E-2</v>
      </c>
      <c r="DG48" s="49">
        <v>0.28399999999999997</v>
      </c>
      <c r="DH48" s="49">
        <v>2.1</v>
      </c>
      <c r="DI48" s="49">
        <v>0.71299999999999997</v>
      </c>
      <c r="DJ48" s="49">
        <v>0.189</v>
      </c>
      <c r="DK48" s="49">
        <v>0.876</v>
      </c>
      <c r="DL48" s="50">
        <v>0.40899999999999997</v>
      </c>
      <c r="DM48" s="49">
        <v>0.51600000000000001</v>
      </c>
      <c r="DN48" s="49">
        <v>0.70499999999999996</v>
      </c>
      <c r="DO48" s="49">
        <v>0.66600000000000004</v>
      </c>
      <c r="DP48" s="49">
        <v>63.497999999999998</v>
      </c>
      <c r="DQ48" s="50">
        <v>64.287000000000006</v>
      </c>
      <c r="DR48" s="49">
        <v>54.988</v>
      </c>
      <c r="DS48" s="49">
        <v>51.914000000000001</v>
      </c>
      <c r="DT48" s="49">
        <v>2.59</v>
      </c>
      <c r="DU48" s="49">
        <v>2.69</v>
      </c>
      <c r="DV48" s="49">
        <v>5.5</v>
      </c>
      <c r="DW48" s="49">
        <v>5.01</v>
      </c>
      <c r="DX48" s="49">
        <v>2.64</v>
      </c>
      <c r="DY48" s="49">
        <v>2.57</v>
      </c>
      <c r="DZ48" s="49">
        <v>5.23</v>
      </c>
      <c r="EA48" s="49">
        <v>4.74</v>
      </c>
      <c r="EB48" s="49">
        <v>39.049999999999997</v>
      </c>
      <c r="EC48" s="49">
        <v>39</v>
      </c>
      <c r="ED48" s="49">
        <v>33.39</v>
      </c>
      <c r="EE48" s="49">
        <v>33.229999999999997</v>
      </c>
      <c r="EF48" s="50">
        <v>55.72</v>
      </c>
      <c r="EG48" s="50">
        <v>55.74</v>
      </c>
      <c r="EH48" s="50">
        <v>55.88</v>
      </c>
      <c r="EI48" s="50">
        <v>57.02</v>
      </c>
      <c r="EJ48" s="49">
        <v>5.9589999999999996</v>
      </c>
      <c r="EK48" s="49">
        <v>58.49</v>
      </c>
      <c r="EL48" s="50">
        <v>2.25</v>
      </c>
      <c r="EM48" s="49">
        <v>1.65</v>
      </c>
      <c r="EN48" s="49">
        <v>1.41</v>
      </c>
      <c r="EO48" s="49">
        <v>1.41</v>
      </c>
      <c r="EP48" s="49">
        <v>-97.462000000000003</v>
      </c>
      <c r="EQ48" s="49">
        <v>-1.07</v>
      </c>
      <c r="ER48" s="49">
        <v>73.650000000000006</v>
      </c>
      <c r="ES48" s="49">
        <v>1.399</v>
      </c>
      <c r="ET48" s="49">
        <v>1.494</v>
      </c>
      <c r="EU48" s="49">
        <v>1.3859999999999999</v>
      </c>
      <c r="EV48" s="49">
        <v>7.2869999999999999</v>
      </c>
      <c r="EW48" s="49">
        <v>1.5489999999999999</v>
      </c>
      <c r="EX48" s="49">
        <v>-196.62</v>
      </c>
      <c r="EY48" s="50">
        <v>9.8350000000000009</v>
      </c>
      <c r="EZ48" s="49">
        <v>0</v>
      </c>
      <c r="FA48" s="50">
        <v>0</v>
      </c>
      <c r="FB48" s="49">
        <v>8.7449999999999992</v>
      </c>
      <c r="FC48" s="49">
        <v>57.13</v>
      </c>
      <c r="FD48" s="49">
        <v>54.816000000000003</v>
      </c>
      <c r="FE48" s="49">
        <v>57.643999999999998</v>
      </c>
      <c r="FF48" s="49">
        <v>57.854999999999997</v>
      </c>
      <c r="FG48" s="50">
        <v>0.95599999999999996</v>
      </c>
      <c r="FH48" s="50">
        <v>0.96</v>
      </c>
      <c r="FI48" s="49">
        <v>1.008</v>
      </c>
      <c r="FJ48" s="49">
        <v>1.0089999999999999</v>
      </c>
      <c r="FK48" s="50">
        <v>0.10100000000000001</v>
      </c>
      <c r="FL48" s="50">
        <v>84</v>
      </c>
      <c r="FM48" s="49">
        <v>3.33</v>
      </c>
      <c r="FN48" s="49">
        <v>-0.67</v>
      </c>
      <c r="FO48" s="49">
        <v>5.44</v>
      </c>
      <c r="FP48" s="49">
        <v>4.55</v>
      </c>
      <c r="FQ48" s="50">
        <v>3.65</v>
      </c>
      <c r="FR48" s="49">
        <v>5.15</v>
      </c>
      <c r="FS48" s="49">
        <v>6.2515000000000001</v>
      </c>
      <c r="FT48" s="49">
        <v>1069.2</v>
      </c>
      <c r="FU48" s="49">
        <v>6.82</v>
      </c>
      <c r="FV48" s="49">
        <v>4.72</v>
      </c>
      <c r="FW48" s="50">
        <v>3264.5</v>
      </c>
      <c r="FX48" s="49">
        <v>164100</v>
      </c>
      <c r="FY48" s="49">
        <v>165700</v>
      </c>
      <c r="FZ48" s="49">
        <v>49.765000000000001</v>
      </c>
      <c r="GA48" s="49">
        <v>49.281999999999996</v>
      </c>
      <c r="GB48" s="50">
        <v>2356.6999999999998</v>
      </c>
      <c r="GC48" s="49">
        <v>2255.6999999999998</v>
      </c>
      <c r="GD48" s="50">
        <v>2356.6999999999998</v>
      </c>
      <c r="GE48" s="49">
        <v>2255.6999999999998</v>
      </c>
      <c r="GF48" s="49">
        <v>1542.25</v>
      </c>
      <c r="GG48" s="49">
        <v>35</v>
      </c>
      <c r="GH48" s="49">
        <v>34.6</v>
      </c>
      <c r="GI48" s="49">
        <v>50.8</v>
      </c>
      <c r="GJ48" s="49">
        <v>56.8</v>
      </c>
      <c r="GK48" s="50">
        <v>98.5</v>
      </c>
      <c r="GL48" s="49">
        <v>78.8</v>
      </c>
      <c r="GM48" s="50">
        <v>0</v>
      </c>
      <c r="GN48" s="49">
        <v>26.638000000000002</v>
      </c>
      <c r="GO48" s="49">
        <v>97.462000000000003</v>
      </c>
      <c r="GP48" s="50">
        <v>0</v>
      </c>
      <c r="GQ48" s="50">
        <v>4.5430000000000001</v>
      </c>
      <c r="GR48" s="50">
        <v>0</v>
      </c>
      <c r="GS48" s="50">
        <v>4.8970000000000002</v>
      </c>
      <c r="GT48" s="50">
        <v>0</v>
      </c>
      <c r="GU48" s="50">
        <v>4.3659999999999997</v>
      </c>
      <c r="GV48" s="50">
        <v>0</v>
      </c>
      <c r="GW48" s="49">
        <v>12.797000000000001</v>
      </c>
      <c r="GX48" s="50">
        <v>20.09</v>
      </c>
      <c r="GY48" s="50">
        <v>0</v>
      </c>
      <c r="GZ48" s="50">
        <v>0</v>
      </c>
      <c r="HA48" s="50">
        <v>0</v>
      </c>
      <c r="HB48" s="50">
        <v>1</v>
      </c>
      <c r="HC48" s="49">
        <v>22.771000000000001</v>
      </c>
      <c r="HD48" s="50">
        <v>86</v>
      </c>
      <c r="HE48" s="50">
        <v>0</v>
      </c>
      <c r="HF48" s="50">
        <v>0</v>
      </c>
      <c r="HG48" s="50">
        <v>91.05</v>
      </c>
      <c r="HH48" s="50">
        <v>94.09</v>
      </c>
      <c r="HI48" s="50">
        <v>0</v>
      </c>
      <c r="HJ48" s="50">
        <v>0</v>
      </c>
      <c r="HK48" s="50">
        <v>0</v>
      </c>
      <c r="HL48" s="50">
        <v>62</v>
      </c>
      <c r="HM48" s="50">
        <v>53</v>
      </c>
      <c r="HN48" s="49">
        <v>64</v>
      </c>
      <c r="HO48" s="49">
        <v>58</v>
      </c>
      <c r="HP48" s="49">
        <v>61</v>
      </c>
      <c r="HQ48" s="49">
        <v>59</v>
      </c>
      <c r="HR48" s="49">
        <v>52</v>
      </c>
      <c r="HS48" s="49">
        <v>58</v>
      </c>
      <c r="HT48" s="49">
        <v>-1.3334999999999999</v>
      </c>
      <c r="HU48" s="50">
        <v>0</v>
      </c>
      <c r="HV48" s="49">
        <v>-0.61599999999999999</v>
      </c>
      <c r="HW48" s="49">
        <v>53.99</v>
      </c>
      <c r="HX48" s="49">
        <v>64.45</v>
      </c>
      <c r="HY48" s="3"/>
      <c r="HZ48" s="3"/>
      <c r="IA48" s="49">
        <v>2.4180000000000001</v>
      </c>
      <c r="IB48" s="49">
        <v>98</v>
      </c>
      <c r="IC48" s="49">
        <v>18.274000000000001</v>
      </c>
      <c r="ID48" s="50">
        <v>-4.3999999999999997E-2</v>
      </c>
      <c r="IE48" s="50">
        <v>-1.7999999999999999E-2</v>
      </c>
      <c r="IF48" s="49">
        <v>797.2</v>
      </c>
      <c r="IG48" s="49">
        <v>640.4</v>
      </c>
      <c r="IH48" s="49">
        <v>803.7</v>
      </c>
      <c r="II48" s="49">
        <v>654.9</v>
      </c>
      <c r="IJ48" s="49">
        <v>1.9E-2</v>
      </c>
      <c r="IK48" s="49">
        <v>0.01</v>
      </c>
      <c r="IL48" s="50">
        <v>249.6</v>
      </c>
      <c r="IM48" s="50">
        <v>249.6</v>
      </c>
      <c r="IN48" s="50">
        <v>14.72</v>
      </c>
      <c r="IO48" s="49">
        <v>9.2999999999999999E-2</v>
      </c>
      <c r="IP48" s="50">
        <v>10.119999999999999</v>
      </c>
      <c r="IQ48" s="49">
        <v>5.0000000000000001E-3</v>
      </c>
      <c r="IR48" s="50">
        <v>1.2999999999999999E-2</v>
      </c>
      <c r="IS48">
        <v>0.38700000000000012</v>
      </c>
      <c r="IT48">
        <v>0.24500000000000011</v>
      </c>
    </row>
    <row r="49" spans="1:254" x14ac:dyDescent="0.25">
      <c r="B49" s="2" t="s">
        <v>412</v>
      </c>
      <c r="C49" s="2" t="s">
        <v>42</v>
      </c>
      <c r="D49" s="61">
        <v>3.9473379629629624E-3</v>
      </c>
      <c r="E49" s="49">
        <v>341.03</v>
      </c>
      <c r="F49" s="49">
        <v>324.05</v>
      </c>
      <c r="G49" s="49">
        <v>4.8</v>
      </c>
      <c r="H49" s="49">
        <v>27.5</v>
      </c>
      <c r="I49" s="49">
        <v>0</v>
      </c>
      <c r="J49" s="49">
        <v>17.2</v>
      </c>
      <c r="K49" s="50">
        <v>9</v>
      </c>
      <c r="L49" s="50">
        <v>8</v>
      </c>
      <c r="M49" s="50">
        <v>6</v>
      </c>
      <c r="N49" s="50">
        <v>3</v>
      </c>
      <c r="O49" s="50">
        <v>3</v>
      </c>
      <c r="P49" s="50">
        <v>1.01</v>
      </c>
      <c r="Q49" s="50">
        <v>1.9830000000000001</v>
      </c>
      <c r="R49" s="49">
        <v>0.82099999999999995</v>
      </c>
      <c r="S49" s="49">
        <v>0.68600000000000005</v>
      </c>
      <c r="T49" s="49">
        <v>55.7</v>
      </c>
      <c r="U49" s="49">
        <v>61.423999999999999</v>
      </c>
      <c r="V49" s="50">
        <v>50</v>
      </c>
      <c r="W49" s="50">
        <v>40</v>
      </c>
      <c r="X49" s="50">
        <v>80</v>
      </c>
      <c r="Y49" s="50">
        <v>80</v>
      </c>
      <c r="Z49" s="49">
        <v>188.97</v>
      </c>
      <c r="AA49" s="49">
        <v>183.43</v>
      </c>
      <c r="AB49" s="49">
        <v>126.05</v>
      </c>
      <c r="AC49" s="49">
        <v>148.25</v>
      </c>
      <c r="AD49" s="49">
        <v>1.5780000000000001</v>
      </c>
      <c r="AE49" s="49">
        <v>1.671</v>
      </c>
      <c r="AF49" s="49">
        <v>1.413</v>
      </c>
      <c r="AG49" s="49">
        <v>1.466</v>
      </c>
      <c r="AH49" s="49">
        <v>50.87</v>
      </c>
      <c r="AI49" s="49">
        <v>49.22</v>
      </c>
      <c r="AJ49" s="49">
        <v>59.55</v>
      </c>
      <c r="AK49" s="49">
        <v>58.82</v>
      </c>
      <c r="AL49" s="49">
        <v>556.87400000000002</v>
      </c>
      <c r="AM49" s="49">
        <v>562.74199999999996</v>
      </c>
      <c r="AN49" s="49">
        <v>638.29499999999996</v>
      </c>
      <c r="AO49" s="49">
        <v>659.87599999999998</v>
      </c>
      <c r="AP49" s="49">
        <v>1.3360000000000001</v>
      </c>
      <c r="AQ49" s="49">
        <v>1.81</v>
      </c>
      <c r="AR49" s="49">
        <v>42.622</v>
      </c>
      <c r="AS49" s="49">
        <v>37.804000000000002</v>
      </c>
      <c r="AT49" s="49">
        <v>82</v>
      </c>
      <c r="AU49" s="49">
        <v>98</v>
      </c>
      <c r="AV49" s="49">
        <v>2.2715000000000001</v>
      </c>
      <c r="AW49" s="49">
        <v>4.9657</v>
      </c>
      <c r="AX49" s="49">
        <v>1007.7</v>
      </c>
      <c r="AY49" s="49">
        <v>2.2400000000000002</v>
      </c>
      <c r="AZ49" s="49">
        <v>5.59</v>
      </c>
      <c r="BA49" s="49">
        <v>72.599999999999994</v>
      </c>
      <c r="BB49" s="49">
        <v>73.900000000000006</v>
      </c>
      <c r="BC49" s="49">
        <v>7737</v>
      </c>
      <c r="BD49" s="50">
        <v>89.75</v>
      </c>
      <c r="BE49" s="49">
        <v>13.664999999999999</v>
      </c>
      <c r="BF49" s="49">
        <v>11.525</v>
      </c>
      <c r="BG49" s="49">
        <v>26.17</v>
      </c>
      <c r="BH49" s="49">
        <v>25.94</v>
      </c>
      <c r="BI49" s="3"/>
      <c r="BJ49" s="3"/>
      <c r="BK49" s="3"/>
      <c r="BL49" s="3"/>
      <c r="BM49" s="3"/>
      <c r="BN49" s="49">
        <v>103.208</v>
      </c>
      <c r="BO49" s="49">
        <v>98.488</v>
      </c>
      <c r="BP49" s="49">
        <v>88.135999999999996</v>
      </c>
      <c r="BQ49" s="49">
        <v>93.367999999999995</v>
      </c>
      <c r="BR49" s="3"/>
      <c r="BS49" s="49">
        <v>27.3</v>
      </c>
      <c r="BT49" s="49">
        <v>7290.7129999999997</v>
      </c>
      <c r="BU49" s="49">
        <v>44.293999999999997</v>
      </c>
      <c r="BV49" s="49">
        <v>54.652000000000001</v>
      </c>
      <c r="BW49" s="50">
        <v>55.906999999999996</v>
      </c>
      <c r="BX49" s="49">
        <v>56.95</v>
      </c>
      <c r="BY49" s="49">
        <v>1.335</v>
      </c>
      <c r="BZ49" s="49">
        <v>2.4889999999999999</v>
      </c>
      <c r="CA49" s="49">
        <v>2.5870000000000002</v>
      </c>
      <c r="CB49" s="49">
        <v>4.1740000000000004</v>
      </c>
      <c r="CC49" s="49">
        <v>0.90100000000000002</v>
      </c>
      <c r="CD49" s="49">
        <v>2.0449999999999999</v>
      </c>
      <c r="CE49" s="50">
        <v>1.3169999999999999</v>
      </c>
      <c r="CF49" s="50">
        <v>2.15</v>
      </c>
      <c r="CG49" s="50">
        <v>13.983000000000001</v>
      </c>
      <c r="CH49" s="49">
        <v>13.826000000000001</v>
      </c>
      <c r="CI49" s="49">
        <v>3.254</v>
      </c>
      <c r="CJ49" s="49">
        <v>2.698</v>
      </c>
      <c r="CK49" s="49">
        <v>1.504</v>
      </c>
      <c r="CL49" s="49">
        <v>0</v>
      </c>
      <c r="CM49" s="49">
        <v>0.3</v>
      </c>
      <c r="CN49" s="50">
        <v>0</v>
      </c>
      <c r="CO49" s="50">
        <v>0</v>
      </c>
      <c r="CP49" s="49">
        <v>76.325000000000003</v>
      </c>
      <c r="CQ49" s="49">
        <v>74.010999999999996</v>
      </c>
      <c r="CR49" s="49">
        <v>70.13</v>
      </c>
      <c r="CS49" s="49">
        <v>74.073999999999998</v>
      </c>
      <c r="CT49" s="49">
        <v>0.33600000000000002</v>
      </c>
      <c r="CU49" s="50">
        <v>0.999</v>
      </c>
      <c r="CV49" s="50">
        <v>1.498</v>
      </c>
      <c r="CW49" s="49">
        <v>1.296</v>
      </c>
      <c r="CX49" s="49">
        <v>1.796</v>
      </c>
      <c r="CY49" s="50">
        <v>1.6930000000000001</v>
      </c>
      <c r="CZ49" s="49">
        <v>0.501</v>
      </c>
      <c r="DA49" s="49">
        <v>0.69899999999999995</v>
      </c>
      <c r="DB49" s="49">
        <v>1.498</v>
      </c>
      <c r="DC49" s="49">
        <v>0</v>
      </c>
      <c r="DD49" s="50">
        <v>0</v>
      </c>
      <c r="DE49" s="49">
        <v>0.252</v>
      </c>
      <c r="DF49" s="49">
        <v>0.109</v>
      </c>
      <c r="DG49" s="49">
        <v>1.2210000000000001</v>
      </c>
      <c r="DH49" s="50">
        <v>3.7</v>
      </c>
      <c r="DI49" s="49">
        <v>0.68200000000000005</v>
      </c>
      <c r="DJ49" s="49">
        <v>0.11899999999999999</v>
      </c>
      <c r="DK49" s="49">
        <v>1.0109999999999999</v>
      </c>
      <c r="DL49" s="49">
        <v>0.40200000000000002</v>
      </c>
      <c r="DM49" s="50">
        <v>0.69</v>
      </c>
      <c r="DN49" s="49">
        <v>0.38700000000000001</v>
      </c>
      <c r="DO49" s="49">
        <v>0.373</v>
      </c>
      <c r="DP49" s="49">
        <v>62.68</v>
      </c>
      <c r="DQ49" s="49">
        <v>60.649000000000001</v>
      </c>
      <c r="DR49" s="49">
        <v>53.491</v>
      </c>
      <c r="DS49" s="49">
        <v>52.212000000000003</v>
      </c>
      <c r="DT49" s="49">
        <v>2.58</v>
      </c>
      <c r="DU49" s="49">
        <v>2.6</v>
      </c>
      <c r="DV49" s="49">
        <v>6.06</v>
      </c>
      <c r="DW49" s="49">
        <v>5.46</v>
      </c>
      <c r="DX49" s="49">
        <v>2.63</v>
      </c>
      <c r="DY49" s="49">
        <v>2.73</v>
      </c>
      <c r="DZ49" s="49">
        <v>5.82</v>
      </c>
      <c r="EA49" s="49">
        <v>5.31</v>
      </c>
      <c r="EB49" s="50">
        <v>43.1</v>
      </c>
      <c r="EC49" s="50">
        <v>43.26</v>
      </c>
      <c r="ED49" s="50">
        <v>35.78</v>
      </c>
      <c r="EE49" s="50">
        <v>35.58</v>
      </c>
      <c r="EF49" s="49">
        <v>51.69</v>
      </c>
      <c r="EG49" s="49">
        <v>51.41</v>
      </c>
      <c r="EH49" s="49">
        <v>52.34</v>
      </c>
      <c r="EI49" s="49">
        <v>53.65</v>
      </c>
      <c r="EJ49" s="49">
        <v>6.3929999999999998</v>
      </c>
      <c r="EK49" s="49">
        <v>58.558999999999997</v>
      </c>
      <c r="EL49" s="49">
        <v>2</v>
      </c>
      <c r="EM49" s="50">
        <v>1.6</v>
      </c>
      <c r="EN49" s="50">
        <v>1.5</v>
      </c>
      <c r="EO49" s="50">
        <v>1.5</v>
      </c>
      <c r="EP49" s="50">
        <v>-124.61799999999999</v>
      </c>
      <c r="EQ49" s="50">
        <v>-0.379</v>
      </c>
      <c r="ER49" s="49">
        <v>92.63</v>
      </c>
      <c r="ES49" s="50">
        <v>1.534</v>
      </c>
      <c r="ET49" s="50">
        <v>1.6419999999999999</v>
      </c>
      <c r="EU49" s="50">
        <v>1.526</v>
      </c>
      <c r="EV49" s="49">
        <v>7.4210000000000003</v>
      </c>
      <c r="EW49" s="49">
        <v>1.47</v>
      </c>
      <c r="EX49" s="49">
        <v>52.7</v>
      </c>
      <c r="EY49" s="49">
        <v>0</v>
      </c>
      <c r="EZ49" s="50">
        <v>22.466000000000001</v>
      </c>
      <c r="FA49" s="50">
        <v>0</v>
      </c>
      <c r="FB49" s="50">
        <v>9.4269999999999996</v>
      </c>
      <c r="FC49" s="49">
        <v>55.045000000000002</v>
      </c>
      <c r="FD49" s="49">
        <v>52.567999999999998</v>
      </c>
      <c r="FE49" s="49">
        <v>53.552999999999997</v>
      </c>
      <c r="FF49" s="49">
        <v>53.878999999999998</v>
      </c>
      <c r="FG49" s="49">
        <v>0.92700000000000005</v>
      </c>
      <c r="FH49" s="49">
        <v>0.92700000000000005</v>
      </c>
      <c r="FI49" s="50">
        <v>1.0109999999999999</v>
      </c>
      <c r="FJ49" s="50">
        <v>1.0129999999999999</v>
      </c>
      <c r="FK49" s="49">
        <v>0</v>
      </c>
      <c r="FL49" s="49">
        <v>83</v>
      </c>
      <c r="FM49" s="49">
        <v>3.56</v>
      </c>
      <c r="FN49" s="50">
        <v>-0.75</v>
      </c>
      <c r="FO49" s="49">
        <v>5.45</v>
      </c>
      <c r="FP49" s="49">
        <v>4.6500000000000004</v>
      </c>
      <c r="FQ49" s="49">
        <v>4.5999999999999996</v>
      </c>
      <c r="FR49" s="49">
        <v>5.15</v>
      </c>
      <c r="FS49" s="49">
        <v>6.4649999999999999</v>
      </c>
      <c r="FT49" s="49">
        <v>1076.3</v>
      </c>
      <c r="FU49" s="50">
        <v>6.9</v>
      </c>
      <c r="FV49" s="49">
        <v>9.52</v>
      </c>
      <c r="FW49" s="49">
        <v>3047.5</v>
      </c>
      <c r="FX49" s="49">
        <v>163800</v>
      </c>
      <c r="FY49" s="49">
        <v>164800</v>
      </c>
      <c r="FZ49" s="50">
        <v>50.255000000000003</v>
      </c>
      <c r="GA49" s="50">
        <v>49.554000000000002</v>
      </c>
      <c r="GB49" s="49">
        <v>2171.6</v>
      </c>
      <c r="GC49" s="49">
        <v>2171.3000000000002</v>
      </c>
      <c r="GD49" s="49">
        <v>2191.9</v>
      </c>
      <c r="GE49" s="49">
        <v>2189.5</v>
      </c>
      <c r="GF49" s="49">
        <v>1364.4530999999999</v>
      </c>
      <c r="GG49" s="49">
        <v>36</v>
      </c>
      <c r="GH49" s="49">
        <v>36.299999999999997</v>
      </c>
      <c r="GI49" s="50">
        <v>51.7</v>
      </c>
      <c r="GJ49" s="50">
        <v>58</v>
      </c>
      <c r="GK49" s="49">
        <v>99.5</v>
      </c>
      <c r="GL49" s="49">
        <v>77</v>
      </c>
      <c r="GM49" s="50">
        <v>0</v>
      </c>
      <c r="GN49" s="49">
        <v>26.195</v>
      </c>
      <c r="GO49" s="50">
        <v>124.61799999999999</v>
      </c>
      <c r="GP49" s="49">
        <v>0.53100000000000003</v>
      </c>
      <c r="GQ49" s="49">
        <v>1.9470000000000001</v>
      </c>
      <c r="GR49" s="49">
        <v>0.59</v>
      </c>
      <c r="GS49" s="49">
        <v>2.0059999999999998</v>
      </c>
      <c r="GT49" s="49">
        <v>0.64900000000000002</v>
      </c>
      <c r="GU49" s="49">
        <v>1.9470000000000001</v>
      </c>
      <c r="GV49" s="49">
        <v>13.034000000000001</v>
      </c>
      <c r="GW49" s="50">
        <v>14.199</v>
      </c>
      <c r="GX49" s="49">
        <v>16.366</v>
      </c>
      <c r="GY49" s="50">
        <v>0</v>
      </c>
      <c r="GZ49" s="50">
        <v>0</v>
      </c>
      <c r="HA49" s="50">
        <v>0</v>
      </c>
      <c r="HB49" s="49">
        <v>0</v>
      </c>
      <c r="HC49" s="49">
        <v>23.119</v>
      </c>
      <c r="HD49" s="49">
        <v>82</v>
      </c>
      <c r="HE49" s="50">
        <v>0</v>
      </c>
      <c r="HF49" s="50">
        <v>0</v>
      </c>
      <c r="HG49" s="49">
        <v>86.05</v>
      </c>
      <c r="HH49" s="49">
        <v>83.66</v>
      </c>
      <c r="HI49" s="50">
        <v>0</v>
      </c>
      <c r="HJ49" s="50">
        <v>0</v>
      </c>
      <c r="HK49" s="50">
        <v>0</v>
      </c>
      <c r="HL49" s="50">
        <v>62</v>
      </c>
      <c r="HM49" s="50">
        <v>53</v>
      </c>
      <c r="HN49" s="50">
        <v>65</v>
      </c>
      <c r="HO49" s="49">
        <v>58</v>
      </c>
      <c r="HP49" s="49">
        <v>61</v>
      </c>
      <c r="HQ49" s="49">
        <v>59</v>
      </c>
      <c r="HR49" s="50">
        <v>53</v>
      </c>
      <c r="HS49" s="50">
        <v>70</v>
      </c>
      <c r="HT49" s="49">
        <v>-1.3380000000000001</v>
      </c>
      <c r="HU49" s="50">
        <v>0</v>
      </c>
      <c r="HV49" s="49">
        <v>-0.81100000000000005</v>
      </c>
      <c r="HW49" s="50">
        <v>34.369999999999997</v>
      </c>
      <c r="HX49" s="49">
        <v>50.94</v>
      </c>
      <c r="HY49" s="49">
        <v>46.76</v>
      </c>
      <c r="HZ49" s="49">
        <v>61.71</v>
      </c>
      <c r="IA49" s="49">
        <v>2.4790000000000001</v>
      </c>
      <c r="IB49" s="49">
        <v>96</v>
      </c>
      <c r="IC49" s="49">
        <v>16.071999999999999</v>
      </c>
      <c r="ID49" s="49">
        <v>-0.11799999999999999</v>
      </c>
      <c r="IE49" s="49">
        <v>-4.7E-2</v>
      </c>
      <c r="IF49" s="49">
        <v>793.9</v>
      </c>
      <c r="IG49" s="49">
        <v>630</v>
      </c>
      <c r="IH49" s="50">
        <v>815.4</v>
      </c>
      <c r="II49" s="49">
        <v>642.29999999999995</v>
      </c>
      <c r="IJ49" s="50">
        <v>9.0999999999999998E-2</v>
      </c>
      <c r="IK49" s="50">
        <v>6.2E-2</v>
      </c>
      <c r="IL49" s="49">
        <v>232.65600000000001</v>
      </c>
      <c r="IM49" s="49">
        <v>232.65600000000001</v>
      </c>
      <c r="IN49" s="49">
        <v>12.865</v>
      </c>
      <c r="IO49" s="49">
        <v>0.14099999999999999</v>
      </c>
      <c r="IP49" s="49">
        <v>10.11</v>
      </c>
      <c r="IQ49" s="49">
        <v>4.0000000000000001E-3</v>
      </c>
      <c r="IR49" s="49">
        <v>5.0000000000000001E-3</v>
      </c>
      <c r="IS49">
        <v>0.39100000000000013</v>
      </c>
      <c r="IT49">
        <v>0.25000000000000011</v>
      </c>
    </row>
    <row r="50" spans="1:254" x14ac:dyDescent="0.25">
      <c r="B50" s="2" t="s">
        <v>412</v>
      </c>
      <c r="C50" s="2" t="s">
        <v>43</v>
      </c>
      <c r="D50" s="61">
        <v>2.4870370370370372E-3</v>
      </c>
      <c r="E50" s="49">
        <v>214.92</v>
      </c>
      <c r="F50" s="49">
        <v>326.8</v>
      </c>
      <c r="G50" s="49">
        <v>6.04</v>
      </c>
      <c r="H50" s="49">
        <v>28.1</v>
      </c>
      <c r="I50" s="49">
        <v>0</v>
      </c>
      <c r="J50" s="49">
        <v>12.1</v>
      </c>
      <c r="K50" s="50">
        <v>9</v>
      </c>
      <c r="L50" s="50">
        <v>8</v>
      </c>
      <c r="M50" s="50">
        <v>6</v>
      </c>
      <c r="N50" s="50">
        <v>3</v>
      </c>
      <c r="O50" s="50">
        <v>3</v>
      </c>
      <c r="P50" s="49">
        <v>0.95499999999999996</v>
      </c>
      <c r="Q50" s="49">
        <v>1.548</v>
      </c>
      <c r="R50" s="49">
        <v>0.98899999999999999</v>
      </c>
      <c r="S50" s="50">
        <v>0.89400000000000002</v>
      </c>
      <c r="T50" s="49">
        <v>73.34</v>
      </c>
      <c r="U50" s="49">
        <v>61.124000000000002</v>
      </c>
      <c r="V50" s="49">
        <v>245</v>
      </c>
      <c r="W50" s="49">
        <v>241.66</v>
      </c>
      <c r="X50" s="49">
        <v>140</v>
      </c>
      <c r="Y50" s="49">
        <v>190</v>
      </c>
      <c r="Z50" s="49">
        <v>385.38</v>
      </c>
      <c r="AA50" s="49">
        <v>377.86</v>
      </c>
      <c r="AB50" s="49">
        <v>262.56</v>
      </c>
      <c r="AC50" s="49">
        <v>326.95999999999998</v>
      </c>
      <c r="AD50" s="49">
        <v>1.712</v>
      </c>
      <c r="AE50" s="49">
        <v>1.7869999999999999</v>
      </c>
      <c r="AF50" s="49">
        <v>1.6279999999999999</v>
      </c>
      <c r="AG50" s="49">
        <v>1.661</v>
      </c>
      <c r="AH50" s="49">
        <v>73.180000000000007</v>
      </c>
      <c r="AI50" s="49">
        <v>71.25</v>
      </c>
      <c r="AJ50" s="49">
        <v>90.08</v>
      </c>
      <c r="AK50" s="49">
        <v>85.91</v>
      </c>
      <c r="AL50" s="49">
        <v>633.27800000000002</v>
      </c>
      <c r="AM50" s="49">
        <v>622.53899999999999</v>
      </c>
      <c r="AN50" s="49">
        <v>736.28599999999994</v>
      </c>
      <c r="AO50" s="49">
        <v>720.18200000000002</v>
      </c>
      <c r="AP50" s="49">
        <v>1.3380000000000001</v>
      </c>
      <c r="AQ50" s="50">
        <v>1.8340000000000001</v>
      </c>
      <c r="AR50" s="49">
        <v>42.055</v>
      </c>
      <c r="AS50" s="49">
        <v>37.786000000000001</v>
      </c>
      <c r="AT50" s="50">
        <v>83</v>
      </c>
      <c r="AU50" s="49">
        <v>110</v>
      </c>
      <c r="AV50" s="49">
        <v>1.8185</v>
      </c>
      <c r="AW50" s="49">
        <v>5.1310000000000002</v>
      </c>
      <c r="AX50" s="49">
        <v>1017.3</v>
      </c>
      <c r="AY50" s="49">
        <v>2.2799999999999998</v>
      </c>
      <c r="AZ50" s="49">
        <v>5.37</v>
      </c>
      <c r="BA50" s="49">
        <v>125.59699999999999</v>
      </c>
      <c r="BB50" s="49">
        <v>125.779</v>
      </c>
      <c r="BC50" s="49">
        <v>7763</v>
      </c>
      <c r="BD50" s="49">
        <v>88.25</v>
      </c>
      <c r="BE50" s="49">
        <v>16.864999999999998</v>
      </c>
      <c r="BF50" s="49">
        <v>14.07</v>
      </c>
      <c r="BG50" s="49">
        <v>28.1</v>
      </c>
      <c r="BH50" s="49">
        <v>26.34</v>
      </c>
      <c r="BI50" s="3"/>
      <c r="BJ50" s="3"/>
      <c r="BK50" s="3"/>
      <c r="BL50" s="3"/>
      <c r="BM50" s="3"/>
      <c r="BN50" s="49">
        <v>97.272000000000006</v>
      </c>
      <c r="BO50" s="49">
        <v>94.072000000000003</v>
      </c>
      <c r="BP50" s="49">
        <v>110.904</v>
      </c>
      <c r="BQ50" s="49">
        <v>113.816</v>
      </c>
      <c r="BR50" s="3"/>
      <c r="BS50" s="49">
        <v>27.7</v>
      </c>
      <c r="BT50" s="49">
        <v>7382.7349999999997</v>
      </c>
      <c r="BU50" s="50">
        <v>51.536000000000001</v>
      </c>
      <c r="BV50" s="49">
        <v>54.39</v>
      </c>
      <c r="BW50" s="49">
        <v>54.725000000000001</v>
      </c>
      <c r="BX50" s="49">
        <v>56.128999999999998</v>
      </c>
      <c r="BY50" s="50">
        <v>1.4830000000000001</v>
      </c>
      <c r="BZ50" s="49">
        <v>2.9369999999999998</v>
      </c>
      <c r="CA50" s="49">
        <v>3.3029999999999999</v>
      </c>
      <c r="CB50" s="49">
        <v>3.6469999999999998</v>
      </c>
      <c r="CC50" s="49">
        <v>0.82399999999999995</v>
      </c>
      <c r="CD50" s="50">
        <v>2.1640000000000001</v>
      </c>
      <c r="CE50" s="49">
        <v>1.161</v>
      </c>
      <c r="CF50" s="49">
        <v>1.9910000000000001</v>
      </c>
      <c r="CG50" s="49">
        <v>13.94</v>
      </c>
      <c r="CH50" s="49">
        <v>13.765000000000001</v>
      </c>
      <c r="CI50" s="49">
        <v>4.641</v>
      </c>
      <c r="CJ50" s="50">
        <v>3.327</v>
      </c>
      <c r="CK50" s="50">
        <v>1.655</v>
      </c>
      <c r="CL50" s="49">
        <v>0.1</v>
      </c>
      <c r="CM50" s="50">
        <v>0.9</v>
      </c>
      <c r="CN50" s="50">
        <v>0</v>
      </c>
      <c r="CO50" s="50">
        <v>0</v>
      </c>
      <c r="CP50" s="49">
        <v>90.174000000000007</v>
      </c>
      <c r="CQ50" s="49">
        <v>88.292000000000002</v>
      </c>
      <c r="CR50" s="49">
        <v>92.912999999999997</v>
      </c>
      <c r="CS50" s="49">
        <v>99.350999999999999</v>
      </c>
      <c r="CT50" s="49">
        <v>0.29499999999999998</v>
      </c>
      <c r="CU50" s="49">
        <v>0.89600000000000002</v>
      </c>
      <c r="CV50" s="49">
        <v>1.0980000000000001</v>
      </c>
      <c r="CW50" s="49">
        <v>0.998</v>
      </c>
      <c r="CX50" s="49">
        <v>1.696</v>
      </c>
      <c r="CY50" s="49">
        <v>0.499</v>
      </c>
      <c r="CZ50" s="49">
        <v>1.099</v>
      </c>
      <c r="DA50" s="49">
        <v>1.103</v>
      </c>
      <c r="DB50" s="49">
        <v>1.298</v>
      </c>
      <c r="DC50" s="49">
        <v>0</v>
      </c>
      <c r="DD50" s="50">
        <v>0</v>
      </c>
      <c r="DE50" s="50">
        <v>0.36</v>
      </c>
      <c r="DF50" s="50">
        <v>0.187</v>
      </c>
      <c r="DG50" s="50">
        <v>1.3089999999999999</v>
      </c>
      <c r="DH50" s="49">
        <v>2.4369999999999998</v>
      </c>
      <c r="DI50" s="49">
        <v>1.056</v>
      </c>
      <c r="DJ50" s="50">
        <v>0.38500000000000001</v>
      </c>
      <c r="DK50" s="49">
        <v>0.98699999999999999</v>
      </c>
      <c r="DL50" s="49">
        <v>0.39900000000000002</v>
      </c>
      <c r="DM50" s="49">
        <v>0.45200000000000001</v>
      </c>
      <c r="DN50" s="50">
        <v>0.86799999999999999</v>
      </c>
      <c r="DO50" s="50">
        <v>0.67400000000000004</v>
      </c>
      <c r="DP50" s="49">
        <v>64.688000000000002</v>
      </c>
      <c r="DQ50" s="49">
        <v>61.585000000000001</v>
      </c>
      <c r="DR50" s="49">
        <v>54.676000000000002</v>
      </c>
      <c r="DS50" s="49">
        <v>52.856000000000002</v>
      </c>
      <c r="DT50" s="49">
        <v>6.35</v>
      </c>
      <c r="DU50" s="49">
        <v>5.97</v>
      </c>
      <c r="DV50" s="49">
        <v>14.62</v>
      </c>
      <c r="DW50" s="49">
        <v>12.69</v>
      </c>
      <c r="DX50" s="49">
        <v>6.48</v>
      </c>
      <c r="DY50" s="49">
        <v>6.29</v>
      </c>
      <c r="DZ50" s="49">
        <v>14.15</v>
      </c>
      <c r="EA50" s="49">
        <v>12.62</v>
      </c>
      <c r="EB50" s="49">
        <v>42.44</v>
      </c>
      <c r="EC50" s="49">
        <v>41.89</v>
      </c>
      <c r="ED50" s="49">
        <v>31.31</v>
      </c>
      <c r="EE50" s="49">
        <v>33.159999999999997</v>
      </c>
      <c r="EF50" s="49">
        <v>44.74</v>
      </c>
      <c r="EG50" s="49">
        <v>45.86</v>
      </c>
      <c r="EH50" s="49">
        <v>39.92</v>
      </c>
      <c r="EI50" s="49">
        <v>41.53</v>
      </c>
      <c r="EJ50" s="49">
        <v>6.2889999999999997</v>
      </c>
      <c r="EK50" s="49">
        <v>60.029000000000003</v>
      </c>
      <c r="EL50" s="49">
        <v>2.0499999999999998</v>
      </c>
      <c r="EM50" s="49">
        <v>1.65</v>
      </c>
      <c r="EN50" s="49">
        <v>1.2</v>
      </c>
      <c r="EO50" s="49">
        <v>1.21</v>
      </c>
      <c r="EP50" s="49">
        <v>-119.946</v>
      </c>
      <c r="EQ50" s="49">
        <v>-3.1539999999999999</v>
      </c>
      <c r="ER50" s="49">
        <v>92.337999999999994</v>
      </c>
      <c r="ES50" s="49">
        <v>1.345</v>
      </c>
      <c r="ET50" s="49">
        <v>1.4750000000000001</v>
      </c>
      <c r="EU50" s="49">
        <v>1.294</v>
      </c>
      <c r="EV50" s="49">
        <v>7.5540000000000003</v>
      </c>
      <c r="EW50" s="50">
        <v>1.9059999999999999</v>
      </c>
      <c r="EX50" s="49">
        <v>74.34</v>
      </c>
      <c r="EY50" s="49">
        <v>0</v>
      </c>
      <c r="EZ50" s="49">
        <v>0.17299999999999999</v>
      </c>
      <c r="FA50" s="50">
        <v>0</v>
      </c>
      <c r="FB50" s="49">
        <v>9.1959999999999997</v>
      </c>
      <c r="FC50" s="49">
        <v>59.058</v>
      </c>
      <c r="FD50" s="49">
        <v>55.927</v>
      </c>
      <c r="FE50" s="49">
        <v>61.936</v>
      </c>
      <c r="FF50" s="49">
        <v>61.253</v>
      </c>
      <c r="FG50" s="49">
        <v>0.91900000000000004</v>
      </c>
      <c r="FH50" s="49">
        <v>0.91900000000000004</v>
      </c>
      <c r="FI50" s="49">
        <v>1.004</v>
      </c>
      <c r="FJ50" s="49">
        <v>1.0069999999999999</v>
      </c>
      <c r="FK50" s="49">
        <v>0</v>
      </c>
      <c r="FL50" s="49">
        <v>83</v>
      </c>
      <c r="FM50" s="49">
        <v>3.69</v>
      </c>
      <c r="FN50" s="49">
        <v>-0.54</v>
      </c>
      <c r="FO50" s="49">
        <v>5.26</v>
      </c>
      <c r="FP50" s="49">
        <v>4.5999999999999996</v>
      </c>
      <c r="FQ50" s="49">
        <v>4.55</v>
      </c>
      <c r="FR50" s="49">
        <v>5.0999999999999996</v>
      </c>
      <c r="FS50" s="49">
        <v>6.6074999999999999</v>
      </c>
      <c r="FT50" s="49">
        <v>1078.8</v>
      </c>
      <c r="FU50" s="49">
        <v>6.83</v>
      </c>
      <c r="FV50" s="49">
        <v>15.56</v>
      </c>
      <c r="FW50" s="49">
        <v>3100</v>
      </c>
      <c r="FX50" s="49">
        <v>164300</v>
      </c>
      <c r="FY50" s="49">
        <v>165400</v>
      </c>
      <c r="FZ50" s="49">
        <v>48.118000000000002</v>
      </c>
      <c r="GA50" s="49">
        <v>47.378999999999998</v>
      </c>
      <c r="GB50" s="49">
        <v>2215.9</v>
      </c>
      <c r="GC50" s="49">
        <v>2141.9</v>
      </c>
      <c r="GD50" s="49">
        <v>2269.9</v>
      </c>
      <c r="GE50" s="49">
        <v>2177.1999999999998</v>
      </c>
      <c r="GF50" s="50">
        <v>1592.7030999999999</v>
      </c>
      <c r="GG50" s="49">
        <v>37</v>
      </c>
      <c r="GH50" s="49">
        <v>37</v>
      </c>
      <c r="GI50" s="49">
        <v>48.7</v>
      </c>
      <c r="GJ50" s="49">
        <v>54.5</v>
      </c>
      <c r="GK50" s="49">
        <v>99.5</v>
      </c>
      <c r="GL50" s="49">
        <v>93.7</v>
      </c>
      <c r="GM50" s="50">
        <v>0</v>
      </c>
      <c r="GN50" s="49">
        <v>27.381</v>
      </c>
      <c r="GO50" s="49">
        <v>119.946</v>
      </c>
      <c r="GP50" s="49">
        <v>0.35399999999999998</v>
      </c>
      <c r="GQ50" s="49">
        <v>1.9470000000000001</v>
      </c>
      <c r="GR50" s="49">
        <v>0.53100000000000003</v>
      </c>
      <c r="GS50" s="49">
        <v>2.0059999999999998</v>
      </c>
      <c r="GT50" s="49">
        <v>0.53100000000000003</v>
      </c>
      <c r="GU50" s="49">
        <v>1.8879999999999999</v>
      </c>
      <c r="GV50" s="49">
        <v>12.936</v>
      </c>
      <c r="GW50" s="49">
        <v>14.055999999999999</v>
      </c>
      <c r="GX50" s="49">
        <v>15.974</v>
      </c>
      <c r="GY50" s="50">
        <v>0</v>
      </c>
      <c r="GZ50" s="50">
        <v>0</v>
      </c>
      <c r="HA50" s="50">
        <v>0</v>
      </c>
      <c r="HB50" s="49">
        <v>0</v>
      </c>
      <c r="HC50" s="49">
        <v>23.216000000000001</v>
      </c>
      <c r="HD50" s="49">
        <v>78</v>
      </c>
      <c r="HE50" s="50">
        <v>0</v>
      </c>
      <c r="HF50" s="50">
        <v>0</v>
      </c>
      <c r="HG50" s="49">
        <v>88.14</v>
      </c>
      <c r="HH50" s="49">
        <v>84.52</v>
      </c>
      <c r="HI50" s="50">
        <v>0</v>
      </c>
      <c r="HJ50" s="50">
        <v>0</v>
      </c>
      <c r="HK50" s="50">
        <v>0</v>
      </c>
      <c r="HL50" s="49">
        <v>59</v>
      </c>
      <c r="HM50" s="49">
        <v>52</v>
      </c>
      <c r="HN50" s="49">
        <v>64</v>
      </c>
      <c r="HO50" s="49">
        <v>59</v>
      </c>
      <c r="HP50" s="49">
        <v>62</v>
      </c>
      <c r="HQ50" s="49">
        <v>59</v>
      </c>
      <c r="HR50" s="49">
        <v>52</v>
      </c>
      <c r="HS50" s="50">
        <v>70</v>
      </c>
      <c r="HT50" s="50">
        <v>-1.357</v>
      </c>
      <c r="HU50" s="50">
        <v>0</v>
      </c>
      <c r="HV50" s="49">
        <v>0.80100000000000005</v>
      </c>
      <c r="HW50" s="50">
        <v>34.369999999999997</v>
      </c>
      <c r="HX50" s="49">
        <v>45.17</v>
      </c>
      <c r="HY50" s="49">
        <v>50.87</v>
      </c>
      <c r="HZ50" s="49">
        <v>63.08</v>
      </c>
      <c r="IA50" s="49">
        <v>2.86</v>
      </c>
      <c r="IB50" s="49">
        <v>104</v>
      </c>
      <c r="IC50" s="49">
        <v>22.239000000000001</v>
      </c>
      <c r="ID50" s="49">
        <v>-0.315</v>
      </c>
      <c r="IE50" s="49">
        <v>-0.13800000000000001</v>
      </c>
      <c r="IF50" s="49">
        <v>798.6</v>
      </c>
      <c r="IG50" s="49">
        <v>753.7</v>
      </c>
      <c r="IH50" s="49">
        <v>808.3</v>
      </c>
      <c r="II50" s="49">
        <v>763</v>
      </c>
      <c r="IJ50" s="49">
        <v>7.3999999999999996E-2</v>
      </c>
      <c r="IK50" s="49">
        <v>-8.0000000000000002E-3</v>
      </c>
      <c r="IL50" s="49">
        <v>70.388000000000005</v>
      </c>
      <c r="IM50" s="49">
        <v>70.388000000000005</v>
      </c>
      <c r="IN50" s="49">
        <v>9.9710000000000001</v>
      </c>
      <c r="IO50" s="49">
        <v>0.32300000000000001</v>
      </c>
      <c r="IP50" s="49">
        <v>9.94</v>
      </c>
      <c r="IQ50" s="50">
        <v>1.7000000000000001E-2</v>
      </c>
      <c r="IR50" s="49">
        <v>7.0000000000000001E-3</v>
      </c>
      <c r="IS50">
        <v>0.40800000000000014</v>
      </c>
      <c r="IT50">
        <v>0.25700000000000012</v>
      </c>
    </row>
    <row r="51" spans="1:254" x14ac:dyDescent="0.25">
      <c r="B51" s="2" t="s">
        <v>412</v>
      </c>
      <c r="C51" s="62" t="s">
        <v>44</v>
      </c>
      <c r="D51" s="63">
        <v>2.4438657407407408E-3</v>
      </c>
      <c r="E51" s="49">
        <v>211.19</v>
      </c>
      <c r="F51" s="50">
        <v>330.85</v>
      </c>
      <c r="G51" s="50">
        <v>6.1</v>
      </c>
      <c r="H51" s="49">
        <v>28.5</v>
      </c>
      <c r="I51" s="49">
        <v>0</v>
      </c>
      <c r="J51" s="49">
        <v>12.7</v>
      </c>
      <c r="K51" s="50">
        <v>9</v>
      </c>
      <c r="L51" s="50">
        <v>8</v>
      </c>
      <c r="M51" s="50">
        <v>6</v>
      </c>
      <c r="N51" s="50">
        <v>3</v>
      </c>
      <c r="O51" s="50">
        <v>3</v>
      </c>
      <c r="P51" s="49">
        <v>0.89500000000000002</v>
      </c>
      <c r="Q51" s="49">
        <v>1.48</v>
      </c>
      <c r="R51" s="49">
        <v>1.0169999999999999</v>
      </c>
      <c r="S51" s="49">
        <v>0.82899999999999996</v>
      </c>
      <c r="T51" s="50">
        <v>76.94</v>
      </c>
      <c r="U51" s="49">
        <v>61.026000000000003</v>
      </c>
      <c r="V51" s="49">
        <v>251.66</v>
      </c>
      <c r="W51" s="49">
        <v>241.66</v>
      </c>
      <c r="X51" s="49">
        <v>190</v>
      </c>
      <c r="Y51" s="49">
        <v>228.34</v>
      </c>
      <c r="Z51" s="50">
        <v>395.87</v>
      </c>
      <c r="AA51" s="50">
        <v>383.87</v>
      </c>
      <c r="AB51" s="50">
        <v>308.2</v>
      </c>
      <c r="AC51" s="50">
        <v>370.39</v>
      </c>
      <c r="AD51" s="49">
        <v>1.7809999999999999</v>
      </c>
      <c r="AE51" s="49">
        <v>1.849</v>
      </c>
      <c r="AF51" s="49">
        <v>1.7509999999999999</v>
      </c>
      <c r="AG51" s="49">
        <v>1.7709999999999999</v>
      </c>
      <c r="AH51" s="49">
        <v>81.59</v>
      </c>
      <c r="AI51" s="49">
        <v>79.069999999999993</v>
      </c>
      <c r="AJ51" s="49">
        <v>102.84</v>
      </c>
      <c r="AK51" s="49">
        <v>98.61</v>
      </c>
      <c r="AL51" s="50">
        <v>645.90499999999997</v>
      </c>
      <c r="AM51" s="50">
        <v>684.12800000000004</v>
      </c>
      <c r="AN51" s="50">
        <v>788.99599999999998</v>
      </c>
      <c r="AO51" s="50">
        <v>791.51599999999996</v>
      </c>
      <c r="AP51" s="50">
        <v>1.339</v>
      </c>
      <c r="AQ51" s="49">
        <v>1.8120000000000001</v>
      </c>
      <c r="AR51" s="49">
        <v>41.24</v>
      </c>
      <c r="AS51" s="49">
        <v>37.591000000000001</v>
      </c>
      <c r="AT51" s="50">
        <v>83</v>
      </c>
      <c r="AU51" s="49">
        <v>116</v>
      </c>
      <c r="AV51" s="50">
        <v>1.7729999999999999</v>
      </c>
      <c r="AW51" s="50">
        <v>5.1519000000000004</v>
      </c>
      <c r="AX51" s="50">
        <v>1017.5</v>
      </c>
      <c r="AY51" s="49">
        <v>2.35</v>
      </c>
      <c r="AZ51" s="49">
        <v>5.63</v>
      </c>
      <c r="BA51" s="49">
        <v>140.352</v>
      </c>
      <c r="BB51" s="49">
        <v>139.69200000000001</v>
      </c>
      <c r="BC51" s="50">
        <v>7820</v>
      </c>
      <c r="BD51" s="49">
        <v>88.5</v>
      </c>
      <c r="BE51" s="50">
        <v>16.925000000000001</v>
      </c>
      <c r="BF51" s="50">
        <v>15.225</v>
      </c>
      <c r="BG51" s="49">
        <v>28.73</v>
      </c>
      <c r="BH51" s="50">
        <v>28.06</v>
      </c>
      <c r="BI51" s="3"/>
      <c r="BJ51" s="3"/>
      <c r="BK51" s="3"/>
      <c r="BL51" s="3"/>
      <c r="BM51" s="3"/>
      <c r="BN51" s="49">
        <v>102.744</v>
      </c>
      <c r="BO51" s="49">
        <v>98.12</v>
      </c>
      <c r="BP51" s="49">
        <v>127.4</v>
      </c>
      <c r="BQ51" s="49">
        <v>128.85599999999999</v>
      </c>
      <c r="BR51" s="3"/>
      <c r="BS51" s="49">
        <v>28.2</v>
      </c>
      <c r="BT51" s="50">
        <v>7414.7979999999998</v>
      </c>
      <c r="BU51" s="49">
        <v>50.793999999999997</v>
      </c>
      <c r="BV51" s="49">
        <v>53.243000000000002</v>
      </c>
      <c r="BW51" s="49">
        <v>55.124000000000002</v>
      </c>
      <c r="BX51" s="49">
        <v>55.969000000000001</v>
      </c>
      <c r="BY51" s="49">
        <v>1.4139999999999999</v>
      </c>
      <c r="BZ51" s="50">
        <v>3.0169999999999999</v>
      </c>
      <c r="CA51" s="50">
        <v>3.899</v>
      </c>
      <c r="CB51" s="50">
        <v>4.1769999999999996</v>
      </c>
      <c r="CC51" s="49">
        <v>0.80900000000000005</v>
      </c>
      <c r="CD51" s="49">
        <v>2.1549999999999998</v>
      </c>
      <c r="CE51" s="49">
        <v>1.2529999999999999</v>
      </c>
      <c r="CF51" s="49">
        <v>2.0030000000000001</v>
      </c>
      <c r="CG51" s="49">
        <v>13.932</v>
      </c>
      <c r="CH51" s="49">
        <v>13.766999999999999</v>
      </c>
      <c r="CI51" s="50">
        <v>4.7240000000000002</v>
      </c>
      <c r="CJ51" s="49">
        <v>3.214</v>
      </c>
      <c r="CK51" s="49">
        <v>1.522</v>
      </c>
      <c r="CL51" s="50">
        <v>0.3</v>
      </c>
      <c r="CM51" s="49">
        <v>0.6</v>
      </c>
      <c r="CN51" s="50">
        <v>0</v>
      </c>
      <c r="CO51" s="50">
        <v>0</v>
      </c>
      <c r="CP51" s="49">
        <v>98.191999999999993</v>
      </c>
      <c r="CQ51" s="49">
        <v>94.766000000000005</v>
      </c>
      <c r="CR51" s="49">
        <v>116.889</v>
      </c>
      <c r="CS51" s="49">
        <v>120.59</v>
      </c>
      <c r="CT51" s="49">
        <v>0.27700000000000002</v>
      </c>
      <c r="CU51" s="49">
        <v>0.5</v>
      </c>
      <c r="CV51" s="49">
        <v>1.196</v>
      </c>
      <c r="CW51" s="49">
        <v>0.79900000000000004</v>
      </c>
      <c r="CX51" s="50">
        <v>2.1920000000000002</v>
      </c>
      <c r="CY51" s="49">
        <v>0.80100000000000005</v>
      </c>
      <c r="CZ51" s="50">
        <v>1.401</v>
      </c>
      <c r="DA51" s="50">
        <v>1.198</v>
      </c>
      <c r="DB51" s="49">
        <v>1.2969999999999999</v>
      </c>
      <c r="DC51" s="49">
        <v>0</v>
      </c>
      <c r="DD51" s="50">
        <v>0</v>
      </c>
      <c r="DE51" s="49">
        <v>0.31900000000000001</v>
      </c>
      <c r="DF51" s="49">
        <v>0.14899999999999999</v>
      </c>
      <c r="DG51" s="49">
        <v>0.91700000000000004</v>
      </c>
      <c r="DH51" s="49">
        <v>2.4260000000000002</v>
      </c>
      <c r="DI51" s="50">
        <v>1.0620000000000001</v>
      </c>
      <c r="DJ51" s="49">
        <v>0.30099999999999999</v>
      </c>
      <c r="DK51" s="50">
        <v>1.1319999999999999</v>
      </c>
      <c r="DL51" s="49">
        <v>0.40300000000000002</v>
      </c>
      <c r="DM51" s="49">
        <v>-3.8029999999999999</v>
      </c>
      <c r="DN51" s="49">
        <v>-9.8000000000000007</v>
      </c>
      <c r="DO51" s="49">
        <v>0.28199999999999997</v>
      </c>
      <c r="DP51" s="50">
        <v>67.058000000000007</v>
      </c>
      <c r="DQ51" s="49">
        <v>63.308</v>
      </c>
      <c r="DR51" s="49">
        <v>53.734999999999999</v>
      </c>
      <c r="DS51" s="49">
        <v>53.28</v>
      </c>
      <c r="DT51" s="50">
        <v>6.58</v>
      </c>
      <c r="DU51" s="50">
        <v>6.54</v>
      </c>
      <c r="DV51" s="50">
        <v>15.79</v>
      </c>
      <c r="DW51" s="50">
        <v>13.51</v>
      </c>
      <c r="DX51" s="50">
        <v>6.66</v>
      </c>
      <c r="DY51" s="50">
        <v>6.99</v>
      </c>
      <c r="DZ51" s="50">
        <v>15.72</v>
      </c>
      <c r="EA51" s="50">
        <v>13.71</v>
      </c>
      <c r="EB51" s="49">
        <v>42.26</v>
      </c>
      <c r="EC51" s="49">
        <v>41.14</v>
      </c>
      <c r="ED51" s="49">
        <v>30.3</v>
      </c>
      <c r="EE51" s="49">
        <v>32.159999999999997</v>
      </c>
      <c r="EF51" s="49">
        <v>44.49</v>
      </c>
      <c r="EG51" s="49">
        <v>45.32</v>
      </c>
      <c r="EH51" s="49">
        <v>38.19</v>
      </c>
      <c r="EI51" s="49">
        <v>40.619999999999997</v>
      </c>
      <c r="EJ51" s="49">
        <v>6.4649999999999999</v>
      </c>
      <c r="EK51" s="50">
        <v>60.030999999999999</v>
      </c>
      <c r="EL51" s="49">
        <v>2.15</v>
      </c>
      <c r="EM51" s="49">
        <v>1.7</v>
      </c>
      <c r="EN51" s="49">
        <v>1.18</v>
      </c>
      <c r="EO51" s="49">
        <v>1.18</v>
      </c>
      <c r="EP51" s="49">
        <v>-108.26600000000001</v>
      </c>
      <c r="EQ51" s="49">
        <v>-2.8740000000000001</v>
      </c>
      <c r="ER51" s="50">
        <v>108.982</v>
      </c>
      <c r="ES51" s="49">
        <v>1.298</v>
      </c>
      <c r="ET51" s="49">
        <v>1.355</v>
      </c>
      <c r="EU51" s="49">
        <v>1.1639999999999999</v>
      </c>
      <c r="EV51" s="50">
        <v>7.5579999999999998</v>
      </c>
      <c r="EW51" s="49">
        <v>1.8959999999999999</v>
      </c>
      <c r="EX51" s="50">
        <v>74.94</v>
      </c>
      <c r="EY51" s="49">
        <v>0</v>
      </c>
      <c r="EZ51" s="49">
        <v>0</v>
      </c>
      <c r="FA51" s="50">
        <v>0</v>
      </c>
      <c r="FB51" s="49">
        <v>9.1780000000000008</v>
      </c>
      <c r="FC51" s="49">
        <v>69.283000000000001</v>
      </c>
      <c r="FD51" s="49">
        <v>64.903999999999996</v>
      </c>
      <c r="FE51" s="49">
        <v>75.697000000000003</v>
      </c>
      <c r="FF51" s="49">
        <v>74.164000000000001</v>
      </c>
      <c r="FG51" s="49">
        <v>0.91900000000000004</v>
      </c>
      <c r="FH51" s="49">
        <v>0.91900000000000004</v>
      </c>
      <c r="FI51" s="49">
        <v>1.002</v>
      </c>
      <c r="FJ51" s="49">
        <v>1.006</v>
      </c>
      <c r="FK51" s="49">
        <v>0</v>
      </c>
      <c r="FL51" s="49">
        <v>83</v>
      </c>
      <c r="FM51" s="49">
        <v>3.73</v>
      </c>
      <c r="FN51" s="49">
        <v>2.13</v>
      </c>
      <c r="FO51" s="49">
        <v>5.38</v>
      </c>
      <c r="FP51" s="3"/>
      <c r="FQ51" s="49">
        <v>4.8499999999999996</v>
      </c>
      <c r="FR51" s="49">
        <v>5.0999999999999996</v>
      </c>
      <c r="FS51" s="49">
        <v>6.5345000000000004</v>
      </c>
      <c r="FT51" s="50">
        <v>1079</v>
      </c>
      <c r="FU51" s="49">
        <v>6.8</v>
      </c>
      <c r="FV51" s="49">
        <v>21.66</v>
      </c>
      <c r="FW51" s="49">
        <v>3137</v>
      </c>
      <c r="FX51" s="50">
        <v>167700</v>
      </c>
      <c r="FY51" s="50">
        <v>168300</v>
      </c>
      <c r="FZ51" s="49">
        <v>48.290999999999997</v>
      </c>
      <c r="GA51" s="49">
        <v>47.610999999999997</v>
      </c>
      <c r="GB51" s="49">
        <v>2181.1999999999998</v>
      </c>
      <c r="GC51" s="49">
        <v>2181.8000000000002</v>
      </c>
      <c r="GD51" s="49">
        <v>2221.4</v>
      </c>
      <c r="GE51" s="50">
        <v>2316.3000000000002</v>
      </c>
      <c r="GF51" s="49">
        <v>1429.0625</v>
      </c>
      <c r="GG51" s="49">
        <v>38</v>
      </c>
      <c r="GH51" s="49">
        <v>37.9</v>
      </c>
      <c r="GI51" s="49">
        <v>49.3</v>
      </c>
      <c r="GJ51" s="49">
        <v>54.3</v>
      </c>
      <c r="GK51" s="49">
        <v>99.5</v>
      </c>
      <c r="GL51" s="50">
        <v>95.7</v>
      </c>
      <c r="GM51" s="50">
        <v>0</v>
      </c>
      <c r="GN51" s="49">
        <v>26.798999999999999</v>
      </c>
      <c r="GO51" s="49">
        <v>108.982</v>
      </c>
      <c r="GP51" s="49">
        <v>0.29499999999999998</v>
      </c>
      <c r="GQ51" s="49">
        <v>1.8879999999999999</v>
      </c>
      <c r="GR51" s="49">
        <v>0.35399999999999998</v>
      </c>
      <c r="GS51" s="49">
        <v>2.0059999999999998</v>
      </c>
      <c r="GT51" s="49">
        <v>0.41299999999999998</v>
      </c>
      <c r="GU51" s="49">
        <v>1.8879999999999999</v>
      </c>
      <c r="GV51" s="49">
        <v>13.034000000000001</v>
      </c>
      <c r="GW51" s="49">
        <v>14.074</v>
      </c>
      <c r="GX51" s="49">
        <v>15.19</v>
      </c>
      <c r="GY51" s="50">
        <v>0</v>
      </c>
      <c r="GZ51" s="50">
        <v>0</v>
      </c>
      <c r="HA51" s="50">
        <v>0</v>
      </c>
      <c r="HB51" s="49">
        <v>0</v>
      </c>
      <c r="HC51" s="50">
        <v>23.66</v>
      </c>
      <c r="HD51" s="49">
        <v>78</v>
      </c>
      <c r="HE51" s="50">
        <v>0</v>
      </c>
      <c r="HF51" s="50">
        <v>0</v>
      </c>
      <c r="HG51" s="49">
        <v>76.36</v>
      </c>
      <c r="HH51" s="49">
        <v>83.06</v>
      </c>
      <c r="HI51" s="50">
        <v>0</v>
      </c>
      <c r="HJ51" s="50">
        <v>0</v>
      </c>
      <c r="HK51" s="50">
        <v>0</v>
      </c>
      <c r="HL51" s="49">
        <v>60</v>
      </c>
      <c r="HM51" s="49">
        <v>52</v>
      </c>
      <c r="HN51" s="50">
        <v>65</v>
      </c>
      <c r="HO51" s="49">
        <v>59</v>
      </c>
      <c r="HP51" s="49">
        <v>62</v>
      </c>
      <c r="HQ51" s="50">
        <v>60</v>
      </c>
      <c r="HR51" s="49">
        <v>52</v>
      </c>
      <c r="HS51" s="50">
        <v>70</v>
      </c>
      <c r="HT51" s="49">
        <v>-1.3274999999999999</v>
      </c>
      <c r="HU51" s="50">
        <v>0</v>
      </c>
      <c r="HV51" s="50">
        <v>1.2969999999999999</v>
      </c>
      <c r="HW51" s="49">
        <v>35.51</v>
      </c>
      <c r="HX51" s="50">
        <v>38.69</v>
      </c>
      <c r="HY51" s="50">
        <v>51.96</v>
      </c>
      <c r="HZ51" s="50">
        <v>65.36</v>
      </c>
      <c r="IA51" s="50">
        <v>3.0859999999999999</v>
      </c>
      <c r="IB51" s="50">
        <v>105</v>
      </c>
      <c r="IC51" s="50">
        <v>22.786999999999999</v>
      </c>
      <c r="ID51" s="49">
        <v>-0.39100000000000001</v>
      </c>
      <c r="IE51" s="49">
        <v>-0.152</v>
      </c>
      <c r="IF51" s="49">
        <v>802.9</v>
      </c>
      <c r="IG51" s="50">
        <v>758.7</v>
      </c>
      <c r="IH51" s="49">
        <v>812</v>
      </c>
      <c r="II51" s="50">
        <v>768.9</v>
      </c>
      <c r="IJ51" s="49">
        <v>5.8000000000000003E-2</v>
      </c>
      <c r="IK51" s="49">
        <v>-4.4999999999999998E-2</v>
      </c>
      <c r="IL51" s="49">
        <v>68.725999999999999</v>
      </c>
      <c r="IM51" s="49">
        <v>68.725999999999999</v>
      </c>
      <c r="IN51" s="49">
        <v>10.509</v>
      </c>
      <c r="IO51" s="50">
        <v>0.34399999999999997</v>
      </c>
      <c r="IP51" s="49">
        <v>9.85</v>
      </c>
      <c r="IQ51" s="49">
        <v>1.2E-2</v>
      </c>
      <c r="IR51" s="49">
        <v>0</v>
      </c>
      <c r="IS51">
        <v>0.42000000000000015</v>
      </c>
      <c r="IT51">
        <v>0.25700000000000012</v>
      </c>
    </row>
    <row r="52" spans="1:254" x14ac:dyDescent="0.25">
      <c r="B52" s="2" t="s">
        <v>412</v>
      </c>
      <c r="C52" s="2" t="s">
        <v>45</v>
      </c>
      <c r="D52" s="61">
        <v>2.7885416666666666E-3</v>
      </c>
      <c r="E52" s="49">
        <v>240.93100000000001</v>
      </c>
      <c r="F52" s="49">
        <v>330.56</v>
      </c>
      <c r="G52" s="49">
        <v>5.84</v>
      </c>
      <c r="H52" s="50">
        <v>28.6</v>
      </c>
      <c r="I52" s="49">
        <v>0</v>
      </c>
      <c r="J52" s="49">
        <v>15.3</v>
      </c>
      <c r="K52" s="50">
        <v>9</v>
      </c>
      <c r="L52" s="50">
        <v>8</v>
      </c>
      <c r="M52" s="50">
        <v>6</v>
      </c>
      <c r="N52" s="50">
        <v>3</v>
      </c>
      <c r="O52" s="50">
        <v>3</v>
      </c>
      <c r="P52" s="49">
        <v>0.872</v>
      </c>
      <c r="Q52" s="49">
        <v>1.401</v>
      </c>
      <c r="R52" s="49">
        <v>0.9</v>
      </c>
      <c r="S52" s="49">
        <v>0.66300000000000003</v>
      </c>
      <c r="T52" s="49">
        <v>74</v>
      </c>
      <c r="U52" s="49">
        <v>61.22</v>
      </c>
      <c r="V52" s="49">
        <v>246.66</v>
      </c>
      <c r="W52" s="49">
        <v>241.66</v>
      </c>
      <c r="X52" s="49">
        <v>172.5</v>
      </c>
      <c r="Y52" s="49">
        <v>215</v>
      </c>
      <c r="Z52" s="49">
        <v>379.88</v>
      </c>
      <c r="AA52" s="49">
        <v>372.92</v>
      </c>
      <c r="AB52" s="49">
        <v>277.25</v>
      </c>
      <c r="AC52" s="49">
        <v>343.23</v>
      </c>
      <c r="AD52" s="50">
        <v>1.7989999999999999</v>
      </c>
      <c r="AE52" s="50">
        <v>1.8660000000000001</v>
      </c>
      <c r="AF52" s="50">
        <v>1.79</v>
      </c>
      <c r="AG52" s="50">
        <v>1.8109999999999999</v>
      </c>
      <c r="AH52" s="50">
        <v>83.6</v>
      </c>
      <c r="AI52" s="50">
        <v>79.77</v>
      </c>
      <c r="AJ52" s="50">
        <v>105.97</v>
      </c>
      <c r="AK52" s="50">
        <v>102.13</v>
      </c>
      <c r="AL52" s="49">
        <v>621.13599999999997</v>
      </c>
      <c r="AM52" s="49">
        <v>615.62900000000002</v>
      </c>
      <c r="AN52" s="49">
        <v>735.07899999999995</v>
      </c>
      <c r="AO52" s="49">
        <v>730.13800000000003</v>
      </c>
      <c r="AP52" s="49">
        <v>1.33</v>
      </c>
      <c r="AQ52" s="49">
        <v>1.8149999999999999</v>
      </c>
      <c r="AR52" s="49">
        <v>36.267000000000003</v>
      </c>
      <c r="AS52" s="49">
        <v>37.898000000000003</v>
      </c>
      <c r="AT52" s="50">
        <v>83</v>
      </c>
      <c r="AU52" s="50">
        <v>119</v>
      </c>
      <c r="AV52" s="49">
        <v>2.198</v>
      </c>
      <c r="AW52" s="49">
        <v>5.0594000000000001</v>
      </c>
      <c r="AX52" s="49">
        <v>1015.8</v>
      </c>
      <c r="AY52" s="49">
        <v>2.34</v>
      </c>
      <c r="AZ52" s="50">
        <v>5.25</v>
      </c>
      <c r="BA52" s="50">
        <v>69.3</v>
      </c>
      <c r="BB52" s="50">
        <v>69.400000000000006</v>
      </c>
      <c r="BC52" s="49">
        <v>7747</v>
      </c>
      <c r="BD52" s="49">
        <v>88.75</v>
      </c>
      <c r="BE52" s="49">
        <v>15.965</v>
      </c>
      <c r="BF52" s="49">
        <v>11.675000000000001</v>
      </c>
      <c r="BG52" s="50">
        <v>29.09</v>
      </c>
      <c r="BH52" s="49">
        <v>24.26</v>
      </c>
      <c r="BI52" s="50">
        <v>66.403999999999996</v>
      </c>
      <c r="BJ52" s="49">
        <v>81.882999999999996</v>
      </c>
      <c r="BK52" s="50">
        <v>64.768000000000001</v>
      </c>
      <c r="BL52" s="49">
        <v>77.105000000000004</v>
      </c>
      <c r="BM52" s="50">
        <v>81.710999999999999</v>
      </c>
      <c r="BN52" s="50">
        <v>111.44799999999999</v>
      </c>
      <c r="BO52" s="50">
        <v>109.992</v>
      </c>
      <c r="BP52" s="50">
        <v>128.392</v>
      </c>
      <c r="BQ52" s="50">
        <v>130.98400000000001</v>
      </c>
      <c r="BR52" s="50">
        <v>60.634999999999998</v>
      </c>
      <c r="BS52" s="50">
        <v>28.3</v>
      </c>
      <c r="BT52" s="49">
        <v>7394.5619999999999</v>
      </c>
      <c r="BU52" s="49">
        <v>47.707000000000001</v>
      </c>
      <c r="BV52" s="49">
        <v>53.561999999999998</v>
      </c>
      <c r="BW52" s="49">
        <v>55.545999999999999</v>
      </c>
      <c r="BX52" s="49">
        <v>56.213000000000001</v>
      </c>
      <c r="BY52" s="49">
        <v>1.399</v>
      </c>
      <c r="BZ52" s="49">
        <v>2.9409999999999998</v>
      </c>
      <c r="CA52" s="49">
        <v>2.9769999999999999</v>
      </c>
      <c r="CB52" s="49">
        <v>3.4129999999999998</v>
      </c>
      <c r="CC52" s="50">
        <v>1.042</v>
      </c>
      <c r="CD52" s="49">
        <v>2.0409999999999999</v>
      </c>
      <c r="CE52" s="49">
        <v>1.1519999999999999</v>
      </c>
      <c r="CF52" s="49">
        <v>1.976</v>
      </c>
      <c r="CG52" s="49">
        <v>13.959</v>
      </c>
      <c r="CH52" s="49">
        <v>13.688000000000001</v>
      </c>
      <c r="CI52" s="3"/>
      <c r="CJ52" s="3"/>
      <c r="CK52" s="3"/>
      <c r="CL52" s="49">
        <v>0.1</v>
      </c>
      <c r="CM52" s="49">
        <v>0.2</v>
      </c>
      <c r="CN52" s="50">
        <v>0</v>
      </c>
      <c r="CO52" s="50">
        <v>0</v>
      </c>
      <c r="CP52" s="50">
        <v>99.453999999999994</v>
      </c>
      <c r="CQ52" s="50">
        <v>96.933999999999997</v>
      </c>
      <c r="CR52" s="50">
        <v>121.944</v>
      </c>
      <c r="CS52" s="50">
        <v>126.39400000000001</v>
      </c>
      <c r="CT52" s="50">
        <v>0.496</v>
      </c>
      <c r="CU52" s="49">
        <v>0.59899999999999998</v>
      </c>
      <c r="CV52" s="49">
        <v>1.296</v>
      </c>
      <c r="CW52" s="49">
        <v>1.0940000000000001</v>
      </c>
      <c r="CX52" s="49">
        <v>1.2</v>
      </c>
      <c r="CY52" s="49">
        <v>1.1020000000000001</v>
      </c>
      <c r="CZ52" s="49">
        <v>0.89700000000000002</v>
      </c>
      <c r="DA52" s="49">
        <v>0.7</v>
      </c>
      <c r="DB52" s="50">
        <v>1.996</v>
      </c>
      <c r="DC52" s="49">
        <v>0</v>
      </c>
      <c r="DD52" s="50">
        <v>0</v>
      </c>
      <c r="DE52" s="49">
        <v>0.27400000000000002</v>
      </c>
      <c r="DF52" s="49">
        <v>0.13500000000000001</v>
      </c>
      <c r="DG52" s="49">
        <v>0.35899999999999999</v>
      </c>
      <c r="DH52" s="49">
        <v>1.8049999999999999</v>
      </c>
      <c r="DI52" s="49">
        <v>0.93799999999999994</v>
      </c>
      <c r="DJ52" s="49">
        <v>0.20200000000000001</v>
      </c>
      <c r="DK52" s="49">
        <v>0.9</v>
      </c>
      <c r="DL52" s="49">
        <v>0.39500000000000002</v>
      </c>
      <c r="DM52" s="49">
        <v>0.46</v>
      </c>
      <c r="DN52" s="49">
        <v>0.432</v>
      </c>
      <c r="DO52" s="49">
        <v>0.29799999999999999</v>
      </c>
      <c r="DP52" s="49">
        <v>64.763999999999996</v>
      </c>
      <c r="DQ52" s="49">
        <v>62.119</v>
      </c>
      <c r="DR52" s="50">
        <v>54.996000000000002</v>
      </c>
      <c r="DS52" s="50">
        <v>54.252000000000002</v>
      </c>
      <c r="DT52" s="49">
        <v>5.29</v>
      </c>
      <c r="DU52" s="49">
        <v>4.87</v>
      </c>
      <c r="DV52" s="49">
        <v>13.32</v>
      </c>
      <c r="DW52" s="49">
        <v>11.44</v>
      </c>
      <c r="DX52" s="49">
        <v>5.52</v>
      </c>
      <c r="DY52" s="49">
        <v>5.01</v>
      </c>
      <c r="DZ52" s="49">
        <v>13.06</v>
      </c>
      <c r="EA52" s="49">
        <v>11.36</v>
      </c>
      <c r="EB52" s="49">
        <v>42.58</v>
      </c>
      <c r="EC52" s="49">
        <v>42.38</v>
      </c>
      <c r="ED52" s="49">
        <v>31.5</v>
      </c>
      <c r="EE52" s="49">
        <v>32.89</v>
      </c>
      <c r="EF52" s="49">
        <v>46.61</v>
      </c>
      <c r="EG52" s="49">
        <v>47.73</v>
      </c>
      <c r="EH52" s="49">
        <v>42.12</v>
      </c>
      <c r="EI52" s="49">
        <v>44.3</v>
      </c>
      <c r="EJ52" s="50">
        <v>6.7039999999999997</v>
      </c>
      <c r="EK52" s="49">
        <v>59.854999999999997</v>
      </c>
      <c r="EL52" s="49">
        <v>2.15</v>
      </c>
      <c r="EM52" s="49">
        <v>1.7</v>
      </c>
      <c r="EN52" s="49">
        <v>1.2</v>
      </c>
      <c r="EO52" s="49">
        <v>1.2</v>
      </c>
      <c r="EP52" s="49">
        <v>-98.63</v>
      </c>
      <c r="EQ52" s="49">
        <v>-2.504</v>
      </c>
      <c r="ER52" s="49">
        <v>84.453999999999994</v>
      </c>
      <c r="ES52" s="49">
        <v>1.042</v>
      </c>
      <c r="ET52" s="49">
        <v>1.04</v>
      </c>
      <c r="EU52" s="49">
        <v>0.874</v>
      </c>
      <c r="EV52" s="49">
        <v>7.4</v>
      </c>
      <c r="EW52" s="49">
        <v>1.881</v>
      </c>
      <c r="EX52" s="49">
        <v>70.28</v>
      </c>
      <c r="EY52" s="49">
        <v>0.06</v>
      </c>
      <c r="EZ52" s="49">
        <v>0</v>
      </c>
      <c r="FA52" s="50">
        <v>0</v>
      </c>
      <c r="FB52" s="49">
        <v>9.2479999999999993</v>
      </c>
      <c r="FC52" s="50">
        <v>72.885000000000005</v>
      </c>
      <c r="FD52" s="50">
        <v>68.254999999999995</v>
      </c>
      <c r="FE52" s="50">
        <v>82.099000000000004</v>
      </c>
      <c r="FF52" s="50">
        <v>80.179000000000002</v>
      </c>
      <c r="FG52" s="49">
        <v>0.92300000000000004</v>
      </c>
      <c r="FH52" s="49">
        <v>0.92</v>
      </c>
      <c r="FI52" s="49">
        <v>1.0029999999999999</v>
      </c>
      <c r="FJ52" s="49">
        <v>1.008</v>
      </c>
      <c r="FK52" s="49">
        <v>0</v>
      </c>
      <c r="FL52" s="49">
        <v>83</v>
      </c>
      <c r="FM52" s="50">
        <v>3.76</v>
      </c>
      <c r="FN52" s="49">
        <v>2.0299999999999998</v>
      </c>
      <c r="FO52" s="50">
        <v>5.22</v>
      </c>
      <c r="FP52" s="50">
        <v>3.8</v>
      </c>
      <c r="FQ52" s="49">
        <v>4.5999999999999996</v>
      </c>
      <c r="FR52" s="50">
        <v>5.05</v>
      </c>
      <c r="FS52" s="50">
        <v>6.7720000000000002</v>
      </c>
      <c r="FT52" s="49">
        <v>1075.3</v>
      </c>
      <c r="FU52" s="49">
        <v>6.78</v>
      </c>
      <c r="FV52" s="50">
        <v>27.5</v>
      </c>
      <c r="FW52" s="49">
        <v>3100.5</v>
      </c>
      <c r="FX52" s="49">
        <v>166700</v>
      </c>
      <c r="FY52" s="49">
        <v>166900</v>
      </c>
      <c r="FZ52" s="49">
        <v>48.293999999999997</v>
      </c>
      <c r="GA52" s="49">
        <v>47.43</v>
      </c>
      <c r="GB52" s="49">
        <v>2285</v>
      </c>
      <c r="GC52" s="50">
        <v>2277.3000000000002</v>
      </c>
      <c r="GD52" s="49">
        <v>2318.3000000000002</v>
      </c>
      <c r="GE52" s="49">
        <v>2277.3000000000002</v>
      </c>
      <c r="GF52" s="49">
        <v>1506.0625</v>
      </c>
      <c r="GG52" s="50">
        <v>39</v>
      </c>
      <c r="GH52" s="50">
        <v>38.9</v>
      </c>
      <c r="GI52" s="49">
        <v>49.7</v>
      </c>
      <c r="GJ52" s="49">
        <v>54.8</v>
      </c>
      <c r="GK52" s="49">
        <v>99.5</v>
      </c>
      <c r="GL52" s="49">
        <v>73.7</v>
      </c>
      <c r="GM52" s="50">
        <v>0</v>
      </c>
      <c r="GN52" s="50">
        <v>29.527999999999999</v>
      </c>
      <c r="GO52" s="49">
        <v>98.63</v>
      </c>
      <c r="GP52" s="50">
        <v>0</v>
      </c>
      <c r="GQ52" s="49">
        <v>1.8879999999999999</v>
      </c>
      <c r="GR52" s="50">
        <v>0</v>
      </c>
      <c r="GS52" s="49">
        <v>1.9470000000000001</v>
      </c>
      <c r="GT52" s="50">
        <v>0</v>
      </c>
      <c r="GU52" s="49">
        <v>1.8879999999999999</v>
      </c>
      <c r="GV52" s="50">
        <v>0</v>
      </c>
      <c r="GW52" s="49">
        <v>14.022</v>
      </c>
      <c r="GX52" s="49">
        <v>15.484</v>
      </c>
      <c r="GY52" s="50">
        <v>0</v>
      </c>
      <c r="GZ52" s="50">
        <v>0</v>
      </c>
      <c r="HA52" s="50">
        <v>0</v>
      </c>
      <c r="HB52" s="49">
        <v>0</v>
      </c>
      <c r="HC52" s="49">
        <v>22.738</v>
      </c>
      <c r="HD52" s="49">
        <v>82</v>
      </c>
      <c r="HE52" s="50">
        <v>0</v>
      </c>
      <c r="HF52" s="50">
        <v>0</v>
      </c>
      <c r="HG52" s="49">
        <v>74.8</v>
      </c>
      <c r="HH52" s="49">
        <v>82.84</v>
      </c>
      <c r="HI52" s="50">
        <v>0</v>
      </c>
      <c r="HJ52" s="50">
        <v>0</v>
      </c>
      <c r="HK52" s="50">
        <v>0</v>
      </c>
      <c r="HL52" s="49">
        <v>61</v>
      </c>
      <c r="HM52" s="49">
        <v>52</v>
      </c>
      <c r="HN52" s="50">
        <v>65</v>
      </c>
      <c r="HO52" s="50">
        <v>60</v>
      </c>
      <c r="HP52" s="50">
        <v>63</v>
      </c>
      <c r="HQ52" s="50">
        <v>60</v>
      </c>
      <c r="HR52" s="49">
        <v>52</v>
      </c>
      <c r="HS52" s="49">
        <v>64</v>
      </c>
      <c r="HT52" s="49">
        <v>-1.3334999999999999</v>
      </c>
      <c r="HU52" s="50">
        <v>0</v>
      </c>
      <c r="HV52" s="49">
        <v>1.1819999999999999</v>
      </c>
      <c r="HW52" s="49">
        <v>35.51</v>
      </c>
      <c r="HX52" s="50">
        <v>38.69</v>
      </c>
      <c r="HY52" s="3"/>
      <c r="HZ52" s="3"/>
      <c r="IA52" s="49">
        <v>3.032</v>
      </c>
      <c r="IB52" s="49">
        <v>104</v>
      </c>
      <c r="IC52" s="49">
        <v>22.731999999999999</v>
      </c>
      <c r="ID52" s="49">
        <v>-0.318</v>
      </c>
      <c r="IE52" s="49">
        <v>-0.129</v>
      </c>
      <c r="IF52" s="50">
        <v>804.4</v>
      </c>
      <c r="IG52" s="49">
        <v>746.2</v>
      </c>
      <c r="IH52" s="49">
        <v>815.1</v>
      </c>
      <c r="II52" s="49">
        <v>759.7</v>
      </c>
      <c r="IJ52" s="49">
        <v>6.3E-2</v>
      </c>
      <c r="IK52" s="49">
        <v>-3.4000000000000002E-2</v>
      </c>
      <c r="IL52" s="49">
        <v>80.847999999999999</v>
      </c>
      <c r="IM52" s="49">
        <v>80.847999999999999</v>
      </c>
      <c r="IN52" s="49">
        <v>13.590999999999999</v>
      </c>
      <c r="IO52" s="49">
        <v>0.32500000000000001</v>
      </c>
      <c r="IP52" s="49">
        <v>9.9600000000000009</v>
      </c>
      <c r="IQ52" s="49">
        <v>0</v>
      </c>
      <c r="IR52" s="49">
        <v>0</v>
      </c>
      <c r="IS52">
        <v>0.42000000000000015</v>
      </c>
      <c r="IT52">
        <v>0.25700000000000012</v>
      </c>
    </row>
    <row r="53" spans="1:254" x14ac:dyDescent="0.25">
      <c r="IS53">
        <v>0.42000000000000015</v>
      </c>
      <c r="IT53">
        <v>0.25700000000000012</v>
      </c>
    </row>
    <row r="54" spans="1:254" x14ac:dyDescent="0.25">
      <c r="IS54">
        <v>0.42000000000000015</v>
      </c>
      <c r="IT54">
        <v>0.25700000000000012</v>
      </c>
    </row>
    <row r="55" spans="1:254" x14ac:dyDescent="0.25">
      <c r="IS55">
        <v>0.42000000000000015</v>
      </c>
      <c r="IT55">
        <v>0.25700000000000012</v>
      </c>
    </row>
    <row r="56" spans="1:254" x14ac:dyDescent="0.25">
      <c r="IS56">
        <v>0.42000000000000015</v>
      </c>
      <c r="IT56">
        <v>0.25700000000000012</v>
      </c>
    </row>
    <row r="57" spans="1:254" x14ac:dyDescent="0.25">
      <c r="A57" s="6" t="s">
        <v>50</v>
      </c>
    </row>
    <row r="89" spans="1:1" x14ac:dyDescent="0.25">
      <c r="A89" s="6" t="s">
        <v>51</v>
      </c>
    </row>
    <row r="118" spans="1:1" x14ac:dyDescent="0.25">
      <c r="A118" s="6" t="s">
        <v>52</v>
      </c>
    </row>
    <row r="147" spans="1:1" x14ac:dyDescent="0.25">
      <c r="A147" s="6" t="s">
        <v>58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835E5-CDC9-404B-98AE-57FBF63AF014}">
  <sheetPr codeName="Sheet1"/>
  <dimension ref="B1:IR12"/>
  <sheetViews>
    <sheetView zoomScale="70" zoomScaleNormal="70" workbookViewId="0">
      <selection activeCell="D7" sqref="D7"/>
    </sheetView>
  </sheetViews>
  <sheetFormatPr defaultRowHeight="15" x14ac:dyDescent="0.25"/>
  <cols>
    <col min="3" max="3" width="5.85546875" bestFit="1" customWidth="1"/>
    <col min="4" max="4" width="10.7109375" bestFit="1" customWidth="1"/>
  </cols>
  <sheetData>
    <row r="1" spans="2:252" x14ac:dyDescent="0.25">
      <c r="B1" t="s">
        <v>359</v>
      </c>
      <c r="C1" t="s">
        <v>416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53" t="s">
        <v>411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  <c r="BC6" s="51"/>
      <c r="BD6" s="52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412</v>
      </c>
      <c r="C7" s="2" t="s">
        <v>41</v>
      </c>
      <c r="D7" s="2" t="s">
        <v>413</v>
      </c>
      <c r="E7" s="50">
        <v>1472.097</v>
      </c>
      <c r="F7" s="49">
        <v>326.04000000000002</v>
      </c>
      <c r="G7" s="49">
        <v>4.92</v>
      </c>
      <c r="H7" s="49">
        <v>26</v>
      </c>
      <c r="I7" s="50">
        <v>0</v>
      </c>
      <c r="J7" s="50">
        <v>1216.7</v>
      </c>
      <c r="K7" s="50">
        <v>8</v>
      </c>
      <c r="L7" s="50">
        <v>5</v>
      </c>
      <c r="M7" s="49">
        <v>5</v>
      </c>
      <c r="N7" s="50">
        <v>3</v>
      </c>
      <c r="O7" s="50">
        <v>3</v>
      </c>
      <c r="P7" s="50">
        <v>0.73099999999999998</v>
      </c>
      <c r="Q7" s="49">
        <v>1.04</v>
      </c>
      <c r="R7" s="49">
        <v>0.65900000000000003</v>
      </c>
      <c r="S7" s="50">
        <v>0.47899999999999998</v>
      </c>
      <c r="T7" s="49">
        <v>60.11</v>
      </c>
      <c r="U7" s="50">
        <v>60.767000000000003</v>
      </c>
      <c r="V7" s="50">
        <v>50</v>
      </c>
      <c r="W7" s="50">
        <v>40</v>
      </c>
      <c r="X7" s="50">
        <v>80</v>
      </c>
      <c r="Y7" s="50">
        <v>80</v>
      </c>
      <c r="Z7" s="49">
        <v>108.87</v>
      </c>
      <c r="AA7" s="49">
        <v>107.16</v>
      </c>
      <c r="AB7" s="49">
        <v>99.85</v>
      </c>
      <c r="AC7" s="49">
        <v>101.82</v>
      </c>
      <c r="AD7" s="49">
        <v>0.35</v>
      </c>
      <c r="AE7" s="49">
        <v>0.36499999999999999</v>
      </c>
      <c r="AF7" s="49">
        <v>0.36</v>
      </c>
      <c r="AG7" s="49">
        <v>0.372</v>
      </c>
      <c r="AH7" s="49">
        <v>-17.22</v>
      </c>
      <c r="AI7" s="49">
        <v>-17.77</v>
      </c>
      <c r="AJ7" s="49">
        <v>-13.43</v>
      </c>
      <c r="AK7" s="49">
        <v>-14.09</v>
      </c>
      <c r="AL7" s="49">
        <v>601.20500000000004</v>
      </c>
      <c r="AM7" s="49">
        <v>608.875</v>
      </c>
      <c r="AN7" s="49">
        <v>741.46</v>
      </c>
      <c r="AO7" s="49">
        <v>749.947</v>
      </c>
      <c r="AP7" s="50">
        <v>1.44</v>
      </c>
      <c r="AQ7" s="50">
        <v>1.966</v>
      </c>
      <c r="AR7" s="49">
        <v>40.575000000000003</v>
      </c>
      <c r="AS7" s="49">
        <v>33.262</v>
      </c>
      <c r="AT7" s="49">
        <v>82</v>
      </c>
      <c r="AU7" s="49">
        <v>85</v>
      </c>
      <c r="AV7" s="49">
        <v>2.6145</v>
      </c>
      <c r="AW7" s="50">
        <v>6.0892999999999997</v>
      </c>
      <c r="AX7" s="50">
        <v>1026.2</v>
      </c>
      <c r="AY7" s="49">
        <v>1.77</v>
      </c>
      <c r="AZ7" s="50">
        <v>0.22</v>
      </c>
      <c r="BA7" s="49">
        <v>135.893</v>
      </c>
      <c r="BB7" s="49">
        <v>130.47499999999999</v>
      </c>
      <c r="BC7" s="49">
        <v>7620</v>
      </c>
      <c r="BD7" s="49">
        <v>88.25</v>
      </c>
      <c r="BE7" s="49">
        <v>15.31</v>
      </c>
      <c r="BF7" s="49">
        <v>12.705</v>
      </c>
      <c r="BG7" s="49">
        <v>26.68</v>
      </c>
      <c r="BH7" s="49">
        <v>26.42</v>
      </c>
      <c r="BI7" s="50">
        <v>64.873999999999995</v>
      </c>
      <c r="BJ7" s="50">
        <v>81.978999999999999</v>
      </c>
      <c r="BK7" s="50">
        <v>63.066000000000003</v>
      </c>
      <c r="BL7" s="50">
        <v>78.775999999999996</v>
      </c>
      <c r="BM7" s="50">
        <v>79.712000000000003</v>
      </c>
      <c r="BN7" s="49">
        <v>83.24</v>
      </c>
      <c r="BO7" s="49">
        <v>84.84</v>
      </c>
      <c r="BP7" s="49">
        <v>87.367999999999995</v>
      </c>
      <c r="BQ7" s="49">
        <v>84.536000000000001</v>
      </c>
      <c r="BR7" s="49">
        <v>58.305</v>
      </c>
      <c r="BS7" s="49">
        <v>23.8</v>
      </c>
      <c r="BT7" s="49">
        <v>6634.9539999999997</v>
      </c>
      <c r="BU7" s="50">
        <v>56.116999999999997</v>
      </c>
      <c r="BV7" s="50">
        <v>57.186999999999998</v>
      </c>
      <c r="BW7" s="50">
        <v>57.765000000000001</v>
      </c>
      <c r="BX7" s="49">
        <v>57.493000000000002</v>
      </c>
      <c r="BY7" s="49">
        <v>1.5469999999999999</v>
      </c>
      <c r="BZ7" s="49">
        <v>2.367</v>
      </c>
      <c r="CA7" s="49">
        <v>2.85</v>
      </c>
      <c r="CB7" s="49">
        <v>3.5710000000000002</v>
      </c>
      <c r="CC7" s="49">
        <v>1.2110000000000001</v>
      </c>
      <c r="CD7" s="49">
        <v>2.6070000000000002</v>
      </c>
      <c r="CE7" s="50">
        <v>1.498</v>
      </c>
      <c r="CF7" s="50">
        <v>2.3279999999999998</v>
      </c>
      <c r="CG7" s="49">
        <v>13.023</v>
      </c>
      <c r="CH7" s="50">
        <v>9.9649999999999999</v>
      </c>
      <c r="CI7" s="50">
        <v>14.084</v>
      </c>
      <c r="CJ7" s="50">
        <v>15.163</v>
      </c>
      <c r="CK7" s="49">
        <v>1.0369999999999999</v>
      </c>
      <c r="CL7" s="49">
        <v>0</v>
      </c>
      <c r="CM7" s="49">
        <v>0</v>
      </c>
      <c r="CN7" s="49">
        <v>0</v>
      </c>
      <c r="CO7" s="49">
        <v>0</v>
      </c>
      <c r="CP7" s="49">
        <v>30.044</v>
      </c>
      <c r="CQ7" s="49">
        <v>30.678999999999998</v>
      </c>
      <c r="CR7" s="49">
        <v>31.998000000000001</v>
      </c>
      <c r="CS7" s="49">
        <v>30.033999999999999</v>
      </c>
      <c r="CT7" s="49">
        <v>0.379</v>
      </c>
      <c r="CU7" s="49">
        <v>0.999</v>
      </c>
      <c r="CV7" s="49">
        <v>1.595</v>
      </c>
      <c r="CW7" s="49">
        <v>0.89800000000000002</v>
      </c>
      <c r="CX7" s="49">
        <v>0.79900000000000004</v>
      </c>
      <c r="CY7" s="50">
        <v>0.79600000000000004</v>
      </c>
      <c r="CZ7" s="49">
        <v>1.101</v>
      </c>
      <c r="DA7" s="49">
        <v>0.9</v>
      </c>
      <c r="DB7" s="49">
        <v>0.998</v>
      </c>
      <c r="DC7" s="50">
        <v>0</v>
      </c>
      <c r="DD7" s="50">
        <v>0</v>
      </c>
      <c r="DE7" s="49">
        <v>0.05</v>
      </c>
      <c r="DF7" s="50">
        <v>0.106</v>
      </c>
      <c r="DG7" s="49">
        <v>0.193</v>
      </c>
      <c r="DH7" s="49">
        <v>0.90300000000000002</v>
      </c>
      <c r="DI7" s="49">
        <v>0.97299999999999998</v>
      </c>
      <c r="DJ7" s="50">
        <v>0.129</v>
      </c>
      <c r="DK7" s="50">
        <v>0.93700000000000006</v>
      </c>
      <c r="DL7" s="50">
        <v>0.41399999999999998</v>
      </c>
      <c r="DM7" s="50">
        <v>0.54600000000000004</v>
      </c>
      <c r="DN7" s="49">
        <v>0.156</v>
      </c>
      <c r="DO7" s="50">
        <v>0.372</v>
      </c>
      <c r="DP7" s="49">
        <v>62.255000000000003</v>
      </c>
      <c r="DQ7" s="49">
        <v>60.051000000000002</v>
      </c>
      <c r="DR7" s="49">
        <v>50.404000000000003</v>
      </c>
      <c r="DS7" s="49">
        <v>50.787999999999997</v>
      </c>
      <c r="DT7" s="49">
        <v>0.62</v>
      </c>
      <c r="DU7" s="49">
        <v>0.63</v>
      </c>
      <c r="DV7" s="49">
        <v>1.34</v>
      </c>
      <c r="DW7" s="49">
        <v>1.32</v>
      </c>
      <c r="DX7" s="49">
        <v>0.66</v>
      </c>
      <c r="DY7" s="49">
        <v>0.65</v>
      </c>
      <c r="DZ7" s="49">
        <v>1.22</v>
      </c>
      <c r="EA7" s="49">
        <v>1.22</v>
      </c>
      <c r="EB7" s="49">
        <v>8.9600000000000009</v>
      </c>
      <c r="EC7" s="50">
        <v>74.16</v>
      </c>
      <c r="ED7" s="50">
        <v>72.349999999999994</v>
      </c>
      <c r="EE7" s="50">
        <v>72.62</v>
      </c>
      <c r="EF7" s="50">
        <v>89.75</v>
      </c>
      <c r="EG7" s="49">
        <v>24.56</v>
      </c>
      <c r="EH7" s="49">
        <v>25.08</v>
      </c>
      <c r="EI7" s="49">
        <v>24.84</v>
      </c>
      <c r="EJ7" s="49">
        <v>2.2799999999999998</v>
      </c>
      <c r="EK7" s="49">
        <v>51.935000000000002</v>
      </c>
      <c r="EL7" s="49">
        <v>1.7</v>
      </c>
      <c r="EM7" s="50">
        <v>1.1000000000000001</v>
      </c>
      <c r="EN7" s="49">
        <v>1.06</v>
      </c>
      <c r="EO7" s="49">
        <v>1.07</v>
      </c>
      <c r="EP7" s="49">
        <v>-97.608000000000004</v>
      </c>
      <c r="EQ7" s="50">
        <v>-0.21099999999999999</v>
      </c>
      <c r="ER7" s="49">
        <v>91.608000000000004</v>
      </c>
      <c r="ES7" s="49">
        <v>0.36399999999999999</v>
      </c>
      <c r="ET7" s="49">
        <v>0.38100000000000001</v>
      </c>
      <c r="EU7" s="49">
        <v>0.35599999999999998</v>
      </c>
      <c r="EV7" s="49">
        <v>7.5869999999999997</v>
      </c>
      <c r="EW7" s="49">
        <v>0.63100000000000001</v>
      </c>
      <c r="EX7" s="49">
        <v>64.44</v>
      </c>
      <c r="EY7" s="49">
        <v>0.06</v>
      </c>
      <c r="EZ7" s="49">
        <v>0</v>
      </c>
      <c r="FA7" s="50">
        <v>0</v>
      </c>
      <c r="FB7" s="49">
        <v>1.718</v>
      </c>
      <c r="FC7" s="49">
        <v>16.218</v>
      </c>
      <c r="FD7" s="49">
        <v>16.056999999999999</v>
      </c>
      <c r="FE7" s="49">
        <v>18.628</v>
      </c>
      <c r="FF7" s="49">
        <v>17.942</v>
      </c>
      <c r="FG7" s="50">
        <v>1.0129999999999999</v>
      </c>
      <c r="FH7" s="50">
        <v>1.0169999999999999</v>
      </c>
      <c r="FI7" s="50">
        <v>1.0009999999999999</v>
      </c>
      <c r="FJ7" s="50">
        <v>1.0009999999999999</v>
      </c>
      <c r="FK7" s="50">
        <v>0.30199999999999999</v>
      </c>
      <c r="FL7" s="49">
        <v>82</v>
      </c>
      <c r="FM7" s="49">
        <v>2.7</v>
      </c>
      <c r="FN7" s="50">
        <v>-0.88</v>
      </c>
      <c r="FO7" s="50">
        <v>0.22</v>
      </c>
      <c r="FP7" s="50">
        <v>0.15</v>
      </c>
      <c r="FQ7" s="50">
        <v>0.55000000000000004</v>
      </c>
      <c r="FR7" s="49">
        <v>5.35</v>
      </c>
      <c r="FS7" s="50">
        <v>7.1734999999999998</v>
      </c>
      <c r="FT7" s="50">
        <v>1074.2</v>
      </c>
      <c r="FU7" s="49">
        <v>7.38</v>
      </c>
      <c r="FV7" s="49">
        <v>5.3</v>
      </c>
      <c r="FW7" s="50">
        <v>16383.5</v>
      </c>
      <c r="FX7" s="49">
        <v>164900</v>
      </c>
      <c r="FY7" s="49">
        <v>165700</v>
      </c>
      <c r="FZ7" s="50">
        <v>49.674999999999997</v>
      </c>
      <c r="GA7" s="50">
        <v>48.9</v>
      </c>
      <c r="GB7" s="49">
        <v>2241</v>
      </c>
      <c r="GC7" s="49">
        <v>2198.5</v>
      </c>
      <c r="GD7" s="49">
        <v>2247.5</v>
      </c>
      <c r="GE7" s="50">
        <v>2898.3</v>
      </c>
      <c r="GF7" s="49">
        <v>1423.4219000000001</v>
      </c>
      <c r="GG7" s="50">
        <v>32</v>
      </c>
      <c r="GH7" s="50">
        <v>32.1</v>
      </c>
      <c r="GI7" s="50">
        <v>71.400000000000006</v>
      </c>
      <c r="GJ7" s="50">
        <v>71.599999999999994</v>
      </c>
      <c r="GK7" s="50">
        <v>77</v>
      </c>
      <c r="GL7" s="49">
        <v>77.5</v>
      </c>
      <c r="GM7" s="50">
        <v>0</v>
      </c>
      <c r="GN7" s="49">
        <v>26.398</v>
      </c>
      <c r="GO7" s="49">
        <v>97.608000000000004</v>
      </c>
      <c r="GP7" s="50">
        <v>0</v>
      </c>
      <c r="GQ7" s="50">
        <v>5.782</v>
      </c>
      <c r="GR7" s="50">
        <v>0</v>
      </c>
      <c r="GS7" s="50">
        <v>6.0179999999999998</v>
      </c>
      <c r="GT7" s="50">
        <v>0</v>
      </c>
      <c r="GU7" s="50">
        <v>5.6050000000000004</v>
      </c>
      <c r="GV7" s="50">
        <v>0</v>
      </c>
      <c r="GW7" s="49">
        <v>3.0880000000000001</v>
      </c>
      <c r="GX7" s="50">
        <v>24.99</v>
      </c>
      <c r="GY7" s="50">
        <v>0</v>
      </c>
      <c r="GZ7" s="50">
        <v>0</v>
      </c>
      <c r="HA7" s="50">
        <v>0</v>
      </c>
      <c r="HB7" s="50">
        <v>1</v>
      </c>
      <c r="HC7" s="49">
        <v>19.847000000000001</v>
      </c>
      <c r="HD7" s="49">
        <v>78</v>
      </c>
      <c r="HE7" s="7">
        <v>0</v>
      </c>
      <c r="HF7" s="7">
        <v>0</v>
      </c>
      <c r="HG7" s="7">
        <v>85.44</v>
      </c>
      <c r="HH7" s="7">
        <v>80.36</v>
      </c>
      <c r="HI7" s="7">
        <v>0</v>
      </c>
      <c r="HJ7" s="7">
        <v>0</v>
      </c>
      <c r="HK7" s="7">
        <v>0</v>
      </c>
      <c r="HL7" s="7">
        <v>48</v>
      </c>
      <c r="HM7" s="7">
        <v>50</v>
      </c>
      <c r="HN7" s="7">
        <v>54</v>
      </c>
      <c r="HO7" s="7">
        <v>47</v>
      </c>
      <c r="HP7" s="7">
        <v>50</v>
      </c>
      <c r="HQ7" s="7">
        <v>48</v>
      </c>
      <c r="HR7" s="7">
        <v>43</v>
      </c>
      <c r="HS7" s="7">
        <v>56</v>
      </c>
      <c r="HT7" s="7">
        <v>-1.2035</v>
      </c>
      <c r="HU7" s="7">
        <v>0</v>
      </c>
      <c r="HV7" s="7">
        <v>0.435</v>
      </c>
      <c r="HW7" s="7">
        <v>40.130000000000003</v>
      </c>
      <c r="HX7" s="7">
        <v>45.89</v>
      </c>
      <c r="HY7" s="3"/>
      <c r="HZ7" s="3"/>
      <c r="IA7" s="7">
        <v>2.754</v>
      </c>
      <c r="IB7" s="7">
        <v>74</v>
      </c>
      <c r="IC7" s="7">
        <v>4.5720000000000001</v>
      </c>
      <c r="ID7" s="7">
        <v>-1.7999999999999999E-2</v>
      </c>
      <c r="IE7" s="7">
        <v>-8.9999999999999993E-3</v>
      </c>
      <c r="IF7" s="7">
        <v>823.1</v>
      </c>
      <c r="IG7" s="7">
        <v>243.6</v>
      </c>
      <c r="IH7" s="7">
        <v>824.3</v>
      </c>
      <c r="II7" s="7">
        <v>254.7</v>
      </c>
      <c r="IJ7" s="7">
        <v>-1E-3</v>
      </c>
      <c r="IK7" s="7">
        <v>-6.0000000000000001E-3</v>
      </c>
      <c r="IL7" s="7">
        <v>1299.348</v>
      </c>
      <c r="IM7" s="7">
        <v>1299.1679999999999</v>
      </c>
      <c r="IN7" s="7">
        <v>11.567</v>
      </c>
      <c r="IO7" s="7">
        <v>8.2000000000000003E-2</v>
      </c>
      <c r="IP7" s="7">
        <v>12.92</v>
      </c>
      <c r="IQ7" s="7">
        <v>2.5000000000000001E-2</v>
      </c>
      <c r="IR7" s="7">
        <v>7.4999999999999997E-2</v>
      </c>
    </row>
    <row r="8" spans="2:252" x14ac:dyDescent="0.25">
      <c r="B8" s="2" t="s">
        <v>412</v>
      </c>
      <c r="C8" s="2" t="s">
        <v>42</v>
      </c>
      <c r="D8" s="61">
        <v>2.5464120370370371E-3</v>
      </c>
      <c r="E8" s="49">
        <v>220.05</v>
      </c>
      <c r="F8" s="50">
        <v>332.23</v>
      </c>
      <c r="G8" s="49">
        <v>5.82</v>
      </c>
      <c r="H8" s="49">
        <v>27.4</v>
      </c>
      <c r="I8" s="50">
        <v>0</v>
      </c>
      <c r="J8" s="49">
        <v>11.6</v>
      </c>
      <c r="K8" s="50">
        <v>8</v>
      </c>
      <c r="L8" s="50">
        <v>5</v>
      </c>
      <c r="M8" s="49">
        <v>5</v>
      </c>
      <c r="N8" s="50">
        <v>3</v>
      </c>
      <c r="O8" s="50">
        <v>3</v>
      </c>
      <c r="P8" s="49">
        <v>0.67100000000000004</v>
      </c>
      <c r="Q8" s="50">
        <v>1.1910000000000001</v>
      </c>
      <c r="R8" s="50">
        <v>0.66500000000000004</v>
      </c>
      <c r="S8" s="3"/>
      <c r="T8" s="49">
        <v>72.61</v>
      </c>
      <c r="U8" s="49">
        <v>60.295000000000002</v>
      </c>
      <c r="V8" s="49">
        <v>273.33999999999997</v>
      </c>
      <c r="W8" s="49">
        <v>291.66000000000003</v>
      </c>
      <c r="X8" s="49">
        <v>195</v>
      </c>
      <c r="Y8" s="49">
        <v>228.34</v>
      </c>
      <c r="Z8" s="49">
        <v>436.41</v>
      </c>
      <c r="AA8" s="49">
        <v>453.95</v>
      </c>
      <c r="AB8" s="49">
        <v>360.91</v>
      </c>
      <c r="AC8" s="49">
        <v>428.63</v>
      </c>
      <c r="AD8" s="49">
        <v>1.8759999999999999</v>
      </c>
      <c r="AE8" s="50">
        <v>1.944</v>
      </c>
      <c r="AF8" s="49">
        <v>1.865</v>
      </c>
      <c r="AG8" s="49">
        <v>1.9419999999999999</v>
      </c>
      <c r="AH8" s="49">
        <v>80.78</v>
      </c>
      <c r="AI8" s="49">
        <v>77.069999999999993</v>
      </c>
      <c r="AJ8" s="49">
        <v>105.36</v>
      </c>
      <c r="AK8" s="49">
        <v>100.5</v>
      </c>
      <c r="AL8" s="49">
        <v>649.10799999999995</v>
      </c>
      <c r="AM8" s="49">
        <v>645.976</v>
      </c>
      <c r="AN8" s="49">
        <v>757.55</v>
      </c>
      <c r="AO8" s="49">
        <v>724.42499999999995</v>
      </c>
      <c r="AP8" s="49">
        <v>1.4379999999999999</v>
      </c>
      <c r="AQ8" s="49">
        <v>1.944</v>
      </c>
      <c r="AR8" s="50">
        <v>40.889000000000003</v>
      </c>
      <c r="AS8" s="49">
        <v>34.375999999999998</v>
      </c>
      <c r="AT8" s="50">
        <v>83</v>
      </c>
      <c r="AU8" s="49">
        <v>102</v>
      </c>
      <c r="AV8" s="49">
        <v>3.234</v>
      </c>
      <c r="AW8" s="49">
        <v>5.5739000000000001</v>
      </c>
      <c r="AX8" s="49">
        <v>1017.9</v>
      </c>
      <c r="AY8" s="49">
        <v>1.76</v>
      </c>
      <c r="AZ8" s="49">
        <v>5.75</v>
      </c>
      <c r="BA8" s="49">
        <v>140.916</v>
      </c>
      <c r="BB8" s="49">
        <v>139.61099999999999</v>
      </c>
      <c r="BC8" s="49">
        <v>7706</v>
      </c>
      <c r="BD8" s="49">
        <v>89.5</v>
      </c>
      <c r="BE8" s="49">
        <v>17.190000000000001</v>
      </c>
      <c r="BF8" s="49">
        <v>12.565</v>
      </c>
      <c r="BG8" s="49">
        <v>27.86</v>
      </c>
      <c r="BH8" s="49">
        <v>26.32</v>
      </c>
      <c r="BI8" s="3"/>
      <c r="BJ8" s="3"/>
      <c r="BK8" s="3"/>
      <c r="BL8" s="3"/>
      <c r="BM8" s="3"/>
      <c r="BN8" s="49">
        <v>113.592</v>
      </c>
      <c r="BO8" s="49">
        <v>110.408</v>
      </c>
      <c r="BP8" s="49">
        <v>145.75200000000001</v>
      </c>
      <c r="BQ8" s="49">
        <v>146.34399999999999</v>
      </c>
      <c r="BR8" s="3"/>
      <c r="BS8" s="49">
        <v>26.7</v>
      </c>
      <c r="BT8" s="49">
        <v>7337.8980000000001</v>
      </c>
      <c r="BU8" s="49">
        <v>50.936999999999998</v>
      </c>
      <c r="BV8" s="49">
        <v>54.765999999999998</v>
      </c>
      <c r="BW8" s="49">
        <v>56.207999999999998</v>
      </c>
      <c r="BX8" s="49">
        <v>56.228999999999999</v>
      </c>
      <c r="BY8" s="49">
        <v>1.4179999999999999</v>
      </c>
      <c r="BZ8" s="49">
        <v>3.0409999999999999</v>
      </c>
      <c r="CA8" s="49">
        <v>2.9</v>
      </c>
      <c r="CB8" s="49">
        <v>3.4</v>
      </c>
      <c r="CC8" s="50">
        <v>1.288</v>
      </c>
      <c r="CD8" s="50">
        <v>2.6949999999999998</v>
      </c>
      <c r="CE8" s="49">
        <v>1.385</v>
      </c>
      <c r="CF8" s="49">
        <v>2.2400000000000002</v>
      </c>
      <c r="CG8" s="50">
        <v>13.943</v>
      </c>
      <c r="CH8" s="49">
        <v>13.755000000000001</v>
      </c>
      <c r="CI8" s="49">
        <v>4.8849999999999998</v>
      </c>
      <c r="CJ8" s="49">
        <v>3.3439999999999999</v>
      </c>
      <c r="CK8" s="49">
        <v>1.4430000000000001</v>
      </c>
      <c r="CL8" s="49">
        <v>0</v>
      </c>
      <c r="CM8" s="49">
        <v>0</v>
      </c>
      <c r="CN8" s="49">
        <v>0</v>
      </c>
      <c r="CO8" s="49">
        <v>0</v>
      </c>
      <c r="CP8" s="49">
        <v>96.628</v>
      </c>
      <c r="CQ8" s="49">
        <v>97.539000000000001</v>
      </c>
      <c r="CR8" s="49">
        <v>114.09399999999999</v>
      </c>
      <c r="CS8" s="49">
        <v>115.142</v>
      </c>
      <c r="CT8" s="50">
        <v>0.61599999999999999</v>
      </c>
      <c r="CU8" s="49">
        <v>1.099</v>
      </c>
      <c r="CV8" s="49">
        <v>1.4</v>
      </c>
      <c r="CW8" s="49">
        <v>1.002</v>
      </c>
      <c r="CX8" s="49">
        <v>1.5009999999999999</v>
      </c>
      <c r="CY8" s="49">
        <v>0.70199999999999996</v>
      </c>
      <c r="CZ8" s="50">
        <v>1.9</v>
      </c>
      <c r="DA8" s="50">
        <v>1.0009999999999999</v>
      </c>
      <c r="DB8" s="50">
        <v>1.105</v>
      </c>
      <c r="DC8" s="50">
        <v>0</v>
      </c>
      <c r="DD8" s="50">
        <v>0</v>
      </c>
      <c r="DE8" s="50">
        <v>0.24</v>
      </c>
      <c r="DF8" s="49">
        <v>5.8000000000000003E-2</v>
      </c>
      <c r="DG8" s="49">
        <v>0.375</v>
      </c>
      <c r="DH8" s="50">
        <v>2.077</v>
      </c>
      <c r="DI8" s="50">
        <v>1.0880000000000001</v>
      </c>
      <c r="DJ8" s="49">
        <v>0.11700000000000001</v>
      </c>
      <c r="DK8" s="49">
        <v>0.79300000000000004</v>
      </c>
      <c r="DL8" s="49">
        <v>0.41099999999999998</v>
      </c>
      <c r="DM8" s="49">
        <v>0.46400000000000002</v>
      </c>
      <c r="DN8" s="49">
        <v>0.432</v>
      </c>
      <c r="DO8" s="49">
        <v>0.35099999999999998</v>
      </c>
      <c r="DP8" s="50">
        <v>63.445</v>
      </c>
      <c r="DQ8" s="49">
        <v>60.402999999999999</v>
      </c>
      <c r="DR8" s="49">
        <v>52.779000000000003</v>
      </c>
      <c r="DS8" s="49">
        <v>51.923999999999999</v>
      </c>
      <c r="DT8" s="49">
        <v>5.54</v>
      </c>
      <c r="DU8" s="49">
        <v>5.12</v>
      </c>
      <c r="DV8" s="49">
        <v>11.67</v>
      </c>
      <c r="DW8" s="49">
        <v>10.11</v>
      </c>
      <c r="DX8" s="49">
        <v>5.8</v>
      </c>
      <c r="DY8" s="49">
        <v>5.0999999999999996</v>
      </c>
      <c r="DZ8" s="49">
        <v>11.1</v>
      </c>
      <c r="EA8" s="49">
        <v>9.86</v>
      </c>
      <c r="EB8" s="50">
        <v>43.05</v>
      </c>
      <c r="EC8" s="49">
        <v>42.9</v>
      </c>
      <c r="ED8" s="49">
        <v>34.18</v>
      </c>
      <c r="EE8" s="49">
        <v>36.409999999999997</v>
      </c>
      <c r="EF8" s="49">
        <v>45.61</v>
      </c>
      <c r="EG8" s="50">
        <v>46.87</v>
      </c>
      <c r="EH8" s="49">
        <v>43.05</v>
      </c>
      <c r="EI8" s="49">
        <v>43.61</v>
      </c>
      <c r="EJ8" s="49">
        <v>4.1360000000000001</v>
      </c>
      <c r="EK8" s="49">
        <v>58.734000000000002</v>
      </c>
      <c r="EL8" s="49">
        <v>1.6</v>
      </c>
      <c r="EM8" s="49">
        <v>1.2</v>
      </c>
      <c r="EN8" s="50">
        <v>1.23</v>
      </c>
      <c r="EO8" s="50">
        <v>1.23</v>
      </c>
      <c r="EP8" s="50">
        <v>-125.494</v>
      </c>
      <c r="EQ8" s="49">
        <v>-2.6019999999999999</v>
      </c>
      <c r="ER8" s="49">
        <v>81.825999999999993</v>
      </c>
      <c r="ES8" s="50">
        <v>1.583</v>
      </c>
      <c r="ET8" s="49">
        <v>1.647</v>
      </c>
      <c r="EU8" s="50">
        <v>1.5720000000000001</v>
      </c>
      <c r="EV8" s="49">
        <v>7.5270000000000001</v>
      </c>
      <c r="EW8" s="49">
        <v>0.70399999999999996</v>
      </c>
      <c r="EX8" s="49">
        <v>74.239999999999995</v>
      </c>
      <c r="EY8" s="49">
        <v>4.1000000000000002E-2</v>
      </c>
      <c r="EZ8" s="50">
        <v>0.27200000000000002</v>
      </c>
      <c r="FA8" s="50">
        <v>0</v>
      </c>
      <c r="FB8" s="49">
        <v>9.1120000000000001</v>
      </c>
      <c r="FC8" s="49">
        <v>75.572999999999993</v>
      </c>
      <c r="FD8" s="50">
        <v>72.694999999999993</v>
      </c>
      <c r="FE8" s="49">
        <v>80.703999999999994</v>
      </c>
      <c r="FF8" s="49">
        <v>77.906999999999996</v>
      </c>
      <c r="FG8" s="49">
        <v>0.94699999999999995</v>
      </c>
      <c r="FH8" s="49">
        <v>0.94699999999999995</v>
      </c>
      <c r="FI8" s="49">
        <v>0.98499999999999999</v>
      </c>
      <c r="FJ8" s="49">
        <v>0.98799999999999999</v>
      </c>
      <c r="FK8" s="49">
        <v>0</v>
      </c>
      <c r="FL8" s="50">
        <v>83</v>
      </c>
      <c r="FM8" s="49">
        <v>2.87</v>
      </c>
      <c r="FN8" s="49">
        <v>-0.83</v>
      </c>
      <c r="FO8" s="49">
        <v>5.56</v>
      </c>
      <c r="FP8" s="3"/>
      <c r="FQ8" s="49">
        <v>4.9000000000000004</v>
      </c>
      <c r="FR8" s="49">
        <v>5.05</v>
      </c>
      <c r="FS8" s="49">
        <v>6.9249999999999998</v>
      </c>
      <c r="FT8" s="50">
        <v>1074.2</v>
      </c>
      <c r="FU8" s="49">
        <v>8.1</v>
      </c>
      <c r="FV8" s="49">
        <v>11.11</v>
      </c>
      <c r="FW8" s="49">
        <v>3224.5</v>
      </c>
      <c r="FX8" s="49">
        <v>163100</v>
      </c>
      <c r="FY8" s="49">
        <v>166000</v>
      </c>
      <c r="FZ8" s="49">
        <v>47.648000000000003</v>
      </c>
      <c r="GA8" s="49">
        <v>47.018000000000001</v>
      </c>
      <c r="GB8" s="49">
        <v>2246.6999999999998</v>
      </c>
      <c r="GC8" s="49">
        <v>2269.6999999999998</v>
      </c>
      <c r="GD8" s="49">
        <v>2298</v>
      </c>
      <c r="GE8" s="49">
        <v>2350.9</v>
      </c>
      <c r="GF8" s="49">
        <v>1293.5469000000001</v>
      </c>
      <c r="GG8" s="49">
        <v>23</v>
      </c>
      <c r="GH8" s="49">
        <v>23.5</v>
      </c>
      <c r="GI8" s="49">
        <v>49.2</v>
      </c>
      <c r="GJ8" s="49">
        <v>53.6</v>
      </c>
      <c r="GK8" s="49">
        <v>99.5</v>
      </c>
      <c r="GL8" s="49">
        <v>89.2</v>
      </c>
      <c r="GM8" s="50">
        <v>0</v>
      </c>
      <c r="GN8" s="50">
        <v>27.149000000000001</v>
      </c>
      <c r="GO8" s="50">
        <v>125.494</v>
      </c>
      <c r="GP8" s="49">
        <v>1.2390000000000001</v>
      </c>
      <c r="GQ8" s="49">
        <v>1.9470000000000001</v>
      </c>
      <c r="GR8" s="49">
        <v>1.298</v>
      </c>
      <c r="GS8" s="49">
        <v>2.0059999999999998</v>
      </c>
      <c r="GT8" s="49">
        <v>1.2390000000000001</v>
      </c>
      <c r="GU8" s="49">
        <v>1.829</v>
      </c>
      <c r="GV8" s="49">
        <v>12.74</v>
      </c>
      <c r="GW8" s="50">
        <v>14.051</v>
      </c>
      <c r="GX8" s="49">
        <v>15.385999999999999</v>
      </c>
      <c r="GY8" s="50">
        <v>0</v>
      </c>
      <c r="GZ8" s="50">
        <v>0</v>
      </c>
      <c r="HA8" s="50">
        <v>0</v>
      </c>
      <c r="HB8" s="49">
        <v>0</v>
      </c>
      <c r="HC8" s="50">
        <v>24.309000000000001</v>
      </c>
      <c r="HD8" s="49">
        <v>82</v>
      </c>
      <c r="HE8" s="7">
        <v>0</v>
      </c>
      <c r="HF8" s="7">
        <v>0</v>
      </c>
      <c r="HG8" s="7">
        <v>72.47</v>
      </c>
      <c r="HH8" s="7">
        <v>80.260000000000005</v>
      </c>
      <c r="HI8" s="7">
        <v>0</v>
      </c>
      <c r="HJ8" s="7">
        <v>0</v>
      </c>
      <c r="HK8" s="7">
        <v>0</v>
      </c>
      <c r="HL8" s="7">
        <v>55</v>
      </c>
      <c r="HM8" s="7">
        <v>49</v>
      </c>
      <c r="HN8" s="7">
        <v>56</v>
      </c>
      <c r="HO8" s="7">
        <v>50</v>
      </c>
      <c r="HP8" s="7">
        <v>53</v>
      </c>
      <c r="HQ8" s="7">
        <v>51</v>
      </c>
      <c r="HR8" s="7">
        <v>44</v>
      </c>
      <c r="HS8" s="7">
        <v>70</v>
      </c>
      <c r="HT8" s="7">
        <v>-1.21</v>
      </c>
      <c r="HU8" s="7">
        <v>0</v>
      </c>
      <c r="HV8" s="7">
        <v>1E-3</v>
      </c>
      <c r="HW8" s="7">
        <v>39.18</v>
      </c>
      <c r="HX8" s="7">
        <v>37.36</v>
      </c>
      <c r="HY8" s="3"/>
      <c r="HZ8" s="3"/>
      <c r="IA8" s="7">
        <v>2.758</v>
      </c>
      <c r="IB8" s="7">
        <v>103</v>
      </c>
      <c r="IC8" s="7">
        <v>22.102</v>
      </c>
      <c r="ID8" s="7">
        <v>-0.19700000000000001</v>
      </c>
      <c r="IE8" s="7">
        <v>-7.2999999999999995E-2</v>
      </c>
      <c r="IF8" s="7">
        <v>816.7</v>
      </c>
      <c r="IG8" s="7">
        <v>769</v>
      </c>
      <c r="IH8" s="7">
        <v>829</v>
      </c>
      <c r="II8" s="7">
        <v>780.3</v>
      </c>
      <c r="IJ8" s="7">
        <v>-7.3999999999999996E-2</v>
      </c>
      <c r="IK8" s="7">
        <v>-0.122</v>
      </c>
      <c r="IL8" s="7">
        <v>74.271000000000001</v>
      </c>
      <c r="IM8" s="7">
        <v>74.271000000000001</v>
      </c>
      <c r="IN8" s="7">
        <v>11.332000000000001</v>
      </c>
      <c r="IO8" s="7">
        <v>0.41699999999999998</v>
      </c>
      <c r="IP8" s="7">
        <v>11.07</v>
      </c>
      <c r="IQ8" s="7">
        <v>-1E-3</v>
      </c>
      <c r="IR8" s="7">
        <v>1.2E-2</v>
      </c>
    </row>
    <row r="9" spans="2:252" x14ac:dyDescent="0.25">
      <c r="B9" s="2" t="s">
        <v>412</v>
      </c>
      <c r="C9" s="62" t="s">
        <v>43</v>
      </c>
      <c r="D9" s="63">
        <v>2.457638888888889E-3</v>
      </c>
      <c r="E9" s="49">
        <v>212.38</v>
      </c>
      <c r="F9" s="49">
        <v>330.06</v>
      </c>
      <c r="G9" s="50">
        <v>5.96</v>
      </c>
      <c r="H9" s="49">
        <v>28.1</v>
      </c>
      <c r="I9" s="50">
        <v>0</v>
      </c>
      <c r="J9" s="49">
        <v>9.9</v>
      </c>
      <c r="K9" s="50">
        <v>8</v>
      </c>
      <c r="L9" s="50">
        <v>5</v>
      </c>
      <c r="M9" s="49">
        <v>5</v>
      </c>
      <c r="N9" s="50">
        <v>3</v>
      </c>
      <c r="O9" s="50">
        <v>3</v>
      </c>
      <c r="P9" s="49">
        <v>0.41699999999999998</v>
      </c>
      <c r="Q9" s="49">
        <v>1.0069999999999999</v>
      </c>
      <c r="R9" s="49">
        <v>0.35</v>
      </c>
      <c r="S9" s="49">
        <v>0.29099999999999998</v>
      </c>
      <c r="T9" s="49">
        <v>82.45</v>
      </c>
      <c r="U9" s="49">
        <v>60.222000000000001</v>
      </c>
      <c r="V9" s="49">
        <v>300</v>
      </c>
      <c r="W9" s="49">
        <v>316</v>
      </c>
      <c r="X9" s="49">
        <v>245</v>
      </c>
      <c r="Y9" s="49">
        <v>309</v>
      </c>
      <c r="Z9" s="50">
        <v>440.72</v>
      </c>
      <c r="AA9" s="50">
        <v>462.41</v>
      </c>
      <c r="AB9" s="50">
        <v>386.89</v>
      </c>
      <c r="AC9" s="50">
        <v>466.86</v>
      </c>
      <c r="AD9" s="49">
        <v>1.8740000000000001</v>
      </c>
      <c r="AE9" s="49">
        <v>1.9279999999999999</v>
      </c>
      <c r="AF9" s="49">
        <v>1.919</v>
      </c>
      <c r="AG9" s="49">
        <v>1.994</v>
      </c>
      <c r="AH9" s="49">
        <v>80.92</v>
      </c>
      <c r="AI9" s="49">
        <v>76.02</v>
      </c>
      <c r="AJ9" s="49">
        <v>112.94</v>
      </c>
      <c r="AK9" s="49">
        <v>107.31</v>
      </c>
      <c r="AL9" s="50">
        <v>694.78300000000002</v>
      </c>
      <c r="AM9" s="50">
        <v>697.58299999999997</v>
      </c>
      <c r="AN9" s="49">
        <v>834.03800000000001</v>
      </c>
      <c r="AO9" s="50">
        <v>818.44899999999996</v>
      </c>
      <c r="AP9" s="49">
        <v>1.425</v>
      </c>
      <c r="AQ9" s="49">
        <v>1.887</v>
      </c>
      <c r="AR9" s="49">
        <v>40.021000000000001</v>
      </c>
      <c r="AS9" s="49">
        <v>32.792999999999999</v>
      </c>
      <c r="AT9" s="50">
        <v>83</v>
      </c>
      <c r="AU9" s="49">
        <v>112</v>
      </c>
      <c r="AV9" s="49">
        <v>2.641</v>
      </c>
      <c r="AW9" s="49">
        <v>5.5320999999999998</v>
      </c>
      <c r="AX9" s="49">
        <v>1018.1</v>
      </c>
      <c r="AY9" s="49">
        <v>1.85</v>
      </c>
      <c r="AZ9" s="49">
        <v>5.37</v>
      </c>
      <c r="BA9" s="49">
        <v>108.381</v>
      </c>
      <c r="BB9" s="49">
        <v>107.996</v>
      </c>
      <c r="BC9" s="49">
        <v>7671</v>
      </c>
      <c r="BD9" s="50">
        <v>89.75</v>
      </c>
      <c r="BE9" s="50">
        <v>17.43</v>
      </c>
      <c r="BF9" s="49">
        <v>13.835000000000001</v>
      </c>
      <c r="BG9" s="49">
        <v>28.99</v>
      </c>
      <c r="BH9" s="49">
        <v>26.62</v>
      </c>
      <c r="BI9" s="3"/>
      <c r="BJ9" s="3"/>
      <c r="BK9" s="3"/>
      <c r="BL9" s="3"/>
      <c r="BM9" s="3"/>
      <c r="BN9" s="49">
        <v>115.64</v>
      </c>
      <c r="BO9" s="49">
        <v>114.232</v>
      </c>
      <c r="BP9" s="49">
        <v>151.94399999999999</v>
      </c>
      <c r="BQ9" s="49">
        <v>157.048</v>
      </c>
      <c r="BR9" s="3"/>
      <c r="BS9" s="49">
        <v>27.6</v>
      </c>
      <c r="BT9" s="49">
        <v>7390.33</v>
      </c>
      <c r="BU9" s="49">
        <v>51.197000000000003</v>
      </c>
      <c r="BV9" s="49">
        <v>53.688000000000002</v>
      </c>
      <c r="BW9" s="49">
        <v>56.600999999999999</v>
      </c>
      <c r="BX9" s="50">
        <v>57.865000000000002</v>
      </c>
      <c r="BY9" s="50">
        <v>1.5680000000000001</v>
      </c>
      <c r="BZ9" s="49">
        <v>2.9609999999999999</v>
      </c>
      <c r="CA9" s="49">
        <v>3.4049999999999998</v>
      </c>
      <c r="CB9" s="50">
        <v>4.1769999999999996</v>
      </c>
      <c r="CC9" s="49">
        <v>1.282</v>
      </c>
      <c r="CD9" s="49">
        <v>2.5059999999999998</v>
      </c>
      <c r="CE9" s="49">
        <v>1.3879999999999999</v>
      </c>
      <c r="CF9" s="49">
        <v>2.206</v>
      </c>
      <c r="CG9" s="49">
        <v>13.939</v>
      </c>
      <c r="CH9" s="49">
        <v>13.785</v>
      </c>
      <c r="CI9" s="49">
        <v>5.5789999999999997</v>
      </c>
      <c r="CJ9" s="49">
        <v>2.9060000000000001</v>
      </c>
      <c r="CK9" s="50">
        <v>1.718</v>
      </c>
      <c r="CL9" s="50">
        <v>0.1</v>
      </c>
      <c r="CM9" s="49">
        <v>0</v>
      </c>
      <c r="CN9" s="49">
        <v>0</v>
      </c>
      <c r="CO9" s="49">
        <v>0</v>
      </c>
      <c r="CP9" s="50">
        <v>107.658</v>
      </c>
      <c r="CQ9" s="50">
        <v>107.807</v>
      </c>
      <c r="CR9" s="49">
        <v>145.364</v>
      </c>
      <c r="CS9" s="49">
        <v>150.673</v>
      </c>
      <c r="CT9" s="49">
        <v>0.27800000000000002</v>
      </c>
      <c r="CU9" s="49">
        <v>0.499</v>
      </c>
      <c r="CV9" s="50">
        <v>1.6990000000000001</v>
      </c>
      <c r="CW9" s="50">
        <v>1.7969999999999999</v>
      </c>
      <c r="CX9" s="49">
        <v>0.998</v>
      </c>
      <c r="CY9" s="49">
        <v>0.5</v>
      </c>
      <c r="CZ9" s="49">
        <v>1.2969999999999999</v>
      </c>
      <c r="DA9" s="49">
        <v>0.5</v>
      </c>
      <c r="DB9" s="49">
        <v>1.1020000000000001</v>
      </c>
      <c r="DC9" s="50">
        <v>0</v>
      </c>
      <c r="DD9" s="50">
        <v>0</v>
      </c>
      <c r="DE9" s="49">
        <v>0.18099999999999999</v>
      </c>
      <c r="DF9" s="49">
        <v>6.8000000000000005E-2</v>
      </c>
      <c r="DG9" s="50">
        <v>0.433</v>
      </c>
      <c r="DH9" s="49">
        <v>1.8819999999999999</v>
      </c>
      <c r="DI9" s="49">
        <v>0.91200000000000003</v>
      </c>
      <c r="DJ9" s="49">
        <v>6.4000000000000001E-2</v>
      </c>
      <c r="DK9" s="49">
        <v>0.72</v>
      </c>
      <c r="DL9" s="49">
        <v>0.41299999999999998</v>
      </c>
      <c r="DM9" s="49">
        <v>0.436</v>
      </c>
      <c r="DN9" s="49">
        <v>0.29899999999999999</v>
      </c>
      <c r="DO9" s="49">
        <v>0.31</v>
      </c>
      <c r="DP9" s="49">
        <v>61.99</v>
      </c>
      <c r="DQ9" s="49">
        <v>58.801000000000002</v>
      </c>
      <c r="DR9" s="50">
        <v>53.167000000000002</v>
      </c>
      <c r="DS9" s="49">
        <v>52.003999999999998</v>
      </c>
      <c r="DT9" s="50">
        <v>6.17</v>
      </c>
      <c r="DU9" s="50">
        <v>6.32</v>
      </c>
      <c r="DV9" s="50">
        <v>14.12</v>
      </c>
      <c r="DW9" s="50">
        <v>12.05</v>
      </c>
      <c r="DX9" s="50">
        <v>6.37</v>
      </c>
      <c r="DY9" s="50">
        <v>6.49</v>
      </c>
      <c r="DZ9" s="50">
        <v>13.37</v>
      </c>
      <c r="EA9" s="50">
        <v>11.99</v>
      </c>
      <c r="EB9" s="49">
        <v>42.51</v>
      </c>
      <c r="EC9" s="49">
        <v>41.71</v>
      </c>
      <c r="ED9" s="49">
        <v>31.98</v>
      </c>
      <c r="EE9" s="49">
        <v>34.33</v>
      </c>
      <c r="EF9" s="49">
        <v>44.95</v>
      </c>
      <c r="EG9" s="49">
        <v>45.48</v>
      </c>
      <c r="EH9" s="49">
        <v>40.53</v>
      </c>
      <c r="EI9" s="49">
        <v>41.64</v>
      </c>
      <c r="EJ9" s="49">
        <v>5.4169999999999998</v>
      </c>
      <c r="EK9" s="50">
        <v>59.246000000000002</v>
      </c>
      <c r="EL9" s="49">
        <v>1.55</v>
      </c>
      <c r="EM9" s="49">
        <v>1.2</v>
      </c>
      <c r="EN9" s="49">
        <v>1.2</v>
      </c>
      <c r="EO9" s="49">
        <v>1.2</v>
      </c>
      <c r="EP9" s="49">
        <v>-119.946</v>
      </c>
      <c r="EQ9" s="49">
        <v>-2.468</v>
      </c>
      <c r="ER9" s="50">
        <v>104.018</v>
      </c>
      <c r="ES9" s="49">
        <v>1.577</v>
      </c>
      <c r="ET9" s="50">
        <v>1.6539999999999999</v>
      </c>
      <c r="EU9" s="49">
        <v>1.526</v>
      </c>
      <c r="EV9" s="50">
        <v>7.766</v>
      </c>
      <c r="EW9" s="50">
        <v>0.88800000000000001</v>
      </c>
      <c r="EX9" s="50">
        <v>76.599999999999994</v>
      </c>
      <c r="EY9" s="49">
        <v>0</v>
      </c>
      <c r="EZ9" s="49">
        <v>0</v>
      </c>
      <c r="FA9" s="50">
        <v>0</v>
      </c>
      <c r="FB9" s="49">
        <v>9.1669999999999998</v>
      </c>
      <c r="FC9" s="49">
        <v>75.923000000000002</v>
      </c>
      <c r="FD9" s="49">
        <v>71.120999999999995</v>
      </c>
      <c r="FE9" s="49">
        <v>87.394000000000005</v>
      </c>
      <c r="FF9" s="49">
        <v>84.478999999999999</v>
      </c>
      <c r="FG9" s="49">
        <v>0.94399999999999995</v>
      </c>
      <c r="FH9" s="49">
        <v>0.94399999999999995</v>
      </c>
      <c r="FI9" s="49">
        <v>0.98299999999999998</v>
      </c>
      <c r="FJ9" s="49">
        <v>0.98699999999999999</v>
      </c>
      <c r="FK9" s="49">
        <v>0</v>
      </c>
      <c r="FL9" s="50">
        <v>83</v>
      </c>
      <c r="FM9" s="49">
        <v>3.07</v>
      </c>
      <c r="FN9" s="49">
        <v>-0.82</v>
      </c>
      <c r="FO9" s="49">
        <v>5.41</v>
      </c>
      <c r="FP9" s="3"/>
      <c r="FQ9" s="49">
        <v>4.95</v>
      </c>
      <c r="FR9" s="49">
        <v>5.05</v>
      </c>
      <c r="FS9" s="49">
        <v>6.84</v>
      </c>
      <c r="FT9" s="49">
        <v>1070.8</v>
      </c>
      <c r="FU9" s="50">
        <v>8.49</v>
      </c>
      <c r="FV9" s="49">
        <v>17.079999999999998</v>
      </c>
      <c r="FW9" s="49">
        <v>3373.5</v>
      </c>
      <c r="FX9" s="49">
        <v>165400</v>
      </c>
      <c r="FY9" s="49">
        <v>167300</v>
      </c>
      <c r="FZ9" s="49">
        <v>47.47</v>
      </c>
      <c r="GA9" s="49">
        <v>46.723999999999997</v>
      </c>
      <c r="GB9" s="50">
        <v>2280.6999999999998</v>
      </c>
      <c r="GC9" s="50">
        <v>2280.3000000000002</v>
      </c>
      <c r="GD9" s="49">
        <v>2372.1999999999998</v>
      </c>
      <c r="GE9" s="49">
        <v>2280.3000000000002</v>
      </c>
      <c r="GF9" s="50">
        <v>1731.5625</v>
      </c>
      <c r="GG9" s="49">
        <v>24</v>
      </c>
      <c r="GH9" s="49">
        <v>24.2</v>
      </c>
      <c r="GI9" s="49">
        <v>47</v>
      </c>
      <c r="GJ9" s="49">
        <v>51.4</v>
      </c>
      <c r="GK9" s="49">
        <v>99.5</v>
      </c>
      <c r="GL9" s="50">
        <v>92.1</v>
      </c>
      <c r="GM9" s="50">
        <v>0</v>
      </c>
      <c r="GN9" s="49">
        <v>25.48</v>
      </c>
      <c r="GO9" s="49">
        <v>119.946</v>
      </c>
      <c r="GP9" s="49">
        <v>1.0620000000000001</v>
      </c>
      <c r="GQ9" s="49">
        <v>1.8879999999999999</v>
      </c>
      <c r="GR9" s="49">
        <v>1.298</v>
      </c>
      <c r="GS9" s="49">
        <v>2.0059999999999998</v>
      </c>
      <c r="GT9" s="49">
        <v>1.0029999999999999</v>
      </c>
      <c r="GU9" s="49">
        <v>1.829</v>
      </c>
      <c r="GV9" s="49">
        <v>12.74</v>
      </c>
      <c r="GW9" s="49">
        <v>14.023</v>
      </c>
      <c r="GX9" s="49">
        <v>15.19</v>
      </c>
      <c r="GY9" s="50">
        <v>0</v>
      </c>
      <c r="GZ9" s="50">
        <v>0</v>
      </c>
      <c r="HA9" s="50">
        <v>0</v>
      </c>
      <c r="HB9" s="49">
        <v>0</v>
      </c>
      <c r="HC9" s="49">
        <v>23.974</v>
      </c>
      <c r="HD9" s="49">
        <v>82</v>
      </c>
      <c r="HE9" s="7">
        <v>0</v>
      </c>
      <c r="HF9" s="7">
        <v>0</v>
      </c>
      <c r="HG9" s="7">
        <v>74.959999999999994</v>
      </c>
      <c r="HH9" s="7">
        <v>80.489999999999995</v>
      </c>
      <c r="HI9" s="7">
        <v>0</v>
      </c>
      <c r="HJ9" s="7">
        <v>0</v>
      </c>
      <c r="HK9" s="7">
        <v>0</v>
      </c>
      <c r="HL9" s="7">
        <v>57</v>
      </c>
      <c r="HM9" s="7">
        <v>50</v>
      </c>
      <c r="HN9" s="7">
        <v>58</v>
      </c>
      <c r="HO9" s="7">
        <v>53</v>
      </c>
      <c r="HP9" s="7">
        <v>56</v>
      </c>
      <c r="HQ9" s="7">
        <v>54</v>
      </c>
      <c r="HR9" s="7">
        <v>45</v>
      </c>
      <c r="HS9" s="7">
        <v>62</v>
      </c>
      <c r="HT9" s="7">
        <v>-1.22</v>
      </c>
      <c r="HU9" s="7">
        <v>0</v>
      </c>
      <c r="HV9" s="7">
        <v>0.27300000000000002</v>
      </c>
      <c r="HW9" s="7">
        <v>35.229999999999997</v>
      </c>
      <c r="HX9" s="7">
        <v>37.36</v>
      </c>
      <c r="HY9" s="7">
        <v>50.69</v>
      </c>
      <c r="HZ9" s="7">
        <v>63.75</v>
      </c>
      <c r="IA9" s="7">
        <v>2.9319999999999999</v>
      </c>
      <c r="IB9" s="7">
        <v>104</v>
      </c>
      <c r="IC9" s="7">
        <v>22.658999999999999</v>
      </c>
      <c r="ID9" s="7">
        <v>-0.24299999999999999</v>
      </c>
      <c r="IE9" s="7">
        <v>-7.9000000000000001E-2</v>
      </c>
      <c r="IF9" s="7">
        <v>823.2</v>
      </c>
      <c r="IG9" s="7">
        <v>775.6</v>
      </c>
      <c r="IH9" s="7">
        <v>833.5</v>
      </c>
      <c r="II9" s="7">
        <v>787.7</v>
      </c>
      <c r="IJ9" s="7">
        <v>-8.5000000000000006E-2</v>
      </c>
      <c r="IK9" s="7">
        <v>-0.16500000000000001</v>
      </c>
      <c r="IL9" s="7">
        <v>67.009</v>
      </c>
      <c r="IM9" s="7">
        <v>67.009</v>
      </c>
      <c r="IN9" s="7">
        <v>12.127000000000001</v>
      </c>
      <c r="IO9" s="7">
        <v>0.47499999999999998</v>
      </c>
      <c r="IP9" s="7">
        <v>10.5</v>
      </c>
      <c r="IQ9" s="7">
        <v>8.9999999999999993E-3</v>
      </c>
      <c r="IR9" s="7">
        <v>1.0999999999999999E-2</v>
      </c>
    </row>
    <row r="10" spans="2:252" x14ac:dyDescent="0.25">
      <c r="B10" s="2" t="s">
        <v>412</v>
      </c>
      <c r="C10" s="2" t="s">
        <v>44</v>
      </c>
      <c r="D10" s="61">
        <v>2.7488425925925927E-3</v>
      </c>
      <c r="E10" s="49">
        <v>237.499</v>
      </c>
      <c r="F10" s="49">
        <v>330.52</v>
      </c>
      <c r="G10" s="49">
        <v>5.88</v>
      </c>
      <c r="H10" s="50">
        <v>28.6</v>
      </c>
      <c r="I10" s="50">
        <v>0</v>
      </c>
      <c r="J10" s="49">
        <v>11.4</v>
      </c>
      <c r="K10" s="50">
        <v>8</v>
      </c>
      <c r="L10" s="50">
        <v>5</v>
      </c>
      <c r="M10" s="50">
        <v>6</v>
      </c>
      <c r="N10" s="50">
        <v>3</v>
      </c>
      <c r="O10" s="50">
        <v>3</v>
      </c>
      <c r="P10" s="49">
        <v>0.434</v>
      </c>
      <c r="Q10" s="49">
        <v>1.004</v>
      </c>
      <c r="R10" s="49">
        <v>0.39200000000000002</v>
      </c>
      <c r="S10" s="49">
        <v>0.36799999999999999</v>
      </c>
      <c r="T10" s="50">
        <v>84.31</v>
      </c>
      <c r="U10" s="49">
        <v>60.162999999999997</v>
      </c>
      <c r="V10" s="49">
        <v>281.66000000000003</v>
      </c>
      <c r="W10" s="49">
        <v>312</v>
      </c>
      <c r="X10" s="49">
        <v>246.66</v>
      </c>
      <c r="Y10" s="49">
        <v>314</v>
      </c>
      <c r="Z10" s="49">
        <v>425.87</v>
      </c>
      <c r="AA10" s="49">
        <v>452.78</v>
      </c>
      <c r="AB10" s="49">
        <v>378.83</v>
      </c>
      <c r="AC10" s="49">
        <v>452.27</v>
      </c>
      <c r="AD10" s="50">
        <v>1.887</v>
      </c>
      <c r="AE10" s="49">
        <v>1.9379999999999999</v>
      </c>
      <c r="AF10" s="50">
        <v>1.972</v>
      </c>
      <c r="AG10" s="50">
        <v>2.048</v>
      </c>
      <c r="AH10" s="50">
        <v>83.56</v>
      </c>
      <c r="AI10" s="50">
        <v>79.23</v>
      </c>
      <c r="AJ10" s="50">
        <v>119.68</v>
      </c>
      <c r="AK10" s="50">
        <v>114.42</v>
      </c>
      <c r="AL10" s="49">
        <v>665.70699999999999</v>
      </c>
      <c r="AM10" s="49">
        <v>694.85599999999999</v>
      </c>
      <c r="AN10" s="50">
        <v>864.45500000000004</v>
      </c>
      <c r="AO10" s="49">
        <v>808.93700000000001</v>
      </c>
      <c r="AP10" s="49">
        <v>1.411</v>
      </c>
      <c r="AQ10" s="49">
        <v>1.871</v>
      </c>
      <c r="AR10" s="49">
        <v>40.088000000000001</v>
      </c>
      <c r="AS10" s="50">
        <v>34.942999999999998</v>
      </c>
      <c r="AT10" s="50">
        <v>83</v>
      </c>
      <c r="AU10" s="50">
        <v>117</v>
      </c>
      <c r="AV10" s="50">
        <v>2.4464999999999999</v>
      </c>
      <c r="AW10" s="49">
        <v>5.4074999999999998</v>
      </c>
      <c r="AX10" s="49">
        <v>1018.6</v>
      </c>
      <c r="AY10" s="50">
        <v>1.87</v>
      </c>
      <c r="AZ10" s="49">
        <v>5.78</v>
      </c>
      <c r="BA10" s="50">
        <v>69.2</v>
      </c>
      <c r="BB10" s="50">
        <v>69.400000000000006</v>
      </c>
      <c r="BC10" s="50">
        <v>7819</v>
      </c>
      <c r="BD10" s="49">
        <v>89</v>
      </c>
      <c r="BE10" s="49">
        <v>17.239999999999998</v>
      </c>
      <c r="BF10" s="50">
        <v>14.17</v>
      </c>
      <c r="BG10" s="50">
        <v>29.03</v>
      </c>
      <c r="BH10" s="50">
        <v>26.95</v>
      </c>
      <c r="BI10" s="49">
        <v>63.195</v>
      </c>
      <c r="BJ10" s="49">
        <v>70.73</v>
      </c>
      <c r="BK10" s="49">
        <v>62.398000000000003</v>
      </c>
      <c r="BL10" s="49">
        <v>59.728000000000002</v>
      </c>
      <c r="BM10" s="49">
        <v>79.322999999999993</v>
      </c>
      <c r="BN10" s="50">
        <v>120.328</v>
      </c>
      <c r="BO10" s="50">
        <v>120.968</v>
      </c>
      <c r="BP10" s="50">
        <v>165.06399999999999</v>
      </c>
      <c r="BQ10" s="50">
        <v>166.15199999999999</v>
      </c>
      <c r="BR10" s="50">
        <v>61.127000000000002</v>
      </c>
      <c r="BS10" s="50">
        <v>28.3</v>
      </c>
      <c r="BT10" s="50">
        <v>7413.4269999999997</v>
      </c>
      <c r="BU10" s="49">
        <v>49.082999999999998</v>
      </c>
      <c r="BV10" s="49">
        <v>54.906999999999996</v>
      </c>
      <c r="BW10" s="49">
        <v>56.008000000000003</v>
      </c>
      <c r="BX10" s="49">
        <v>57.802</v>
      </c>
      <c r="BY10" s="49">
        <v>1.37</v>
      </c>
      <c r="BZ10" s="50">
        <v>3.3650000000000002</v>
      </c>
      <c r="CA10" s="50">
        <v>3.415</v>
      </c>
      <c r="CB10" s="49">
        <v>3.5840000000000001</v>
      </c>
      <c r="CC10" s="49">
        <v>1.268</v>
      </c>
      <c r="CD10" s="49">
        <v>2.4729999999999999</v>
      </c>
      <c r="CE10" s="49">
        <v>1.3640000000000001</v>
      </c>
      <c r="CF10" s="49">
        <v>2.1320000000000001</v>
      </c>
      <c r="CG10" s="49">
        <v>13.942</v>
      </c>
      <c r="CH10" s="49">
        <v>13.632</v>
      </c>
      <c r="CI10" s="3"/>
      <c r="CJ10" s="3"/>
      <c r="CK10" s="3"/>
      <c r="CL10" s="50">
        <v>0.1</v>
      </c>
      <c r="CM10" s="50">
        <v>0.2</v>
      </c>
      <c r="CN10" s="50">
        <v>0.2</v>
      </c>
      <c r="CO10" s="50">
        <v>0.3</v>
      </c>
      <c r="CP10" s="49">
        <v>105.88</v>
      </c>
      <c r="CQ10" s="49">
        <v>106.947</v>
      </c>
      <c r="CR10" s="50">
        <v>150.36099999999999</v>
      </c>
      <c r="CS10" s="50">
        <v>156.30699999999999</v>
      </c>
      <c r="CT10" s="49">
        <v>0.23200000000000001</v>
      </c>
      <c r="CU10" s="50">
        <v>1.1000000000000001</v>
      </c>
      <c r="CV10" s="49">
        <v>1.5980000000000001</v>
      </c>
      <c r="CW10" s="49">
        <v>0.79700000000000004</v>
      </c>
      <c r="CX10" s="50">
        <v>1.5029999999999999</v>
      </c>
      <c r="CY10" s="49">
        <v>0.59799999999999998</v>
      </c>
      <c r="CZ10" s="49">
        <v>0.89800000000000002</v>
      </c>
      <c r="DA10" s="50">
        <v>1.0009999999999999</v>
      </c>
      <c r="DB10" s="49">
        <v>1.1000000000000001</v>
      </c>
      <c r="DC10" s="50">
        <v>0</v>
      </c>
      <c r="DD10" s="50">
        <v>0</v>
      </c>
      <c r="DE10" s="49">
        <v>0.14199999999999999</v>
      </c>
      <c r="DF10" s="49">
        <v>6.4000000000000001E-2</v>
      </c>
      <c r="DG10" s="49">
        <v>0.218</v>
      </c>
      <c r="DH10" s="49">
        <v>1.9259999999999999</v>
      </c>
      <c r="DI10" s="49">
        <v>0.80500000000000005</v>
      </c>
      <c r="DJ10" s="49">
        <v>-6.6000000000000003E-2</v>
      </c>
      <c r="DK10" s="49">
        <v>0.51700000000000002</v>
      </c>
      <c r="DL10" s="49">
        <v>0.41299999999999998</v>
      </c>
      <c r="DM10" s="49">
        <v>0.441</v>
      </c>
      <c r="DN10" s="50">
        <v>0.434</v>
      </c>
      <c r="DO10" s="49">
        <v>0.26700000000000002</v>
      </c>
      <c r="DP10" s="49">
        <v>62.667999999999999</v>
      </c>
      <c r="DQ10" s="50">
        <v>61.203000000000003</v>
      </c>
      <c r="DR10" s="49">
        <v>53.165999999999997</v>
      </c>
      <c r="DS10" s="50">
        <v>52.49</v>
      </c>
      <c r="DT10" s="49">
        <v>5.94</v>
      </c>
      <c r="DU10" s="49">
        <v>5.82</v>
      </c>
      <c r="DV10" s="49">
        <v>12.69</v>
      </c>
      <c r="DW10" s="49">
        <v>11.13</v>
      </c>
      <c r="DX10" s="49">
        <v>6.11</v>
      </c>
      <c r="DY10" s="49">
        <v>6.06</v>
      </c>
      <c r="DZ10" s="49">
        <v>12.2</v>
      </c>
      <c r="EA10" s="49">
        <v>11.12</v>
      </c>
      <c r="EB10" s="49">
        <v>42.24</v>
      </c>
      <c r="EC10" s="49">
        <v>41.7</v>
      </c>
      <c r="ED10" s="49">
        <v>31.91</v>
      </c>
      <c r="EE10" s="49">
        <v>33.85</v>
      </c>
      <c r="EF10" s="49">
        <v>45.72</v>
      </c>
      <c r="EG10" s="49">
        <v>46.42</v>
      </c>
      <c r="EH10" s="50">
        <v>43.2</v>
      </c>
      <c r="EI10" s="50">
        <v>43.89</v>
      </c>
      <c r="EJ10" s="50">
        <v>5.9390000000000001</v>
      </c>
      <c r="EK10" s="49">
        <v>59.073</v>
      </c>
      <c r="EL10" s="50">
        <v>1.75</v>
      </c>
      <c r="EM10" s="49">
        <v>1.25</v>
      </c>
      <c r="EN10" s="49">
        <v>1.2</v>
      </c>
      <c r="EO10" s="49">
        <v>1.21</v>
      </c>
      <c r="EP10" s="49">
        <v>-118.486</v>
      </c>
      <c r="EQ10" s="49">
        <v>-2.363</v>
      </c>
      <c r="ER10" s="49">
        <v>102.85</v>
      </c>
      <c r="ES10" s="49">
        <v>1.5229999999999999</v>
      </c>
      <c r="ET10" s="49">
        <v>1.6220000000000001</v>
      </c>
      <c r="EU10" s="49">
        <v>1.4510000000000001</v>
      </c>
      <c r="EV10" s="49">
        <v>7.7069999999999999</v>
      </c>
      <c r="EW10" s="49">
        <v>0.81</v>
      </c>
      <c r="EX10" s="49">
        <v>75</v>
      </c>
      <c r="EY10" s="50">
        <v>6.0999999999999999E-2</v>
      </c>
      <c r="EZ10" s="49">
        <v>0</v>
      </c>
      <c r="FA10" s="50">
        <v>0</v>
      </c>
      <c r="FB10" s="50">
        <v>9.2319999999999993</v>
      </c>
      <c r="FC10" s="50">
        <v>76.442999999999998</v>
      </c>
      <c r="FD10" s="49">
        <v>71.287000000000006</v>
      </c>
      <c r="FE10" s="50">
        <v>92.456999999999994</v>
      </c>
      <c r="FF10" s="50">
        <v>89.846999999999994</v>
      </c>
      <c r="FG10" s="49">
        <v>0.97299999999999998</v>
      </c>
      <c r="FH10" s="49">
        <v>0.97899999999999998</v>
      </c>
      <c r="FI10" s="49">
        <v>0.98399999999999999</v>
      </c>
      <c r="FJ10" s="49">
        <v>0.98799999999999999</v>
      </c>
      <c r="FK10" s="49">
        <v>0</v>
      </c>
      <c r="FL10" s="50">
        <v>83</v>
      </c>
      <c r="FM10" s="50">
        <v>3.19</v>
      </c>
      <c r="FN10" s="49">
        <v>-0.6</v>
      </c>
      <c r="FO10" s="49">
        <v>5.46</v>
      </c>
      <c r="FP10" s="49">
        <v>4.0999999999999996</v>
      </c>
      <c r="FQ10" s="49">
        <v>4.3499999999999996</v>
      </c>
      <c r="FR10" s="50">
        <v>4.95</v>
      </c>
      <c r="FS10" s="49">
        <v>6.8540000000000001</v>
      </c>
      <c r="FT10" s="49">
        <v>1071.3</v>
      </c>
      <c r="FU10" s="49">
        <v>8.36</v>
      </c>
      <c r="FV10" s="50">
        <v>22.96</v>
      </c>
      <c r="FW10" s="49">
        <v>3197.5</v>
      </c>
      <c r="FX10" s="50">
        <v>168400</v>
      </c>
      <c r="FY10" s="50">
        <v>168800</v>
      </c>
      <c r="FZ10" s="49">
        <v>47.250999999999998</v>
      </c>
      <c r="GA10" s="49">
        <v>46.601999999999997</v>
      </c>
      <c r="GB10" s="49">
        <v>2190.5</v>
      </c>
      <c r="GC10" s="49">
        <v>2158.8000000000002</v>
      </c>
      <c r="GD10" s="50">
        <v>2406.8000000000002</v>
      </c>
      <c r="GE10" s="49">
        <v>2315.9</v>
      </c>
      <c r="GF10" s="49">
        <v>1484.1094000000001</v>
      </c>
      <c r="GG10" s="49">
        <v>25</v>
      </c>
      <c r="GH10" s="49">
        <v>25.3</v>
      </c>
      <c r="GI10" s="49">
        <v>47.1</v>
      </c>
      <c r="GJ10" s="49">
        <v>51.7</v>
      </c>
      <c r="GK10" s="49">
        <v>99.5</v>
      </c>
      <c r="GL10" s="49">
        <v>88.7</v>
      </c>
      <c r="GM10" s="50">
        <v>0</v>
      </c>
      <c r="GN10" s="49">
        <v>25.469000000000001</v>
      </c>
      <c r="GO10" s="49">
        <v>118.486</v>
      </c>
      <c r="GP10" s="50">
        <v>0</v>
      </c>
      <c r="GQ10" s="49">
        <v>1.9470000000000001</v>
      </c>
      <c r="GR10" s="50">
        <v>0</v>
      </c>
      <c r="GS10" s="49">
        <v>2.0059999999999998</v>
      </c>
      <c r="GT10" s="50">
        <v>0</v>
      </c>
      <c r="GU10" s="49">
        <v>1.8879999999999999</v>
      </c>
      <c r="GV10" s="50">
        <v>0</v>
      </c>
      <c r="GW10" s="49">
        <v>13.83</v>
      </c>
      <c r="GX10" s="49">
        <v>16.170000000000002</v>
      </c>
      <c r="GY10" s="50">
        <v>0</v>
      </c>
      <c r="GZ10" s="50">
        <v>0</v>
      </c>
      <c r="HA10" s="50">
        <v>0</v>
      </c>
      <c r="HB10" s="49">
        <v>0</v>
      </c>
      <c r="HC10" s="49">
        <v>23.864999999999998</v>
      </c>
      <c r="HD10" s="50">
        <v>86</v>
      </c>
      <c r="HE10" s="7">
        <v>0</v>
      </c>
      <c r="HF10" s="7">
        <v>0</v>
      </c>
      <c r="HG10" s="7">
        <v>74.290000000000006</v>
      </c>
      <c r="HH10" s="7">
        <v>80.709999999999994</v>
      </c>
      <c r="HI10" s="7">
        <v>0</v>
      </c>
      <c r="HJ10" s="7">
        <v>0</v>
      </c>
      <c r="HK10" s="7">
        <v>0</v>
      </c>
      <c r="HL10" s="7">
        <v>59</v>
      </c>
      <c r="HM10" s="7">
        <v>50</v>
      </c>
      <c r="HN10" s="7">
        <v>60</v>
      </c>
      <c r="HO10" s="7">
        <v>55</v>
      </c>
      <c r="HP10" s="7">
        <v>58</v>
      </c>
      <c r="HQ10" s="7">
        <v>56</v>
      </c>
      <c r="HR10" s="7">
        <v>47</v>
      </c>
      <c r="HS10" s="7">
        <v>70</v>
      </c>
      <c r="HT10" s="7">
        <v>-1.2244999999999999</v>
      </c>
      <c r="HU10" s="7">
        <v>0</v>
      </c>
      <c r="HV10" s="7">
        <v>0.72399999999999998</v>
      </c>
      <c r="HW10" s="7">
        <v>35.229999999999997</v>
      </c>
      <c r="HX10" s="7">
        <v>38.03</v>
      </c>
      <c r="HY10" s="3"/>
      <c r="HZ10" s="3"/>
      <c r="IA10" s="7">
        <v>3.05</v>
      </c>
      <c r="IB10" s="7">
        <v>104</v>
      </c>
      <c r="IC10" s="7">
        <v>23.016999999999999</v>
      </c>
      <c r="ID10" s="7">
        <v>-0.215</v>
      </c>
      <c r="IE10" s="7">
        <v>-7.0000000000000007E-2</v>
      </c>
      <c r="IF10" s="7">
        <v>821.9</v>
      </c>
      <c r="IG10" s="7">
        <v>764.5</v>
      </c>
      <c r="IH10" s="7">
        <v>822.3</v>
      </c>
      <c r="II10" s="7">
        <v>778.4</v>
      </c>
      <c r="IJ10" s="7">
        <v>-6.7000000000000004E-2</v>
      </c>
      <c r="IK10" s="7">
        <v>-0.14299999999999999</v>
      </c>
      <c r="IL10" s="7">
        <v>71.942999999999998</v>
      </c>
      <c r="IM10" s="7">
        <v>71.942999999999998</v>
      </c>
      <c r="IN10" s="7">
        <v>13.936</v>
      </c>
      <c r="IO10" s="7">
        <v>0.374</v>
      </c>
      <c r="IP10" s="7">
        <v>10.79</v>
      </c>
      <c r="IQ10" s="7">
        <v>0</v>
      </c>
      <c r="IR10" s="7">
        <v>0</v>
      </c>
    </row>
    <row r="12" spans="2:252" ht="15" customHeight="1" x14ac:dyDescent="0.25"/>
  </sheetData>
  <mergeCells count="4"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6DD3C-C62D-4B12-8AAD-D4C0AAEA97C7}">
  <sheetPr codeName="Sheet3"/>
  <dimension ref="B1:IR13"/>
  <sheetViews>
    <sheetView zoomScale="80" zoomScaleNormal="80" workbookViewId="0">
      <selection activeCell="D14" sqref="D14"/>
    </sheetView>
  </sheetViews>
  <sheetFormatPr defaultRowHeight="15" x14ac:dyDescent="0.25"/>
  <sheetData>
    <row r="1" spans="2:252" x14ac:dyDescent="0.25">
      <c r="B1" t="s">
        <v>359</v>
      </c>
      <c r="C1" t="s">
        <v>417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6" t="s">
        <v>414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412</v>
      </c>
      <c r="C7" s="2" t="s">
        <v>41</v>
      </c>
      <c r="D7" s="61">
        <v>3.3539351851851851E-3</v>
      </c>
      <c r="E7" s="50">
        <v>289.77800000000002</v>
      </c>
      <c r="F7" s="49">
        <v>331.4</v>
      </c>
      <c r="G7" s="49">
        <v>5.62</v>
      </c>
      <c r="H7" s="49">
        <v>28.9</v>
      </c>
      <c r="I7" s="50">
        <v>0</v>
      </c>
      <c r="J7" s="50">
        <v>46</v>
      </c>
      <c r="K7" s="49">
        <v>8</v>
      </c>
      <c r="L7" s="50">
        <v>3</v>
      </c>
      <c r="M7" s="50">
        <v>6</v>
      </c>
      <c r="N7" s="50">
        <v>3</v>
      </c>
      <c r="O7" s="50">
        <v>3</v>
      </c>
      <c r="P7" s="49">
        <v>0.747</v>
      </c>
      <c r="Q7" s="49">
        <v>1.298</v>
      </c>
      <c r="R7" s="49">
        <v>0.82299999999999995</v>
      </c>
      <c r="S7" s="49">
        <v>0.55600000000000005</v>
      </c>
      <c r="T7" s="49">
        <v>64.930000000000007</v>
      </c>
      <c r="U7" s="50">
        <v>60.720999999999997</v>
      </c>
      <c r="V7" s="50">
        <v>130</v>
      </c>
      <c r="W7" s="50">
        <v>135</v>
      </c>
      <c r="X7" s="50">
        <v>110</v>
      </c>
      <c r="Y7" s="50">
        <v>127.5</v>
      </c>
      <c r="Z7" s="49">
        <v>276.66000000000003</v>
      </c>
      <c r="AA7" s="49">
        <v>291.54000000000002</v>
      </c>
      <c r="AB7" s="49">
        <v>229.32</v>
      </c>
      <c r="AC7" s="49">
        <v>266.74</v>
      </c>
      <c r="AD7" s="49">
        <v>1.776</v>
      </c>
      <c r="AE7" s="49">
        <v>1.853</v>
      </c>
      <c r="AF7" s="49">
        <v>1.6679999999999999</v>
      </c>
      <c r="AG7" s="49">
        <v>1.696</v>
      </c>
      <c r="AH7" s="49">
        <v>65.400000000000006</v>
      </c>
      <c r="AI7" s="49">
        <v>61.19</v>
      </c>
      <c r="AJ7" s="49">
        <v>83.07</v>
      </c>
      <c r="AK7" s="49">
        <v>80.349999999999994</v>
      </c>
      <c r="AL7" s="49">
        <v>608.34400000000005</v>
      </c>
      <c r="AM7" s="49">
        <v>631.48199999999997</v>
      </c>
      <c r="AN7" s="49">
        <v>740.42700000000002</v>
      </c>
      <c r="AO7" s="49">
        <v>730.61900000000003</v>
      </c>
      <c r="AP7" s="50">
        <v>1.401</v>
      </c>
      <c r="AQ7" s="50">
        <v>1.88</v>
      </c>
      <c r="AR7" s="49">
        <v>38.780999999999999</v>
      </c>
      <c r="AS7" s="49">
        <v>31.879000000000001</v>
      </c>
      <c r="AT7" s="50">
        <v>87</v>
      </c>
      <c r="AU7" s="49">
        <v>111</v>
      </c>
      <c r="AV7" s="49">
        <v>2.597</v>
      </c>
      <c r="AW7" s="49">
        <v>5.3297999999999996</v>
      </c>
      <c r="AX7" s="50">
        <v>1019.6</v>
      </c>
      <c r="AY7" s="50">
        <v>2.4700000000000002</v>
      </c>
      <c r="AZ7" s="49">
        <v>5.7</v>
      </c>
      <c r="BA7" s="49">
        <v>67.099999999999994</v>
      </c>
      <c r="BB7" s="49">
        <v>67.203000000000003</v>
      </c>
      <c r="BC7" s="49">
        <v>7747</v>
      </c>
      <c r="BD7" s="49">
        <v>88.75</v>
      </c>
      <c r="BE7" s="49">
        <v>16.004999999999999</v>
      </c>
      <c r="BF7" s="49">
        <v>13.48</v>
      </c>
      <c r="BG7" s="49">
        <v>26.25</v>
      </c>
      <c r="BH7" s="49">
        <v>25.53</v>
      </c>
      <c r="BI7" s="49">
        <v>63.682000000000002</v>
      </c>
      <c r="BJ7" s="49">
        <v>80.177999999999997</v>
      </c>
      <c r="BK7" s="49">
        <v>61.938000000000002</v>
      </c>
      <c r="BL7" s="50">
        <v>77.462000000000003</v>
      </c>
      <c r="BM7" s="49">
        <v>77.62</v>
      </c>
      <c r="BN7" s="50">
        <v>151.94399999999999</v>
      </c>
      <c r="BO7" s="50">
        <v>147.06399999999999</v>
      </c>
      <c r="BP7" s="49">
        <v>140.82400000000001</v>
      </c>
      <c r="BQ7" s="49">
        <v>135.49600000000001</v>
      </c>
      <c r="BR7" s="49">
        <v>58.741</v>
      </c>
      <c r="BS7" s="49">
        <v>28.5</v>
      </c>
      <c r="BT7" s="49">
        <v>6255.1989999999996</v>
      </c>
      <c r="BU7" s="49">
        <v>49.725999999999999</v>
      </c>
      <c r="BV7" s="49">
        <v>56.109000000000002</v>
      </c>
      <c r="BW7" s="50">
        <v>57.225999999999999</v>
      </c>
      <c r="BX7" s="49">
        <v>57.817</v>
      </c>
      <c r="BY7" s="49">
        <v>1.3839999999999999</v>
      </c>
      <c r="BZ7" s="49">
        <v>2.4420000000000002</v>
      </c>
      <c r="CA7" s="49">
        <v>3.335</v>
      </c>
      <c r="CB7" s="49">
        <v>3.1160000000000001</v>
      </c>
      <c r="CC7" s="49">
        <v>1.1990000000000001</v>
      </c>
      <c r="CD7" s="49">
        <v>2.4369999999999998</v>
      </c>
      <c r="CE7" s="50">
        <v>1.379</v>
      </c>
      <c r="CF7" s="49">
        <v>2.1989999999999998</v>
      </c>
      <c r="CG7" s="49">
        <v>13.632999999999999</v>
      </c>
      <c r="CH7" s="50">
        <v>9.7759999999999998</v>
      </c>
      <c r="CI7" s="50">
        <v>6.0579999999999998</v>
      </c>
      <c r="CJ7" s="49">
        <v>3.3</v>
      </c>
      <c r="CK7" s="49">
        <v>1.58</v>
      </c>
      <c r="CL7" s="49">
        <v>0</v>
      </c>
      <c r="CM7" s="49">
        <v>0.6</v>
      </c>
      <c r="CN7" s="49">
        <v>0</v>
      </c>
      <c r="CO7" s="49">
        <v>0</v>
      </c>
      <c r="CP7" s="50">
        <v>112.173</v>
      </c>
      <c r="CQ7" s="50">
        <v>111.22499999999999</v>
      </c>
      <c r="CR7" s="49">
        <v>121.277</v>
      </c>
      <c r="CS7" s="49">
        <v>118.735</v>
      </c>
      <c r="CT7" s="50">
        <v>1.3069999999999999</v>
      </c>
      <c r="CU7" s="49">
        <v>0.998</v>
      </c>
      <c r="CV7" s="49">
        <v>1.5029999999999999</v>
      </c>
      <c r="CW7" s="49">
        <v>1.3</v>
      </c>
      <c r="CX7" s="49">
        <v>1.7989999999999999</v>
      </c>
      <c r="CY7" s="49">
        <v>0.7</v>
      </c>
      <c r="CZ7" s="49">
        <v>1.895</v>
      </c>
      <c r="DA7" s="49">
        <v>0.89800000000000002</v>
      </c>
      <c r="DB7" s="49">
        <v>0.60299999999999998</v>
      </c>
      <c r="DC7" s="50">
        <v>0</v>
      </c>
      <c r="DD7" s="50">
        <v>0</v>
      </c>
      <c r="DE7" s="49">
        <v>0.224</v>
      </c>
      <c r="DF7" s="49">
        <v>0.125</v>
      </c>
      <c r="DG7" s="49">
        <v>0.109</v>
      </c>
      <c r="DH7" s="49">
        <v>2.149</v>
      </c>
      <c r="DI7" s="49">
        <v>1.21</v>
      </c>
      <c r="DJ7" s="49">
        <v>0.21</v>
      </c>
      <c r="DK7" s="49">
        <v>0.88200000000000001</v>
      </c>
      <c r="DL7" s="49">
        <v>0.41099999999999998</v>
      </c>
      <c r="DM7" s="49">
        <v>0.52200000000000002</v>
      </c>
      <c r="DN7" s="49">
        <v>0.42399999999999999</v>
      </c>
      <c r="DO7" s="50">
        <v>0.4</v>
      </c>
      <c r="DP7" s="49">
        <v>62.136000000000003</v>
      </c>
      <c r="DQ7" s="50">
        <v>63.62</v>
      </c>
      <c r="DR7" s="49">
        <v>53.082000000000001</v>
      </c>
      <c r="DS7" s="49">
        <v>50.463999999999999</v>
      </c>
      <c r="DT7" s="49">
        <v>4.17</v>
      </c>
      <c r="DU7" s="49">
        <v>4.1399999999999997</v>
      </c>
      <c r="DV7" s="49">
        <v>8.68</v>
      </c>
      <c r="DW7" s="49">
        <v>7.83</v>
      </c>
      <c r="DX7" s="49">
        <v>4.21</v>
      </c>
      <c r="DY7" s="49">
        <v>4.09</v>
      </c>
      <c r="DZ7" s="49">
        <v>8.2200000000000006</v>
      </c>
      <c r="EA7" s="49">
        <v>7.28</v>
      </c>
      <c r="EB7" s="49">
        <v>37.22</v>
      </c>
      <c r="EC7" s="49">
        <v>37.380000000000003</v>
      </c>
      <c r="ED7" s="49">
        <v>29.38</v>
      </c>
      <c r="EE7" s="49">
        <v>30.17</v>
      </c>
      <c r="EF7" s="50">
        <v>54.4</v>
      </c>
      <c r="EG7" s="50">
        <v>54.38</v>
      </c>
      <c r="EH7" s="50">
        <v>53.71</v>
      </c>
      <c r="EI7" s="50">
        <v>54.72</v>
      </c>
      <c r="EJ7" s="49">
        <v>5.1420000000000003</v>
      </c>
      <c r="EK7" s="49">
        <v>57.231000000000002</v>
      </c>
      <c r="EL7" s="50">
        <v>2.25</v>
      </c>
      <c r="EM7" s="50">
        <v>1.25</v>
      </c>
      <c r="EN7" s="49">
        <v>1.24</v>
      </c>
      <c r="EO7" s="49">
        <v>1.25</v>
      </c>
      <c r="EP7" s="49">
        <v>-108.85</v>
      </c>
      <c r="EQ7" s="50">
        <v>-1.1559999999999999</v>
      </c>
      <c r="ER7" s="49">
        <v>107.81399999999999</v>
      </c>
      <c r="ES7" s="49">
        <v>1.3620000000000001</v>
      </c>
      <c r="ET7" s="49">
        <v>1.4079999999999999</v>
      </c>
      <c r="EU7" s="49">
        <v>1.3120000000000001</v>
      </c>
      <c r="EV7" s="49">
        <v>7.4509999999999996</v>
      </c>
      <c r="EW7" s="49">
        <v>0.38300000000000001</v>
      </c>
      <c r="EX7" s="49">
        <v>-221.12</v>
      </c>
      <c r="EY7" s="49">
        <v>0</v>
      </c>
      <c r="EZ7" s="50">
        <v>24.507000000000001</v>
      </c>
      <c r="FA7" s="50">
        <v>0</v>
      </c>
      <c r="FB7" s="49">
        <v>8.99</v>
      </c>
      <c r="FC7" s="49">
        <v>74.778000000000006</v>
      </c>
      <c r="FD7" s="49">
        <v>66.436999999999998</v>
      </c>
      <c r="FE7" s="49">
        <v>76.805000000000007</v>
      </c>
      <c r="FF7" s="49">
        <v>75.515000000000001</v>
      </c>
      <c r="FG7" s="50">
        <v>1.0369999999999999</v>
      </c>
      <c r="FH7" s="50">
        <v>1.0469999999999999</v>
      </c>
      <c r="FI7" s="50">
        <v>0.996</v>
      </c>
      <c r="FJ7" s="50">
        <v>0.999</v>
      </c>
      <c r="FK7" s="50">
        <v>0.40300000000000002</v>
      </c>
      <c r="FL7" s="50">
        <v>87</v>
      </c>
      <c r="FM7" s="50">
        <v>3.51</v>
      </c>
      <c r="FN7" s="49">
        <v>-0.44</v>
      </c>
      <c r="FO7" s="49">
        <v>5.44</v>
      </c>
      <c r="FP7" s="50">
        <v>0.4</v>
      </c>
      <c r="FQ7" s="50">
        <v>0.3</v>
      </c>
      <c r="FR7" s="49">
        <v>5.0999999999999996</v>
      </c>
      <c r="FS7" s="49">
        <v>6.7774999999999999</v>
      </c>
      <c r="FT7" s="49">
        <v>1078.2</v>
      </c>
      <c r="FU7" s="49">
        <v>6.58</v>
      </c>
      <c r="FV7" s="49">
        <v>5.62</v>
      </c>
      <c r="FW7" s="50">
        <v>3254</v>
      </c>
      <c r="FX7" s="49">
        <v>168000</v>
      </c>
      <c r="FY7" s="50">
        <v>171200</v>
      </c>
      <c r="FZ7" s="50">
        <v>49.442999999999998</v>
      </c>
      <c r="GA7" s="50">
        <v>48.405000000000001</v>
      </c>
      <c r="GB7" s="50">
        <v>2473.8000000000002</v>
      </c>
      <c r="GC7" s="49">
        <v>2260.6999999999998</v>
      </c>
      <c r="GD7" s="50">
        <v>2473.8000000000002</v>
      </c>
      <c r="GE7" s="49">
        <v>2260.6999999999998</v>
      </c>
      <c r="GF7" s="49">
        <v>1380.7344000000001</v>
      </c>
      <c r="GG7" s="50">
        <v>30</v>
      </c>
      <c r="GH7" s="49">
        <v>29.5</v>
      </c>
      <c r="GI7" s="50">
        <v>70.3</v>
      </c>
      <c r="GJ7" s="50">
        <v>75.099999999999994</v>
      </c>
      <c r="GK7" s="50">
        <v>95</v>
      </c>
      <c r="GL7" s="49">
        <v>89.3</v>
      </c>
      <c r="GM7" s="50">
        <v>0</v>
      </c>
      <c r="GN7" s="49">
        <v>25.346</v>
      </c>
      <c r="GO7" s="49">
        <v>108.85</v>
      </c>
      <c r="GP7" s="50">
        <v>0</v>
      </c>
      <c r="GQ7" s="50">
        <v>4.13</v>
      </c>
      <c r="GR7" s="50">
        <v>0</v>
      </c>
      <c r="GS7" s="50">
        <v>4.0119999999999996</v>
      </c>
      <c r="GT7" s="50">
        <v>0</v>
      </c>
      <c r="GU7" s="50">
        <v>3.7170000000000001</v>
      </c>
      <c r="GV7" s="50">
        <v>0</v>
      </c>
      <c r="GW7" s="49">
        <v>12.161</v>
      </c>
      <c r="GX7" s="50">
        <v>22.54</v>
      </c>
      <c r="GY7" s="50">
        <v>0</v>
      </c>
      <c r="GZ7" s="50">
        <v>0</v>
      </c>
      <c r="HA7" s="50">
        <v>0</v>
      </c>
      <c r="HB7" s="50">
        <v>1</v>
      </c>
      <c r="HC7" s="50">
        <v>27.405999999999999</v>
      </c>
      <c r="HD7" s="50">
        <v>90</v>
      </c>
      <c r="HE7" s="50">
        <v>0</v>
      </c>
      <c r="HF7" s="50">
        <v>0</v>
      </c>
      <c r="HG7" s="50">
        <v>88.85</v>
      </c>
      <c r="HH7" s="49">
        <v>82.58</v>
      </c>
      <c r="HI7" s="50">
        <v>0</v>
      </c>
      <c r="HJ7" s="50">
        <v>0</v>
      </c>
      <c r="HK7" s="50">
        <v>0</v>
      </c>
      <c r="HL7" s="50">
        <v>73</v>
      </c>
      <c r="HM7" s="50">
        <v>55</v>
      </c>
      <c r="HN7" s="49">
        <v>62</v>
      </c>
      <c r="HO7" s="49">
        <v>56</v>
      </c>
      <c r="HP7" s="49">
        <v>58</v>
      </c>
      <c r="HQ7" s="49">
        <v>56</v>
      </c>
      <c r="HR7" s="49">
        <v>50</v>
      </c>
      <c r="HS7" s="49">
        <v>62</v>
      </c>
      <c r="HT7" s="50">
        <v>-1.2989999999999999</v>
      </c>
      <c r="HU7" s="50">
        <v>0</v>
      </c>
      <c r="HV7" s="49">
        <v>0.20399999999999999</v>
      </c>
      <c r="HW7" s="49">
        <v>37.020000000000003</v>
      </c>
      <c r="HX7" s="49">
        <v>47.6</v>
      </c>
      <c r="HY7" s="3"/>
      <c r="HZ7" s="3"/>
      <c r="IA7" s="49">
        <v>2.637</v>
      </c>
      <c r="IB7" s="49">
        <v>99</v>
      </c>
      <c r="IC7" s="49">
        <v>18.283999999999999</v>
      </c>
      <c r="ID7" s="50">
        <v>-0.151</v>
      </c>
      <c r="IE7" s="50">
        <v>-3.3000000000000002E-2</v>
      </c>
      <c r="IF7" s="49">
        <v>817</v>
      </c>
      <c r="IG7" s="49">
        <v>641.29999999999995</v>
      </c>
      <c r="IH7" s="49">
        <v>828.4</v>
      </c>
      <c r="II7" s="49">
        <v>654</v>
      </c>
      <c r="IJ7" s="50">
        <v>8.4000000000000005E-2</v>
      </c>
      <c r="IK7" s="50">
        <v>-5.0000000000000001E-3</v>
      </c>
      <c r="IL7" s="50">
        <v>134.124</v>
      </c>
      <c r="IM7" s="50">
        <v>134.124</v>
      </c>
      <c r="IN7" s="49">
        <v>13.132</v>
      </c>
      <c r="IO7" s="49">
        <v>0.39700000000000002</v>
      </c>
      <c r="IP7" s="50">
        <v>11.2</v>
      </c>
      <c r="IQ7" s="49">
        <v>1.2999999999999999E-2</v>
      </c>
      <c r="IR7" s="50">
        <v>1.4999999999999999E-2</v>
      </c>
    </row>
    <row r="8" spans="2:252" x14ac:dyDescent="0.25">
      <c r="B8" s="2" t="s">
        <v>412</v>
      </c>
      <c r="C8" s="2" t="s">
        <v>42</v>
      </c>
      <c r="D8" s="61">
        <v>2.4716435185185184E-3</v>
      </c>
      <c r="E8" s="49">
        <v>213.59</v>
      </c>
      <c r="F8" s="49">
        <v>333.32</v>
      </c>
      <c r="G8" s="49">
        <v>5.77</v>
      </c>
      <c r="H8" s="49">
        <v>29.3</v>
      </c>
      <c r="I8" s="50">
        <v>0</v>
      </c>
      <c r="J8" s="49">
        <v>14.6</v>
      </c>
      <c r="K8" s="49">
        <v>8</v>
      </c>
      <c r="L8" s="50">
        <v>3</v>
      </c>
      <c r="M8" s="50">
        <v>6</v>
      </c>
      <c r="N8" s="50">
        <v>3</v>
      </c>
      <c r="O8" s="50">
        <v>3</v>
      </c>
      <c r="P8" s="49">
        <v>0.69899999999999995</v>
      </c>
      <c r="Q8" s="49">
        <v>1.349</v>
      </c>
      <c r="R8" s="49">
        <v>0.60399999999999998</v>
      </c>
      <c r="S8" s="49">
        <v>0.71399999999999997</v>
      </c>
      <c r="T8" s="49">
        <v>73.52</v>
      </c>
      <c r="U8" s="49">
        <v>60.109000000000002</v>
      </c>
      <c r="V8" s="49">
        <v>248.34</v>
      </c>
      <c r="W8" s="49">
        <v>260</v>
      </c>
      <c r="X8" s="49">
        <v>208.34</v>
      </c>
      <c r="Y8" s="49">
        <v>251.66</v>
      </c>
      <c r="Z8" s="49">
        <v>397.61</v>
      </c>
      <c r="AA8" s="49">
        <v>406.45</v>
      </c>
      <c r="AB8" s="49">
        <v>334.49</v>
      </c>
      <c r="AC8" s="49">
        <v>392.81</v>
      </c>
      <c r="AD8" s="49">
        <v>1.8149999999999999</v>
      </c>
      <c r="AE8" s="49">
        <v>1.87</v>
      </c>
      <c r="AF8" s="49">
        <v>1.786</v>
      </c>
      <c r="AG8" s="49">
        <v>1.8069999999999999</v>
      </c>
      <c r="AH8" s="49">
        <v>81.290000000000006</v>
      </c>
      <c r="AI8" s="49">
        <v>76.42</v>
      </c>
      <c r="AJ8" s="49">
        <v>107.86</v>
      </c>
      <c r="AK8" s="49">
        <v>103.05</v>
      </c>
      <c r="AL8" s="49">
        <v>647.67999999999995</v>
      </c>
      <c r="AM8" s="49">
        <v>671.16600000000005</v>
      </c>
      <c r="AN8" s="49">
        <v>827.78499999999997</v>
      </c>
      <c r="AO8" s="49">
        <v>788.43700000000001</v>
      </c>
      <c r="AP8" s="49">
        <v>1.3939999999999999</v>
      </c>
      <c r="AQ8" s="49">
        <v>1.865</v>
      </c>
      <c r="AR8" s="49">
        <v>41.143999999999998</v>
      </c>
      <c r="AS8" s="49">
        <v>34.872999999999998</v>
      </c>
      <c r="AT8" s="49">
        <v>83</v>
      </c>
      <c r="AU8" s="49">
        <v>116</v>
      </c>
      <c r="AV8" s="49">
        <v>2.6145</v>
      </c>
      <c r="AW8" s="50">
        <v>5.4661999999999997</v>
      </c>
      <c r="AX8" s="49">
        <v>1018.9</v>
      </c>
      <c r="AY8" s="49">
        <v>1.91</v>
      </c>
      <c r="AZ8" s="49">
        <v>5.76</v>
      </c>
      <c r="BA8" s="49">
        <v>97.081000000000003</v>
      </c>
      <c r="BB8" s="49">
        <v>92.271000000000001</v>
      </c>
      <c r="BC8" s="49">
        <v>7722</v>
      </c>
      <c r="BD8" s="49">
        <v>88.75</v>
      </c>
      <c r="BE8" s="49">
        <v>15.84</v>
      </c>
      <c r="BF8" s="49">
        <v>12.465</v>
      </c>
      <c r="BG8" s="49">
        <v>28.25</v>
      </c>
      <c r="BH8" s="49">
        <v>25.26</v>
      </c>
      <c r="BI8" s="3"/>
      <c r="BJ8" s="3"/>
      <c r="BK8" s="3"/>
      <c r="BL8" s="3"/>
      <c r="BM8" s="3"/>
      <c r="BN8" s="49">
        <v>104.84</v>
      </c>
      <c r="BO8" s="49">
        <v>102.024</v>
      </c>
      <c r="BP8" s="49">
        <v>139.01599999999999</v>
      </c>
      <c r="BQ8" s="49">
        <v>138.184</v>
      </c>
      <c r="BR8" s="3"/>
      <c r="BS8" s="49">
        <v>28.9</v>
      </c>
      <c r="BT8" s="50">
        <v>7418.11</v>
      </c>
      <c r="BU8" s="49">
        <v>50.798000000000002</v>
      </c>
      <c r="BV8" s="49">
        <v>54.884</v>
      </c>
      <c r="BW8" s="49">
        <v>56.616999999999997</v>
      </c>
      <c r="BX8" s="49">
        <v>57.048000000000002</v>
      </c>
      <c r="BY8" s="49">
        <v>1.482</v>
      </c>
      <c r="BZ8" s="50">
        <v>3.06</v>
      </c>
      <c r="CA8" s="49">
        <v>3.7429999999999999</v>
      </c>
      <c r="CB8" s="49">
        <v>3.6160000000000001</v>
      </c>
      <c r="CC8" s="50">
        <v>1.325</v>
      </c>
      <c r="CD8" s="50">
        <v>2.5019999999999998</v>
      </c>
      <c r="CE8" s="49">
        <v>1.3520000000000001</v>
      </c>
      <c r="CF8" s="50">
        <v>2.2040000000000002</v>
      </c>
      <c r="CG8" s="49">
        <v>13.944000000000001</v>
      </c>
      <c r="CH8" s="49">
        <v>13.779</v>
      </c>
      <c r="CI8" s="49">
        <v>5.3479999999999999</v>
      </c>
      <c r="CJ8" s="50">
        <v>3.415</v>
      </c>
      <c r="CK8" s="49">
        <v>1.6819999999999999</v>
      </c>
      <c r="CL8" s="49">
        <v>0.1</v>
      </c>
      <c r="CM8" s="49">
        <v>0.3</v>
      </c>
      <c r="CN8" s="49">
        <v>0</v>
      </c>
      <c r="CO8" s="49">
        <v>0</v>
      </c>
      <c r="CP8" s="49">
        <v>98.147999999999996</v>
      </c>
      <c r="CQ8" s="49">
        <v>97.213999999999999</v>
      </c>
      <c r="CR8" s="49">
        <v>129.71600000000001</v>
      </c>
      <c r="CS8" s="49">
        <v>130.286</v>
      </c>
      <c r="CT8" s="49">
        <v>0.32300000000000001</v>
      </c>
      <c r="CU8" s="49">
        <v>1</v>
      </c>
      <c r="CV8" s="49">
        <v>0.997</v>
      </c>
      <c r="CW8" s="49">
        <v>1.198</v>
      </c>
      <c r="CX8" s="49">
        <v>1.1000000000000001</v>
      </c>
      <c r="CY8" s="49">
        <v>0.79900000000000004</v>
      </c>
      <c r="CZ8" s="49">
        <v>0.79800000000000004</v>
      </c>
      <c r="DA8" s="49">
        <v>0.5</v>
      </c>
      <c r="DB8" s="49">
        <v>1.504</v>
      </c>
      <c r="DC8" s="50">
        <v>0</v>
      </c>
      <c r="DD8" s="50">
        <v>0</v>
      </c>
      <c r="DE8" s="49">
        <v>0.28699999999999998</v>
      </c>
      <c r="DF8" s="49">
        <v>0.114</v>
      </c>
      <c r="DG8" s="49">
        <v>0.55100000000000005</v>
      </c>
      <c r="DH8" s="49">
        <v>2.35</v>
      </c>
      <c r="DI8" s="49">
        <v>1.369</v>
      </c>
      <c r="DJ8" s="49">
        <v>0.14599999999999999</v>
      </c>
      <c r="DK8" s="49">
        <v>0.82899999999999996</v>
      </c>
      <c r="DL8" s="49">
        <v>0.40799999999999997</v>
      </c>
      <c r="DM8" s="49">
        <v>0.45900000000000002</v>
      </c>
      <c r="DN8" s="49">
        <v>0.39600000000000002</v>
      </c>
      <c r="DO8" s="49">
        <v>0.316</v>
      </c>
      <c r="DP8" s="49">
        <v>66.415999999999997</v>
      </c>
      <c r="DQ8" s="49">
        <v>57.921999999999997</v>
      </c>
      <c r="DR8" s="49">
        <v>53.674999999999997</v>
      </c>
      <c r="DS8" s="49">
        <v>51.670999999999999</v>
      </c>
      <c r="DT8" s="49">
        <v>6.35</v>
      </c>
      <c r="DU8" s="49">
        <v>6.16</v>
      </c>
      <c r="DV8" s="49">
        <v>13.33</v>
      </c>
      <c r="DW8" s="49">
        <v>11.41</v>
      </c>
      <c r="DX8" s="49">
        <v>6.69</v>
      </c>
      <c r="DY8" s="50">
        <v>6.63</v>
      </c>
      <c r="DZ8" s="49">
        <v>12.85</v>
      </c>
      <c r="EA8" s="49">
        <v>11.16</v>
      </c>
      <c r="EB8" s="49">
        <v>41.96</v>
      </c>
      <c r="EC8" s="49">
        <v>41.59</v>
      </c>
      <c r="ED8" s="49">
        <v>32.520000000000003</v>
      </c>
      <c r="EE8" s="49">
        <v>34.42</v>
      </c>
      <c r="EF8" s="49">
        <v>45</v>
      </c>
      <c r="EG8" s="49">
        <v>45.61</v>
      </c>
      <c r="EH8" s="49">
        <v>41.3</v>
      </c>
      <c r="EI8" s="49">
        <v>43.01</v>
      </c>
      <c r="EJ8" s="49">
        <v>6.1529999999999996</v>
      </c>
      <c r="EK8" s="49">
        <v>58.555</v>
      </c>
      <c r="EL8" s="49">
        <v>1.7</v>
      </c>
      <c r="EM8" s="49">
        <v>1.4</v>
      </c>
      <c r="EN8" s="49">
        <v>1.23</v>
      </c>
      <c r="EO8" s="49">
        <v>1.23</v>
      </c>
      <c r="EP8" s="49">
        <v>-104.178</v>
      </c>
      <c r="EQ8" s="49">
        <v>-2.6920000000000002</v>
      </c>
      <c r="ER8" s="49">
        <v>92.921999999999997</v>
      </c>
      <c r="ES8" s="50">
        <v>1.5609999999999999</v>
      </c>
      <c r="ET8" s="49">
        <v>1.653</v>
      </c>
      <c r="EU8" s="50">
        <v>1.484</v>
      </c>
      <c r="EV8" s="49">
        <v>7.468</v>
      </c>
      <c r="EW8" s="49">
        <v>0.39500000000000002</v>
      </c>
      <c r="EX8" s="49">
        <v>73.64</v>
      </c>
      <c r="EY8" s="49">
        <v>0</v>
      </c>
      <c r="EZ8" s="49">
        <v>0</v>
      </c>
      <c r="FA8" s="50">
        <v>0</v>
      </c>
      <c r="FB8" s="49">
        <v>9.1739999999999995</v>
      </c>
      <c r="FC8" s="49">
        <v>71.3</v>
      </c>
      <c r="FD8" s="49">
        <v>66.17</v>
      </c>
      <c r="FE8" s="49">
        <v>80.724000000000004</v>
      </c>
      <c r="FF8" s="49">
        <v>78.385999999999996</v>
      </c>
      <c r="FG8" s="49">
        <v>0.94499999999999995</v>
      </c>
      <c r="FH8" s="49">
        <v>0.94599999999999995</v>
      </c>
      <c r="FI8" s="49">
        <v>0.98599999999999999</v>
      </c>
      <c r="FJ8" s="49">
        <v>0.99</v>
      </c>
      <c r="FK8" s="49">
        <v>0</v>
      </c>
      <c r="FL8" s="49">
        <v>83</v>
      </c>
      <c r="FM8" s="49">
        <v>3.28</v>
      </c>
      <c r="FN8" s="49">
        <v>0.14000000000000001</v>
      </c>
      <c r="FO8" s="49">
        <v>5.49</v>
      </c>
      <c r="FP8" s="3"/>
      <c r="FQ8" s="49">
        <v>4.7</v>
      </c>
      <c r="FR8" s="49">
        <v>5.2</v>
      </c>
      <c r="FS8" s="50">
        <v>6.8520000000000003</v>
      </c>
      <c r="FT8" s="49">
        <v>1074.8</v>
      </c>
      <c r="FU8" s="49">
        <v>6.71</v>
      </c>
      <c r="FV8" s="49">
        <v>11.38</v>
      </c>
      <c r="FW8" s="49">
        <v>3128.5</v>
      </c>
      <c r="FX8" s="49">
        <v>166800</v>
      </c>
      <c r="FY8" s="49">
        <v>168000</v>
      </c>
      <c r="FZ8" s="49">
        <v>48.354999999999997</v>
      </c>
      <c r="GA8" s="49">
        <v>47.106000000000002</v>
      </c>
      <c r="GB8" s="49">
        <v>2171.1</v>
      </c>
      <c r="GC8" s="49">
        <v>2222.8000000000002</v>
      </c>
      <c r="GD8" s="49">
        <v>2199.4</v>
      </c>
      <c r="GE8" s="49">
        <v>2331.4</v>
      </c>
      <c r="GF8" s="50">
        <v>1455.6094000000001</v>
      </c>
      <c r="GG8" s="49">
        <v>27</v>
      </c>
      <c r="GH8" s="49">
        <v>26.8</v>
      </c>
      <c r="GI8" s="49">
        <v>52.7</v>
      </c>
      <c r="GJ8" s="49">
        <v>57.6</v>
      </c>
      <c r="GK8" s="49">
        <v>99.5</v>
      </c>
      <c r="GL8" s="49">
        <v>90</v>
      </c>
      <c r="GM8" s="50">
        <v>0</v>
      </c>
      <c r="GN8" s="49">
        <v>26.084</v>
      </c>
      <c r="GO8" s="49">
        <v>104.178</v>
      </c>
      <c r="GP8" s="49">
        <v>1.0029999999999999</v>
      </c>
      <c r="GQ8" s="49">
        <v>1.9470000000000001</v>
      </c>
      <c r="GR8" s="49">
        <v>1.298</v>
      </c>
      <c r="GS8" s="49">
        <v>2.0059999999999998</v>
      </c>
      <c r="GT8" s="49">
        <v>0.82599999999999996</v>
      </c>
      <c r="GU8" s="49">
        <v>1.829</v>
      </c>
      <c r="GV8" s="49">
        <v>13.034000000000001</v>
      </c>
      <c r="GW8" s="49">
        <v>14.074</v>
      </c>
      <c r="GX8" s="49">
        <v>15.385999999999999</v>
      </c>
      <c r="GY8" s="50">
        <v>0</v>
      </c>
      <c r="GZ8" s="50">
        <v>0</v>
      </c>
      <c r="HA8" s="50">
        <v>0</v>
      </c>
      <c r="HB8" s="49">
        <v>0</v>
      </c>
      <c r="HC8" s="49">
        <v>23.37</v>
      </c>
      <c r="HD8" s="49">
        <v>82</v>
      </c>
      <c r="HE8" s="50">
        <v>0</v>
      </c>
      <c r="HF8" s="50">
        <v>0</v>
      </c>
      <c r="HG8" s="49">
        <v>75.69</v>
      </c>
      <c r="HH8" s="49">
        <v>82.5</v>
      </c>
      <c r="HI8" s="50">
        <v>0</v>
      </c>
      <c r="HJ8" s="50">
        <v>0</v>
      </c>
      <c r="HK8" s="50">
        <v>0</v>
      </c>
      <c r="HL8" s="49">
        <v>65</v>
      </c>
      <c r="HM8" s="49">
        <v>54</v>
      </c>
      <c r="HN8" s="49">
        <v>63</v>
      </c>
      <c r="HO8" s="49">
        <v>57</v>
      </c>
      <c r="HP8" s="49">
        <v>60</v>
      </c>
      <c r="HQ8" s="49">
        <v>58</v>
      </c>
      <c r="HR8" s="49">
        <v>50</v>
      </c>
      <c r="HS8" s="49">
        <v>62</v>
      </c>
      <c r="HT8" s="49">
        <v>-1.298</v>
      </c>
      <c r="HU8" s="50">
        <v>0</v>
      </c>
      <c r="HV8" s="49">
        <v>1.1879999999999999</v>
      </c>
      <c r="HW8" s="49">
        <v>37.020000000000003</v>
      </c>
      <c r="HX8" s="50">
        <v>44.16</v>
      </c>
      <c r="HY8" s="50">
        <v>49.18</v>
      </c>
      <c r="HZ8" s="49">
        <v>59.62</v>
      </c>
      <c r="IA8" s="49">
        <v>2.8740000000000001</v>
      </c>
      <c r="IB8" s="49">
        <v>104</v>
      </c>
      <c r="IC8" s="49">
        <v>22.917999999999999</v>
      </c>
      <c r="ID8" s="49">
        <v>-0.26400000000000001</v>
      </c>
      <c r="IE8" s="49">
        <v>-8.5999999999999993E-2</v>
      </c>
      <c r="IF8" s="49">
        <v>823.9</v>
      </c>
      <c r="IG8" s="49">
        <v>771.4</v>
      </c>
      <c r="IH8" s="49">
        <v>832.2</v>
      </c>
      <c r="II8" s="49">
        <v>785.8</v>
      </c>
      <c r="IJ8" s="49">
        <v>1.0999999999999999E-2</v>
      </c>
      <c r="IK8" s="49">
        <v>-0.11600000000000001</v>
      </c>
      <c r="IL8" s="49">
        <v>73.87</v>
      </c>
      <c r="IM8" s="49">
        <v>73.87</v>
      </c>
      <c r="IN8" s="49">
        <v>14.423999999999999</v>
      </c>
      <c r="IO8" s="50">
        <v>0.74399999999999999</v>
      </c>
      <c r="IP8" s="49">
        <v>11.1</v>
      </c>
      <c r="IQ8" s="49">
        <v>7.0000000000000001E-3</v>
      </c>
      <c r="IR8" s="49">
        <v>0.01</v>
      </c>
    </row>
    <row r="9" spans="2:252" ht="15" customHeight="1" x14ac:dyDescent="0.25">
      <c r="B9" s="2" t="s">
        <v>412</v>
      </c>
      <c r="C9" s="2" t="s">
        <v>43</v>
      </c>
      <c r="D9" s="61">
        <v>2.4660879629629629E-3</v>
      </c>
      <c r="E9" s="49">
        <v>213.11</v>
      </c>
      <c r="F9" s="49">
        <v>330.51</v>
      </c>
      <c r="G9" s="49">
        <v>5.84</v>
      </c>
      <c r="H9" s="49">
        <v>29.3</v>
      </c>
      <c r="I9" s="50">
        <v>0</v>
      </c>
      <c r="J9" s="49">
        <v>14.2</v>
      </c>
      <c r="K9" s="49">
        <v>9</v>
      </c>
      <c r="L9" s="50">
        <v>3</v>
      </c>
      <c r="M9" s="50">
        <v>6</v>
      </c>
      <c r="N9" s="50">
        <v>3</v>
      </c>
      <c r="O9" s="50">
        <v>3</v>
      </c>
      <c r="P9" s="49">
        <v>0.68300000000000005</v>
      </c>
      <c r="Q9" s="49">
        <v>1.276</v>
      </c>
      <c r="R9" s="49">
        <v>0.45400000000000001</v>
      </c>
      <c r="S9" s="50">
        <v>0.81</v>
      </c>
      <c r="T9" s="49">
        <v>74.78</v>
      </c>
      <c r="U9" s="49">
        <v>60.107999999999997</v>
      </c>
      <c r="V9" s="49">
        <v>255</v>
      </c>
      <c r="W9" s="49">
        <v>266.66000000000003</v>
      </c>
      <c r="X9" s="49">
        <v>206.66</v>
      </c>
      <c r="Y9" s="49">
        <v>248.34</v>
      </c>
      <c r="Z9" s="50">
        <v>404.61</v>
      </c>
      <c r="AA9" s="50">
        <v>418.28</v>
      </c>
      <c r="AB9" s="50">
        <v>345.95</v>
      </c>
      <c r="AC9" s="50">
        <v>408.82</v>
      </c>
      <c r="AD9" s="49">
        <v>1.839</v>
      </c>
      <c r="AE9" s="49">
        <v>1.889</v>
      </c>
      <c r="AF9" s="49">
        <v>1.829</v>
      </c>
      <c r="AG9" s="49">
        <v>1.847</v>
      </c>
      <c r="AH9" s="49">
        <v>84.24</v>
      </c>
      <c r="AI9" s="49">
        <v>78.989999999999995</v>
      </c>
      <c r="AJ9" s="49">
        <v>113.26</v>
      </c>
      <c r="AK9" s="49">
        <v>108.59</v>
      </c>
      <c r="AL9" s="49">
        <v>645.93899999999996</v>
      </c>
      <c r="AM9" s="49">
        <v>653.00800000000004</v>
      </c>
      <c r="AN9" s="50">
        <v>836.64400000000001</v>
      </c>
      <c r="AO9" s="49">
        <v>762.01900000000001</v>
      </c>
      <c r="AP9" s="49">
        <v>1.38</v>
      </c>
      <c r="AQ9" s="49">
        <v>1.839</v>
      </c>
      <c r="AR9" s="49">
        <v>40.326000000000001</v>
      </c>
      <c r="AS9" s="49">
        <v>33.331000000000003</v>
      </c>
      <c r="AT9" s="49">
        <v>83</v>
      </c>
      <c r="AU9" s="49">
        <v>119</v>
      </c>
      <c r="AV9" s="49">
        <v>2.3694999999999999</v>
      </c>
      <c r="AW9" s="49">
        <v>5.4602000000000004</v>
      </c>
      <c r="AX9" s="49">
        <v>1018</v>
      </c>
      <c r="AY9" s="49">
        <v>1.97</v>
      </c>
      <c r="AZ9" s="49">
        <v>5.65</v>
      </c>
      <c r="BA9" s="49">
        <v>105.259</v>
      </c>
      <c r="BB9" s="49">
        <v>105.164</v>
      </c>
      <c r="BC9" s="49">
        <v>7643</v>
      </c>
      <c r="BD9" s="49">
        <v>89.5</v>
      </c>
      <c r="BE9" s="49">
        <v>15.525</v>
      </c>
      <c r="BF9" s="49">
        <v>12.115</v>
      </c>
      <c r="BG9" s="50">
        <v>29.12</v>
      </c>
      <c r="BH9" s="49">
        <v>25.83</v>
      </c>
      <c r="BI9" s="3"/>
      <c r="BJ9" s="3"/>
      <c r="BK9" s="3"/>
      <c r="BL9" s="3"/>
      <c r="BM9" s="3"/>
      <c r="BN9" s="49">
        <v>108.16800000000001</v>
      </c>
      <c r="BO9" s="49">
        <v>105.52800000000001</v>
      </c>
      <c r="BP9" s="49">
        <v>144.66399999999999</v>
      </c>
      <c r="BQ9" s="49">
        <v>144.376</v>
      </c>
      <c r="BR9" s="3"/>
      <c r="BS9" s="49">
        <v>29.1</v>
      </c>
      <c r="BT9" s="49">
        <v>7396.67</v>
      </c>
      <c r="BU9" s="50">
        <v>51.271000000000001</v>
      </c>
      <c r="BV9" s="49">
        <v>54.034999999999997</v>
      </c>
      <c r="BW9" s="49">
        <v>57.127000000000002</v>
      </c>
      <c r="BX9" s="50">
        <v>58.12</v>
      </c>
      <c r="BY9" s="49">
        <v>1.357</v>
      </c>
      <c r="BZ9" s="49">
        <v>2.7909999999999999</v>
      </c>
      <c r="CA9" s="49">
        <v>3.5329999999999999</v>
      </c>
      <c r="CB9" s="50">
        <v>4.1769999999999996</v>
      </c>
      <c r="CC9" s="49">
        <v>1.1120000000000001</v>
      </c>
      <c r="CD9" s="49">
        <v>2.4169999999999998</v>
      </c>
      <c r="CE9" s="49">
        <v>1.3240000000000001</v>
      </c>
      <c r="CF9" s="49">
        <v>2.137</v>
      </c>
      <c r="CG9" s="49">
        <v>13.943</v>
      </c>
      <c r="CH9" s="49">
        <v>13.789</v>
      </c>
      <c r="CI9" s="49">
        <v>4.25</v>
      </c>
      <c r="CJ9" s="49">
        <v>3.3260000000000001</v>
      </c>
      <c r="CK9" s="50">
        <v>1.81</v>
      </c>
      <c r="CL9" s="49">
        <v>0.7</v>
      </c>
      <c r="CM9" s="49">
        <v>0.3</v>
      </c>
      <c r="CN9" s="49">
        <v>0</v>
      </c>
      <c r="CO9" s="49">
        <v>0</v>
      </c>
      <c r="CP9" s="49">
        <v>102.562</v>
      </c>
      <c r="CQ9" s="49">
        <v>101.167</v>
      </c>
      <c r="CR9" s="49">
        <v>136.357</v>
      </c>
      <c r="CS9" s="49">
        <v>137.52799999999999</v>
      </c>
      <c r="CT9" s="49">
        <v>0.36799999999999999</v>
      </c>
      <c r="CU9" s="49">
        <v>0.7</v>
      </c>
      <c r="CV9" s="49">
        <v>1.599</v>
      </c>
      <c r="CW9" s="49">
        <v>1.302</v>
      </c>
      <c r="CX9" s="49">
        <v>1.7969999999999999</v>
      </c>
      <c r="CY9" s="49">
        <v>1.0980000000000001</v>
      </c>
      <c r="CZ9" s="49">
        <v>1.3029999999999999</v>
      </c>
      <c r="DA9" s="49">
        <v>1.099</v>
      </c>
      <c r="DB9" s="49">
        <v>1.401</v>
      </c>
      <c r="DC9" s="50">
        <v>0</v>
      </c>
      <c r="DD9" s="50">
        <v>0</v>
      </c>
      <c r="DE9" s="49">
        <v>0.26400000000000001</v>
      </c>
      <c r="DF9" s="49">
        <v>0.113</v>
      </c>
      <c r="DG9" s="49">
        <v>0.58699999999999997</v>
      </c>
      <c r="DH9" s="49">
        <v>2.448</v>
      </c>
      <c r="DI9" s="49">
        <v>1.3879999999999999</v>
      </c>
      <c r="DJ9" s="49">
        <v>7.5999999999999998E-2</v>
      </c>
      <c r="DK9" s="49">
        <v>0.80400000000000005</v>
      </c>
      <c r="DL9" s="49">
        <v>0.40500000000000003</v>
      </c>
      <c r="DM9" s="49">
        <v>0.46300000000000002</v>
      </c>
      <c r="DN9" s="49">
        <v>0.439</v>
      </c>
      <c r="DO9" s="49">
        <v>0.31900000000000001</v>
      </c>
      <c r="DP9" s="49">
        <v>64.402000000000001</v>
      </c>
      <c r="DQ9" s="49">
        <v>58.131999999999998</v>
      </c>
      <c r="DR9" s="49">
        <v>54.106000000000002</v>
      </c>
      <c r="DS9" s="49">
        <v>52.262</v>
      </c>
      <c r="DT9" s="50">
        <v>6.69</v>
      </c>
      <c r="DU9" s="49">
        <v>6.01</v>
      </c>
      <c r="DV9" s="49">
        <v>13.64</v>
      </c>
      <c r="DW9" s="49">
        <v>11</v>
      </c>
      <c r="DX9" s="50">
        <v>6.97</v>
      </c>
      <c r="DY9" s="49">
        <v>6.18</v>
      </c>
      <c r="DZ9" s="49">
        <v>12.95</v>
      </c>
      <c r="EA9" s="49">
        <v>10.74</v>
      </c>
      <c r="EB9" s="49">
        <v>41.73</v>
      </c>
      <c r="EC9" s="49">
        <v>41.88</v>
      </c>
      <c r="ED9" s="49">
        <v>32.200000000000003</v>
      </c>
      <c r="EE9" s="49">
        <v>35.159999999999997</v>
      </c>
      <c r="EF9" s="49">
        <v>44.6</v>
      </c>
      <c r="EG9" s="49">
        <v>45.93</v>
      </c>
      <c r="EH9" s="49">
        <v>41.21</v>
      </c>
      <c r="EI9" s="49">
        <v>43.09</v>
      </c>
      <c r="EJ9" s="49">
        <v>6.3570000000000002</v>
      </c>
      <c r="EK9" s="49">
        <v>58.738999999999997</v>
      </c>
      <c r="EL9" s="49">
        <v>1.75</v>
      </c>
      <c r="EM9" s="49">
        <v>1.35</v>
      </c>
      <c r="EN9" s="49">
        <v>1.21</v>
      </c>
      <c r="EO9" s="49">
        <v>1.22</v>
      </c>
      <c r="EP9" s="50">
        <v>-114.398</v>
      </c>
      <c r="EQ9" s="49">
        <v>-2.5049999999999999</v>
      </c>
      <c r="ER9" s="49">
        <v>101.098</v>
      </c>
      <c r="ES9" s="49">
        <v>1.524</v>
      </c>
      <c r="ET9" s="49">
        <v>1.6559999999999999</v>
      </c>
      <c r="EU9" s="49">
        <v>1.4610000000000001</v>
      </c>
      <c r="EV9" s="50">
        <v>7.5030000000000001</v>
      </c>
      <c r="EW9" s="49">
        <v>0.57099999999999995</v>
      </c>
      <c r="EX9" s="49">
        <v>74.64</v>
      </c>
      <c r="EY9" s="49">
        <v>0</v>
      </c>
      <c r="EZ9" s="49">
        <v>0</v>
      </c>
      <c r="FA9" s="50">
        <v>0</v>
      </c>
      <c r="FB9" s="49">
        <v>9.2059999999999995</v>
      </c>
      <c r="FC9" s="49">
        <v>75.501999999999995</v>
      </c>
      <c r="FD9" s="49">
        <v>69.572000000000003</v>
      </c>
      <c r="FE9" s="49">
        <v>87.200999999999993</v>
      </c>
      <c r="FF9" s="49">
        <v>84.340999999999994</v>
      </c>
      <c r="FG9" s="49">
        <v>0.94499999999999995</v>
      </c>
      <c r="FH9" s="49">
        <v>0.94499999999999995</v>
      </c>
      <c r="FI9" s="49">
        <v>0.98599999999999999</v>
      </c>
      <c r="FJ9" s="49">
        <v>0.99099999999999999</v>
      </c>
      <c r="FK9" s="49">
        <v>0</v>
      </c>
      <c r="FL9" s="49">
        <v>83</v>
      </c>
      <c r="FM9" s="49">
        <v>3.31</v>
      </c>
      <c r="FN9" s="49">
        <v>2.1</v>
      </c>
      <c r="FO9" s="49">
        <v>5.5</v>
      </c>
      <c r="FP9" s="3"/>
      <c r="FQ9" s="49">
        <v>4.8499999999999996</v>
      </c>
      <c r="FR9" s="49">
        <v>5</v>
      </c>
      <c r="FS9" s="49">
        <v>6.7670000000000003</v>
      </c>
      <c r="FT9" s="49">
        <v>1071.5999999999999</v>
      </c>
      <c r="FU9" s="50">
        <v>7.18</v>
      </c>
      <c r="FV9" s="49">
        <v>17.22</v>
      </c>
      <c r="FW9" s="49">
        <v>3194</v>
      </c>
      <c r="FX9" s="49">
        <v>162700</v>
      </c>
      <c r="FY9" s="49">
        <v>163600</v>
      </c>
      <c r="FZ9" s="49">
        <v>48.19</v>
      </c>
      <c r="GA9" s="49">
        <v>47.231999999999999</v>
      </c>
      <c r="GB9" s="49">
        <v>2157.5</v>
      </c>
      <c r="GC9" s="49">
        <v>2161.5</v>
      </c>
      <c r="GD9" s="49">
        <v>2202.3000000000002</v>
      </c>
      <c r="GE9" s="49">
        <v>2204.1999999999998</v>
      </c>
      <c r="GF9" s="49">
        <v>1273.7655999999999</v>
      </c>
      <c r="GG9" s="49">
        <v>27</v>
      </c>
      <c r="GH9" s="49">
        <v>27.3</v>
      </c>
      <c r="GI9" s="49">
        <v>48.2</v>
      </c>
      <c r="GJ9" s="49">
        <v>53</v>
      </c>
      <c r="GK9" s="49">
        <v>99.5</v>
      </c>
      <c r="GL9" s="49">
        <v>88.5</v>
      </c>
      <c r="GM9" s="50">
        <v>0</v>
      </c>
      <c r="GN9" s="49">
        <v>28.405999999999999</v>
      </c>
      <c r="GO9" s="49">
        <v>114.398</v>
      </c>
      <c r="GP9" s="49">
        <v>0.82599999999999996</v>
      </c>
      <c r="GQ9" s="49">
        <v>1.9470000000000001</v>
      </c>
      <c r="GR9" s="49">
        <v>1.298</v>
      </c>
      <c r="GS9" s="49">
        <v>2.0059999999999998</v>
      </c>
      <c r="GT9" s="49">
        <v>0.76700000000000002</v>
      </c>
      <c r="GU9" s="49">
        <v>1.8879999999999999</v>
      </c>
      <c r="GV9" s="49">
        <v>12.936</v>
      </c>
      <c r="GW9" s="49">
        <v>14.084</v>
      </c>
      <c r="GX9" s="49">
        <v>15.68</v>
      </c>
      <c r="GY9" s="50">
        <v>0</v>
      </c>
      <c r="GZ9" s="50">
        <v>0</v>
      </c>
      <c r="HA9" s="50">
        <v>0</v>
      </c>
      <c r="HB9" s="49">
        <v>0</v>
      </c>
      <c r="HC9" s="49">
        <v>23.276</v>
      </c>
      <c r="HD9" s="49">
        <v>82</v>
      </c>
      <c r="HE9" s="50">
        <v>0</v>
      </c>
      <c r="HF9" s="50">
        <v>0</v>
      </c>
      <c r="HG9" s="49">
        <v>77.83</v>
      </c>
      <c r="HH9" s="49">
        <v>82.87</v>
      </c>
      <c r="HI9" s="50">
        <v>0</v>
      </c>
      <c r="HJ9" s="50">
        <v>0</v>
      </c>
      <c r="HK9" s="50">
        <v>0</v>
      </c>
      <c r="HL9" s="49">
        <v>63</v>
      </c>
      <c r="HM9" s="49">
        <v>54</v>
      </c>
      <c r="HN9" s="49">
        <v>64</v>
      </c>
      <c r="HO9" s="49">
        <v>58</v>
      </c>
      <c r="HP9" s="49">
        <v>61</v>
      </c>
      <c r="HQ9" s="49">
        <v>59</v>
      </c>
      <c r="HR9" s="49">
        <v>51</v>
      </c>
      <c r="HS9" s="50">
        <v>70</v>
      </c>
      <c r="HT9" s="49">
        <v>-1.2689999999999999</v>
      </c>
      <c r="HU9" s="50">
        <v>0</v>
      </c>
      <c r="HV9" s="49">
        <v>1.304</v>
      </c>
      <c r="HW9" s="50">
        <v>34.18</v>
      </c>
      <c r="HX9" s="50">
        <v>44.16</v>
      </c>
      <c r="HY9" s="49">
        <v>47.76</v>
      </c>
      <c r="HZ9" s="50">
        <v>59.66</v>
      </c>
      <c r="IA9" s="49">
        <v>2.7069999999999999</v>
      </c>
      <c r="IB9" s="49">
        <v>104</v>
      </c>
      <c r="IC9" s="49">
        <v>22.895</v>
      </c>
      <c r="ID9" s="49">
        <v>-0.26</v>
      </c>
      <c r="IE9" s="49">
        <v>-8.5999999999999993E-2</v>
      </c>
      <c r="IF9" s="49">
        <v>822.9</v>
      </c>
      <c r="IG9" s="50">
        <v>775.2</v>
      </c>
      <c r="IH9" s="49">
        <v>832.6</v>
      </c>
      <c r="II9" s="49">
        <v>786.9</v>
      </c>
      <c r="IJ9" s="49">
        <v>-2.7E-2</v>
      </c>
      <c r="IK9" s="49">
        <v>-0.153</v>
      </c>
      <c r="IL9" s="49">
        <v>71.332999999999998</v>
      </c>
      <c r="IM9" s="49">
        <v>71.332999999999998</v>
      </c>
      <c r="IN9" s="49">
        <v>11.933</v>
      </c>
      <c r="IO9" s="49">
        <v>0.59299999999999997</v>
      </c>
      <c r="IP9" s="49">
        <v>10.97</v>
      </c>
      <c r="IQ9" s="49">
        <v>1.0999999999999999E-2</v>
      </c>
      <c r="IR9" s="49">
        <v>8.9999999999999993E-3</v>
      </c>
    </row>
    <row r="10" spans="2:252" x14ac:dyDescent="0.25">
      <c r="B10" s="2" t="s">
        <v>412</v>
      </c>
      <c r="C10" s="62" t="s">
        <v>44</v>
      </c>
      <c r="D10" s="63">
        <v>2.4462962962962967E-3</v>
      </c>
      <c r="E10" s="49">
        <v>211.4</v>
      </c>
      <c r="F10" s="49">
        <v>329.72</v>
      </c>
      <c r="G10" s="50">
        <v>5.85</v>
      </c>
      <c r="H10" s="49">
        <v>29.3</v>
      </c>
      <c r="I10" s="50">
        <v>0</v>
      </c>
      <c r="J10" s="49">
        <v>14.8</v>
      </c>
      <c r="K10" s="50">
        <v>10</v>
      </c>
      <c r="L10" s="50">
        <v>3</v>
      </c>
      <c r="M10" s="50">
        <v>6</v>
      </c>
      <c r="N10" s="50">
        <v>3</v>
      </c>
      <c r="O10" s="50">
        <v>3</v>
      </c>
      <c r="P10" s="49">
        <v>0.79700000000000004</v>
      </c>
      <c r="Q10" s="49">
        <v>1.395</v>
      </c>
      <c r="R10" s="49">
        <v>0.72699999999999998</v>
      </c>
      <c r="S10" s="49">
        <v>0.71399999999999997</v>
      </c>
      <c r="T10" s="49">
        <v>80.75</v>
      </c>
      <c r="U10" s="49">
        <v>60.061</v>
      </c>
      <c r="V10" s="49">
        <v>248.34</v>
      </c>
      <c r="W10" s="49">
        <v>261.66000000000003</v>
      </c>
      <c r="X10" s="49">
        <v>213.34</v>
      </c>
      <c r="Y10" s="49">
        <v>258.33999999999997</v>
      </c>
      <c r="Z10" s="49">
        <v>394.89</v>
      </c>
      <c r="AA10" s="49">
        <v>407.01</v>
      </c>
      <c r="AB10" s="49">
        <v>335.84</v>
      </c>
      <c r="AC10" s="49">
        <v>398.92</v>
      </c>
      <c r="AD10" s="50">
        <v>1.8460000000000001</v>
      </c>
      <c r="AE10" s="50">
        <v>1.8979999999999999</v>
      </c>
      <c r="AF10" s="50">
        <v>1.849</v>
      </c>
      <c r="AG10" s="50">
        <v>1.8660000000000001</v>
      </c>
      <c r="AH10" s="50">
        <v>84.95</v>
      </c>
      <c r="AI10" s="50">
        <v>80.819999999999993</v>
      </c>
      <c r="AJ10" s="50">
        <v>115.14</v>
      </c>
      <c r="AK10" s="50">
        <v>110.23</v>
      </c>
      <c r="AL10" s="49">
        <v>667.36800000000005</v>
      </c>
      <c r="AM10" s="49">
        <v>651.23299999999995</v>
      </c>
      <c r="AN10" s="49">
        <v>811.95799999999997</v>
      </c>
      <c r="AO10" s="49">
        <v>800.71100000000001</v>
      </c>
      <c r="AP10" s="49">
        <v>1.369</v>
      </c>
      <c r="AQ10" s="49">
        <v>1.827</v>
      </c>
      <c r="AR10" s="49">
        <v>41.41</v>
      </c>
      <c r="AS10" s="49">
        <v>34.609000000000002</v>
      </c>
      <c r="AT10" s="49">
        <v>83</v>
      </c>
      <c r="AU10" s="49">
        <v>120</v>
      </c>
      <c r="AV10" s="49">
        <v>2.3290000000000002</v>
      </c>
      <c r="AW10" s="49">
        <v>5.4340999999999999</v>
      </c>
      <c r="AX10" s="49">
        <v>1018.1</v>
      </c>
      <c r="AY10" s="49">
        <v>2.0299999999999998</v>
      </c>
      <c r="AZ10" s="49">
        <v>5.73</v>
      </c>
      <c r="BA10" s="49">
        <v>112.649</v>
      </c>
      <c r="BB10" s="49">
        <v>111.938</v>
      </c>
      <c r="BC10" s="49">
        <v>7706</v>
      </c>
      <c r="BD10" s="50">
        <v>90</v>
      </c>
      <c r="BE10" s="49">
        <v>16.41</v>
      </c>
      <c r="BF10" s="49">
        <v>13.255000000000001</v>
      </c>
      <c r="BG10" s="49">
        <v>28.42</v>
      </c>
      <c r="BH10" s="49">
        <v>26.13</v>
      </c>
      <c r="BI10" s="3"/>
      <c r="BJ10" s="3"/>
      <c r="BK10" s="3"/>
      <c r="BL10" s="3"/>
      <c r="BM10" s="3"/>
      <c r="BN10" s="49">
        <v>107.57599999999999</v>
      </c>
      <c r="BO10" s="49">
        <v>105.752</v>
      </c>
      <c r="BP10" s="49">
        <v>145.33600000000001</v>
      </c>
      <c r="BQ10" s="49">
        <v>145.11199999999999</v>
      </c>
      <c r="BR10" s="3"/>
      <c r="BS10" s="49">
        <v>29.1</v>
      </c>
      <c r="BT10" s="49">
        <v>7395.33</v>
      </c>
      <c r="BU10" s="49">
        <v>51.076000000000001</v>
      </c>
      <c r="BV10" s="49">
        <v>54.88</v>
      </c>
      <c r="BW10" s="49">
        <v>56.758000000000003</v>
      </c>
      <c r="BX10" s="49">
        <v>57.265000000000001</v>
      </c>
      <c r="BY10" s="49">
        <v>1.3220000000000001</v>
      </c>
      <c r="BZ10" s="49">
        <v>2.8210000000000002</v>
      </c>
      <c r="CA10" s="49">
        <v>3.4889999999999999</v>
      </c>
      <c r="CB10" s="49">
        <v>3.7349999999999999</v>
      </c>
      <c r="CC10" s="49">
        <v>1.1819999999999999</v>
      </c>
      <c r="CD10" s="49">
        <v>2.3029999999999999</v>
      </c>
      <c r="CE10" s="49">
        <v>1.3460000000000001</v>
      </c>
      <c r="CF10" s="49">
        <v>2.137</v>
      </c>
      <c r="CG10" s="49">
        <v>13.942</v>
      </c>
      <c r="CH10" s="49">
        <v>13.781000000000001</v>
      </c>
      <c r="CI10" s="49">
        <v>4.4020000000000001</v>
      </c>
      <c r="CJ10" s="49">
        <v>3.194</v>
      </c>
      <c r="CK10" s="49">
        <v>1.649</v>
      </c>
      <c r="CL10" s="49">
        <v>0.3</v>
      </c>
      <c r="CM10" s="49">
        <v>0.5</v>
      </c>
      <c r="CN10" s="50">
        <v>0.3</v>
      </c>
      <c r="CO10" s="49">
        <v>0.2</v>
      </c>
      <c r="CP10" s="49">
        <v>100.651</v>
      </c>
      <c r="CQ10" s="49">
        <v>99.977999999999994</v>
      </c>
      <c r="CR10" s="50">
        <v>137.45400000000001</v>
      </c>
      <c r="CS10" s="50">
        <v>139.46799999999999</v>
      </c>
      <c r="CT10" s="49">
        <v>0.52200000000000002</v>
      </c>
      <c r="CU10" s="49">
        <v>0.59899999999999998</v>
      </c>
      <c r="CV10" s="49">
        <v>1.7030000000000001</v>
      </c>
      <c r="CW10" s="49">
        <v>1.9019999999999999</v>
      </c>
      <c r="CX10" s="49">
        <v>1.4970000000000001</v>
      </c>
      <c r="CY10" s="49">
        <v>1.0029999999999999</v>
      </c>
      <c r="CZ10" s="49">
        <v>1.4</v>
      </c>
      <c r="DA10" s="49">
        <v>1</v>
      </c>
      <c r="DB10" s="49">
        <v>0.999</v>
      </c>
      <c r="DC10" s="50">
        <v>0</v>
      </c>
      <c r="DD10" s="50">
        <v>0</v>
      </c>
      <c r="DE10" s="49">
        <v>0.29199999999999998</v>
      </c>
      <c r="DF10" s="49">
        <v>0.13600000000000001</v>
      </c>
      <c r="DG10" s="49">
        <v>0.50900000000000001</v>
      </c>
      <c r="DH10" s="50">
        <v>2.589</v>
      </c>
      <c r="DI10" s="50">
        <v>1.49</v>
      </c>
      <c r="DJ10" s="49">
        <v>0.17499999999999999</v>
      </c>
      <c r="DK10" s="49">
        <v>0.79700000000000004</v>
      </c>
      <c r="DL10" s="49">
        <v>0.40799999999999997</v>
      </c>
      <c r="DM10" s="49">
        <v>0.45900000000000002</v>
      </c>
      <c r="DN10" s="49">
        <v>0.46300000000000002</v>
      </c>
      <c r="DO10" s="49">
        <v>0.34499999999999997</v>
      </c>
      <c r="DP10" s="49">
        <v>64.725999999999999</v>
      </c>
      <c r="DQ10" s="49">
        <v>58.968000000000004</v>
      </c>
      <c r="DR10" s="49">
        <v>52.582000000000001</v>
      </c>
      <c r="DS10" s="49">
        <v>51.238999999999997</v>
      </c>
      <c r="DT10" s="49">
        <v>6.65</v>
      </c>
      <c r="DU10" s="50">
        <v>6.24</v>
      </c>
      <c r="DV10" s="50">
        <v>13.78</v>
      </c>
      <c r="DW10" s="50">
        <v>11.69</v>
      </c>
      <c r="DX10" s="49">
        <v>6.87</v>
      </c>
      <c r="DY10" s="49">
        <v>6.37</v>
      </c>
      <c r="DZ10" s="50">
        <v>13.31</v>
      </c>
      <c r="EA10" s="50">
        <v>11.4</v>
      </c>
      <c r="EB10" s="49">
        <v>41.83</v>
      </c>
      <c r="EC10" s="49">
        <v>41.2</v>
      </c>
      <c r="ED10" s="49">
        <v>31.51</v>
      </c>
      <c r="EE10" s="49">
        <v>33.78</v>
      </c>
      <c r="EF10" s="49">
        <v>44.64</v>
      </c>
      <c r="EG10" s="49">
        <v>46.19</v>
      </c>
      <c r="EH10" s="49">
        <v>41.4</v>
      </c>
      <c r="EI10" s="49">
        <v>43.12</v>
      </c>
      <c r="EJ10" s="50">
        <v>6.81</v>
      </c>
      <c r="EK10" s="50">
        <v>59.183</v>
      </c>
      <c r="EL10" s="49">
        <v>1.9</v>
      </c>
      <c r="EM10" s="49">
        <v>1.4</v>
      </c>
      <c r="EN10" s="49">
        <v>1.21</v>
      </c>
      <c r="EO10" s="49">
        <v>1.22</v>
      </c>
      <c r="EP10" s="49">
        <v>-105.054</v>
      </c>
      <c r="EQ10" s="49">
        <v>-2.29</v>
      </c>
      <c r="ER10" s="49">
        <v>104.31</v>
      </c>
      <c r="ES10" s="49">
        <v>1.478</v>
      </c>
      <c r="ET10" s="50">
        <v>1.6579999999999999</v>
      </c>
      <c r="EU10" s="49">
        <v>1.4330000000000001</v>
      </c>
      <c r="EV10" s="49">
        <v>7.4909999999999997</v>
      </c>
      <c r="EW10" s="49">
        <v>0.59899999999999998</v>
      </c>
      <c r="EX10" s="50">
        <v>74.94</v>
      </c>
      <c r="EY10" s="49">
        <v>0</v>
      </c>
      <c r="EZ10" s="49">
        <v>5.8000000000000003E-2</v>
      </c>
      <c r="FA10" s="50">
        <v>0</v>
      </c>
      <c r="FB10" s="49">
        <v>9.2100000000000009</v>
      </c>
      <c r="FC10" s="50">
        <v>76.549000000000007</v>
      </c>
      <c r="FD10" s="50">
        <v>70.911000000000001</v>
      </c>
      <c r="FE10" s="50">
        <v>90.117999999999995</v>
      </c>
      <c r="FF10" s="50">
        <v>87.099000000000004</v>
      </c>
      <c r="FG10" s="49">
        <v>0.94499999999999995</v>
      </c>
      <c r="FH10" s="49">
        <v>0.94599999999999995</v>
      </c>
      <c r="FI10" s="49">
        <v>0.98599999999999999</v>
      </c>
      <c r="FJ10" s="49">
        <v>0.99</v>
      </c>
      <c r="FK10" s="49">
        <v>0</v>
      </c>
      <c r="FL10" s="49">
        <v>83</v>
      </c>
      <c r="FM10" s="49">
        <v>3.31</v>
      </c>
      <c r="FN10" s="49">
        <v>2.0499999999999998</v>
      </c>
      <c r="FO10" s="49">
        <v>5.48</v>
      </c>
      <c r="FP10" s="49">
        <v>4.5</v>
      </c>
      <c r="FQ10" s="49">
        <v>4.8499999999999996</v>
      </c>
      <c r="FR10" s="49">
        <v>5.05</v>
      </c>
      <c r="FS10" s="49">
        <v>6.8315000000000001</v>
      </c>
      <c r="FT10" s="49">
        <v>1072.0999999999999</v>
      </c>
      <c r="FU10" s="49">
        <v>6.95</v>
      </c>
      <c r="FV10" s="49">
        <v>23.08</v>
      </c>
      <c r="FW10" s="49">
        <v>3091</v>
      </c>
      <c r="FX10" s="49">
        <v>166900</v>
      </c>
      <c r="FY10" s="49">
        <v>167800</v>
      </c>
      <c r="FZ10" s="49">
        <v>47.944000000000003</v>
      </c>
      <c r="GA10" s="49">
        <v>46.993000000000002</v>
      </c>
      <c r="GB10" s="49">
        <v>2178.8000000000002</v>
      </c>
      <c r="GC10" s="50">
        <v>2350.6999999999998</v>
      </c>
      <c r="GD10" s="49">
        <v>2221.1</v>
      </c>
      <c r="GE10" s="50">
        <v>2350.6999999999998</v>
      </c>
      <c r="GF10" s="49">
        <v>1437.9219000000001</v>
      </c>
      <c r="GG10" s="49">
        <v>28</v>
      </c>
      <c r="GH10" s="49">
        <v>27.9</v>
      </c>
      <c r="GI10" s="49">
        <v>48</v>
      </c>
      <c r="GJ10" s="49">
        <v>52.7</v>
      </c>
      <c r="GK10" s="49">
        <v>99.5</v>
      </c>
      <c r="GL10" s="49">
        <v>77.8</v>
      </c>
      <c r="GM10" s="50">
        <v>0</v>
      </c>
      <c r="GN10" s="50">
        <v>28.806000000000001</v>
      </c>
      <c r="GO10" s="49">
        <v>105.054</v>
      </c>
      <c r="GP10" s="49">
        <v>0.53100000000000003</v>
      </c>
      <c r="GQ10" s="49">
        <v>1.9470000000000001</v>
      </c>
      <c r="GR10" s="49">
        <v>1.121</v>
      </c>
      <c r="GS10" s="49">
        <v>2.0059999999999998</v>
      </c>
      <c r="GT10" s="49">
        <v>0.70799999999999996</v>
      </c>
      <c r="GU10" s="49">
        <v>1.8879999999999999</v>
      </c>
      <c r="GV10" s="49">
        <v>13.034000000000001</v>
      </c>
      <c r="GW10" s="49">
        <v>14.063000000000001</v>
      </c>
      <c r="GX10" s="49">
        <v>15.092000000000001</v>
      </c>
      <c r="GY10" s="50">
        <v>0</v>
      </c>
      <c r="GZ10" s="50">
        <v>0</v>
      </c>
      <c r="HA10" s="50">
        <v>0</v>
      </c>
      <c r="HB10" s="49">
        <v>0</v>
      </c>
      <c r="HC10" s="49">
        <v>23.283000000000001</v>
      </c>
      <c r="HD10" s="49">
        <v>82</v>
      </c>
      <c r="HE10" s="50">
        <v>0</v>
      </c>
      <c r="HF10" s="50">
        <v>0</v>
      </c>
      <c r="HG10" s="49">
        <v>76.94</v>
      </c>
      <c r="HH10" s="49">
        <v>82.74</v>
      </c>
      <c r="HI10" s="50">
        <v>0</v>
      </c>
      <c r="HJ10" s="50">
        <v>0</v>
      </c>
      <c r="HK10" s="50">
        <v>0</v>
      </c>
      <c r="HL10" s="49">
        <v>63</v>
      </c>
      <c r="HM10" s="49">
        <v>53</v>
      </c>
      <c r="HN10" s="49">
        <v>65</v>
      </c>
      <c r="HO10" s="49">
        <v>59</v>
      </c>
      <c r="HP10" s="49">
        <v>62</v>
      </c>
      <c r="HQ10" s="49">
        <v>60</v>
      </c>
      <c r="HR10" s="49">
        <v>51</v>
      </c>
      <c r="HS10" s="49">
        <v>64</v>
      </c>
      <c r="HT10" s="49">
        <v>-1.27</v>
      </c>
      <c r="HU10" s="50">
        <v>0</v>
      </c>
      <c r="HV10" s="50">
        <v>1.321</v>
      </c>
      <c r="HW10" s="50">
        <v>34.18</v>
      </c>
      <c r="HX10" s="49">
        <v>46.49</v>
      </c>
      <c r="HY10" s="49">
        <v>47.44</v>
      </c>
      <c r="HZ10" s="49">
        <v>59.42</v>
      </c>
      <c r="IA10" s="50">
        <v>2.9489999999999998</v>
      </c>
      <c r="IB10" s="50">
        <v>105</v>
      </c>
      <c r="IC10" s="50">
        <v>23.055</v>
      </c>
      <c r="ID10" s="49">
        <v>-0.25</v>
      </c>
      <c r="IE10" s="49">
        <v>-7.3999999999999996E-2</v>
      </c>
      <c r="IF10" s="49">
        <v>821.5</v>
      </c>
      <c r="IG10" s="49">
        <v>774.3</v>
      </c>
      <c r="IH10" s="49">
        <v>831.6</v>
      </c>
      <c r="II10" s="50">
        <v>787.3</v>
      </c>
      <c r="IJ10" s="49">
        <v>-2.4E-2</v>
      </c>
      <c r="IK10" s="49">
        <v>-0.13</v>
      </c>
      <c r="IL10" s="49">
        <v>70.33</v>
      </c>
      <c r="IM10" s="49">
        <v>70.33</v>
      </c>
      <c r="IN10" s="49">
        <v>13.01</v>
      </c>
      <c r="IO10" s="49">
        <v>0.57399999999999995</v>
      </c>
      <c r="IP10" s="49">
        <v>10.81</v>
      </c>
      <c r="IQ10" s="50">
        <v>1.4E-2</v>
      </c>
      <c r="IR10" s="49">
        <v>1.2E-2</v>
      </c>
    </row>
    <row r="11" spans="2:252" x14ac:dyDescent="0.25">
      <c r="B11" s="2" t="s">
        <v>412</v>
      </c>
      <c r="C11" s="2" t="s">
        <v>45</v>
      </c>
      <c r="D11" s="61">
        <v>2.8197916666666666E-3</v>
      </c>
      <c r="E11" s="49">
        <v>243.68</v>
      </c>
      <c r="F11" s="49">
        <v>329.54</v>
      </c>
      <c r="G11" s="49">
        <v>5.61</v>
      </c>
      <c r="H11" s="49">
        <v>29.2</v>
      </c>
      <c r="I11" s="50">
        <v>0</v>
      </c>
      <c r="J11" s="49">
        <v>14.1</v>
      </c>
      <c r="K11" s="50">
        <v>10</v>
      </c>
      <c r="L11" s="50">
        <v>3</v>
      </c>
      <c r="M11" s="50">
        <v>6</v>
      </c>
      <c r="N11" s="50">
        <v>3</v>
      </c>
      <c r="O11" s="50">
        <v>3</v>
      </c>
      <c r="P11" s="50">
        <v>0.89500000000000002</v>
      </c>
      <c r="Q11" s="50">
        <v>1.708</v>
      </c>
      <c r="R11" s="50">
        <v>0.84799999999999998</v>
      </c>
      <c r="S11" s="49">
        <v>0.58299999999999996</v>
      </c>
      <c r="T11" s="50">
        <v>81.36</v>
      </c>
      <c r="U11" s="49">
        <v>60.134999999999998</v>
      </c>
      <c r="V11" s="49">
        <v>185</v>
      </c>
      <c r="W11" s="49">
        <v>195</v>
      </c>
      <c r="X11" s="49">
        <v>147.5</v>
      </c>
      <c r="Y11" s="49">
        <v>185</v>
      </c>
      <c r="Z11" s="49">
        <v>350.25</v>
      </c>
      <c r="AA11" s="49">
        <v>362.75</v>
      </c>
      <c r="AB11" s="49">
        <v>293.3</v>
      </c>
      <c r="AC11" s="49">
        <v>349.09</v>
      </c>
      <c r="AD11" s="49">
        <v>1.821</v>
      </c>
      <c r="AE11" s="49">
        <v>1.8819999999999999</v>
      </c>
      <c r="AF11" s="49">
        <v>1.8160000000000001</v>
      </c>
      <c r="AG11" s="49">
        <v>1.843</v>
      </c>
      <c r="AH11" s="49">
        <v>80.06</v>
      </c>
      <c r="AI11" s="49">
        <v>76.86</v>
      </c>
      <c r="AJ11" s="49">
        <v>107.1</v>
      </c>
      <c r="AK11" s="49">
        <v>104.42</v>
      </c>
      <c r="AL11" s="50">
        <v>680.83799999999997</v>
      </c>
      <c r="AM11" s="50">
        <v>679.45100000000002</v>
      </c>
      <c r="AN11" s="49">
        <v>822.01900000000001</v>
      </c>
      <c r="AO11" s="50">
        <v>822.61800000000005</v>
      </c>
      <c r="AP11" s="49">
        <v>1.35</v>
      </c>
      <c r="AQ11" s="49">
        <v>1.8080000000000001</v>
      </c>
      <c r="AR11" s="49">
        <v>40.624000000000002</v>
      </c>
      <c r="AS11" s="49">
        <v>32.698</v>
      </c>
      <c r="AT11" s="49">
        <v>83</v>
      </c>
      <c r="AU11" s="49">
        <v>119</v>
      </c>
      <c r="AV11" s="49">
        <v>2.3904999999999998</v>
      </c>
      <c r="AW11" s="49">
        <v>5.2743000000000002</v>
      </c>
      <c r="AX11" s="49">
        <v>1016.5</v>
      </c>
      <c r="AY11" s="49">
        <v>2.0099999999999998</v>
      </c>
      <c r="AZ11" s="49">
        <v>5.54</v>
      </c>
      <c r="BA11" s="50">
        <v>64.099999999999994</v>
      </c>
      <c r="BB11" s="50">
        <v>65.709000000000003</v>
      </c>
      <c r="BC11" s="49">
        <v>7768</v>
      </c>
      <c r="BD11" s="49">
        <v>89.75</v>
      </c>
      <c r="BE11" s="50">
        <v>16.75</v>
      </c>
      <c r="BF11" s="49">
        <v>14.12</v>
      </c>
      <c r="BG11" s="49">
        <v>27.01</v>
      </c>
      <c r="BH11" s="49">
        <v>27.36</v>
      </c>
      <c r="BI11" s="3"/>
      <c r="BJ11" s="3"/>
      <c r="BK11" s="3"/>
      <c r="BL11" s="3"/>
      <c r="BM11" s="3"/>
      <c r="BN11" s="49">
        <v>117.83199999999999</v>
      </c>
      <c r="BO11" s="49">
        <v>115.14400000000001</v>
      </c>
      <c r="BP11" s="50">
        <v>149.84800000000001</v>
      </c>
      <c r="BQ11" s="50">
        <v>149.11199999999999</v>
      </c>
      <c r="BR11" s="3"/>
      <c r="BS11" s="49">
        <v>29</v>
      </c>
      <c r="BT11" s="49">
        <v>7262.6779999999999</v>
      </c>
      <c r="BU11" s="49">
        <v>48.091999999999999</v>
      </c>
      <c r="BV11" s="49">
        <v>53.475000000000001</v>
      </c>
      <c r="BW11" s="49">
        <v>55.503999999999998</v>
      </c>
      <c r="BX11" s="49">
        <v>56.326999999999998</v>
      </c>
      <c r="BY11" s="49">
        <v>1.472</v>
      </c>
      <c r="BZ11" s="49">
        <v>3.044</v>
      </c>
      <c r="CA11" s="49">
        <v>3.4710000000000001</v>
      </c>
      <c r="CB11" s="49">
        <v>3.4550000000000001</v>
      </c>
      <c r="CC11" s="49">
        <v>1.1319999999999999</v>
      </c>
      <c r="CD11" s="49">
        <v>2.3170000000000002</v>
      </c>
      <c r="CE11" s="49">
        <v>1.27</v>
      </c>
      <c r="CF11" s="49">
        <v>2.0630000000000002</v>
      </c>
      <c r="CG11" s="50">
        <v>13.958</v>
      </c>
      <c r="CH11" s="49">
        <v>13.792</v>
      </c>
      <c r="CI11" s="49">
        <v>5.0460000000000003</v>
      </c>
      <c r="CJ11" s="49">
        <v>3.2109999999999999</v>
      </c>
      <c r="CK11" s="49">
        <v>1.357</v>
      </c>
      <c r="CL11" s="49">
        <v>0.4</v>
      </c>
      <c r="CM11" s="49">
        <v>0.8</v>
      </c>
      <c r="CN11" s="50">
        <v>0.3</v>
      </c>
      <c r="CO11" s="50">
        <v>0.3</v>
      </c>
      <c r="CP11" s="49">
        <v>99.960999999999999</v>
      </c>
      <c r="CQ11" s="49">
        <v>98.738</v>
      </c>
      <c r="CR11" s="49">
        <v>129.721</v>
      </c>
      <c r="CS11" s="49">
        <v>131.69800000000001</v>
      </c>
      <c r="CT11" s="49">
        <v>0.308</v>
      </c>
      <c r="CU11" s="49">
        <v>1.4</v>
      </c>
      <c r="CV11" s="49">
        <v>1.1020000000000001</v>
      </c>
      <c r="CW11" s="49">
        <v>1.9</v>
      </c>
      <c r="CX11" s="49">
        <v>1.4930000000000001</v>
      </c>
      <c r="CY11" s="49">
        <v>1.1040000000000001</v>
      </c>
      <c r="CZ11" s="49">
        <v>1.6020000000000001</v>
      </c>
      <c r="DA11" s="49">
        <v>0.8</v>
      </c>
      <c r="DB11" s="49">
        <v>2.1970000000000001</v>
      </c>
      <c r="DC11" s="50">
        <v>0</v>
      </c>
      <c r="DD11" s="50">
        <v>0</v>
      </c>
      <c r="DE11" s="49">
        <v>0.27</v>
      </c>
      <c r="DF11" s="49">
        <v>0.121</v>
      </c>
      <c r="DG11" s="49">
        <v>0.84399999999999997</v>
      </c>
      <c r="DH11" s="49">
        <v>2.2570000000000001</v>
      </c>
      <c r="DI11" s="49">
        <v>1.1479999999999999</v>
      </c>
      <c r="DJ11" s="50">
        <v>0.215</v>
      </c>
      <c r="DK11" s="49">
        <v>0.90400000000000003</v>
      </c>
      <c r="DL11" s="50">
        <v>0.41399999999999998</v>
      </c>
      <c r="DM11" s="49">
        <v>0.53100000000000003</v>
      </c>
      <c r="DN11" s="49">
        <v>0.44600000000000001</v>
      </c>
      <c r="DO11" s="49">
        <v>0.376</v>
      </c>
      <c r="DP11" s="49">
        <v>65.558000000000007</v>
      </c>
      <c r="DQ11" s="49">
        <v>60.768000000000001</v>
      </c>
      <c r="DR11" s="49">
        <v>53.351999999999997</v>
      </c>
      <c r="DS11" s="49">
        <v>51.609000000000002</v>
      </c>
      <c r="DT11" s="49">
        <v>5.85</v>
      </c>
      <c r="DU11" s="49">
        <v>5.39</v>
      </c>
      <c r="DV11" s="49">
        <v>11.12</v>
      </c>
      <c r="DW11" s="49">
        <v>9.5</v>
      </c>
      <c r="DX11" s="49">
        <v>6.04</v>
      </c>
      <c r="DY11" s="49">
        <v>5.74</v>
      </c>
      <c r="DZ11" s="49">
        <v>10.76</v>
      </c>
      <c r="EA11" s="49">
        <v>9.15</v>
      </c>
      <c r="EB11" s="49">
        <v>41.33</v>
      </c>
      <c r="EC11" s="49">
        <v>41.04</v>
      </c>
      <c r="ED11" s="50">
        <v>33.65</v>
      </c>
      <c r="EE11" s="49">
        <v>34.71</v>
      </c>
      <c r="EF11" s="49">
        <v>46.79</v>
      </c>
      <c r="EG11" s="49">
        <v>47.82</v>
      </c>
      <c r="EH11" s="49">
        <v>44.47</v>
      </c>
      <c r="EI11" s="49">
        <v>46.64</v>
      </c>
      <c r="EJ11" s="49">
        <v>6.7290000000000001</v>
      </c>
      <c r="EK11" s="49">
        <v>58.720999999999997</v>
      </c>
      <c r="EL11" s="49">
        <v>1.8</v>
      </c>
      <c r="EM11" s="49">
        <v>1.45</v>
      </c>
      <c r="EN11" s="50">
        <v>1.28</v>
      </c>
      <c r="EO11" s="50">
        <v>1.28</v>
      </c>
      <c r="EP11" s="49">
        <v>-107.682</v>
      </c>
      <c r="EQ11" s="49">
        <v>-1.448</v>
      </c>
      <c r="ER11" s="49">
        <v>99.638000000000005</v>
      </c>
      <c r="ES11" s="49">
        <v>1.4990000000000001</v>
      </c>
      <c r="ET11" s="49">
        <v>1.6559999999999999</v>
      </c>
      <c r="EU11" s="49">
        <v>1.46</v>
      </c>
      <c r="EV11" s="49">
        <v>7.4710000000000001</v>
      </c>
      <c r="EW11" s="50">
        <v>0.62</v>
      </c>
      <c r="EX11" s="49">
        <v>70.36</v>
      </c>
      <c r="EY11" s="50">
        <v>0.08</v>
      </c>
      <c r="EZ11" s="49">
        <v>9.4109999999999996</v>
      </c>
      <c r="FA11" s="50">
        <v>0</v>
      </c>
      <c r="FB11" s="50">
        <v>9.2810000000000006</v>
      </c>
      <c r="FC11" s="49">
        <v>74.707999999999998</v>
      </c>
      <c r="FD11" s="49">
        <v>69.900000000000006</v>
      </c>
      <c r="FE11" s="49">
        <v>87.400999999999996</v>
      </c>
      <c r="FF11" s="49">
        <v>85.259</v>
      </c>
      <c r="FG11" s="49">
        <v>0.94699999999999995</v>
      </c>
      <c r="FH11" s="49">
        <v>0.94699999999999995</v>
      </c>
      <c r="FI11" s="49">
        <v>0.98799999999999999</v>
      </c>
      <c r="FJ11" s="49">
        <v>0.99299999999999999</v>
      </c>
      <c r="FK11" s="49">
        <v>0</v>
      </c>
      <c r="FL11" s="49">
        <v>83</v>
      </c>
      <c r="FM11" s="49">
        <v>3.36</v>
      </c>
      <c r="FN11" s="49">
        <v>0.25</v>
      </c>
      <c r="FO11" s="49">
        <v>5.49</v>
      </c>
      <c r="FP11" s="49">
        <v>3.8</v>
      </c>
      <c r="FQ11" s="49">
        <v>4.55</v>
      </c>
      <c r="FR11" s="49">
        <v>5.0999999999999996</v>
      </c>
      <c r="FS11" s="49">
        <v>6.8470000000000004</v>
      </c>
      <c r="FT11" s="50">
        <v>1078.5999999999999</v>
      </c>
      <c r="FU11" s="49">
        <v>6.88</v>
      </c>
      <c r="FV11" s="49">
        <v>28.69</v>
      </c>
      <c r="FW11" s="49">
        <v>3050.5</v>
      </c>
      <c r="FX11" s="49">
        <v>164300</v>
      </c>
      <c r="FY11" s="49">
        <v>163800</v>
      </c>
      <c r="FZ11" s="49">
        <v>48.716000000000001</v>
      </c>
      <c r="GA11" s="49">
        <v>47.823999999999998</v>
      </c>
      <c r="GB11" s="49">
        <v>2278.4</v>
      </c>
      <c r="GC11" s="49">
        <v>2196.1</v>
      </c>
      <c r="GD11" s="49">
        <v>2278.4</v>
      </c>
      <c r="GE11" s="49">
        <v>2203.3000000000002</v>
      </c>
      <c r="GF11" s="49">
        <v>1375.5313000000001</v>
      </c>
      <c r="GG11" s="49">
        <v>29</v>
      </c>
      <c r="GH11" s="49">
        <v>28.5</v>
      </c>
      <c r="GI11" s="49">
        <v>48.2</v>
      </c>
      <c r="GJ11" s="49">
        <v>53.4</v>
      </c>
      <c r="GK11" s="49">
        <v>99.5</v>
      </c>
      <c r="GL11" s="49">
        <v>76</v>
      </c>
      <c r="GM11" s="50">
        <v>0</v>
      </c>
      <c r="GN11" s="49">
        <v>28.489000000000001</v>
      </c>
      <c r="GO11" s="49">
        <v>107.682</v>
      </c>
      <c r="GP11" s="49">
        <v>0.53100000000000003</v>
      </c>
      <c r="GQ11" s="49">
        <v>1.9470000000000001</v>
      </c>
      <c r="GR11" s="49">
        <v>0.94399999999999995</v>
      </c>
      <c r="GS11" s="49">
        <v>2.0059999999999998</v>
      </c>
      <c r="GT11" s="49">
        <v>0.70799999999999996</v>
      </c>
      <c r="GU11" s="49">
        <v>1.829</v>
      </c>
      <c r="GV11" s="49">
        <v>12.837999999999999</v>
      </c>
      <c r="GW11" s="50">
        <v>14.127000000000001</v>
      </c>
      <c r="GX11" s="49">
        <v>15.484</v>
      </c>
      <c r="GY11" s="50">
        <v>0</v>
      </c>
      <c r="GZ11" s="50">
        <v>0</v>
      </c>
      <c r="HA11" s="50">
        <v>0</v>
      </c>
      <c r="HB11" s="49">
        <v>0</v>
      </c>
      <c r="HC11" s="49">
        <v>23.105</v>
      </c>
      <c r="HD11" s="49">
        <v>86</v>
      </c>
      <c r="HE11" s="50">
        <v>0</v>
      </c>
      <c r="HF11" s="50">
        <v>0</v>
      </c>
      <c r="HG11" s="49">
        <v>73.86</v>
      </c>
      <c r="HH11" s="49">
        <v>82.75</v>
      </c>
      <c r="HI11" s="50">
        <v>0</v>
      </c>
      <c r="HJ11" s="50">
        <v>0</v>
      </c>
      <c r="HK11" s="50">
        <v>0</v>
      </c>
      <c r="HL11" s="49">
        <v>64</v>
      </c>
      <c r="HM11" s="49">
        <v>54</v>
      </c>
      <c r="HN11" s="49">
        <v>66</v>
      </c>
      <c r="HO11" s="49">
        <v>60</v>
      </c>
      <c r="HP11" s="49">
        <v>63</v>
      </c>
      <c r="HQ11" s="49">
        <v>61</v>
      </c>
      <c r="HR11" s="50">
        <v>52</v>
      </c>
      <c r="HS11" s="49">
        <v>64</v>
      </c>
      <c r="HT11" s="49">
        <v>-1.282</v>
      </c>
      <c r="HU11" s="50">
        <v>0</v>
      </c>
      <c r="HV11" s="49">
        <v>0.73599999999999999</v>
      </c>
      <c r="HW11" s="49">
        <v>36.08</v>
      </c>
      <c r="HX11" s="49">
        <v>44.28</v>
      </c>
      <c r="HY11" s="49">
        <v>47.8</v>
      </c>
      <c r="HZ11" s="49">
        <v>58.81</v>
      </c>
      <c r="IA11" s="49">
        <v>2.9159999999999999</v>
      </c>
      <c r="IB11" s="49">
        <v>103</v>
      </c>
      <c r="IC11" s="49">
        <v>21.777000000000001</v>
      </c>
      <c r="ID11" s="49">
        <v>-0.222</v>
      </c>
      <c r="IE11" s="49">
        <v>-7.6999999999999999E-2</v>
      </c>
      <c r="IF11" s="50">
        <v>833.7</v>
      </c>
      <c r="IG11" s="49">
        <v>751.3</v>
      </c>
      <c r="IH11" s="50">
        <v>841.9</v>
      </c>
      <c r="II11" s="49">
        <v>765.4</v>
      </c>
      <c r="IJ11" s="49">
        <v>6.0999999999999999E-2</v>
      </c>
      <c r="IK11" s="49">
        <v>-3.5999999999999997E-2</v>
      </c>
      <c r="IL11" s="49">
        <v>112.23099999999999</v>
      </c>
      <c r="IM11" s="49">
        <v>112.23099999999999</v>
      </c>
      <c r="IN11" s="50">
        <v>14.512</v>
      </c>
      <c r="IO11" s="49">
        <v>0.42599999999999999</v>
      </c>
      <c r="IP11" s="49">
        <v>10.94</v>
      </c>
      <c r="IQ11" s="49">
        <v>6.0000000000000001E-3</v>
      </c>
      <c r="IR11" s="49">
        <v>6.0000000000000001E-3</v>
      </c>
    </row>
    <row r="12" spans="2:252" ht="15" customHeight="1" x14ac:dyDescent="0.25">
      <c r="B12" s="2" t="s">
        <v>412</v>
      </c>
      <c r="C12" s="2" t="s">
        <v>46</v>
      </c>
      <c r="D12" s="61">
        <v>2.4636574074074075E-3</v>
      </c>
      <c r="E12" s="49">
        <v>212.9</v>
      </c>
      <c r="F12" s="50">
        <v>335.68</v>
      </c>
      <c r="G12" s="49">
        <v>5.81</v>
      </c>
      <c r="H12" s="49">
        <v>29.4</v>
      </c>
      <c r="I12" s="50">
        <v>0</v>
      </c>
      <c r="J12" s="49">
        <v>12.8</v>
      </c>
      <c r="K12" s="50">
        <v>10</v>
      </c>
      <c r="L12" s="50">
        <v>3</v>
      </c>
      <c r="M12" s="50">
        <v>6</v>
      </c>
      <c r="N12" s="50">
        <v>3</v>
      </c>
      <c r="O12" s="50">
        <v>3</v>
      </c>
      <c r="P12" s="49">
        <v>0.88400000000000001</v>
      </c>
      <c r="Q12" s="49">
        <v>1.631</v>
      </c>
      <c r="R12" s="49">
        <v>0.83</v>
      </c>
      <c r="S12" s="49">
        <v>0.63700000000000001</v>
      </c>
      <c r="T12" s="49">
        <v>67.95</v>
      </c>
      <c r="U12" s="49">
        <v>60.131999999999998</v>
      </c>
      <c r="V12" s="49">
        <v>246.66</v>
      </c>
      <c r="W12" s="49">
        <v>256.66000000000003</v>
      </c>
      <c r="X12" s="49">
        <v>197.5</v>
      </c>
      <c r="Y12" s="49">
        <v>240</v>
      </c>
      <c r="Z12" s="49">
        <v>397.41</v>
      </c>
      <c r="AA12" s="49">
        <v>399.08</v>
      </c>
      <c r="AB12" s="49">
        <v>315.94</v>
      </c>
      <c r="AC12" s="49">
        <v>377.62</v>
      </c>
      <c r="AD12" s="49">
        <v>1.831</v>
      </c>
      <c r="AE12" s="49">
        <v>1.8819999999999999</v>
      </c>
      <c r="AF12" s="49">
        <v>1.83</v>
      </c>
      <c r="AG12" s="49">
        <v>1.853</v>
      </c>
      <c r="AH12" s="49">
        <v>84.22</v>
      </c>
      <c r="AI12" s="49">
        <v>79.510000000000005</v>
      </c>
      <c r="AJ12" s="49">
        <v>111.37</v>
      </c>
      <c r="AK12" s="49">
        <v>107.35</v>
      </c>
      <c r="AL12" s="49">
        <v>666.20699999999999</v>
      </c>
      <c r="AM12" s="49">
        <v>642.846</v>
      </c>
      <c r="AN12" s="49">
        <v>818.94399999999996</v>
      </c>
      <c r="AO12" s="49">
        <v>764.625</v>
      </c>
      <c r="AP12" s="49">
        <v>1.3440000000000001</v>
      </c>
      <c r="AQ12" s="49">
        <v>1.821</v>
      </c>
      <c r="AR12" s="50">
        <v>42.548999999999999</v>
      </c>
      <c r="AS12" s="50">
        <v>36.064999999999998</v>
      </c>
      <c r="AT12" s="49">
        <v>83</v>
      </c>
      <c r="AU12" s="49">
        <v>120</v>
      </c>
      <c r="AV12" s="50">
        <v>2.1259999999999999</v>
      </c>
      <c r="AW12" s="49">
        <v>5.4131</v>
      </c>
      <c r="AX12" s="49">
        <v>1018</v>
      </c>
      <c r="AY12" s="49">
        <v>2.09</v>
      </c>
      <c r="AZ12" s="50">
        <v>5.21</v>
      </c>
      <c r="BA12" s="49">
        <v>85.896000000000001</v>
      </c>
      <c r="BB12" s="49">
        <v>85.632999999999996</v>
      </c>
      <c r="BC12" s="50">
        <v>7885</v>
      </c>
      <c r="BD12" s="49">
        <v>89.5</v>
      </c>
      <c r="BE12" s="49">
        <v>16.55</v>
      </c>
      <c r="BF12" s="50">
        <v>14.22</v>
      </c>
      <c r="BG12" s="49">
        <v>28.9</v>
      </c>
      <c r="BH12" s="49">
        <v>26.79</v>
      </c>
      <c r="BI12" s="3"/>
      <c r="BJ12" s="3"/>
      <c r="BK12" s="3"/>
      <c r="BL12" s="3"/>
      <c r="BM12" s="3"/>
      <c r="BN12" s="49">
        <v>105.16</v>
      </c>
      <c r="BO12" s="49">
        <v>102.12</v>
      </c>
      <c r="BP12" s="49">
        <v>132.584</v>
      </c>
      <c r="BQ12" s="49">
        <v>133.63999999999999</v>
      </c>
      <c r="BR12" s="3"/>
      <c r="BS12" s="49">
        <v>29.1</v>
      </c>
      <c r="BT12" s="49">
        <v>7409.0330000000004</v>
      </c>
      <c r="BU12" s="49">
        <v>51.137</v>
      </c>
      <c r="BV12" s="49">
        <v>55.116999999999997</v>
      </c>
      <c r="BW12" s="49">
        <v>56.265999999999998</v>
      </c>
      <c r="BX12" s="49">
        <v>57.878999999999998</v>
      </c>
      <c r="BY12" s="49">
        <v>1.528</v>
      </c>
      <c r="BZ12" s="49">
        <v>2.7639999999999998</v>
      </c>
      <c r="CA12" s="50">
        <v>3.778</v>
      </c>
      <c r="CB12" s="49">
        <v>3.3570000000000002</v>
      </c>
      <c r="CC12" s="49">
        <v>1.2070000000000001</v>
      </c>
      <c r="CD12" s="49">
        <v>2.4180000000000001</v>
      </c>
      <c r="CE12" s="49">
        <v>1.3</v>
      </c>
      <c r="CF12" s="49">
        <v>2.081</v>
      </c>
      <c r="CG12" s="49">
        <v>13.939</v>
      </c>
      <c r="CH12" s="49">
        <v>13.782</v>
      </c>
      <c r="CI12" s="49">
        <v>5.0339999999999998</v>
      </c>
      <c r="CJ12" s="49">
        <v>3.2730000000000001</v>
      </c>
      <c r="CK12" s="49">
        <v>1.43</v>
      </c>
      <c r="CL12" s="50">
        <v>0.8</v>
      </c>
      <c r="CM12" s="49">
        <v>0.3</v>
      </c>
      <c r="CN12" s="49">
        <v>0</v>
      </c>
      <c r="CO12" s="49">
        <v>0</v>
      </c>
      <c r="CP12" s="49">
        <v>98.646000000000001</v>
      </c>
      <c r="CQ12" s="49">
        <v>96.617000000000004</v>
      </c>
      <c r="CR12" s="49">
        <v>126.54</v>
      </c>
      <c r="CS12" s="49">
        <v>129.273</v>
      </c>
      <c r="CT12" s="49">
        <v>0.22800000000000001</v>
      </c>
      <c r="CU12" s="49">
        <v>1.0009999999999999</v>
      </c>
      <c r="CV12" s="49">
        <v>1.3</v>
      </c>
      <c r="CW12" s="49">
        <v>1.002</v>
      </c>
      <c r="CX12" s="49">
        <v>1.1020000000000001</v>
      </c>
      <c r="CY12" s="49">
        <v>1.298</v>
      </c>
      <c r="CZ12" s="49">
        <v>0.90300000000000002</v>
      </c>
      <c r="DA12" s="49">
        <v>0.7</v>
      </c>
      <c r="DB12" s="49">
        <v>1.3979999999999999</v>
      </c>
      <c r="DC12" s="50">
        <v>0</v>
      </c>
      <c r="DD12" s="50">
        <v>0</v>
      </c>
      <c r="DE12" s="50">
        <v>0.32600000000000001</v>
      </c>
      <c r="DF12" s="50">
        <v>0.15</v>
      </c>
      <c r="DG12" s="50">
        <v>1.04</v>
      </c>
      <c r="DH12" s="49">
        <v>1.905</v>
      </c>
      <c r="DI12" s="49">
        <v>1.252</v>
      </c>
      <c r="DJ12" s="49">
        <v>0.17499999999999999</v>
      </c>
      <c r="DK12" s="50">
        <v>0.93200000000000005</v>
      </c>
      <c r="DL12" s="49">
        <v>0.40699999999999997</v>
      </c>
      <c r="DM12" s="49">
        <v>0.44700000000000001</v>
      </c>
      <c r="DN12" s="49">
        <v>0.373</v>
      </c>
      <c r="DO12" s="49">
        <v>0.182</v>
      </c>
      <c r="DP12" s="49">
        <v>65.671999999999997</v>
      </c>
      <c r="DQ12" s="49">
        <v>59.350999999999999</v>
      </c>
      <c r="DR12" s="49">
        <v>53.139000000000003</v>
      </c>
      <c r="DS12" s="49">
        <v>52.890999999999998</v>
      </c>
      <c r="DT12" s="49">
        <v>6.42</v>
      </c>
      <c r="DU12" s="49">
        <v>5.57</v>
      </c>
      <c r="DV12" s="49">
        <v>13.04</v>
      </c>
      <c r="DW12" s="49">
        <v>10.89</v>
      </c>
      <c r="DX12" s="49">
        <v>6.74</v>
      </c>
      <c r="DY12" s="49">
        <v>5.89</v>
      </c>
      <c r="DZ12" s="49">
        <v>12.4</v>
      </c>
      <c r="EA12" s="49">
        <v>10.36</v>
      </c>
      <c r="EB12" s="49">
        <v>42.15</v>
      </c>
      <c r="EC12" s="50">
        <v>42.42</v>
      </c>
      <c r="ED12" s="49">
        <v>32.71</v>
      </c>
      <c r="EE12" s="50">
        <v>35.29</v>
      </c>
      <c r="EF12" s="49">
        <v>44.69</v>
      </c>
      <c r="EG12" s="49">
        <v>46.12</v>
      </c>
      <c r="EH12" s="49">
        <v>41.85</v>
      </c>
      <c r="EI12" s="49">
        <v>43.45</v>
      </c>
      <c r="EJ12" s="49">
        <v>6.3979999999999997</v>
      </c>
      <c r="EK12" s="49">
        <v>58.875999999999998</v>
      </c>
      <c r="EL12" s="49">
        <v>1.9</v>
      </c>
      <c r="EM12" s="49">
        <v>1.45</v>
      </c>
      <c r="EN12" s="49">
        <v>1.22</v>
      </c>
      <c r="EO12" s="49">
        <v>1.22</v>
      </c>
      <c r="EP12" s="49">
        <v>-111.77</v>
      </c>
      <c r="EQ12" s="49">
        <v>-2.2309999999999999</v>
      </c>
      <c r="ER12" s="50">
        <v>132.63399999999999</v>
      </c>
      <c r="ES12" s="49">
        <v>1.462</v>
      </c>
      <c r="ET12" s="49">
        <v>1.629</v>
      </c>
      <c r="EU12" s="49">
        <v>1.407</v>
      </c>
      <c r="EV12" s="49">
        <v>7.0949999999999998</v>
      </c>
      <c r="EW12" s="49">
        <v>1.0999999999999999E-2</v>
      </c>
      <c r="EX12" s="49">
        <v>74.2</v>
      </c>
      <c r="EY12" s="49">
        <v>0</v>
      </c>
      <c r="EZ12" s="49">
        <v>18.137</v>
      </c>
      <c r="FA12" s="50">
        <v>0</v>
      </c>
      <c r="FB12" s="49">
        <v>9.1920000000000002</v>
      </c>
      <c r="FC12" s="49">
        <v>73.966999999999999</v>
      </c>
      <c r="FD12" s="49">
        <v>68.786000000000001</v>
      </c>
      <c r="FE12" s="49">
        <v>86.067999999999998</v>
      </c>
      <c r="FF12" s="49">
        <v>83.971999999999994</v>
      </c>
      <c r="FG12" s="49">
        <v>0.94399999999999995</v>
      </c>
      <c r="FH12" s="49">
        <v>0.94399999999999995</v>
      </c>
      <c r="FI12" s="49">
        <v>0.98899999999999999</v>
      </c>
      <c r="FJ12" s="49">
        <v>0.99399999999999999</v>
      </c>
      <c r="FK12" s="49">
        <v>0</v>
      </c>
      <c r="FL12" s="49">
        <v>83</v>
      </c>
      <c r="FM12" s="49">
        <v>3.35</v>
      </c>
      <c r="FN12" s="49">
        <v>-0.41</v>
      </c>
      <c r="FO12" s="50">
        <v>5.12</v>
      </c>
      <c r="FP12" s="3"/>
      <c r="FQ12" s="49">
        <v>4.5999999999999996</v>
      </c>
      <c r="FR12" s="50">
        <v>4.95</v>
      </c>
      <c r="FS12" s="49">
        <v>6.8449999999999998</v>
      </c>
      <c r="FT12" s="50">
        <v>1078.5999999999999</v>
      </c>
      <c r="FU12" s="49">
        <v>7.08</v>
      </c>
      <c r="FV12" s="49">
        <v>34.5</v>
      </c>
      <c r="FW12" s="49">
        <v>3116.5</v>
      </c>
      <c r="FX12" s="50">
        <v>169900</v>
      </c>
      <c r="FY12" s="49">
        <v>171000</v>
      </c>
      <c r="FZ12" s="49">
        <v>48.274999999999999</v>
      </c>
      <c r="GA12" s="49">
        <v>47.316000000000003</v>
      </c>
      <c r="GB12" s="49">
        <v>2192.3000000000002</v>
      </c>
      <c r="GC12" s="49">
        <v>2177.4</v>
      </c>
      <c r="GD12" s="49">
        <v>2330.8000000000002</v>
      </c>
      <c r="GE12" s="49">
        <v>2227.5</v>
      </c>
      <c r="GF12" s="49">
        <v>1316</v>
      </c>
      <c r="GG12" s="49">
        <v>29</v>
      </c>
      <c r="GH12" s="49">
        <v>29.2</v>
      </c>
      <c r="GI12" s="49">
        <v>48.2</v>
      </c>
      <c r="GJ12" s="49">
        <v>53</v>
      </c>
      <c r="GK12" s="49">
        <v>99.5</v>
      </c>
      <c r="GL12" s="50">
        <v>96.7</v>
      </c>
      <c r="GM12" s="50">
        <v>0</v>
      </c>
      <c r="GN12" s="49">
        <v>25.681999999999999</v>
      </c>
      <c r="GO12" s="50">
        <v>132.63399999999999</v>
      </c>
      <c r="GP12" s="49">
        <v>0.64900000000000002</v>
      </c>
      <c r="GQ12" s="49">
        <v>1.9470000000000001</v>
      </c>
      <c r="GR12" s="49">
        <v>0.82599999999999996</v>
      </c>
      <c r="GS12" s="49">
        <v>2.0059999999999998</v>
      </c>
      <c r="GT12" s="49">
        <v>0.53100000000000003</v>
      </c>
      <c r="GU12" s="49">
        <v>1.829</v>
      </c>
      <c r="GV12" s="49">
        <v>12.544</v>
      </c>
      <c r="GW12" s="49">
        <v>14.07</v>
      </c>
      <c r="GX12" s="49">
        <v>15.385999999999999</v>
      </c>
      <c r="GY12" s="50">
        <v>0</v>
      </c>
      <c r="GZ12" s="50">
        <v>0</v>
      </c>
      <c r="HA12" s="50">
        <v>0</v>
      </c>
      <c r="HB12" s="49">
        <v>0</v>
      </c>
      <c r="HC12" s="49">
        <v>23.369</v>
      </c>
      <c r="HD12" s="49">
        <v>82</v>
      </c>
      <c r="HE12" s="50">
        <v>0</v>
      </c>
      <c r="HF12" s="50">
        <v>0</v>
      </c>
      <c r="HG12" s="49">
        <v>75.2</v>
      </c>
      <c r="HH12" s="49">
        <v>82.81</v>
      </c>
      <c r="HI12" s="50">
        <v>0</v>
      </c>
      <c r="HJ12" s="50">
        <v>0</v>
      </c>
      <c r="HK12" s="50">
        <v>0</v>
      </c>
      <c r="HL12" s="49">
        <v>63</v>
      </c>
      <c r="HM12" s="49">
        <v>54</v>
      </c>
      <c r="HN12" s="49">
        <v>66</v>
      </c>
      <c r="HO12" s="49">
        <v>60</v>
      </c>
      <c r="HP12" s="50">
        <v>64</v>
      </c>
      <c r="HQ12" s="50">
        <v>62</v>
      </c>
      <c r="HR12" s="50">
        <v>52</v>
      </c>
      <c r="HS12" s="49">
        <v>64</v>
      </c>
      <c r="HT12" s="49">
        <v>-1.2515000000000001</v>
      </c>
      <c r="HU12" s="50">
        <v>0</v>
      </c>
      <c r="HV12" s="49">
        <v>0.35399999999999998</v>
      </c>
      <c r="HW12" s="49">
        <v>36.08</v>
      </c>
      <c r="HX12" s="49">
        <v>44.28</v>
      </c>
      <c r="HY12" s="49">
        <v>48.61</v>
      </c>
      <c r="HZ12" s="49">
        <v>59.2</v>
      </c>
      <c r="IA12" s="49">
        <v>2.87</v>
      </c>
      <c r="IB12" s="49">
        <v>104</v>
      </c>
      <c r="IC12" s="49">
        <v>22.841999999999999</v>
      </c>
      <c r="ID12" s="49">
        <v>-0.28199999999999997</v>
      </c>
      <c r="IE12" s="49">
        <v>-8.6999999999999994E-2</v>
      </c>
      <c r="IF12" s="49">
        <v>821.1</v>
      </c>
      <c r="IG12" s="49">
        <v>771.9</v>
      </c>
      <c r="IH12" s="49">
        <v>832.2</v>
      </c>
      <c r="II12" s="49">
        <v>785.7</v>
      </c>
      <c r="IJ12" s="49">
        <v>2.1000000000000001E-2</v>
      </c>
      <c r="IK12" s="49">
        <v>-8.4000000000000005E-2</v>
      </c>
      <c r="IL12" s="49">
        <v>69.664000000000001</v>
      </c>
      <c r="IM12" s="49">
        <v>69.664000000000001</v>
      </c>
      <c r="IN12" s="49">
        <v>13.765000000000001</v>
      </c>
      <c r="IO12" s="49">
        <v>0.57199999999999995</v>
      </c>
      <c r="IP12" s="49">
        <v>10.9</v>
      </c>
      <c r="IQ12" s="49">
        <v>8.9999999999999993E-3</v>
      </c>
      <c r="IR12" s="49">
        <v>8.9999999999999993E-3</v>
      </c>
    </row>
    <row r="13" spans="2:252" x14ac:dyDescent="0.25">
      <c r="B13" s="2" t="s">
        <v>412</v>
      </c>
      <c r="C13" s="2" t="s">
        <v>400</v>
      </c>
      <c r="D13" s="61">
        <v>2.7836805555555553E-3</v>
      </c>
      <c r="E13" s="49">
        <v>240.51300000000001</v>
      </c>
      <c r="F13" s="49">
        <v>332.8</v>
      </c>
      <c r="G13" s="49">
        <v>5.63</v>
      </c>
      <c r="H13" s="50">
        <v>29.5</v>
      </c>
      <c r="I13" s="50">
        <v>0</v>
      </c>
      <c r="J13" s="49">
        <v>17.2</v>
      </c>
      <c r="K13" s="50">
        <v>10</v>
      </c>
      <c r="L13" s="50">
        <v>3</v>
      </c>
      <c r="M13" s="50">
        <v>6</v>
      </c>
      <c r="N13" s="50">
        <v>3</v>
      </c>
      <c r="O13" s="50">
        <v>3</v>
      </c>
      <c r="P13" s="49">
        <v>0.76900000000000002</v>
      </c>
      <c r="Q13" s="49">
        <v>1.43</v>
      </c>
      <c r="R13" s="49">
        <v>0.59199999999999997</v>
      </c>
      <c r="S13" s="49">
        <v>0.626</v>
      </c>
      <c r="T13" s="49">
        <v>77.42</v>
      </c>
      <c r="U13" s="49">
        <v>60.1</v>
      </c>
      <c r="V13" s="49">
        <v>253.34</v>
      </c>
      <c r="W13" s="49">
        <v>258.33999999999997</v>
      </c>
      <c r="X13" s="49">
        <v>185</v>
      </c>
      <c r="Y13" s="49">
        <v>231.66</v>
      </c>
      <c r="Z13" s="49">
        <v>388.63</v>
      </c>
      <c r="AA13" s="49">
        <v>394.86</v>
      </c>
      <c r="AB13" s="49">
        <v>306.97000000000003</v>
      </c>
      <c r="AC13" s="49">
        <v>371.56</v>
      </c>
      <c r="AD13" s="50">
        <v>1.8460000000000001</v>
      </c>
      <c r="AE13" s="49">
        <v>1.895</v>
      </c>
      <c r="AF13" s="49">
        <v>1.8440000000000001</v>
      </c>
      <c r="AG13" s="49">
        <v>1.8640000000000001</v>
      </c>
      <c r="AH13" s="49">
        <v>84.81</v>
      </c>
      <c r="AI13" s="49">
        <v>80.13</v>
      </c>
      <c r="AJ13" s="49">
        <v>112.52</v>
      </c>
      <c r="AK13" s="49">
        <v>108.13</v>
      </c>
      <c r="AL13" s="49">
        <v>606.98599999999999</v>
      </c>
      <c r="AM13" s="49">
        <v>605.25300000000004</v>
      </c>
      <c r="AN13" s="49">
        <v>802.98199999999997</v>
      </c>
      <c r="AO13" s="49">
        <v>762.23299999999995</v>
      </c>
      <c r="AP13" s="49">
        <v>1.3480000000000001</v>
      </c>
      <c r="AQ13" s="49">
        <v>1.8069999999999999</v>
      </c>
      <c r="AR13" s="49">
        <v>42.002000000000002</v>
      </c>
      <c r="AS13" s="49">
        <v>35.405000000000001</v>
      </c>
      <c r="AT13" s="49">
        <v>83</v>
      </c>
      <c r="AU13" s="50">
        <v>121</v>
      </c>
      <c r="AV13" s="49">
        <v>2.2749999999999999</v>
      </c>
      <c r="AW13" s="49">
        <v>5.3101000000000003</v>
      </c>
      <c r="AX13" s="49">
        <v>1015.6</v>
      </c>
      <c r="AY13" s="49">
        <v>2.13</v>
      </c>
      <c r="AZ13" s="49">
        <v>5.74</v>
      </c>
      <c r="BA13" s="49">
        <v>69.5</v>
      </c>
      <c r="BB13" s="49">
        <v>69.400000000000006</v>
      </c>
      <c r="BC13" s="49">
        <v>7662</v>
      </c>
      <c r="BD13" s="49">
        <v>89.25</v>
      </c>
      <c r="BE13" s="49">
        <v>16.41</v>
      </c>
      <c r="BF13" s="49">
        <v>14.195</v>
      </c>
      <c r="BG13" s="49">
        <v>28.16</v>
      </c>
      <c r="BH13" s="50">
        <v>27.42</v>
      </c>
      <c r="BI13" s="50">
        <v>65.813999999999993</v>
      </c>
      <c r="BJ13" s="50">
        <v>80.372</v>
      </c>
      <c r="BK13" s="50">
        <v>64.275000000000006</v>
      </c>
      <c r="BL13" s="49">
        <v>76.331000000000003</v>
      </c>
      <c r="BM13" s="50">
        <v>79.757000000000005</v>
      </c>
      <c r="BN13" s="49">
        <v>116.376</v>
      </c>
      <c r="BO13" s="49">
        <v>114.28</v>
      </c>
      <c r="BP13" s="49">
        <v>140.42400000000001</v>
      </c>
      <c r="BQ13" s="49">
        <v>142.6</v>
      </c>
      <c r="BR13" s="50">
        <v>61.162999999999997</v>
      </c>
      <c r="BS13" s="50">
        <v>29.3</v>
      </c>
      <c r="BT13" s="49">
        <v>7368.0360000000001</v>
      </c>
      <c r="BU13" s="49">
        <v>49.633000000000003</v>
      </c>
      <c r="BV13" s="50">
        <v>56.585999999999999</v>
      </c>
      <c r="BW13" s="49">
        <v>55.823</v>
      </c>
      <c r="BX13" s="49">
        <v>57.527999999999999</v>
      </c>
      <c r="BY13" s="50">
        <v>1.5309999999999999</v>
      </c>
      <c r="BZ13" s="49">
        <v>2.8959999999999999</v>
      </c>
      <c r="CA13" s="49">
        <v>3.2010000000000001</v>
      </c>
      <c r="CB13" s="49">
        <v>3.3580000000000001</v>
      </c>
      <c r="CC13" s="49">
        <v>1.131</v>
      </c>
      <c r="CD13" s="49">
        <v>2.3410000000000002</v>
      </c>
      <c r="CE13" s="49">
        <v>1.272</v>
      </c>
      <c r="CF13" s="49">
        <v>2.0790000000000002</v>
      </c>
      <c r="CG13" s="49">
        <v>13.949</v>
      </c>
      <c r="CH13" s="49">
        <v>13.667999999999999</v>
      </c>
      <c r="CI13" s="3"/>
      <c r="CJ13" s="3"/>
      <c r="CK13" s="3"/>
      <c r="CL13" s="49">
        <v>0.4</v>
      </c>
      <c r="CM13" s="50">
        <v>1.1000000000000001</v>
      </c>
      <c r="CN13" s="49">
        <v>0</v>
      </c>
      <c r="CO13" s="49">
        <v>0</v>
      </c>
      <c r="CP13" s="49">
        <v>102.851</v>
      </c>
      <c r="CQ13" s="49">
        <v>100.336</v>
      </c>
      <c r="CR13" s="49">
        <v>128.31299999999999</v>
      </c>
      <c r="CS13" s="49">
        <v>132.41399999999999</v>
      </c>
      <c r="CT13" s="49">
        <v>0.41399999999999998</v>
      </c>
      <c r="CU13" s="50">
        <v>3.6219999999999999</v>
      </c>
      <c r="CV13" s="50">
        <v>4.016</v>
      </c>
      <c r="CW13" s="50">
        <v>4.0209999999999999</v>
      </c>
      <c r="CX13" s="50">
        <v>3.72</v>
      </c>
      <c r="CY13" s="50">
        <v>3.419</v>
      </c>
      <c r="CZ13" s="50">
        <v>3.42</v>
      </c>
      <c r="DA13" s="50">
        <v>3.121</v>
      </c>
      <c r="DB13" s="50">
        <v>4.1189999999999998</v>
      </c>
      <c r="DC13" s="50">
        <v>0</v>
      </c>
      <c r="DD13" s="50">
        <v>0</v>
      </c>
      <c r="DE13" s="49">
        <v>0.25700000000000001</v>
      </c>
      <c r="DF13" s="49">
        <v>0.123</v>
      </c>
      <c r="DG13" s="49">
        <v>0.57199999999999995</v>
      </c>
      <c r="DH13" s="49">
        <v>1.901</v>
      </c>
      <c r="DI13" s="49">
        <v>1.131</v>
      </c>
      <c r="DJ13" s="49">
        <v>0.11799999999999999</v>
      </c>
      <c r="DK13" s="49">
        <v>0.876</v>
      </c>
      <c r="DL13" s="49">
        <v>0.40799999999999997</v>
      </c>
      <c r="DM13" s="50">
        <v>0.54100000000000004</v>
      </c>
      <c r="DN13" s="50">
        <v>1.0309999999999999</v>
      </c>
      <c r="DO13" s="49">
        <v>0.309</v>
      </c>
      <c r="DP13" s="50">
        <v>66.418000000000006</v>
      </c>
      <c r="DQ13" s="49">
        <v>60.825000000000003</v>
      </c>
      <c r="DR13" s="50">
        <v>54.92</v>
      </c>
      <c r="DS13" s="50">
        <v>53.424999999999997</v>
      </c>
      <c r="DT13" s="49">
        <v>5.55</v>
      </c>
      <c r="DU13" s="49">
        <v>5.44</v>
      </c>
      <c r="DV13" s="49">
        <v>11.81</v>
      </c>
      <c r="DW13" s="49">
        <v>9.89</v>
      </c>
      <c r="DX13" s="49">
        <v>5.75</v>
      </c>
      <c r="DY13" s="49">
        <v>5.63</v>
      </c>
      <c r="DZ13" s="49">
        <v>11.32</v>
      </c>
      <c r="EA13" s="49">
        <v>9.59</v>
      </c>
      <c r="EB13" s="50">
        <v>43</v>
      </c>
      <c r="EC13" s="49">
        <v>42.11</v>
      </c>
      <c r="ED13" s="49">
        <v>32.64</v>
      </c>
      <c r="EE13" s="49">
        <v>34.590000000000003</v>
      </c>
      <c r="EF13" s="49">
        <v>45.7</v>
      </c>
      <c r="EG13" s="49">
        <v>46.82</v>
      </c>
      <c r="EH13" s="49">
        <v>44.22</v>
      </c>
      <c r="EI13" s="49">
        <v>45.92</v>
      </c>
      <c r="EJ13" s="49">
        <v>6.633</v>
      </c>
      <c r="EK13" s="49">
        <v>58.853000000000002</v>
      </c>
      <c r="EL13" s="49">
        <v>1.95</v>
      </c>
      <c r="EM13" s="49">
        <v>1.5</v>
      </c>
      <c r="EN13" s="49">
        <v>1.24</v>
      </c>
      <c r="EO13" s="49">
        <v>1.23</v>
      </c>
      <c r="EP13" s="49">
        <v>-110.602</v>
      </c>
      <c r="EQ13" s="49">
        <v>-2.2290000000000001</v>
      </c>
      <c r="ER13" s="49">
        <v>102.26600000000001</v>
      </c>
      <c r="ES13" s="49">
        <v>1.452</v>
      </c>
      <c r="ET13" s="49">
        <v>1.6080000000000001</v>
      </c>
      <c r="EU13" s="49">
        <v>1.4079999999999999</v>
      </c>
      <c r="EV13" s="49">
        <v>7.3029999999999999</v>
      </c>
      <c r="EW13" s="49">
        <v>0.377</v>
      </c>
      <c r="EX13" s="49">
        <v>70.94</v>
      </c>
      <c r="EY13" s="49">
        <v>0.02</v>
      </c>
      <c r="EZ13" s="49">
        <v>0.247</v>
      </c>
      <c r="FA13" s="50">
        <v>0</v>
      </c>
      <c r="FB13" s="49">
        <v>9.2520000000000007</v>
      </c>
      <c r="FC13" s="49">
        <v>75.968000000000004</v>
      </c>
      <c r="FD13" s="49">
        <v>70.209999999999994</v>
      </c>
      <c r="FE13" s="49">
        <v>87.379000000000005</v>
      </c>
      <c r="FF13" s="49">
        <v>85.141999999999996</v>
      </c>
      <c r="FG13" s="49">
        <v>0.97299999999999998</v>
      </c>
      <c r="FH13" s="49">
        <v>0.95399999999999996</v>
      </c>
      <c r="FI13" s="49">
        <v>0.99</v>
      </c>
      <c r="FJ13" s="49">
        <v>0.995</v>
      </c>
      <c r="FK13" s="49">
        <v>0</v>
      </c>
      <c r="FL13" s="49">
        <v>83</v>
      </c>
      <c r="FM13" s="49">
        <v>3.37</v>
      </c>
      <c r="FN13" s="50">
        <v>-0.57999999999999996</v>
      </c>
      <c r="FO13" s="49">
        <v>5.39</v>
      </c>
      <c r="FP13" s="49">
        <v>3.9</v>
      </c>
      <c r="FQ13" s="49">
        <v>4.45</v>
      </c>
      <c r="FR13" s="49">
        <v>5</v>
      </c>
      <c r="FS13" s="49">
        <v>6.8414999999999999</v>
      </c>
      <c r="FT13" s="49">
        <v>1075.3</v>
      </c>
      <c r="FU13" s="49">
        <v>6.95</v>
      </c>
      <c r="FV13" s="50">
        <v>40.130000000000003</v>
      </c>
      <c r="FW13" s="49">
        <v>3110.5</v>
      </c>
      <c r="FX13" s="49">
        <v>163800</v>
      </c>
      <c r="FY13" s="49">
        <v>165100</v>
      </c>
      <c r="FZ13" s="49">
        <v>48.276000000000003</v>
      </c>
      <c r="GA13" s="49">
        <v>47.244999999999997</v>
      </c>
      <c r="GB13" s="49">
        <v>2178</v>
      </c>
      <c r="GC13" s="49">
        <v>2251.8000000000002</v>
      </c>
      <c r="GD13" s="49">
        <v>2214.3000000000002</v>
      </c>
      <c r="GE13" s="49">
        <v>2330.1999999999998</v>
      </c>
      <c r="GF13" s="49">
        <v>1161.6563000000001</v>
      </c>
      <c r="GG13" s="50">
        <v>30</v>
      </c>
      <c r="GH13" s="50">
        <v>29.9</v>
      </c>
      <c r="GI13" s="49">
        <v>48.5</v>
      </c>
      <c r="GJ13" s="49">
        <v>53.3</v>
      </c>
      <c r="GK13" s="49">
        <v>99.5</v>
      </c>
      <c r="GL13" s="49">
        <v>88.3</v>
      </c>
      <c r="GM13" s="50">
        <v>0</v>
      </c>
      <c r="GN13" s="49">
        <v>27.48</v>
      </c>
      <c r="GO13" s="49">
        <v>110.602</v>
      </c>
      <c r="GP13" s="50">
        <v>0</v>
      </c>
      <c r="GQ13" s="49">
        <v>1.9470000000000001</v>
      </c>
      <c r="GR13" s="50">
        <v>0</v>
      </c>
      <c r="GS13" s="49">
        <v>1.9470000000000001</v>
      </c>
      <c r="GT13" s="50">
        <v>0</v>
      </c>
      <c r="GU13" s="49">
        <v>1.829</v>
      </c>
      <c r="GV13" s="50">
        <v>0</v>
      </c>
      <c r="GW13" s="49">
        <v>13.986000000000001</v>
      </c>
      <c r="GX13" s="49">
        <v>15.974</v>
      </c>
      <c r="GY13" s="50">
        <v>0</v>
      </c>
      <c r="GZ13" s="50">
        <v>0</v>
      </c>
      <c r="HA13" s="50">
        <v>0</v>
      </c>
      <c r="HB13" s="49">
        <v>0</v>
      </c>
      <c r="HC13" s="49">
        <v>23.29</v>
      </c>
      <c r="HD13" s="49">
        <v>86</v>
      </c>
      <c r="HE13" s="50">
        <v>0</v>
      </c>
      <c r="HF13" s="50">
        <v>0</v>
      </c>
      <c r="HG13" s="49">
        <v>76.62</v>
      </c>
      <c r="HH13" s="50">
        <v>82.94</v>
      </c>
      <c r="HI13" s="50">
        <v>0</v>
      </c>
      <c r="HJ13" s="50">
        <v>0</v>
      </c>
      <c r="HK13" s="50">
        <v>0</v>
      </c>
      <c r="HL13" s="49">
        <v>63</v>
      </c>
      <c r="HM13" s="49">
        <v>54</v>
      </c>
      <c r="HN13" s="50">
        <v>67</v>
      </c>
      <c r="HO13" s="50">
        <v>61</v>
      </c>
      <c r="HP13" s="50">
        <v>64</v>
      </c>
      <c r="HQ13" s="50">
        <v>62</v>
      </c>
      <c r="HR13" s="50">
        <v>52</v>
      </c>
      <c r="HS13" s="49">
        <v>64</v>
      </c>
      <c r="HT13" s="49">
        <v>-1.2665</v>
      </c>
      <c r="HU13" s="50">
        <v>0</v>
      </c>
      <c r="HV13" s="49">
        <v>-9.8000000000000004E-2</v>
      </c>
      <c r="HW13" s="49">
        <v>37</v>
      </c>
      <c r="HX13" s="49">
        <v>49.31</v>
      </c>
      <c r="HY13" s="3"/>
      <c r="HZ13" s="3"/>
      <c r="IA13" s="49">
        <v>2.9430000000000001</v>
      </c>
      <c r="IB13" s="49">
        <v>104</v>
      </c>
      <c r="IC13" s="49">
        <v>22.786000000000001</v>
      </c>
      <c r="ID13" s="49">
        <v>-0.23400000000000001</v>
      </c>
      <c r="IE13" s="49">
        <v>-7.6999999999999999E-2</v>
      </c>
      <c r="IF13" s="49">
        <v>821</v>
      </c>
      <c r="IG13" s="49">
        <v>759.6</v>
      </c>
      <c r="IH13" s="49">
        <v>834.5</v>
      </c>
      <c r="II13" s="49">
        <v>773.9</v>
      </c>
      <c r="IJ13" s="49">
        <v>8.0000000000000002E-3</v>
      </c>
      <c r="IK13" s="49">
        <v>-8.7999999999999995E-2</v>
      </c>
      <c r="IL13" s="49">
        <v>79.326999999999998</v>
      </c>
      <c r="IM13" s="49">
        <v>79.326999999999998</v>
      </c>
      <c r="IN13" s="49">
        <v>14.5</v>
      </c>
      <c r="IO13" s="49">
        <v>0.54600000000000004</v>
      </c>
      <c r="IP13" s="49">
        <v>10.71</v>
      </c>
      <c r="IQ13" s="49">
        <v>0</v>
      </c>
      <c r="IR13" s="49">
        <v>0</v>
      </c>
    </row>
  </sheetData>
  <mergeCells count="5">
    <mergeCell ref="DF6:FE6"/>
    <mergeCell ref="FF6:HD6"/>
    <mergeCell ref="HE6:IR6"/>
    <mergeCell ref="B6:BD6"/>
    <mergeCell ref="BE6:DE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FB3FB-31BE-4743-9CAA-1DB6D026D0DF}">
  <sheetPr codeName="Sheet4"/>
  <dimension ref="B1:IR15"/>
  <sheetViews>
    <sheetView workbookViewId="0">
      <selection activeCell="D13" sqref="D13"/>
    </sheetView>
  </sheetViews>
  <sheetFormatPr defaultRowHeight="15" x14ac:dyDescent="0.25"/>
  <sheetData>
    <row r="1" spans="2:252" x14ac:dyDescent="0.25">
      <c r="B1" t="s">
        <v>359</v>
      </c>
      <c r="C1" t="s">
        <v>417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6" t="s">
        <v>415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412</v>
      </c>
      <c r="C7" s="2" t="s">
        <v>41</v>
      </c>
      <c r="D7" s="61">
        <v>4.8123842592592584E-3</v>
      </c>
      <c r="E7" s="50">
        <v>415.78500000000003</v>
      </c>
      <c r="F7" s="49">
        <v>321.36</v>
      </c>
      <c r="G7" s="49">
        <v>4.96</v>
      </c>
      <c r="H7" s="49">
        <v>29.1</v>
      </c>
      <c r="I7" s="50">
        <v>0.23</v>
      </c>
      <c r="J7" s="50">
        <v>118</v>
      </c>
      <c r="K7" s="50">
        <v>10</v>
      </c>
      <c r="L7" s="50">
        <v>2</v>
      </c>
      <c r="M7" s="50">
        <v>6</v>
      </c>
      <c r="N7" s="50">
        <v>3</v>
      </c>
      <c r="O7" s="50">
        <v>3</v>
      </c>
      <c r="P7" s="49">
        <v>0.70199999999999996</v>
      </c>
      <c r="Q7" s="49">
        <v>1.085</v>
      </c>
      <c r="R7" s="49">
        <v>0.90600000000000003</v>
      </c>
      <c r="S7" s="49">
        <v>0.49299999999999999</v>
      </c>
      <c r="T7" s="49">
        <v>54.2</v>
      </c>
      <c r="U7" s="49">
        <v>60.009</v>
      </c>
      <c r="V7" s="50">
        <v>117.5</v>
      </c>
      <c r="W7" s="50">
        <v>112.5</v>
      </c>
      <c r="X7" s="50">
        <v>102.5</v>
      </c>
      <c r="Y7" s="50">
        <v>110</v>
      </c>
      <c r="Z7" s="49">
        <v>254.27</v>
      </c>
      <c r="AA7" s="49">
        <v>256.44</v>
      </c>
      <c r="AB7" s="49">
        <v>167.98</v>
      </c>
      <c r="AC7" s="49">
        <v>204.25</v>
      </c>
      <c r="AD7" s="49">
        <v>1.728</v>
      </c>
      <c r="AE7" s="49">
        <v>1.8029999999999999</v>
      </c>
      <c r="AF7" s="49">
        <v>1.613</v>
      </c>
      <c r="AG7" s="49">
        <v>1.6559999999999999</v>
      </c>
      <c r="AH7" s="49">
        <v>59.88</v>
      </c>
      <c r="AI7" s="49">
        <v>56.87</v>
      </c>
      <c r="AJ7" s="49">
        <v>76.97</v>
      </c>
      <c r="AK7" s="49">
        <v>74.819999999999993</v>
      </c>
      <c r="AL7" s="49">
        <v>612.36699999999996</v>
      </c>
      <c r="AM7" s="49">
        <v>607.96</v>
      </c>
      <c r="AN7" s="49">
        <v>737.48500000000001</v>
      </c>
      <c r="AO7" s="49">
        <v>719.71799999999996</v>
      </c>
      <c r="AP7" s="50">
        <v>1.359</v>
      </c>
      <c r="AQ7" s="49">
        <v>1.7629999999999999</v>
      </c>
      <c r="AR7" s="49">
        <v>41.829000000000001</v>
      </c>
      <c r="AS7" s="49">
        <v>37.936</v>
      </c>
      <c r="AT7" s="50">
        <v>86</v>
      </c>
      <c r="AU7" s="49">
        <v>108</v>
      </c>
      <c r="AV7" s="49">
        <v>2.4255</v>
      </c>
      <c r="AW7" s="49">
        <v>4.9034000000000004</v>
      </c>
      <c r="AX7" s="49">
        <v>1014.9</v>
      </c>
      <c r="AY7" s="50">
        <v>2.57</v>
      </c>
      <c r="AZ7" s="49">
        <v>5.7</v>
      </c>
      <c r="BA7" s="50">
        <v>66.599999999999994</v>
      </c>
      <c r="BB7" s="50">
        <v>66.903999999999996</v>
      </c>
      <c r="BC7" s="49">
        <v>7622</v>
      </c>
      <c r="BD7" s="49">
        <v>89.25</v>
      </c>
      <c r="BE7" s="50">
        <v>17.594999999999999</v>
      </c>
      <c r="BF7" s="49">
        <v>12.855</v>
      </c>
      <c r="BG7" s="49">
        <v>28.44</v>
      </c>
      <c r="BH7" s="49">
        <v>25.24</v>
      </c>
      <c r="BI7" s="49">
        <v>64.932000000000002</v>
      </c>
      <c r="BJ7" s="49">
        <v>81.012</v>
      </c>
      <c r="BK7" s="49">
        <v>63.231999999999999</v>
      </c>
      <c r="BL7" s="50">
        <v>77.772999999999996</v>
      </c>
      <c r="BM7" s="49">
        <v>79.11</v>
      </c>
      <c r="BN7" s="50">
        <v>146.792</v>
      </c>
      <c r="BO7" s="50">
        <v>141.464</v>
      </c>
      <c r="BP7" s="49">
        <v>126.072</v>
      </c>
      <c r="BQ7" s="49">
        <v>132.63200000000001</v>
      </c>
      <c r="BR7" s="49">
        <v>59.106999999999999</v>
      </c>
      <c r="BS7" s="49">
        <v>28.9</v>
      </c>
      <c r="BT7" s="49">
        <v>7313.7030000000004</v>
      </c>
      <c r="BU7" s="49">
        <v>43.445999999999998</v>
      </c>
      <c r="BV7" s="50">
        <v>55.89</v>
      </c>
      <c r="BW7" s="50">
        <v>58.741</v>
      </c>
      <c r="BX7" s="50">
        <v>59.103999999999999</v>
      </c>
      <c r="BY7" s="49">
        <v>1.429</v>
      </c>
      <c r="BZ7" s="49">
        <v>2.2919999999999998</v>
      </c>
      <c r="CA7" s="49">
        <v>3.3919999999999999</v>
      </c>
      <c r="CB7" s="49">
        <v>3.1930000000000001</v>
      </c>
      <c r="CC7" s="49">
        <v>1.089</v>
      </c>
      <c r="CD7" s="49">
        <v>2.0390000000000001</v>
      </c>
      <c r="CE7" s="50">
        <v>1.36</v>
      </c>
      <c r="CF7" s="50">
        <v>2.085</v>
      </c>
      <c r="CG7" s="49">
        <v>13.858000000000001</v>
      </c>
      <c r="CH7" s="50">
        <v>10.02</v>
      </c>
      <c r="CI7" s="49">
        <v>5.1760000000000002</v>
      </c>
      <c r="CJ7" s="49">
        <v>-573.15499999999997</v>
      </c>
      <c r="CK7" s="49">
        <v>1.3839999999999999</v>
      </c>
      <c r="CL7" s="49">
        <v>0.1</v>
      </c>
      <c r="CM7" s="49">
        <v>0.5</v>
      </c>
      <c r="CN7" s="50">
        <v>0</v>
      </c>
      <c r="CO7" s="50">
        <v>0</v>
      </c>
      <c r="CP7" s="50">
        <v>108.494</v>
      </c>
      <c r="CQ7" s="50">
        <v>105.767</v>
      </c>
      <c r="CR7" s="49">
        <v>106.002</v>
      </c>
      <c r="CS7" s="49">
        <v>111.01</v>
      </c>
      <c r="CT7" s="50">
        <v>0.375</v>
      </c>
      <c r="CU7" s="49">
        <v>1.198</v>
      </c>
      <c r="CV7" s="49">
        <v>1.298</v>
      </c>
      <c r="CW7" s="49">
        <v>1.7989999999999999</v>
      </c>
      <c r="CX7" s="49">
        <v>1.796</v>
      </c>
      <c r="CY7" s="49">
        <v>1.1950000000000001</v>
      </c>
      <c r="CZ7" s="49">
        <v>1.2969999999999999</v>
      </c>
      <c r="DA7" s="49">
        <v>0.59799999999999998</v>
      </c>
      <c r="DB7" s="49">
        <v>1.397</v>
      </c>
      <c r="DC7" s="50">
        <v>6.0000000000000001E-3</v>
      </c>
      <c r="DD7" s="50">
        <v>0</v>
      </c>
      <c r="DE7" s="49">
        <v>0.20699999999999999</v>
      </c>
      <c r="DF7" s="49">
        <v>0.11600000000000001</v>
      </c>
      <c r="DG7" s="49">
        <v>0.60899999999999999</v>
      </c>
      <c r="DH7" s="49">
        <v>2.16</v>
      </c>
      <c r="DI7" s="49">
        <v>1.0780000000000001</v>
      </c>
      <c r="DJ7" s="49">
        <v>0.17599999999999999</v>
      </c>
      <c r="DK7" s="49">
        <v>0.82199999999999995</v>
      </c>
      <c r="DL7" s="50">
        <v>0.41699999999999998</v>
      </c>
      <c r="DM7" s="49">
        <v>0.54100000000000004</v>
      </c>
      <c r="DN7" s="49">
        <v>-0.06</v>
      </c>
      <c r="DO7" s="49">
        <v>-7.0000000000000001E-3</v>
      </c>
      <c r="DP7" s="49">
        <v>62.417000000000002</v>
      </c>
      <c r="DQ7" s="50">
        <v>62.317999999999998</v>
      </c>
      <c r="DR7" s="49">
        <v>51.276000000000003</v>
      </c>
      <c r="DS7" s="49">
        <v>51.067</v>
      </c>
      <c r="DT7" s="49">
        <v>2.2799999999999998</v>
      </c>
      <c r="DU7" s="49">
        <v>2.41</v>
      </c>
      <c r="DV7" s="49">
        <v>4.8099999999999996</v>
      </c>
      <c r="DW7" s="49">
        <v>4.25</v>
      </c>
      <c r="DX7" s="49">
        <v>2.4700000000000002</v>
      </c>
      <c r="DY7" s="49">
        <v>2.3199999999999998</v>
      </c>
      <c r="DZ7" s="49">
        <v>4.46</v>
      </c>
      <c r="EA7" s="49">
        <v>3.96</v>
      </c>
      <c r="EB7" s="49">
        <v>32.770000000000003</v>
      </c>
      <c r="EC7" s="49">
        <v>32.06</v>
      </c>
      <c r="ED7" s="49">
        <v>27.36</v>
      </c>
      <c r="EE7" s="49">
        <v>27.9</v>
      </c>
      <c r="EF7" s="50">
        <v>62.48</v>
      </c>
      <c r="EG7" s="50">
        <v>63.2</v>
      </c>
      <c r="EH7" s="50">
        <v>63.37</v>
      </c>
      <c r="EI7" s="50">
        <v>63.88</v>
      </c>
      <c r="EJ7" s="50">
        <v>7.4349999999999996</v>
      </c>
      <c r="EK7" s="49">
        <v>58.271000000000001</v>
      </c>
      <c r="EL7" s="50">
        <v>2.2999999999999998</v>
      </c>
      <c r="EM7" s="50">
        <v>1.4</v>
      </c>
      <c r="EN7" s="50">
        <v>1.43</v>
      </c>
      <c r="EO7" s="50">
        <v>1.42</v>
      </c>
      <c r="EP7" s="50">
        <v>-109.142</v>
      </c>
      <c r="EQ7" s="50">
        <v>-0.52100000000000002</v>
      </c>
      <c r="ER7" s="49">
        <v>83.286000000000001</v>
      </c>
      <c r="ES7" s="50">
        <v>1.4379999999999999</v>
      </c>
      <c r="ET7" s="49">
        <v>1.55</v>
      </c>
      <c r="EU7" s="50">
        <v>1.4019999999999999</v>
      </c>
      <c r="EV7" s="50">
        <v>7.4740000000000002</v>
      </c>
      <c r="EW7" s="49">
        <v>1.34</v>
      </c>
      <c r="EX7" s="49">
        <v>-451.18</v>
      </c>
      <c r="EY7" s="50">
        <v>1.7989999999999999</v>
      </c>
      <c r="EZ7" s="49">
        <v>0</v>
      </c>
      <c r="FA7" s="50">
        <v>0</v>
      </c>
      <c r="FB7" s="50">
        <v>9.3059999999999992</v>
      </c>
      <c r="FC7" s="49">
        <v>69.430999999999997</v>
      </c>
      <c r="FD7" s="49">
        <v>66.387</v>
      </c>
      <c r="FE7" s="49">
        <v>74.340999999999994</v>
      </c>
      <c r="FF7" s="49">
        <v>71.953000000000003</v>
      </c>
      <c r="FG7" s="49">
        <v>0.96099999999999997</v>
      </c>
      <c r="FH7" s="49">
        <v>0.96099999999999997</v>
      </c>
      <c r="FI7" s="50">
        <v>1.002</v>
      </c>
      <c r="FJ7" s="50">
        <v>1.0049999999999999</v>
      </c>
      <c r="FK7" s="50">
        <v>0.20200000000000001</v>
      </c>
      <c r="FL7" s="50">
        <v>86</v>
      </c>
      <c r="FM7" s="49">
        <v>3.27</v>
      </c>
      <c r="FN7" s="50">
        <v>-0.85</v>
      </c>
      <c r="FO7" s="49">
        <v>5.42</v>
      </c>
      <c r="FP7" s="50">
        <v>0.75</v>
      </c>
      <c r="FQ7" s="49">
        <v>4.75</v>
      </c>
      <c r="FR7" s="49">
        <v>5.25</v>
      </c>
      <c r="FS7" s="49">
        <v>6.5274999999999999</v>
      </c>
      <c r="FT7" s="49">
        <v>1073</v>
      </c>
      <c r="FU7" s="49">
        <v>6.28</v>
      </c>
      <c r="FV7" s="49">
        <v>4.96</v>
      </c>
      <c r="FW7" s="50">
        <v>3251</v>
      </c>
      <c r="FX7" s="49">
        <v>168500</v>
      </c>
      <c r="FY7" s="49">
        <v>172000</v>
      </c>
      <c r="FZ7" s="50">
        <v>50.787999999999997</v>
      </c>
      <c r="GA7" s="50">
        <v>49.610999999999997</v>
      </c>
      <c r="GB7" s="49">
        <v>2214.5</v>
      </c>
      <c r="GC7" s="49">
        <v>2208.1</v>
      </c>
      <c r="GD7" s="49">
        <v>2244</v>
      </c>
      <c r="GE7" s="49">
        <v>2208.3000000000002</v>
      </c>
      <c r="GF7" s="49">
        <v>1415</v>
      </c>
      <c r="GG7" s="49">
        <v>32</v>
      </c>
      <c r="GH7" s="49">
        <v>32.200000000000003</v>
      </c>
      <c r="GI7" s="50">
        <v>60.5</v>
      </c>
      <c r="GJ7" s="50">
        <v>65.8</v>
      </c>
      <c r="GK7" s="50">
        <v>97</v>
      </c>
      <c r="GL7" s="49">
        <v>77.099999999999994</v>
      </c>
      <c r="GM7" s="50">
        <v>0</v>
      </c>
      <c r="GN7" s="49">
        <v>26.039000000000001</v>
      </c>
      <c r="GO7" s="49">
        <v>109.142</v>
      </c>
      <c r="GP7" s="50">
        <v>0</v>
      </c>
      <c r="GQ7" s="49">
        <v>3.3039999999999998</v>
      </c>
      <c r="GR7" s="50">
        <v>0</v>
      </c>
      <c r="GS7" s="49">
        <v>3.4220000000000002</v>
      </c>
      <c r="GT7" s="50">
        <v>0</v>
      </c>
      <c r="GU7" s="49">
        <v>3.1859999999999999</v>
      </c>
      <c r="GV7" s="50">
        <v>0</v>
      </c>
      <c r="GW7" s="49">
        <v>13.35</v>
      </c>
      <c r="GX7" s="50">
        <v>17.934000000000001</v>
      </c>
      <c r="GY7" s="50">
        <v>0</v>
      </c>
      <c r="GZ7" s="50">
        <v>0</v>
      </c>
      <c r="HA7" s="50">
        <v>0</v>
      </c>
      <c r="HB7" s="50">
        <v>1</v>
      </c>
      <c r="HC7" s="50">
        <v>24.971</v>
      </c>
      <c r="HD7" s="50">
        <v>90</v>
      </c>
      <c r="HE7" s="50">
        <v>0</v>
      </c>
      <c r="HF7" s="50">
        <v>0</v>
      </c>
      <c r="HG7" s="50">
        <v>89.59</v>
      </c>
      <c r="HH7" s="49">
        <v>78.41</v>
      </c>
      <c r="HI7" s="50">
        <v>0</v>
      </c>
      <c r="HJ7" s="50">
        <v>0</v>
      </c>
      <c r="HK7" s="50">
        <v>0</v>
      </c>
      <c r="HL7" s="50">
        <v>73</v>
      </c>
      <c r="HM7" s="50">
        <v>56</v>
      </c>
      <c r="HN7" s="49">
        <v>67</v>
      </c>
      <c r="HO7" s="49">
        <v>60</v>
      </c>
      <c r="HP7" s="49">
        <v>63</v>
      </c>
      <c r="HQ7" s="49">
        <v>61</v>
      </c>
      <c r="HR7" s="49">
        <v>54</v>
      </c>
      <c r="HS7" s="49">
        <v>62</v>
      </c>
      <c r="HT7" s="50">
        <v>-1.3425</v>
      </c>
      <c r="HU7" s="50">
        <v>0</v>
      </c>
      <c r="HV7" s="49">
        <v>-0.95499999999999996</v>
      </c>
      <c r="HW7" s="49">
        <v>39.39</v>
      </c>
      <c r="HX7" s="49">
        <v>51.48</v>
      </c>
      <c r="HY7" s="49">
        <v>49.21</v>
      </c>
      <c r="HZ7" s="49">
        <v>58.54</v>
      </c>
      <c r="IA7" s="49">
        <v>2.472</v>
      </c>
      <c r="IB7" s="49">
        <v>97</v>
      </c>
      <c r="IC7" s="49">
        <v>17.736999999999998</v>
      </c>
      <c r="ID7" s="50">
        <v>-0.11899999999999999</v>
      </c>
      <c r="IE7" s="50">
        <v>-3.9E-2</v>
      </c>
      <c r="IF7" s="49">
        <v>807.4</v>
      </c>
      <c r="IG7" s="49">
        <v>641.29999999999995</v>
      </c>
      <c r="IH7" s="49">
        <v>813.3</v>
      </c>
      <c r="II7" s="49">
        <v>657.5</v>
      </c>
      <c r="IJ7" s="50">
        <v>5.2999999999999999E-2</v>
      </c>
      <c r="IK7" s="50">
        <v>1E-3</v>
      </c>
      <c r="IL7" s="50">
        <v>293.90600000000001</v>
      </c>
      <c r="IM7" s="50">
        <v>293.80500000000001</v>
      </c>
      <c r="IN7" s="50">
        <v>16.298999999999999</v>
      </c>
      <c r="IO7" s="49">
        <v>0.317</v>
      </c>
      <c r="IP7" s="50">
        <v>10.75</v>
      </c>
      <c r="IQ7" s="50">
        <v>1.6E-2</v>
      </c>
      <c r="IR7" s="50">
        <v>1.4E-2</v>
      </c>
    </row>
    <row r="8" spans="2:252" x14ac:dyDescent="0.25">
      <c r="B8" s="2" t="s">
        <v>412</v>
      </c>
      <c r="C8" s="2" t="s">
        <v>42</v>
      </c>
      <c r="D8" s="61">
        <v>2.4730324074074077E-3</v>
      </c>
      <c r="E8" s="49">
        <v>213.71</v>
      </c>
      <c r="F8" s="49">
        <v>328.4</v>
      </c>
      <c r="G8" s="49">
        <v>5.84</v>
      </c>
      <c r="H8" s="49">
        <v>29.2</v>
      </c>
      <c r="I8" s="49">
        <v>0</v>
      </c>
      <c r="J8" s="49">
        <v>15.2</v>
      </c>
      <c r="K8" s="50">
        <v>10</v>
      </c>
      <c r="L8" s="50">
        <v>2</v>
      </c>
      <c r="M8" s="50">
        <v>6</v>
      </c>
      <c r="N8" s="50">
        <v>3</v>
      </c>
      <c r="O8" s="50">
        <v>3</v>
      </c>
      <c r="P8" s="49">
        <v>0.78900000000000003</v>
      </c>
      <c r="Q8" s="49">
        <v>1.2809999999999999</v>
      </c>
      <c r="R8" s="49">
        <v>0.77100000000000002</v>
      </c>
      <c r="S8" s="49">
        <v>0.65100000000000002</v>
      </c>
      <c r="T8" s="49">
        <v>70.56</v>
      </c>
      <c r="U8" s="49">
        <v>60.012</v>
      </c>
      <c r="V8" s="49">
        <v>218.34</v>
      </c>
      <c r="W8" s="49">
        <v>220</v>
      </c>
      <c r="X8" s="49">
        <v>137.5</v>
      </c>
      <c r="Y8" s="49">
        <v>175</v>
      </c>
      <c r="Z8" s="49">
        <v>368.06</v>
      </c>
      <c r="AA8" s="49">
        <v>366.29</v>
      </c>
      <c r="AB8" s="49">
        <v>271.14999999999998</v>
      </c>
      <c r="AC8" s="49">
        <v>328.67</v>
      </c>
      <c r="AD8" s="49">
        <v>1.7549999999999999</v>
      </c>
      <c r="AE8" s="49">
        <v>1.8140000000000001</v>
      </c>
      <c r="AF8" s="49">
        <v>1.6859999999999999</v>
      </c>
      <c r="AG8" s="49">
        <v>1.7230000000000001</v>
      </c>
      <c r="AH8" s="49">
        <v>73.87</v>
      </c>
      <c r="AI8" s="49">
        <v>70.88</v>
      </c>
      <c r="AJ8" s="49">
        <v>94.14</v>
      </c>
      <c r="AK8" s="49">
        <v>91.5</v>
      </c>
      <c r="AL8" s="49">
        <v>661.63699999999994</v>
      </c>
      <c r="AM8" s="49">
        <v>681.53599999999994</v>
      </c>
      <c r="AN8" s="49">
        <v>779.30700000000002</v>
      </c>
      <c r="AO8" s="49">
        <v>781.27099999999996</v>
      </c>
      <c r="AP8" s="49">
        <v>1.3089999999999999</v>
      </c>
      <c r="AQ8" s="49">
        <v>1.7729999999999999</v>
      </c>
      <c r="AR8" s="49">
        <v>41.408999999999999</v>
      </c>
      <c r="AS8" s="49">
        <v>36.484999999999999</v>
      </c>
      <c r="AT8" s="49">
        <v>83</v>
      </c>
      <c r="AU8" s="49">
        <v>115</v>
      </c>
      <c r="AV8" s="49">
        <v>2.254</v>
      </c>
      <c r="AW8" s="50">
        <v>5.3724999999999996</v>
      </c>
      <c r="AX8" s="49">
        <v>1016</v>
      </c>
      <c r="AY8" s="49">
        <v>2.09</v>
      </c>
      <c r="AZ8" s="49">
        <v>5.62</v>
      </c>
      <c r="BA8" s="49">
        <v>93.8</v>
      </c>
      <c r="BB8" s="49">
        <v>93.1</v>
      </c>
      <c r="BC8" s="50">
        <v>7798</v>
      </c>
      <c r="BD8" s="49">
        <v>88</v>
      </c>
      <c r="BE8" s="49">
        <v>15.574999999999999</v>
      </c>
      <c r="BF8" s="49">
        <v>14.71</v>
      </c>
      <c r="BG8" s="49">
        <v>28.69</v>
      </c>
      <c r="BH8" s="50">
        <v>30.91</v>
      </c>
      <c r="BI8" s="3"/>
      <c r="BJ8" s="3"/>
      <c r="BK8" s="3"/>
      <c r="BL8" s="3"/>
      <c r="BM8" s="3"/>
      <c r="BN8" s="49">
        <v>96.263999999999996</v>
      </c>
      <c r="BO8" s="49">
        <v>92.632000000000005</v>
      </c>
      <c r="BP8" s="49">
        <v>115.32</v>
      </c>
      <c r="BQ8" s="49">
        <v>118.6</v>
      </c>
      <c r="BR8" s="3"/>
      <c r="BS8" s="49">
        <v>29</v>
      </c>
      <c r="BT8" s="49">
        <v>7467.076</v>
      </c>
      <c r="BU8" s="49">
        <v>51.457000000000001</v>
      </c>
      <c r="BV8" s="49">
        <v>54.441000000000003</v>
      </c>
      <c r="BW8" s="49">
        <v>56.539000000000001</v>
      </c>
      <c r="BX8" s="49">
        <v>57.762</v>
      </c>
      <c r="BY8" s="49">
        <v>1.4419999999999999</v>
      </c>
      <c r="BZ8" s="49">
        <v>2.7810000000000001</v>
      </c>
      <c r="CA8" s="49">
        <v>3.702</v>
      </c>
      <c r="CB8" s="49">
        <v>3.19</v>
      </c>
      <c r="CC8" s="49">
        <v>1.1100000000000001</v>
      </c>
      <c r="CD8" s="50">
        <v>2.1739999999999999</v>
      </c>
      <c r="CE8" s="49">
        <v>1.2869999999999999</v>
      </c>
      <c r="CF8" s="49">
        <v>1.998</v>
      </c>
      <c r="CG8" s="50">
        <v>13.941000000000001</v>
      </c>
      <c r="CH8" s="49">
        <v>13.803000000000001</v>
      </c>
      <c r="CI8" s="50">
        <v>5.4240000000000004</v>
      </c>
      <c r="CJ8" s="49">
        <v>-748.80399999999997</v>
      </c>
      <c r="CK8" s="49">
        <v>1.63</v>
      </c>
      <c r="CL8" s="49">
        <v>0.3</v>
      </c>
      <c r="CM8" s="50">
        <v>1.5</v>
      </c>
      <c r="CN8" s="50">
        <v>0</v>
      </c>
      <c r="CO8" s="50">
        <v>0</v>
      </c>
      <c r="CP8" s="49">
        <v>91.522000000000006</v>
      </c>
      <c r="CQ8" s="49">
        <v>88.893000000000001</v>
      </c>
      <c r="CR8" s="49">
        <v>100.41800000000001</v>
      </c>
      <c r="CS8" s="49">
        <v>105.55800000000001</v>
      </c>
      <c r="CT8" s="49">
        <v>0.312</v>
      </c>
      <c r="CU8" s="49">
        <v>1.3</v>
      </c>
      <c r="CV8" s="49">
        <v>1.099</v>
      </c>
      <c r="CW8" s="49">
        <v>1.1990000000000001</v>
      </c>
      <c r="CX8" s="49">
        <v>1.397</v>
      </c>
      <c r="CY8" s="49">
        <v>1.002</v>
      </c>
      <c r="CZ8" s="49">
        <v>1.298</v>
      </c>
      <c r="DA8" s="49">
        <v>0.90100000000000002</v>
      </c>
      <c r="DB8" s="49">
        <v>1.099</v>
      </c>
      <c r="DC8" s="49">
        <v>0</v>
      </c>
      <c r="DD8" s="50">
        <v>0</v>
      </c>
      <c r="DE8" s="49">
        <v>0.33600000000000002</v>
      </c>
      <c r="DF8" s="49">
        <v>0.157</v>
      </c>
      <c r="DG8" s="50">
        <v>1.302</v>
      </c>
      <c r="DH8" s="49">
        <v>2.5470000000000002</v>
      </c>
      <c r="DI8" s="49">
        <v>1.304</v>
      </c>
      <c r="DJ8" s="49">
        <v>0.27800000000000002</v>
      </c>
      <c r="DK8" s="49">
        <v>1.0860000000000001</v>
      </c>
      <c r="DL8" s="49">
        <v>0.40600000000000003</v>
      </c>
      <c r="DM8" s="49">
        <v>0.47699999999999998</v>
      </c>
      <c r="DN8" s="49">
        <v>0.35799999999999998</v>
      </c>
      <c r="DO8" s="49">
        <v>0.32700000000000001</v>
      </c>
      <c r="DP8" s="49">
        <v>68.096000000000004</v>
      </c>
      <c r="DQ8" s="49">
        <v>62.218000000000004</v>
      </c>
      <c r="DR8" s="49">
        <v>52.335999999999999</v>
      </c>
      <c r="DS8" s="49">
        <v>51.597999999999999</v>
      </c>
      <c r="DT8" s="49">
        <v>6.6</v>
      </c>
      <c r="DU8" s="49">
        <v>6.22</v>
      </c>
      <c r="DV8" s="49">
        <v>12.98</v>
      </c>
      <c r="DW8" s="49">
        <v>11.11</v>
      </c>
      <c r="DX8" s="49">
        <v>7.05</v>
      </c>
      <c r="DY8" s="49">
        <v>6.62</v>
      </c>
      <c r="DZ8" s="49">
        <v>12.4</v>
      </c>
      <c r="EA8" s="49">
        <v>10.69</v>
      </c>
      <c r="EB8" s="49">
        <v>41.54</v>
      </c>
      <c r="EC8" s="50">
        <v>41.64</v>
      </c>
      <c r="ED8" s="49">
        <v>32.31</v>
      </c>
      <c r="EE8" s="49">
        <v>34.28</v>
      </c>
      <c r="EF8" s="49">
        <v>44.81</v>
      </c>
      <c r="EG8" s="49">
        <v>45.51</v>
      </c>
      <c r="EH8" s="49">
        <v>42.32</v>
      </c>
      <c r="EI8" s="49">
        <v>43.93</v>
      </c>
      <c r="EJ8" s="49">
        <v>7.1289999999999996</v>
      </c>
      <c r="EK8" s="49">
        <v>59.465000000000003</v>
      </c>
      <c r="EL8" s="49">
        <v>1.9</v>
      </c>
      <c r="EM8" s="49">
        <v>1.45</v>
      </c>
      <c r="EN8" s="49">
        <v>1.21</v>
      </c>
      <c r="EO8" s="49">
        <v>1.21</v>
      </c>
      <c r="EP8" s="49">
        <v>-103.01</v>
      </c>
      <c r="EQ8" s="49">
        <v>-2.423</v>
      </c>
      <c r="ER8" s="49">
        <v>105.77</v>
      </c>
      <c r="ES8" s="49">
        <v>1.415</v>
      </c>
      <c r="ET8" s="50">
        <v>1.5760000000000001</v>
      </c>
      <c r="EU8" s="49">
        <v>1.38</v>
      </c>
      <c r="EV8" s="49">
        <v>7.4169999999999998</v>
      </c>
      <c r="EW8" s="50">
        <v>1.8320000000000001</v>
      </c>
      <c r="EX8" s="49">
        <v>73.06</v>
      </c>
      <c r="EY8" s="49">
        <v>0</v>
      </c>
      <c r="EZ8" s="50">
        <v>5.92</v>
      </c>
      <c r="FA8" s="50">
        <v>0</v>
      </c>
      <c r="FB8" s="49">
        <v>9.1829999999999998</v>
      </c>
      <c r="FC8" s="49">
        <v>64.793000000000006</v>
      </c>
      <c r="FD8" s="49">
        <v>61.052999999999997</v>
      </c>
      <c r="FE8" s="49">
        <v>69.099000000000004</v>
      </c>
      <c r="FF8" s="49">
        <v>68.649000000000001</v>
      </c>
      <c r="FG8" s="49">
        <v>0.93400000000000005</v>
      </c>
      <c r="FH8" s="49">
        <v>0.93500000000000005</v>
      </c>
      <c r="FI8" s="49">
        <v>0.995</v>
      </c>
      <c r="FJ8" s="49">
        <v>1</v>
      </c>
      <c r="FK8" s="49">
        <v>0</v>
      </c>
      <c r="FL8" s="49">
        <v>83</v>
      </c>
      <c r="FM8" s="49">
        <v>3.37</v>
      </c>
      <c r="FN8" s="49">
        <v>-0.78</v>
      </c>
      <c r="FO8" s="49">
        <v>5.42</v>
      </c>
      <c r="FP8" s="3"/>
      <c r="FQ8" s="50">
        <v>4.5</v>
      </c>
      <c r="FR8" s="49">
        <v>5.0999999999999996</v>
      </c>
      <c r="FS8" s="49">
        <v>6.7774999999999999</v>
      </c>
      <c r="FT8" s="49">
        <v>1071.9000000000001</v>
      </c>
      <c r="FU8" s="49">
        <v>6.5</v>
      </c>
      <c r="FV8" s="49">
        <v>10.8</v>
      </c>
      <c r="FW8" s="49">
        <v>3188</v>
      </c>
      <c r="FX8" s="49">
        <v>166800</v>
      </c>
      <c r="FY8" s="49">
        <v>168300</v>
      </c>
      <c r="FZ8" s="49">
        <v>48.162999999999997</v>
      </c>
      <c r="GA8" s="49">
        <v>47.366999999999997</v>
      </c>
      <c r="GB8" s="49">
        <v>2174.8000000000002</v>
      </c>
      <c r="GC8" s="49">
        <v>2176.6999999999998</v>
      </c>
      <c r="GD8" s="49">
        <v>2206</v>
      </c>
      <c r="GE8" s="49">
        <v>2208.1999999999998</v>
      </c>
      <c r="GF8" s="49">
        <v>1464.0625</v>
      </c>
      <c r="GG8" s="49">
        <v>32</v>
      </c>
      <c r="GH8" s="49">
        <v>32.5</v>
      </c>
      <c r="GI8" s="49">
        <v>51.1</v>
      </c>
      <c r="GJ8" s="49">
        <v>56.6</v>
      </c>
      <c r="GK8" s="49">
        <v>99.5</v>
      </c>
      <c r="GL8" s="49">
        <v>89.8</v>
      </c>
      <c r="GM8" s="50">
        <v>0</v>
      </c>
      <c r="GN8" s="49">
        <v>27.158999999999999</v>
      </c>
      <c r="GO8" s="49">
        <v>105.77</v>
      </c>
      <c r="GP8" s="49">
        <v>0.35399999999999998</v>
      </c>
      <c r="GQ8" s="49">
        <v>1.9470000000000001</v>
      </c>
      <c r="GR8" s="49">
        <v>0.59</v>
      </c>
      <c r="GS8" s="49">
        <v>2.0059999999999998</v>
      </c>
      <c r="GT8" s="49">
        <v>0.53100000000000003</v>
      </c>
      <c r="GU8" s="49">
        <v>1.8879999999999999</v>
      </c>
      <c r="GV8" s="49">
        <v>13.132</v>
      </c>
      <c r="GW8" s="49">
        <v>14.12</v>
      </c>
      <c r="GX8" s="49">
        <v>15.875999999999999</v>
      </c>
      <c r="GY8" s="50">
        <v>0</v>
      </c>
      <c r="GZ8" s="50">
        <v>0</v>
      </c>
      <c r="HA8" s="50">
        <v>0</v>
      </c>
      <c r="HB8" s="49">
        <v>0</v>
      </c>
      <c r="HC8" s="49">
        <v>23.175999999999998</v>
      </c>
      <c r="HD8" s="49">
        <v>78</v>
      </c>
      <c r="HE8" s="50">
        <v>0</v>
      </c>
      <c r="HF8" s="50">
        <v>0</v>
      </c>
      <c r="HG8" s="49">
        <v>77.099999999999994</v>
      </c>
      <c r="HH8" s="49">
        <v>78.099999999999994</v>
      </c>
      <c r="HI8" s="50">
        <v>0</v>
      </c>
      <c r="HJ8" s="50">
        <v>0</v>
      </c>
      <c r="HK8" s="50">
        <v>0</v>
      </c>
      <c r="HL8" s="49">
        <v>65</v>
      </c>
      <c r="HM8" s="49">
        <v>55</v>
      </c>
      <c r="HN8" s="49">
        <v>67</v>
      </c>
      <c r="HO8" s="49">
        <v>61</v>
      </c>
      <c r="HP8" s="49">
        <v>64</v>
      </c>
      <c r="HQ8" s="49">
        <v>62</v>
      </c>
      <c r="HR8" s="49">
        <v>54</v>
      </c>
      <c r="HS8" s="49">
        <v>62</v>
      </c>
      <c r="HT8" s="49">
        <v>-1.3194999999999999</v>
      </c>
      <c r="HU8" s="50">
        <v>0</v>
      </c>
      <c r="HV8" s="49">
        <v>0.125</v>
      </c>
      <c r="HW8" s="50">
        <v>36.81</v>
      </c>
      <c r="HX8" s="50">
        <v>46.57</v>
      </c>
      <c r="HY8" s="49">
        <v>48.68</v>
      </c>
      <c r="HZ8" s="49">
        <v>59.91</v>
      </c>
      <c r="IA8" s="49">
        <v>2.7949999999999999</v>
      </c>
      <c r="IB8" s="49">
        <v>104</v>
      </c>
      <c r="IC8" s="49">
        <v>22.41</v>
      </c>
      <c r="ID8" s="49">
        <v>-0.28599999999999998</v>
      </c>
      <c r="IE8" s="49">
        <v>-0.108</v>
      </c>
      <c r="IF8" s="50">
        <v>818.1</v>
      </c>
      <c r="IG8" s="49">
        <v>768.2</v>
      </c>
      <c r="IH8" s="49">
        <v>828.1</v>
      </c>
      <c r="II8" s="49">
        <v>781.3</v>
      </c>
      <c r="IJ8" s="49">
        <v>-0.09</v>
      </c>
      <c r="IK8" s="49">
        <v>-0.20200000000000001</v>
      </c>
      <c r="IL8" s="49">
        <v>70.850999999999999</v>
      </c>
      <c r="IM8" s="49">
        <v>70.850999999999999</v>
      </c>
      <c r="IN8" s="49">
        <v>13.236000000000001</v>
      </c>
      <c r="IO8" s="49">
        <v>0.495</v>
      </c>
      <c r="IP8" s="49">
        <v>10.65</v>
      </c>
      <c r="IQ8" s="49">
        <v>0.01</v>
      </c>
      <c r="IR8" s="49">
        <v>5.0000000000000001E-3</v>
      </c>
    </row>
    <row r="9" spans="2:252" x14ac:dyDescent="0.25">
      <c r="B9" s="2" t="s">
        <v>412</v>
      </c>
      <c r="C9" s="62" t="s">
        <v>43</v>
      </c>
      <c r="D9" s="63">
        <v>2.4324074074074074E-3</v>
      </c>
      <c r="E9" s="49">
        <v>210.2</v>
      </c>
      <c r="F9" s="49">
        <v>329.44</v>
      </c>
      <c r="G9" s="50">
        <v>5.95</v>
      </c>
      <c r="H9" s="49">
        <v>29.4</v>
      </c>
      <c r="I9" s="49">
        <v>0</v>
      </c>
      <c r="J9" s="49">
        <v>12.3</v>
      </c>
      <c r="K9" s="50">
        <v>10</v>
      </c>
      <c r="L9" s="50">
        <v>2</v>
      </c>
      <c r="M9" s="50">
        <v>6</v>
      </c>
      <c r="N9" s="50">
        <v>3</v>
      </c>
      <c r="O9" s="50">
        <v>3</v>
      </c>
      <c r="P9" s="49">
        <v>0.877</v>
      </c>
      <c r="Q9" s="50">
        <v>1.466</v>
      </c>
      <c r="R9" s="49">
        <v>0.82899999999999996</v>
      </c>
      <c r="S9" s="50">
        <v>0.80400000000000005</v>
      </c>
      <c r="T9" s="49">
        <v>77.45</v>
      </c>
      <c r="U9" s="49">
        <v>60.12</v>
      </c>
      <c r="V9" s="49">
        <v>235</v>
      </c>
      <c r="W9" s="49">
        <v>236.66</v>
      </c>
      <c r="X9" s="49">
        <v>177.5</v>
      </c>
      <c r="Y9" s="49">
        <v>223.34</v>
      </c>
      <c r="Z9" s="49">
        <v>383.27</v>
      </c>
      <c r="AA9" s="50">
        <v>387.74</v>
      </c>
      <c r="AB9" s="50">
        <v>307.20999999999998</v>
      </c>
      <c r="AC9" s="50">
        <v>373.72</v>
      </c>
      <c r="AD9" s="49">
        <v>1.8069999999999999</v>
      </c>
      <c r="AE9" s="49">
        <v>1.867</v>
      </c>
      <c r="AF9" s="49">
        <v>1.784</v>
      </c>
      <c r="AG9" s="49">
        <v>1.81</v>
      </c>
      <c r="AH9" s="49">
        <v>83.32</v>
      </c>
      <c r="AI9" s="49">
        <v>80.39</v>
      </c>
      <c r="AJ9" s="49">
        <v>106.88</v>
      </c>
      <c r="AK9" s="49">
        <v>103.01</v>
      </c>
      <c r="AL9" s="50">
        <v>684.12800000000004</v>
      </c>
      <c r="AM9" s="50">
        <v>692.66800000000001</v>
      </c>
      <c r="AN9" s="50">
        <v>857.53099999999995</v>
      </c>
      <c r="AO9" s="49">
        <v>825.09199999999998</v>
      </c>
      <c r="AP9" s="49">
        <v>1.3049999999999999</v>
      </c>
      <c r="AQ9" s="50">
        <v>1.784</v>
      </c>
      <c r="AR9" s="49">
        <v>40.063000000000002</v>
      </c>
      <c r="AS9" s="49">
        <v>36.209000000000003</v>
      </c>
      <c r="AT9" s="49">
        <v>83</v>
      </c>
      <c r="AU9" s="49">
        <v>118</v>
      </c>
      <c r="AV9" s="50">
        <v>1.9015</v>
      </c>
      <c r="AW9" s="49">
        <v>5.3471000000000002</v>
      </c>
      <c r="AX9" s="49">
        <v>1014.5</v>
      </c>
      <c r="AY9" s="49">
        <v>2.17</v>
      </c>
      <c r="AZ9" s="49">
        <v>5.69</v>
      </c>
      <c r="BA9" s="49">
        <v>132.767</v>
      </c>
      <c r="BB9" s="49">
        <v>133.571</v>
      </c>
      <c r="BC9" s="49">
        <v>7777</v>
      </c>
      <c r="BD9" s="49">
        <v>88</v>
      </c>
      <c r="BE9" s="49">
        <v>16.71</v>
      </c>
      <c r="BF9" s="49">
        <v>14.525</v>
      </c>
      <c r="BG9" s="49">
        <v>28.56</v>
      </c>
      <c r="BH9" s="49">
        <v>28.54</v>
      </c>
      <c r="BI9" s="3"/>
      <c r="BJ9" s="3"/>
      <c r="BK9" s="3"/>
      <c r="BL9" s="3"/>
      <c r="BM9" s="3"/>
      <c r="BN9" s="49">
        <v>99.08</v>
      </c>
      <c r="BO9" s="49">
        <v>96.52</v>
      </c>
      <c r="BP9" s="49">
        <v>127.48</v>
      </c>
      <c r="BQ9" s="49">
        <v>130.904</v>
      </c>
      <c r="BR9" s="3"/>
      <c r="BS9" s="49">
        <v>29.1</v>
      </c>
      <c r="BT9" s="49">
        <v>7431.6459999999997</v>
      </c>
      <c r="BU9" s="49">
        <v>50.536999999999999</v>
      </c>
      <c r="BV9" s="49">
        <v>54.47</v>
      </c>
      <c r="BW9" s="49">
        <v>54.737000000000002</v>
      </c>
      <c r="BX9" s="49">
        <v>57.234999999999999</v>
      </c>
      <c r="BY9" s="50">
        <v>1.5189999999999999</v>
      </c>
      <c r="BZ9" s="49">
        <v>2.944</v>
      </c>
      <c r="CA9" s="49">
        <v>3.8069999999999999</v>
      </c>
      <c r="CB9" s="49">
        <v>3.669</v>
      </c>
      <c r="CC9" s="50">
        <v>1.1220000000000001</v>
      </c>
      <c r="CD9" s="49">
        <v>2.1560000000000001</v>
      </c>
      <c r="CE9" s="49">
        <v>1.2390000000000001</v>
      </c>
      <c r="CF9" s="49">
        <v>2.0259999999999998</v>
      </c>
      <c r="CG9" s="49">
        <v>13.939</v>
      </c>
      <c r="CH9" s="49">
        <v>13.781000000000001</v>
      </c>
      <c r="CI9" s="49">
        <v>4.8440000000000003</v>
      </c>
      <c r="CJ9" s="49">
        <v>-103.21299999999999</v>
      </c>
      <c r="CK9" s="50">
        <v>1.641</v>
      </c>
      <c r="CL9" s="49">
        <v>0</v>
      </c>
      <c r="CM9" s="49">
        <v>0.2</v>
      </c>
      <c r="CN9" s="50">
        <v>0</v>
      </c>
      <c r="CO9" s="50">
        <v>0</v>
      </c>
      <c r="CP9" s="49">
        <v>95.63</v>
      </c>
      <c r="CQ9" s="49">
        <v>93.314999999999998</v>
      </c>
      <c r="CR9" s="49">
        <v>117.905</v>
      </c>
      <c r="CS9" s="49">
        <v>122.992</v>
      </c>
      <c r="CT9" s="49">
        <v>0.32</v>
      </c>
      <c r="CU9" s="49">
        <v>0.7</v>
      </c>
      <c r="CV9" s="49">
        <v>0.998</v>
      </c>
      <c r="CW9" s="49">
        <v>0.998</v>
      </c>
      <c r="CX9" s="49">
        <v>1.597</v>
      </c>
      <c r="CY9" s="49">
        <v>1.595</v>
      </c>
      <c r="CZ9" s="49">
        <v>1.498</v>
      </c>
      <c r="DA9" s="49">
        <v>0.80100000000000005</v>
      </c>
      <c r="DB9" s="49">
        <v>1.698</v>
      </c>
      <c r="DC9" s="49">
        <v>0</v>
      </c>
      <c r="DD9" s="50">
        <v>0</v>
      </c>
      <c r="DE9" s="49">
        <v>0.34599999999999997</v>
      </c>
      <c r="DF9" s="50">
        <v>0.20799999999999999</v>
      </c>
      <c r="DG9" s="49">
        <v>0.88</v>
      </c>
      <c r="DH9" s="49">
        <v>2.6419999999999999</v>
      </c>
      <c r="DI9" s="49">
        <v>1.3140000000000001</v>
      </c>
      <c r="DJ9" s="49">
        <v>0.19400000000000001</v>
      </c>
      <c r="DK9" s="49">
        <v>1.2230000000000001</v>
      </c>
      <c r="DL9" s="49">
        <v>0.39900000000000002</v>
      </c>
      <c r="DM9" s="49">
        <v>0.52300000000000002</v>
      </c>
      <c r="DN9" s="49">
        <v>1.028</v>
      </c>
      <c r="DO9" s="49">
        <v>0.25800000000000001</v>
      </c>
      <c r="DP9" s="49">
        <v>66.376000000000005</v>
      </c>
      <c r="DQ9" s="49">
        <v>60.494</v>
      </c>
      <c r="DR9" s="49">
        <v>54.155000000000001</v>
      </c>
      <c r="DS9" s="49">
        <v>52.430999999999997</v>
      </c>
      <c r="DT9" s="49">
        <v>7.26</v>
      </c>
      <c r="DU9" s="49">
        <v>6.74</v>
      </c>
      <c r="DV9" s="50">
        <v>14.29</v>
      </c>
      <c r="DW9" s="50">
        <v>12.15</v>
      </c>
      <c r="DX9" s="50">
        <v>7.69</v>
      </c>
      <c r="DY9" s="50">
        <v>7.31</v>
      </c>
      <c r="DZ9" s="50">
        <v>13.75</v>
      </c>
      <c r="EA9" s="50">
        <v>12.02</v>
      </c>
      <c r="EB9" s="49">
        <v>41.29</v>
      </c>
      <c r="EC9" s="49">
        <v>41.18</v>
      </c>
      <c r="ED9" s="49">
        <v>31.66</v>
      </c>
      <c r="EE9" s="49">
        <v>33.68</v>
      </c>
      <c r="EF9" s="49">
        <v>43.75</v>
      </c>
      <c r="EG9" s="49">
        <v>44.76</v>
      </c>
      <c r="EH9" s="49">
        <v>40.299999999999997</v>
      </c>
      <c r="EI9" s="49">
        <v>42.15</v>
      </c>
      <c r="EJ9" s="49">
        <v>7.1580000000000004</v>
      </c>
      <c r="EK9" s="50">
        <v>59.610999999999997</v>
      </c>
      <c r="EL9" s="49">
        <v>1.95</v>
      </c>
      <c r="EM9" s="49">
        <v>1.55</v>
      </c>
      <c r="EN9" s="49">
        <v>1.19</v>
      </c>
      <c r="EO9" s="49">
        <v>1.2</v>
      </c>
      <c r="EP9" s="49">
        <v>-105.346</v>
      </c>
      <c r="EQ9" s="49">
        <v>-2.613</v>
      </c>
      <c r="ER9" s="49">
        <v>100.22199999999999</v>
      </c>
      <c r="ES9" s="49">
        <v>1.373</v>
      </c>
      <c r="ET9" s="49">
        <v>1.51</v>
      </c>
      <c r="EU9" s="49">
        <v>1.3240000000000001</v>
      </c>
      <c r="EV9" s="49">
        <v>7.2930000000000001</v>
      </c>
      <c r="EW9" s="49">
        <v>1.776</v>
      </c>
      <c r="EX9" s="50">
        <v>74.739999999999995</v>
      </c>
      <c r="EY9" s="49">
        <v>0</v>
      </c>
      <c r="EZ9" s="49">
        <v>5.1999999999999998E-2</v>
      </c>
      <c r="FA9" s="50">
        <v>0</v>
      </c>
      <c r="FB9" s="49">
        <v>9.1660000000000004</v>
      </c>
      <c r="FC9" s="49">
        <v>70.56</v>
      </c>
      <c r="FD9" s="49">
        <v>66.039000000000001</v>
      </c>
      <c r="FE9" s="49">
        <v>78.944999999999993</v>
      </c>
      <c r="FF9" s="49">
        <v>77.727000000000004</v>
      </c>
      <c r="FG9" s="49">
        <v>0.93400000000000005</v>
      </c>
      <c r="FH9" s="49">
        <v>0.93500000000000005</v>
      </c>
      <c r="FI9" s="49">
        <v>0.99299999999999999</v>
      </c>
      <c r="FJ9" s="49">
        <v>0.998</v>
      </c>
      <c r="FK9" s="49">
        <v>0</v>
      </c>
      <c r="FL9" s="49">
        <v>83</v>
      </c>
      <c r="FM9" s="49">
        <v>3.42</v>
      </c>
      <c r="FN9" s="49">
        <v>-0.62</v>
      </c>
      <c r="FO9" s="49">
        <v>5.4</v>
      </c>
      <c r="FP9" s="3"/>
      <c r="FQ9" s="49">
        <v>4.9000000000000004</v>
      </c>
      <c r="FR9" s="50">
        <v>5.05</v>
      </c>
      <c r="FS9" s="50">
        <v>6.9039999999999999</v>
      </c>
      <c r="FT9" s="49">
        <v>1072</v>
      </c>
      <c r="FU9" s="49">
        <v>6.5</v>
      </c>
      <c r="FV9" s="49">
        <v>16.75</v>
      </c>
      <c r="FW9" s="49">
        <v>3095.5</v>
      </c>
      <c r="FX9" s="49">
        <v>168600</v>
      </c>
      <c r="FY9" s="49">
        <v>169000</v>
      </c>
      <c r="FZ9" s="49">
        <v>48.183999999999997</v>
      </c>
      <c r="GA9" s="49">
        <v>47.210999999999999</v>
      </c>
      <c r="GB9" s="49">
        <v>2202.9</v>
      </c>
      <c r="GC9" s="49">
        <v>2186.9</v>
      </c>
      <c r="GD9" s="49">
        <v>2221.1999999999998</v>
      </c>
      <c r="GE9" s="49">
        <v>2225.1999999999998</v>
      </c>
      <c r="GF9" s="49">
        <v>1143.6719000000001</v>
      </c>
      <c r="GG9" s="49">
        <v>33</v>
      </c>
      <c r="GH9" s="49">
        <v>33.4</v>
      </c>
      <c r="GI9" s="49">
        <v>48.6</v>
      </c>
      <c r="GJ9" s="49">
        <v>53.4</v>
      </c>
      <c r="GK9" s="49">
        <v>99.5</v>
      </c>
      <c r="GL9" s="49">
        <v>87.7</v>
      </c>
      <c r="GM9" s="50">
        <v>0</v>
      </c>
      <c r="GN9" s="49">
        <v>26.988</v>
      </c>
      <c r="GO9" s="49">
        <v>105.346</v>
      </c>
      <c r="GP9" s="49">
        <v>0.35399999999999998</v>
      </c>
      <c r="GQ9" s="49">
        <v>1.9470000000000001</v>
      </c>
      <c r="GR9" s="49">
        <v>0.53100000000000003</v>
      </c>
      <c r="GS9" s="49">
        <v>2.0059999999999998</v>
      </c>
      <c r="GT9" s="49">
        <v>0.53100000000000003</v>
      </c>
      <c r="GU9" s="49">
        <v>1.8879999999999999</v>
      </c>
      <c r="GV9" s="49">
        <v>13.132</v>
      </c>
      <c r="GW9" s="49">
        <v>14.124000000000001</v>
      </c>
      <c r="GX9" s="49">
        <v>15.19</v>
      </c>
      <c r="GY9" s="50">
        <v>0</v>
      </c>
      <c r="GZ9" s="50">
        <v>0</v>
      </c>
      <c r="HA9" s="50">
        <v>0</v>
      </c>
      <c r="HB9" s="49">
        <v>0</v>
      </c>
      <c r="HC9" s="49">
        <v>23.146999999999998</v>
      </c>
      <c r="HD9" s="49">
        <v>78</v>
      </c>
      <c r="HE9" s="50">
        <v>0</v>
      </c>
      <c r="HF9" s="50">
        <v>0</v>
      </c>
      <c r="HG9" s="49">
        <v>73.19</v>
      </c>
      <c r="HH9" s="50">
        <v>78.790000000000006</v>
      </c>
      <c r="HI9" s="50">
        <v>0</v>
      </c>
      <c r="HJ9" s="50">
        <v>0</v>
      </c>
      <c r="HK9" s="50">
        <v>0</v>
      </c>
      <c r="HL9" s="49">
        <v>63</v>
      </c>
      <c r="HM9" s="49">
        <v>55</v>
      </c>
      <c r="HN9" s="49">
        <v>67</v>
      </c>
      <c r="HO9" s="49">
        <v>61</v>
      </c>
      <c r="HP9" s="49">
        <v>65</v>
      </c>
      <c r="HQ9" s="49">
        <v>62</v>
      </c>
      <c r="HR9" s="49">
        <v>54</v>
      </c>
      <c r="HS9" s="49">
        <v>64</v>
      </c>
      <c r="HT9" s="49">
        <v>-1.2889999999999999</v>
      </c>
      <c r="HU9" s="50">
        <v>0</v>
      </c>
      <c r="HV9" s="50">
        <v>0.44600000000000001</v>
      </c>
      <c r="HW9" s="50">
        <v>36.81</v>
      </c>
      <c r="HX9" s="50">
        <v>46.57</v>
      </c>
      <c r="HY9" s="49">
        <v>50.23</v>
      </c>
      <c r="HZ9" s="49">
        <v>61.14</v>
      </c>
      <c r="IA9" s="49">
        <v>2.8460000000000001</v>
      </c>
      <c r="IB9" s="50">
        <v>105</v>
      </c>
      <c r="IC9" s="50">
        <v>22.917999999999999</v>
      </c>
      <c r="ID9" s="49">
        <v>-0.28599999999999998</v>
      </c>
      <c r="IE9" s="49">
        <v>-9.6000000000000002E-2</v>
      </c>
      <c r="IF9" s="49">
        <v>818</v>
      </c>
      <c r="IG9" s="50">
        <v>770.6</v>
      </c>
      <c r="IH9" s="49">
        <v>829.5</v>
      </c>
      <c r="II9" s="50">
        <v>782.5</v>
      </c>
      <c r="IJ9" s="49">
        <v>-0.111</v>
      </c>
      <c r="IK9" s="49">
        <v>-0.25600000000000001</v>
      </c>
      <c r="IL9" s="49">
        <v>68.41</v>
      </c>
      <c r="IM9" s="49">
        <v>68.41</v>
      </c>
      <c r="IN9" s="49">
        <v>12.061</v>
      </c>
      <c r="IO9" s="50">
        <v>0.59699999999999998</v>
      </c>
      <c r="IP9" s="49">
        <v>10.46</v>
      </c>
      <c r="IQ9" s="49">
        <v>7.0000000000000001E-3</v>
      </c>
      <c r="IR9" s="49">
        <v>8.0000000000000002E-3</v>
      </c>
    </row>
    <row r="10" spans="2:252" x14ac:dyDescent="0.25">
      <c r="B10" s="2" t="s">
        <v>412</v>
      </c>
      <c r="C10" s="2" t="s">
        <v>44</v>
      </c>
      <c r="D10" s="61">
        <v>2.4615740740740739E-3</v>
      </c>
      <c r="E10" s="49">
        <v>212.72</v>
      </c>
      <c r="F10" s="49">
        <v>333.92</v>
      </c>
      <c r="G10" s="49">
        <v>5.64</v>
      </c>
      <c r="H10" s="49">
        <v>29.8</v>
      </c>
      <c r="I10" s="49">
        <v>0</v>
      </c>
      <c r="J10" s="49">
        <v>19.399999999999999</v>
      </c>
      <c r="K10" s="50">
        <v>10</v>
      </c>
      <c r="L10" s="50">
        <v>2</v>
      </c>
      <c r="M10" s="50">
        <v>6</v>
      </c>
      <c r="N10" s="50">
        <v>3</v>
      </c>
      <c r="O10" s="50">
        <v>3</v>
      </c>
      <c r="P10" s="49">
        <v>0.872</v>
      </c>
      <c r="Q10" s="49">
        <v>1.258</v>
      </c>
      <c r="R10" s="50">
        <v>1.0389999999999999</v>
      </c>
      <c r="S10" s="49">
        <v>0.60099999999999998</v>
      </c>
      <c r="T10" s="49">
        <v>63.98</v>
      </c>
      <c r="U10" s="49">
        <v>60.404000000000003</v>
      </c>
      <c r="V10" s="49">
        <v>243.34</v>
      </c>
      <c r="W10" s="49">
        <v>243.34</v>
      </c>
      <c r="X10" s="49">
        <v>170</v>
      </c>
      <c r="Y10" s="49">
        <v>221.66</v>
      </c>
      <c r="Z10" s="49">
        <v>375.43</v>
      </c>
      <c r="AA10" s="49">
        <v>368.59</v>
      </c>
      <c r="AB10" s="49">
        <v>253.53</v>
      </c>
      <c r="AC10" s="49">
        <v>320.04000000000002</v>
      </c>
      <c r="AD10" s="50">
        <v>1.825</v>
      </c>
      <c r="AE10" s="50">
        <v>1.881</v>
      </c>
      <c r="AF10" s="49">
        <v>1.804</v>
      </c>
      <c r="AG10" s="49">
        <v>1.8360000000000001</v>
      </c>
      <c r="AH10" s="50">
        <v>85.22</v>
      </c>
      <c r="AI10" s="50">
        <v>81.7</v>
      </c>
      <c r="AJ10" s="50">
        <v>109.02</v>
      </c>
      <c r="AK10" s="50">
        <v>105.71</v>
      </c>
      <c r="AL10" s="49">
        <v>654.77099999999996</v>
      </c>
      <c r="AM10" s="49">
        <v>642.77800000000002</v>
      </c>
      <c r="AN10" s="49">
        <v>835.548</v>
      </c>
      <c r="AO10" s="50">
        <v>831.08100000000002</v>
      </c>
      <c r="AP10" s="49">
        <v>1.2310000000000001</v>
      </c>
      <c r="AQ10" s="49">
        <v>1.7430000000000001</v>
      </c>
      <c r="AR10" s="49">
        <v>40.072000000000003</v>
      </c>
      <c r="AS10" s="50">
        <v>40.404000000000003</v>
      </c>
      <c r="AT10" s="49">
        <v>83</v>
      </c>
      <c r="AU10" s="49">
        <v>120</v>
      </c>
      <c r="AV10" s="49">
        <v>2.3744999999999998</v>
      </c>
      <c r="AW10" s="49">
        <v>5.3034999999999997</v>
      </c>
      <c r="AX10" s="49">
        <v>1012.7</v>
      </c>
      <c r="AY10" s="49">
        <v>2.2000000000000002</v>
      </c>
      <c r="AZ10" s="50">
        <v>5.35</v>
      </c>
      <c r="BA10" s="49">
        <v>113.342</v>
      </c>
      <c r="BB10" s="49">
        <v>111.45</v>
      </c>
      <c r="BC10" s="49">
        <v>7780</v>
      </c>
      <c r="BD10" s="49">
        <v>87.75</v>
      </c>
      <c r="BE10" s="49">
        <v>17</v>
      </c>
      <c r="BF10" s="49">
        <v>14.775</v>
      </c>
      <c r="BG10" s="50">
        <v>29.62</v>
      </c>
      <c r="BH10" s="49">
        <v>25.13</v>
      </c>
      <c r="BI10" s="3"/>
      <c r="BJ10" s="3"/>
      <c r="BK10" s="3"/>
      <c r="BL10" s="3"/>
      <c r="BM10" s="3"/>
      <c r="BN10" s="49">
        <v>101.70399999999999</v>
      </c>
      <c r="BO10" s="49">
        <v>98.12</v>
      </c>
      <c r="BP10" s="49">
        <v>126.44</v>
      </c>
      <c r="BQ10" s="49">
        <v>131.22399999999999</v>
      </c>
      <c r="BR10" s="3"/>
      <c r="BS10" s="49">
        <v>29.5</v>
      </c>
      <c r="BT10" s="50">
        <v>7498.3580000000002</v>
      </c>
      <c r="BU10" s="49">
        <v>50.343000000000004</v>
      </c>
      <c r="BV10" s="49">
        <v>53.783999999999999</v>
      </c>
      <c r="BW10" s="49">
        <v>56.012</v>
      </c>
      <c r="BX10" s="49">
        <v>57.048000000000002</v>
      </c>
      <c r="BY10" s="49">
        <v>1.385</v>
      </c>
      <c r="BZ10" s="49">
        <v>2.5</v>
      </c>
      <c r="CA10" s="49">
        <v>3.835</v>
      </c>
      <c r="CB10" s="50">
        <v>3.8919999999999999</v>
      </c>
      <c r="CC10" s="49">
        <v>1.03</v>
      </c>
      <c r="CD10" s="49">
        <v>2.1480000000000001</v>
      </c>
      <c r="CE10" s="49">
        <v>1.125</v>
      </c>
      <c r="CF10" s="49">
        <v>1.925</v>
      </c>
      <c r="CG10" s="49">
        <v>13.932</v>
      </c>
      <c r="CH10" s="49">
        <v>13.786</v>
      </c>
      <c r="CI10" s="49">
        <v>4.6740000000000004</v>
      </c>
      <c r="CJ10" s="49">
        <v>-33.445</v>
      </c>
      <c r="CK10" s="49">
        <v>1.615</v>
      </c>
      <c r="CL10" s="49">
        <v>0.1</v>
      </c>
      <c r="CM10" s="49">
        <v>0.5</v>
      </c>
      <c r="CN10" s="50">
        <v>0</v>
      </c>
      <c r="CO10" s="50">
        <v>0</v>
      </c>
      <c r="CP10" s="49">
        <v>97.882999999999996</v>
      </c>
      <c r="CQ10" s="49">
        <v>94.899000000000001</v>
      </c>
      <c r="CR10" s="49">
        <v>114.39100000000001</v>
      </c>
      <c r="CS10" s="49">
        <v>120.95399999999999</v>
      </c>
      <c r="CT10" s="49">
        <v>0.27900000000000003</v>
      </c>
      <c r="CU10" s="49">
        <v>1.0980000000000001</v>
      </c>
      <c r="CV10" s="49">
        <v>0.998</v>
      </c>
      <c r="CW10" s="49">
        <v>1.298</v>
      </c>
      <c r="CX10" s="49">
        <v>1.6970000000000001</v>
      </c>
      <c r="CY10" s="49">
        <v>0.89700000000000002</v>
      </c>
      <c r="CZ10" s="49">
        <v>1.5960000000000001</v>
      </c>
      <c r="DA10" s="49">
        <v>0.90100000000000002</v>
      </c>
      <c r="DB10" s="49">
        <v>1.6990000000000001</v>
      </c>
      <c r="DC10" s="49">
        <v>0</v>
      </c>
      <c r="DD10" s="50">
        <v>0</v>
      </c>
      <c r="DE10" s="50">
        <v>0.35799999999999998</v>
      </c>
      <c r="DF10" s="49">
        <v>0.18099999999999999</v>
      </c>
      <c r="DG10" s="49">
        <v>1.071</v>
      </c>
      <c r="DH10" s="50">
        <v>2.7850000000000001</v>
      </c>
      <c r="DI10" s="49">
        <v>1.2549999999999999</v>
      </c>
      <c r="DJ10" s="49">
        <v>0.27200000000000002</v>
      </c>
      <c r="DK10" s="49">
        <v>0.91100000000000003</v>
      </c>
      <c r="DL10" s="49">
        <v>0.39700000000000002</v>
      </c>
      <c r="DM10" s="50">
        <v>0.91700000000000004</v>
      </c>
      <c r="DN10" s="50">
        <v>4.8659999999999997</v>
      </c>
      <c r="DO10" s="49">
        <v>0.184</v>
      </c>
      <c r="DP10" s="49">
        <v>69.134</v>
      </c>
      <c r="DQ10" s="49">
        <v>62.164000000000001</v>
      </c>
      <c r="DR10" s="50">
        <v>56.128999999999998</v>
      </c>
      <c r="DS10" s="49">
        <v>54.914999999999999</v>
      </c>
      <c r="DT10" s="50">
        <v>7.28</v>
      </c>
      <c r="DU10" s="49">
        <v>6.68</v>
      </c>
      <c r="DV10" s="49">
        <v>13.84</v>
      </c>
      <c r="DW10" s="49">
        <v>11.94</v>
      </c>
      <c r="DX10" s="49">
        <v>7.44</v>
      </c>
      <c r="DY10" s="49">
        <v>7.13</v>
      </c>
      <c r="DZ10" s="49">
        <v>13.23</v>
      </c>
      <c r="EA10" s="49">
        <v>11.48</v>
      </c>
      <c r="EB10" s="49">
        <v>41.09</v>
      </c>
      <c r="EC10" s="49">
        <v>40.86</v>
      </c>
      <c r="ED10" s="49">
        <v>32.119999999999997</v>
      </c>
      <c r="EE10" s="49">
        <v>34.049999999999997</v>
      </c>
      <c r="EF10" s="49">
        <v>44.18</v>
      </c>
      <c r="EG10" s="49">
        <v>45.32</v>
      </c>
      <c r="EH10" s="49">
        <v>40.81</v>
      </c>
      <c r="EI10" s="49">
        <v>42.53</v>
      </c>
      <c r="EJ10" s="49">
        <v>6.5380000000000003</v>
      </c>
      <c r="EK10" s="49">
        <v>58.445</v>
      </c>
      <c r="EL10" s="49">
        <v>1.95</v>
      </c>
      <c r="EM10" s="49">
        <v>1.6</v>
      </c>
      <c r="EN10" s="49">
        <v>1.25</v>
      </c>
      <c r="EO10" s="49">
        <v>1.26</v>
      </c>
      <c r="EP10" s="49">
        <v>-103.59399999999999</v>
      </c>
      <c r="EQ10" s="49">
        <v>-2.3410000000000002</v>
      </c>
      <c r="ER10" s="49">
        <v>101.682</v>
      </c>
      <c r="ES10" s="49">
        <v>1.3420000000000001</v>
      </c>
      <c r="ET10" s="49">
        <v>1.431</v>
      </c>
      <c r="EU10" s="49">
        <v>1.258</v>
      </c>
      <c r="EV10" s="49">
        <v>6.6539999999999999</v>
      </c>
      <c r="EW10" s="49">
        <v>0.90700000000000003</v>
      </c>
      <c r="EX10" s="49">
        <v>70</v>
      </c>
      <c r="EY10" s="49">
        <v>0</v>
      </c>
      <c r="EZ10" s="49">
        <v>1.869</v>
      </c>
      <c r="FA10" s="50">
        <v>0</v>
      </c>
      <c r="FB10" s="49">
        <v>9.1679999999999993</v>
      </c>
      <c r="FC10" s="49">
        <v>73.355000000000004</v>
      </c>
      <c r="FD10" s="49">
        <v>68.811000000000007</v>
      </c>
      <c r="FE10" s="49">
        <v>83.421999999999997</v>
      </c>
      <c r="FF10" s="49">
        <v>82.069000000000003</v>
      </c>
      <c r="FG10" s="49">
        <v>0.93700000000000006</v>
      </c>
      <c r="FH10" s="49">
        <v>0.93799999999999994</v>
      </c>
      <c r="FI10" s="49">
        <v>0.99399999999999999</v>
      </c>
      <c r="FJ10" s="49">
        <v>1</v>
      </c>
      <c r="FK10" s="49">
        <v>0</v>
      </c>
      <c r="FL10" s="49">
        <v>83</v>
      </c>
      <c r="FM10" s="50">
        <v>3.48</v>
      </c>
      <c r="FN10" s="49">
        <v>-0.57999999999999996</v>
      </c>
      <c r="FO10" s="49">
        <v>5.36</v>
      </c>
      <c r="FP10" s="3"/>
      <c r="FQ10" s="49">
        <v>4.5999999999999996</v>
      </c>
      <c r="FR10" s="50">
        <v>5.05</v>
      </c>
      <c r="FS10" s="49">
        <v>6.7565</v>
      </c>
      <c r="FT10" s="50">
        <v>1076.7</v>
      </c>
      <c r="FU10" s="49">
        <v>7.02</v>
      </c>
      <c r="FV10" s="49">
        <v>22.39</v>
      </c>
      <c r="FW10" s="49">
        <v>3105</v>
      </c>
      <c r="FX10" s="50">
        <v>173700</v>
      </c>
      <c r="FY10" s="50">
        <v>175000</v>
      </c>
      <c r="FZ10" s="49">
        <v>48.875999999999998</v>
      </c>
      <c r="GA10" s="49">
        <v>47.753</v>
      </c>
      <c r="GB10" s="49">
        <v>2182.4</v>
      </c>
      <c r="GC10" s="49">
        <v>2178.6999999999998</v>
      </c>
      <c r="GD10" s="49">
        <v>2351.8000000000002</v>
      </c>
      <c r="GE10" s="49">
        <v>2405.4</v>
      </c>
      <c r="GF10" s="49">
        <v>1372.9375</v>
      </c>
      <c r="GG10" s="49">
        <v>34</v>
      </c>
      <c r="GH10" s="49">
        <v>34.5</v>
      </c>
      <c r="GI10" s="49">
        <v>49.2</v>
      </c>
      <c r="GJ10" s="49">
        <v>54.2</v>
      </c>
      <c r="GK10" s="49">
        <v>99.5</v>
      </c>
      <c r="GL10" s="50">
        <v>93.9</v>
      </c>
      <c r="GM10" s="50">
        <v>0</v>
      </c>
      <c r="GN10" s="49">
        <v>26.852</v>
      </c>
      <c r="GO10" s="49">
        <v>103.59399999999999</v>
      </c>
      <c r="GP10" s="49">
        <v>0.35399999999999998</v>
      </c>
      <c r="GQ10" s="49">
        <v>1.9470000000000001</v>
      </c>
      <c r="GR10" s="49">
        <v>0.53100000000000003</v>
      </c>
      <c r="GS10" s="49">
        <v>1.9470000000000001</v>
      </c>
      <c r="GT10" s="49">
        <v>0.41299999999999998</v>
      </c>
      <c r="GU10" s="49">
        <v>1.8879999999999999</v>
      </c>
      <c r="GV10" s="49">
        <v>12.936</v>
      </c>
      <c r="GW10" s="49">
        <v>14.144</v>
      </c>
      <c r="GX10" s="49">
        <v>15.484</v>
      </c>
      <c r="GY10" s="50">
        <v>0</v>
      </c>
      <c r="GZ10" s="50">
        <v>0</v>
      </c>
      <c r="HA10" s="50">
        <v>0</v>
      </c>
      <c r="HB10" s="49">
        <v>0</v>
      </c>
      <c r="HC10" s="49">
        <v>23.507999999999999</v>
      </c>
      <c r="HD10" s="49">
        <v>82</v>
      </c>
      <c r="HE10" s="50">
        <v>0</v>
      </c>
      <c r="HF10" s="50">
        <v>0</v>
      </c>
      <c r="HG10" s="49">
        <v>74.349999999999994</v>
      </c>
      <c r="HH10" s="49">
        <v>78.2</v>
      </c>
      <c r="HI10" s="50">
        <v>0</v>
      </c>
      <c r="HJ10" s="50">
        <v>0</v>
      </c>
      <c r="HK10" s="50">
        <v>0</v>
      </c>
      <c r="HL10" s="49">
        <v>63</v>
      </c>
      <c r="HM10" s="49">
        <v>55</v>
      </c>
      <c r="HN10" s="49">
        <v>68</v>
      </c>
      <c r="HO10" s="49">
        <v>62</v>
      </c>
      <c r="HP10" s="49">
        <v>65</v>
      </c>
      <c r="HQ10" s="49">
        <v>63</v>
      </c>
      <c r="HR10" s="49">
        <v>54</v>
      </c>
      <c r="HS10" s="49">
        <v>64</v>
      </c>
      <c r="HT10" s="49">
        <v>-1.2665</v>
      </c>
      <c r="HU10" s="50">
        <v>0</v>
      </c>
      <c r="HV10" s="49">
        <v>0.434</v>
      </c>
      <c r="HW10" s="49">
        <v>37.21</v>
      </c>
      <c r="HX10" s="49">
        <v>47.55</v>
      </c>
      <c r="HY10" s="49">
        <v>50.88</v>
      </c>
      <c r="HZ10" s="49">
        <v>61.91</v>
      </c>
      <c r="IA10" s="50">
        <v>3</v>
      </c>
      <c r="IB10" s="49">
        <v>104</v>
      </c>
      <c r="IC10" s="49">
        <v>22.852</v>
      </c>
      <c r="ID10" s="49">
        <v>-0.28699999999999998</v>
      </c>
      <c r="IE10" s="49">
        <v>-0.08</v>
      </c>
      <c r="IF10" s="49">
        <v>811.9</v>
      </c>
      <c r="IG10" s="49">
        <v>762.1</v>
      </c>
      <c r="IH10" s="49">
        <v>823.9</v>
      </c>
      <c r="II10" s="49">
        <v>774.2</v>
      </c>
      <c r="IJ10" s="49">
        <v>-6.3E-2</v>
      </c>
      <c r="IK10" s="49">
        <v>-0.22700000000000001</v>
      </c>
      <c r="IL10" s="49">
        <v>80.905000000000001</v>
      </c>
      <c r="IM10" s="49">
        <v>80.905000000000001</v>
      </c>
      <c r="IN10" s="49">
        <v>12.753</v>
      </c>
      <c r="IO10" s="49">
        <v>0.58899999999999997</v>
      </c>
      <c r="IP10" s="49">
        <v>10.42</v>
      </c>
      <c r="IQ10" s="49">
        <v>0.01</v>
      </c>
      <c r="IR10" s="49">
        <v>6.0000000000000001E-3</v>
      </c>
    </row>
    <row r="11" spans="2:252" x14ac:dyDescent="0.25">
      <c r="B11" s="2" t="s">
        <v>412</v>
      </c>
      <c r="C11" s="2" t="s">
        <v>45</v>
      </c>
      <c r="D11" s="61">
        <v>2.4424768518518519E-3</v>
      </c>
      <c r="E11" s="49">
        <v>211.07</v>
      </c>
      <c r="F11" s="49">
        <v>330.81</v>
      </c>
      <c r="G11" s="49">
        <v>5.88</v>
      </c>
      <c r="H11" s="50">
        <v>29.9</v>
      </c>
      <c r="I11" s="49">
        <v>0</v>
      </c>
      <c r="J11" s="49">
        <v>15.4</v>
      </c>
      <c r="K11" s="50">
        <v>10</v>
      </c>
      <c r="L11" s="50">
        <v>2</v>
      </c>
      <c r="M11" s="50">
        <v>6</v>
      </c>
      <c r="N11" s="50">
        <v>3</v>
      </c>
      <c r="O11" s="50">
        <v>3</v>
      </c>
      <c r="P11" s="50">
        <v>0.878</v>
      </c>
      <c r="Q11" s="49">
        <v>1.228</v>
      </c>
      <c r="R11" s="49">
        <v>1.0309999999999999</v>
      </c>
      <c r="S11" s="49">
        <v>0.73299999999999998</v>
      </c>
      <c r="T11" s="50">
        <v>78.040000000000006</v>
      </c>
      <c r="U11" s="49">
        <v>60.267000000000003</v>
      </c>
      <c r="V11" s="49">
        <v>236.66</v>
      </c>
      <c r="W11" s="49">
        <v>236.66</v>
      </c>
      <c r="X11" s="49">
        <v>150</v>
      </c>
      <c r="Y11" s="49">
        <v>201.66</v>
      </c>
      <c r="Z11" s="50">
        <v>384.54</v>
      </c>
      <c r="AA11" s="49">
        <v>386.55</v>
      </c>
      <c r="AB11" s="49">
        <v>285.05</v>
      </c>
      <c r="AC11" s="49">
        <v>349.83</v>
      </c>
      <c r="AD11" s="49">
        <v>1.8240000000000001</v>
      </c>
      <c r="AE11" s="49">
        <v>1.8720000000000001</v>
      </c>
      <c r="AF11" s="49">
        <v>1.796</v>
      </c>
      <c r="AG11" s="49">
        <v>1.8280000000000001</v>
      </c>
      <c r="AH11" s="49">
        <v>84.45</v>
      </c>
      <c r="AI11" s="49">
        <v>80.900000000000006</v>
      </c>
      <c r="AJ11" s="49">
        <v>107.09</v>
      </c>
      <c r="AK11" s="49">
        <v>103.93</v>
      </c>
      <c r="AL11" s="49">
        <v>669.13599999999997</v>
      </c>
      <c r="AM11" s="49">
        <v>677.23900000000003</v>
      </c>
      <c r="AN11" s="49">
        <v>850.71799999999996</v>
      </c>
      <c r="AO11" s="49">
        <v>797.202</v>
      </c>
      <c r="AP11" s="49">
        <v>1.2809999999999999</v>
      </c>
      <c r="AQ11" s="49">
        <v>1.7769999999999999</v>
      </c>
      <c r="AR11" s="50">
        <v>42.372</v>
      </c>
      <c r="AS11" s="49">
        <v>37.058999999999997</v>
      </c>
      <c r="AT11" s="49">
        <v>83</v>
      </c>
      <c r="AU11" s="49">
        <v>121</v>
      </c>
      <c r="AV11" s="49">
        <v>2.2519999999999998</v>
      </c>
      <c r="AW11" s="49">
        <v>5.3287000000000004</v>
      </c>
      <c r="AX11" s="50">
        <v>1016.8</v>
      </c>
      <c r="AY11" s="49">
        <v>2.23</v>
      </c>
      <c r="AZ11" s="50">
        <v>5.35</v>
      </c>
      <c r="BA11" s="49">
        <v>93.856999999999999</v>
      </c>
      <c r="BB11" s="49">
        <v>93.289000000000001</v>
      </c>
      <c r="BC11" s="49">
        <v>7767</v>
      </c>
      <c r="BD11" s="49">
        <v>88.25</v>
      </c>
      <c r="BE11" s="49">
        <v>17.190000000000001</v>
      </c>
      <c r="BF11" s="50">
        <v>15.19</v>
      </c>
      <c r="BG11" s="49">
        <v>28.2</v>
      </c>
      <c r="BH11" s="49">
        <v>26.3</v>
      </c>
      <c r="BI11" s="3"/>
      <c r="BJ11" s="3"/>
      <c r="BK11" s="3"/>
      <c r="BL11" s="3"/>
      <c r="BM11" s="3"/>
      <c r="BN11" s="49">
        <v>103.624</v>
      </c>
      <c r="BO11" s="49">
        <v>98.68</v>
      </c>
      <c r="BP11" s="49">
        <v>120.328</v>
      </c>
      <c r="BQ11" s="49">
        <v>125.208</v>
      </c>
      <c r="BR11" s="3"/>
      <c r="BS11" s="50">
        <v>29.7</v>
      </c>
      <c r="BT11" s="49">
        <v>7413.2979999999998</v>
      </c>
      <c r="BU11" s="50">
        <v>51.47</v>
      </c>
      <c r="BV11" s="49">
        <v>54.924999999999997</v>
      </c>
      <c r="BW11" s="49">
        <v>55.651000000000003</v>
      </c>
      <c r="BX11" s="49">
        <v>58.027999999999999</v>
      </c>
      <c r="BY11" s="49">
        <v>1.347</v>
      </c>
      <c r="BZ11" s="49">
        <v>2.9239999999999999</v>
      </c>
      <c r="CA11" s="50">
        <v>3.8730000000000002</v>
      </c>
      <c r="CB11" s="49">
        <v>3.5630000000000002</v>
      </c>
      <c r="CC11" s="49">
        <v>0.85799999999999998</v>
      </c>
      <c r="CD11" s="49">
        <v>2.0979999999999999</v>
      </c>
      <c r="CE11" s="49">
        <v>1.1850000000000001</v>
      </c>
      <c r="CF11" s="49">
        <v>1.9570000000000001</v>
      </c>
      <c r="CG11" s="49">
        <v>13.936</v>
      </c>
      <c r="CH11" s="49">
        <v>13.794</v>
      </c>
      <c r="CI11" s="49">
        <v>4.0910000000000002</v>
      </c>
      <c r="CJ11" s="50">
        <v>328.32900000000001</v>
      </c>
      <c r="CK11" s="49">
        <v>1.417</v>
      </c>
      <c r="CL11" s="49">
        <v>0.5</v>
      </c>
      <c r="CM11" s="49">
        <v>0.6</v>
      </c>
      <c r="CN11" s="50">
        <v>0</v>
      </c>
      <c r="CO11" s="50">
        <v>0</v>
      </c>
      <c r="CP11" s="49">
        <v>98.186000000000007</v>
      </c>
      <c r="CQ11" s="49">
        <v>94.906000000000006</v>
      </c>
      <c r="CR11" s="49">
        <v>110.172</v>
      </c>
      <c r="CS11" s="49">
        <v>117.88</v>
      </c>
      <c r="CT11" s="49">
        <v>0.35199999999999998</v>
      </c>
      <c r="CU11" s="49">
        <v>0.9</v>
      </c>
      <c r="CV11" s="49">
        <v>0.997</v>
      </c>
      <c r="CW11" s="49">
        <v>0.80200000000000005</v>
      </c>
      <c r="CX11" s="49">
        <v>1.4950000000000001</v>
      </c>
      <c r="CY11" s="49">
        <v>0.69799999999999995</v>
      </c>
      <c r="CZ11" s="49">
        <v>1.3979999999999999</v>
      </c>
      <c r="DA11" s="49">
        <v>0.70099999999999996</v>
      </c>
      <c r="DB11" s="49">
        <v>1.7010000000000001</v>
      </c>
      <c r="DC11" s="49">
        <v>0</v>
      </c>
      <c r="DD11" s="50">
        <v>0</v>
      </c>
      <c r="DE11" s="49">
        <v>0.35199999999999998</v>
      </c>
      <c r="DF11" s="49">
        <v>0.16800000000000001</v>
      </c>
      <c r="DG11" s="49">
        <v>1.079</v>
      </c>
      <c r="DH11" s="49">
        <v>2.669</v>
      </c>
      <c r="DI11" s="50">
        <v>1.415</v>
      </c>
      <c r="DJ11" s="50">
        <v>0.33300000000000002</v>
      </c>
      <c r="DK11" s="50">
        <v>1.244</v>
      </c>
      <c r="DL11" s="49">
        <v>0.4</v>
      </c>
      <c r="DM11" s="49">
        <v>0.42499999999999999</v>
      </c>
      <c r="DN11" s="49">
        <v>-2E-3</v>
      </c>
      <c r="DO11" s="49">
        <v>-6.9000000000000006E-2</v>
      </c>
      <c r="DP11" s="49">
        <v>66.551000000000002</v>
      </c>
      <c r="DQ11" s="49">
        <v>61.758000000000003</v>
      </c>
      <c r="DR11" s="49">
        <v>53.762999999999998</v>
      </c>
      <c r="DS11" s="49">
        <v>53.008000000000003</v>
      </c>
      <c r="DT11" s="49">
        <v>6.99</v>
      </c>
      <c r="DU11" s="50">
        <v>6.83</v>
      </c>
      <c r="DV11" s="49">
        <v>13.74</v>
      </c>
      <c r="DW11" s="49">
        <v>11.33</v>
      </c>
      <c r="DX11" s="49">
        <v>7.2</v>
      </c>
      <c r="DY11" s="49">
        <v>6.92</v>
      </c>
      <c r="DZ11" s="49">
        <v>13.08</v>
      </c>
      <c r="EA11" s="49">
        <v>10.95</v>
      </c>
      <c r="EB11" s="50">
        <v>41.8</v>
      </c>
      <c r="EC11" s="49">
        <v>40.53</v>
      </c>
      <c r="ED11" s="50">
        <v>32.32</v>
      </c>
      <c r="EE11" s="50">
        <v>34.67</v>
      </c>
      <c r="EF11" s="49">
        <v>44.02</v>
      </c>
      <c r="EG11" s="49">
        <v>45.72</v>
      </c>
      <c r="EH11" s="49">
        <v>40.85</v>
      </c>
      <c r="EI11" s="49">
        <v>43.05</v>
      </c>
      <c r="EJ11" s="49">
        <v>7.3520000000000003</v>
      </c>
      <c r="EK11" s="49">
        <v>59.329000000000001</v>
      </c>
      <c r="EL11" s="49">
        <v>2</v>
      </c>
      <c r="EM11" s="49">
        <v>1.6</v>
      </c>
      <c r="EN11" s="49">
        <v>1.21</v>
      </c>
      <c r="EO11" s="49">
        <v>1.21</v>
      </c>
      <c r="EP11" s="49">
        <v>-102.134</v>
      </c>
      <c r="EQ11" s="49">
        <v>-2.2759999999999998</v>
      </c>
      <c r="ER11" s="50">
        <v>113.654</v>
      </c>
      <c r="ES11" s="49">
        <v>1.288</v>
      </c>
      <c r="ET11" s="49">
        <v>1.3169999999999999</v>
      </c>
      <c r="EU11" s="49">
        <v>1.1279999999999999</v>
      </c>
      <c r="EV11" s="49">
        <v>7.1589999999999998</v>
      </c>
      <c r="EW11" s="49">
        <v>1.698</v>
      </c>
      <c r="EX11" s="49">
        <v>73.92</v>
      </c>
      <c r="EY11" s="49">
        <v>0</v>
      </c>
      <c r="EZ11" s="49">
        <v>8.0000000000000002E-3</v>
      </c>
      <c r="FA11" s="50">
        <v>0</v>
      </c>
      <c r="FB11" s="49">
        <v>9.157</v>
      </c>
      <c r="FC11" s="49">
        <v>73.843999999999994</v>
      </c>
      <c r="FD11" s="49">
        <v>68.730999999999995</v>
      </c>
      <c r="FE11" s="49">
        <v>82.188000000000002</v>
      </c>
      <c r="FF11" s="49">
        <v>80.936999999999998</v>
      </c>
      <c r="FG11" s="49">
        <v>0.93500000000000005</v>
      </c>
      <c r="FH11" s="49">
        <v>0.93700000000000006</v>
      </c>
      <c r="FI11" s="49">
        <v>0.996</v>
      </c>
      <c r="FJ11" s="49">
        <v>1.0009999999999999</v>
      </c>
      <c r="FK11" s="49">
        <v>0</v>
      </c>
      <c r="FL11" s="49">
        <v>83</v>
      </c>
      <c r="FM11" s="49">
        <v>3.44</v>
      </c>
      <c r="FN11" s="49">
        <v>-0.64</v>
      </c>
      <c r="FO11" s="50">
        <v>5.3</v>
      </c>
      <c r="FP11" s="3"/>
      <c r="FQ11" s="49">
        <v>4.5999999999999996</v>
      </c>
      <c r="FR11" s="49">
        <v>5.0999999999999996</v>
      </c>
      <c r="FS11" s="49">
        <v>6.7030000000000003</v>
      </c>
      <c r="FT11" s="49">
        <v>1075.0999999999999</v>
      </c>
      <c r="FU11" s="49">
        <v>6.68</v>
      </c>
      <c r="FV11" s="49">
        <v>28.27</v>
      </c>
      <c r="FW11" s="49">
        <v>3055.5</v>
      </c>
      <c r="FX11" s="49">
        <v>168600</v>
      </c>
      <c r="FY11" s="49">
        <v>170700</v>
      </c>
      <c r="FZ11" s="49">
        <v>48.414000000000001</v>
      </c>
      <c r="GA11" s="49">
        <v>47.581000000000003</v>
      </c>
      <c r="GB11" s="49">
        <v>2301.1</v>
      </c>
      <c r="GC11" s="49">
        <v>2256.3000000000002</v>
      </c>
      <c r="GD11" s="49">
        <v>2355.6999999999998</v>
      </c>
      <c r="GE11" s="50">
        <v>2563.9</v>
      </c>
      <c r="GF11" s="50">
        <v>1556.4530999999999</v>
      </c>
      <c r="GG11" s="49">
        <v>36</v>
      </c>
      <c r="GH11" s="49">
        <v>35.6</v>
      </c>
      <c r="GI11" s="49">
        <v>49.4</v>
      </c>
      <c r="GJ11" s="49">
        <v>54.4</v>
      </c>
      <c r="GK11" s="49">
        <v>99.5</v>
      </c>
      <c r="GL11" s="49">
        <v>93.8</v>
      </c>
      <c r="GM11" s="50">
        <v>0</v>
      </c>
      <c r="GN11" s="50">
        <v>27.288</v>
      </c>
      <c r="GO11" s="50">
        <v>113.654</v>
      </c>
      <c r="GP11" s="49">
        <v>0.29499999999999998</v>
      </c>
      <c r="GQ11" s="49">
        <v>1.9470000000000001</v>
      </c>
      <c r="GR11" s="49">
        <v>0.47199999999999998</v>
      </c>
      <c r="GS11" s="49">
        <v>1.9470000000000001</v>
      </c>
      <c r="GT11" s="49">
        <v>0.41299999999999998</v>
      </c>
      <c r="GU11" s="49">
        <v>1.8879999999999999</v>
      </c>
      <c r="GV11" s="49">
        <v>12.936</v>
      </c>
      <c r="GW11" s="50">
        <v>14.148999999999999</v>
      </c>
      <c r="GX11" s="49">
        <v>16.071999999999999</v>
      </c>
      <c r="GY11" s="50">
        <v>0</v>
      </c>
      <c r="GZ11" s="50">
        <v>0</v>
      </c>
      <c r="HA11" s="50">
        <v>0</v>
      </c>
      <c r="HB11" s="49">
        <v>0</v>
      </c>
      <c r="HC11" s="49">
        <v>23.285</v>
      </c>
      <c r="HD11" s="49">
        <v>82</v>
      </c>
      <c r="HE11" s="50">
        <v>0</v>
      </c>
      <c r="HF11" s="50">
        <v>0</v>
      </c>
      <c r="HG11" s="49">
        <v>74.69</v>
      </c>
      <c r="HH11" s="49">
        <v>78.56</v>
      </c>
      <c r="HI11" s="50">
        <v>0</v>
      </c>
      <c r="HJ11" s="50">
        <v>0</v>
      </c>
      <c r="HK11" s="50">
        <v>0</v>
      </c>
      <c r="HL11" s="49">
        <v>63</v>
      </c>
      <c r="HM11" s="49">
        <v>55</v>
      </c>
      <c r="HN11" s="50">
        <v>69</v>
      </c>
      <c r="HO11" s="50">
        <v>63</v>
      </c>
      <c r="HP11" s="50">
        <v>66</v>
      </c>
      <c r="HQ11" s="50">
        <v>64</v>
      </c>
      <c r="HR11" s="49">
        <v>54</v>
      </c>
      <c r="HS11" s="50">
        <v>70</v>
      </c>
      <c r="HT11" s="49">
        <v>-1.276</v>
      </c>
      <c r="HU11" s="50">
        <v>0</v>
      </c>
      <c r="HV11" s="49">
        <v>0.193</v>
      </c>
      <c r="HW11" s="49">
        <v>37.21</v>
      </c>
      <c r="HX11" s="49">
        <v>47.55</v>
      </c>
      <c r="HY11" s="50">
        <v>51.21</v>
      </c>
      <c r="HZ11" s="50">
        <v>63.19</v>
      </c>
      <c r="IA11" s="49">
        <v>2.9350000000000001</v>
      </c>
      <c r="IB11" s="49">
        <v>104</v>
      </c>
      <c r="IC11" s="49">
        <v>22.756</v>
      </c>
      <c r="ID11" s="49">
        <v>-0.30299999999999999</v>
      </c>
      <c r="IE11" s="49">
        <v>-0.109</v>
      </c>
      <c r="IF11" s="49">
        <v>815.6</v>
      </c>
      <c r="IG11" s="49">
        <v>769.7</v>
      </c>
      <c r="IH11" s="49">
        <v>829.6</v>
      </c>
      <c r="II11" s="49">
        <v>781.5</v>
      </c>
      <c r="IJ11" s="49">
        <v>-0.104</v>
      </c>
      <c r="IK11" s="49">
        <v>-0.23100000000000001</v>
      </c>
      <c r="IL11" s="49">
        <v>71.688000000000002</v>
      </c>
      <c r="IM11" s="49">
        <v>71.688000000000002</v>
      </c>
      <c r="IN11" s="49">
        <v>11.942</v>
      </c>
      <c r="IO11" s="49">
        <v>0.57499999999999996</v>
      </c>
      <c r="IP11" s="49">
        <v>10.41</v>
      </c>
      <c r="IQ11" s="49">
        <v>1.0999999999999999E-2</v>
      </c>
      <c r="IR11" s="49">
        <v>0.01</v>
      </c>
    </row>
    <row r="12" spans="2:252" x14ac:dyDescent="0.25">
      <c r="B12" s="2" t="s">
        <v>412</v>
      </c>
      <c r="C12" s="2" t="s">
        <v>46</v>
      </c>
      <c r="D12" s="61">
        <v>2.8505787037037041E-3</v>
      </c>
      <c r="E12" s="49">
        <v>246.28899999999999</v>
      </c>
      <c r="F12" s="50">
        <v>334.25</v>
      </c>
      <c r="G12" s="49">
        <v>-28.27</v>
      </c>
      <c r="H12" s="49">
        <v>29.8</v>
      </c>
      <c r="I12" s="49">
        <v>0</v>
      </c>
      <c r="J12" s="49">
        <v>17.3</v>
      </c>
      <c r="K12" s="50">
        <v>10</v>
      </c>
      <c r="L12" s="50">
        <v>2</v>
      </c>
      <c r="M12" s="50">
        <v>6</v>
      </c>
      <c r="N12" s="50">
        <v>3</v>
      </c>
      <c r="O12" s="50">
        <v>3</v>
      </c>
      <c r="P12" s="49">
        <v>0.78800000000000003</v>
      </c>
      <c r="Q12" s="49">
        <v>1.4</v>
      </c>
      <c r="R12" s="49">
        <v>0.75</v>
      </c>
      <c r="S12" s="49">
        <v>0.57799999999999996</v>
      </c>
      <c r="T12" s="49">
        <v>72.489999999999995</v>
      </c>
      <c r="U12" s="50">
        <v>60.418999999999997</v>
      </c>
      <c r="V12" s="49">
        <v>255</v>
      </c>
      <c r="W12" s="49">
        <v>260</v>
      </c>
      <c r="X12" s="49">
        <v>180</v>
      </c>
      <c r="Y12" s="49">
        <v>230</v>
      </c>
      <c r="Z12" s="49">
        <v>381.79</v>
      </c>
      <c r="AA12" s="49">
        <v>381.14</v>
      </c>
      <c r="AB12" s="49">
        <v>288.32</v>
      </c>
      <c r="AC12" s="49">
        <v>350.94</v>
      </c>
      <c r="AD12" s="49">
        <v>1.8220000000000001</v>
      </c>
      <c r="AE12" s="49">
        <v>1.88</v>
      </c>
      <c r="AF12" s="50">
        <v>1.8169999999999999</v>
      </c>
      <c r="AG12" s="50">
        <v>1.8420000000000001</v>
      </c>
      <c r="AH12" s="49">
        <v>82.96</v>
      </c>
      <c r="AI12" s="49">
        <v>80.94</v>
      </c>
      <c r="AJ12" s="49">
        <v>108.57</v>
      </c>
      <c r="AK12" s="49">
        <v>105.03</v>
      </c>
      <c r="AL12" s="49">
        <v>650.38800000000003</v>
      </c>
      <c r="AM12" s="49">
        <v>640.80399999999997</v>
      </c>
      <c r="AN12" s="49">
        <v>853.78399999999999</v>
      </c>
      <c r="AO12" s="49">
        <v>771.76499999999999</v>
      </c>
      <c r="AP12" s="49">
        <v>1.282</v>
      </c>
      <c r="AQ12" s="49">
        <v>1.768</v>
      </c>
      <c r="AR12" s="49">
        <v>42.279000000000003</v>
      </c>
      <c r="AS12" s="49">
        <v>36.095999999999997</v>
      </c>
      <c r="AT12" s="49">
        <v>83</v>
      </c>
      <c r="AU12" s="50">
        <v>122</v>
      </c>
      <c r="AV12" s="49">
        <v>2.3815</v>
      </c>
      <c r="AW12" s="49">
        <v>5.2375999999999996</v>
      </c>
      <c r="AX12" s="49">
        <v>1016.5</v>
      </c>
      <c r="AY12" s="49">
        <v>2.25</v>
      </c>
      <c r="AZ12" s="49">
        <v>5.68</v>
      </c>
      <c r="BA12" s="49">
        <v>92.93</v>
      </c>
      <c r="BB12" s="49">
        <v>92.546999999999997</v>
      </c>
      <c r="BC12" s="49">
        <v>7662</v>
      </c>
      <c r="BD12" s="50">
        <v>89.75</v>
      </c>
      <c r="BE12" s="49">
        <v>16.52</v>
      </c>
      <c r="BF12" s="49">
        <v>13.645</v>
      </c>
      <c r="BG12" s="49">
        <v>28.46</v>
      </c>
      <c r="BH12" s="49">
        <v>26.57</v>
      </c>
      <c r="BI12" s="50">
        <v>65.757999999999996</v>
      </c>
      <c r="BJ12" s="50">
        <v>81.656000000000006</v>
      </c>
      <c r="BK12" s="50">
        <v>64.076999999999998</v>
      </c>
      <c r="BL12" s="49">
        <v>77.262</v>
      </c>
      <c r="BM12" s="50">
        <v>80.966999999999999</v>
      </c>
      <c r="BN12" s="49">
        <v>116.28</v>
      </c>
      <c r="BO12" s="49">
        <v>111.816</v>
      </c>
      <c r="BP12" s="50">
        <v>132.77600000000001</v>
      </c>
      <c r="BQ12" s="50">
        <v>136.50399999999999</v>
      </c>
      <c r="BR12" s="50">
        <v>61.386000000000003</v>
      </c>
      <c r="BS12" s="49">
        <v>29.5</v>
      </c>
      <c r="BT12" s="49">
        <v>7363.6080000000002</v>
      </c>
      <c r="BU12" s="49">
        <v>49.046999999999997</v>
      </c>
      <c r="BV12" s="49">
        <v>52.93</v>
      </c>
      <c r="BW12" s="49">
        <v>56.094000000000001</v>
      </c>
      <c r="BX12" s="49">
        <v>57.085000000000001</v>
      </c>
      <c r="BY12" s="49">
        <v>1.419</v>
      </c>
      <c r="BZ12" s="50">
        <v>3.2109999999999999</v>
      </c>
      <c r="CA12" s="49">
        <v>3.01</v>
      </c>
      <c r="CB12" s="49">
        <v>3.5350000000000001</v>
      </c>
      <c r="CC12" s="49">
        <v>0.95699999999999996</v>
      </c>
      <c r="CD12" s="49">
        <v>2.016</v>
      </c>
      <c r="CE12" s="49">
        <v>1.2669999999999999</v>
      </c>
      <c r="CF12" s="49">
        <v>1.998</v>
      </c>
      <c r="CG12" s="49">
        <v>13.923</v>
      </c>
      <c r="CH12" s="49">
        <v>10.493</v>
      </c>
      <c r="CI12" s="3"/>
      <c r="CJ12" s="3"/>
      <c r="CK12" s="3"/>
      <c r="CL12" s="50">
        <v>0.7</v>
      </c>
      <c r="CM12" s="49">
        <v>0.5</v>
      </c>
      <c r="CN12" s="50">
        <v>0</v>
      </c>
      <c r="CO12" s="50">
        <v>0</v>
      </c>
      <c r="CP12" s="49">
        <v>101.333</v>
      </c>
      <c r="CQ12" s="49">
        <v>97.894000000000005</v>
      </c>
      <c r="CR12" s="50">
        <v>121.22</v>
      </c>
      <c r="CS12" s="50">
        <v>126.944</v>
      </c>
      <c r="CT12" s="49">
        <v>0.23</v>
      </c>
      <c r="CU12" s="50">
        <v>8.0779999999999994</v>
      </c>
      <c r="CV12" s="50">
        <v>8.6809999999999992</v>
      </c>
      <c r="CW12" s="50">
        <v>8.0790000000000006</v>
      </c>
      <c r="CX12" s="50">
        <v>8.3740000000000006</v>
      </c>
      <c r="CY12" s="50">
        <v>8.375</v>
      </c>
      <c r="CZ12" s="50">
        <v>8.5790000000000006</v>
      </c>
      <c r="DA12" s="50">
        <v>7.6790000000000003</v>
      </c>
      <c r="DB12" s="50">
        <v>8.9809999999999999</v>
      </c>
      <c r="DC12" s="49">
        <v>0</v>
      </c>
      <c r="DD12" s="50">
        <v>0</v>
      </c>
      <c r="DE12" s="49">
        <v>0.26400000000000001</v>
      </c>
      <c r="DF12" s="49">
        <v>0.126</v>
      </c>
      <c r="DG12" s="49">
        <v>0.35899999999999999</v>
      </c>
      <c r="DH12" s="49">
        <v>2.3149999999999999</v>
      </c>
      <c r="DI12" s="49">
        <v>1.0369999999999999</v>
      </c>
      <c r="DJ12" s="49">
        <v>0.17899999999999999</v>
      </c>
      <c r="DK12" s="49">
        <v>0.79600000000000004</v>
      </c>
      <c r="DL12" s="49">
        <v>0.40600000000000003</v>
      </c>
      <c r="DM12" s="49">
        <v>0.46600000000000003</v>
      </c>
      <c r="DN12" s="49">
        <v>0.36799999999999999</v>
      </c>
      <c r="DO12" s="50">
        <v>0.36399999999999999</v>
      </c>
      <c r="DP12" s="50">
        <v>70.597999999999999</v>
      </c>
      <c r="DQ12" s="49">
        <v>58.88</v>
      </c>
      <c r="DR12" s="49">
        <v>52.226999999999997</v>
      </c>
      <c r="DS12" s="50">
        <v>55.134</v>
      </c>
      <c r="DT12" s="49">
        <v>5.79</v>
      </c>
      <c r="DU12" s="49">
        <v>5.67</v>
      </c>
      <c r="DV12" s="49">
        <v>11.68</v>
      </c>
      <c r="DW12" s="49">
        <v>9.8699999999999992</v>
      </c>
      <c r="DX12" s="49">
        <v>5.99</v>
      </c>
      <c r="DY12" s="49">
        <v>6.02</v>
      </c>
      <c r="DZ12" s="49">
        <v>11.23</v>
      </c>
      <c r="EA12" s="49">
        <v>9.43</v>
      </c>
      <c r="EB12" s="49">
        <v>41.68</v>
      </c>
      <c r="EC12" s="49">
        <v>41.52</v>
      </c>
      <c r="ED12" s="49">
        <v>32.1</v>
      </c>
      <c r="EE12" s="49">
        <v>34.06</v>
      </c>
      <c r="EF12" s="49">
        <v>46.54</v>
      </c>
      <c r="EG12" s="49">
        <v>46.79</v>
      </c>
      <c r="EH12" s="49">
        <v>44.98</v>
      </c>
      <c r="EI12" s="49">
        <v>46.63</v>
      </c>
      <c r="EJ12" s="49">
        <v>7.3440000000000003</v>
      </c>
      <c r="EK12" s="49">
        <v>59.164000000000001</v>
      </c>
      <c r="EL12" s="49">
        <v>2</v>
      </c>
      <c r="EM12" s="49">
        <v>1.55</v>
      </c>
      <c r="EN12" s="49">
        <v>1.24</v>
      </c>
      <c r="EO12" s="49">
        <v>1.24</v>
      </c>
      <c r="EP12" s="49">
        <v>-99.798000000000002</v>
      </c>
      <c r="EQ12" s="49">
        <v>-1.7989999999999999</v>
      </c>
      <c r="ER12" s="49">
        <v>88.542000000000002</v>
      </c>
      <c r="ES12" s="49">
        <v>0.95199999999999996</v>
      </c>
      <c r="ET12" s="49">
        <v>0.94399999999999995</v>
      </c>
      <c r="EU12" s="49">
        <v>0.78300000000000003</v>
      </c>
      <c r="EV12" s="49">
        <v>7.2240000000000002</v>
      </c>
      <c r="EW12" s="49">
        <v>1.67</v>
      </c>
      <c r="EX12" s="49">
        <v>69.680000000000007</v>
      </c>
      <c r="EY12" s="49">
        <v>0</v>
      </c>
      <c r="EZ12" s="49">
        <v>1.1970000000000001</v>
      </c>
      <c r="FA12" s="50">
        <v>0</v>
      </c>
      <c r="FB12" s="49">
        <v>9.1999999999999993</v>
      </c>
      <c r="FC12" s="50">
        <v>73.91</v>
      </c>
      <c r="FD12" s="50">
        <v>69.186999999999998</v>
      </c>
      <c r="FE12" s="50">
        <v>83.861000000000004</v>
      </c>
      <c r="FF12" s="50">
        <v>82.477000000000004</v>
      </c>
      <c r="FG12" s="50">
        <v>0.99</v>
      </c>
      <c r="FH12" s="50">
        <v>0.98899999999999999</v>
      </c>
      <c r="FI12" s="49">
        <v>0.998</v>
      </c>
      <c r="FJ12" s="49">
        <v>1.004</v>
      </c>
      <c r="FK12" s="49">
        <v>0</v>
      </c>
      <c r="FL12" s="49">
        <v>83</v>
      </c>
      <c r="FM12" s="50">
        <v>3.48</v>
      </c>
      <c r="FN12" s="49">
        <v>-0.7</v>
      </c>
      <c r="FO12" s="49">
        <v>5.42</v>
      </c>
      <c r="FP12" s="49">
        <v>4.0999999999999996</v>
      </c>
      <c r="FQ12" s="50">
        <v>4.5</v>
      </c>
      <c r="FR12" s="49">
        <v>5.0999999999999996</v>
      </c>
      <c r="FS12" s="49">
        <v>6.7634999999999996</v>
      </c>
      <c r="FT12" s="49">
        <v>1074.9000000000001</v>
      </c>
      <c r="FU12" s="50">
        <v>7.12</v>
      </c>
      <c r="FV12" s="50">
        <v>33.92</v>
      </c>
      <c r="FW12" s="49">
        <v>3047.5</v>
      </c>
      <c r="FX12" s="49">
        <v>165900</v>
      </c>
      <c r="FY12" s="49">
        <v>166800</v>
      </c>
      <c r="FZ12" s="49">
        <v>48.548999999999999</v>
      </c>
      <c r="GA12" s="49">
        <v>47.601999999999997</v>
      </c>
      <c r="GB12" s="50">
        <v>2445.6</v>
      </c>
      <c r="GC12" s="50">
        <v>2339.9</v>
      </c>
      <c r="GD12" s="50">
        <v>2549.6999999999998</v>
      </c>
      <c r="GE12" s="49">
        <v>2341.4</v>
      </c>
      <c r="GF12" s="49">
        <v>1443.2188000000001</v>
      </c>
      <c r="GG12" s="50">
        <v>37</v>
      </c>
      <c r="GH12" s="50">
        <v>36.799999999999997</v>
      </c>
      <c r="GI12" s="49">
        <v>49.4</v>
      </c>
      <c r="GJ12" s="49">
        <v>54.7</v>
      </c>
      <c r="GK12" s="49">
        <v>99</v>
      </c>
      <c r="GL12" s="49">
        <v>87.2</v>
      </c>
      <c r="GM12" s="50">
        <v>0</v>
      </c>
      <c r="GN12" s="49">
        <v>25.456</v>
      </c>
      <c r="GO12" s="49">
        <v>99.798000000000002</v>
      </c>
      <c r="GP12" s="50">
        <v>0</v>
      </c>
      <c r="GQ12" s="50">
        <v>5.6050000000000004</v>
      </c>
      <c r="GR12" s="50">
        <v>0</v>
      </c>
      <c r="GS12" s="50">
        <v>5.3689999999999998</v>
      </c>
      <c r="GT12" s="50">
        <v>0</v>
      </c>
      <c r="GU12" s="50">
        <v>4.8380000000000001</v>
      </c>
      <c r="GV12" s="50">
        <v>0</v>
      </c>
      <c r="GW12" s="49">
        <v>13.939</v>
      </c>
      <c r="GX12" s="49">
        <v>15.875999999999999</v>
      </c>
      <c r="GY12" s="50">
        <v>0</v>
      </c>
      <c r="GZ12" s="50">
        <v>0</v>
      </c>
      <c r="HA12" s="50">
        <v>0</v>
      </c>
      <c r="HB12" s="49">
        <v>0</v>
      </c>
      <c r="HC12" s="49">
        <v>22.715</v>
      </c>
      <c r="HD12" s="49">
        <v>82</v>
      </c>
      <c r="HE12" s="50">
        <v>0</v>
      </c>
      <c r="HF12" s="50">
        <v>0</v>
      </c>
      <c r="HG12" s="49">
        <v>74.42</v>
      </c>
      <c r="HH12" s="49">
        <v>78.5</v>
      </c>
      <c r="HI12" s="50">
        <v>0</v>
      </c>
      <c r="HJ12" s="50">
        <v>0</v>
      </c>
      <c r="HK12" s="50">
        <v>0</v>
      </c>
      <c r="HL12" s="49">
        <v>63</v>
      </c>
      <c r="HM12" s="49">
        <v>55</v>
      </c>
      <c r="HN12" s="50">
        <v>69</v>
      </c>
      <c r="HO12" s="50">
        <v>63</v>
      </c>
      <c r="HP12" s="50">
        <v>66</v>
      </c>
      <c r="HQ12" s="50">
        <v>64</v>
      </c>
      <c r="HR12" s="50">
        <v>55</v>
      </c>
      <c r="HS12" s="49">
        <v>64</v>
      </c>
      <c r="HT12" s="49">
        <v>-1.2535000000000001</v>
      </c>
      <c r="HU12" s="50">
        <v>0</v>
      </c>
      <c r="HV12" s="49">
        <v>-0.34100000000000003</v>
      </c>
      <c r="HW12" s="49">
        <v>46.75</v>
      </c>
      <c r="HX12" s="49">
        <v>52.53</v>
      </c>
      <c r="HY12" s="3"/>
      <c r="HZ12" s="3"/>
      <c r="IA12" s="49">
        <v>2.9340000000000002</v>
      </c>
      <c r="IB12" s="49">
        <v>104</v>
      </c>
      <c r="IC12" s="49">
        <v>22.667000000000002</v>
      </c>
      <c r="ID12" s="49">
        <v>-0.24099999999999999</v>
      </c>
      <c r="IE12" s="49">
        <v>-8.7999999999999995E-2</v>
      </c>
      <c r="IF12" s="49">
        <v>817.7</v>
      </c>
      <c r="IG12" s="49">
        <v>751.4</v>
      </c>
      <c r="IH12" s="50">
        <v>829.7</v>
      </c>
      <c r="II12" s="49">
        <v>767.6</v>
      </c>
      <c r="IJ12" s="49">
        <v>-0.09</v>
      </c>
      <c r="IK12" s="49">
        <v>-0.19400000000000001</v>
      </c>
      <c r="IL12" s="49">
        <v>85.578000000000003</v>
      </c>
      <c r="IM12" s="49">
        <v>85.578000000000003</v>
      </c>
      <c r="IN12" s="49">
        <v>16.283999999999999</v>
      </c>
      <c r="IO12" s="49">
        <v>0.45800000000000002</v>
      </c>
      <c r="IP12" s="49">
        <v>10.44</v>
      </c>
      <c r="IQ12" s="49">
        <v>0</v>
      </c>
      <c r="IR12" s="49">
        <v>0</v>
      </c>
    </row>
    <row r="15" spans="2:252" ht="15" customHeight="1" x14ac:dyDescent="0.25"/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5DE99-D5B3-4EAF-AF55-1C44EEABED8C}">
  <sheetPr codeName="Sheet5"/>
  <dimension ref="B1:IR12"/>
  <sheetViews>
    <sheetView topLeftCell="A4" workbookViewId="0">
      <selection activeCell="D13" sqref="D13"/>
    </sheetView>
  </sheetViews>
  <sheetFormatPr defaultRowHeight="15" x14ac:dyDescent="0.25"/>
  <sheetData>
    <row r="1" spans="2:252" x14ac:dyDescent="0.25">
      <c r="B1" t="s">
        <v>359</v>
      </c>
      <c r="C1" t="s">
        <v>418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6" t="s">
        <v>419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412</v>
      </c>
      <c r="C7" s="2" t="s">
        <v>41</v>
      </c>
      <c r="D7" s="61">
        <v>2.9356481481481477E-3</v>
      </c>
      <c r="E7" s="50">
        <v>253.63800000000001</v>
      </c>
      <c r="F7" s="49">
        <v>326.2</v>
      </c>
      <c r="G7" s="49">
        <v>5.65</v>
      </c>
      <c r="H7" s="49">
        <v>29.2</v>
      </c>
      <c r="I7" s="50">
        <v>0.14000000000000001</v>
      </c>
      <c r="J7" s="50">
        <v>34.700000000000003</v>
      </c>
      <c r="K7" s="50">
        <v>10</v>
      </c>
      <c r="L7" s="49">
        <v>2</v>
      </c>
      <c r="M7" s="50">
        <v>6</v>
      </c>
      <c r="N7" s="50">
        <v>3</v>
      </c>
      <c r="O7" s="50">
        <v>3</v>
      </c>
      <c r="P7" s="49">
        <v>0.73499999999999999</v>
      </c>
      <c r="Q7" s="49">
        <v>1.0369999999999999</v>
      </c>
      <c r="R7" s="49">
        <v>0.93700000000000006</v>
      </c>
      <c r="S7" s="49">
        <v>0.53200000000000003</v>
      </c>
      <c r="T7" s="49">
        <v>71.260000000000005</v>
      </c>
      <c r="U7" s="49">
        <v>60.533000000000001</v>
      </c>
      <c r="V7" s="50">
        <v>162.5</v>
      </c>
      <c r="W7" s="50">
        <v>167.5</v>
      </c>
      <c r="X7" s="50">
        <v>120</v>
      </c>
      <c r="Y7" s="50">
        <v>145</v>
      </c>
      <c r="Z7" s="49">
        <v>319.36</v>
      </c>
      <c r="AA7" s="49">
        <v>318.23</v>
      </c>
      <c r="AB7" s="49">
        <v>240.77</v>
      </c>
      <c r="AC7" s="49">
        <v>293.42</v>
      </c>
      <c r="AD7" s="49">
        <v>1.7450000000000001</v>
      </c>
      <c r="AE7" s="49">
        <v>1.827</v>
      </c>
      <c r="AF7" s="49">
        <v>1.6890000000000001</v>
      </c>
      <c r="AG7" s="49">
        <v>1.7230000000000001</v>
      </c>
      <c r="AH7" s="49">
        <v>67.430000000000007</v>
      </c>
      <c r="AI7" s="49">
        <v>66.62</v>
      </c>
      <c r="AJ7" s="49">
        <v>84.91</v>
      </c>
      <c r="AK7" s="49">
        <v>85.46</v>
      </c>
      <c r="AL7" s="49">
        <v>617.10799999999995</v>
      </c>
      <c r="AM7" s="49">
        <v>631.03300000000002</v>
      </c>
      <c r="AN7" s="49">
        <v>748.34199999999998</v>
      </c>
      <c r="AO7" s="49">
        <v>747.15899999999999</v>
      </c>
      <c r="AP7" s="50">
        <v>1.397</v>
      </c>
      <c r="AQ7" s="49">
        <v>1.861</v>
      </c>
      <c r="AR7" s="49">
        <v>39.881</v>
      </c>
      <c r="AS7" s="49">
        <v>38.103999999999999</v>
      </c>
      <c r="AT7" s="50">
        <v>84</v>
      </c>
      <c r="AU7" s="49">
        <v>115</v>
      </c>
      <c r="AV7" s="49">
        <v>2.2414999999999998</v>
      </c>
      <c r="AW7" s="49">
        <v>5.1563999999999997</v>
      </c>
      <c r="AX7" s="50">
        <v>1022.1</v>
      </c>
      <c r="AY7" s="50">
        <v>2.4300000000000002</v>
      </c>
      <c r="AZ7" s="49">
        <v>5.66</v>
      </c>
      <c r="BA7" s="50">
        <v>65.3</v>
      </c>
      <c r="BB7" s="50">
        <v>66.316999999999993</v>
      </c>
      <c r="BC7" s="49">
        <v>7745</v>
      </c>
      <c r="BD7" s="49">
        <v>88.75</v>
      </c>
      <c r="BE7" s="49">
        <v>15.335000000000001</v>
      </c>
      <c r="BF7" s="49">
        <v>13.585000000000001</v>
      </c>
      <c r="BG7" s="49">
        <v>26.19</v>
      </c>
      <c r="BH7" s="49">
        <v>26.13</v>
      </c>
      <c r="BI7" s="49">
        <v>63.963000000000001</v>
      </c>
      <c r="BJ7" s="49">
        <v>79.894000000000005</v>
      </c>
      <c r="BK7" s="49">
        <v>62.277999999999999</v>
      </c>
      <c r="BL7" s="49">
        <v>76.986000000000004</v>
      </c>
      <c r="BM7" s="49">
        <v>77.707999999999998</v>
      </c>
      <c r="BN7" s="50">
        <v>137.59200000000001</v>
      </c>
      <c r="BO7" s="50">
        <v>134.184</v>
      </c>
      <c r="BP7" s="49">
        <v>125.16</v>
      </c>
      <c r="BQ7" s="49">
        <v>127.48</v>
      </c>
      <c r="BR7" s="49">
        <v>59.088999999999999</v>
      </c>
      <c r="BS7" s="49">
        <v>28.9</v>
      </c>
      <c r="BT7" s="49">
        <v>7298.6450000000004</v>
      </c>
      <c r="BU7" s="49">
        <v>49.250999999999998</v>
      </c>
      <c r="BV7" s="50">
        <v>56.335999999999999</v>
      </c>
      <c r="BW7" s="49">
        <v>56.003</v>
      </c>
      <c r="BX7" s="49">
        <v>56.781999999999996</v>
      </c>
      <c r="BY7" s="50">
        <v>1.514</v>
      </c>
      <c r="BZ7" s="50">
        <v>3.3340000000000001</v>
      </c>
      <c r="CA7" s="49">
        <v>3.5529999999999999</v>
      </c>
      <c r="CB7" s="49">
        <v>3.0310000000000001</v>
      </c>
      <c r="CC7" s="49">
        <v>1.214</v>
      </c>
      <c r="CD7" s="49">
        <v>2.302</v>
      </c>
      <c r="CE7" s="50">
        <v>1.34</v>
      </c>
      <c r="CF7" s="50">
        <v>2.198</v>
      </c>
      <c r="CG7" s="49">
        <v>13.798</v>
      </c>
      <c r="CH7" s="50">
        <v>9.9039999999999999</v>
      </c>
      <c r="CI7" s="49">
        <v>3.7050000000000001</v>
      </c>
      <c r="CJ7" s="49">
        <v>3.36</v>
      </c>
      <c r="CK7" s="49">
        <v>1.083</v>
      </c>
      <c r="CL7" s="49">
        <v>0</v>
      </c>
      <c r="CM7" s="49">
        <v>0.7</v>
      </c>
      <c r="CN7" s="49">
        <v>0</v>
      </c>
      <c r="CO7" s="49">
        <v>0</v>
      </c>
      <c r="CP7" s="50">
        <v>104.854</v>
      </c>
      <c r="CQ7" s="49">
        <v>101.751</v>
      </c>
      <c r="CR7" s="49">
        <v>110.78700000000001</v>
      </c>
      <c r="CS7" s="49">
        <v>114.694</v>
      </c>
      <c r="CT7" s="50">
        <v>0.627</v>
      </c>
      <c r="CU7" s="49">
        <v>1.0980000000000001</v>
      </c>
      <c r="CV7" s="49">
        <v>1.093</v>
      </c>
      <c r="CW7" s="49">
        <v>1.5960000000000001</v>
      </c>
      <c r="CX7" s="49">
        <v>1.595</v>
      </c>
      <c r="CY7" s="49">
        <v>1.7989999999999999</v>
      </c>
      <c r="CZ7" s="49">
        <v>1.1930000000000001</v>
      </c>
      <c r="DA7" s="49">
        <v>0.9</v>
      </c>
      <c r="DB7" s="49">
        <v>1.8009999999999999</v>
      </c>
      <c r="DC7" s="50">
        <v>8.0000000000000002E-3</v>
      </c>
      <c r="DD7" s="50">
        <v>0</v>
      </c>
      <c r="DE7" s="49">
        <v>0.23100000000000001</v>
      </c>
      <c r="DF7" s="49">
        <v>9.7000000000000003E-2</v>
      </c>
      <c r="DG7" s="49">
        <v>0.33800000000000002</v>
      </c>
      <c r="DH7" s="49">
        <v>1.266</v>
      </c>
      <c r="DI7" s="49">
        <v>0.95399999999999996</v>
      </c>
      <c r="DJ7" s="49">
        <v>0.20399999999999999</v>
      </c>
      <c r="DK7" s="49">
        <v>0.78500000000000003</v>
      </c>
      <c r="DL7" s="49">
        <v>0.41</v>
      </c>
      <c r="DM7" s="49">
        <v>0.50800000000000001</v>
      </c>
      <c r="DN7" s="49">
        <v>0.39400000000000002</v>
      </c>
      <c r="DO7" s="49">
        <v>0.36299999999999999</v>
      </c>
      <c r="DP7" s="49">
        <v>62.767000000000003</v>
      </c>
      <c r="DQ7" s="49">
        <v>59.706000000000003</v>
      </c>
      <c r="DR7" s="49">
        <v>53.633000000000003</v>
      </c>
      <c r="DS7" s="49">
        <v>50.267000000000003</v>
      </c>
      <c r="DT7" s="49">
        <v>4.67</v>
      </c>
      <c r="DU7" s="49">
        <v>4.8099999999999996</v>
      </c>
      <c r="DV7" s="49">
        <v>9.51</v>
      </c>
      <c r="DW7" s="49">
        <v>8.18</v>
      </c>
      <c r="DX7" s="49">
        <v>5.05</v>
      </c>
      <c r="DY7" s="49">
        <v>4.76</v>
      </c>
      <c r="DZ7" s="49">
        <v>8.7200000000000006</v>
      </c>
      <c r="EA7" s="49">
        <v>7.6</v>
      </c>
      <c r="EB7" s="49">
        <v>41.74</v>
      </c>
      <c r="EC7" s="49">
        <v>40.01</v>
      </c>
      <c r="ED7" s="49">
        <v>33.049999999999997</v>
      </c>
      <c r="EE7" s="49">
        <v>34.54</v>
      </c>
      <c r="EF7" s="50">
        <v>48.54</v>
      </c>
      <c r="EG7" s="50">
        <v>50.42</v>
      </c>
      <c r="EH7" s="50">
        <v>48.72</v>
      </c>
      <c r="EI7" s="50">
        <v>49.68</v>
      </c>
      <c r="EJ7" s="49">
        <v>6.9</v>
      </c>
      <c r="EK7" s="49">
        <v>58.798000000000002</v>
      </c>
      <c r="EL7" s="50">
        <v>2.25</v>
      </c>
      <c r="EM7" s="50">
        <v>1.55</v>
      </c>
      <c r="EN7" s="49">
        <v>1.21</v>
      </c>
      <c r="EO7" s="49">
        <v>1.21</v>
      </c>
      <c r="EP7" s="49">
        <v>-102.426</v>
      </c>
      <c r="EQ7" s="50">
        <v>-1.0549999999999999</v>
      </c>
      <c r="ER7" s="49">
        <v>135.262</v>
      </c>
      <c r="ES7" s="49">
        <v>1.4730000000000001</v>
      </c>
      <c r="ET7" s="49">
        <v>1.4970000000000001</v>
      </c>
      <c r="EU7" s="49">
        <v>1.448</v>
      </c>
      <c r="EV7" s="50">
        <v>7.8049999999999997</v>
      </c>
      <c r="EW7" s="50">
        <v>2.536</v>
      </c>
      <c r="EX7" s="49">
        <v>-348.8</v>
      </c>
      <c r="EY7" s="50">
        <v>1.5209999999999999</v>
      </c>
      <c r="EZ7" s="49">
        <v>0</v>
      </c>
      <c r="FA7" s="50">
        <v>0</v>
      </c>
      <c r="FB7" s="49">
        <v>8.327</v>
      </c>
      <c r="FC7" s="49">
        <v>69.340999999999994</v>
      </c>
      <c r="FD7" s="49">
        <v>66.683999999999997</v>
      </c>
      <c r="FE7" s="49">
        <v>75.590999999999994</v>
      </c>
      <c r="FF7" s="49">
        <v>75.03</v>
      </c>
      <c r="FG7" s="50">
        <v>0.95</v>
      </c>
      <c r="FH7" s="50">
        <v>0.95099999999999996</v>
      </c>
      <c r="FI7" s="50">
        <v>0.997</v>
      </c>
      <c r="FJ7" s="49">
        <v>1</v>
      </c>
      <c r="FK7" s="50">
        <v>0.10199999999999999</v>
      </c>
      <c r="FL7" s="50">
        <v>85</v>
      </c>
      <c r="FM7" s="49">
        <v>3.41</v>
      </c>
      <c r="FN7" s="49">
        <v>-0.84</v>
      </c>
      <c r="FO7" s="50">
        <v>5.36</v>
      </c>
      <c r="FP7" s="49">
        <v>4.1500000000000004</v>
      </c>
      <c r="FQ7" s="50">
        <v>0.6</v>
      </c>
      <c r="FR7" s="49">
        <v>5.15</v>
      </c>
      <c r="FS7" s="49">
        <v>6.5810000000000004</v>
      </c>
      <c r="FT7" s="50">
        <v>1083.9000000000001</v>
      </c>
      <c r="FU7" s="50">
        <v>7.29</v>
      </c>
      <c r="FV7" s="49">
        <v>5.65</v>
      </c>
      <c r="FW7" s="49">
        <v>3298</v>
      </c>
      <c r="FX7" s="50">
        <v>174700</v>
      </c>
      <c r="FY7" s="50">
        <v>177600</v>
      </c>
      <c r="FZ7" s="50">
        <v>49.188000000000002</v>
      </c>
      <c r="GA7" s="50">
        <v>48.18</v>
      </c>
      <c r="GB7" s="49">
        <v>2179.4</v>
      </c>
      <c r="GC7" s="49">
        <v>2204.9</v>
      </c>
      <c r="GD7" s="49">
        <v>2223.5</v>
      </c>
      <c r="GE7" s="49">
        <v>2257.6999999999998</v>
      </c>
      <c r="GF7" s="50">
        <v>1454.1405999999999</v>
      </c>
      <c r="GG7" s="50">
        <v>37</v>
      </c>
      <c r="GH7" s="50">
        <v>36.6</v>
      </c>
      <c r="GI7" s="50">
        <v>56.1</v>
      </c>
      <c r="GJ7" s="50">
        <v>60.3</v>
      </c>
      <c r="GK7" s="50">
        <v>97</v>
      </c>
      <c r="GL7" s="50">
        <v>86.3</v>
      </c>
      <c r="GM7" s="50">
        <v>0</v>
      </c>
      <c r="GN7" s="49">
        <v>27.024999999999999</v>
      </c>
      <c r="GO7" s="49">
        <v>135.262</v>
      </c>
      <c r="GP7" s="50">
        <v>0</v>
      </c>
      <c r="GQ7" s="50">
        <v>4.0119999999999996</v>
      </c>
      <c r="GR7" s="50">
        <v>0</v>
      </c>
      <c r="GS7" s="50">
        <v>4.5430000000000001</v>
      </c>
      <c r="GT7" s="50">
        <v>0</v>
      </c>
      <c r="GU7" s="50">
        <v>4.4249999999999998</v>
      </c>
      <c r="GV7" s="50">
        <v>0</v>
      </c>
      <c r="GW7" s="49">
        <v>12.914999999999999</v>
      </c>
      <c r="GX7" s="50">
        <v>22.05</v>
      </c>
      <c r="GY7" s="50">
        <v>0</v>
      </c>
      <c r="GZ7" s="50">
        <v>0</v>
      </c>
      <c r="HA7" s="50">
        <v>0</v>
      </c>
      <c r="HB7" s="50">
        <v>1</v>
      </c>
      <c r="HC7" s="50">
        <v>25.673999999999999</v>
      </c>
      <c r="HD7" s="50">
        <v>90</v>
      </c>
      <c r="HE7" s="50">
        <v>0</v>
      </c>
      <c r="HF7" s="50">
        <v>0</v>
      </c>
      <c r="HG7" s="50">
        <v>91.48</v>
      </c>
      <c r="HH7" s="49">
        <v>82.85</v>
      </c>
      <c r="HI7" s="50">
        <v>0</v>
      </c>
      <c r="HJ7" s="50">
        <v>0</v>
      </c>
      <c r="HK7" s="50">
        <v>0</v>
      </c>
      <c r="HL7" s="50">
        <v>69</v>
      </c>
      <c r="HM7" s="50">
        <v>56</v>
      </c>
      <c r="HN7" s="49">
        <v>69</v>
      </c>
      <c r="HO7" s="49">
        <v>62</v>
      </c>
      <c r="HP7" s="49">
        <v>65</v>
      </c>
      <c r="HQ7" s="49">
        <v>63</v>
      </c>
      <c r="HR7" s="50">
        <v>55</v>
      </c>
      <c r="HS7" s="50">
        <v>70</v>
      </c>
      <c r="HT7" s="49">
        <v>-1.3109999999999999</v>
      </c>
      <c r="HU7" s="50">
        <v>0</v>
      </c>
      <c r="HV7" s="49">
        <v>-0.498</v>
      </c>
      <c r="HW7" s="49">
        <v>36.979999999999997</v>
      </c>
      <c r="HX7" s="49">
        <v>52.01</v>
      </c>
      <c r="HY7" s="3"/>
      <c r="HZ7" s="3"/>
      <c r="IA7" s="49">
        <v>2.5259999999999998</v>
      </c>
      <c r="IB7" s="49">
        <v>101</v>
      </c>
      <c r="IC7" s="49">
        <v>20.016999999999999</v>
      </c>
      <c r="ID7" s="50">
        <v>-0.189</v>
      </c>
      <c r="IE7" s="50">
        <v>-6.0999999999999999E-2</v>
      </c>
      <c r="IF7" s="49">
        <v>822</v>
      </c>
      <c r="IG7" s="49">
        <v>722.3</v>
      </c>
      <c r="IH7" s="49">
        <v>825</v>
      </c>
      <c r="II7" s="49">
        <v>735.8</v>
      </c>
      <c r="IJ7" s="50">
        <v>-3.9E-2</v>
      </c>
      <c r="IK7" s="50">
        <v>-0.11899999999999999</v>
      </c>
      <c r="IL7" s="50">
        <v>107.622</v>
      </c>
      <c r="IM7" s="50">
        <v>107.483</v>
      </c>
      <c r="IN7" s="49">
        <v>13.871</v>
      </c>
      <c r="IO7" s="49">
        <v>0.48799999999999999</v>
      </c>
      <c r="IP7" s="50">
        <v>10.42</v>
      </c>
      <c r="IQ7" s="49">
        <v>8.9999999999999993E-3</v>
      </c>
      <c r="IR7" s="50">
        <v>0.01</v>
      </c>
    </row>
    <row r="8" spans="2:252" x14ac:dyDescent="0.25">
      <c r="B8" s="2" t="s">
        <v>412</v>
      </c>
      <c r="C8" s="2" t="s">
        <v>42</v>
      </c>
      <c r="D8" s="61">
        <v>2.5643518518518519E-3</v>
      </c>
      <c r="E8" s="49">
        <v>221.6</v>
      </c>
      <c r="F8" s="50">
        <v>330.45</v>
      </c>
      <c r="G8" s="49">
        <v>5.72</v>
      </c>
      <c r="H8" s="50">
        <v>29.5</v>
      </c>
      <c r="I8" s="49">
        <v>0</v>
      </c>
      <c r="J8" s="49">
        <v>14.8</v>
      </c>
      <c r="K8" s="50">
        <v>10</v>
      </c>
      <c r="L8" s="50">
        <v>4</v>
      </c>
      <c r="M8" s="50">
        <v>6</v>
      </c>
      <c r="N8" s="50">
        <v>3</v>
      </c>
      <c r="O8" s="50">
        <v>3</v>
      </c>
      <c r="P8" s="50">
        <v>1.141</v>
      </c>
      <c r="Q8" s="49">
        <v>1.611</v>
      </c>
      <c r="R8" s="50">
        <v>1.3120000000000001</v>
      </c>
      <c r="S8" s="50">
        <v>0.91700000000000004</v>
      </c>
      <c r="T8" s="49">
        <v>79.319999999999993</v>
      </c>
      <c r="U8" s="49">
        <v>61.079000000000001</v>
      </c>
      <c r="V8" s="49">
        <v>236.66</v>
      </c>
      <c r="W8" s="49">
        <v>236.66</v>
      </c>
      <c r="X8" s="49">
        <v>165</v>
      </c>
      <c r="Y8" s="49">
        <v>211.66</v>
      </c>
      <c r="Z8" s="49">
        <v>394.47</v>
      </c>
      <c r="AA8" s="49">
        <v>397.21</v>
      </c>
      <c r="AB8" s="49">
        <v>302.48</v>
      </c>
      <c r="AC8" s="49">
        <v>368.8</v>
      </c>
      <c r="AD8" s="49">
        <v>1.7749999999999999</v>
      </c>
      <c r="AE8" s="49">
        <v>1.849</v>
      </c>
      <c r="AF8" s="49">
        <v>1.7509999999999999</v>
      </c>
      <c r="AG8" s="49">
        <v>1.7829999999999999</v>
      </c>
      <c r="AH8" s="49">
        <v>77.86</v>
      </c>
      <c r="AI8" s="49">
        <v>76.239999999999995</v>
      </c>
      <c r="AJ8" s="49">
        <v>100</v>
      </c>
      <c r="AK8" s="49">
        <v>97.42</v>
      </c>
      <c r="AL8" s="49">
        <v>634.49</v>
      </c>
      <c r="AM8" s="49">
        <v>644.101</v>
      </c>
      <c r="AN8" s="49">
        <v>789.98</v>
      </c>
      <c r="AO8" s="49">
        <v>786.20100000000002</v>
      </c>
      <c r="AP8" s="49">
        <v>1.359</v>
      </c>
      <c r="AQ8" s="50">
        <v>1.8640000000000001</v>
      </c>
      <c r="AR8" s="49">
        <v>41.362000000000002</v>
      </c>
      <c r="AS8" s="50">
        <v>39.337000000000003</v>
      </c>
      <c r="AT8" s="49">
        <v>83</v>
      </c>
      <c r="AU8" s="49">
        <v>117</v>
      </c>
      <c r="AV8" s="49">
        <v>2.3065000000000002</v>
      </c>
      <c r="AW8" s="49">
        <v>5.2747999999999999</v>
      </c>
      <c r="AX8" s="49">
        <v>1020.6</v>
      </c>
      <c r="AY8" s="49">
        <v>2.25</v>
      </c>
      <c r="AZ8" s="50">
        <v>5.39</v>
      </c>
      <c r="BA8" s="49">
        <v>97.691000000000003</v>
      </c>
      <c r="BB8" s="49">
        <v>99.682000000000002</v>
      </c>
      <c r="BC8" s="49">
        <v>7693</v>
      </c>
      <c r="BD8" s="49">
        <v>88.75</v>
      </c>
      <c r="BE8" s="49">
        <v>15.21</v>
      </c>
      <c r="BF8" s="49">
        <v>12.845000000000001</v>
      </c>
      <c r="BG8" s="49">
        <v>29.01</v>
      </c>
      <c r="BH8" s="49">
        <v>28.08</v>
      </c>
      <c r="BI8" s="3"/>
      <c r="BJ8" s="3"/>
      <c r="BK8" s="3"/>
      <c r="BL8" s="3"/>
      <c r="BM8" s="3"/>
      <c r="BN8" s="49">
        <v>104.93600000000001</v>
      </c>
      <c r="BO8" s="49">
        <v>101.01600000000001</v>
      </c>
      <c r="BP8" s="49">
        <v>129.624</v>
      </c>
      <c r="BQ8" s="49">
        <v>133.36799999999999</v>
      </c>
      <c r="BR8" s="3"/>
      <c r="BS8" s="49">
        <v>29.1</v>
      </c>
      <c r="BT8" s="49">
        <v>7421.81</v>
      </c>
      <c r="BU8" s="49">
        <v>50.158999999999999</v>
      </c>
      <c r="BV8" s="49">
        <v>53.247</v>
      </c>
      <c r="BW8" s="49">
        <v>55.054000000000002</v>
      </c>
      <c r="BX8" s="49">
        <v>55.662999999999997</v>
      </c>
      <c r="BY8" s="49">
        <v>1.284</v>
      </c>
      <c r="BZ8" s="49">
        <v>3.1930000000000001</v>
      </c>
      <c r="CA8" s="49">
        <v>3.194</v>
      </c>
      <c r="CB8" s="49">
        <v>3.9460000000000002</v>
      </c>
      <c r="CC8" s="49">
        <v>1.0409999999999999</v>
      </c>
      <c r="CD8" s="49">
        <v>2.508</v>
      </c>
      <c r="CE8" s="49">
        <v>1.3169999999999999</v>
      </c>
      <c r="CF8" s="49">
        <v>2.1739999999999999</v>
      </c>
      <c r="CG8" s="49">
        <v>13.936999999999999</v>
      </c>
      <c r="CH8" s="49">
        <v>13.815</v>
      </c>
      <c r="CI8" s="49">
        <v>3.7709999999999999</v>
      </c>
      <c r="CJ8" s="49">
        <v>3.5779999999999998</v>
      </c>
      <c r="CK8" s="49">
        <v>1.363</v>
      </c>
      <c r="CL8" s="49">
        <v>0.1</v>
      </c>
      <c r="CM8" s="49">
        <v>0.1</v>
      </c>
      <c r="CN8" s="50">
        <v>1.2</v>
      </c>
      <c r="CO8" s="50">
        <v>1.2</v>
      </c>
      <c r="CP8" s="49">
        <v>99.71</v>
      </c>
      <c r="CQ8" s="49">
        <v>95.981999999999999</v>
      </c>
      <c r="CR8" s="49">
        <v>119.512</v>
      </c>
      <c r="CS8" s="49">
        <v>124.489</v>
      </c>
      <c r="CT8" s="49">
        <v>0.33600000000000002</v>
      </c>
      <c r="CU8" s="49">
        <v>0.89900000000000002</v>
      </c>
      <c r="CV8" s="49">
        <v>1.2969999999999999</v>
      </c>
      <c r="CW8" s="49">
        <v>0.89800000000000002</v>
      </c>
      <c r="CX8" s="49">
        <v>1.401</v>
      </c>
      <c r="CY8" s="49">
        <v>0.39700000000000002</v>
      </c>
      <c r="CZ8" s="49">
        <v>0.79700000000000004</v>
      </c>
      <c r="DA8" s="49">
        <v>1.1950000000000001</v>
      </c>
      <c r="DB8" s="49">
        <v>1.794</v>
      </c>
      <c r="DC8" s="49">
        <v>0</v>
      </c>
      <c r="DD8" s="50">
        <v>0</v>
      </c>
      <c r="DE8" s="50">
        <v>0.36499999999999999</v>
      </c>
      <c r="DF8" s="49">
        <v>0.14699999999999999</v>
      </c>
      <c r="DG8" s="49">
        <v>0.11</v>
      </c>
      <c r="DH8" s="49">
        <v>1.875</v>
      </c>
      <c r="DI8" s="49">
        <v>1.25</v>
      </c>
      <c r="DJ8" s="50">
        <v>0.38500000000000001</v>
      </c>
      <c r="DK8" s="49">
        <v>1.2789999999999999</v>
      </c>
      <c r="DL8" s="49">
        <v>0.39700000000000002</v>
      </c>
      <c r="DM8" s="49">
        <v>0.438</v>
      </c>
      <c r="DN8" s="49">
        <v>0.36199999999999999</v>
      </c>
      <c r="DO8" s="49">
        <v>0.28299999999999997</v>
      </c>
      <c r="DP8" s="49">
        <v>65.983999999999995</v>
      </c>
      <c r="DQ8" s="49">
        <v>59.439</v>
      </c>
      <c r="DR8" s="49">
        <v>53.091000000000001</v>
      </c>
      <c r="DS8" s="49">
        <v>51.776000000000003</v>
      </c>
      <c r="DT8" s="49">
        <v>5.95</v>
      </c>
      <c r="DU8" s="49">
        <v>5.77</v>
      </c>
      <c r="DV8" s="49">
        <v>11.98</v>
      </c>
      <c r="DW8" s="49">
        <v>9.9499999999999993</v>
      </c>
      <c r="DX8" s="49">
        <v>6.22</v>
      </c>
      <c r="DY8" s="49">
        <v>5.68</v>
      </c>
      <c r="DZ8" s="49">
        <v>11.19</v>
      </c>
      <c r="EA8" s="49">
        <v>9.66</v>
      </c>
      <c r="EB8" s="49">
        <v>42.72</v>
      </c>
      <c r="EC8" s="49">
        <v>41.71</v>
      </c>
      <c r="ED8" s="49">
        <v>32.71</v>
      </c>
      <c r="EE8" s="49">
        <v>35.96</v>
      </c>
      <c r="EF8" s="49">
        <v>45.11</v>
      </c>
      <c r="EG8" s="49">
        <v>46.83</v>
      </c>
      <c r="EH8" s="49">
        <v>44.11</v>
      </c>
      <c r="EI8" s="49">
        <v>44.42</v>
      </c>
      <c r="EJ8" s="49">
        <v>6.976</v>
      </c>
      <c r="EK8" s="49">
        <v>59.252000000000002</v>
      </c>
      <c r="EL8" s="49">
        <v>2.0499999999999998</v>
      </c>
      <c r="EM8" s="49">
        <v>1.65</v>
      </c>
      <c r="EN8" s="50">
        <v>1.22</v>
      </c>
      <c r="EO8" s="50">
        <v>1.23</v>
      </c>
      <c r="EP8" s="49">
        <v>-101.258</v>
      </c>
      <c r="EQ8" s="49">
        <v>-2.512</v>
      </c>
      <c r="ER8" s="49">
        <v>106.646</v>
      </c>
      <c r="ES8" s="50">
        <v>1.6</v>
      </c>
      <c r="ET8" s="49">
        <v>1.639</v>
      </c>
      <c r="EU8" s="50">
        <v>1.573</v>
      </c>
      <c r="EV8" s="49">
        <v>7.4470000000000001</v>
      </c>
      <c r="EW8" s="49">
        <v>2.2669999999999999</v>
      </c>
      <c r="EX8" s="49">
        <v>72</v>
      </c>
      <c r="EY8" s="49">
        <v>0</v>
      </c>
      <c r="EZ8" s="50">
        <v>2.7280000000000002</v>
      </c>
      <c r="FA8" s="50">
        <v>0</v>
      </c>
      <c r="FB8" s="49">
        <v>9.16</v>
      </c>
      <c r="FC8" s="49">
        <v>68.625</v>
      </c>
      <c r="FD8" s="49">
        <v>65.256</v>
      </c>
      <c r="FE8" s="49">
        <v>76.87</v>
      </c>
      <c r="FF8" s="49">
        <v>75.978999999999999</v>
      </c>
      <c r="FG8" s="49">
        <v>0.93400000000000005</v>
      </c>
      <c r="FH8" s="49">
        <v>0.93500000000000005</v>
      </c>
      <c r="FI8" s="49">
        <v>0.99099999999999999</v>
      </c>
      <c r="FJ8" s="49">
        <v>0.995</v>
      </c>
      <c r="FK8" s="49">
        <v>0</v>
      </c>
      <c r="FL8" s="49">
        <v>83</v>
      </c>
      <c r="FM8" s="49">
        <v>3.53</v>
      </c>
      <c r="FN8" s="50">
        <v>-0.89</v>
      </c>
      <c r="FO8" s="49">
        <v>5.41</v>
      </c>
      <c r="FP8" s="49">
        <v>4.2</v>
      </c>
      <c r="FQ8" s="49">
        <v>4.45</v>
      </c>
      <c r="FR8" s="49">
        <v>5.0999999999999996</v>
      </c>
      <c r="FS8" s="49">
        <v>6.7859999999999996</v>
      </c>
      <c r="FT8" s="49">
        <v>1077.4000000000001</v>
      </c>
      <c r="FU8" s="49">
        <v>6.65</v>
      </c>
      <c r="FV8" s="49">
        <v>11.37</v>
      </c>
      <c r="FW8" s="50">
        <v>3299</v>
      </c>
      <c r="FX8" s="49">
        <v>173200</v>
      </c>
      <c r="FY8" s="49">
        <v>174400</v>
      </c>
      <c r="FZ8" s="49">
        <v>48.707999999999998</v>
      </c>
      <c r="GA8" s="49">
        <v>47.783999999999999</v>
      </c>
      <c r="GB8" s="49">
        <v>2176.3000000000002</v>
      </c>
      <c r="GC8" s="49">
        <v>2176.6999999999998</v>
      </c>
      <c r="GD8" s="49">
        <v>2189.4</v>
      </c>
      <c r="GE8" s="49">
        <v>2276.4</v>
      </c>
      <c r="GF8" s="49">
        <v>1273.0469000000001</v>
      </c>
      <c r="GG8" s="49">
        <v>26</v>
      </c>
      <c r="GH8" s="49">
        <v>26.3</v>
      </c>
      <c r="GI8" s="49">
        <v>48.8</v>
      </c>
      <c r="GJ8" s="49">
        <v>54.3</v>
      </c>
      <c r="GK8" s="49">
        <v>99.5</v>
      </c>
      <c r="GL8" s="49">
        <v>76.2</v>
      </c>
      <c r="GM8" s="50">
        <v>0</v>
      </c>
      <c r="GN8" s="49">
        <v>26.074999999999999</v>
      </c>
      <c r="GO8" s="49">
        <v>106.646</v>
      </c>
      <c r="GP8" s="49">
        <v>1.121</v>
      </c>
      <c r="GQ8" s="49">
        <v>1.9470000000000001</v>
      </c>
      <c r="GR8" s="49">
        <v>1.298</v>
      </c>
      <c r="GS8" s="49">
        <v>2.0059999999999998</v>
      </c>
      <c r="GT8" s="49">
        <v>1.0620000000000001</v>
      </c>
      <c r="GU8" s="49">
        <v>1.8879999999999999</v>
      </c>
      <c r="GV8" s="49">
        <v>12.544</v>
      </c>
      <c r="GW8" s="50">
        <v>14.058999999999999</v>
      </c>
      <c r="GX8" s="49">
        <v>15.385999999999999</v>
      </c>
      <c r="GY8" s="50">
        <v>0</v>
      </c>
      <c r="GZ8" s="50">
        <v>0</v>
      </c>
      <c r="HA8" s="50">
        <v>0</v>
      </c>
      <c r="HB8" s="49">
        <v>0</v>
      </c>
      <c r="HC8" s="49">
        <v>23.475999999999999</v>
      </c>
      <c r="HD8" s="49">
        <v>82</v>
      </c>
      <c r="HE8" s="50">
        <v>0</v>
      </c>
      <c r="HF8" s="50">
        <v>0</v>
      </c>
      <c r="HG8" s="49">
        <v>85.27</v>
      </c>
      <c r="HH8" s="49">
        <v>82.85</v>
      </c>
      <c r="HI8" s="50">
        <v>0</v>
      </c>
      <c r="HJ8" s="50">
        <v>0</v>
      </c>
      <c r="HK8" s="50">
        <v>0</v>
      </c>
      <c r="HL8" s="49">
        <v>63</v>
      </c>
      <c r="HM8" s="50">
        <v>56</v>
      </c>
      <c r="HN8" s="49">
        <v>69</v>
      </c>
      <c r="HO8" s="49">
        <v>63</v>
      </c>
      <c r="HP8" s="49">
        <v>66</v>
      </c>
      <c r="HQ8" s="49">
        <v>63</v>
      </c>
      <c r="HR8" s="50">
        <v>55</v>
      </c>
      <c r="HS8" s="50">
        <v>70</v>
      </c>
      <c r="HT8" s="49">
        <v>-1.31</v>
      </c>
      <c r="HU8" s="50">
        <v>0</v>
      </c>
      <c r="HV8" s="49">
        <v>1.7999999999999999E-2</v>
      </c>
      <c r="HW8" s="49">
        <v>36.979999999999997</v>
      </c>
      <c r="HX8" s="49">
        <v>50.78</v>
      </c>
      <c r="HY8" s="49">
        <v>52.11</v>
      </c>
      <c r="HZ8" s="49">
        <v>64.19</v>
      </c>
      <c r="IA8" s="49">
        <v>2.5209999999999999</v>
      </c>
      <c r="IB8" s="50">
        <v>104</v>
      </c>
      <c r="IC8" s="49">
        <v>22.327000000000002</v>
      </c>
      <c r="ID8" s="49">
        <v>-0.26900000000000002</v>
      </c>
      <c r="IE8" s="49">
        <v>-0.10100000000000001</v>
      </c>
      <c r="IF8" s="49">
        <v>818.3</v>
      </c>
      <c r="IG8" s="49">
        <v>768.4</v>
      </c>
      <c r="IH8" s="49">
        <v>829.3</v>
      </c>
      <c r="II8" s="49">
        <v>780.3</v>
      </c>
      <c r="IJ8" s="49">
        <v>-6.3E-2</v>
      </c>
      <c r="IK8" s="49">
        <v>-0.18</v>
      </c>
      <c r="IL8" s="49">
        <v>77.968000000000004</v>
      </c>
      <c r="IM8" s="49">
        <v>77.968000000000004</v>
      </c>
      <c r="IN8" s="49">
        <v>11.981</v>
      </c>
      <c r="IO8" s="49">
        <v>0.51300000000000001</v>
      </c>
      <c r="IP8" s="49">
        <v>10.39</v>
      </c>
      <c r="IQ8" s="49">
        <v>1.0999999999999999E-2</v>
      </c>
      <c r="IR8" s="50">
        <v>0.01</v>
      </c>
    </row>
    <row r="9" spans="2:252" x14ac:dyDescent="0.25">
      <c r="B9" s="2" t="s">
        <v>412</v>
      </c>
      <c r="C9" s="2" t="s">
        <v>43</v>
      </c>
      <c r="D9" s="61">
        <v>2.4874999999999997E-3</v>
      </c>
      <c r="E9" s="49">
        <v>214.96</v>
      </c>
      <c r="F9" s="49">
        <v>327.96</v>
      </c>
      <c r="G9" s="49">
        <v>5.86</v>
      </c>
      <c r="H9" s="50">
        <v>29.5</v>
      </c>
      <c r="I9" s="49">
        <v>0</v>
      </c>
      <c r="J9" s="49">
        <v>12.6</v>
      </c>
      <c r="K9" s="50">
        <v>10</v>
      </c>
      <c r="L9" s="50">
        <v>4</v>
      </c>
      <c r="M9" s="50">
        <v>6</v>
      </c>
      <c r="N9" s="50">
        <v>3</v>
      </c>
      <c r="O9" s="50">
        <v>3</v>
      </c>
      <c r="P9" s="49">
        <v>1.0269999999999999</v>
      </c>
      <c r="Q9" s="50">
        <v>1.897</v>
      </c>
      <c r="R9" s="49">
        <v>0.93400000000000005</v>
      </c>
      <c r="S9" s="49">
        <v>0.66600000000000004</v>
      </c>
      <c r="T9" s="50">
        <v>89.89</v>
      </c>
      <c r="U9" s="49">
        <v>61.109000000000002</v>
      </c>
      <c r="V9" s="49">
        <v>255</v>
      </c>
      <c r="W9" s="49">
        <v>260</v>
      </c>
      <c r="X9" s="49">
        <v>180</v>
      </c>
      <c r="Y9" s="49">
        <v>230</v>
      </c>
      <c r="Z9" s="49">
        <v>405.99</v>
      </c>
      <c r="AA9" s="49">
        <v>412.93</v>
      </c>
      <c r="AB9" s="49">
        <v>310.12</v>
      </c>
      <c r="AC9" s="49">
        <v>376.61</v>
      </c>
      <c r="AD9" s="49">
        <v>1.8080000000000001</v>
      </c>
      <c r="AE9" s="49">
        <v>1.8779999999999999</v>
      </c>
      <c r="AF9" s="49">
        <v>1.7929999999999999</v>
      </c>
      <c r="AG9" s="49">
        <v>1.8220000000000001</v>
      </c>
      <c r="AH9" s="49">
        <v>83.31</v>
      </c>
      <c r="AI9" s="50">
        <v>81.069999999999993</v>
      </c>
      <c r="AJ9" s="49">
        <v>105.4</v>
      </c>
      <c r="AK9" s="49">
        <v>102.46</v>
      </c>
      <c r="AL9" s="49">
        <v>663.43700000000001</v>
      </c>
      <c r="AM9" s="49">
        <v>647.87099999999998</v>
      </c>
      <c r="AN9" s="49">
        <v>791.25599999999997</v>
      </c>
      <c r="AO9" s="49">
        <v>812.08500000000004</v>
      </c>
      <c r="AP9" s="49">
        <v>1.369</v>
      </c>
      <c r="AQ9" s="49">
        <v>1.8320000000000001</v>
      </c>
      <c r="AR9" s="49">
        <v>40.994999999999997</v>
      </c>
      <c r="AS9" s="49">
        <v>38.807000000000002</v>
      </c>
      <c r="AT9" s="49">
        <v>83</v>
      </c>
      <c r="AU9" s="49">
        <v>119</v>
      </c>
      <c r="AV9" s="49">
        <v>2.177</v>
      </c>
      <c r="AW9" s="50">
        <v>5.3071000000000002</v>
      </c>
      <c r="AX9" s="49">
        <v>1015.4</v>
      </c>
      <c r="AY9" s="49">
        <v>2.27</v>
      </c>
      <c r="AZ9" s="49">
        <v>5.73</v>
      </c>
      <c r="BA9" s="49">
        <v>124.22</v>
      </c>
      <c r="BB9" s="49">
        <v>122.114</v>
      </c>
      <c r="BC9" s="50">
        <v>7756</v>
      </c>
      <c r="BD9" s="49">
        <v>89.5</v>
      </c>
      <c r="BE9" s="49">
        <v>16.36</v>
      </c>
      <c r="BF9" s="50">
        <v>14.4</v>
      </c>
      <c r="BG9" s="49">
        <v>28.8</v>
      </c>
      <c r="BH9" s="49">
        <v>28.86</v>
      </c>
      <c r="BI9" s="3"/>
      <c r="BJ9" s="3"/>
      <c r="BK9" s="3"/>
      <c r="BL9" s="3"/>
      <c r="BM9" s="3"/>
      <c r="BN9" s="49">
        <v>108.312</v>
      </c>
      <c r="BO9" s="49">
        <v>104.072</v>
      </c>
      <c r="BP9" s="49">
        <v>131.864</v>
      </c>
      <c r="BQ9" s="49">
        <v>135.68799999999999</v>
      </c>
      <c r="BR9" s="3"/>
      <c r="BS9" s="50">
        <v>29.2</v>
      </c>
      <c r="BT9" s="50">
        <v>7452.2489999999998</v>
      </c>
      <c r="BU9" s="49">
        <v>50.72</v>
      </c>
      <c r="BV9" s="49">
        <v>55.371000000000002</v>
      </c>
      <c r="BW9" s="49">
        <v>55.524999999999999</v>
      </c>
      <c r="BX9" s="49">
        <v>55.701999999999998</v>
      </c>
      <c r="BY9" s="49">
        <v>1.35</v>
      </c>
      <c r="BZ9" s="49">
        <v>3.1659999999999999</v>
      </c>
      <c r="CA9" s="49">
        <v>3.4039999999999999</v>
      </c>
      <c r="CB9" s="49">
        <v>3.548</v>
      </c>
      <c r="CC9" s="49">
        <v>1.173</v>
      </c>
      <c r="CD9" s="49">
        <v>2.4769999999999999</v>
      </c>
      <c r="CE9" s="49">
        <v>1.238</v>
      </c>
      <c r="CF9" s="49">
        <v>2.097</v>
      </c>
      <c r="CG9" s="49">
        <v>13.93</v>
      </c>
      <c r="CH9" s="49">
        <v>13.788</v>
      </c>
      <c r="CI9" s="49">
        <v>3.5990000000000002</v>
      </c>
      <c r="CJ9" s="49">
        <v>3.504</v>
      </c>
      <c r="CK9" s="49">
        <v>1.4650000000000001</v>
      </c>
      <c r="CL9" s="49">
        <v>0.1</v>
      </c>
      <c r="CM9" s="49">
        <v>0.7</v>
      </c>
      <c r="CN9" s="49">
        <v>0</v>
      </c>
      <c r="CO9" s="49">
        <v>0</v>
      </c>
      <c r="CP9" s="49">
        <v>102.26</v>
      </c>
      <c r="CQ9" s="49">
        <v>99.936000000000007</v>
      </c>
      <c r="CR9" s="49">
        <v>124.529</v>
      </c>
      <c r="CS9" s="49">
        <v>130.33799999999999</v>
      </c>
      <c r="CT9" s="49">
        <v>0.35499999999999998</v>
      </c>
      <c r="CU9" s="49">
        <v>0.90200000000000002</v>
      </c>
      <c r="CV9" s="49">
        <v>1.2969999999999999</v>
      </c>
      <c r="CW9" s="49">
        <v>0.498</v>
      </c>
      <c r="CX9" s="49">
        <v>1.5940000000000001</v>
      </c>
      <c r="CY9" s="49">
        <v>0.6</v>
      </c>
      <c r="CZ9" s="49">
        <v>0.998</v>
      </c>
      <c r="DA9" s="49">
        <v>0.60299999999999998</v>
      </c>
      <c r="DB9" s="49">
        <v>1.496</v>
      </c>
      <c r="DC9" s="49">
        <v>0</v>
      </c>
      <c r="DD9" s="50">
        <v>0</v>
      </c>
      <c r="DE9" s="49">
        <v>0.34</v>
      </c>
      <c r="DF9" s="49">
        <v>0.14599999999999999</v>
      </c>
      <c r="DG9" s="49">
        <v>0.71</v>
      </c>
      <c r="DH9" s="49">
        <v>1.8460000000000001</v>
      </c>
      <c r="DI9" s="50">
        <v>1.319</v>
      </c>
      <c r="DJ9" s="49">
        <v>0.29599999999999999</v>
      </c>
      <c r="DK9" s="49">
        <v>1.238</v>
      </c>
      <c r="DL9" s="49">
        <v>0.40799999999999997</v>
      </c>
      <c r="DM9" s="49">
        <v>0.45400000000000001</v>
      </c>
      <c r="DN9" s="50">
        <v>0.51400000000000001</v>
      </c>
      <c r="DO9" s="49">
        <v>0.308</v>
      </c>
      <c r="DP9" s="49">
        <v>64.822000000000003</v>
      </c>
      <c r="DQ9" s="49">
        <v>57.115000000000002</v>
      </c>
      <c r="DR9" s="49">
        <v>52.918999999999997</v>
      </c>
      <c r="DS9" s="49">
        <v>51.231000000000002</v>
      </c>
      <c r="DT9" s="49">
        <v>6.77</v>
      </c>
      <c r="DU9" s="49">
        <v>6.15</v>
      </c>
      <c r="DV9" s="49">
        <v>12.9</v>
      </c>
      <c r="DW9" s="49">
        <v>10.7</v>
      </c>
      <c r="DX9" s="49">
        <v>6.97</v>
      </c>
      <c r="DY9" s="49">
        <v>6.34</v>
      </c>
      <c r="DZ9" s="49">
        <v>12.03</v>
      </c>
      <c r="EA9" s="49">
        <v>10.56</v>
      </c>
      <c r="EB9" s="49">
        <v>41.88</v>
      </c>
      <c r="EC9" s="49">
        <v>41.76</v>
      </c>
      <c r="ED9" s="49">
        <v>32.590000000000003</v>
      </c>
      <c r="EE9" s="49">
        <v>35.340000000000003</v>
      </c>
      <c r="EF9" s="49">
        <v>44.38</v>
      </c>
      <c r="EG9" s="49">
        <v>45.74</v>
      </c>
      <c r="EH9" s="49">
        <v>42.48</v>
      </c>
      <c r="EI9" s="49">
        <v>43.39</v>
      </c>
      <c r="EJ9" s="49">
        <v>7.2939999999999996</v>
      </c>
      <c r="EK9" s="49">
        <v>59.732999999999997</v>
      </c>
      <c r="EL9" s="49">
        <v>2.0499999999999998</v>
      </c>
      <c r="EM9" s="49">
        <v>1.6</v>
      </c>
      <c r="EN9" s="49">
        <v>1.2</v>
      </c>
      <c r="EO9" s="49">
        <v>1.21</v>
      </c>
      <c r="EP9" s="50">
        <v>-108.55800000000001</v>
      </c>
      <c r="EQ9" s="49">
        <v>-3.1680000000000001</v>
      </c>
      <c r="ER9" s="49">
        <v>121.83</v>
      </c>
      <c r="ES9" s="49">
        <v>1.5680000000000001</v>
      </c>
      <c r="ET9" s="49">
        <v>1.643</v>
      </c>
      <c r="EU9" s="49">
        <v>1.5169999999999999</v>
      </c>
      <c r="EV9" s="49">
        <v>7.6319999999999997</v>
      </c>
      <c r="EW9" s="49">
        <v>2.359</v>
      </c>
      <c r="EX9" s="49">
        <v>73.98</v>
      </c>
      <c r="EY9" s="49">
        <v>0.02</v>
      </c>
      <c r="EZ9" s="49">
        <v>0.72</v>
      </c>
      <c r="FA9" s="50">
        <v>0</v>
      </c>
      <c r="FB9" s="49">
        <v>9.1259999999999994</v>
      </c>
      <c r="FC9" s="49">
        <v>72.745000000000005</v>
      </c>
      <c r="FD9" s="49">
        <v>68.807000000000002</v>
      </c>
      <c r="FE9" s="49">
        <v>81.69</v>
      </c>
      <c r="FF9" s="49">
        <v>80.543999999999997</v>
      </c>
      <c r="FG9" s="49">
        <v>0.93300000000000005</v>
      </c>
      <c r="FH9" s="49">
        <v>0.93400000000000005</v>
      </c>
      <c r="FI9" s="49">
        <v>0.98799999999999999</v>
      </c>
      <c r="FJ9" s="49">
        <v>0.99299999999999999</v>
      </c>
      <c r="FK9" s="49">
        <v>0</v>
      </c>
      <c r="FL9" s="49">
        <v>83</v>
      </c>
      <c r="FM9" s="50">
        <v>3.64</v>
      </c>
      <c r="FN9" s="49">
        <v>-0.56000000000000005</v>
      </c>
      <c r="FO9" s="49">
        <v>5.48</v>
      </c>
      <c r="FP9" s="3"/>
      <c r="FQ9" s="49">
        <v>4.6500000000000004</v>
      </c>
      <c r="FR9" s="49">
        <v>5.15</v>
      </c>
      <c r="FS9" s="49">
        <v>6.7915000000000001</v>
      </c>
      <c r="FT9" s="49">
        <v>1069.4000000000001</v>
      </c>
      <c r="FU9" s="49">
        <v>6.58</v>
      </c>
      <c r="FV9" s="49">
        <v>17.22</v>
      </c>
      <c r="FW9" s="49">
        <v>3075</v>
      </c>
      <c r="FX9" s="49">
        <v>165600</v>
      </c>
      <c r="FY9" s="49">
        <v>167400</v>
      </c>
      <c r="FZ9" s="49">
        <v>48.27</v>
      </c>
      <c r="GA9" s="49">
        <v>47.232999999999997</v>
      </c>
      <c r="GB9" s="50">
        <v>2250.8000000000002</v>
      </c>
      <c r="GC9" s="50">
        <v>2386</v>
      </c>
      <c r="GD9" s="49">
        <v>2250.8000000000002</v>
      </c>
      <c r="GE9" s="50">
        <v>2386</v>
      </c>
      <c r="GF9" s="49">
        <v>1342.9688000000001</v>
      </c>
      <c r="GG9" s="49">
        <v>27</v>
      </c>
      <c r="GH9" s="49">
        <v>27</v>
      </c>
      <c r="GI9" s="49">
        <v>47.6</v>
      </c>
      <c r="GJ9" s="49">
        <v>52.6</v>
      </c>
      <c r="GK9" s="49">
        <v>99.5</v>
      </c>
      <c r="GL9" s="49">
        <v>77.400000000000006</v>
      </c>
      <c r="GM9" s="50">
        <v>0</v>
      </c>
      <c r="GN9" s="49">
        <v>26.870999999999999</v>
      </c>
      <c r="GO9" s="49">
        <v>121.83</v>
      </c>
      <c r="GP9" s="49">
        <v>1.0029999999999999</v>
      </c>
      <c r="GQ9" s="49">
        <v>1.9470000000000001</v>
      </c>
      <c r="GR9" s="49">
        <v>1.298</v>
      </c>
      <c r="GS9" s="49">
        <v>2.0059999999999998</v>
      </c>
      <c r="GT9" s="49">
        <v>0.94399999999999995</v>
      </c>
      <c r="GU9" s="49">
        <v>1.8879999999999999</v>
      </c>
      <c r="GV9" s="49">
        <v>13.034000000000001</v>
      </c>
      <c r="GW9" s="49">
        <v>14.044</v>
      </c>
      <c r="GX9" s="49">
        <v>15.385999999999999</v>
      </c>
      <c r="GY9" s="50">
        <v>0</v>
      </c>
      <c r="GZ9" s="50">
        <v>0</v>
      </c>
      <c r="HA9" s="50">
        <v>0</v>
      </c>
      <c r="HB9" s="49">
        <v>0</v>
      </c>
      <c r="HC9" s="49">
        <v>23.616</v>
      </c>
      <c r="HD9" s="49">
        <v>82</v>
      </c>
      <c r="HE9" s="50">
        <v>0</v>
      </c>
      <c r="HF9" s="50">
        <v>0</v>
      </c>
      <c r="HG9" s="49">
        <v>72.33</v>
      </c>
      <c r="HH9" s="49">
        <v>82.91</v>
      </c>
      <c r="HI9" s="50">
        <v>0</v>
      </c>
      <c r="HJ9" s="50">
        <v>0</v>
      </c>
      <c r="HK9" s="50">
        <v>0</v>
      </c>
      <c r="HL9" s="49">
        <v>63</v>
      </c>
      <c r="HM9" s="49">
        <v>55</v>
      </c>
      <c r="HN9" s="49">
        <v>69</v>
      </c>
      <c r="HO9" s="49">
        <v>63</v>
      </c>
      <c r="HP9" s="49">
        <v>66</v>
      </c>
      <c r="HQ9" s="50">
        <v>64</v>
      </c>
      <c r="HR9" s="50">
        <v>55</v>
      </c>
      <c r="HS9" s="49">
        <v>64</v>
      </c>
      <c r="HT9" s="50">
        <v>-1.3169999999999999</v>
      </c>
      <c r="HU9" s="50">
        <v>0</v>
      </c>
      <c r="HV9" s="49">
        <v>0.47499999999999998</v>
      </c>
      <c r="HW9" s="50">
        <v>36.82</v>
      </c>
      <c r="HX9" s="50">
        <v>47.42</v>
      </c>
      <c r="HY9" s="49">
        <v>51.84</v>
      </c>
      <c r="HZ9" s="49">
        <v>65.239999999999995</v>
      </c>
      <c r="IA9" s="49">
        <v>2.6150000000000002</v>
      </c>
      <c r="IB9" s="50">
        <v>104</v>
      </c>
      <c r="IC9" s="49">
        <v>22.542000000000002</v>
      </c>
      <c r="ID9" s="49">
        <v>-0.28199999999999997</v>
      </c>
      <c r="IE9" s="49">
        <v>-0.106</v>
      </c>
      <c r="IF9" s="49">
        <v>820</v>
      </c>
      <c r="IG9" s="49">
        <v>769.8</v>
      </c>
      <c r="IH9" s="49">
        <v>827.8</v>
      </c>
      <c r="II9" s="49">
        <v>782.4</v>
      </c>
      <c r="IJ9" s="49">
        <v>-7.6999999999999999E-2</v>
      </c>
      <c r="IK9" s="49">
        <v>-0.20699999999999999</v>
      </c>
      <c r="IL9" s="49">
        <v>71.198999999999998</v>
      </c>
      <c r="IM9" s="49">
        <v>71.198999999999998</v>
      </c>
      <c r="IN9" s="49">
        <v>12.627000000000001</v>
      </c>
      <c r="IO9" s="49">
        <v>0.58699999999999997</v>
      </c>
      <c r="IP9" s="49">
        <v>10.37</v>
      </c>
      <c r="IQ9" s="49">
        <v>1.0999999999999999E-2</v>
      </c>
      <c r="IR9" s="49">
        <v>8.0000000000000002E-3</v>
      </c>
    </row>
    <row r="10" spans="2:252" x14ac:dyDescent="0.25">
      <c r="B10" s="2" t="s">
        <v>412</v>
      </c>
      <c r="C10" s="2" t="s">
        <v>44</v>
      </c>
      <c r="D10" s="61">
        <v>2.5350694444444444E-3</v>
      </c>
      <c r="E10" s="49">
        <v>219.07</v>
      </c>
      <c r="F10" s="49">
        <v>328.05</v>
      </c>
      <c r="G10" s="50">
        <v>5.92</v>
      </c>
      <c r="H10" s="49">
        <v>29.4</v>
      </c>
      <c r="I10" s="49">
        <v>0</v>
      </c>
      <c r="J10" s="49">
        <v>12.9</v>
      </c>
      <c r="K10" s="50">
        <v>10</v>
      </c>
      <c r="L10" s="50">
        <v>4</v>
      </c>
      <c r="M10" s="50">
        <v>6</v>
      </c>
      <c r="N10" s="50">
        <v>3</v>
      </c>
      <c r="O10" s="50">
        <v>3</v>
      </c>
      <c r="P10" s="49">
        <v>0.80300000000000005</v>
      </c>
      <c r="Q10" s="49">
        <v>1.3720000000000001</v>
      </c>
      <c r="R10" s="49">
        <v>0.71299999999999997</v>
      </c>
      <c r="S10" s="49">
        <v>0.71199999999999997</v>
      </c>
      <c r="T10" s="49">
        <v>78.040000000000006</v>
      </c>
      <c r="U10" s="49">
        <v>61.073</v>
      </c>
      <c r="V10" s="49">
        <v>280</v>
      </c>
      <c r="W10" s="49">
        <v>293.33999999999997</v>
      </c>
      <c r="X10" s="49">
        <v>210</v>
      </c>
      <c r="Y10" s="49">
        <v>260</v>
      </c>
      <c r="Z10" s="50">
        <v>421.43</v>
      </c>
      <c r="AA10" s="50">
        <v>424.98</v>
      </c>
      <c r="AB10" s="50">
        <v>323.89999999999998</v>
      </c>
      <c r="AC10" s="50">
        <v>391.84</v>
      </c>
      <c r="AD10" s="49">
        <v>1.8149999999999999</v>
      </c>
      <c r="AE10" s="50">
        <v>1.885</v>
      </c>
      <c r="AF10" s="49">
        <v>1.8120000000000001</v>
      </c>
      <c r="AG10" s="49">
        <v>1.8460000000000001</v>
      </c>
      <c r="AH10" s="49">
        <v>83.31</v>
      </c>
      <c r="AI10" s="49">
        <v>80.459999999999994</v>
      </c>
      <c r="AJ10" s="49">
        <v>107.18</v>
      </c>
      <c r="AK10" s="49">
        <v>105.18</v>
      </c>
      <c r="AL10" s="49">
        <v>626.79899999999998</v>
      </c>
      <c r="AM10" s="49">
        <v>637.52599999999995</v>
      </c>
      <c r="AN10" s="49">
        <v>803.6</v>
      </c>
      <c r="AO10" s="49">
        <v>774.89300000000003</v>
      </c>
      <c r="AP10" s="49">
        <v>1.371</v>
      </c>
      <c r="AQ10" s="49">
        <v>1.8480000000000001</v>
      </c>
      <c r="AR10" s="49">
        <v>40.512999999999998</v>
      </c>
      <c r="AS10" s="49">
        <v>37.119</v>
      </c>
      <c r="AT10" s="49">
        <v>83</v>
      </c>
      <c r="AU10" s="50">
        <v>120</v>
      </c>
      <c r="AV10" s="49">
        <v>2.1749999999999998</v>
      </c>
      <c r="AW10" s="49">
        <v>5.1957000000000004</v>
      </c>
      <c r="AX10" s="49">
        <v>1016.3</v>
      </c>
      <c r="AY10" s="49">
        <v>2.25</v>
      </c>
      <c r="AZ10" s="49">
        <v>5.76</v>
      </c>
      <c r="BA10" s="49">
        <v>137.81299999999999</v>
      </c>
      <c r="BB10" s="49">
        <v>136.81</v>
      </c>
      <c r="BC10" s="49">
        <v>7704</v>
      </c>
      <c r="BD10" s="49">
        <v>88.75</v>
      </c>
      <c r="BE10" s="50">
        <v>17.18</v>
      </c>
      <c r="BF10" s="49">
        <v>13.045</v>
      </c>
      <c r="BG10" s="49">
        <v>28.2</v>
      </c>
      <c r="BH10" s="49">
        <v>27.55</v>
      </c>
      <c r="BI10" s="3"/>
      <c r="BJ10" s="3"/>
      <c r="BK10" s="3"/>
      <c r="BL10" s="3"/>
      <c r="BM10" s="3"/>
      <c r="BN10" s="49">
        <v>112.264</v>
      </c>
      <c r="BO10" s="49">
        <v>109.544</v>
      </c>
      <c r="BP10" s="49">
        <v>137.048</v>
      </c>
      <c r="BQ10" s="49">
        <v>139.416</v>
      </c>
      <c r="BR10" s="3"/>
      <c r="BS10" s="50">
        <v>29.2</v>
      </c>
      <c r="BT10" s="49">
        <v>7328.7820000000002</v>
      </c>
      <c r="BU10" s="50">
        <v>50.844999999999999</v>
      </c>
      <c r="BV10" s="49">
        <v>54.237000000000002</v>
      </c>
      <c r="BW10" s="49">
        <v>56.231999999999999</v>
      </c>
      <c r="BX10" s="49">
        <v>56.491</v>
      </c>
      <c r="BY10" s="49">
        <v>1.411</v>
      </c>
      <c r="BZ10" s="49">
        <v>3.1459999999999999</v>
      </c>
      <c r="CA10" s="50">
        <v>3.589</v>
      </c>
      <c r="CB10" s="50">
        <v>3.9809999999999999</v>
      </c>
      <c r="CC10" s="50">
        <v>1.226</v>
      </c>
      <c r="CD10" s="49">
        <v>2.407</v>
      </c>
      <c r="CE10" s="50">
        <v>1.34</v>
      </c>
      <c r="CF10" s="49">
        <v>2.1629999999999998</v>
      </c>
      <c r="CG10" s="49">
        <v>13.932</v>
      </c>
      <c r="CH10" s="49">
        <v>13.769</v>
      </c>
      <c r="CI10" s="50">
        <v>3.859</v>
      </c>
      <c r="CJ10" s="50">
        <v>3.5910000000000002</v>
      </c>
      <c r="CK10" s="50">
        <v>1.4830000000000001</v>
      </c>
      <c r="CL10" s="49">
        <v>0.1</v>
      </c>
      <c r="CM10" s="49">
        <v>0.8</v>
      </c>
      <c r="CN10" s="49">
        <v>0</v>
      </c>
      <c r="CO10" s="49">
        <v>0.1</v>
      </c>
      <c r="CP10" s="49">
        <v>104.61</v>
      </c>
      <c r="CQ10" s="50">
        <v>102.791</v>
      </c>
      <c r="CR10" s="49">
        <v>130.71</v>
      </c>
      <c r="CS10" s="49">
        <v>135.142</v>
      </c>
      <c r="CT10" s="49">
        <v>0.33600000000000002</v>
      </c>
      <c r="CU10" s="49">
        <v>1.3029999999999999</v>
      </c>
      <c r="CV10" s="49">
        <v>1.202</v>
      </c>
      <c r="CW10" s="49">
        <v>0.80200000000000005</v>
      </c>
      <c r="CX10" s="49">
        <v>1.399</v>
      </c>
      <c r="CY10" s="49">
        <v>1.103</v>
      </c>
      <c r="CZ10" s="49">
        <v>1.4</v>
      </c>
      <c r="DA10" s="49">
        <v>0.69899999999999995</v>
      </c>
      <c r="DB10" s="49">
        <v>1.9990000000000001</v>
      </c>
      <c r="DC10" s="49">
        <v>0</v>
      </c>
      <c r="DD10" s="50">
        <v>0</v>
      </c>
      <c r="DE10" s="49">
        <v>0.28799999999999998</v>
      </c>
      <c r="DF10" s="49">
        <v>0.104</v>
      </c>
      <c r="DG10" s="49">
        <v>0.505</v>
      </c>
      <c r="DH10" s="49">
        <v>1.8129999999999999</v>
      </c>
      <c r="DI10" s="49">
        <v>1.2929999999999999</v>
      </c>
      <c r="DJ10" s="49">
        <v>0.26800000000000002</v>
      </c>
      <c r="DK10" s="49">
        <v>0.90800000000000003</v>
      </c>
      <c r="DL10" s="49">
        <v>0.40600000000000003</v>
      </c>
      <c r="DM10" s="49">
        <v>0.48199999999999998</v>
      </c>
      <c r="DN10" s="49">
        <v>0.50700000000000001</v>
      </c>
      <c r="DO10" s="49">
        <v>0.36</v>
      </c>
      <c r="DP10" s="49">
        <v>65.686000000000007</v>
      </c>
      <c r="DQ10" s="49">
        <v>59.076000000000001</v>
      </c>
      <c r="DR10" s="49">
        <v>53.499000000000002</v>
      </c>
      <c r="DS10" s="49">
        <v>51.543999999999997</v>
      </c>
      <c r="DT10" s="49">
        <v>6.27</v>
      </c>
      <c r="DU10" s="49">
        <v>6</v>
      </c>
      <c r="DV10" s="49">
        <v>12.27</v>
      </c>
      <c r="DW10" s="49">
        <v>9.98</v>
      </c>
      <c r="DX10" s="49">
        <v>6.6</v>
      </c>
      <c r="DY10" s="49">
        <v>6.17</v>
      </c>
      <c r="DZ10" s="49">
        <v>11.64</v>
      </c>
      <c r="EA10" s="49">
        <v>9.5399999999999991</v>
      </c>
      <c r="EB10" s="49">
        <v>42.12</v>
      </c>
      <c r="EC10" s="50">
        <v>41.92</v>
      </c>
      <c r="ED10" s="49">
        <v>33.44</v>
      </c>
      <c r="EE10" s="49">
        <v>36.270000000000003</v>
      </c>
      <c r="EF10" s="49">
        <v>45.01</v>
      </c>
      <c r="EG10" s="49">
        <v>45.92</v>
      </c>
      <c r="EH10" s="49">
        <v>42.65</v>
      </c>
      <c r="EI10" s="49">
        <v>44.21</v>
      </c>
      <c r="EJ10" s="49">
        <v>7.3159999999999998</v>
      </c>
      <c r="EK10" s="50">
        <v>59.878999999999998</v>
      </c>
      <c r="EL10" s="49">
        <v>2.0499999999999998</v>
      </c>
      <c r="EM10" s="49">
        <v>1.7</v>
      </c>
      <c r="EN10" s="49">
        <v>1.21</v>
      </c>
      <c r="EO10" s="49">
        <v>1.21</v>
      </c>
      <c r="EP10" s="49">
        <v>-105.93</v>
      </c>
      <c r="EQ10" s="49">
        <v>-2.8580000000000001</v>
      </c>
      <c r="ER10" s="50">
        <v>141.97800000000001</v>
      </c>
      <c r="ES10" s="49">
        <v>1.536</v>
      </c>
      <c r="ET10" s="49">
        <v>1.64</v>
      </c>
      <c r="EU10" s="49">
        <v>1.4870000000000001</v>
      </c>
      <c r="EV10" s="49">
        <v>7.7350000000000003</v>
      </c>
      <c r="EW10" s="49">
        <v>2.4510000000000001</v>
      </c>
      <c r="EX10" s="50">
        <v>75.02</v>
      </c>
      <c r="EY10" s="49">
        <v>2.1000000000000001E-2</v>
      </c>
      <c r="EZ10" s="49">
        <v>4.2999999999999997E-2</v>
      </c>
      <c r="FA10" s="50">
        <v>0</v>
      </c>
      <c r="FB10" s="50">
        <v>9.2040000000000006</v>
      </c>
      <c r="FC10" s="49">
        <v>74.528999999999996</v>
      </c>
      <c r="FD10" s="49">
        <v>70.525999999999996</v>
      </c>
      <c r="FE10" s="49">
        <v>84.183999999999997</v>
      </c>
      <c r="FF10" s="49">
        <v>83.085999999999999</v>
      </c>
      <c r="FG10" s="49">
        <v>0.93500000000000005</v>
      </c>
      <c r="FH10" s="49">
        <v>0.93500000000000005</v>
      </c>
      <c r="FI10" s="49">
        <v>0.98899999999999999</v>
      </c>
      <c r="FJ10" s="49">
        <v>0.995</v>
      </c>
      <c r="FK10" s="49">
        <v>0</v>
      </c>
      <c r="FL10" s="49">
        <v>83</v>
      </c>
      <c r="FM10" s="49">
        <v>3.52</v>
      </c>
      <c r="FN10" s="49">
        <v>-0.52</v>
      </c>
      <c r="FO10" s="49">
        <v>5.44</v>
      </c>
      <c r="FP10" s="3"/>
      <c r="FQ10" s="49">
        <v>4.5999999999999996</v>
      </c>
      <c r="FR10" s="49">
        <v>5.05</v>
      </c>
      <c r="FS10" s="50">
        <v>6.8540000000000001</v>
      </c>
      <c r="FT10" s="49">
        <v>1066.8</v>
      </c>
      <c r="FU10" s="49">
        <v>7.25</v>
      </c>
      <c r="FV10" s="49">
        <v>23.15</v>
      </c>
      <c r="FW10" s="49">
        <v>3111.5</v>
      </c>
      <c r="FX10" s="49">
        <v>161700</v>
      </c>
      <c r="FY10" s="49">
        <v>162300</v>
      </c>
      <c r="FZ10" s="49">
        <v>48.27</v>
      </c>
      <c r="GA10" s="49">
        <v>47.177</v>
      </c>
      <c r="GB10" s="49">
        <v>2164.3000000000002</v>
      </c>
      <c r="GC10" s="49">
        <v>2166.5</v>
      </c>
      <c r="GD10" s="50">
        <v>2278.5</v>
      </c>
      <c r="GE10" s="49">
        <v>2323.3000000000002</v>
      </c>
      <c r="GF10" s="49">
        <v>1353.0469000000001</v>
      </c>
      <c r="GG10" s="49">
        <v>28</v>
      </c>
      <c r="GH10" s="49">
        <v>27.6</v>
      </c>
      <c r="GI10" s="49">
        <v>47.7</v>
      </c>
      <c r="GJ10" s="49">
        <v>52.8</v>
      </c>
      <c r="GK10" s="49">
        <v>99.5</v>
      </c>
      <c r="GL10" s="49">
        <v>76.3</v>
      </c>
      <c r="GM10" s="50">
        <v>0</v>
      </c>
      <c r="GN10" s="49">
        <v>26.38</v>
      </c>
      <c r="GO10" s="50">
        <v>141.97800000000001</v>
      </c>
      <c r="GP10" s="49">
        <v>0.88500000000000001</v>
      </c>
      <c r="GQ10" s="49">
        <v>1.9470000000000001</v>
      </c>
      <c r="GR10" s="49">
        <v>1.298</v>
      </c>
      <c r="GS10" s="49">
        <v>2.0059999999999998</v>
      </c>
      <c r="GT10" s="49">
        <v>0.76700000000000002</v>
      </c>
      <c r="GU10" s="49">
        <v>1.8879999999999999</v>
      </c>
      <c r="GV10" s="49">
        <v>12.837999999999999</v>
      </c>
      <c r="GW10" s="49">
        <v>14.010999999999999</v>
      </c>
      <c r="GX10" s="49">
        <v>15.875999999999999</v>
      </c>
      <c r="GY10" s="50">
        <v>0</v>
      </c>
      <c r="GZ10" s="50">
        <v>0</v>
      </c>
      <c r="HA10" s="50">
        <v>0</v>
      </c>
      <c r="HB10" s="49">
        <v>0</v>
      </c>
      <c r="HC10" s="49">
        <v>23.626000000000001</v>
      </c>
      <c r="HD10" s="49">
        <v>82</v>
      </c>
      <c r="HE10" s="50">
        <v>0</v>
      </c>
      <c r="HF10" s="50">
        <v>0</v>
      </c>
      <c r="HG10" s="49">
        <v>72.63</v>
      </c>
      <c r="HH10" s="49">
        <v>82.51</v>
      </c>
      <c r="HI10" s="50">
        <v>0</v>
      </c>
      <c r="HJ10" s="50">
        <v>0</v>
      </c>
      <c r="HK10" s="50">
        <v>0</v>
      </c>
      <c r="HL10" s="49">
        <v>63</v>
      </c>
      <c r="HM10" s="49">
        <v>55</v>
      </c>
      <c r="HN10" s="49">
        <v>69</v>
      </c>
      <c r="HO10" s="50">
        <v>64</v>
      </c>
      <c r="HP10" s="49">
        <v>66</v>
      </c>
      <c r="HQ10" s="50">
        <v>64</v>
      </c>
      <c r="HR10" s="50">
        <v>55</v>
      </c>
      <c r="HS10" s="50">
        <v>70</v>
      </c>
      <c r="HT10" s="49">
        <v>-1.3075000000000001</v>
      </c>
      <c r="HU10" s="50">
        <v>0</v>
      </c>
      <c r="HV10" s="49">
        <v>0.127</v>
      </c>
      <c r="HW10" s="50">
        <v>36.82</v>
      </c>
      <c r="HX10" s="50">
        <v>47.42</v>
      </c>
      <c r="HY10" s="50">
        <v>52.8</v>
      </c>
      <c r="HZ10" s="50">
        <v>65.47</v>
      </c>
      <c r="IA10" s="49">
        <v>2.766</v>
      </c>
      <c r="IB10" s="50">
        <v>104</v>
      </c>
      <c r="IC10" s="49">
        <v>22.393000000000001</v>
      </c>
      <c r="ID10" s="49">
        <v>-0.25900000000000001</v>
      </c>
      <c r="IE10" s="49">
        <v>-9.6000000000000002E-2</v>
      </c>
      <c r="IF10" s="49">
        <v>819</v>
      </c>
      <c r="IG10" s="49">
        <v>770.1</v>
      </c>
      <c r="IH10" s="49">
        <v>829.9</v>
      </c>
      <c r="II10" s="49">
        <v>783.8</v>
      </c>
      <c r="IJ10" s="49">
        <v>-7.9000000000000001E-2</v>
      </c>
      <c r="IK10" s="49">
        <v>-0.20200000000000001</v>
      </c>
      <c r="IL10" s="49">
        <v>72.393000000000001</v>
      </c>
      <c r="IM10" s="49">
        <v>72.393000000000001</v>
      </c>
      <c r="IN10" s="49">
        <v>13.78</v>
      </c>
      <c r="IO10" s="50">
        <v>0.621</v>
      </c>
      <c r="IP10" s="49">
        <v>10.199999999999999</v>
      </c>
      <c r="IQ10" s="49">
        <v>0.01</v>
      </c>
      <c r="IR10" s="49">
        <v>8.0000000000000002E-3</v>
      </c>
    </row>
    <row r="11" spans="2:252" x14ac:dyDescent="0.25">
      <c r="B11" s="2" t="s">
        <v>412</v>
      </c>
      <c r="C11" s="62" t="s">
        <v>45</v>
      </c>
      <c r="D11" s="63">
        <v>2.4532407407407406E-3</v>
      </c>
      <c r="E11" s="49">
        <v>212</v>
      </c>
      <c r="F11" s="49">
        <v>329.33</v>
      </c>
      <c r="G11" s="49">
        <v>5.91</v>
      </c>
      <c r="H11" s="49">
        <v>29.4</v>
      </c>
      <c r="I11" s="49">
        <v>0</v>
      </c>
      <c r="J11" s="49">
        <v>12.8</v>
      </c>
      <c r="K11" s="50">
        <v>10</v>
      </c>
      <c r="L11" s="50">
        <v>4</v>
      </c>
      <c r="M11" s="50">
        <v>6</v>
      </c>
      <c r="N11" s="50">
        <v>3</v>
      </c>
      <c r="O11" s="50">
        <v>3</v>
      </c>
      <c r="P11" s="49">
        <v>0.93899999999999995</v>
      </c>
      <c r="Q11" s="49">
        <v>1.625</v>
      </c>
      <c r="R11" s="49">
        <v>0.84599999999999997</v>
      </c>
      <c r="S11" s="49">
        <v>0.73399999999999999</v>
      </c>
      <c r="T11" s="49">
        <v>89.11</v>
      </c>
      <c r="U11" s="49">
        <v>61.084000000000003</v>
      </c>
      <c r="V11" s="49">
        <v>260</v>
      </c>
      <c r="W11" s="49">
        <v>266.66000000000003</v>
      </c>
      <c r="X11" s="49">
        <v>197.5</v>
      </c>
      <c r="Y11" s="49">
        <v>243.34</v>
      </c>
      <c r="Z11" s="49">
        <v>408.67</v>
      </c>
      <c r="AA11" s="49">
        <v>412.66</v>
      </c>
      <c r="AB11" s="49">
        <v>323.70999999999998</v>
      </c>
      <c r="AC11" s="49">
        <v>389.1</v>
      </c>
      <c r="AD11" s="50">
        <v>1.819</v>
      </c>
      <c r="AE11" s="50">
        <v>1.885</v>
      </c>
      <c r="AF11" s="50">
        <v>1.8240000000000001</v>
      </c>
      <c r="AG11" s="50">
        <v>1.855</v>
      </c>
      <c r="AH11" s="50">
        <v>84.24</v>
      </c>
      <c r="AI11" s="49">
        <v>80.02</v>
      </c>
      <c r="AJ11" s="50">
        <v>108.38</v>
      </c>
      <c r="AK11" s="50">
        <v>105.61</v>
      </c>
      <c r="AL11" s="50">
        <v>695.06799999999998</v>
      </c>
      <c r="AM11" s="50">
        <v>693.00800000000004</v>
      </c>
      <c r="AN11" s="50">
        <v>852.89</v>
      </c>
      <c r="AO11" s="50">
        <v>814.07799999999997</v>
      </c>
      <c r="AP11" s="49">
        <v>1.357</v>
      </c>
      <c r="AQ11" s="49">
        <v>1.8480000000000001</v>
      </c>
      <c r="AR11" s="50">
        <v>41.384</v>
      </c>
      <c r="AS11" s="49">
        <v>39.152000000000001</v>
      </c>
      <c r="AT11" s="49">
        <v>83</v>
      </c>
      <c r="AU11" s="50">
        <v>120</v>
      </c>
      <c r="AV11" s="50">
        <v>1.9355</v>
      </c>
      <c r="AW11" s="49">
        <v>5.2820999999999998</v>
      </c>
      <c r="AX11" s="49">
        <v>1020</v>
      </c>
      <c r="AY11" s="49">
        <v>2.2400000000000002</v>
      </c>
      <c r="AZ11" s="49">
        <v>5.69</v>
      </c>
      <c r="BA11" s="49">
        <v>138.66800000000001</v>
      </c>
      <c r="BB11" s="49">
        <v>138.376</v>
      </c>
      <c r="BC11" s="49">
        <v>7707</v>
      </c>
      <c r="BD11" s="49">
        <v>87.75</v>
      </c>
      <c r="BE11" s="49">
        <v>16.420000000000002</v>
      </c>
      <c r="BF11" s="49">
        <v>13.77</v>
      </c>
      <c r="BG11" s="50">
        <v>29.6</v>
      </c>
      <c r="BH11" s="50">
        <v>30.13</v>
      </c>
      <c r="BI11" s="3"/>
      <c r="BJ11" s="3"/>
      <c r="BK11" s="3"/>
      <c r="BL11" s="3"/>
      <c r="BM11" s="3"/>
      <c r="BN11" s="49">
        <v>111.048</v>
      </c>
      <c r="BO11" s="49">
        <v>108.264</v>
      </c>
      <c r="BP11" s="49">
        <v>137.59200000000001</v>
      </c>
      <c r="BQ11" s="49">
        <v>140.15199999999999</v>
      </c>
      <c r="BR11" s="3"/>
      <c r="BS11" s="49">
        <v>29.1</v>
      </c>
      <c r="BT11" s="49">
        <v>7372.3760000000002</v>
      </c>
      <c r="BU11" s="49">
        <v>50.305</v>
      </c>
      <c r="BV11" s="49">
        <v>54.61</v>
      </c>
      <c r="BW11" s="49">
        <v>55.764000000000003</v>
      </c>
      <c r="BX11" s="49">
        <v>56.128</v>
      </c>
      <c r="BY11" s="49">
        <v>1.4430000000000001</v>
      </c>
      <c r="BZ11" s="49">
        <v>3.0329999999999999</v>
      </c>
      <c r="CA11" s="49">
        <v>3.5870000000000002</v>
      </c>
      <c r="CB11" s="49">
        <v>3.4769999999999999</v>
      </c>
      <c r="CC11" s="49">
        <v>1.1200000000000001</v>
      </c>
      <c r="CD11" s="49">
        <v>2.4079999999999999</v>
      </c>
      <c r="CE11" s="49">
        <v>1.26</v>
      </c>
      <c r="CF11" s="49">
        <v>2.109</v>
      </c>
      <c r="CG11" s="49">
        <v>13.929</v>
      </c>
      <c r="CH11" s="49">
        <v>13.787000000000001</v>
      </c>
      <c r="CI11" s="49">
        <v>3.5209999999999999</v>
      </c>
      <c r="CJ11" s="49">
        <v>3.3</v>
      </c>
      <c r="CK11" s="49">
        <v>1.19</v>
      </c>
      <c r="CL11" s="50">
        <v>0.5</v>
      </c>
      <c r="CM11" s="50">
        <v>1.3</v>
      </c>
      <c r="CN11" s="49">
        <v>0</v>
      </c>
      <c r="CO11" s="49">
        <v>0</v>
      </c>
      <c r="CP11" s="49">
        <v>103.941</v>
      </c>
      <c r="CQ11" s="49">
        <v>101.919</v>
      </c>
      <c r="CR11" s="50">
        <v>131.38999999999999</v>
      </c>
      <c r="CS11" s="50">
        <v>135.20500000000001</v>
      </c>
      <c r="CT11" s="49">
        <v>0.28399999999999997</v>
      </c>
      <c r="CU11" s="49">
        <v>1.302</v>
      </c>
      <c r="CV11" s="49">
        <v>1.194</v>
      </c>
      <c r="CW11" s="49">
        <v>1.399</v>
      </c>
      <c r="CX11" s="49">
        <v>0.89800000000000002</v>
      </c>
      <c r="CY11" s="49">
        <v>0.59899999999999998</v>
      </c>
      <c r="CZ11" s="49">
        <v>0.89700000000000002</v>
      </c>
      <c r="DA11" s="49">
        <v>0.60199999999999998</v>
      </c>
      <c r="DB11" s="49">
        <v>1.8049999999999999</v>
      </c>
      <c r="DC11" s="49">
        <v>0</v>
      </c>
      <c r="DD11" s="50">
        <v>0</v>
      </c>
      <c r="DE11" s="49">
        <v>0.33500000000000002</v>
      </c>
      <c r="DF11" s="50">
        <v>0.17100000000000001</v>
      </c>
      <c r="DG11" s="50">
        <v>1.0920000000000001</v>
      </c>
      <c r="DH11" s="50">
        <v>2.2989999999999999</v>
      </c>
      <c r="DI11" s="49">
        <v>1.3</v>
      </c>
      <c r="DJ11" s="49">
        <v>0.308</v>
      </c>
      <c r="DK11" s="50">
        <v>1.3839999999999999</v>
      </c>
      <c r="DL11" s="49">
        <v>0.40500000000000003</v>
      </c>
      <c r="DM11" s="49">
        <v>0.40600000000000003</v>
      </c>
      <c r="DN11" s="49">
        <v>0.219</v>
      </c>
      <c r="DO11" s="49">
        <v>0.28000000000000003</v>
      </c>
      <c r="DP11" s="50">
        <v>67.138000000000005</v>
      </c>
      <c r="DQ11" s="49">
        <v>56.906999999999996</v>
      </c>
      <c r="DR11" s="50">
        <v>53.741999999999997</v>
      </c>
      <c r="DS11" s="49">
        <v>51.511000000000003</v>
      </c>
      <c r="DT11" s="50">
        <v>7.32</v>
      </c>
      <c r="DU11" s="50">
        <v>6.96</v>
      </c>
      <c r="DV11" s="50">
        <v>13.5</v>
      </c>
      <c r="DW11" s="50">
        <v>11.09</v>
      </c>
      <c r="DX11" s="50">
        <v>7.64</v>
      </c>
      <c r="DY11" s="50">
        <v>7.13</v>
      </c>
      <c r="DZ11" s="50">
        <v>13.14</v>
      </c>
      <c r="EA11" s="50">
        <v>11.03</v>
      </c>
      <c r="EB11" s="49">
        <v>41.59</v>
      </c>
      <c r="EC11" s="49">
        <v>40.76</v>
      </c>
      <c r="ED11" s="49">
        <v>32.549999999999997</v>
      </c>
      <c r="EE11" s="49">
        <v>34.93</v>
      </c>
      <c r="EF11" s="49">
        <v>43.45</v>
      </c>
      <c r="EG11" s="49">
        <v>45.15</v>
      </c>
      <c r="EH11" s="49">
        <v>40.81</v>
      </c>
      <c r="EI11" s="49">
        <v>42.95</v>
      </c>
      <c r="EJ11" s="49">
        <v>7.0919999999999996</v>
      </c>
      <c r="EK11" s="49">
        <v>59.720999999999997</v>
      </c>
      <c r="EL11" s="49">
        <v>2.0499999999999998</v>
      </c>
      <c r="EM11" s="49">
        <v>1.65</v>
      </c>
      <c r="EN11" s="49">
        <v>1.19</v>
      </c>
      <c r="EO11" s="49">
        <v>1.2</v>
      </c>
      <c r="EP11" s="49">
        <v>-102.718</v>
      </c>
      <c r="EQ11" s="49">
        <v>-3.089</v>
      </c>
      <c r="ER11" s="49">
        <v>116.282</v>
      </c>
      <c r="ES11" s="49">
        <v>1.494</v>
      </c>
      <c r="ET11" s="50">
        <v>1.6439999999999999</v>
      </c>
      <c r="EU11" s="49">
        <v>1.4570000000000001</v>
      </c>
      <c r="EV11" s="49">
        <v>7.5679999999999996</v>
      </c>
      <c r="EW11" s="49">
        <v>2.351</v>
      </c>
      <c r="EX11" s="49">
        <v>74.900000000000006</v>
      </c>
      <c r="EY11" s="49">
        <v>0</v>
      </c>
      <c r="EZ11" s="49">
        <v>0</v>
      </c>
      <c r="FA11" s="50">
        <v>0</v>
      </c>
      <c r="FB11" s="49">
        <v>9.1630000000000003</v>
      </c>
      <c r="FC11" s="50">
        <v>75.070999999999998</v>
      </c>
      <c r="FD11" s="50">
        <v>70.974000000000004</v>
      </c>
      <c r="FE11" s="49">
        <v>85.331999999999994</v>
      </c>
      <c r="FF11" s="50">
        <v>84.236999999999995</v>
      </c>
      <c r="FG11" s="49">
        <v>0.93200000000000005</v>
      </c>
      <c r="FH11" s="49">
        <v>0.93300000000000005</v>
      </c>
      <c r="FI11" s="49">
        <v>0.98699999999999999</v>
      </c>
      <c r="FJ11" s="49">
        <v>0.99299999999999999</v>
      </c>
      <c r="FK11" s="49">
        <v>0</v>
      </c>
      <c r="FL11" s="49">
        <v>83</v>
      </c>
      <c r="FM11" s="49">
        <v>3.58</v>
      </c>
      <c r="FN11" s="49">
        <v>-0.28000000000000003</v>
      </c>
      <c r="FO11" s="49">
        <v>5.44</v>
      </c>
      <c r="FP11" s="3"/>
      <c r="FQ11" s="49">
        <v>4.5999999999999996</v>
      </c>
      <c r="FR11" s="50">
        <v>5</v>
      </c>
      <c r="FS11" s="49">
        <v>6.7095000000000002</v>
      </c>
      <c r="FT11" s="49">
        <v>1073.7</v>
      </c>
      <c r="FU11" s="49">
        <v>6.77</v>
      </c>
      <c r="FV11" s="49">
        <v>29.05</v>
      </c>
      <c r="FW11" s="49">
        <v>3055.5</v>
      </c>
      <c r="FX11" s="49">
        <v>165000</v>
      </c>
      <c r="FY11" s="49">
        <v>166300</v>
      </c>
      <c r="FZ11" s="49">
        <v>48.308</v>
      </c>
      <c r="GA11" s="49">
        <v>47.360999999999997</v>
      </c>
      <c r="GB11" s="49">
        <v>2166.8000000000002</v>
      </c>
      <c r="GC11" s="49">
        <v>2177.1999999999998</v>
      </c>
      <c r="GD11" s="49">
        <v>2213.6999999999998</v>
      </c>
      <c r="GE11" s="49">
        <v>2219.6</v>
      </c>
      <c r="GF11" s="49">
        <v>1415.1719000000001</v>
      </c>
      <c r="GG11" s="49">
        <v>28</v>
      </c>
      <c r="GH11" s="49">
        <v>28.2</v>
      </c>
      <c r="GI11" s="49">
        <v>47.6</v>
      </c>
      <c r="GJ11" s="49">
        <v>52.8</v>
      </c>
      <c r="GK11" s="49">
        <v>99.5</v>
      </c>
      <c r="GL11" s="49">
        <v>78.8</v>
      </c>
      <c r="GM11" s="50">
        <v>0</v>
      </c>
      <c r="GN11" s="49">
        <v>26.798999999999999</v>
      </c>
      <c r="GO11" s="49">
        <v>116.282</v>
      </c>
      <c r="GP11" s="49">
        <v>0.53100000000000003</v>
      </c>
      <c r="GQ11" s="49">
        <v>1.9470000000000001</v>
      </c>
      <c r="GR11" s="49">
        <v>1.298</v>
      </c>
      <c r="GS11" s="49">
        <v>2.0059999999999998</v>
      </c>
      <c r="GT11" s="49">
        <v>0.76700000000000002</v>
      </c>
      <c r="GU11" s="49">
        <v>1.8879999999999999</v>
      </c>
      <c r="GV11" s="49">
        <v>12.936</v>
      </c>
      <c r="GW11" s="49">
        <v>13.977</v>
      </c>
      <c r="GX11" s="49">
        <v>15.582000000000001</v>
      </c>
      <c r="GY11" s="50">
        <v>0</v>
      </c>
      <c r="GZ11" s="50">
        <v>0</v>
      </c>
      <c r="HA11" s="50">
        <v>0</v>
      </c>
      <c r="HB11" s="49">
        <v>0</v>
      </c>
      <c r="HC11" s="49">
        <v>23.696000000000002</v>
      </c>
      <c r="HD11" s="49">
        <v>82</v>
      </c>
      <c r="HE11" s="50">
        <v>0</v>
      </c>
      <c r="HF11" s="50">
        <v>0</v>
      </c>
      <c r="HG11" s="49">
        <v>86.15</v>
      </c>
      <c r="HH11" s="50">
        <v>83.98</v>
      </c>
      <c r="HI11" s="50">
        <v>0</v>
      </c>
      <c r="HJ11" s="50">
        <v>0</v>
      </c>
      <c r="HK11" s="50">
        <v>0</v>
      </c>
      <c r="HL11" s="49">
        <v>63</v>
      </c>
      <c r="HM11" s="49">
        <v>55</v>
      </c>
      <c r="HN11" s="49">
        <v>69</v>
      </c>
      <c r="HO11" s="49">
        <v>63</v>
      </c>
      <c r="HP11" s="49">
        <v>66</v>
      </c>
      <c r="HQ11" s="50">
        <v>64</v>
      </c>
      <c r="HR11" s="50">
        <v>55</v>
      </c>
      <c r="HS11" s="50">
        <v>70</v>
      </c>
      <c r="HT11" s="49">
        <v>-1.2985</v>
      </c>
      <c r="HU11" s="50">
        <v>0</v>
      </c>
      <c r="HV11" s="50">
        <v>0.63500000000000001</v>
      </c>
      <c r="HW11" s="49">
        <v>37.47</v>
      </c>
      <c r="HX11" s="49">
        <v>48.05</v>
      </c>
      <c r="HY11" s="49">
        <v>52.53</v>
      </c>
      <c r="HZ11" s="49">
        <v>64.239999999999995</v>
      </c>
      <c r="IA11" s="50">
        <v>2.794</v>
      </c>
      <c r="IB11" s="50">
        <v>104</v>
      </c>
      <c r="IC11" s="50">
        <v>22.606000000000002</v>
      </c>
      <c r="ID11" s="49">
        <v>-0.30399999999999999</v>
      </c>
      <c r="IE11" s="49">
        <v>-0.11700000000000001</v>
      </c>
      <c r="IF11" s="49">
        <v>819.1</v>
      </c>
      <c r="IG11" s="50">
        <v>774.2</v>
      </c>
      <c r="IH11" s="50">
        <v>831.6</v>
      </c>
      <c r="II11" s="50">
        <v>787.8</v>
      </c>
      <c r="IJ11" s="49">
        <v>-0.124</v>
      </c>
      <c r="IK11" s="49">
        <v>-0.23499999999999999</v>
      </c>
      <c r="IL11" s="49">
        <v>71.751999999999995</v>
      </c>
      <c r="IM11" s="49">
        <v>71.751999999999995</v>
      </c>
      <c r="IN11" s="49">
        <v>13.831</v>
      </c>
      <c r="IO11" s="49">
        <v>0.60299999999999998</v>
      </c>
      <c r="IP11" s="49">
        <v>10.3</v>
      </c>
      <c r="IQ11" s="50">
        <v>1.2999999999999999E-2</v>
      </c>
      <c r="IR11" s="49">
        <v>8.0000000000000002E-3</v>
      </c>
    </row>
    <row r="12" spans="2:252" ht="15" customHeight="1" x14ac:dyDescent="0.25">
      <c r="B12" s="2" t="s">
        <v>412</v>
      </c>
      <c r="C12" s="2" t="s">
        <v>46</v>
      </c>
      <c r="D12" s="61">
        <v>2.9023148148148146E-3</v>
      </c>
      <c r="E12" s="49">
        <v>250.76300000000001</v>
      </c>
      <c r="F12" s="49">
        <v>328.49</v>
      </c>
      <c r="G12" s="49">
        <v>5.47</v>
      </c>
      <c r="H12" s="50">
        <v>29.5</v>
      </c>
      <c r="I12" s="49">
        <v>0</v>
      </c>
      <c r="J12" s="49">
        <v>17</v>
      </c>
      <c r="K12" s="50">
        <v>10</v>
      </c>
      <c r="L12" s="50">
        <v>4</v>
      </c>
      <c r="M12" s="50">
        <v>6</v>
      </c>
      <c r="N12" s="50">
        <v>3</v>
      </c>
      <c r="O12" s="50">
        <v>3</v>
      </c>
      <c r="P12" s="49">
        <v>0.70299999999999996</v>
      </c>
      <c r="Q12" s="49">
        <v>1.123</v>
      </c>
      <c r="R12" s="49">
        <v>0.66100000000000003</v>
      </c>
      <c r="S12" s="49">
        <v>0.39600000000000002</v>
      </c>
      <c r="T12" s="49">
        <v>85.58</v>
      </c>
      <c r="U12" s="50">
        <v>61.289000000000001</v>
      </c>
      <c r="V12" s="49">
        <v>220</v>
      </c>
      <c r="W12" s="49">
        <v>220</v>
      </c>
      <c r="X12" s="49">
        <v>170</v>
      </c>
      <c r="Y12" s="49">
        <v>208.34</v>
      </c>
      <c r="Z12" s="49">
        <v>377.97</v>
      </c>
      <c r="AA12" s="49">
        <v>372.17</v>
      </c>
      <c r="AB12" s="49">
        <v>283.95</v>
      </c>
      <c r="AC12" s="49">
        <v>342.5</v>
      </c>
      <c r="AD12" s="49">
        <v>1.81</v>
      </c>
      <c r="AE12" s="49">
        <v>1.881</v>
      </c>
      <c r="AF12" s="49">
        <v>1.8129999999999999</v>
      </c>
      <c r="AG12" s="49">
        <v>1.8480000000000001</v>
      </c>
      <c r="AH12" s="49">
        <v>81.38</v>
      </c>
      <c r="AI12" s="49">
        <v>78.959999999999994</v>
      </c>
      <c r="AJ12" s="49">
        <v>106.26</v>
      </c>
      <c r="AK12" s="49">
        <v>103.76</v>
      </c>
      <c r="AL12" s="49">
        <v>559.88699999999994</v>
      </c>
      <c r="AM12" s="49">
        <v>620.41099999999994</v>
      </c>
      <c r="AN12" s="49">
        <v>736.952</v>
      </c>
      <c r="AO12" s="49">
        <v>702.19799999999998</v>
      </c>
      <c r="AP12" s="49">
        <v>1.373</v>
      </c>
      <c r="AQ12" s="49">
        <v>1.825</v>
      </c>
      <c r="AR12" s="49">
        <v>40.241</v>
      </c>
      <c r="AS12" s="49">
        <v>38.417000000000002</v>
      </c>
      <c r="AT12" s="49">
        <v>83</v>
      </c>
      <c r="AU12" s="50">
        <v>120</v>
      </c>
      <c r="AV12" s="49">
        <v>2.3955000000000002</v>
      </c>
      <c r="AW12" s="49">
        <v>5.1161000000000003</v>
      </c>
      <c r="AX12" s="49">
        <v>1015.7</v>
      </c>
      <c r="AY12" s="49">
        <v>2.2999999999999998</v>
      </c>
      <c r="AZ12" s="49">
        <v>5.85</v>
      </c>
      <c r="BA12" s="49">
        <v>141.44999999999999</v>
      </c>
      <c r="BB12" s="49">
        <v>140.816</v>
      </c>
      <c r="BC12" s="49">
        <v>7654</v>
      </c>
      <c r="BD12" s="50">
        <v>90.25</v>
      </c>
      <c r="BE12" s="49">
        <v>14.13</v>
      </c>
      <c r="BF12" s="49">
        <v>12.53</v>
      </c>
      <c r="BG12" s="49">
        <v>28.71</v>
      </c>
      <c r="BH12" s="49">
        <v>27.29</v>
      </c>
      <c r="BI12" s="50">
        <v>65.572000000000003</v>
      </c>
      <c r="BJ12" s="50">
        <v>81.207999999999998</v>
      </c>
      <c r="BK12" s="50">
        <v>63.918999999999997</v>
      </c>
      <c r="BL12" s="50">
        <v>78.227000000000004</v>
      </c>
      <c r="BM12" s="50">
        <v>79.188999999999993</v>
      </c>
      <c r="BN12" s="49">
        <v>112.904</v>
      </c>
      <c r="BO12" s="49">
        <v>109.544</v>
      </c>
      <c r="BP12" s="50">
        <v>138.87200000000001</v>
      </c>
      <c r="BQ12" s="50">
        <v>140.87200000000001</v>
      </c>
      <c r="BR12" s="50">
        <v>61.343000000000004</v>
      </c>
      <c r="BS12" s="50">
        <v>29.2</v>
      </c>
      <c r="BT12" s="49">
        <v>7344.4459999999999</v>
      </c>
      <c r="BU12" s="49">
        <v>48.664000000000001</v>
      </c>
      <c r="BV12" s="49">
        <v>53.997999999999998</v>
      </c>
      <c r="BW12" s="50">
        <v>56.259</v>
      </c>
      <c r="BX12" s="50">
        <v>56.875</v>
      </c>
      <c r="BY12" s="49">
        <v>1.371</v>
      </c>
      <c r="BZ12" s="49">
        <v>3.17</v>
      </c>
      <c r="CA12" s="49">
        <v>2.9119999999999999</v>
      </c>
      <c r="CB12" s="49">
        <v>2.9039999999999999</v>
      </c>
      <c r="CC12" s="49">
        <v>0.84099999999999997</v>
      </c>
      <c r="CD12" s="50">
        <v>2.7970000000000002</v>
      </c>
      <c r="CE12" s="49">
        <v>1.3149999999999999</v>
      </c>
      <c r="CF12" s="49">
        <v>1.978</v>
      </c>
      <c r="CG12" s="50">
        <v>13.943</v>
      </c>
      <c r="CH12" s="49">
        <v>13.635999999999999</v>
      </c>
      <c r="CI12" s="3"/>
      <c r="CJ12" s="3"/>
      <c r="CK12" s="3"/>
      <c r="CL12" s="49">
        <v>0.2</v>
      </c>
      <c r="CM12" s="49">
        <v>1.1000000000000001</v>
      </c>
      <c r="CN12" s="49">
        <v>0.1</v>
      </c>
      <c r="CO12" s="49">
        <v>0.1</v>
      </c>
      <c r="CP12" s="49">
        <v>103.35599999999999</v>
      </c>
      <c r="CQ12" s="49">
        <v>100.428</v>
      </c>
      <c r="CR12" s="49">
        <v>130.00299999999999</v>
      </c>
      <c r="CS12" s="49">
        <v>131.92099999999999</v>
      </c>
      <c r="CT12" s="49">
        <v>0.246</v>
      </c>
      <c r="CU12" s="50">
        <v>4.2009999999999996</v>
      </c>
      <c r="CV12" s="50">
        <v>4.5960000000000001</v>
      </c>
      <c r="CW12" s="50">
        <v>4.4989999999999997</v>
      </c>
      <c r="CX12" s="50">
        <v>4.5990000000000002</v>
      </c>
      <c r="CY12" s="50">
        <v>4.4009999999999998</v>
      </c>
      <c r="CZ12" s="50">
        <v>4.5990000000000002</v>
      </c>
      <c r="DA12" s="50">
        <v>3.899</v>
      </c>
      <c r="DB12" s="50">
        <v>4.601</v>
      </c>
      <c r="DC12" s="49">
        <v>0</v>
      </c>
      <c r="DD12" s="50">
        <v>0</v>
      </c>
      <c r="DE12" s="49">
        <v>0.21099999999999999</v>
      </c>
      <c r="DF12" s="49">
        <v>5.0999999999999997E-2</v>
      </c>
      <c r="DG12" s="49">
        <v>0.36199999999999999</v>
      </c>
      <c r="DH12" s="49">
        <v>1.482</v>
      </c>
      <c r="DI12" s="49">
        <v>0.999</v>
      </c>
      <c r="DJ12" s="49">
        <v>0.26700000000000002</v>
      </c>
      <c r="DK12" s="49">
        <v>0.83899999999999997</v>
      </c>
      <c r="DL12" s="50">
        <v>0.41299999999999998</v>
      </c>
      <c r="DM12" s="50">
        <v>0.53900000000000003</v>
      </c>
      <c r="DN12" s="49">
        <v>0.378</v>
      </c>
      <c r="DO12" s="50">
        <v>0.43</v>
      </c>
      <c r="DP12" s="49">
        <v>67.022999999999996</v>
      </c>
      <c r="DQ12" s="50">
        <v>63.991999999999997</v>
      </c>
      <c r="DR12" s="49">
        <v>51.776000000000003</v>
      </c>
      <c r="DS12" s="50">
        <v>53.356000000000002</v>
      </c>
      <c r="DT12" s="49">
        <v>4.57</v>
      </c>
      <c r="DU12" s="49">
        <v>5.2</v>
      </c>
      <c r="DV12" s="49">
        <v>9.93</v>
      </c>
      <c r="DW12" s="49">
        <v>8.26</v>
      </c>
      <c r="DX12" s="49">
        <v>4.8099999999999996</v>
      </c>
      <c r="DY12" s="49">
        <v>5.33</v>
      </c>
      <c r="DZ12" s="49">
        <v>9.44</v>
      </c>
      <c r="EA12" s="49">
        <v>8.06</v>
      </c>
      <c r="EB12" s="50">
        <v>43.41</v>
      </c>
      <c r="EC12" s="49">
        <v>41.69</v>
      </c>
      <c r="ED12" s="50">
        <v>34.840000000000003</v>
      </c>
      <c r="EE12" s="50">
        <v>36.29</v>
      </c>
      <c r="EF12" s="49">
        <v>47.19</v>
      </c>
      <c r="EG12" s="49">
        <v>47.77</v>
      </c>
      <c r="EH12" s="49">
        <v>45.78</v>
      </c>
      <c r="EI12" s="49">
        <v>47.38</v>
      </c>
      <c r="EJ12" s="50">
        <v>7.3179999999999996</v>
      </c>
      <c r="EK12" s="49">
        <v>59.45</v>
      </c>
      <c r="EL12" s="49">
        <v>2.1</v>
      </c>
      <c r="EM12" s="50">
        <v>1.55</v>
      </c>
      <c r="EN12" s="49">
        <v>1.19</v>
      </c>
      <c r="EO12" s="49">
        <v>1.19</v>
      </c>
      <c r="EP12" s="49">
        <v>-100.38200000000001</v>
      </c>
      <c r="EQ12" s="49">
        <v>-2.2130000000000001</v>
      </c>
      <c r="ER12" s="49">
        <v>97.885999999999996</v>
      </c>
      <c r="ES12" s="49">
        <v>1.524</v>
      </c>
      <c r="ET12" s="49">
        <v>1.629</v>
      </c>
      <c r="EU12" s="49">
        <v>1.4690000000000001</v>
      </c>
      <c r="EV12" s="49">
        <v>7.7619999999999996</v>
      </c>
      <c r="EW12" s="49">
        <v>2.3940000000000001</v>
      </c>
      <c r="EX12" s="49">
        <v>66.86</v>
      </c>
      <c r="EY12" s="49">
        <v>0.12</v>
      </c>
      <c r="EZ12" s="49">
        <v>0</v>
      </c>
      <c r="FA12" s="50">
        <v>0</v>
      </c>
      <c r="FB12" s="49">
        <v>9.1560000000000006</v>
      </c>
      <c r="FC12" s="49">
        <v>74.718999999999994</v>
      </c>
      <c r="FD12" s="49">
        <v>70.837000000000003</v>
      </c>
      <c r="FE12" s="50">
        <v>85.495000000000005</v>
      </c>
      <c r="FF12" s="49">
        <v>84.158000000000001</v>
      </c>
      <c r="FG12" s="49">
        <v>0.94</v>
      </c>
      <c r="FH12" s="49">
        <v>0.93899999999999995</v>
      </c>
      <c r="FI12" s="49">
        <v>0.995</v>
      </c>
      <c r="FJ12" s="50">
        <v>1.0009999999999999</v>
      </c>
      <c r="FK12" s="49">
        <v>0</v>
      </c>
      <c r="FL12" s="49">
        <v>83</v>
      </c>
      <c r="FM12" s="49">
        <v>3.53</v>
      </c>
      <c r="FN12" s="49">
        <v>-0.72</v>
      </c>
      <c r="FO12" s="49">
        <v>5.38</v>
      </c>
      <c r="FP12" s="50">
        <v>3.8</v>
      </c>
      <c r="FQ12" s="49">
        <v>4.55</v>
      </c>
      <c r="FR12" s="49">
        <v>5.05</v>
      </c>
      <c r="FS12" s="49">
        <v>6.6835000000000004</v>
      </c>
      <c r="FT12" s="49">
        <v>1079.8</v>
      </c>
      <c r="FU12" s="49">
        <v>6.83</v>
      </c>
      <c r="FV12" s="50">
        <v>34.53</v>
      </c>
      <c r="FW12" s="49">
        <v>3067.5</v>
      </c>
      <c r="FX12" s="49">
        <v>162600</v>
      </c>
      <c r="FY12" s="49">
        <v>162900</v>
      </c>
      <c r="FZ12" s="49">
        <v>48.499000000000002</v>
      </c>
      <c r="GA12" s="49">
        <v>47.616</v>
      </c>
      <c r="GB12" s="49">
        <v>2189.4</v>
      </c>
      <c r="GC12" s="49">
        <v>2163.3000000000002</v>
      </c>
      <c r="GD12" s="49">
        <v>2223.3000000000002</v>
      </c>
      <c r="GE12" s="49">
        <v>2225.1</v>
      </c>
      <c r="GF12" s="49">
        <v>1242.5780999999999</v>
      </c>
      <c r="GG12" s="49">
        <v>29</v>
      </c>
      <c r="GH12" s="49">
        <v>29</v>
      </c>
      <c r="GI12" s="49">
        <v>47.9</v>
      </c>
      <c r="GJ12" s="49">
        <v>53.3</v>
      </c>
      <c r="GK12" s="49">
        <v>99.5</v>
      </c>
      <c r="GL12" s="49">
        <v>76.8</v>
      </c>
      <c r="GM12" s="50">
        <v>0</v>
      </c>
      <c r="GN12" s="50">
        <v>27.315999999999999</v>
      </c>
      <c r="GO12" s="49">
        <v>100.38200000000001</v>
      </c>
      <c r="GP12" s="50">
        <v>0</v>
      </c>
      <c r="GQ12" s="49">
        <v>1.9470000000000001</v>
      </c>
      <c r="GR12" s="50">
        <v>0</v>
      </c>
      <c r="GS12" s="49">
        <v>2.0059999999999998</v>
      </c>
      <c r="GT12" s="50">
        <v>0</v>
      </c>
      <c r="GU12" s="49">
        <v>1.8879999999999999</v>
      </c>
      <c r="GV12" s="50">
        <v>0</v>
      </c>
      <c r="GW12" s="49">
        <v>13.827</v>
      </c>
      <c r="GX12" s="49">
        <v>15.19</v>
      </c>
      <c r="GY12" s="50">
        <v>0</v>
      </c>
      <c r="GZ12" s="50">
        <v>0</v>
      </c>
      <c r="HA12" s="50">
        <v>0</v>
      </c>
      <c r="HB12" s="49">
        <v>0</v>
      </c>
      <c r="HC12" s="49">
        <v>23.64</v>
      </c>
      <c r="HD12" s="49">
        <v>86</v>
      </c>
      <c r="HE12" s="50">
        <v>0</v>
      </c>
      <c r="HF12" s="50">
        <v>0</v>
      </c>
      <c r="HG12" s="49">
        <v>72.27</v>
      </c>
      <c r="HH12" s="49">
        <v>82.39</v>
      </c>
      <c r="HI12" s="50">
        <v>0</v>
      </c>
      <c r="HJ12" s="50">
        <v>0</v>
      </c>
      <c r="HK12" s="50">
        <v>0</v>
      </c>
      <c r="HL12" s="49">
        <v>63</v>
      </c>
      <c r="HM12" s="49">
        <v>55</v>
      </c>
      <c r="HN12" s="50">
        <v>70</v>
      </c>
      <c r="HO12" s="50">
        <v>64</v>
      </c>
      <c r="HP12" s="50">
        <v>67</v>
      </c>
      <c r="HQ12" s="50">
        <v>64</v>
      </c>
      <c r="HR12" s="50">
        <v>55</v>
      </c>
      <c r="HS12" s="49">
        <v>64</v>
      </c>
      <c r="HT12" s="49">
        <v>-1.2865</v>
      </c>
      <c r="HU12" s="50">
        <v>0</v>
      </c>
      <c r="HV12" s="49">
        <v>-0.13700000000000001</v>
      </c>
      <c r="HW12" s="49">
        <v>37.47</v>
      </c>
      <c r="HX12" s="49">
        <v>50.91</v>
      </c>
      <c r="HY12" s="3"/>
      <c r="HZ12" s="3"/>
      <c r="IA12" s="49">
        <v>2.661</v>
      </c>
      <c r="IB12" s="50">
        <v>104</v>
      </c>
      <c r="IC12" s="49">
        <v>22.239000000000001</v>
      </c>
      <c r="ID12" s="49">
        <v>-0.191</v>
      </c>
      <c r="IE12" s="49">
        <v>-7.5999999999999998E-2</v>
      </c>
      <c r="IF12" s="50">
        <v>839.9</v>
      </c>
      <c r="IG12" s="49">
        <v>761</v>
      </c>
      <c r="IH12" s="49">
        <v>831.5</v>
      </c>
      <c r="II12" s="49">
        <v>776.9</v>
      </c>
      <c r="IJ12" s="49">
        <v>-5.3999999999999999E-2</v>
      </c>
      <c r="IK12" s="50">
        <v>-0.11899999999999999</v>
      </c>
      <c r="IL12" s="49">
        <v>80.736000000000004</v>
      </c>
      <c r="IM12" s="49">
        <v>80.736000000000004</v>
      </c>
      <c r="IN12" s="50">
        <v>16.419</v>
      </c>
      <c r="IO12" s="49">
        <v>0.496</v>
      </c>
      <c r="IP12" s="49">
        <v>10.210000000000001</v>
      </c>
      <c r="IQ12" s="49">
        <v>0</v>
      </c>
      <c r="IR12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3F72D-9A0C-484F-8EE6-BEEA190B0218}">
  <sheetPr codeName="Sheet18"/>
  <dimension ref="B1:IR10"/>
  <sheetViews>
    <sheetView zoomScale="70" zoomScaleNormal="70" workbookViewId="0">
      <selection activeCell="D11" sqref="D11"/>
    </sheetView>
  </sheetViews>
  <sheetFormatPr defaultRowHeight="15" x14ac:dyDescent="0.25"/>
  <cols>
    <col min="4" max="4" width="10.5703125" bestFit="1" customWidth="1"/>
  </cols>
  <sheetData>
    <row r="1" spans="2:252" x14ac:dyDescent="0.25">
      <c r="B1" t="s">
        <v>359</v>
      </c>
      <c r="C1" t="s">
        <v>418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6" t="s">
        <v>420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412</v>
      </c>
      <c r="C7" s="2" t="s">
        <v>41</v>
      </c>
      <c r="D7" s="61">
        <v>1.7211805555555557E-2</v>
      </c>
      <c r="E7" s="50">
        <v>1487.1030000000001</v>
      </c>
      <c r="F7" s="49">
        <v>328.85</v>
      </c>
      <c r="G7" s="49">
        <v>5.71</v>
      </c>
      <c r="H7" s="50">
        <v>29</v>
      </c>
      <c r="I7" s="50">
        <v>0</v>
      </c>
      <c r="J7" s="50">
        <v>1267.5999999999999</v>
      </c>
      <c r="K7" s="50">
        <v>11</v>
      </c>
      <c r="L7" s="49">
        <v>6</v>
      </c>
      <c r="M7" s="50">
        <v>6</v>
      </c>
      <c r="N7" s="50">
        <v>3</v>
      </c>
      <c r="O7" s="50">
        <v>3</v>
      </c>
      <c r="P7" s="49">
        <v>0.77200000000000002</v>
      </c>
      <c r="Q7" s="49">
        <v>1.1739999999999999</v>
      </c>
      <c r="R7" s="49">
        <v>0.82799999999999996</v>
      </c>
      <c r="S7" s="49">
        <v>0.64</v>
      </c>
      <c r="T7" s="49">
        <v>67.56</v>
      </c>
      <c r="U7" s="50">
        <v>61.539000000000001</v>
      </c>
      <c r="V7" s="49">
        <v>105</v>
      </c>
      <c r="W7" s="49">
        <v>70</v>
      </c>
      <c r="X7" s="50">
        <v>90</v>
      </c>
      <c r="Y7" s="50">
        <v>90</v>
      </c>
      <c r="Z7" s="49">
        <v>176.15</v>
      </c>
      <c r="AA7" s="49">
        <v>170.75</v>
      </c>
      <c r="AB7" s="49">
        <v>131.61000000000001</v>
      </c>
      <c r="AC7" s="49">
        <v>148.04</v>
      </c>
      <c r="AD7" s="49">
        <v>1.78</v>
      </c>
      <c r="AE7" s="50">
        <v>1.8580000000000001</v>
      </c>
      <c r="AF7" s="49">
        <v>1.6830000000000001</v>
      </c>
      <c r="AG7" s="49">
        <v>1.7310000000000001</v>
      </c>
      <c r="AH7" s="49">
        <v>68.14</v>
      </c>
      <c r="AI7" s="49">
        <v>66.23</v>
      </c>
      <c r="AJ7" s="49">
        <v>84.1</v>
      </c>
      <c r="AK7" s="49">
        <v>83.15</v>
      </c>
      <c r="AL7" s="49">
        <v>601.15200000000004</v>
      </c>
      <c r="AM7" s="49">
        <v>632.79899999999998</v>
      </c>
      <c r="AN7" s="49">
        <v>700.28800000000001</v>
      </c>
      <c r="AO7" s="49">
        <v>658.01800000000003</v>
      </c>
      <c r="AP7" s="50">
        <v>1.401</v>
      </c>
      <c r="AQ7" s="49">
        <v>1.87</v>
      </c>
      <c r="AR7" s="49">
        <v>39.156999999999996</v>
      </c>
      <c r="AS7" s="49">
        <v>39.389000000000003</v>
      </c>
      <c r="AT7" s="50">
        <v>85</v>
      </c>
      <c r="AU7" s="49">
        <v>109</v>
      </c>
      <c r="AV7" s="49">
        <v>2.1644999999999999</v>
      </c>
      <c r="AW7" s="49">
        <v>4.3868</v>
      </c>
      <c r="AX7" s="50">
        <v>1028.5</v>
      </c>
      <c r="AY7" s="50">
        <v>2.34</v>
      </c>
      <c r="AZ7" s="49">
        <v>5.7</v>
      </c>
      <c r="BA7" s="50">
        <v>66.900000000000006</v>
      </c>
      <c r="BB7" s="50">
        <v>67</v>
      </c>
      <c r="BC7" s="50">
        <v>7857</v>
      </c>
      <c r="BD7" s="49">
        <v>89.25</v>
      </c>
      <c r="BE7" s="49">
        <v>13.93</v>
      </c>
      <c r="BF7" s="49">
        <v>12.98</v>
      </c>
      <c r="BG7" s="49">
        <v>26.68</v>
      </c>
      <c r="BH7" s="49">
        <v>26.49</v>
      </c>
      <c r="BI7" s="50">
        <v>65.542000000000002</v>
      </c>
      <c r="BJ7" s="49">
        <v>82.534000000000006</v>
      </c>
      <c r="BK7" s="50">
        <v>63.746000000000002</v>
      </c>
      <c r="BL7" s="49">
        <v>79.683999999999997</v>
      </c>
      <c r="BM7" s="49">
        <v>79.951999999999998</v>
      </c>
      <c r="BN7" s="50">
        <v>130.71199999999999</v>
      </c>
      <c r="BO7" s="50">
        <v>124.98399999999999</v>
      </c>
      <c r="BP7" s="49">
        <v>120.47199999999999</v>
      </c>
      <c r="BQ7" s="49">
        <v>125.896</v>
      </c>
      <c r="BR7" s="49">
        <v>58.904000000000003</v>
      </c>
      <c r="BS7" s="49">
        <v>25.9</v>
      </c>
      <c r="BT7" s="49">
        <v>7161.17</v>
      </c>
      <c r="BU7" s="49">
        <v>26.334</v>
      </c>
      <c r="BV7" s="50">
        <v>54.689</v>
      </c>
      <c r="BW7" s="49">
        <v>55.436999999999998</v>
      </c>
      <c r="BX7" s="50">
        <v>56.747</v>
      </c>
      <c r="BY7" s="49">
        <v>1.35</v>
      </c>
      <c r="BZ7" s="49">
        <v>2.5870000000000002</v>
      </c>
      <c r="CA7" s="50">
        <v>3.706</v>
      </c>
      <c r="CB7" s="49">
        <v>2.7010000000000001</v>
      </c>
      <c r="CC7" s="50">
        <v>0.99399999999999999</v>
      </c>
      <c r="CD7" s="49">
        <v>2.2919999999999998</v>
      </c>
      <c r="CE7" s="50">
        <v>1.3759999999999999</v>
      </c>
      <c r="CF7" s="50">
        <v>2.1739999999999999</v>
      </c>
      <c r="CG7" s="49">
        <v>13.856999999999999</v>
      </c>
      <c r="CH7" s="50">
        <v>10.138999999999999</v>
      </c>
      <c r="CI7" s="50">
        <v>3.32</v>
      </c>
      <c r="CJ7" s="49">
        <v>2.2810000000000001</v>
      </c>
      <c r="CK7" s="49">
        <v>1.018</v>
      </c>
      <c r="CL7" s="49">
        <v>0</v>
      </c>
      <c r="CM7" s="49">
        <v>0.1</v>
      </c>
      <c r="CN7" s="50">
        <v>0</v>
      </c>
      <c r="CO7" s="50">
        <v>0</v>
      </c>
      <c r="CP7" s="50">
        <v>110.116</v>
      </c>
      <c r="CQ7" s="50">
        <v>104.36199999999999</v>
      </c>
      <c r="CR7" s="49">
        <v>91.070999999999998</v>
      </c>
      <c r="CS7" s="49">
        <v>93.119</v>
      </c>
      <c r="CT7" s="49">
        <v>0.34899999999999998</v>
      </c>
      <c r="CU7" s="49">
        <v>1.097</v>
      </c>
      <c r="CV7" s="49">
        <v>1.694</v>
      </c>
      <c r="CW7" s="49">
        <v>0.8</v>
      </c>
      <c r="CX7" s="49">
        <v>1.097</v>
      </c>
      <c r="CY7" s="49">
        <v>1.3959999999999999</v>
      </c>
      <c r="CZ7" s="49">
        <v>1.2949999999999999</v>
      </c>
      <c r="DA7" s="49">
        <v>0.69699999999999995</v>
      </c>
      <c r="DB7" s="49">
        <v>1.8939999999999999</v>
      </c>
      <c r="DC7" s="50">
        <v>0</v>
      </c>
      <c r="DD7" s="50">
        <v>0</v>
      </c>
      <c r="DE7" s="49">
        <v>0.04</v>
      </c>
      <c r="DF7" s="49">
        <v>5.6000000000000001E-2</v>
      </c>
      <c r="DG7" s="49">
        <v>0.28799999999999998</v>
      </c>
      <c r="DH7" s="50">
        <v>2.0699999999999998</v>
      </c>
      <c r="DI7" s="49">
        <v>1.075</v>
      </c>
      <c r="DJ7" s="49">
        <v>0.28999999999999998</v>
      </c>
      <c r="DK7" s="49">
        <v>0.80500000000000005</v>
      </c>
      <c r="DL7" s="50">
        <v>0.40799999999999997</v>
      </c>
      <c r="DM7" s="49">
        <v>0.48299999999999998</v>
      </c>
      <c r="DN7" s="49">
        <v>0.34799999999999998</v>
      </c>
      <c r="DO7" s="49">
        <v>0.36</v>
      </c>
      <c r="DP7" s="49">
        <v>64.302999999999997</v>
      </c>
      <c r="DQ7" s="49">
        <v>61.164999999999999</v>
      </c>
      <c r="DR7" s="49">
        <v>53.951999999999998</v>
      </c>
      <c r="DS7" s="49">
        <v>53.353999999999999</v>
      </c>
      <c r="DT7" s="49">
        <v>0.75</v>
      </c>
      <c r="DU7" s="49">
        <v>0.84</v>
      </c>
      <c r="DV7" s="49">
        <v>1.91</v>
      </c>
      <c r="DW7" s="49">
        <v>1.68</v>
      </c>
      <c r="DX7" s="49">
        <v>0.79</v>
      </c>
      <c r="DY7" s="49">
        <v>0.83</v>
      </c>
      <c r="DZ7" s="49">
        <v>1.82</v>
      </c>
      <c r="EA7" s="49">
        <v>1.65</v>
      </c>
      <c r="EB7" s="49">
        <v>13.88</v>
      </c>
      <c r="EC7" s="49">
        <v>16.11</v>
      </c>
      <c r="ED7" s="49">
        <v>22.7</v>
      </c>
      <c r="EE7" s="49">
        <v>11.09</v>
      </c>
      <c r="EF7" s="50">
        <v>84.58</v>
      </c>
      <c r="EG7" s="50">
        <v>82.22</v>
      </c>
      <c r="EH7" s="50">
        <v>73.56</v>
      </c>
      <c r="EI7" s="50">
        <v>85.58</v>
      </c>
      <c r="EJ7" s="49">
        <v>4.8289999999999997</v>
      </c>
      <c r="EK7" s="49">
        <v>51.146000000000001</v>
      </c>
      <c r="EL7" s="50">
        <v>2.2000000000000002</v>
      </c>
      <c r="EM7" s="50">
        <v>1.55</v>
      </c>
      <c r="EN7" s="49">
        <v>1.06</v>
      </c>
      <c r="EO7" s="49">
        <v>1.06</v>
      </c>
      <c r="EP7" s="50">
        <v>-107.682</v>
      </c>
      <c r="EQ7" s="49">
        <v>-0.375</v>
      </c>
      <c r="ER7" s="50">
        <v>142.27000000000001</v>
      </c>
      <c r="ES7" s="49">
        <v>0.23400000000000001</v>
      </c>
      <c r="ET7" s="49">
        <v>0.253</v>
      </c>
      <c r="EU7" s="49">
        <v>0.22600000000000001</v>
      </c>
      <c r="EV7" s="49">
        <v>7.766</v>
      </c>
      <c r="EW7" s="49">
        <v>1.8080000000000001</v>
      </c>
      <c r="EX7" s="49">
        <v>-364.1</v>
      </c>
      <c r="EY7" s="49">
        <v>0</v>
      </c>
      <c r="EZ7" s="49">
        <v>0</v>
      </c>
      <c r="FA7" s="50">
        <v>0</v>
      </c>
      <c r="FB7" s="49">
        <v>1.3740000000000001</v>
      </c>
      <c r="FC7" s="50">
        <v>71.257000000000005</v>
      </c>
      <c r="FD7" s="50">
        <v>67.998999999999995</v>
      </c>
      <c r="FE7" s="50">
        <v>78.394999999999996</v>
      </c>
      <c r="FF7" s="50">
        <v>77.572000000000003</v>
      </c>
      <c r="FG7" s="50">
        <v>1.016</v>
      </c>
      <c r="FH7" s="50">
        <v>1.016</v>
      </c>
      <c r="FI7" s="49">
        <v>1.0009999999999999</v>
      </c>
      <c r="FJ7" s="49">
        <v>1.0009999999999999</v>
      </c>
      <c r="FK7" s="50">
        <v>0.40200000000000002</v>
      </c>
      <c r="FL7" s="50">
        <v>85</v>
      </c>
      <c r="FM7" s="49">
        <v>3.58</v>
      </c>
      <c r="FN7" s="50">
        <v>-0.93</v>
      </c>
      <c r="FO7" s="49">
        <v>5.53</v>
      </c>
      <c r="FP7" s="50">
        <v>0.15</v>
      </c>
      <c r="FQ7" s="50">
        <v>0.7</v>
      </c>
      <c r="FR7" s="49">
        <v>5.15</v>
      </c>
      <c r="FS7" s="49">
        <v>6.6905000000000001</v>
      </c>
      <c r="FT7" s="49">
        <v>1072.2</v>
      </c>
      <c r="FU7" s="49">
        <v>6.27</v>
      </c>
      <c r="FV7" s="49">
        <v>5.7</v>
      </c>
      <c r="FW7" s="49">
        <v>3155.5</v>
      </c>
      <c r="FX7" s="49">
        <v>164800</v>
      </c>
      <c r="FY7" s="49">
        <v>165000</v>
      </c>
      <c r="FZ7" s="49">
        <v>49.418999999999997</v>
      </c>
      <c r="GA7" s="49">
        <v>48.834000000000003</v>
      </c>
      <c r="GB7" s="49">
        <v>2156.5</v>
      </c>
      <c r="GC7" s="50">
        <v>2329.5</v>
      </c>
      <c r="GD7" s="50">
        <v>2277.6</v>
      </c>
      <c r="GE7" s="50">
        <v>2329.5</v>
      </c>
      <c r="GF7" s="49">
        <v>1458.5</v>
      </c>
      <c r="GG7" s="50">
        <v>36</v>
      </c>
      <c r="GH7" s="50">
        <v>35.700000000000003</v>
      </c>
      <c r="GI7" s="50">
        <v>82.2</v>
      </c>
      <c r="GJ7" s="50">
        <v>83.6</v>
      </c>
      <c r="GK7" s="50">
        <v>96.5</v>
      </c>
      <c r="GL7" s="49">
        <v>78.2</v>
      </c>
      <c r="GM7" s="50">
        <v>0</v>
      </c>
      <c r="GN7" s="49">
        <v>27.126000000000001</v>
      </c>
      <c r="GO7" s="50">
        <v>142.27000000000001</v>
      </c>
      <c r="GP7" s="50">
        <v>0</v>
      </c>
      <c r="GQ7" s="50">
        <v>4.0119999999999996</v>
      </c>
      <c r="GR7" s="50">
        <v>0</v>
      </c>
      <c r="GS7" s="50">
        <v>4.5430000000000001</v>
      </c>
      <c r="GT7" s="50">
        <v>0</v>
      </c>
      <c r="GU7" s="50">
        <v>4.0709999999999997</v>
      </c>
      <c r="GV7" s="50">
        <v>0</v>
      </c>
      <c r="GW7" s="49">
        <v>2.145</v>
      </c>
      <c r="GX7" s="50">
        <v>22.54</v>
      </c>
      <c r="GY7" s="50">
        <v>0</v>
      </c>
      <c r="GZ7" s="50">
        <v>0</v>
      </c>
      <c r="HA7" s="50">
        <v>0</v>
      </c>
      <c r="HB7" s="50">
        <v>1</v>
      </c>
      <c r="HC7" s="49">
        <v>16.163</v>
      </c>
      <c r="HD7" s="50">
        <v>86</v>
      </c>
      <c r="HE7" s="50">
        <v>0</v>
      </c>
      <c r="HF7" s="50">
        <v>0</v>
      </c>
      <c r="HG7" s="49">
        <v>74.52</v>
      </c>
      <c r="HH7" s="50">
        <v>100</v>
      </c>
      <c r="HI7" s="50">
        <v>0</v>
      </c>
      <c r="HJ7" s="50">
        <v>0</v>
      </c>
      <c r="HK7" s="50">
        <v>0</v>
      </c>
      <c r="HL7" s="50">
        <v>72</v>
      </c>
      <c r="HM7" s="50">
        <v>56</v>
      </c>
      <c r="HN7" s="50">
        <v>70</v>
      </c>
      <c r="HO7" s="50">
        <v>61</v>
      </c>
      <c r="HP7" s="50">
        <v>60</v>
      </c>
      <c r="HQ7" s="50">
        <v>59</v>
      </c>
      <c r="HR7" s="50">
        <v>56</v>
      </c>
      <c r="HS7" s="50">
        <v>62</v>
      </c>
      <c r="HT7" s="49">
        <v>-1.3145</v>
      </c>
      <c r="HU7" s="50">
        <v>0</v>
      </c>
      <c r="HV7" s="49">
        <v>-0.32500000000000001</v>
      </c>
      <c r="HW7" s="50">
        <v>40.619999999999997</v>
      </c>
      <c r="HX7" s="50">
        <v>55.17</v>
      </c>
      <c r="HY7" s="3"/>
      <c r="HZ7" s="3"/>
      <c r="IA7" s="49">
        <v>2.2949999999999999</v>
      </c>
      <c r="IB7" s="49">
        <v>89</v>
      </c>
      <c r="IC7" s="49">
        <v>16.997</v>
      </c>
      <c r="ID7" s="50">
        <v>-4.2000000000000003E-2</v>
      </c>
      <c r="IE7" s="50">
        <v>-1.7999999999999999E-2</v>
      </c>
      <c r="IF7" s="49">
        <v>795.1</v>
      </c>
      <c r="IG7" s="49">
        <v>314.60000000000002</v>
      </c>
      <c r="IH7" s="49">
        <v>806.6</v>
      </c>
      <c r="II7" s="49">
        <v>335.7</v>
      </c>
      <c r="IJ7" s="49">
        <v>2.1999999999999999E-2</v>
      </c>
      <c r="IK7" s="49">
        <v>1.2999999999999999E-2</v>
      </c>
      <c r="IL7" s="50">
        <v>1344.675</v>
      </c>
      <c r="IM7" s="50">
        <v>1344.5160000000001</v>
      </c>
      <c r="IN7" s="50">
        <v>21.2</v>
      </c>
      <c r="IO7" s="49">
        <v>5.6000000000000001E-2</v>
      </c>
      <c r="IP7" s="50">
        <v>10.52</v>
      </c>
      <c r="IQ7" s="50">
        <v>3.4000000000000002E-2</v>
      </c>
      <c r="IR7" s="50">
        <v>3.4000000000000002E-2</v>
      </c>
    </row>
    <row r="8" spans="2:252" x14ac:dyDescent="0.25">
      <c r="B8" s="2" t="s">
        <v>412</v>
      </c>
      <c r="C8" s="62" t="s">
        <v>42</v>
      </c>
      <c r="D8" s="63">
        <v>2.4829861111111112E-3</v>
      </c>
      <c r="E8" s="49">
        <v>214.57</v>
      </c>
      <c r="F8" s="50">
        <v>332.83</v>
      </c>
      <c r="G8" s="49">
        <v>5.78</v>
      </c>
      <c r="H8" s="49">
        <v>28.1</v>
      </c>
      <c r="I8" s="50">
        <v>0</v>
      </c>
      <c r="J8" s="49">
        <v>18.399999999999999</v>
      </c>
      <c r="K8" s="49">
        <v>7</v>
      </c>
      <c r="L8" s="49">
        <v>7</v>
      </c>
      <c r="M8" s="50">
        <v>6</v>
      </c>
      <c r="N8" s="50">
        <v>3</v>
      </c>
      <c r="O8" s="50">
        <v>3</v>
      </c>
      <c r="P8" s="49">
        <v>0.81799999999999995</v>
      </c>
      <c r="Q8" s="49">
        <v>1.1020000000000001</v>
      </c>
      <c r="R8" s="49">
        <v>0.81799999999999995</v>
      </c>
      <c r="S8" s="50">
        <v>0.879</v>
      </c>
      <c r="T8" s="49">
        <v>78.88</v>
      </c>
      <c r="U8" s="49">
        <v>61.45</v>
      </c>
      <c r="V8" s="49">
        <v>223.34</v>
      </c>
      <c r="W8" s="49">
        <v>223.34</v>
      </c>
      <c r="X8" s="49">
        <v>152.5</v>
      </c>
      <c r="Y8" s="49">
        <v>197.5</v>
      </c>
      <c r="Z8" s="49">
        <v>361.02</v>
      </c>
      <c r="AA8" s="49">
        <v>360.76</v>
      </c>
      <c r="AB8" s="49">
        <v>260.39</v>
      </c>
      <c r="AC8" s="49">
        <v>323.61</v>
      </c>
      <c r="AD8" s="49">
        <v>1.7569999999999999</v>
      </c>
      <c r="AE8" s="49">
        <v>1.829</v>
      </c>
      <c r="AF8" s="49">
        <v>1.704</v>
      </c>
      <c r="AG8" s="49">
        <v>1.736</v>
      </c>
      <c r="AH8" s="49">
        <v>77.489999999999995</v>
      </c>
      <c r="AI8" s="49">
        <v>75.599999999999994</v>
      </c>
      <c r="AJ8" s="49">
        <v>96.11</v>
      </c>
      <c r="AK8" s="49">
        <v>92.83</v>
      </c>
      <c r="AL8" s="49">
        <v>605.79</v>
      </c>
      <c r="AM8" s="50">
        <v>647.18600000000004</v>
      </c>
      <c r="AN8" s="49">
        <v>730.47199999999998</v>
      </c>
      <c r="AO8" s="49">
        <v>706.95699999999999</v>
      </c>
      <c r="AP8" s="49">
        <v>1.381</v>
      </c>
      <c r="AQ8" s="49">
        <v>1.861</v>
      </c>
      <c r="AR8" s="50">
        <v>41.765999999999998</v>
      </c>
      <c r="AS8" s="49">
        <v>39.930999999999997</v>
      </c>
      <c r="AT8" s="49">
        <v>83</v>
      </c>
      <c r="AU8" s="49">
        <v>113</v>
      </c>
      <c r="AV8" s="49">
        <v>1.9355</v>
      </c>
      <c r="AW8" s="50">
        <v>5.1951000000000001</v>
      </c>
      <c r="AX8" s="49">
        <v>1017</v>
      </c>
      <c r="AY8" s="49">
        <v>2.27</v>
      </c>
      <c r="AZ8" s="50">
        <v>5.68</v>
      </c>
      <c r="BA8" s="49">
        <v>139.71600000000001</v>
      </c>
      <c r="BB8" s="49">
        <v>140.19800000000001</v>
      </c>
      <c r="BC8" s="49">
        <v>7735</v>
      </c>
      <c r="BD8" s="49">
        <v>88</v>
      </c>
      <c r="BE8" s="49">
        <v>14.404999999999999</v>
      </c>
      <c r="BF8" s="49">
        <v>13.305</v>
      </c>
      <c r="BG8" s="49">
        <v>27.59</v>
      </c>
      <c r="BH8" s="49">
        <v>25.56</v>
      </c>
      <c r="BI8" s="3"/>
      <c r="BJ8" s="3"/>
      <c r="BK8" s="3"/>
      <c r="BL8" s="3"/>
      <c r="BM8" s="3"/>
      <c r="BN8" s="49">
        <v>97.272000000000006</v>
      </c>
      <c r="BO8" s="49">
        <v>95.64</v>
      </c>
      <c r="BP8" s="49">
        <v>114.232</v>
      </c>
      <c r="BQ8" s="49">
        <v>118.648</v>
      </c>
      <c r="BR8" s="3"/>
      <c r="BS8" s="49">
        <v>27.7</v>
      </c>
      <c r="BT8" s="49">
        <v>7434.0829999999996</v>
      </c>
      <c r="BU8" s="50">
        <v>50.265000000000001</v>
      </c>
      <c r="BV8" s="49">
        <v>53.872999999999998</v>
      </c>
      <c r="BW8" s="49">
        <v>53.564999999999998</v>
      </c>
      <c r="BX8" s="49">
        <v>55.298000000000002</v>
      </c>
      <c r="BY8" s="49">
        <v>1.298</v>
      </c>
      <c r="BZ8" s="49">
        <v>2.9249999999999998</v>
      </c>
      <c r="CA8" s="49">
        <v>3.5609999999999999</v>
      </c>
      <c r="CB8" s="50">
        <v>3.1629999999999998</v>
      </c>
      <c r="CC8" s="49">
        <v>0.96</v>
      </c>
      <c r="CD8" s="49">
        <v>2.37</v>
      </c>
      <c r="CE8" s="49">
        <v>1.2450000000000001</v>
      </c>
      <c r="CF8" s="49">
        <v>2.097</v>
      </c>
      <c r="CG8" s="49">
        <v>13.951000000000001</v>
      </c>
      <c r="CH8" s="49">
        <v>13.8</v>
      </c>
      <c r="CI8" s="49">
        <v>3.105</v>
      </c>
      <c r="CJ8" s="50">
        <v>3.41</v>
      </c>
      <c r="CK8" s="50">
        <v>1.4510000000000001</v>
      </c>
      <c r="CL8" s="49">
        <v>0</v>
      </c>
      <c r="CM8" s="50">
        <v>1.2</v>
      </c>
      <c r="CN8" s="50">
        <v>0</v>
      </c>
      <c r="CO8" s="50">
        <v>0</v>
      </c>
      <c r="CP8" s="49">
        <v>91.938000000000002</v>
      </c>
      <c r="CQ8" s="49">
        <v>90.022000000000006</v>
      </c>
      <c r="CR8" s="49">
        <v>103.726</v>
      </c>
      <c r="CS8" s="49">
        <v>109.252</v>
      </c>
      <c r="CT8" s="49">
        <v>0.32400000000000001</v>
      </c>
      <c r="CU8" s="49">
        <v>1.196</v>
      </c>
      <c r="CV8" s="49">
        <v>1.196</v>
      </c>
      <c r="CW8" s="49">
        <v>1.2010000000000001</v>
      </c>
      <c r="CX8" s="49">
        <v>1.5980000000000001</v>
      </c>
      <c r="CY8" s="49">
        <v>1.0960000000000001</v>
      </c>
      <c r="CZ8" s="49">
        <v>1.101</v>
      </c>
      <c r="DA8" s="49">
        <v>0.6</v>
      </c>
      <c r="DB8" s="49">
        <v>1.5980000000000001</v>
      </c>
      <c r="DC8" s="50">
        <v>0</v>
      </c>
      <c r="DD8" s="50">
        <v>0</v>
      </c>
      <c r="DE8" s="50">
        <v>0.30299999999999999</v>
      </c>
      <c r="DF8" s="50">
        <v>0.17599999999999999</v>
      </c>
      <c r="DG8" s="50">
        <v>1.101</v>
      </c>
      <c r="DH8" s="49">
        <v>1.891</v>
      </c>
      <c r="DI8" s="50">
        <v>1.1120000000000001</v>
      </c>
      <c r="DJ8" s="49">
        <v>0.27400000000000002</v>
      </c>
      <c r="DK8" s="49">
        <v>0.76900000000000002</v>
      </c>
      <c r="DL8" s="49">
        <v>0.40600000000000003</v>
      </c>
      <c r="DM8" s="49">
        <v>-0.01</v>
      </c>
      <c r="DN8" s="49">
        <v>-2.4929999999999999</v>
      </c>
      <c r="DO8" s="49">
        <v>0.27100000000000002</v>
      </c>
      <c r="DP8" s="49">
        <v>63.87</v>
      </c>
      <c r="DQ8" s="50">
        <v>62.222999999999999</v>
      </c>
      <c r="DR8" s="49">
        <v>54.302</v>
      </c>
      <c r="DS8" s="49">
        <v>53.509</v>
      </c>
      <c r="DT8" s="50">
        <v>5.86</v>
      </c>
      <c r="DU8" s="50">
        <v>6.08</v>
      </c>
      <c r="DV8" s="50">
        <v>14.4</v>
      </c>
      <c r="DW8" s="50">
        <v>12.26</v>
      </c>
      <c r="DX8" s="50">
        <v>6.34</v>
      </c>
      <c r="DY8" s="50">
        <v>6.45</v>
      </c>
      <c r="DZ8" s="50">
        <v>14.12</v>
      </c>
      <c r="EA8" s="50">
        <v>12.37</v>
      </c>
      <c r="EB8" s="49">
        <v>43.11</v>
      </c>
      <c r="EC8" s="49">
        <v>41.71</v>
      </c>
      <c r="ED8" s="49">
        <v>31.69</v>
      </c>
      <c r="EE8" s="49">
        <v>33.619999999999997</v>
      </c>
      <c r="EF8" s="49">
        <v>44.7</v>
      </c>
      <c r="EG8" s="49">
        <v>45.76</v>
      </c>
      <c r="EH8" s="49">
        <v>39.79</v>
      </c>
      <c r="EI8" s="49">
        <v>41.75</v>
      </c>
      <c r="EJ8" s="49">
        <v>5.5839999999999996</v>
      </c>
      <c r="EK8" s="49">
        <v>59.274000000000001</v>
      </c>
      <c r="EL8" s="49">
        <v>2.1</v>
      </c>
      <c r="EM8" s="49">
        <v>1.6</v>
      </c>
      <c r="EN8" s="49">
        <v>1.23</v>
      </c>
      <c r="EO8" s="49">
        <v>1.23</v>
      </c>
      <c r="EP8" s="49">
        <v>-98.63</v>
      </c>
      <c r="EQ8" s="49">
        <v>-2.6909999999999998</v>
      </c>
      <c r="ER8" s="49">
        <v>99.93</v>
      </c>
      <c r="ES8" s="49">
        <v>1.474</v>
      </c>
      <c r="ET8" s="49">
        <v>1.6240000000000001</v>
      </c>
      <c r="EU8" s="49">
        <v>1.4379999999999999</v>
      </c>
      <c r="EV8" s="49">
        <v>7.4569999999999999</v>
      </c>
      <c r="EW8" s="49">
        <v>1.7410000000000001</v>
      </c>
      <c r="EX8" s="49">
        <v>70.78</v>
      </c>
      <c r="EY8" s="49">
        <v>0</v>
      </c>
      <c r="EZ8" s="50">
        <v>1.482</v>
      </c>
      <c r="FA8" s="50">
        <v>0</v>
      </c>
      <c r="FB8" s="49">
        <v>9.09</v>
      </c>
      <c r="FC8" s="49">
        <v>66.611000000000004</v>
      </c>
      <c r="FD8" s="49">
        <v>63.091999999999999</v>
      </c>
      <c r="FE8" s="49">
        <v>72.366</v>
      </c>
      <c r="FF8" s="49">
        <v>71.152000000000001</v>
      </c>
      <c r="FG8" s="49">
        <v>0.91300000000000003</v>
      </c>
      <c r="FH8" s="49">
        <v>0.91400000000000003</v>
      </c>
      <c r="FI8" s="49">
        <v>0.996</v>
      </c>
      <c r="FJ8" s="49">
        <v>0.999</v>
      </c>
      <c r="FK8" s="49">
        <v>0</v>
      </c>
      <c r="FL8" s="49">
        <v>83</v>
      </c>
      <c r="FM8" s="50">
        <v>3.67</v>
      </c>
      <c r="FN8" s="49">
        <v>0.13</v>
      </c>
      <c r="FO8" s="50">
        <v>5.43</v>
      </c>
      <c r="FP8" s="3"/>
      <c r="FQ8" s="49">
        <v>4.7</v>
      </c>
      <c r="FR8" s="50">
        <v>5</v>
      </c>
      <c r="FS8" s="49">
        <v>6.6974999999999998</v>
      </c>
      <c r="FT8" s="49">
        <v>1079.5</v>
      </c>
      <c r="FU8" s="49">
        <v>6.84</v>
      </c>
      <c r="FV8" s="49">
        <v>11.48</v>
      </c>
      <c r="FW8" s="50">
        <v>3163.5</v>
      </c>
      <c r="FX8" s="49">
        <v>162400</v>
      </c>
      <c r="FY8" s="49">
        <v>162900</v>
      </c>
      <c r="FZ8" s="49">
        <v>48.268000000000001</v>
      </c>
      <c r="GA8" s="49">
        <v>47.744999999999997</v>
      </c>
      <c r="GB8" s="50">
        <v>2223.6999999999998</v>
      </c>
      <c r="GC8" s="49">
        <v>2151.3000000000002</v>
      </c>
      <c r="GD8" s="49">
        <v>2223.6999999999998</v>
      </c>
      <c r="GE8" s="49">
        <v>2185.8000000000002</v>
      </c>
      <c r="GF8" s="49">
        <v>1216.5469000000001</v>
      </c>
      <c r="GG8" s="49">
        <v>31</v>
      </c>
      <c r="GH8" s="49">
        <v>31.4</v>
      </c>
      <c r="GI8" s="49">
        <v>55</v>
      </c>
      <c r="GJ8" s="49">
        <v>58.7</v>
      </c>
      <c r="GK8" s="49">
        <v>99.5</v>
      </c>
      <c r="GL8" s="49">
        <v>78.7</v>
      </c>
      <c r="GM8" s="50">
        <v>0</v>
      </c>
      <c r="GN8" s="49">
        <v>26.463999999999999</v>
      </c>
      <c r="GO8" s="49">
        <v>99.93</v>
      </c>
      <c r="GP8" s="49">
        <v>0.53100000000000003</v>
      </c>
      <c r="GQ8" s="49">
        <v>2.0649999999999999</v>
      </c>
      <c r="GR8" s="49">
        <v>0.82599999999999996</v>
      </c>
      <c r="GS8" s="49">
        <v>2.0059999999999998</v>
      </c>
      <c r="GT8" s="49">
        <v>0.70799999999999996</v>
      </c>
      <c r="GU8" s="49">
        <v>1.8879999999999999</v>
      </c>
      <c r="GV8" s="49">
        <v>12.837999999999999</v>
      </c>
      <c r="GW8" s="49">
        <v>13.926</v>
      </c>
      <c r="GX8" s="49">
        <v>14.994</v>
      </c>
      <c r="GY8" s="50">
        <v>0</v>
      </c>
      <c r="GZ8" s="50">
        <v>0</v>
      </c>
      <c r="HA8" s="50">
        <v>0</v>
      </c>
      <c r="HB8" s="49">
        <v>0</v>
      </c>
      <c r="HC8" s="49">
        <v>23.097999999999999</v>
      </c>
      <c r="HD8" s="49">
        <v>78</v>
      </c>
      <c r="HE8" s="50">
        <v>0</v>
      </c>
      <c r="HF8" s="50">
        <v>0</v>
      </c>
      <c r="HG8" s="49">
        <v>76.06</v>
      </c>
      <c r="HH8" s="49">
        <v>82.76</v>
      </c>
      <c r="HI8" s="50">
        <v>0</v>
      </c>
      <c r="HJ8" s="50">
        <v>0</v>
      </c>
      <c r="HK8" s="50">
        <v>0</v>
      </c>
      <c r="HL8" s="49">
        <v>63</v>
      </c>
      <c r="HM8" s="49">
        <v>55</v>
      </c>
      <c r="HN8" s="49">
        <v>61</v>
      </c>
      <c r="HO8" s="49">
        <v>55</v>
      </c>
      <c r="HP8" s="49">
        <v>58</v>
      </c>
      <c r="HQ8" s="49">
        <v>56</v>
      </c>
      <c r="HR8" s="49">
        <v>48</v>
      </c>
      <c r="HS8" s="50">
        <v>62</v>
      </c>
      <c r="HT8" s="49">
        <v>-1.323</v>
      </c>
      <c r="HU8" s="50">
        <v>0</v>
      </c>
      <c r="HV8" s="50">
        <v>1.119</v>
      </c>
      <c r="HW8" s="50">
        <v>40.619999999999997</v>
      </c>
      <c r="HX8" s="50">
        <v>55.17</v>
      </c>
      <c r="HY8" s="50">
        <v>51.19</v>
      </c>
      <c r="HZ8" s="50">
        <v>62.52</v>
      </c>
      <c r="IA8" s="49">
        <v>2.6709999999999998</v>
      </c>
      <c r="IB8" s="50">
        <v>104</v>
      </c>
      <c r="IC8" s="49">
        <v>22.163</v>
      </c>
      <c r="ID8" s="49">
        <v>-0.378</v>
      </c>
      <c r="IE8" s="49">
        <v>-0.16500000000000001</v>
      </c>
      <c r="IF8" s="49">
        <v>807.8</v>
      </c>
      <c r="IG8" s="50">
        <v>752.2</v>
      </c>
      <c r="IH8" s="49">
        <v>813</v>
      </c>
      <c r="II8" s="49">
        <v>761.9</v>
      </c>
      <c r="IJ8" s="50">
        <v>0.107</v>
      </c>
      <c r="IK8" s="49">
        <v>3.5999999999999997E-2</v>
      </c>
      <c r="IL8" s="49">
        <v>76.426000000000002</v>
      </c>
      <c r="IM8" s="49">
        <v>76.426000000000002</v>
      </c>
      <c r="IN8" s="49">
        <v>10.122</v>
      </c>
      <c r="IO8" s="49">
        <v>0.32200000000000001</v>
      </c>
      <c r="IP8" s="49">
        <v>9.99</v>
      </c>
      <c r="IQ8" s="49">
        <v>1.2E-2</v>
      </c>
      <c r="IR8" s="49">
        <v>8.9999999999999993E-3</v>
      </c>
    </row>
    <row r="9" spans="2:252" x14ac:dyDescent="0.25">
      <c r="B9" s="2" t="s">
        <v>412</v>
      </c>
      <c r="C9" s="2" t="s">
        <v>43</v>
      </c>
      <c r="D9" s="61">
        <v>2.6239583333333336E-3</v>
      </c>
      <c r="E9" s="49">
        <v>226.76</v>
      </c>
      <c r="F9" s="49">
        <v>327.64</v>
      </c>
      <c r="G9" s="50">
        <v>5.84</v>
      </c>
      <c r="H9" s="49">
        <v>28.3</v>
      </c>
      <c r="I9" s="50">
        <v>0</v>
      </c>
      <c r="J9" s="49">
        <v>14.2</v>
      </c>
      <c r="K9" s="49">
        <v>8</v>
      </c>
      <c r="L9" s="49">
        <v>8</v>
      </c>
      <c r="M9" s="50">
        <v>6</v>
      </c>
      <c r="N9" s="50">
        <v>3</v>
      </c>
      <c r="O9" s="50">
        <v>3</v>
      </c>
      <c r="P9" s="50">
        <v>0.85</v>
      </c>
      <c r="Q9" s="50">
        <v>1.236</v>
      </c>
      <c r="R9" s="50">
        <v>0.86799999999999999</v>
      </c>
      <c r="S9" s="49">
        <v>0.72699999999999998</v>
      </c>
      <c r="T9" s="50">
        <v>86.41</v>
      </c>
      <c r="U9" s="49">
        <v>61.292999999999999</v>
      </c>
      <c r="V9" s="49">
        <v>233.34</v>
      </c>
      <c r="W9" s="49">
        <v>225</v>
      </c>
      <c r="X9" s="49">
        <v>152.5</v>
      </c>
      <c r="Y9" s="49">
        <v>195</v>
      </c>
      <c r="Z9" s="50">
        <v>382.86</v>
      </c>
      <c r="AA9" s="50">
        <v>375.49</v>
      </c>
      <c r="AB9" s="50">
        <v>280.35000000000002</v>
      </c>
      <c r="AC9" s="50">
        <v>341.88</v>
      </c>
      <c r="AD9" s="50">
        <v>1.7849999999999999</v>
      </c>
      <c r="AE9" s="49">
        <v>1.855</v>
      </c>
      <c r="AF9" s="50">
        <v>1.744</v>
      </c>
      <c r="AG9" s="50">
        <v>1.776</v>
      </c>
      <c r="AH9" s="50">
        <v>80.69</v>
      </c>
      <c r="AI9" s="50">
        <v>79.459999999999994</v>
      </c>
      <c r="AJ9" s="50">
        <v>100.37</v>
      </c>
      <c r="AK9" s="50">
        <v>97.71</v>
      </c>
      <c r="AL9" s="50">
        <v>630.88</v>
      </c>
      <c r="AM9" s="49">
        <v>636.29399999999998</v>
      </c>
      <c r="AN9" s="50">
        <v>749.77599999999995</v>
      </c>
      <c r="AO9" s="50">
        <v>746.52700000000004</v>
      </c>
      <c r="AP9" s="49">
        <v>1.359</v>
      </c>
      <c r="AQ9" s="49">
        <v>1.8280000000000001</v>
      </c>
      <c r="AR9" s="49">
        <v>41.360999999999997</v>
      </c>
      <c r="AS9" s="49">
        <v>39.531999999999996</v>
      </c>
      <c r="AT9" s="49">
        <v>83</v>
      </c>
      <c r="AU9" s="50">
        <v>117</v>
      </c>
      <c r="AV9" s="50">
        <v>1.8640000000000001</v>
      </c>
      <c r="AW9" s="49">
        <v>5.1772999999999998</v>
      </c>
      <c r="AX9" s="49">
        <v>1018.4</v>
      </c>
      <c r="AY9" s="49">
        <v>2.2599999999999998</v>
      </c>
      <c r="AZ9" s="49">
        <v>5.74</v>
      </c>
      <c r="BA9" s="49">
        <v>77.802999999999997</v>
      </c>
      <c r="BB9" s="49">
        <v>78.316999999999993</v>
      </c>
      <c r="BC9" s="49">
        <v>7813</v>
      </c>
      <c r="BD9" s="50">
        <v>89.5</v>
      </c>
      <c r="BE9" s="50">
        <v>16.89</v>
      </c>
      <c r="BF9" s="50">
        <v>15.025</v>
      </c>
      <c r="BG9" s="50">
        <v>28.42</v>
      </c>
      <c r="BH9" s="50">
        <v>27.53</v>
      </c>
      <c r="BI9" s="3"/>
      <c r="BJ9" s="3"/>
      <c r="BK9" s="3"/>
      <c r="BL9" s="3"/>
      <c r="BM9" s="3"/>
      <c r="BN9" s="49">
        <v>104.29600000000001</v>
      </c>
      <c r="BO9" s="49">
        <v>98.007999999999996</v>
      </c>
      <c r="BP9" s="49">
        <v>123.208</v>
      </c>
      <c r="BQ9" s="49">
        <v>125.208</v>
      </c>
      <c r="BR9" s="3"/>
      <c r="BS9" s="50">
        <v>28</v>
      </c>
      <c r="BT9" s="50">
        <v>7448.8360000000002</v>
      </c>
      <c r="BU9" s="49">
        <v>48.969000000000001</v>
      </c>
      <c r="BV9" s="49">
        <v>54.317</v>
      </c>
      <c r="BW9" s="49">
        <v>55.588000000000001</v>
      </c>
      <c r="BX9" s="49">
        <v>55.356000000000002</v>
      </c>
      <c r="BY9" s="50">
        <v>1.4330000000000001</v>
      </c>
      <c r="BZ9" s="50">
        <v>3.1389999999999998</v>
      </c>
      <c r="CA9" s="49">
        <v>3.6669999999999998</v>
      </c>
      <c r="CB9" s="49">
        <v>3.0750000000000002</v>
      </c>
      <c r="CC9" s="49">
        <v>0.93200000000000005</v>
      </c>
      <c r="CD9" s="50">
        <v>2.452</v>
      </c>
      <c r="CE9" s="49">
        <v>1.248</v>
      </c>
      <c r="CF9" s="49">
        <v>2.036</v>
      </c>
      <c r="CG9" s="49">
        <v>13.955</v>
      </c>
      <c r="CH9" s="49">
        <v>13.829000000000001</v>
      </c>
      <c r="CI9" s="49">
        <v>3.0259999999999998</v>
      </c>
      <c r="CJ9" s="49">
        <v>2.476</v>
      </c>
      <c r="CK9" s="49">
        <v>0.92900000000000005</v>
      </c>
      <c r="CL9" s="50">
        <v>0.1</v>
      </c>
      <c r="CM9" s="49">
        <v>0.8</v>
      </c>
      <c r="CN9" s="50">
        <v>0</v>
      </c>
      <c r="CO9" s="50">
        <v>0</v>
      </c>
      <c r="CP9" s="49">
        <v>96.620999999999995</v>
      </c>
      <c r="CQ9" s="49">
        <v>92.997</v>
      </c>
      <c r="CR9" s="50">
        <v>110.77200000000001</v>
      </c>
      <c r="CS9" s="50">
        <v>116.11199999999999</v>
      </c>
      <c r="CT9" s="50">
        <v>0.504</v>
      </c>
      <c r="CU9" s="49">
        <v>0.80200000000000005</v>
      </c>
      <c r="CV9" s="49">
        <v>0.99299999999999999</v>
      </c>
      <c r="CW9" s="49">
        <v>0.79900000000000004</v>
      </c>
      <c r="CX9" s="49">
        <v>1.401</v>
      </c>
      <c r="CY9" s="49">
        <v>0.79800000000000004</v>
      </c>
      <c r="CZ9" s="49">
        <v>0.90300000000000002</v>
      </c>
      <c r="DA9" s="49">
        <v>0.59899999999999998</v>
      </c>
      <c r="DB9" s="49">
        <v>1.3959999999999999</v>
      </c>
      <c r="DC9" s="50">
        <v>0</v>
      </c>
      <c r="DD9" s="50">
        <v>0</v>
      </c>
      <c r="DE9" s="49">
        <v>0.27400000000000002</v>
      </c>
      <c r="DF9" s="49">
        <v>0.13300000000000001</v>
      </c>
      <c r="DG9" s="49">
        <v>0.58599999999999997</v>
      </c>
      <c r="DH9" s="49">
        <v>1.66</v>
      </c>
      <c r="DI9" s="49">
        <v>0.94199999999999995</v>
      </c>
      <c r="DJ9" s="50">
        <v>0.35899999999999999</v>
      </c>
      <c r="DK9" s="50">
        <v>1.071</v>
      </c>
      <c r="DL9" s="49">
        <v>0.40500000000000003</v>
      </c>
      <c r="DM9" s="49">
        <v>0.503</v>
      </c>
      <c r="DN9" s="50">
        <v>0.63500000000000001</v>
      </c>
      <c r="DO9" s="49">
        <v>0.26400000000000001</v>
      </c>
      <c r="DP9" s="50">
        <v>69.557000000000002</v>
      </c>
      <c r="DQ9" s="49">
        <v>61.030999999999999</v>
      </c>
      <c r="DR9" s="50">
        <v>54.911999999999999</v>
      </c>
      <c r="DS9" s="49">
        <v>52.856999999999999</v>
      </c>
      <c r="DT9" s="49">
        <v>5.0999999999999996</v>
      </c>
      <c r="DU9" s="49">
        <v>4.9800000000000004</v>
      </c>
      <c r="DV9" s="49">
        <v>13.22</v>
      </c>
      <c r="DW9" s="49">
        <v>11.24</v>
      </c>
      <c r="DX9" s="49">
        <v>5.3</v>
      </c>
      <c r="DY9" s="49">
        <v>5.33</v>
      </c>
      <c r="DZ9" s="49">
        <v>12.66</v>
      </c>
      <c r="EA9" s="49">
        <v>11.31</v>
      </c>
      <c r="EB9" s="49">
        <v>42.71</v>
      </c>
      <c r="EC9" s="50">
        <v>42.62</v>
      </c>
      <c r="ED9" s="49">
        <v>31.4</v>
      </c>
      <c r="EE9" s="49">
        <v>33.89</v>
      </c>
      <c r="EF9" s="49">
        <v>46.89</v>
      </c>
      <c r="EG9" s="49">
        <v>47.07</v>
      </c>
      <c r="EH9" s="49">
        <v>42.72</v>
      </c>
      <c r="EI9" s="49">
        <v>43.56</v>
      </c>
      <c r="EJ9" s="49">
        <v>6.5279999999999996</v>
      </c>
      <c r="EK9" s="50">
        <v>59.902999999999999</v>
      </c>
      <c r="EL9" s="49">
        <v>2.0499999999999998</v>
      </c>
      <c r="EM9" s="49">
        <v>1.6</v>
      </c>
      <c r="EN9" s="49">
        <v>1.25</v>
      </c>
      <c r="EO9" s="49">
        <v>1.25</v>
      </c>
      <c r="EP9" s="49">
        <v>-106.22199999999999</v>
      </c>
      <c r="EQ9" s="49">
        <v>-2.6829999999999998</v>
      </c>
      <c r="ER9" s="49">
        <v>100.806</v>
      </c>
      <c r="ES9" s="49">
        <v>1.458</v>
      </c>
      <c r="ET9" s="49">
        <v>1.603</v>
      </c>
      <c r="EU9" s="49">
        <v>1.45</v>
      </c>
      <c r="EV9" s="50">
        <v>7.798</v>
      </c>
      <c r="EW9" s="50">
        <v>2.1629999999999998</v>
      </c>
      <c r="EX9" s="50">
        <v>71.52</v>
      </c>
      <c r="EY9" s="49">
        <v>3.9E-2</v>
      </c>
      <c r="EZ9" s="49">
        <v>0.34100000000000003</v>
      </c>
      <c r="FA9" s="50">
        <v>0</v>
      </c>
      <c r="FB9" s="49">
        <v>9.1890000000000001</v>
      </c>
      <c r="FC9" s="49">
        <v>70.453000000000003</v>
      </c>
      <c r="FD9" s="49">
        <v>66.210999999999999</v>
      </c>
      <c r="FE9" s="49">
        <v>76.94</v>
      </c>
      <c r="FF9" s="49">
        <v>75.924999999999997</v>
      </c>
      <c r="FG9" s="49">
        <v>0.91800000000000004</v>
      </c>
      <c r="FH9" s="49">
        <v>0.91800000000000004</v>
      </c>
      <c r="FI9" s="49">
        <v>0.997</v>
      </c>
      <c r="FJ9" s="49">
        <v>1.0009999999999999</v>
      </c>
      <c r="FK9" s="49">
        <v>0</v>
      </c>
      <c r="FL9" s="49">
        <v>83</v>
      </c>
      <c r="FM9" s="49">
        <v>3.6</v>
      </c>
      <c r="FN9" s="49">
        <v>0.06</v>
      </c>
      <c r="FO9" s="49">
        <v>5.46</v>
      </c>
      <c r="FP9" s="49">
        <v>4.1500000000000004</v>
      </c>
      <c r="FQ9" s="49">
        <v>4.5</v>
      </c>
      <c r="FR9" s="50">
        <v>5</v>
      </c>
      <c r="FS9" s="50">
        <v>6.7565</v>
      </c>
      <c r="FT9" s="50">
        <v>1081.9000000000001</v>
      </c>
      <c r="FU9" s="50">
        <v>6.9</v>
      </c>
      <c r="FV9" s="49">
        <v>17.32</v>
      </c>
      <c r="FW9" s="49">
        <v>3112.5</v>
      </c>
      <c r="FX9" s="49">
        <v>163500</v>
      </c>
      <c r="FY9" s="49">
        <v>164700</v>
      </c>
      <c r="FZ9" s="49">
        <v>47.792999999999999</v>
      </c>
      <c r="GA9" s="49">
        <v>47.201999999999998</v>
      </c>
      <c r="GB9" s="49">
        <v>2194.5</v>
      </c>
      <c r="GC9" s="49">
        <v>2216.1999999999998</v>
      </c>
      <c r="GD9" s="49">
        <v>2203.6999999999998</v>
      </c>
      <c r="GE9" s="49">
        <v>2216.1999999999998</v>
      </c>
      <c r="GF9" s="49">
        <v>1284.125</v>
      </c>
      <c r="GG9" s="49">
        <v>32</v>
      </c>
      <c r="GH9" s="49">
        <v>32.200000000000003</v>
      </c>
      <c r="GI9" s="49">
        <v>48.9</v>
      </c>
      <c r="GJ9" s="49">
        <v>54.1</v>
      </c>
      <c r="GK9" s="49">
        <v>99.5</v>
      </c>
      <c r="GL9" s="50">
        <v>87.3</v>
      </c>
      <c r="GM9" s="50">
        <v>0</v>
      </c>
      <c r="GN9" s="50">
        <v>28.202000000000002</v>
      </c>
      <c r="GO9" s="49">
        <v>106.22199999999999</v>
      </c>
      <c r="GP9" s="49">
        <v>0.53100000000000003</v>
      </c>
      <c r="GQ9" s="49">
        <v>1.9470000000000001</v>
      </c>
      <c r="GR9" s="49">
        <v>0.59</v>
      </c>
      <c r="GS9" s="49">
        <v>2.0059999999999998</v>
      </c>
      <c r="GT9" s="49">
        <v>0.59</v>
      </c>
      <c r="GU9" s="49">
        <v>1.8879999999999999</v>
      </c>
      <c r="GV9" s="49">
        <v>12.74</v>
      </c>
      <c r="GW9" s="49">
        <v>13.954000000000001</v>
      </c>
      <c r="GX9" s="49">
        <v>15.19</v>
      </c>
      <c r="GY9" s="50">
        <v>0</v>
      </c>
      <c r="GZ9" s="50">
        <v>0</v>
      </c>
      <c r="HA9" s="50">
        <v>0</v>
      </c>
      <c r="HB9" s="49">
        <v>0</v>
      </c>
      <c r="HC9" s="49">
        <v>23.331</v>
      </c>
      <c r="HD9" s="49">
        <v>82</v>
      </c>
      <c r="HE9" s="50">
        <v>0</v>
      </c>
      <c r="HF9" s="50">
        <v>0</v>
      </c>
      <c r="HG9" s="50">
        <v>78.3</v>
      </c>
      <c r="HH9" s="49">
        <v>83.22</v>
      </c>
      <c r="HI9" s="50">
        <v>0</v>
      </c>
      <c r="HJ9" s="50">
        <v>0</v>
      </c>
      <c r="HK9" s="50">
        <v>0</v>
      </c>
      <c r="HL9" s="49">
        <v>62</v>
      </c>
      <c r="HM9" s="49">
        <v>54</v>
      </c>
      <c r="HN9" s="49">
        <v>62</v>
      </c>
      <c r="HO9" s="49">
        <v>57</v>
      </c>
      <c r="HP9" s="49">
        <v>59</v>
      </c>
      <c r="HQ9" s="49">
        <v>58</v>
      </c>
      <c r="HR9" s="49">
        <v>49</v>
      </c>
      <c r="HS9" s="50">
        <v>62</v>
      </c>
      <c r="HT9" s="49">
        <v>-1.3125</v>
      </c>
      <c r="HU9" s="50">
        <v>0</v>
      </c>
      <c r="HV9" s="49">
        <v>0.74199999999999999</v>
      </c>
      <c r="HW9" s="49">
        <v>46.77</v>
      </c>
      <c r="HX9" s="49">
        <v>62.81</v>
      </c>
      <c r="HY9" s="49">
        <v>50.07</v>
      </c>
      <c r="HZ9" s="49">
        <v>55.69</v>
      </c>
      <c r="IA9" s="50">
        <v>2.8</v>
      </c>
      <c r="IB9" s="50">
        <v>104</v>
      </c>
      <c r="IC9" s="50">
        <v>22.349</v>
      </c>
      <c r="ID9" s="49">
        <v>-0.32900000000000001</v>
      </c>
      <c r="IE9" s="49">
        <v>-0.14299999999999999</v>
      </c>
      <c r="IF9" s="49">
        <v>804.3</v>
      </c>
      <c r="IG9" s="49">
        <v>750.2</v>
      </c>
      <c r="IH9" s="49">
        <v>813.5</v>
      </c>
      <c r="II9" s="50">
        <v>762.7</v>
      </c>
      <c r="IJ9" s="49">
        <v>9.9000000000000005E-2</v>
      </c>
      <c r="IK9" s="49">
        <v>1.9E-2</v>
      </c>
      <c r="IL9" s="49">
        <v>89.474999999999994</v>
      </c>
      <c r="IM9" s="49">
        <v>89.474999999999994</v>
      </c>
      <c r="IN9" s="49">
        <v>12.76</v>
      </c>
      <c r="IO9" s="50">
        <v>0.32800000000000001</v>
      </c>
      <c r="IP9" s="49">
        <v>9.91</v>
      </c>
      <c r="IQ9" s="49">
        <v>1.0999999999999999E-2</v>
      </c>
      <c r="IR9" s="49">
        <v>1.7000000000000001E-2</v>
      </c>
    </row>
    <row r="10" spans="2:252" x14ac:dyDescent="0.25">
      <c r="B10" s="2" t="s">
        <v>412</v>
      </c>
      <c r="C10" s="2" t="s">
        <v>44</v>
      </c>
      <c r="D10" s="61">
        <v>4.9342592592592589E-3</v>
      </c>
      <c r="E10" s="49">
        <v>426.31700000000001</v>
      </c>
      <c r="F10" s="49">
        <v>324.23</v>
      </c>
      <c r="G10" s="49">
        <v>-17.32</v>
      </c>
      <c r="H10" s="49">
        <v>28</v>
      </c>
      <c r="I10" s="50">
        <v>0</v>
      </c>
      <c r="J10" s="49">
        <v>13.3</v>
      </c>
      <c r="K10" s="49">
        <v>10</v>
      </c>
      <c r="L10" s="50">
        <v>9</v>
      </c>
      <c r="M10" s="50">
        <v>6</v>
      </c>
      <c r="N10" s="50">
        <v>3</v>
      </c>
      <c r="O10" s="50">
        <v>3</v>
      </c>
      <c r="P10" s="49">
        <v>0.68400000000000005</v>
      </c>
      <c r="Q10" s="49">
        <v>1.0620000000000001</v>
      </c>
      <c r="R10" s="49">
        <v>0.64600000000000002</v>
      </c>
      <c r="S10" s="3"/>
      <c r="T10" s="49">
        <v>67.55</v>
      </c>
      <c r="U10" s="49">
        <v>61.497999999999998</v>
      </c>
      <c r="V10" s="50">
        <v>80</v>
      </c>
      <c r="W10" s="50">
        <v>50</v>
      </c>
      <c r="X10" s="50">
        <v>90</v>
      </c>
      <c r="Y10" s="49">
        <v>100</v>
      </c>
      <c r="Z10" s="49">
        <v>199.88</v>
      </c>
      <c r="AA10" s="49">
        <v>195.06</v>
      </c>
      <c r="AB10" s="49">
        <v>143.19999999999999</v>
      </c>
      <c r="AC10" s="49">
        <v>170.12</v>
      </c>
      <c r="AD10" s="49">
        <v>1.665</v>
      </c>
      <c r="AE10" s="49">
        <v>1.758</v>
      </c>
      <c r="AF10" s="49">
        <v>1.5680000000000001</v>
      </c>
      <c r="AG10" s="49">
        <v>1.623</v>
      </c>
      <c r="AH10" s="49">
        <v>62.66</v>
      </c>
      <c r="AI10" s="49">
        <v>59.67</v>
      </c>
      <c r="AJ10" s="49">
        <v>74.239999999999995</v>
      </c>
      <c r="AK10" s="49">
        <v>74.34</v>
      </c>
      <c r="AL10" s="49">
        <v>504.18099999999998</v>
      </c>
      <c r="AM10" s="49">
        <v>558.85</v>
      </c>
      <c r="AN10" s="49">
        <v>675.47900000000004</v>
      </c>
      <c r="AO10" s="49">
        <v>658.45899999999995</v>
      </c>
      <c r="AP10" s="49">
        <v>1.3560000000000001</v>
      </c>
      <c r="AQ10" s="50">
        <v>1.8859999999999999</v>
      </c>
      <c r="AR10" s="49">
        <v>40.088000000000001</v>
      </c>
      <c r="AS10" s="50">
        <v>40.003</v>
      </c>
      <c r="AT10" s="49">
        <v>82</v>
      </c>
      <c r="AU10" s="49">
        <v>115</v>
      </c>
      <c r="AV10" s="49">
        <v>2.4710000000000001</v>
      </c>
      <c r="AW10" s="49">
        <v>5.1543000000000001</v>
      </c>
      <c r="AX10" s="49">
        <v>1009.5</v>
      </c>
      <c r="AY10" s="49">
        <v>2.23</v>
      </c>
      <c r="AZ10" s="49">
        <v>5.69</v>
      </c>
      <c r="BA10" s="49">
        <v>72.798000000000002</v>
      </c>
      <c r="BB10" s="49">
        <v>70.5</v>
      </c>
      <c r="BC10" s="49">
        <v>7669</v>
      </c>
      <c r="BD10" s="49">
        <v>88.25</v>
      </c>
      <c r="BE10" s="49">
        <v>12.935</v>
      </c>
      <c r="BF10" s="49">
        <v>12.955</v>
      </c>
      <c r="BG10" s="49">
        <v>24.96</v>
      </c>
      <c r="BH10" s="49">
        <v>25.2</v>
      </c>
      <c r="BI10" s="49">
        <v>65.486000000000004</v>
      </c>
      <c r="BJ10" s="50">
        <v>82.686000000000007</v>
      </c>
      <c r="BK10" s="49">
        <v>63.667000000000002</v>
      </c>
      <c r="BL10" s="50">
        <v>79.837999999999994</v>
      </c>
      <c r="BM10" s="50">
        <v>80.034000000000006</v>
      </c>
      <c r="BN10" s="49">
        <v>113.32</v>
      </c>
      <c r="BO10" s="49">
        <v>109.224</v>
      </c>
      <c r="BP10" s="50">
        <v>130.76</v>
      </c>
      <c r="BQ10" s="50">
        <v>133.32</v>
      </c>
      <c r="BR10" s="50">
        <v>61.128</v>
      </c>
      <c r="BS10" s="49">
        <v>27.5</v>
      </c>
      <c r="BT10" s="49">
        <v>6840.2979999999998</v>
      </c>
      <c r="BU10" s="49">
        <v>39.509</v>
      </c>
      <c r="BV10" s="49">
        <v>53.987000000000002</v>
      </c>
      <c r="BW10" s="50">
        <v>57.262</v>
      </c>
      <c r="BX10" s="49">
        <v>55.917000000000002</v>
      </c>
      <c r="BY10" s="49">
        <v>1.2849999999999999</v>
      </c>
      <c r="BZ10" s="49">
        <v>1.843</v>
      </c>
      <c r="CA10" s="49">
        <v>2.2930000000000001</v>
      </c>
      <c r="CB10" s="49">
        <v>2.1930000000000001</v>
      </c>
      <c r="CC10" s="49">
        <v>0.9</v>
      </c>
      <c r="CD10" s="49">
        <v>2.1760000000000002</v>
      </c>
      <c r="CE10" s="49">
        <v>1.349</v>
      </c>
      <c r="CF10" s="49">
        <v>1.958</v>
      </c>
      <c r="CG10" s="50">
        <v>13.997999999999999</v>
      </c>
      <c r="CH10" s="49">
        <v>13.567</v>
      </c>
      <c r="CI10" s="3"/>
      <c r="CJ10" s="3"/>
      <c r="CK10" s="3"/>
      <c r="CL10" s="49">
        <v>0</v>
      </c>
      <c r="CM10" s="49">
        <v>1.1000000000000001</v>
      </c>
      <c r="CN10" s="50">
        <v>0</v>
      </c>
      <c r="CO10" s="50">
        <v>0</v>
      </c>
      <c r="CP10" s="49">
        <v>88.221000000000004</v>
      </c>
      <c r="CQ10" s="49">
        <v>86.274000000000001</v>
      </c>
      <c r="CR10" s="49">
        <v>99.076999999999998</v>
      </c>
      <c r="CS10" s="49">
        <v>101.996</v>
      </c>
      <c r="CT10" s="49">
        <v>0.22700000000000001</v>
      </c>
      <c r="CU10" s="50">
        <v>6.24</v>
      </c>
      <c r="CV10" s="50">
        <v>5.7389999999999999</v>
      </c>
      <c r="CW10" s="50">
        <v>5.7389999999999999</v>
      </c>
      <c r="CX10" s="50">
        <v>6.2380000000000004</v>
      </c>
      <c r="CY10" s="50">
        <v>5.5359999999999996</v>
      </c>
      <c r="CZ10" s="50">
        <v>6.0369999999999999</v>
      </c>
      <c r="DA10" s="50">
        <v>5.742</v>
      </c>
      <c r="DB10" s="50">
        <v>6.54</v>
      </c>
      <c r="DC10" s="50">
        <v>0</v>
      </c>
      <c r="DD10" s="50">
        <v>0</v>
      </c>
      <c r="DE10" s="49">
        <v>0.13800000000000001</v>
      </c>
      <c r="DF10" s="49">
        <v>5.5E-2</v>
      </c>
      <c r="DG10" s="49">
        <v>0.373</v>
      </c>
      <c r="DH10" s="49">
        <v>1.367</v>
      </c>
      <c r="DI10" s="49">
        <v>0.61899999999999999</v>
      </c>
      <c r="DJ10" s="49">
        <v>0.126</v>
      </c>
      <c r="DK10" s="49">
        <v>0.79800000000000004</v>
      </c>
      <c r="DL10" s="50">
        <v>0.40799999999999997</v>
      </c>
      <c r="DM10" s="50">
        <v>0.80200000000000005</v>
      </c>
      <c r="DN10" s="49">
        <v>0.41499999999999998</v>
      </c>
      <c r="DO10" s="50">
        <v>0.36299999999999999</v>
      </c>
      <c r="DP10" s="49">
        <v>63.292999999999999</v>
      </c>
      <c r="DQ10" s="49">
        <v>60.378</v>
      </c>
      <c r="DR10" s="49">
        <v>50.837000000000003</v>
      </c>
      <c r="DS10" s="50">
        <v>55.01</v>
      </c>
      <c r="DT10" s="49">
        <v>1.36</v>
      </c>
      <c r="DU10" s="49">
        <v>1.61</v>
      </c>
      <c r="DV10" s="49">
        <v>4.21</v>
      </c>
      <c r="DW10" s="49">
        <v>3.84</v>
      </c>
      <c r="DX10" s="49">
        <v>1.45</v>
      </c>
      <c r="DY10" s="49">
        <v>1.65</v>
      </c>
      <c r="DZ10" s="49">
        <v>3.84</v>
      </c>
      <c r="EA10" s="49">
        <v>3.66</v>
      </c>
      <c r="EB10" s="50">
        <v>43.29</v>
      </c>
      <c r="EC10" s="49">
        <v>42.6</v>
      </c>
      <c r="ED10" s="50">
        <v>35.950000000000003</v>
      </c>
      <c r="EE10" s="50">
        <v>35.909999999999997</v>
      </c>
      <c r="EF10" s="49">
        <v>53.91</v>
      </c>
      <c r="EG10" s="49">
        <v>54.13</v>
      </c>
      <c r="EH10" s="49">
        <v>56</v>
      </c>
      <c r="EI10" s="49">
        <v>56.59</v>
      </c>
      <c r="EJ10" s="50">
        <v>6.5289999999999999</v>
      </c>
      <c r="EK10" s="49">
        <v>58.131999999999998</v>
      </c>
      <c r="EL10" s="49">
        <v>2.1</v>
      </c>
      <c r="EM10" s="49">
        <v>1.6</v>
      </c>
      <c r="EN10" s="50">
        <v>1.65</v>
      </c>
      <c r="EO10" s="50">
        <v>1.64</v>
      </c>
      <c r="EP10" s="49">
        <v>-62.421999999999997</v>
      </c>
      <c r="EQ10" s="50">
        <v>-0.223</v>
      </c>
      <c r="ER10" s="49">
        <v>63.722000000000001</v>
      </c>
      <c r="ES10" s="50">
        <v>1.5660000000000001</v>
      </c>
      <c r="ET10" s="50">
        <v>1.651</v>
      </c>
      <c r="EU10" s="50">
        <v>1.554</v>
      </c>
      <c r="EV10" s="49">
        <v>7.2290000000000001</v>
      </c>
      <c r="EW10" s="49">
        <v>1.3029999999999999</v>
      </c>
      <c r="EX10" s="49">
        <v>38.1</v>
      </c>
      <c r="EY10" s="50">
        <v>2.601</v>
      </c>
      <c r="EZ10" s="49">
        <v>0</v>
      </c>
      <c r="FA10" s="50">
        <v>0</v>
      </c>
      <c r="FB10" s="50">
        <v>9.4550000000000001</v>
      </c>
      <c r="FC10" s="49">
        <v>64.772000000000006</v>
      </c>
      <c r="FD10" s="49">
        <v>61.338000000000001</v>
      </c>
      <c r="FE10" s="49">
        <v>69.950999999999993</v>
      </c>
      <c r="FF10" s="49">
        <v>69.802999999999997</v>
      </c>
      <c r="FG10" s="49">
        <v>0.98499999999999999</v>
      </c>
      <c r="FH10" s="49">
        <v>0.93400000000000005</v>
      </c>
      <c r="FI10" s="50">
        <v>1.0129999999999999</v>
      </c>
      <c r="FJ10" s="50">
        <v>1.0149999999999999</v>
      </c>
      <c r="FK10" s="49">
        <v>0</v>
      </c>
      <c r="FL10" s="49">
        <v>82</v>
      </c>
      <c r="FM10" s="49">
        <v>3.46</v>
      </c>
      <c r="FN10" s="49">
        <v>-0.74</v>
      </c>
      <c r="FO10" s="49">
        <v>5.46</v>
      </c>
      <c r="FP10" s="49">
        <v>4.1500000000000004</v>
      </c>
      <c r="FQ10" s="49">
        <v>4.5</v>
      </c>
      <c r="FR10" s="49">
        <v>5.15</v>
      </c>
      <c r="FS10" s="49">
        <v>6.5345000000000004</v>
      </c>
      <c r="FT10" s="49">
        <v>1065.8</v>
      </c>
      <c r="FU10" s="49">
        <v>6.87</v>
      </c>
      <c r="FV10" s="50">
        <v>21.18</v>
      </c>
      <c r="FW10" s="49">
        <v>3130.5</v>
      </c>
      <c r="FX10" s="50">
        <v>167500</v>
      </c>
      <c r="FY10" s="50">
        <v>169200</v>
      </c>
      <c r="FZ10" s="50">
        <v>51.923999999999999</v>
      </c>
      <c r="GA10" s="50">
        <v>51.548000000000002</v>
      </c>
      <c r="GB10" s="49">
        <v>2130.1999999999998</v>
      </c>
      <c r="GC10" s="49">
        <v>2132.1999999999998</v>
      </c>
      <c r="GD10" s="49">
        <v>2184</v>
      </c>
      <c r="GE10" s="49">
        <v>2184.9</v>
      </c>
      <c r="GF10" s="50">
        <v>1594.3125</v>
      </c>
      <c r="GG10" s="49">
        <v>34</v>
      </c>
      <c r="GH10" s="49">
        <v>33.799999999999997</v>
      </c>
      <c r="GI10" s="49">
        <v>50</v>
      </c>
      <c r="GJ10" s="49">
        <v>56.5</v>
      </c>
      <c r="GK10" s="49">
        <v>99.5</v>
      </c>
      <c r="GL10" s="49">
        <v>75.099999999999994</v>
      </c>
      <c r="GM10" s="50">
        <v>0</v>
      </c>
      <c r="GN10" s="49">
        <v>25.542999999999999</v>
      </c>
      <c r="GO10" s="49">
        <v>63.722000000000001</v>
      </c>
      <c r="GP10" s="50">
        <v>0</v>
      </c>
      <c r="GQ10" s="49">
        <v>1.9470000000000001</v>
      </c>
      <c r="GR10" s="50">
        <v>0</v>
      </c>
      <c r="GS10" s="49">
        <v>2.0059999999999998</v>
      </c>
      <c r="GT10" s="50">
        <v>0</v>
      </c>
      <c r="GU10" s="49">
        <v>1.9470000000000001</v>
      </c>
      <c r="GV10" s="50">
        <v>0</v>
      </c>
      <c r="GW10" s="50">
        <v>14.068</v>
      </c>
      <c r="GX10" s="49">
        <v>16.170000000000002</v>
      </c>
      <c r="GY10" s="50">
        <v>0</v>
      </c>
      <c r="GZ10" s="50">
        <v>0</v>
      </c>
      <c r="HA10" s="50">
        <v>0</v>
      </c>
      <c r="HB10" s="49">
        <v>0</v>
      </c>
      <c r="HC10" s="50">
        <v>23.675999999999998</v>
      </c>
      <c r="HD10" s="50">
        <v>86</v>
      </c>
      <c r="HE10" s="50">
        <v>0</v>
      </c>
      <c r="HF10" s="50">
        <v>0</v>
      </c>
      <c r="HG10" s="49">
        <v>76.19</v>
      </c>
      <c r="HH10" s="49">
        <v>82.61</v>
      </c>
      <c r="HI10" s="50">
        <v>0</v>
      </c>
      <c r="HJ10" s="50">
        <v>0</v>
      </c>
      <c r="HK10" s="50">
        <v>0</v>
      </c>
      <c r="HL10" s="49">
        <v>62</v>
      </c>
      <c r="HM10" s="49">
        <v>53</v>
      </c>
      <c r="HN10" s="49">
        <v>64</v>
      </c>
      <c r="HO10" s="49">
        <v>58</v>
      </c>
      <c r="HP10" s="50">
        <v>60</v>
      </c>
      <c r="HQ10" s="49">
        <v>58</v>
      </c>
      <c r="HR10" s="49">
        <v>51</v>
      </c>
      <c r="HS10" s="50">
        <v>62</v>
      </c>
      <c r="HT10" s="50">
        <v>-1.357</v>
      </c>
      <c r="HU10" s="50">
        <v>0</v>
      </c>
      <c r="HV10" s="49">
        <v>-0.78</v>
      </c>
      <c r="HW10" s="49">
        <v>53.29</v>
      </c>
      <c r="HX10" s="49">
        <v>71.62</v>
      </c>
      <c r="HY10" s="3"/>
      <c r="HZ10" s="3"/>
      <c r="IA10" s="49">
        <v>1.9990000000000001</v>
      </c>
      <c r="IB10" s="49">
        <v>95</v>
      </c>
      <c r="IC10" s="49">
        <v>16.343</v>
      </c>
      <c r="ID10" s="49">
        <v>-5.3999999999999999E-2</v>
      </c>
      <c r="IE10" s="49">
        <v>-2.4E-2</v>
      </c>
      <c r="IF10" s="50">
        <v>808.7</v>
      </c>
      <c r="IG10" s="49">
        <v>587</v>
      </c>
      <c r="IH10" s="50">
        <v>828.5</v>
      </c>
      <c r="II10" s="49">
        <v>599.79999999999995</v>
      </c>
      <c r="IJ10" s="49">
        <v>5.7000000000000002E-2</v>
      </c>
      <c r="IK10" s="50">
        <v>5.3999999999999999E-2</v>
      </c>
      <c r="IL10" s="49">
        <v>317.68900000000002</v>
      </c>
      <c r="IM10" s="49">
        <v>317.68900000000002</v>
      </c>
      <c r="IN10" s="49">
        <v>13.379</v>
      </c>
      <c r="IO10" s="49">
        <v>0.114</v>
      </c>
      <c r="IP10" s="49">
        <v>10.039999999999999</v>
      </c>
      <c r="IQ10" s="49">
        <v>0</v>
      </c>
      <c r="IR10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22A2A-5D6A-4465-A7C1-21193649C2E2}">
  <sheetPr codeName="Sheet7"/>
  <dimension ref="B1:IR11"/>
  <sheetViews>
    <sheetView zoomScale="85" zoomScaleNormal="85" workbookViewId="0">
      <selection activeCell="D12" sqref="D12"/>
    </sheetView>
  </sheetViews>
  <sheetFormatPr defaultRowHeight="15" x14ac:dyDescent="0.25"/>
  <sheetData>
    <row r="1" spans="2:252" x14ac:dyDescent="0.25">
      <c r="B1" t="s">
        <v>359</v>
      </c>
      <c r="C1" t="s">
        <v>416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6" t="s">
        <v>421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5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5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5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5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5"/>
    </row>
    <row r="7" spans="2:252" x14ac:dyDescent="0.25">
      <c r="B7" s="2" t="s">
        <v>412</v>
      </c>
      <c r="C7" s="2" t="s">
        <v>41</v>
      </c>
      <c r="D7" s="61">
        <v>4.220949074074074E-3</v>
      </c>
      <c r="E7" s="50">
        <v>364.68900000000002</v>
      </c>
      <c r="F7" s="49">
        <v>326.74</v>
      </c>
      <c r="G7" s="49">
        <v>4.72</v>
      </c>
      <c r="H7" s="49">
        <v>27.8</v>
      </c>
      <c r="I7" s="50">
        <v>3.1190000000000002</v>
      </c>
      <c r="J7" s="50">
        <v>34.5</v>
      </c>
      <c r="K7" s="50">
        <v>9</v>
      </c>
      <c r="L7" s="50">
        <v>8</v>
      </c>
      <c r="M7" s="50">
        <v>6</v>
      </c>
      <c r="N7" s="50">
        <v>3</v>
      </c>
      <c r="O7" s="50">
        <v>3</v>
      </c>
      <c r="P7" s="49">
        <v>1.0049999999999999</v>
      </c>
      <c r="Q7" s="49">
        <v>0.98299999999999998</v>
      </c>
      <c r="R7" s="50">
        <v>1.849</v>
      </c>
      <c r="S7" s="3"/>
      <c r="T7" s="49">
        <v>62.64</v>
      </c>
      <c r="U7" s="50">
        <v>63.218000000000004</v>
      </c>
      <c r="V7" s="49">
        <v>150</v>
      </c>
      <c r="W7" s="49">
        <v>137.5</v>
      </c>
      <c r="X7" s="49">
        <v>110</v>
      </c>
      <c r="Y7" s="49">
        <v>122.5</v>
      </c>
      <c r="Z7" s="49">
        <v>278.45999999999998</v>
      </c>
      <c r="AA7" s="49">
        <v>275.73</v>
      </c>
      <c r="AB7" s="49">
        <v>157.22</v>
      </c>
      <c r="AC7" s="49">
        <v>196.7</v>
      </c>
      <c r="AD7" s="49">
        <v>1.6539999999999999</v>
      </c>
      <c r="AE7" s="49">
        <v>1.746</v>
      </c>
      <c r="AF7" s="49">
        <v>1.5049999999999999</v>
      </c>
      <c r="AG7" s="49">
        <v>1.56</v>
      </c>
      <c r="AH7" s="49">
        <v>61.46</v>
      </c>
      <c r="AI7" s="49">
        <v>58.45</v>
      </c>
      <c r="AJ7" s="49">
        <v>71.39</v>
      </c>
      <c r="AK7" s="49">
        <v>70.3</v>
      </c>
      <c r="AL7" s="49">
        <v>539.53</v>
      </c>
      <c r="AM7" s="49">
        <v>556.66800000000001</v>
      </c>
      <c r="AN7" s="49">
        <v>614.90499999999997</v>
      </c>
      <c r="AO7" s="49">
        <v>591.52499999999998</v>
      </c>
      <c r="AP7" s="49">
        <v>1.3240000000000001</v>
      </c>
      <c r="AQ7" s="49">
        <v>1.8089999999999999</v>
      </c>
      <c r="AR7" s="50">
        <v>44.110999999999997</v>
      </c>
      <c r="AS7" s="50">
        <v>40.716000000000001</v>
      </c>
      <c r="AT7" s="50">
        <v>83</v>
      </c>
      <c r="AU7" s="49">
        <v>103</v>
      </c>
      <c r="AV7" s="49">
        <v>2.9580000000000002</v>
      </c>
      <c r="AW7" s="49">
        <v>4.7058</v>
      </c>
      <c r="AX7" s="49">
        <v>1011.7</v>
      </c>
      <c r="AY7" s="50">
        <v>2.38</v>
      </c>
      <c r="AZ7" s="49">
        <v>5.66</v>
      </c>
      <c r="BA7" s="49">
        <v>71.305999999999997</v>
      </c>
      <c r="BB7" s="49">
        <v>72.305999999999997</v>
      </c>
      <c r="BC7" s="49">
        <v>7731</v>
      </c>
      <c r="BD7" s="49">
        <v>88.5</v>
      </c>
      <c r="BE7" s="49">
        <v>14.96</v>
      </c>
      <c r="BF7" s="49">
        <v>11.16</v>
      </c>
      <c r="BG7" s="49">
        <v>27.29</v>
      </c>
      <c r="BH7" s="49">
        <v>26.85</v>
      </c>
      <c r="BI7" s="49">
        <v>65.394000000000005</v>
      </c>
      <c r="BJ7" s="50">
        <v>81.995000000000005</v>
      </c>
      <c r="BK7" s="49">
        <v>63.639000000000003</v>
      </c>
      <c r="BL7" s="50">
        <v>79.256</v>
      </c>
      <c r="BM7" s="49">
        <v>79.426000000000002</v>
      </c>
      <c r="BN7" s="49">
        <v>108.712</v>
      </c>
      <c r="BO7" s="49">
        <v>107.032</v>
      </c>
      <c r="BP7" s="49">
        <v>95.224000000000004</v>
      </c>
      <c r="BQ7" s="49">
        <v>101.88</v>
      </c>
      <c r="BR7" s="49">
        <v>59.515999999999998</v>
      </c>
      <c r="BS7" s="49">
        <v>27.4</v>
      </c>
      <c r="BT7" s="49">
        <v>7226.9840000000004</v>
      </c>
      <c r="BU7" s="49">
        <v>46.591999999999999</v>
      </c>
      <c r="BV7" s="50">
        <v>55.582000000000001</v>
      </c>
      <c r="BW7" s="49">
        <v>54.893000000000001</v>
      </c>
      <c r="BX7" s="50">
        <v>58.926000000000002</v>
      </c>
      <c r="BY7" s="49">
        <v>1.4450000000000001</v>
      </c>
      <c r="BZ7" s="49">
        <v>2.4359999999999999</v>
      </c>
      <c r="CA7" s="49">
        <v>2.306</v>
      </c>
      <c r="CB7" s="49">
        <v>2.7509999999999999</v>
      </c>
      <c r="CC7" s="49">
        <v>0.95799999999999996</v>
      </c>
      <c r="CD7" s="49">
        <v>1.9790000000000001</v>
      </c>
      <c r="CE7" s="49">
        <v>1.2330000000000001</v>
      </c>
      <c r="CF7" s="49">
        <v>2.0089999999999999</v>
      </c>
      <c r="CG7" s="49">
        <v>13.914999999999999</v>
      </c>
      <c r="CH7" s="50">
        <v>10.404999999999999</v>
      </c>
      <c r="CI7" s="49">
        <v>2.3690000000000002</v>
      </c>
      <c r="CJ7" s="49">
        <v>2.2589999999999999</v>
      </c>
      <c r="CK7" s="49">
        <v>1.2949999999999999</v>
      </c>
      <c r="CL7" s="49">
        <v>0</v>
      </c>
      <c r="CM7" s="49">
        <v>0</v>
      </c>
      <c r="CN7" s="50">
        <v>0</v>
      </c>
      <c r="CO7" s="50">
        <v>0</v>
      </c>
      <c r="CP7" s="49">
        <v>95.415999999999997</v>
      </c>
      <c r="CQ7" s="49">
        <v>93.515000000000001</v>
      </c>
      <c r="CR7" s="49">
        <v>84.012</v>
      </c>
      <c r="CS7" s="49">
        <v>88.71</v>
      </c>
      <c r="CT7" s="49">
        <v>0.373</v>
      </c>
      <c r="CU7" s="49">
        <v>0.79900000000000004</v>
      </c>
      <c r="CV7" s="49">
        <v>1.4</v>
      </c>
      <c r="CW7" s="50">
        <v>1.5</v>
      </c>
      <c r="CX7" s="49">
        <v>1.298</v>
      </c>
      <c r="CY7" s="49">
        <v>0.90200000000000002</v>
      </c>
      <c r="CZ7" s="49">
        <v>1.099</v>
      </c>
      <c r="DA7" s="49">
        <v>0.59899999999999998</v>
      </c>
      <c r="DB7" s="49">
        <v>1.5</v>
      </c>
      <c r="DC7" s="50">
        <v>6.0000000000000001E-3</v>
      </c>
      <c r="DD7" s="50">
        <v>0</v>
      </c>
      <c r="DE7" s="49">
        <v>0.20399999999999999</v>
      </c>
      <c r="DF7" s="49">
        <v>1.7999999999999999E-2</v>
      </c>
      <c r="DG7" s="49">
        <v>0.28399999999999997</v>
      </c>
      <c r="DH7" s="49">
        <v>2.1</v>
      </c>
      <c r="DI7" s="49">
        <v>0.71299999999999997</v>
      </c>
      <c r="DJ7" s="49">
        <v>0.189</v>
      </c>
      <c r="DK7" s="49">
        <v>0.876</v>
      </c>
      <c r="DL7" s="50">
        <v>0.40899999999999997</v>
      </c>
      <c r="DM7" s="49">
        <v>0.51600000000000001</v>
      </c>
      <c r="DN7" s="49">
        <v>0.70499999999999996</v>
      </c>
      <c r="DO7" s="49">
        <v>0.66600000000000004</v>
      </c>
      <c r="DP7" s="49">
        <v>63.497999999999998</v>
      </c>
      <c r="DQ7" s="50">
        <v>64.287000000000006</v>
      </c>
      <c r="DR7" s="49">
        <v>54.988</v>
      </c>
      <c r="DS7" s="49">
        <v>51.914000000000001</v>
      </c>
      <c r="DT7" s="49">
        <v>2.59</v>
      </c>
      <c r="DU7" s="49">
        <v>2.69</v>
      </c>
      <c r="DV7" s="49">
        <v>5.5</v>
      </c>
      <c r="DW7" s="49">
        <v>5.01</v>
      </c>
      <c r="DX7" s="49">
        <v>2.64</v>
      </c>
      <c r="DY7" s="49">
        <v>2.57</v>
      </c>
      <c r="DZ7" s="49">
        <v>5.23</v>
      </c>
      <c r="EA7" s="49">
        <v>4.74</v>
      </c>
      <c r="EB7" s="49">
        <v>39.049999999999997</v>
      </c>
      <c r="EC7" s="49">
        <v>39</v>
      </c>
      <c r="ED7" s="49">
        <v>33.39</v>
      </c>
      <c r="EE7" s="49">
        <v>33.229999999999997</v>
      </c>
      <c r="EF7" s="50">
        <v>55.72</v>
      </c>
      <c r="EG7" s="50">
        <v>55.74</v>
      </c>
      <c r="EH7" s="50">
        <v>55.88</v>
      </c>
      <c r="EI7" s="50">
        <v>57.02</v>
      </c>
      <c r="EJ7" s="49">
        <v>5.9589999999999996</v>
      </c>
      <c r="EK7" s="49">
        <v>58.49</v>
      </c>
      <c r="EL7" s="50">
        <v>2.25</v>
      </c>
      <c r="EM7" s="49">
        <v>1.65</v>
      </c>
      <c r="EN7" s="49">
        <v>1.41</v>
      </c>
      <c r="EO7" s="49">
        <v>1.41</v>
      </c>
      <c r="EP7" s="49">
        <v>-97.462000000000003</v>
      </c>
      <c r="EQ7" s="49">
        <v>-1.07</v>
      </c>
      <c r="ER7" s="49">
        <v>73.650000000000006</v>
      </c>
      <c r="ES7" s="49">
        <v>1.399</v>
      </c>
      <c r="ET7" s="49">
        <v>1.494</v>
      </c>
      <c r="EU7" s="49">
        <v>1.3859999999999999</v>
      </c>
      <c r="EV7" s="49">
        <v>7.2869999999999999</v>
      </c>
      <c r="EW7" s="49">
        <v>1.5489999999999999</v>
      </c>
      <c r="EX7" s="49">
        <v>-196.62</v>
      </c>
      <c r="EY7" s="50">
        <v>9.8350000000000009</v>
      </c>
      <c r="EZ7" s="49">
        <v>0</v>
      </c>
      <c r="FA7" s="50">
        <v>0</v>
      </c>
      <c r="FB7" s="49">
        <v>8.7449999999999992</v>
      </c>
      <c r="FC7" s="49">
        <v>57.13</v>
      </c>
      <c r="FD7" s="49">
        <v>54.816000000000003</v>
      </c>
      <c r="FE7" s="49">
        <v>57.643999999999998</v>
      </c>
      <c r="FF7" s="49">
        <v>57.854999999999997</v>
      </c>
      <c r="FG7" s="50">
        <v>0.95599999999999996</v>
      </c>
      <c r="FH7" s="50">
        <v>0.96</v>
      </c>
      <c r="FI7" s="49">
        <v>1.008</v>
      </c>
      <c r="FJ7" s="49">
        <v>1.0089999999999999</v>
      </c>
      <c r="FK7" s="50">
        <v>0.10100000000000001</v>
      </c>
      <c r="FL7" s="50">
        <v>84</v>
      </c>
      <c r="FM7" s="49">
        <v>3.33</v>
      </c>
      <c r="FN7" s="49">
        <v>-0.67</v>
      </c>
      <c r="FO7" s="49">
        <v>5.44</v>
      </c>
      <c r="FP7" s="49">
        <v>4.55</v>
      </c>
      <c r="FQ7" s="50">
        <v>3.65</v>
      </c>
      <c r="FR7" s="49">
        <v>5.15</v>
      </c>
      <c r="FS7" s="49">
        <v>6.2515000000000001</v>
      </c>
      <c r="FT7" s="49">
        <v>1069.2</v>
      </c>
      <c r="FU7" s="49">
        <v>6.82</v>
      </c>
      <c r="FV7" s="49">
        <v>4.72</v>
      </c>
      <c r="FW7" s="50">
        <v>3264.5</v>
      </c>
      <c r="FX7" s="49">
        <v>164100</v>
      </c>
      <c r="FY7" s="49">
        <v>165700</v>
      </c>
      <c r="FZ7" s="49">
        <v>49.765000000000001</v>
      </c>
      <c r="GA7" s="49">
        <v>49.281999999999996</v>
      </c>
      <c r="GB7" s="50">
        <v>2356.6999999999998</v>
      </c>
      <c r="GC7" s="49">
        <v>2255.6999999999998</v>
      </c>
      <c r="GD7" s="50">
        <v>2356.6999999999998</v>
      </c>
      <c r="GE7" s="49">
        <v>2255.6999999999998</v>
      </c>
      <c r="GF7" s="49">
        <v>1542.25</v>
      </c>
      <c r="GG7" s="49">
        <v>35</v>
      </c>
      <c r="GH7" s="49">
        <v>34.6</v>
      </c>
      <c r="GI7" s="49">
        <v>50.8</v>
      </c>
      <c r="GJ7" s="49">
        <v>56.8</v>
      </c>
      <c r="GK7" s="50">
        <v>98.5</v>
      </c>
      <c r="GL7" s="49">
        <v>78.8</v>
      </c>
      <c r="GM7" s="50">
        <v>0</v>
      </c>
      <c r="GN7" s="49">
        <v>26.638000000000002</v>
      </c>
      <c r="GO7" s="49">
        <v>97.462000000000003</v>
      </c>
      <c r="GP7" s="50">
        <v>0</v>
      </c>
      <c r="GQ7" s="50">
        <v>4.5430000000000001</v>
      </c>
      <c r="GR7" s="50">
        <v>0</v>
      </c>
      <c r="GS7" s="50">
        <v>4.8970000000000002</v>
      </c>
      <c r="GT7" s="50">
        <v>0</v>
      </c>
      <c r="GU7" s="50">
        <v>4.3659999999999997</v>
      </c>
      <c r="GV7" s="50">
        <v>0</v>
      </c>
      <c r="GW7" s="49">
        <v>12.797000000000001</v>
      </c>
      <c r="GX7" s="50">
        <v>20.09</v>
      </c>
      <c r="GY7" s="50">
        <v>0</v>
      </c>
      <c r="GZ7" s="50">
        <v>0</v>
      </c>
      <c r="HA7" s="50">
        <v>0</v>
      </c>
      <c r="HB7" s="50">
        <v>1</v>
      </c>
      <c r="HC7" s="49">
        <v>22.771000000000001</v>
      </c>
      <c r="HD7" s="50">
        <v>86</v>
      </c>
      <c r="HE7" s="50">
        <v>0</v>
      </c>
      <c r="HF7" s="50">
        <v>0</v>
      </c>
      <c r="HG7" s="50">
        <v>91.05</v>
      </c>
      <c r="HH7" s="50">
        <v>94.09</v>
      </c>
      <c r="HI7" s="50">
        <v>0</v>
      </c>
      <c r="HJ7" s="50">
        <v>0</v>
      </c>
      <c r="HK7" s="50">
        <v>0</v>
      </c>
      <c r="HL7" s="50">
        <v>62</v>
      </c>
      <c r="HM7" s="50">
        <v>53</v>
      </c>
      <c r="HN7" s="49">
        <v>64</v>
      </c>
      <c r="HO7" s="49">
        <v>58</v>
      </c>
      <c r="HP7" s="49">
        <v>61</v>
      </c>
      <c r="HQ7" s="49">
        <v>59</v>
      </c>
      <c r="HR7" s="49">
        <v>52</v>
      </c>
      <c r="HS7" s="49">
        <v>58</v>
      </c>
      <c r="HT7" s="49">
        <v>-1.3334999999999999</v>
      </c>
      <c r="HU7" s="50">
        <v>0</v>
      </c>
      <c r="HV7" s="49">
        <v>-0.61599999999999999</v>
      </c>
      <c r="HW7" s="49">
        <v>53.99</v>
      </c>
      <c r="HX7" s="49">
        <v>64.45</v>
      </c>
      <c r="HY7" s="3"/>
      <c r="HZ7" s="3"/>
      <c r="IA7" s="49">
        <v>2.4180000000000001</v>
      </c>
      <c r="IB7" s="49">
        <v>98</v>
      </c>
      <c r="IC7" s="49">
        <v>18.274000000000001</v>
      </c>
      <c r="ID7" s="50">
        <v>-4.3999999999999997E-2</v>
      </c>
      <c r="IE7" s="50">
        <v>-1.7999999999999999E-2</v>
      </c>
      <c r="IF7" s="49">
        <v>797.2</v>
      </c>
      <c r="IG7" s="49">
        <v>640.4</v>
      </c>
      <c r="IH7" s="49">
        <v>803.7</v>
      </c>
      <c r="II7" s="49">
        <v>654.9</v>
      </c>
      <c r="IJ7" s="49">
        <v>1.9E-2</v>
      </c>
      <c r="IK7" s="49">
        <v>0.01</v>
      </c>
      <c r="IL7" s="50">
        <v>249.6</v>
      </c>
      <c r="IM7" s="50">
        <v>249.6</v>
      </c>
      <c r="IN7" s="50">
        <v>14.72</v>
      </c>
      <c r="IO7" s="49">
        <v>9.2999999999999999E-2</v>
      </c>
      <c r="IP7" s="50">
        <v>10.119999999999999</v>
      </c>
      <c r="IQ7" s="49">
        <v>5.0000000000000001E-3</v>
      </c>
      <c r="IR7" s="50">
        <v>1.2999999999999999E-2</v>
      </c>
    </row>
    <row r="8" spans="2:252" x14ac:dyDescent="0.25">
      <c r="B8" s="2" t="s">
        <v>412</v>
      </c>
      <c r="C8" s="2" t="s">
        <v>42</v>
      </c>
      <c r="D8" s="61">
        <v>3.9473379629629624E-3</v>
      </c>
      <c r="E8" s="49">
        <v>341.03</v>
      </c>
      <c r="F8" s="49">
        <v>324.05</v>
      </c>
      <c r="G8" s="49">
        <v>4.8</v>
      </c>
      <c r="H8" s="49">
        <v>27.5</v>
      </c>
      <c r="I8" s="49">
        <v>0</v>
      </c>
      <c r="J8" s="49">
        <v>17.2</v>
      </c>
      <c r="K8" s="50">
        <v>9</v>
      </c>
      <c r="L8" s="50">
        <v>8</v>
      </c>
      <c r="M8" s="50">
        <v>6</v>
      </c>
      <c r="N8" s="50">
        <v>3</v>
      </c>
      <c r="O8" s="50">
        <v>3</v>
      </c>
      <c r="P8" s="50">
        <v>1.01</v>
      </c>
      <c r="Q8" s="50">
        <v>1.9830000000000001</v>
      </c>
      <c r="R8" s="49">
        <v>0.82099999999999995</v>
      </c>
      <c r="S8" s="49">
        <v>0.68600000000000005</v>
      </c>
      <c r="T8" s="49">
        <v>55.7</v>
      </c>
      <c r="U8" s="49">
        <v>61.423999999999999</v>
      </c>
      <c r="V8" s="50">
        <v>50</v>
      </c>
      <c r="W8" s="50">
        <v>40</v>
      </c>
      <c r="X8" s="50">
        <v>80</v>
      </c>
      <c r="Y8" s="50">
        <v>80</v>
      </c>
      <c r="Z8" s="49">
        <v>188.97</v>
      </c>
      <c r="AA8" s="49">
        <v>183.43</v>
      </c>
      <c r="AB8" s="49">
        <v>126.05</v>
      </c>
      <c r="AC8" s="49">
        <v>148.25</v>
      </c>
      <c r="AD8" s="49">
        <v>1.5780000000000001</v>
      </c>
      <c r="AE8" s="49">
        <v>1.671</v>
      </c>
      <c r="AF8" s="49">
        <v>1.413</v>
      </c>
      <c r="AG8" s="49">
        <v>1.466</v>
      </c>
      <c r="AH8" s="49">
        <v>50.87</v>
      </c>
      <c r="AI8" s="49">
        <v>49.22</v>
      </c>
      <c r="AJ8" s="49">
        <v>59.55</v>
      </c>
      <c r="AK8" s="49">
        <v>58.82</v>
      </c>
      <c r="AL8" s="49">
        <v>556.87400000000002</v>
      </c>
      <c r="AM8" s="49">
        <v>562.74199999999996</v>
      </c>
      <c r="AN8" s="49">
        <v>638.29499999999996</v>
      </c>
      <c r="AO8" s="49">
        <v>659.87599999999998</v>
      </c>
      <c r="AP8" s="49">
        <v>1.3360000000000001</v>
      </c>
      <c r="AQ8" s="49">
        <v>1.81</v>
      </c>
      <c r="AR8" s="49">
        <v>42.622</v>
      </c>
      <c r="AS8" s="49">
        <v>37.804000000000002</v>
      </c>
      <c r="AT8" s="49">
        <v>82</v>
      </c>
      <c r="AU8" s="49">
        <v>98</v>
      </c>
      <c r="AV8" s="49">
        <v>2.2715000000000001</v>
      </c>
      <c r="AW8" s="49">
        <v>4.9657</v>
      </c>
      <c r="AX8" s="49">
        <v>1007.7</v>
      </c>
      <c r="AY8" s="49">
        <v>2.2400000000000002</v>
      </c>
      <c r="AZ8" s="49">
        <v>5.59</v>
      </c>
      <c r="BA8" s="49">
        <v>72.599999999999994</v>
      </c>
      <c r="BB8" s="49">
        <v>73.900000000000006</v>
      </c>
      <c r="BC8" s="49">
        <v>7737</v>
      </c>
      <c r="BD8" s="50">
        <v>89.75</v>
      </c>
      <c r="BE8" s="49">
        <v>13.664999999999999</v>
      </c>
      <c r="BF8" s="49">
        <v>11.525</v>
      </c>
      <c r="BG8" s="49">
        <v>26.17</v>
      </c>
      <c r="BH8" s="49">
        <v>25.94</v>
      </c>
      <c r="BI8" s="3"/>
      <c r="BJ8" s="3"/>
      <c r="BK8" s="3"/>
      <c r="BL8" s="3"/>
      <c r="BM8" s="3"/>
      <c r="BN8" s="49">
        <v>103.208</v>
      </c>
      <c r="BO8" s="49">
        <v>98.488</v>
      </c>
      <c r="BP8" s="49">
        <v>88.135999999999996</v>
      </c>
      <c r="BQ8" s="49">
        <v>93.367999999999995</v>
      </c>
      <c r="BR8" s="3"/>
      <c r="BS8" s="49">
        <v>27.3</v>
      </c>
      <c r="BT8" s="49">
        <v>7290.7129999999997</v>
      </c>
      <c r="BU8" s="49">
        <v>44.293999999999997</v>
      </c>
      <c r="BV8" s="49">
        <v>54.652000000000001</v>
      </c>
      <c r="BW8" s="50">
        <v>55.906999999999996</v>
      </c>
      <c r="BX8" s="49">
        <v>56.95</v>
      </c>
      <c r="BY8" s="49">
        <v>1.335</v>
      </c>
      <c r="BZ8" s="49">
        <v>2.4889999999999999</v>
      </c>
      <c r="CA8" s="49">
        <v>2.5870000000000002</v>
      </c>
      <c r="CB8" s="49">
        <v>4.1740000000000004</v>
      </c>
      <c r="CC8" s="49">
        <v>0.90100000000000002</v>
      </c>
      <c r="CD8" s="49">
        <v>2.0449999999999999</v>
      </c>
      <c r="CE8" s="50">
        <v>1.3169999999999999</v>
      </c>
      <c r="CF8" s="50">
        <v>2.15</v>
      </c>
      <c r="CG8" s="50">
        <v>13.983000000000001</v>
      </c>
      <c r="CH8" s="49">
        <v>13.826000000000001</v>
      </c>
      <c r="CI8" s="49">
        <v>3.254</v>
      </c>
      <c r="CJ8" s="49">
        <v>2.698</v>
      </c>
      <c r="CK8" s="49">
        <v>1.504</v>
      </c>
      <c r="CL8" s="49">
        <v>0</v>
      </c>
      <c r="CM8" s="49">
        <v>0.3</v>
      </c>
      <c r="CN8" s="50">
        <v>0</v>
      </c>
      <c r="CO8" s="50">
        <v>0</v>
      </c>
      <c r="CP8" s="49">
        <v>76.325000000000003</v>
      </c>
      <c r="CQ8" s="49">
        <v>74.010999999999996</v>
      </c>
      <c r="CR8" s="49">
        <v>70.13</v>
      </c>
      <c r="CS8" s="49">
        <v>74.073999999999998</v>
      </c>
      <c r="CT8" s="49">
        <v>0.33600000000000002</v>
      </c>
      <c r="CU8" s="50">
        <v>0.999</v>
      </c>
      <c r="CV8" s="50">
        <v>1.498</v>
      </c>
      <c r="CW8" s="49">
        <v>1.296</v>
      </c>
      <c r="CX8" s="49">
        <v>1.796</v>
      </c>
      <c r="CY8" s="50">
        <v>1.6930000000000001</v>
      </c>
      <c r="CZ8" s="49">
        <v>0.501</v>
      </c>
      <c r="DA8" s="49">
        <v>0.69899999999999995</v>
      </c>
      <c r="DB8" s="49">
        <v>1.498</v>
      </c>
      <c r="DC8" s="49">
        <v>0</v>
      </c>
      <c r="DD8" s="50">
        <v>0</v>
      </c>
      <c r="DE8" s="49">
        <v>0.252</v>
      </c>
      <c r="DF8" s="49">
        <v>0.109</v>
      </c>
      <c r="DG8" s="49">
        <v>1.2210000000000001</v>
      </c>
      <c r="DH8" s="50">
        <v>3.7</v>
      </c>
      <c r="DI8" s="49">
        <v>0.68200000000000005</v>
      </c>
      <c r="DJ8" s="49">
        <v>0.11899999999999999</v>
      </c>
      <c r="DK8" s="49">
        <v>1.0109999999999999</v>
      </c>
      <c r="DL8" s="49">
        <v>0.40200000000000002</v>
      </c>
      <c r="DM8" s="50">
        <v>0.69</v>
      </c>
      <c r="DN8" s="49">
        <v>0.38700000000000001</v>
      </c>
      <c r="DO8" s="49">
        <v>0.373</v>
      </c>
      <c r="DP8" s="49">
        <v>62.68</v>
      </c>
      <c r="DQ8" s="49">
        <v>60.649000000000001</v>
      </c>
      <c r="DR8" s="49">
        <v>53.491</v>
      </c>
      <c r="DS8" s="49">
        <v>52.212000000000003</v>
      </c>
      <c r="DT8" s="49">
        <v>2.58</v>
      </c>
      <c r="DU8" s="49">
        <v>2.6</v>
      </c>
      <c r="DV8" s="49">
        <v>6.06</v>
      </c>
      <c r="DW8" s="49">
        <v>5.46</v>
      </c>
      <c r="DX8" s="49">
        <v>2.63</v>
      </c>
      <c r="DY8" s="49">
        <v>2.73</v>
      </c>
      <c r="DZ8" s="49">
        <v>5.82</v>
      </c>
      <c r="EA8" s="49">
        <v>5.31</v>
      </c>
      <c r="EB8" s="50">
        <v>43.1</v>
      </c>
      <c r="EC8" s="50">
        <v>43.26</v>
      </c>
      <c r="ED8" s="50">
        <v>35.78</v>
      </c>
      <c r="EE8" s="50">
        <v>35.58</v>
      </c>
      <c r="EF8" s="49">
        <v>51.69</v>
      </c>
      <c r="EG8" s="49">
        <v>51.41</v>
      </c>
      <c r="EH8" s="49">
        <v>52.34</v>
      </c>
      <c r="EI8" s="49">
        <v>53.65</v>
      </c>
      <c r="EJ8" s="49">
        <v>6.3929999999999998</v>
      </c>
      <c r="EK8" s="49">
        <v>58.558999999999997</v>
      </c>
      <c r="EL8" s="49">
        <v>2</v>
      </c>
      <c r="EM8" s="50">
        <v>1.6</v>
      </c>
      <c r="EN8" s="50">
        <v>1.5</v>
      </c>
      <c r="EO8" s="50">
        <v>1.5</v>
      </c>
      <c r="EP8" s="50">
        <v>-124.61799999999999</v>
      </c>
      <c r="EQ8" s="50">
        <v>-0.379</v>
      </c>
      <c r="ER8" s="49">
        <v>92.63</v>
      </c>
      <c r="ES8" s="50">
        <v>1.534</v>
      </c>
      <c r="ET8" s="50">
        <v>1.6419999999999999</v>
      </c>
      <c r="EU8" s="50">
        <v>1.526</v>
      </c>
      <c r="EV8" s="49">
        <v>7.4210000000000003</v>
      </c>
      <c r="EW8" s="49">
        <v>1.47</v>
      </c>
      <c r="EX8" s="49">
        <v>52.7</v>
      </c>
      <c r="EY8" s="49">
        <v>0</v>
      </c>
      <c r="EZ8" s="50">
        <v>22.466000000000001</v>
      </c>
      <c r="FA8" s="50">
        <v>0</v>
      </c>
      <c r="FB8" s="50">
        <v>9.4269999999999996</v>
      </c>
      <c r="FC8" s="49">
        <v>55.045000000000002</v>
      </c>
      <c r="FD8" s="49">
        <v>52.567999999999998</v>
      </c>
      <c r="FE8" s="49">
        <v>53.552999999999997</v>
      </c>
      <c r="FF8" s="49">
        <v>53.878999999999998</v>
      </c>
      <c r="FG8" s="49">
        <v>0.92700000000000005</v>
      </c>
      <c r="FH8" s="49">
        <v>0.92700000000000005</v>
      </c>
      <c r="FI8" s="50">
        <v>1.0109999999999999</v>
      </c>
      <c r="FJ8" s="50">
        <v>1.0129999999999999</v>
      </c>
      <c r="FK8" s="49">
        <v>0</v>
      </c>
      <c r="FL8" s="49">
        <v>83</v>
      </c>
      <c r="FM8" s="49">
        <v>3.56</v>
      </c>
      <c r="FN8" s="50">
        <v>-0.75</v>
      </c>
      <c r="FO8" s="49">
        <v>5.45</v>
      </c>
      <c r="FP8" s="49">
        <v>4.6500000000000004</v>
      </c>
      <c r="FQ8" s="49">
        <v>4.5999999999999996</v>
      </c>
      <c r="FR8" s="49">
        <v>5.15</v>
      </c>
      <c r="FS8" s="49">
        <v>6.4649999999999999</v>
      </c>
      <c r="FT8" s="49">
        <v>1076.3</v>
      </c>
      <c r="FU8" s="50">
        <v>6.9</v>
      </c>
      <c r="FV8" s="49">
        <v>9.52</v>
      </c>
      <c r="FW8" s="49">
        <v>3047.5</v>
      </c>
      <c r="FX8" s="49">
        <v>163800</v>
      </c>
      <c r="FY8" s="49">
        <v>164800</v>
      </c>
      <c r="FZ8" s="50">
        <v>50.255000000000003</v>
      </c>
      <c r="GA8" s="50">
        <v>49.554000000000002</v>
      </c>
      <c r="GB8" s="49">
        <v>2171.6</v>
      </c>
      <c r="GC8" s="49">
        <v>2171.3000000000002</v>
      </c>
      <c r="GD8" s="49">
        <v>2191.9</v>
      </c>
      <c r="GE8" s="49">
        <v>2189.5</v>
      </c>
      <c r="GF8" s="49">
        <v>1364.4530999999999</v>
      </c>
      <c r="GG8" s="49">
        <v>36</v>
      </c>
      <c r="GH8" s="49">
        <v>36.299999999999997</v>
      </c>
      <c r="GI8" s="50">
        <v>51.7</v>
      </c>
      <c r="GJ8" s="50">
        <v>58</v>
      </c>
      <c r="GK8" s="49">
        <v>99.5</v>
      </c>
      <c r="GL8" s="49">
        <v>77</v>
      </c>
      <c r="GM8" s="50">
        <v>0</v>
      </c>
      <c r="GN8" s="49">
        <v>26.195</v>
      </c>
      <c r="GO8" s="50">
        <v>124.61799999999999</v>
      </c>
      <c r="GP8" s="49">
        <v>0.53100000000000003</v>
      </c>
      <c r="GQ8" s="49">
        <v>1.9470000000000001</v>
      </c>
      <c r="GR8" s="49">
        <v>0.59</v>
      </c>
      <c r="GS8" s="49">
        <v>2.0059999999999998</v>
      </c>
      <c r="GT8" s="49">
        <v>0.64900000000000002</v>
      </c>
      <c r="GU8" s="49">
        <v>1.9470000000000001</v>
      </c>
      <c r="GV8" s="49">
        <v>13.034000000000001</v>
      </c>
      <c r="GW8" s="50">
        <v>14.199</v>
      </c>
      <c r="GX8" s="49">
        <v>16.366</v>
      </c>
      <c r="GY8" s="50">
        <v>0</v>
      </c>
      <c r="GZ8" s="50">
        <v>0</v>
      </c>
      <c r="HA8" s="50">
        <v>0</v>
      </c>
      <c r="HB8" s="49">
        <v>0</v>
      </c>
      <c r="HC8" s="49">
        <v>23.119</v>
      </c>
      <c r="HD8" s="49">
        <v>82</v>
      </c>
      <c r="HE8" s="50">
        <v>0</v>
      </c>
      <c r="HF8" s="50">
        <v>0</v>
      </c>
      <c r="HG8" s="49">
        <v>86.05</v>
      </c>
      <c r="HH8" s="49">
        <v>83.66</v>
      </c>
      <c r="HI8" s="50">
        <v>0</v>
      </c>
      <c r="HJ8" s="50">
        <v>0</v>
      </c>
      <c r="HK8" s="50">
        <v>0</v>
      </c>
      <c r="HL8" s="50">
        <v>62</v>
      </c>
      <c r="HM8" s="50">
        <v>53</v>
      </c>
      <c r="HN8" s="50">
        <v>65</v>
      </c>
      <c r="HO8" s="49">
        <v>58</v>
      </c>
      <c r="HP8" s="49">
        <v>61</v>
      </c>
      <c r="HQ8" s="49">
        <v>59</v>
      </c>
      <c r="HR8" s="50">
        <v>53</v>
      </c>
      <c r="HS8" s="50">
        <v>70</v>
      </c>
      <c r="HT8" s="49">
        <v>-1.3380000000000001</v>
      </c>
      <c r="HU8" s="50">
        <v>0</v>
      </c>
      <c r="HV8" s="49">
        <v>-0.81100000000000005</v>
      </c>
      <c r="HW8" s="50">
        <v>34.369999999999997</v>
      </c>
      <c r="HX8" s="49">
        <v>50.94</v>
      </c>
      <c r="HY8" s="49">
        <v>46.76</v>
      </c>
      <c r="HZ8" s="49">
        <v>61.71</v>
      </c>
      <c r="IA8" s="49">
        <v>2.4790000000000001</v>
      </c>
      <c r="IB8" s="49">
        <v>96</v>
      </c>
      <c r="IC8" s="49">
        <v>16.071999999999999</v>
      </c>
      <c r="ID8" s="49">
        <v>-0.11799999999999999</v>
      </c>
      <c r="IE8" s="49">
        <v>-4.7E-2</v>
      </c>
      <c r="IF8" s="49">
        <v>793.9</v>
      </c>
      <c r="IG8" s="49">
        <v>630</v>
      </c>
      <c r="IH8" s="50">
        <v>815.4</v>
      </c>
      <c r="II8" s="49">
        <v>642.29999999999995</v>
      </c>
      <c r="IJ8" s="50">
        <v>9.0999999999999998E-2</v>
      </c>
      <c r="IK8" s="50">
        <v>6.2E-2</v>
      </c>
      <c r="IL8" s="49">
        <v>232.65600000000001</v>
      </c>
      <c r="IM8" s="49">
        <v>232.65600000000001</v>
      </c>
      <c r="IN8" s="49">
        <v>12.865</v>
      </c>
      <c r="IO8" s="49">
        <v>0.14099999999999999</v>
      </c>
      <c r="IP8" s="49">
        <v>10.11</v>
      </c>
      <c r="IQ8" s="49">
        <v>4.0000000000000001E-3</v>
      </c>
      <c r="IR8" s="49">
        <v>5.0000000000000001E-3</v>
      </c>
    </row>
    <row r="9" spans="2:252" x14ac:dyDescent="0.25">
      <c r="B9" s="2" t="s">
        <v>412</v>
      </c>
      <c r="C9" s="2" t="s">
        <v>43</v>
      </c>
      <c r="D9" s="61">
        <v>2.4870370370370372E-3</v>
      </c>
      <c r="E9" s="49">
        <v>214.92</v>
      </c>
      <c r="F9" s="49">
        <v>326.8</v>
      </c>
      <c r="G9" s="49">
        <v>6.04</v>
      </c>
      <c r="H9" s="49">
        <v>28.1</v>
      </c>
      <c r="I9" s="49">
        <v>0</v>
      </c>
      <c r="J9" s="49">
        <v>12.1</v>
      </c>
      <c r="K9" s="50">
        <v>9</v>
      </c>
      <c r="L9" s="50">
        <v>8</v>
      </c>
      <c r="M9" s="50">
        <v>6</v>
      </c>
      <c r="N9" s="50">
        <v>3</v>
      </c>
      <c r="O9" s="50">
        <v>3</v>
      </c>
      <c r="P9" s="49">
        <v>0.95499999999999996</v>
      </c>
      <c r="Q9" s="49">
        <v>1.548</v>
      </c>
      <c r="R9" s="49">
        <v>0.98899999999999999</v>
      </c>
      <c r="S9" s="50">
        <v>0.89400000000000002</v>
      </c>
      <c r="T9" s="49">
        <v>73.34</v>
      </c>
      <c r="U9" s="49">
        <v>61.124000000000002</v>
      </c>
      <c r="V9" s="49">
        <v>245</v>
      </c>
      <c r="W9" s="49">
        <v>241.66</v>
      </c>
      <c r="X9" s="49">
        <v>140</v>
      </c>
      <c r="Y9" s="49">
        <v>190</v>
      </c>
      <c r="Z9" s="49">
        <v>385.38</v>
      </c>
      <c r="AA9" s="49">
        <v>377.86</v>
      </c>
      <c r="AB9" s="49">
        <v>262.56</v>
      </c>
      <c r="AC9" s="49">
        <v>326.95999999999998</v>
      </c>
      <c r="AD9" s="49">
        <v>1.712</v>
      </c>
      <c r="AE9" s="49">
        <v>1.7869999999999999</v>
      </c>
      <c r="AF9" s="49">
        <v>1.6279999999999999</v>
      </c>
      <c r="AG9" s="49">
        <v>1.661</v>
      </c>
      <c r="AH9" s="49">
        <v>73.180000000000007</v>
      </c>
      <c r="AI9" s="49">
        <v>71.25</v>
      </c>
      <c r="AJ9" s="49">
        <v>90.08</v>
      </c>
      <c r="AK9" s="49">
        <v>85.91</v>
      </c>
      <c r="AL9" s="49">
        <v>633.27800000000002</v>
      </c>
      <c r="AM9" s="49">
        <v>622.53899999999999</v>
      </c>
      <c r="AN9" s="49">
        <v>736.28599999999994</v>
      </c>
      <c r="AO9" s="49">
        <v>720.18200000000002</v>
      </c>
      <c r="AP9" s="49">
        <v>1.3380000000000001</v>
      </c>
      <c r="AQ9" s="50">
        <v>1.8340000000000001</v>
      </c>
      <c r="AR9" s="49">
        <v>42.055</v>
      </c>
      <c r="AS9" s="49">
        <v>37.786000000000001</v>
      </c>
      <c r="AT9" s="50">
        <v>83</v>
      </c>
      <c r="AU9" s="49">
        <v>110</v>
      </c>
      <c r="AV9" s="49">
        <v>1.8185</v>
      </c>
      <c r="AW9" s="49">
        <v>5.1310000000000002</v>
      </c>
      <c r="AX9" s="49">
        <v>1017.3</v>
      </c>
      <c r="AY9" s="49">
        <v>2.2799999999999998</v>
      </c>
      <c r="AZ9" s="49">
        <v>5.37</v>
      </c>
      <c r="BA9" s="49">
        <v>125.59699999999999</v>
      </c>
      <c r="BB9" s="49">
        <v>125.779</v>
      </c>
      <c r="BC9" s="49">
        <v>7763</v>
      </c>
      <c r="BD9" s="49">
        <v>88.25</v>
      </c>
      <c r="BE9" s="49">
        <v>16.864999999999998</v>
      </c>
      <c r="BF9" s="49">
        <v>14.07</v>
      </c>
      <c r="BG9" s="49">
        <v>28.1</v>
      </c>
      <c r="BH9" s="49">
        <v>26.34</v>
      </c>
      <c r="BI9" s="3"/>
      <c r="BJ9" s="3"/>
      <c r="BK9" s="3"/>
      <c r="BL9" s="3"/>
      <c r="BM9" s="3"/>
      <c r="BN9" s="49">
        <v>97.272000000000006</v>
      </c>
      <c r="BO9" s="49">
        <v>94.072000000000003</v>
      </c>
      <c r="BP9" s="49">
        <v>110.904</v>
      </c>
      <c r="BQ9" s="49">
        <v>113.816</v>
      </c>
      <c r="BR9" s="3"/>
      <c r="BS9" s="49">
        <v>27.7</v>
      </c>
      <c r="BT9" s="49">
        <v>7382.7349999999997</v>
      </c>
      <c r="BU9" s="50">
        <v>51.536000000000001</v>
      </c>
      <c r="BV9" s="49">
        <v>54.39</v>
      </c>
      <c r="BW9" s="49">
        <v>54.725000000000001</v>
      </c>
      <c r="BX9" s="49">
        <v>56.128999999999998</v>
      </c>
      <c r="BY9" s="50">
        <v>1.4830000000000001</v>
      </c>
      <c r="BZ9" s="49">
        <v>2.9369999999999998</v>
      </c>
      <c r="CA9" s="49">
        <v>3.3029999999999999</v>
      </c>
      <c r="CB9" s="49">
        <v>3.6469999999999998</v>
      </c>
      <c r="CC9" s="49">
        <v>0.82399999999999995</v>
      </c>
      <c r="CD9" s="50">
        <v>2.1640000000000001</v>
      </c>
      <c r="CE9" s="49">
        <v>1.161</v>
      </c>
      <c r="CF9" s="49">
        <v>1.9910000000000001</v>
      </c>
      <c r="CG9" s="49">
        <v>13.94</v>
      </c>
      <c r="CH9" s="49">
        <v>13.765000000000001</v>
      </c>
      <c r="CI9" s="49">
        <v>4.641</v>
      </c>
      <c r="CJ9" s="50">
        <v>3.327</v>
      </c>
      <c r="CK9" s="50">
        <v>1.655</v>
      </c>
      <c r="CL9" s="49">
        <v>0.1</v>
      </c>
      <c r="CM9" s="50">
        <v>0.9</v>
      </c>
      <c r="CN9" s="50">
        <v>0</v>
      </c>
      <c r="CO9" s="50">
        <v>0</v>
      </c>
      <c r="CP9" s="49">
        <v>90.174000000000007</v>
      </c>
      <c r="CQ9" s="49">
        <v>88.292000000000002</v>
      </c>
      <c r="CR9" s="49">
        <v>92.912999999999997</v>
      </c>
      <c r="CS9" s="49">
        <v>99.350999999999999</v>
      </c>
      <c r="CT9" s="49">
        <v>0.29499999999999998</v>
      </c>
      <c r="CU9" s="49">
        <v>0.89600000000000002</v>
      </c>
      <c r="CV9" s="49">
        <v>1.0980000000000001</v>
      </c>
      <c r="CW9" s="49">
        <v>0.998</v>
      </c>
      <c r="CX9" s="49">
        <v>1.696</v>
      </c>
      <c r="CY9" s="49">
        <v>0.499</v>
      </c>
      <c r="CZ9" s="49">
        <v>1.099</v>
      </c>
      <c r="DA9" s="49">
        <v>1.103</v>
      </c>
      <c r="DB9" s="49">
        <v>1.298</v>
      </c>
      <c r="DC9" s="49">
        <v>0</v>
      </c>
      <c r="DD9" s="50">
        <v>0</v>
      </c>
      <c r="DE9" s="50">
        <v>0.36</v>
      </c>
      <c r="DF9" s="50">
        <v>0.187</v>
      </c>
      <c r="DG9" s="50">
        <v>1.3089999999999999</v>
      </c>
      <c r="DH9" s="49">
        <v>2.4369999999999998</v>
      </c>
      <c r="DI9" s="49">
        <v>1.056</v>
      </c>
      <c r="DJ9" s="50">
        <v>0.38500000000000001</v>
      </c>
      <c r="DK9" s="49">
        <v>0.98699999999999999</v>
      </c>
      <c r="DL9" s="49">
        <v>0.39900000000000002</v>
      </c>
      <c r="DM9" s="49">
        <v>0.45200000000000001</v>
      </c>
      <c r="DN9" s="50">
        <v>0.86799999999999999</v>
      </c>
      <c r="DO9" s="50">
        <v>0.67400000000000004</v>
      </c>
      <c r="DP9" s="49">
        <v>64.688000000000002</v>
      </c>
      <c r="DQ9" s="49">
        <v>61.585000000000001</v>
      </c>
      <c r="DR9" s="49">
        <v>54.676000000000002</v>
      </c>
      <c r="DS9" s="49">
        <v>52.856000000000002</v>
      </c>
      <c r="DT9" s="49">
        <v>6.35</v>
      </c>
      <c r="DU9" s="49">
        <v>5.97</v>
      </c>
      <c r="DV9" s="49">
        <v>14.62</v>
      </c>
      <c r="DW9" s="49">
        <v>12.69</v>
      </c>
      <c r="DX9" s="49">
        <v>6.48</v>
      </c>
      <c r="DY9" s="49">
        <v>6.29</v>
      </c>
      <c r="DZ9" s="49">
        <v>14.15</v>
      </c>
      <c r="EA9" s="49">
        <v>12.62</v>
      </c>
      <c r="EB9" s="49">
        <v>42.44</v>
      </c>
      <c r="EC9" s="49">
        <v>41.89</v>
      </c>
      <c r="ED9" s="49">
        <v>31.31</v>
      </c>
      <c r="EE9" s="49">
        <v>33.159999999999997</v>
      </c>
      <c r="EF9" s="49">
        <v>44.74</v>
      </c>
      <c r="EG9" s="49">
        <v>45.86</v>
      </c>
      <c r="EH9" s="49">
        <v>39.92</v>
      </c>
      <c r="EI9" s="49">
        <v>41.53</v>
      </c>
      <c r="EJ9" s="49">
        <v>6.2889999999999997</v>
      </c>
      <c r="EK9" s="49">
        <v>60.029000000000003</v>
      </c>
      <c r="EL9" s="49">
        <v>2.0499999999999998</v>
      </c>
      <c r="EM9" s="49">
        <v>1.65</v>
      </c>
      <c r="EN9" s="49">
        <v>1.2</v>
      </c>
      <c r="EO9" s="49">
        <v>1.21</v>
      </c>
      <c r="EP9" s="49">
        <v>-119.946</v>
      </c>
      <c r="EQ9" s="49">
        <v>-3.1539999999999999</v>
      </c>
      <c r="ER9" s="49">
        <v>92.337999999999994</v>
      </c>
      <c r="ES9" s="49">
        <v>1.345</v>
      </c>
      <c r="ET9" s="49">
        <v>1.4750000000000001</v>
      </c>
      <c r="EU9" s="49">
        <v>1.294</v>
      </c>
      <c r="EV9" s="49">
        <v>7.5540000000000003</v>
      </c>
      <c r="EW9" s="50">
        <v>1.9059999999999999</v>
      </c>
      <c r="EX9" s="49">
        <v>74.34</v>
      </c>
      <c r="EY9" s="49">
        <v>0</v>
      </c>
      <c r="EZ9" s="49">
        <v>0.17299999999999999</v>
      </c>
      <c r="FA9" s="50">
        <v>0</v>
      </c>
      <c r="FB9" s="49">
        <v>9.1959999999999997</v>
      </c>
      <c r="FC9" s="49">
        <v>59.058</v>
      </c>
      <c r="FD9" s="49">
        <v>55.927</v>
      </c>
      <c r="FE9" s="49">
        <v>61.936</v>
      </c>
      <c r="FF9" s="49">
        <v>61.253</v>
      </c>
      <c r="FG9" s="49">
        <v>0.91900000000000004</v>
      </c>
      <c r="FH9" s="49">
        <v>0.91900000000000004</v>
      </c>
      <c r="FI9" s="49">
        <v>1.004</v>
      </c>
      <c r="FJ9" s="49">
        <v>1.0069999999999999</v>
      </c>
      <c r="FK9" s="49">
        <v>0</v>
      </c>
      <c r="FL9" s="49">
        <v>83</v>
      </c>
      <c r="FM9" s="49">
        <v>3.69</v>
      </c>
      <c r="FN9" s="49">
        <v>-0.54</v>
      </c>
      <c r="FO9" s="49">
        <v>5.26</v>
      </c>
      <c r="FP9" s="49">
        <v>4.5999999999999996</v>
      </c>
      <c r="FQ9" s="49">
        <v>4.55</v>
      </c>
      <c r="FR9" s="49">
        <v>5.0999999999999996</v>
      </c>
      <c r="FS9" s="49">
        <v>6.6074999999999999</v>
      </c>
      <c r="FT9" s="49">
        <v>1078.8</v>
      </c>
      <c r="FU9" s="49">
        <v>6.83</v>
      </c>
      <c r="FV9" s="49">
        <v>15.56</v>
      </c>
      <c r="FW9" s="49">
        <v>3100</v>
      </c>
      <c r="FX9" s="49">
        <v>164300</v>
      </c>
      <c r="FY9" s="49">
        <v>165400</v>
      </c>
      <c r="FZ9" s="49">
        <v>48.118000000000002</v>
      </c>
      <c r="GA9" s="49">
        <v>47.378999999999998</v>
      </c>
      <c r="GB9" s="49">
        <v>2215.9</v>
      </c>
      <c r="GC9" s="49">
        <v>2141.9</v>
      </c>
      <c r="GD9" s="49">
        <v>2269.9</v>
      </c>
      <c r="GE9" s="49">
        <v>2177.1999999999998</v>
      </c>
      <c r="GF9" s="50">
        <v>1592.7030999999999</v>
      </c>
      <c r="GG9" s="49">
        <v>37</v>
      </c>
      <c r="GH9" s="49">
        <v>37</v>
      </c>
      <c r="GI9" s="49">
        <v>48.7</v>
      </c>
      <c r="GJ9" s="49">
        <v>54.5</v>
      </c>
      <c r="GK9" s="49">
        <v>99.5</v>
      </c>
      <c r="GL9" s="49">
        <v>93.7</v>
      </c>
      <c r="GM9" s="50">
        <v>0</v>
      </c>
      <c r="GN9" s="49">
        <v>27.381</v>
      </c>
      <c r="GO9" s="49">
        <v>119.946</v>
      </c>
      <c r="GP9" s="49">
        <v>0.35399999999999998</v>
      </c>
      <c r="GQ9" s="49">
        <v>1.9470000000000001</v>
      </c>
      <c r="GR9" s="49">
        <v>0.53100000000000003</v>
      </c>
      <c r="GS9" s="49">
        <v>2.0059999999999998</v>
      </c>
      <c r="GT9" s="49">
        <v>0.53100000000000003</v>
      </c>
      <c r="GU9" s="49">
        <v>1.8879999999999999</v>
      </c>
      <c r="GV9" s="49">
        <v>12.936</v>
      </c>
      <c r="GW9" s="49">
        <v>14.055999999999999</v>
      </c>
      <c r="GX9" s="49">
        <v>15.974</v>
      </c>
      <c r="GY9" s="50">
        <v>0</v>
      </c>
      <c r="GZ9" s="50">
        <v>0</v>
      </c>
      <c r="HA9" s="50">
        <v>0</v>
      </c>
      <c r="HB9" s="49">
        <v>0</v>
      </c>
      <c r="HC9" s="49">
        <v>23.216000000000001</v>
      </c>
      <c r="HD9" s="49">
        <v>78</v>
      </c>
      <c r="HE9" s="50">
        <v>0</v>
      </c>
      <c r="HF9" s="50">
        <v>0</v>
      </c>
      <c r="HG9" s="49">
        <v>88.14</v>
      </c>
      <c r="HH9" s="49">
        <v>84.52</v>
      </c>
      <c r="HI9" s="50">
        <v>0</v>
      </c>
      <c r="HJ9" s="50">
        <v>0</v>
      </c>
      <c r="HK9" s="50">
        <v>0</v>
      </c>
      <c r="HL9" s="49">
        <v>59</v>
      </c>
      <c r="HM9" s="49">
        <v>52</v>
      </c>
      <c r="HN9" s="49">
        <v>64</v>
      </c>
      <c r="HO9" s="49">
        <v>59</v>
      </c>
      <c r="HP9" s="49">
        <v>62</v>
      </c>
      <c r="HQ9" s="49">
        <v>59</v>
      </c>
      <c r="HR9" s="49">
        <v>52</v>
      </c>
      <c r="HS9" s="50">
        <v>70</v>
      </c>
      <c r="HT9" s="50">
        <v>-1.357</v>
      </c>
      <c r="HU9" s="50">
        <v>0</v>
      </c>
      <c r="HV9" s="49">
        <v>0.80100000000000005</v>
      </c>
      <c r="HW9" s="50">
        <v>34.369999999999997</v>
      </c>
      <c r="HX9" s="49">
        <v>45.17</v>
      </c>
      <c r="HY9" s="49">
        <v>50.87</v>
      </c>
      <c r="HZ9" s="49">
        <v>63.08</v>
      </c>
      <c r="IA9" s="49">
        <v>2.86</v>
      </c>
      <c r="IB9" s="49">
        <v>104</v>
      </c>
      <c r="IC9" s="49">
        <v>22.239000000000001</v>
      </c>
      <c r="ID9" s="49">
        <v>-0.315</v>
      </c>
      <c r="IE9" s="49">
        <v>-0.13800000000000001</v>
      </c>
      <c r="IF9" s="49">
        <v>798.6</v>
      </c>
      <c r="IG9" s="49">
        <v>753.7</v>
      </c>
      <c r="IH9" s="49">
        <v>808.3</v>
      </c>
      <c r="II9" s="49">
        <v>763</v>
      </c>
      <c r="IJ9" s="49">
        <v>7.3999999999999996E-2</v>
      </c>
      <c r="IK9" s="49">
        <v>-8.0000000000000002E-3</v>
      </c>
      <c r="IL9" s="49">
        <v>70.388000000000005</v>
      </c>
      <c r="IM9" s="49">
        <v>70.388000000000005</v>
      </c>
      <c r="IN9" s="49">
        <v>9.9710000000000001</v>
      </c>
      <c r="IO9" s="49">
        <v>0.32300000000000001</v>
      </c>
      <c r="IP9" s="49">
        <v>9.94</v>
      </c>
      <c r="IQ9" s="50">
        <v>1.7000000000000001E-2</v>
      </c>
      <c r="IR9" s="49">
        <v>7.0000000000000001E-3</v>
      </c>
    </row>
    <row r="10" spans="2:252" x14ac:dyDescent="0.25">
      <c r="B10" s="2" t="s">
        <v>412</v>
      </c>
      <c r="C10" s="62" t="s">
        <v>44</v>
      </c>
      <c r="D10" s="63">
        <v>2.4438657407407408E-3</v>
      </c>
      <c r="E10" s="49">
        <v>211.19</v>
      </c>
      <c r="F10" s="50">
        <v>330.85</v>
      </c>
      <c r="G10" s="50">
        <v>6.1</v>
      </c>
      <c r="H10" s="49">
        <v>28.5</v>
      </c>
      <c r="I10" s="49">
        <v>0</v>
      </c>
      <c r="J10" s="49">
        <v>12.7</v>
      </c>
      <c r="K10" s="50">
        <v>9</v>
      </c>
      <c r="L10" s="50">
        <v>8</v>
      </c>
      <c r="M10" s="50">
        <v>6</v>
      </c>
      <c r="N10" s="50">
        <v>3</v>
      </c>
      <c r="O10" s="50">
        <v>3</v>
      </c>
      <c r="P10" s="49">
        <v>0.89500000000000002</v>
      </c>
      <c r="Q10" s="49">
        <v>1.48</v>
      </c>
      <c r="R10" s="49">
        <v>1.0169999999999999</v>
      </c>
      <c r="S10" s="49">
        <v>0.82899999999999996</v>
      </c>
      <c r="T10" s="50">
        <v>76.94</v>
      </c>
      <c r="U10" s="49">
        <v>61.026000000000003</v>
      </c>
      <c r="V10" s="49">
        <v>251.66</v>
      </c>
      <c r="W10" s="49">
        <v>241.66</v>
      </c>
      <c r="X10" s="49">
        <v>190</v>
      </c>
      <c r="Y10" s="49">
        <v>228.34</v>
      </c>
      <c r="Z10" s="50">
        <v>395.87</v>
      </c>
      <c r="AA10" s="50">
        <v>383.87</v>
      </c>
      <c r="AB10" s="50">
        <v>308.2</v>
      </c>
      <c r="AC10" s="50">
        <v>370.39</v>
      </c>
      <c r="AD10" s="49">
        <v>1.7809999999999999</v>
      </c>
      <c r="AE10" s="49">
        <v>1.849</v>
      </c>
      <c r="AF10" s="49">
        <v>1.7509999999999999</v>
      </c>
      <c r="AG10" s="49">
        <v>1.7709999999999999</v>
      </c>
      <c r="AH10" s="49">
        <v>81.59</v>
      </c>
      <c r="AI10" s="49">
        <v>79.069999999999993</v>
      </c>
      <c r="AJ10" s="49">
        <v>102.84</v>
      </c>
      <c r="AK10" s="49">
        <v>98.61</v>
      </c>
      <c r="AL10" s="50">
        <v>645.90499999999997</v>
      </c>
      <c r="AM10" s="50">
        <v>684.12800000000004</v>
      </c>
      <c r="AN10" s="50">
        <v>788.99599999999998</v>
      </c>
      <c r="AO10" s="50">
        <v>791.51599999999996</v>
      </c>
      <c r="AP10" s="50">
        <v>1.339</v>
      </c>
      <c r="AQ10" s="49">
        <v>1.8120000000000001</v>
      </c>
      <c r="AR10" s="49">
        <v>41.24</v>
      </c>
      <c r="AS10" s="49">
        <v>37.591000000000001</v>
      </c>
      <c r="AT10" s="50">
        <v>83</v>
      </c>
      <c r="AU10" s="49">
        <v>116</v>
      </c>
      <c r="AV10" s="50">
        <v>1.7729999999999999</v>
      </c>
      <c r="AW10" s="50">
        <v>5.1519000000000004</v>
      </c>
      <c r="AX10" s="50">
        <v>1017.5</v>
      </c>
      <c r="AY10" s="49">
        <v>2.35</v>
      </c>
      <c r="AZ10" s="49">
        <v>5.63</v>
      </c>
      <c r="BA10" s="49">
        <v>140.352</v>
      </c>
      <c r="BB10" s="49">
        <v>139.69200000000001</v>
      </c>
      <c r="BC10" s="50">
        <v>7820</v>
      </c>
      <c r="BD10" s="49">
        <v>88.5</v>
      </c>
      <c r="BE10" s="50">
        <v>16.925000000000001</v>
      </c>
      <c r="BF10" s="50">
        <v>15.225</v>
      </c>
      <c r="BG10" s="49">
        <v>28.73</v>
      </c>
      <c r="BH10" s="50">
        <v>28.06</v>
      </c>
      <c r="BI10" s="3"/>
      <c r="BJ10" s="3"/>
      <c r="BK10" s="3"/>
      <c r="BL10" s="3"/>
      <c r="BM10" s="3"/>
      <c r="BN10" s="49">
        <v>102.744</v>
      </c>
      <c r="BO10" s="49">
        <v>98.12</v>
      </c>
      <c r="BP10" s="49">
        <v>127.4</v>
      </c>
      <c r="BQ10" s="49">
        <v>128.85599999999999</v>
      </c>
      <c r="BR10" s="3"/>
      <c r="BS10" s="49">
        <v>28.2</v>
      </c>
      <c r="BT10" s="50">
        <v>7414.7979999999998</v>
      </c>
      <c r="BU10" s="49">
        <v>50.793999999999997</v>
      </c>
      <c r="BV10" s="49">
        <v>53.243000000000002</v>
      </c>
      <c r="BW10" s="49">
        <v>55.124000000000002</v>
      </c>
      <c r="BX10" s="49">
        <v>55.969000000000001</v>
      </c>
      <c r="BY10" s="49">
        <v>1.4139999999999999</v>
      </c>
      <c r="BZ10" s="50">
        <v>3.0169999999999999</v>
      </c>
      <c r="CA10" s="50">
        <v>3.899</v>
      </c>
      <c r="CB10" s="50">
        <v>4.1769999999999996</v>
      </c>
      <c r="CC10" s="49">
        <v>0.80900000000000005</v>
      </c>
      <c r="CD10" s="49">
        <v>2.1549999999999998</v>
      </c>
      <c r="CE10" s="49">
        <v>1.2529999999999999</v>
      </c>
      <c r="CF10" s="49">
        <v>2.0030000000000001</v>
      </c>
      <c r="CG10" s="49">
        <v>13.932</v>
      </c>
      <c r="CH10" s="49">
        <v>13.766999999999999</v>
      </c>
      <c r="CI10" s="50">
        <v>4.7240000000000002</v>
      </c>
      <c r="CJ10" s="49">
        <v>3.214</v>
      </c>
      <c r="CK10" s="49">
        <v>1.522</v>
      </c>
      <c r="CL10" s="50">
        <v>0.3</v>
      </c>
      <c r="CM10" s="49">
        <v>0.6</v>
      </c>
      <c r="CN10" s="50">
        <v>0</v>
      </c>
      <c r="CO10" s="50">
        <v>0</v>
      </c>
      <c r="CP10" s="49">
        <v>98.191999999999993</v>
      </c>
      <c r="CQ10" s="49">
        <v>94.766000000000005</v>
      </c>
      <c r="CR10" s="49">
        <v>116.889</v>
      </c>
      <c r="CS10" s="49">
        <v>120.59</v>
      </c>
      <c r="CT10" s="49">
        <v>0.27700000000000002</v>
      </c>
      <c r="CU10" s="49">
        <v>0.5</v>
      </c>
      <c r="CV10" s="49">
        <v>1.196</v>
      </c>
      <c r="CW10" s="49">
        <v>0.79900000000000004</v>
      </c>
      <c r="CX10" s="50">
        <v>2.1920000000000002</v>
      </c>
      <c r="CY10" s="49">
        <v>0.80100000000000005</v>
      </c>
      <c r="CZ10" s="50">
        <v>1.401</v>
      </c>
      <c r="DA10" s="50">
        <v>1.198</v>
      </c>
      <c r="DB10" s="49">
        <v>1.2969999999999999</v>
      </c>
      <c r="DC10" s="49">
        <v>0</v>
      </c>
      <c r="DD10" s="50">
        <v>0</v>
      </c>
      <c r="DE10" s="49">
        <v>0.31900000000000001</v>
      </c>
      <c r="DF10" s="49">
        <v>0.14899999999999999</v>
      </c>
      <c r="DG10" s="49">
        <v>0.91700000000000004</v>
      </c>
      <c r="DH10" s="49">
        <v>2.4260000000000002</v>
      </c>
      <c r="DI10" s="50">
        <v>1.0620000000000001</v>
      </c>
      <c r="DJ10" s="49">
        <v>0.30099999999999999</v>
      </c>
      <c r="DK10" s="50">
        <v>1.1319999999999999</v>
      </c>
      <c r="DL10" s="49">
        <v>0.40300000000000002</v>
      </c>
      <c r="DM10" s="49">
        <v>-3.8029999999999999</v>
      </c>
      <c r="DN10" s="49">
        <v>-9.8000000000000007</v>
      </c>
      <c r="DO10" s="49">
        <v>0.28199999999999997</v>
      </c>
      <c r="DP10" s="50">
        <v>67.058000000000007</v>
      </c>
      <c r="DQ10" s="49">
        <v>63.308</v>
      </c>
      <c r="DR10" s="49">
        <v>53.734999999999999</v>
      </c>
      <c r="DS10" s="49">
        <v>53.28</v>
      </c>
      <c r="DT10" s="50">
        <v>6.58</v>
      </c>
      <c r="DU10" s="50">
        <v>6.54</v>
      </c>
      <c r="DV10" s="50">
        <v>15.79</v>
      </c>
      <c r="DW10" s="50">
        <v>13.51</v>
      </c>
      <c r="DX10" s="50">
        <v>6.66</v>
      </c>
      <c r="DY10" s="50">
        <v>6.99</v>
      </c>
      <c r="DZ10" s="50">
        <v>15.72</v>
      </c>
      <c r="EA10" s="50">
        <v>13.71</v>
      </c>
      <c r="EB10" s="49">
        <v>42.26</v>
      </c>
      <c r="EC10" s="49">
        <v>41.14</v>
      </c>
      <c r="ED10" s="49">
        <v>30.3</v>
      </c>
      <c r="EE10" s="49">
        <v>32.159999999999997</v>
      </c>
      <c r="EF10" s="49">
        <v>44.49</v>
      </c>
      <c r="EG10" s="49">
        <v>45.32</v>
      </c>
      <c r="EH10" s="49">
        <v>38.19</v>
      </c>
      <c r="EI10" s="49">
        <v>40.619999999999997</v>
      </c>
      <c r="EJ10" s="49">
        <v>6.4649999999999999</v>
      </c>
      <c r="EK10" s="50">
        <v>60.030999999999999</v>
      </c>
      <c r="EL10" s="49">
        <v>2.15</v>
      </c>
      <c r="EM10" s="49">
        <v>1.7</v>
      </c>
      <c r="EN10" s="49">
        <v>1.18</v>
      </c>
      <c r="EO10" s="49">
        <v>1.18</v>
      </c>
      <c r="EP10" s="49">
        <v>-108.26600000000001</v>
      </c>
      <c r="EQ10" s="49">
        <v>-2.8740000000000001</v>
      </c>
      <c r="ER10" s="50">
        <v>108.982</v>
      </c>
      <c r="ES10" s="49">
        <v>1.298</v>
      </c>
      <c r="ET10" s="49">
        <v>1.355</v>
      </c>
      <c r="EU10" s="49">
        <v>1.1639999999999999</v>
      </c>
      <c r="EV10" s="50">
        <v>7.5579999999999998</v>
      </c>
      <c r="EW10" s="49">
        <v>1.8959999999999999</v>
      </c>
      <c r="EX10" s="50">
        <v>74.94</v>
      </c>
      <c r="EY10" s="49">
        <v>0</v>
      </c>
      <c r="EZ10" s="49">
        <v>0</v>
      </c>
      <c r="FA10" s="50">
        <v>0</v>
      </c>
      <c r="FB10" s="49">
        <v>9.1780000000000008</v>
      </c>
      <c r="FC10" s="49">
        <v>69.283000000000001</v>
      </c>
      <c r="FD10" s="49">
        <v>64.903999999999996</v>
      </c>
      <c r="FE10" s="49">
        <v>75.697000000000003</v>
      </c>
      <c r="FF10" s="49">
        <v>74.164000000000001</v>
      </c>
      <c r="FG10" s="49">
        <v>0.91900000000000004</v>
      </c>
      <c r="FH10" s="49">
        <v>0.91900000000000004</v>
      </c>
      <c r="FI10" s="49">
        <v>1.002</v>
      </c>
      <c r="FJ10" s="49">
        <v>1.006</v>
      </c>
      <c r="FK10" s="49">
        <v>0</v>
      </c>
      <c r="FL10" s="49">
        <v>83</v>
      </c>
      <c r="FM10" s="49">
        <v>3.73</v>
      </c>
      <c r="FN10" s="49">
        <v>2.13</v>
      </c>
      <c r="FO10" s="49">
        <v>5.38</v>
      </c>
      <c r="FP10" s="3"/>
      <c r="FQ10" s="49">
        <v>4.8499999999999996</v>
      </c>
      <c r="FR10" s="49">
        <v>5.0999999999999996</v>
      </c>
      <c r="FS10" s="49">
        <v>6.5345000000000004</v>
      </c>
      <c r="FT10" s="50">
        <v>1079</v>
      </c>
      <c r="FU10" s="49">
        <v>6.8</v>
      </c>
      <c r="FV10" s="49">
        <v>21.66</v>
      </c>
      <c r="FW10" s="49">
        <v>3137</v>
      </c>
      <c r="FX10" s="50">
        <v>167700</v>
      </c>
      <c r="FY10" s="50">
        <v>168300</v>
      </c>
      <c r="FZ10" s="49">
        <v>48.290999999999997</v>
      </c>
      <c r="GA10" s="49">
        <v>47.610999999999997</v>
      </c>
      <c r="GB10" s="49">
        <v>2181.1999999999998</v>
      </c>
      <c r="GC10" s="49">
        <v>2181.8000000000002</v>
      </c>
      <c r="GD10" s="49">
        <v>2221.4</v>
      </c>
      <c r="GE10" s="50">
        <v>2316.3000000000002</v>
      </c>
      <c r="GF10" s="49">
        <v>1429.0625</v>
      </c>
      <c r="GG10" s="49">
        <v>38</v>
      </c>
      <c r="GH10" s="49">
        <v>37.9</v>
      </c>
      <c r="GI10" s="49">
        <v>49.3</v>
      </c>
      <c r="GJ10" s="49">
        <v>54.3</v>
      </c>
      <c r="GK10" s="49">
        <v>99.5</v>
      </c>
      <c r="GL10" s="50">
        <v>95.7</v>
      </c>
      <c r="GM10" s="50">
        <v>0</v>
      </c>
      <c r="GN10" s="49">
        <v>26.798999999999999</v>
      </c>
      <c r="GO10" s="49">
        <v>108.982</v>
      </c>
      <c r="GP10" s="49">
        <v>0.29499999999999998</v>
      </c>
      <c r="GQ10" s="49">
        <v>1.8879999999999999</v>
      </c>
      <c r="GR10" s="49">
        <v>0.35399999999999998</v>
      </c>
      <c r="GS10" s="49">
        <v>2.0059999999999998</v>
      </c>
      <c r="GT10" s="49">
        <v>0.41299999999999998</v>
      </c>
      <c r="GU10" s="49">
        <v>1.8879999999999999</v>
      </c>
      <c r="GV10" s="49">
        <v>13.034000000000001</v>
      </c>
      <c r="GW10" s="49">
        <v>14.074</v>
      </c>
      <c r="GX10" s="49">
        <v>15.19</v>
      </c>
      <c r="GY10" s="50">
        <v>0</v>
      </c>
      <c r="GZ10" s="50">
        <v>0</v>
      </c>
      <c r="HA10" s="50">
        <v>0</v>
      </c>
      <c r="HB10" s="49">
        <v>0</v>
      </c>
      <c r="HC10" s="50">
        <v>23.66</v>
      </c>
      <c r="HD10" s="49">
        <v>78</v>
      </c>
      <c r="HE10" s="50">
        <v>0</v>
      </c>
      <c r="HF10" s="50">
        <v>0</v>
      </c>
      <c r="HG10" s="49">
        <v>76.36</v>
      </c>
      <c r="HH10" s="49">
        <v>83.06</v>
      </c>
      <c r="HI10" s="50">
        <v>0</v>
      </c>
      <c r="HJ10" s="50">
        <v>0</v>
      </c>
      <c r="HK10" s="50">
        <v>0</v>
      </c>
      <c r="HL10" s="49">
        <v>60</v>
      </c>
      <c r="HM10" s="49">
        <v>52</v>
      </c>
      <c r="HN10" s="50">
        <v>65</v>
      </c>
      <c r="HO10" s="49">
        <v>59</v>
      </c>
      <c r="HP10" s="49">
        <v>62</v>
      </c>
      <c r="HQ10" s="50">
        <v>60</v>
      </c>
      <c r="HR10" s="49">
        <v>52</v>
      </c>
      <c r="HS10" s="50">
        <v>70</v>
      </c>
      <c r="HT10" s="49">
        <v>-1.3274999999999999</v>
      </c>
      <c r="HU10" s="50">
        <v>0</v>
      </c>
      <c r="HV10" s="50">
        <v>1.2969999999999999</v>
      </c>
      <c r="HW10" s="49">
        <v>35.51</v>
      </c>
      <c r="HX10" s="50">
        <v>38.69</v>
      </c>
      <c r="HY10" s="50">
        <v>51.96</v>
      </c>
      <c r="HZ10" s="50">
        <v>65.36</v>
      </c>
      <c r="IA10" s="50">
        <v>3.0859999999999999</v>
      </c>
      <c r="IB10" s="50">
        <v>105</v>
      </c>
      <c r="IC10" s="50">
        <v>22.786999999999999</v>
      </c>
      <c r="ID10" s="49">
        <v>-0.39100000000000001</v>
      </c>
      <c r="IE10" s="49">
        <v>-0.152</v>
      </c>
      <c r="IF10" s="49">
        <v>802.9</v>
      </c>
      <c r="IG10" s="50">
        <v>758.7</v>
      </c>
      <c r="IH10" s="49">
        <v>812</v>
      </c>
      <c r="II10" s="50">
        <v>768.9</v>
      </c>
      <c r="IJ10" s="49">
        <v>5.8000000000000003E-2</v>
      </c>
      <c r="IK10" s="49">
        <v>-4.4999999999999998E-2</v>
      </c>
      <c r="IL10" s="49">
        <v>68.725999999999999</v>
      </c>
      <c r="IM10" s="49">
        <v>68.725999999999999</v>
      </c>
      <c r="IN10" s="49">
        <v>10.509</v>
      </c>
      <c r="IO10" s="50">
        <v>0.34399999999999997</v>
      </c>
      <c r="IP10" s="49">
        <v>9.85</v>
      </c>
      <c r="IQ10" s="49">
        <v>1.2E-2</v>
      </c>
      <c r="IR10" s="49">
        <v>0</v>
      </c>
    </row>
    <row r="11" spans="2:252" x14ac:dyDescent="0.25">
      <c r="B11" s="2" t="s">
        <v>412</v>
      </c>
      <c r="C11" s="2" t="s">
        <v>45</v>
      </c>
      <c r="D11" s="61">
        <v>2.7885416666666666E-3</v>
      </c>
      <c r="E11" s="49">
        <v>240.93100000000001</v>
      </c>
      <c r="F11" s="49">
        <v>330.56</v>
      </c>
      <c r="G11" s="49">
        <v>5.84</v>
      </c>
      <c r="H11" s="50">
        <v>28.6</v>
      </c>
      <c r="I11" s="49">
        <v>0</v>
      </c>
      <c r="J11" s="49">
        <v>15.3</v>
      </c>
      <c r="K11" s="50">
        <v>9</v>
      </c>
      <c r="L11" s="50">
        <v>8</v>
      </c>
      <c r="M11" s="50">
        <v>6</v>
      </c>
      <c r="N11" s="50">
        <v>3</v>
      </c>
      <c r="O11" s="50">
        <v>3</v>
      </c>
      <c r="P11" s="49">
        <v>0.872</v>
      </c>
      <c r="Q11" s="49">
        <v>1.401</v>
      </c>
      <c r="R11" s="49">
        <v>0.9</v>
      </c>
      <c r="S11" s="49">
        <v>0.66300000000000003</v>
      </c>
      <c r="T11" s="49">
        <v>74</v>
      </c>
      <c r="U11" s="49">
        <v>61.22</v>
      </c>
      <c r="V11" s="49">
        <v>246.66</v>
      </c>
      <c r="W11" s="49">
        <v>241.66</v>
      </c>
      <c r="X11" s="49">
        <v>172.5</v>
      </c>
      <c r="Y11" s="49">
        <v>215</v>
      </c>
      <c r="Z11" s="49">
        <v>379.88</v>
      </c>
      <c r="AA11" s="49">
        <v>372.92</v>
      </c>
      <c r="AB11" s="49">
        <v>277.25</v>
      </c>
      <c r="AC11" s="49">
        <v>343.23</v>
      </c>
      <c r="AD11" s="50">
        <v>1.7989999999999999</v>
      </c>
      <c r="AE11" s="50">
        <v>1.8660000000000001</v>
      </c>
      <c r="AF11" s="50">
        <v>1.79</v>
      </c>
      <c r="AG11" s="50">
        <v>1.8109999999999999</v>
      </c>
      <c r="AH11" s="50">
        <v>83.6</v>
      </c>
      <c r="AI11" s="50">
        <v>79.77</v>
      </c>
      <c r="AJ11" s="50">
        <v>105.97</v>
      </c>
      <c r="AK11" s="50">
        <v>102.13</v>
      </c>
      <c r="AL11" s="49">
        <v>621.13599999999997</v>
      </c>
      <c r="AM11" s="49">
        <v>615.62900000000002</v>
      </c>
      <c r="AN11" s="49">
        <v>735.07899999999995</v>
      </c>
      <c r="AO11" s="49">
        <v>730.13800000000003</v>
      </c>
      <c r="AP11" s="49">
        <v>1.33</v>
      </c>
      <c r="AQ11" s="49">
        <v>1.8149999999999999</v>
      </c>
      <c r="AR11" s="49">
        <v>36.267000000000003</v>
      </c>
      <c r="AS11" s="49">
        <v>37.898000000000003</v>
      </c>
      <c r="AT11" s="50">
        <v>83</v>
      </c>
      <c r="AU11" s="50">
        <v>119</v>
      </c>
      <c r="AV11" s="49">
        <v>2.198</v>
      </c>
      <c r="AW11" s="49">
        <v>5.0594000000000001</v>
      </c>
      <c r="AX11" s="49">
        <v>1015.8</v>
      </c>
      <c r="AY11" s="49">
        <v>2.34</v>
      </c>
      <c r="AZ11" s="50">
        <v>5.25</v>
      </c>
      <c r="BA11" s="50">
        <v>69.3</v>
      </c>
      <c r="BB11" s="50">
        <v>69.400000000000006</v>
      </c>
      <c r="BC11" s="49">
        <v>7747</v>
      </c>
      <c r="BD11" s="49">
        <v>88.75</v>
      </c>
      <c r="BE11" s="49">
        <v>15.965</v>
      </c>
      <c r="BF11" s="49">
        <v>11.675000000000001</v>
      </c>
      <c r="BG11" s="50">
        <v>29.09</v>
      </c>
      <c r="BH11" s="49">
        <v>24.26</v>
      </c>
      <c r="BI11" s="50">
        <v>66.403999999999996</v>
      </c>
      <c r="BJ11" s="49">
        <v>81.882999999999996</v>
      </c>
      <c r="BK11" s="50">
        <v>64.768000000000001</v>
      </c>
      <c r="BL11" s="49">
        <v>77.105000000000004</v>
      </c>
      <c r="BM11" s="50">
        <v>81.710999999999999</v>
      </c>
      <c r="BN11" s="50">
        <v>111.44799999999999</v>
      </c>
      <c r="BO11" s="50">
        <v>109.992</v>
      </c>
      <c r="BP11" s="50">
        <v>128.392</v>
      </c>
      <c r="BQ11" s="50">
        <v>130.98400000000001</v>
      </c>
      <c r="BR11" s="50">
        <v>60.634999999999998</v>
      </c>
      <c r="BS11" s="50">
        <v>28.3</v>
      </c>
      <c r="BT11" s="49">
        <v>7394.5619999999999</v>
      </c>
      <c r="BU11" s="49">
        <v>47.707000000000001</v>
      </c>
      <c r="BV11" s="49">
        <v>53.561999999999998</v>
      </c>
      <c r="BW11" s="49">
        <v>55.545999999999999</v>
      </c>
      <c r="BX11" s="49">
        <v>56.213000000000001</v>
      </c>
      <c r="BY11" s="49">
        <v>1.399</v>
      </c>
      <c r="BZ11" s="49">
        <v>2.9409999999999998</v>
      </c>
      <c r="CA11" s="49">
        <v>2.9769999999999999</v>
      </c>
      <c r="CB11" s="49">
        <v>3.4129999999999998</v>
      </c>
      <c r="CC11" s="50">
        <v>1.042</v>
      </c>
      <c r="CD11" s="49">
        <v>2.0409999999999999</v>
      </c>
      <c r="CE11" s="49">
        <v>1.1519999999999999</v>
      </c>
      <c r="CF11" s="49">
        <v>1.976</v>
      </c>
      <c r="CG11" s="49">
        <v>13.959</v>
      </c>
      <c r="CH11" s="49">
        <v>13.688000000000001</v>
      </c>
      <c r="CI11" s="3"/>
      <c r="CJ11" s="3"/>
      <c r="CK11" s="3"/>
      <c r="CL11" s="49">
        <v>0.1</v>
      </c>
      <c r="CM11" s="49">
        <v>0.2</v>
      </c>
      <c r="CN11" s="50">
        <v>0</v>
      </c>
      <c r="CO11" s="50">
        <v>0</v>
      </c>
      <c r="CP11" s="50">
        <v>99.453999999999994</v>
      </c>
      <c r="CQ11" s="50">
        <v>96.933999999999997</v>
      </c>
      <c r="CR11" s="50">
        <v>121.944</v>
      </c>
      <c r="CS11" s="50">
        <v>126.39400000000001</v>
      </c>
      <c r="CT11" s="50">
        <v>0.496</v>
      </c>
      <c r="CU11" s="49">
        <v>0.59899999999999998</v>
      </c>
      <c r="CV11" s="49">
        <v>1.296</v>
      </c>
      <c r="CW11" s="49">
        <v>1.0940000000000001</v>
      </c>
      <c r="CX11" s="49">
        <v>1.2</v>
      </c>
      <c r="CY11" s="49">
        <v>1.1020000000000001</v>
      </c>
      <c r="CZ11" s="49">
        <v>0.89700000000000002</v>
      </c>
      <c r="DA11" s="49">
        <v>0.7</v>
      </c>
      <c r="DB11" s="50">
        <v>1.996</v>
      </c>
      <c r="DC11" s="49">
        <v>0</v>
      </c>
      <c r="DD11" s="50">
        <v>0</v>
      </c>
      <c r="DE11" s="49">
        <v>0.27400000000000002</v>
      </c>
      <c r="DF11" s="49">
        <v>0.13500000000000001</v>
      </c>
      <c r="DG11" s="49">
        <v>0.35899999999999999</v>
      </c>
      <c r="DH11" s="49">
        <v>1.8049999999999999</v>
      </c>
      <c r="DI11" s="49">
        <v>0.93799999999999994</v>
      </c>
      <c r="DJ11" s="49">
        <v>0.20200000000000001</v>
      </c>
      <c r="DK11" s="49">
        <v>0.9</v>
      </c>
      <c r="DL11" s="49">
        <v>0.39500000000000002</v>
      </c>
      <c r="DM11" s="49">
        <v>0.46</v>
      </c>
      <c r="DN11" s="49">
        <v>0.432</v>
      </c>
      <c r="DO11" s="49">
        <v>0.29799999999999999</v>
      </c>
      <c r="DP11" s="49">
        <v>64.763999999999996</v>
      </c>
      <c r="DQ11" s="49">
        <v>62.119</v>
      </c>
      <c r="DR11" s="50">
        <v>54.996000000000002</v>
      </c>
      <c r="DS11" s="50">
        <v>54.252000000000002</v>
      </c>
      <c r="DT11" s="49">
        <v>5.29</v>
      </c>
      <c r="DU11" s="49">
        <v>4.87</v>
      </c>
      <c r="DV11" s="49">
        <v>13.32</v>
      </c>
      <c r="DW11" s="49">
        <v>11.44</v>
      </c>
      <c r="DX11" s="49">
        <v>5.52</v>
      </c>
      <c r="DY11" s="49">
        <v>5.01</v>
      </c>
      <c r="DZ11" s="49">
        <v>13.06</v>
      </c>
      <c r="EA11" s="49">
        <v>11.36</v>
      </c>
      <c r="EB11" s="49">
        <v>42.58</v>
      </c>
      <c r="EC11" s="49">
        <v>42.38</v>
      </c>
      <c r="ED11" s="49">
        <v>31.5</v>
      </c>
      <c r="EE11" s="49">
        <v>32.89</v>
      </c>
      <c r="EF11" s="49">
        <v>46.61</v>
      </c>
      <c r="EG11" s="49">
        <v>47.73</v>
      </c>
      <c r="EH11" s="49">
        <v>42.12</v>
      </c>
      <c r="EI11" s="49">
        <v>44.3</v>
      </c>
      <c r="EJ11" s="50">
        <v>6.7039999999999997</v>
      </c>
      <c r="EK11" s="49">
        <v>59.854999999999997</v>
      </c>
      <c r="EL11" s="49">
        <v>2.15</v>
      </c>
      <c r="EM11" s="49">
        <v>1.7</v>
      </c>
      <c r="EN11" s="49">
        <v>1.2</v>
      </c>
      <c r="EO11" s="49">
        <v>1.2</v>
      </c>
      <c r="EP11" s="49">
        <v>-98.63</v>
      </c>
      <c r="EQ11" s="49">
        <v>-2.504</v>
      </c>
      <c r="ER11" s="49">
        <v>84.453999999999994</v>
      </c>
      <c r="ES11" s="49">
        <v>1.042</v>
      </c>
      <c r="ET11" s="49">
        <v>1.04</v>
      </c>
      <c r="EU11" s="49">
        <v>0.874</v>
      </c>
      <c r="EV11" s="49">
        <v>7.4</v>
      </c>
      <c r="EW11" s="49">
        <v>1.881</v>
      </c>
      <c r="EX11" s="49">
        <v>70.28</v>
      </c>
      <c r="EY11" s="49">
        <v>0.06</v>
      </c>
      <c r="EZ11" s="49">
        <v>0</v>
      </c>
      <c r="FA11" s="50">
        <v>0</v>
      </c>
      <c r="FB11" s="49">
        <v>9.2479999999999993</v>
      </c>
      <c r="FC11" s="50">
        <v>72.885000000000005</v>
      </c>
      <c r="FD11" s="50">
        <v>68.254999999999995</v>
      </c>
      <c r="FE11" s="50">
        <v>82.099000000000004</v>
      </c>
      <c r="FF11" s="50">
        <v>80.179000000000002</v>
      </c>
      <c r="FG11" s="49">
        <v>0.92300000000000004</v>
      </c>
      <c r="FH11" s="49">
        <v>0.92</v>
      </c>
      <c r="FI11" s="49">
        <v>1.0029999999999999</v>
      </c>
      <c r="FJ11" s="49">
        <v>1.008</v>
      </c>
      <c r="FK11" s="49">
        <v>0</v>
      </c>
      <c r="FL11" s="49">
        <v>83</v>
      </c>
      <c r="FM11" s="50">
        <v>3.76</v>
      </c>
      <c r="FN11" s="49">
        <v>2.0299999999999998</v>
      </c>
      <c r="FO11" s="50">
        <v>5.22</v>
      </c>
      <c r="FP11" s="50">
        <v>3.8</v>
      </c>
      <c r="FQ11" s="49">
        <v>4.5999999999999996</v>
      </c>
      <c r="FR11" s="50">
        <v>5.05</v>
      </c>
      <c r="FS11" s="50">
        <v>6.7720000000000002</v>
      </c>
      <c r="FT11" s="49">
        <v>1075.3</v>
      </c>
      <c r="FU11" s="49">
        <v>6.78</v>
      </c>
      <c r="FV11" s="50">
        <v>27.5</v>
      </c>
      <c r="FW11" s="49">
        <v>3100.5</v>
      </c>
      <c r="FX11" s="49">
        <v>166700</v>
      </c>
      <c r="FY11" s="49">
        <v>166900</v>
      </c>
      <c r="FZ11" s="49">
        <v>48.293999999999997</v>
      </c>
      <c r="GA11" s="49">
        <v>47.43</v>
      </c>
      <c r="GB11" s="49">
        <v>2285</v>
      </c>
      <c r="GC11" s="50">
        <v>2277.3000000000002</v>
      </c>
      <c r="GD11" s="49">
        <v>2318.3000000000002</v>
      </c>
      <c r="GE11" s="49">
        <v>2277.3000000000002</v>
      </c>
      <c r="GF11" s="49">
        <v>1506.0625</v>
      </c>
      <c r="GG11" s="50">
        <v>39</v>
      </c>
      <c r="GH11" s="50">
        <v>38.9</v>
      </c>
      <c r="GI11" s="49">
        <v>49.7</v>
      </c>
      <c r="GJ11" s="49">
        <v>54.8</v>
      </c>
      <c r="GK11" s="49">
        <v>99.5</v>
      </c>
      <c r="GL11" s="49">
        <v>73.7</v>
      </c>
      <c r="GM11" s="50">
        <v>0</v>
      </c>
      <c r="GN11" s="50">
        <v>29.527999999999999</v>
      </c>
      <c r="GO11" s="49">
        <v>98.63</v>
      </c>
      <c r="GP11" s="50">
        <v>0</v>
      </c>
      <c r="GQ11" s="49">
        <v>1.8879999999999999</v>
      </c>
      <c r="GR11" s="50">
        <v>0</v>
      </c>
      <c r="GS11" s="49">
        <v>1.9470000000000001</v>
      </c>
      <c r="GT11" s="50">
        <v>0</v>
      </c>
      <c r="GU11" s="49">
        <v>1.8879999999999999</v>
      </c>
      <c r="GV11" s="50">
        <v>0</v>
      </c>
      <c r="GW11" s="49">
        <v>14.022</v>
      </c>
      <c r="GX11" s="49">
        <v>15.484</v>
      </c>
      <c r="GY11" s="50">
        <v>0</v>
      </c>
      <c r="GZ11" s="50">
        <v>0</v>
      </c>
      <c r="HA11" s="50">
        <v>0</v>
      </c>
      <c r="HB11" s="49">
        <v>0</v>
      </c>
      <c r="HC11" s="49">
        <v>22.738</v>
      </c>
      <c r="HD11" s="49">
        <v>82</v>
      </c>
      <c r="HE11" s="50">
        <v>0</v>
      </c>
      <c r="HF11" s="50">
        <v>0</v>
      </c>
      <c r="HG11" s="49">
        <v>74.8</v>
      </c>
      <c r="HH11" s="49">
        <v>82.84</v>
      </c>
      <c r="HI11" s="50">
        <v>0</v>
      </c>
      <c r="HJ11" s="50">
        <v>0</v>
      </c>
      <c r="HK11" s="50">
        <v>0</v>
      </c>
      <c r="HL11" s="49">
        <v>61</v>
      </c>
      <c r="HM11" s="49">
        <v>52</v>
      </c>
      <c r="HN11" s="50">
        <v>65</v>
      </c>
      <c r="HO11" s="50">
        <v>60</v>
      </c>
      <c r="HP11" s="50">
        <v>63</v>
      </c>
      <c r="HQ11" s="50">
        <v>60</v>
      </c>
      <c r="HR11" s="49">
        <v>52</v>
      </c>
      <c r="HS11" s="49">
        <v>64</v>
      </c>
      <c r="HT11" s="49">
        <v>-1.3334999999999999</v>
      </c>
      <c r="HU11" s="50">
        <v>0</v>
      </c>
      <c r="HV11" s="49">
        <v>1.1819999999999999</v>
      </c>
      <c r="HW11" s="49">
        <v>35.51</v>
      </c>
      <c r="HX11" s="50">
        <v>38.69</v>
      </c>
      <c r="HY11" s="3"/>
      <c r="HZ11" s="3"/>
      <c r="IA11" s="49">
        <v>3.032</v>
      </c>
      <c r="IB11" s="49">
        <v>104</v>
      </c>
      <c r="IC11" s="49">
        <v>22.731999999999999</v>
      </c>
      <c r="ID11" s="49">
        <v>-0.318</v>
      </c>
      <c r="IE11" s="49">
        <v>-0.129</v>
      </c>
      <c r="IF11" s="50">
        <v>804.4</v>
      </c>
      <c r="IG11" s="49">
        <v>746.2</v>
      </c>
      <c r="IH11" s="49">
        <v>815.1</v>
      </c>
      <c r="II11" s="49">
        <v>759.7</v>
      </c>
      <c r="IJ11" s="49">
        <v>6.3E-2</v>
      </c>
      <c r="IK11" s="49">
        <v>-3.4000000000000002E-2</v>
      </c>
      <c r="IL11" s="49">
        <v>80.847999999999999</v>
      </c>
      <c r="IM11" s="49">
        <v>80.847999999999999</v>
      </c>
      <c r="IN11" s="49">
        <v>13.590999999999999</v>
      </c>
      <c r="IO11" s="49">
        <v>0.32500000000000001</v>
      </c>
      <c r="IP11" s="49">
        <v>9.9600000000000009</v>
      </c>
      <c r="IQ11" s="49">
        <v>0</v>
      </c>
      <c r="IR11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DBE9E-459B-4ECC-83BD-FB05AA513064}">
  <sheetPr codeName="Sheet13"/>
  <dimension ref="B1:G10"/>
  <sheetViews>
    <sheetView zoomScale="60" zoomScaleNormal="60" workbookViewId="0">
      <selection activeCell="G6" sqref="G6:G10"/>
    </sheetView>
  </sheetViews>
  <sheetFormatPr defaultRowHeight="15" x14ac:dyDescent="0.25"/>
  <sheetData>
    <row r="1" spans="2:7" x14ac:dyDescent="0.25">
      <c r="B1" t="s">
        <v>2</v>
      </c>
      <c r="C1" t="s">
        <v>361</v>
      </c>
      <c r="D1" t="s">
        <v>362</v>
      </c>
      <c r="E1" t="s">
        <v>363</v>
      </c>
      <c r="F1" t="s">
        <v>364</v>
      </c>
      <c r="G1" t="s">
        <v>365</v>
      </c>
    </row>
    <row r="2" spans="2:7" x14ac:dyDescent="0.25">
      <c r="B2" s="50">
        <v>1472.097</v>
      </c>
      <c r="C2" s="49">
        <v>4.92</v>
      </c>
      <c r="D2" s="49">
        <v>1.0369999999999999</v>
      </c>
      <c r="E2" s="50">
        <v>14.084</v>
      </c>
      <c r="F2" s="50">
        <v>15.163</v>
      </c>
      <c r="G2" s="49">
        <v>64.44</v>
      </c>
    </row>
    <row r="3" spans="2:7" x14ac:dyDescent="0.25">
      <c r="B3" s="49">
        <v>220.05</v>
      </c>
      <c r="C3" s="49">
        <v>5.82</v>
      </c>
      <c r="D3" s="49">
        <v>1.4430000000000001</v>
      </c>
      <c r="E3" s="49">
        <v>4.8849999999999998</v>
      </c>
      <c r="F3" s="49">
        <v>3.3439999999999999</v>
      </c>
      <c r="G3" s="49">
        <v>74.239999999999995</v>
      </c>
    </row>
    <row r="4" spans="2:7" x14ac:dyDescent="0.25">
      <c r="B4" s="49">
        <v>212.38</v>
      </c>
      <c r="C4" s="50">
        <v>5.96</v>
      </c>
      <c r="D4" s="50">
        <v>1.718</v>
      </c>
      <c r="E4" s="49">
        <v>5.5789999999999997</v>
      </c>
      <c r="F4" s="49">
        <v>2.9060000000000001</v>
      </c>
      <c r="G4" s="50">
        <v>76.599999999999994</v>
      </c>
    </row>
    <row r="5" spans="2:7" x14ac:dyDescent="0.25">
      <c r="B5" s="49">
        <v>237.499</v>
      </c>
      <c r="C5" s="49">
        <v>5.88</v>
      </c>
      <c r="D5" s="3"/>
      <c r="E5" s="3"/>
      <c r="F5" s="3"/>
      <c r="G5" s="49">
        <v>75</v>
      </c>
    </row>
    <row r="6" spans="2:7" x14ac:dyDescent="0.25">
      <c r="B6" s="50">
        <v>364.68900000000002</v>
      </c>
      <c r="C6" s="49">
        <v>4.72</v>
      </c>
      <c r="D6" s="49">
        <v>1.2949999999999999</v>
      </c>
      <c r="E6" s="49">
        <v>2.3690000000000002</v>
      </c>
      <c r="F6" s="49">
        <v>2.2589999999999999</v>
      </c>
      <c r="G6" s="49">
        <v>-196.62</v>
      </c>
    </row>
    <row r="7" spans="2:7" x14ac:dyDescent="0.25">
      <c r="B7" s="49">
        <v>341.03</v>
      </c>
      <c r="C7" s="49">
        <v>4.8</v>
      </c>
      <c r="D7" s="49">
        <v>1.504</v>
      </c>
      <c r="E7" s="49">
        <v>3.254</v>
      </c>
      <c r="F7" s="49">
        <v>2.698</v>
      </c>
      <c r="G7" s="49">
        <v>52.7</v>
      </c>
    </row>
    <row r="8" spans="2:7" x14ac:dyDescent="0.25">
      <c r="B8" s="49">
        <v>214.92</v>
      </c>
      <c r="C8" s="49">
        <v>6.04</v>
      </c>
      <c r="D8" s="50">
        <v>1.655</v>
      </c>
      <c r="E8" s="49">
        <v>4.641</v>
      </c>
      <c r="F8" s="50">
        <v>3.327</v>
      </c>
      <c r="G8" s="49">
        <v>74.34</v>
      </c>
    </row>
    <row r="9" spans="2:7" x14ac:dyDescent="0.25">
      <c r="B9" s="49">
        <v>211.19</v>
      </c>
      <c r="C9" s="50">
        <v>6.1</v>
      </c>
      <c r="D9" s="49">
        <v>1.522</v>
      </c>
      <c r="E9" s="50">
        <v>4.7240000000000002</v>
      </c>
      <c r="F9" s="49">
        <v>3.214</v>
      </c>
      <c r="G9" s="50">
        <v>74.94</v>
      </c>
    </row>
    <row r="10" spans="2:7" x14ac:dyDescent="0.25">
      <c r="B10" s="49">
        <v>240.93100000000001</v>
      </c>
      <c r="C10" s="49">
        <v>5.84</v>
      </c>
      <c r="D10" s="3"/>
      <c r="E10" s="3"/>
      <c r="F10" s="3"/>
      <c r="G10" s="49">
        <v>70.28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8BEC9-80F9-41B8-89E0-00A4A0999DB9}">
  <sheetPr codeName="Sheet14"/>
  <dimension ref="B1:G14"/>
  <sheetViews>
    <sheetView zoomScale="40" zoomScaleNormal="40" workbookViewId="0">
      <selection activeCell="G9" sqref="G9:G14"/>
    </sheetView>
  </sheetViews>
  <sheetFormatPr defaultRowHeight="15" x14ac:dyDescent="0.25"/>
  <sheetData>
    <row r="1" spans="2:7" x14ac:dyDescent="0.25">
      <c r="B1" t="s">
        <v>2</v>
      </c>
      <c r="C1" t="s">
        <v>361</v>
      </c>
      <c r="D1" t="s">
        <v>362</v>
      </c>
      <c r="E1" t="s">
        <v>363</v>
      </c>
      <c r="F1" t="s">
        <v>364</v>
      </c>
      <c r="G1" t="s">
        <v>365</v>
      </c>
    </row>
    <row r="2" spans="2:7" x14ac:dyDescent="0.25">
      <c r="B2" s="50">
        <v>289.77800000000002</v>
      </c>
      <c r="C2" s="49">
        <v>5.62</v>
      </c>
      <c r="D2" s="49">
        <v>1.58</v>
      </c>
      <c r="E2" s="50">
        <v>6.0579999999999998</v>
      </c>
      <c r="F2" s="49">
        <v>3.3</v>
      </c>
      <c r="G2" s="49">
        <v>-221.12</v>
      </c>
    </row>
    <row r="3" spans="2:7" x14ac:dyDescent="0.25">
      <c r="B3" s="49">
        <v>213.59</v>
      </c>
      <c r="C3" s="49">
        <v>5.77</v>
      </c>
      <c r="D3" s="49">
        <v>1.6819999999999999</v>
      </c>
      <c r="E3" s="49">
        <v>5.3479999999999999</v>
      </c>
      <c r="F3" s="50">
        <v>3.415</v>
      </c>
      <c r="G3" s="49">
        <v>73.64</v>
      </c>
    </row>
    <row r="4" spans="2:7" x14ac:dyDescent="0.25">
      <c r="B4" s="49">
        <v>213.11</v>
      </c>
      <c r="C4" s="49">
        <v>5.84</v>
      </c>
      <c r="D4" s="50">
        <v>1.81</v>
      </c>
      <c r="E4" s="49">
        <v>4.25</v>
      </c>
      <c r="F4" s="49">
        <v>3.3260000000000001</v>
      </c>
      <c r="G4" s="49">
        <v>74.64</v>
      </c>
    </row>
    <row r="5" spans="2:7" x14ac:dyDescent="0.25">
      <c r="B5" s="49">
        <v>211.4</v>
      </c>
      <c r="C5" s="50">
        <v>5.85</v>
      </c>
      <c r="D5" s="49">
        <v>1.649</v>
      </c>
      <c r="E5" s="49">
        <v>4.4020000000000001</v>
      </c>
      <c r="F5" s="49">
        <v>3.194</v>
      </c>
      <c r="G5" s="50">
        <v>74.94</v>
      </c>
    </row>
    <row r="6" spans="2:7" x14ac:dyDescent="0.25">
      <c r="B6" s="49">
        <v>243.68</v>
      </c>
      <c r="C6" s="49">
        <v>5.61</v>
      </c>
      <c r="D6" s="49">
        <v>1.357</v>
      </c>
      <c r="E6" s="49">
        <v>5.0460000000000003</v>
      </c>
      <c r="F6" s="49">
        <v>3.2109999999999999</v>
      </c>
      <c r="G6" s="49">
        <v>70.36</v>
      </c>
    </row>
    <row r="7" spans="2:7" x14ac:dyDescent="0.25">
      <c r="B7" s="49">
        <v>212.9</v>
      </c>
      <c r="C7" s="49">
        <v>5.81</v>
      </c>
      <c r="D7" s="49">
        <v>1.43</v>
      </c>
      <c r="E7" s="49">
        <v>5.0339999999999998</v>
      </c>
      <c r="F7" s="49">
        <v>3.2730000000000001</v>
      </c>
      <c r="G7" s="49">
        <v>74.2</v>
      </c>
    </row>
    <row r="8" spans="2:7" x14ac:dyDescent="0.25">
      <c r="B8" s="49">
        <v>240.51300000000001</v>
      </c>
      <c r="C8" s="49">
        <v>5.63</v>
      </c>
      <c r="D8" s="3"/>
      <c r="E8" s="3"/>
      <c r="F8" s="3"/>
      <c r="G8" s="49">
        <v>70.94</v>
      </c>
    </row>
    <row r="9" spans="2:7" x14ac:dyDescent="0.25">
      <c r="B9" s="50">
        <v>415.78500000000003</v>
      </c>
      <c r="C9" s="49">
        <v>4.96</v>
      </c>
      <c r="D9" s="49">
        <v>1.3839999999999999</v>
      </c>
      <c r="E9" s="49">
        <v>5.1760000000000002</v>
      </c>
      <c r="F9" s="49">
        <v>-573.15499999999997</v>
      </c>
      <c r="G9" s="49">
        <v>-451.18</v>
      </c>
    </row>
    <row r="10" spans="2:7" x14ac:dyDescent="0.25">
      <c r="B10" s="49">
        <v>213.71</v>
      </c>
      <c r="C10" s="49">
        <v>5.84</v>
      </c>
      <c r="D10" s="49">
        <v>1.63</v>
      </c>
      <c r="E10" s="50">
        <v>5.4240000000000004</v>
      </c>
      <c r="F10" s="49">
        <v>-748.80399999999997</v>
      </c>
      <c r="G10" s="49">
        <v>73.06</v>
      </c>
    </row>
    <row r="11" spans="2:7" x14ac:dyDescent="0.25">
      <c r="B11" s="49">
        <v>210.2</v>
      </c>
      <c r="C11" s="50">
        <v>5.95</v>
      </c>
      <c r="D11" s="50">
        <v>1.641</v>
      </c>
      <c r="E11" s="49">
        <v>4.8440000000000003</v>
      </c>
      <c r="F11" s="49">
        <v>-103.21299999999999</v>
      </c>
      <c r="G11" s="50">
        <v>74.739999999999995</v>
      </c>
    </row>
    <row r="12" spans="2:7" x14ac:dyDescent="0.25">
      <c r="B12" s="49">
        <v>212.72</v>
      </c>
      <c r="C12" s="49">
        <v>5.64</v>
      </c>
      <c r="D12" s="49">
        <v>1.615</v>
      </c>
      <c r="E12" s="49">
        <v>4.6740000000000004</v>
      </c>
      <c r="F12" s="49">
        <v>-33.445</v>
      </c>
      <c r="G12" s="49">
        <v>70</v>
      </c>
    </row>
    <row r="13" spans="2:7" x14ac:dyDescent="0.25">
      <c r="B13" s="49">
        <v>211.07</v>
      </c>
      <c r="C13" s="49">
        <v>5.88</v>
      </c>
      <c r="D13" s="49">
        <v>1.417</v>
      </c>
      <c r="E13" s="49">
        <v>4.0910000000000002</v>
      </c>
      <c r="F13" s="50">
        <v>328.32900000000001</v>
      </c>
      <c r="G13" s="49">
        <v>73.92</v>
      </c>
    </row>
    <row r="14" spans="2:7" x14ac:dyDescent="0.25">
      <c r="B14" s="49">
        <v>246.28899999999999</v>
      </c>
      <c r="C14" s="49">
        <v>-28.27</v>
      </c>
      <c r="D14" s="3"/>
      <c r="E14" s="3"/>
      <c r="F14" s="3"/>
      <c r="G14" s="49">
        <v>69.680000000000007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F2AF4-4CD8-4F3E-A3D8-10B73010E669}">
  <sheetPr codeName="Sheet15"/>
  <dimension ref="B1:G11"/>
  <sheetViews>
    <sheetView zoomScale="50" zoomScaleNormal="50" workbookViewId="0">
      <selection activeCell="G8" sqref="G8:G11"/>
    </sheetView>
  </sheetViews>
  <sheetFormatPr defaultRowHeight="15" x14ac:dyDescent="0.25"/>
  <sheetData>
    <row r="1" spans="2:7" x14ac:dyDescent="0.25">
      <c r="B1" t="s">
        <v>2</v>
      </c>
      <c r="C1" t="s">
        <v>361</v>
      </c>
      <c r="D1" t="s">
        <v>362</v>
      </c>
      <c r="E1" t="s">
        <v>363</v>
      </c>
      <c r="F1" t="s">
        <v>364</v>
      </c>
      <c r="G1" t="s">
        <v>365</v>
      </c>
    </row>
    <row r="2" spans="2:7" x14ac:dyDescent="0.25">
      <c r="B2" s="50">
        <v>253.63800000000001</v>
      </c>
      <c r="C2" s="49">
        <v>5.65</v>
      </c>
      <c r="D2" s="49">
        <v>1.083</v>
      </c>
      <c r="E2" s="49">
        <v>3.7050000000000001</v>
      </c>
      <c r="F2" s="49">
        <v>3.36</v>
      </c>
      <c r="G2" s="49">
        <v>-348.8</v>
      </c>
    </row>
    <row r="3" spans="2:7" x14ac:dyDescent="0.25">
      <c r="B3" s="49">
        <v>221.6</v>
      </c>
      <c r="C3" s="49">
        <v>5.72</v>
      </c>
      <c r="D3" s="49">
        <v>1.363</v>
      </c>
      <c r="E3" s="49">
        <v>3.7709999999999999</v>
      </c>
      <c r="F3" s="49">
        <v>3.5779999999999998</v>
      </c>
      <c r="G3" s="49">
        <v>72</v>
      </c>
    </row>
    <row r="4" spans="2:7" x14ac:dyDescent="0.25">
      <c r="B4" s="49">
        <v>214.96</v>
      </c>
      <c r="C4" s="49">
        <v>5.86</v>
      </c>
      <c r="D4" s="49">
        <v>1.4650000000000001</v>
      </c>
      <c r="E4" s="49">
        <v>3.5990000000000002</v>
      </c>
      <c r="F4" s="49">
        <v>3.504</v>
      </c>
      <c r="G4" s="49">
        <v>73.98</v>
      </c>
    </row>
    <row r="5" spans="2:7" x14ac:dyDescent="0.25">
      <c r="B5" s="49">
        <v>219.07</v>
      </c>
      <c r="C5" s="50">
        <v>5.92</v>
      </c>
      <c r="D5" s="50">
        <v>1.4830000000000001</v>
      </c>
      <c r="E5" s="50">
        <v>3.859</v>
      </c>
      <c r="F5" s="50">
        <v>3.5910000000000002</v>
      </c>
      <c r="G5" s="50">
        <v>75.02</v>
      </c>
    </row>
    <row r="6" spans="2:7" x14ac:dyDescent="0.25">
      <c r="B6" s="49">
        <v>212</v>
      </c>
      <c r="C6" s="49">
        <v>5.91</v>
      </c>
      <c r="D6" s="49">
        <v>1.19</v>
      </c>
      <c r="E6" s="49">
        <v>3.5209999999999999</v>
      </c>
      <c r="F6" s="49">
        <v>3.3</v>
      </c>
      <c r="G6" s="49">
        <v>74.900000000000006</v>
      </c>
    </row>
    <row r="7" spans="2:7" x14ac:dyDescent="0.25">
      <c r="B7" s="49">
        <v>250.76300000000001</v>
      </c>
      <c r="C7" s="49">
        <v>5.47</v>
      </c>
      <c r="D7" s="3"/>
      <c r="E7" s="3"/>
      <c r="F7" s="3"/>
      <c r="G7" s="49">
        <v>66.86</v>
      </c>
    </row>
    <row r="8" spans="2:7" x14ac:dyDescent="0.25">
      <c r="B8" s="50">
        <v>1487.1030000000001</v>
      </c>
      <c r="C8" s="49">
        <v>5.71</v>
      </c>
      <c r="D8" s="49">
        <v>1.018</v>
      </c>
      <c r="E8" s="50">
        <v>3.32</v>
      </c>
      <c r="F8" s="49">
        <v>2.2810000000000001</v>
      </c>
      <c r="G8" s="49">
        <v>-364.1</v>
      </c>
    </row>
    <row r="9" spans="2:7" x14ac:dyDescent="0.25">
      <c r="B9" s="49">
        <v>214.57</v>
      </c>
      <c r="C9" s="49">
        <v>5.78</v>
      </c>
      <c r="D9" s="50">
        <v>1.4510000000000001</v>
      </c>
      <c r="E9" s="49">
        <v>3.105</v>
      </c>
      <c r="F9" s="50">
        <v>3.41</v>
      </c>
      <c r="G9" s="49">
        <v>70.78</v>
      </c>
    </row>
    <row r="10" spans="2:7" x14ac:dyDescent="0.25">
      <c r="B10" s="49">
        <v>226.76</v>
      </c>
      <c r="C10" s="50">
        <v>5.84</v>
      </c>
      <c r="D10" s="49">
        <v>0.92900000000000005</v>
      </c>
      <c r="E10" s="49">
        <v>3.0259999999999998</v>
      </c>
      <c r="F10" s="49">
        <v>2.476</v>
      </c>
      <c r="G10" s="50">
        <v>71.52</v>
      </c>
    </row>
    <row r="11" spans="2:7" x14ac:dyDescent="0.25">
      <c r="B11" s="49">
        <v>426.31700000000001</v>
      </c>
      <c r="C11" s="49">
        <v>-17.32</v>
      </c>
      <c r="D11" s="3"/>
      <c r="E11" s="3"/>
      <c r="F11" s="3"/>
      <c r="G11" s="49">
        <v>38.1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CTRL</vt:lpstr>
      <vt:lpstr>Plot_Export</vt:lpstr>
      <vt:lpstr>All</vt:lpstr>
      <vt:lpstr>709_FP1_Outing 1</vt:lpstr>
      <vt:lpstr>709_FP1_Outing 2</vt:lpstr>
      <vt:lpstr>709_FP1_Outing 3</vt:lpstr>
      <vt:lpstr>709_FP1_Outing 4</vt:lpstr>
      <vt:lpstr>709_FP1_Outing 5</vt:lpstr>
      <vt:lpstr>709_FP1_Outing 6</vt:lpstr>
      <vt:lpstr>Driver 1</vt:lpstr>
      <vt:lpstr>Driver 2</vt:lpstr>
      <vt:lpstr>Driver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Stefano.Rapisarda</dc:creator>
  <cp:lastModifiedBy>Matteo.Paganini</cp:lastModifiedBy>
  <cp:lastPrinted>2021-08-18T18:07:49Z</cp:lastPrinted>
  <dcterms:created xsi:type="dcterms:W3CDTF">2021-07-23T10:36:36Z</dcterms:created>
  <dcterms:modified xsi:type="dcterms:W3CDTF">2021-08-18T18:40:04Z</dcterms:modified>
</cp:coreProperties>
</file>