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teo.Paganini\Desktop\DataEngineering\LeMans_21R04\KSIKPI\"/>
    </mc:Choice>
  </mc:AlternateContent>
  <xr:revisionPtr revIDLastSave="0" documentId="13_ncr:1_{A503019D-2958-4082-97B5-CD92A09E91D6}" xr6:coauthVersionLast="47" xr6:coauthVersionMax="47" xr10:uidLastSave="{00000000-0000-0000-0000-000000000000}"/>
  <bookViews>
    <workbookView xWindow="-120" yWindow="-120" windowWidth="29040" windowHeight="15840" activeTab="5" xr2:uid="{33A7812F-93B0-42E2-BFA7-E40E9D5444C4}"/>
  </bookViews>
  <sheets>
    <sheet name="CTRL" sheetId="11" r:id="rId1"/>
    <sheet name="Plot_Export" sheetId="12" r:id="rId2"/>
    <sheet name="All" sheetId="3" r:id="rId3"/>
    <sheet name="709_Quali_Outing1" sheetId="26" r:id="rId4"/>
    <sheet name="709_Quali_Outing2" sheetId="30" r:id="rId5"/>
    <sheet name="709_Quali_Outing 3" sheetId="31" r:id="rId6"/>
    <sheet name="Driver 1" sheetId="13" r:id="rId7"/>
    <sheet name="Driver 2" sheetId="14" r:id="rId8"/>
    <sheet name="Driver 3" sheetId="15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9" i="11" l="1"/>
  <c r="P9" i="11"/>
  <c r="P7" i="11"/>
  <c r="P5" i="11"/>
  <c r="IS4" i="3"/>
  <c r="IT4" i="3"/>
  <c r="Q29" i="11"/>
  <c r="Q30" i="11"/>
  <c r="Q31" i="11" s="1"/>
  <c r="Q32" i="11" s="1"/>
  <c r="Q33" i="11" s="1"/>
  <c r="Q34" i="11" s="1"/>
  <c r="Q35" i="11" s="1"/>
  <c r="Q36" i="11" s="1"/>
  <c r="Q37" i="11" s="1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AZ4" i="3"/>
  <c r="BA4" i="3"/>
  <c r="BB4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U4" i="3"/>
  <c r="BV4" i="3"/>
  <c r="BW4" i="3"/>
  <c r="BX4" i="3"/>
  <c r="BY4" i="3"/>
  <c r="BZ4" i="3"/>
  <c r="CA4" i="3"/>
  <c r="CB4" i="3"/>
  <c r="CC4" i="3"/>
  <c r="CD4" i="3"/>
  <c r="CE4" i="3"/>
  <c r="CF4" i="3"/>
  <c r="CG4" i="3"/>
  <c r="CH4" i="3"/>
  <c r="CI4" i="3"/>
  <c r="CJ4" i="3"/>
  <c r="CK4" i="3"/>
  <c r="CL4" i="3"/>
  <c r="CM4" i="3"/>
  <c r="CN4" i="3"/>
  <c r="CO4" i="3"/>
  <c r="CP4" i="3"/>
  <c r="CQ4" i="3"/>
  <c r="CR4" i="3"/>
  <c r="CS4" i="3"/>
  <c r="CT4" i="3"/>
  <c r="CU4" i="3"/>
  <c r="CV4" i="3"/>
  <c r="CW4" i="3"/>
  <c r="CX4" i="3"/>
  <c r="CY4" i="3"/>
  <c r="CZ4" i="3"/>
  <c r="DA4" i="3"/>
  <c r="DB4" i="3"/>
  <c r="DC4" i="3"/>
  <c r="DD4" i="3"/>
  <c r="DE4" i="3"/>
  <c r="DF4" i="3"/>
  <c r="DG4" i="3"/>
  <c r="DH4" i="3"/>
  <c r="DI4" i="3"/>
  <c r="DJ4" i="3"/>
  <c r="DK4" i="3"/>
  <c r="DL4" i="3"/>
  <c r="DM4" i="3"/>
  <c r="DN4" i="3"/>
  <c r="DO4" i="3"/>
  <c r="DP4" i="3"/>
  <c r="DQ4" i="3"/>
  <c r="DR4" i="3"/>
  <c r="DS4" i="3"/>
  <c r="DT4" i="3"/>
  <c r="DU4" i="3"/>
  <c r="DV4" i="3"/>
  <c r="DW4" i="3"/>
  <c r="DX4" i="3"/>
  <c r="DY4" i="3"/>
  <c r="DZ4" i="3"/>
  <c r="EA4" i="3"/>
  <c r="EB4" i="3"/>
  <c r="EC4" i="3"/>
  <c r="ED4" i="3"/>
  <c r="EE4" i="3"/>
  <c r="EF4" i="3"/>
  <c r="EG4" i="3"/>
  <c r="EH4" i="3"/>
  <c r="EI4" i="3"/>
  <c r="EJ4" i="3"/>
  <c r="EK4" i="3"/>
  <c r="EL4" i="3"/>
  <c r="EM4" i="3"/>
  <c r="EN4" i="3"/>
  <c r="EO4" i="3"/>
  <c r="EP4" i="3"/>
  <c r="EQ4" i="3"/>
  <c r="ER4" i="3"/>
  <c r="ES4" i="3"/>
  <c r="ET4" i="3"/>
  <c r="EU4" i="3"/>
  <c r="EV4" i="3"/>
  <c r="EW4" i="3"/>
  <c r="EX4" i="3"/>
  <c r="EY4" i="3"/>
  <c r="EZ4" i="3"/>
  <c r="FA4" i="3"/>
  <c r="FB4" i="3"/>
  <c r="FC4" i="3"/>
  <c r="FD4" i="3"/>
  <c r="FE4" i="3"/>
  <c r="FF4" i="3"/>
  <c r="FG4" i="3"/>
  <c r="FH4" i="3"/>
  <c r="FI4" i="3"/>
  <c r="FJ4" i="3"/>
  <c r="FK4" i="3"/>
  <c r="FL4" i="3"/>
  <c r="FM4" i="3"/>
  <c r="FN4" i="3"/>
  <c r="FO4" i="3"/>
  <c r="FP4" i="3"/>
  <c r="FQ4" i="3"/>
  <c r="FR4" i="3"/>
  <c r="FS4" i="3"/>
  <c r="FT4" i="3"/>
  <c r="FU4" i="3"/>
  <c r="FV4" i="3"/>
  <c r="FW4" i="3"/>
  <c r="FX4" i="3"/>
  <c r="FY4" i="3"/>
  <c r="FZ4" i="3"/>
  <c r="GA4" i="3"/>
  <c r="GB4" i="3"/>
  <c r="GC4" i="3"/>
  <c r="GD4" i="3"/>
  <c r="GE4" i="3"/>
  <c r="GF4" i="3"/>
  <c r="GG4" i="3"/>
  <c r="GH4" i="3"/>
  <c r="GI4" i="3"/>
  <c r="GJ4" i="3"/>
  <c r="GK4" i="3"/>
  <c r="GL4" i="3"/>
  <c r="GM4" i="3"/>
  <c r="GN4" i="3"/>
  <c r="GO4" i="3"/>
  <c r="GP4" i="3"/>
  <c r="GQ4" i="3"/>
  <c r="GR4" i="3"/>
  <c r="GS4" i="3"/>
  <c r="GT4" i="3"/>
  <c r="GU4" i="3"/>
  <c r="GV4" i="3"/>
  <c r="GW4" i="3"/>
  <c r="GX4" i="3"/>
  <c r="GY4" i="3"/>
  <c r="GZ4" i="3"/>
  <c r="HA4" i="3"/>
  <c r="HB4" i="3"/>
  <c r="HC4" i="3"/>
  <c r="HD4" i="3"/>
  <c r="HE4" i="3"/>
  <c r="HF4" i="3"/>
  <c r="HG4" i="3"/>
  <c r="HH4" i="3"/>
  <c r="HI4" i="3"/>
  <c r="HJ4" i="3"/>
  <c r="HK4" i="3"/>
  <c r="HL4" i="3"/>
  <c r="HM4" i="3"/>
  <c r="HN4" i="3"/>
  <c r="HO4" i="3"/>
  <c r="HP4" i="3"/>
  <c r="HQ4" i="3"/>
  <c r="HR4" i="3"/>
  <c r="HS4" i="3"/>
  <c r="HT4" i="3"/>
  <c r="HU4" i="3"/>
  <c r="HV4" i="3"/>
  <c r="HW4" i="3"/>
  <c r="HX4" i="3"/>
  <c r="HY4" i="3"/>
  <c r="HZ4" i="3"/>
  <c r="IA4" i="3"/>
  <c r="IB4" i="3"/>
  <c r="IC4" i="3"/>
  <c r="ID4" i="3"/>
  <c r="IE4" i="3"/>
  <c r="IF4" i="3"/>
  <c r="IG4" i="3"/>
  <c r="IH4" i="3"/>
  <c r="II4" i="3"/>
  <c r="IJ4" i="3"/>
  <c r="IK4" i="3"/>
  <c r="IL4" i="3"/>
  <c r="IM4" i="3"/>
  <c r="IN4" i="3"/>
  <c r="IO4" i="3"/>
  <c r="IP4" i="3"/>
  <c r="IQ4" i="3"/>
  <c r="IR4" i="3"/>
  <c r="B4" i="3"/>
  <c r="C84" i="11"/>
  <c r="X37" i="11"/>
  <c r="C81" i="11"/>
  <c r="C82" i="11"/>
  <c r="C83" i="11"/>
  <c r="C80" i="11"/>
  <c r="C77" i="11"/>
  <c r="C78" i="11"/>
  <c r="C79" i="11"/>
  <c r="C76" i="11"/>
  <c r="C75" i="11"/>
  <c r="C74" i="11"/>
  <c r="C73" i="11"/>
  <c r="C72" i="11"/>
  <c r="C71" i="11"/>
  <c r="C70" i="11"/>
  <c r="C69" i="11"/>
  <c r="C68" i="11"/>
  <c r="C67" i="11"/>
  <c r="C66" i="11"/>
  <c r="C65" i="11"/>
  <c r="C64" i="11"/>
  <c r="C63" i="11"/>
  <c r="C62" i="11"/>
  <c r="C61" i="11"/>
  <c r="C60" i="11"/>
  <c r="C59" i="11"/>
  <c r="C58" i="11"/>
  <c r="C57" i="11"/>
  <c r="D56" i="11"/>
  <c r="C56" i="11"/>
  <c r="C55" i="11"/>
  <c r="AP3" i="3"/>
  <c r="D81" i="11"/>
  <c r="D82" i="11" s="1"/>
  <c r="D83" i="11" s="1"/>
  <c r="T13" i="11"/>
  <c r="Q11" i="11"/>
  <c r="P11" i="11"/>
  <c r="P6" i="11"/>
  <c r="Q6" i="11" s="1"/>
  <c r="X20" i="11"/>
  <c r="C24" i="11" s="1"/>
  <c r="D77" i="11"/>
  <c r="D78" i="11" s="1"/>
  <c r="D79" i="11" s="1"/>
  <c r="D73" i="11"/>
  <c r="D74" i="11" s="1"/>
  <c r="D75" i="11" s="1"/>
  <c r="D70" i="11"/>
  <c r="D66" i="11"/>
  <c r="D67" i="11" s="1"/>
  <c r="D68" i="11" s="1"/>
  <c r="D62" i="11"/>
  <c r="D63" i="11" s="1"/>
  <c r="D64" i="11" s="1"/>
  <c r="D58" i="11"/>
  <c r="D59" i="11" s="1"/>
  <c r="D60" i="11" s="1"/>
  <c r="D52" i="11"/>
  <c r="D53" i="11" s="1"/>
  <c r="D54" i="11" s="1"/>
  <c r="D48" i="11"/>
  <c r="D49" i="11" s="1"/>
  <c r="D50" i="11" s="1"/>
  <c r="D44" i="11"/>
  <c r="D45" i="11" s="1"/>
  <c r="D46" i="11" s="1"/>
  <c r="D41" i="11"/>
  <c r="D42" i="11" s="1"/>
  <c r="D38" i="11"/>
  <c r="D39" i="11" s="1"/>
  <c r="D32" i="11"/>
  <c r="D33" i="11" s="1"/>
  <c r="D34" i="11" s="1"/>
  <c r="D28" i="11"/>
  <c r="D29" i="11" s="1"/>
  <c r="D30" i="11" s="1"/>
  <c r="D24" i="11"/>
  <c r="D25" i="11" s="1"/>
  <c r="D26" i="11" s="1"/>
  <c r="D20" i="11"/>
  <c r="D21" i="11" s="1"/>
  <c r="D22" i="11" s="1"/>
  <c r="Q20" i="11"/>
  <c r="Q21" i="11" s="1"/>
  <c r="Q22" i="11" s="1"/>
  <c r="Q23" i="11" s="1"/>
  <c r="Q24" i="11" s="1"/>
  <c r="Q25" i="11" s="1"/>
  <c r="Q26" i="11" s="1"/>
  <c r="Q27" i="11" s="1"/>
  <c r="Q28" i="11" s="1"/>
  <c r="F84" i="11"/>
  <c r="E84" i="11"/>
  <c r="F83" i="11"/>
  <c r="G83" i="11"/>
  <c r="H83" i="11"/>
  <c r="I83" i="11"/>
  <c r="J83" i="11"/>
  <c r="K83" i="11"/>
  <c r="L83" i="11"/>
  <c r="E83" i="11"/>
  <c r="K82" i="11"/>
  <c r="F82" i="11"/>
  <c r="G82" i="11"/>
  <c r="H82" i="11"/>
  <c r="I82" i="11"/>
  <c r="J82" i="11"/>
  <c r="E82" i="11"/>
  <c r="F81" i="11"/>
  <c r="G81" i="11"/>
  <c r="E81" i="11"/>
  <c r="G80" i="11"/>
  <c r="F80" i="11"/>
  <c r="E80" i="11"/>
  <c r="F79" i="11"/>
  <c r="G79" i="11"/>
  <c r="H79" i="11"/>
  <c r="I79" i="11"/>
  <c r="J79" i="11"/>
  <c r="E79" i="11"/>
  <c r="G78" i="11"/>
  <c r="F78" i="11"/>
  <c r="E78" i="11"/>
  <c r="G77" i="11"/>
  <c r="F77" i="11"/>
  <c r="E77" i="11"/>
  <c r="G76" i="11"/>
  <c r="F76" i="11"/>
  <c r="E76" i="11"/>
  <c r="H75" i="11"/>
  <c r="G75" i="11"/>
  <c r="F75" i="11"/>
  <c r="E75" i="11"/>
  <c r="E74" i="11"/>
  <c r="E73" i="11"/>
  <c r="H72" i="11"/>
  <c r="I72" i="11"/>
  <c r="G72" i="11"/>
  <c r="F72" i="11"/>
  <c r="E72" i="11"/>
  <c r="H68" i="11"/>
  <c r="F68" i="11"/>
  <c r="G68" i="11"/>
  <c r="E68" i="11"/>
  <c r="F67" i="11"/>
  <c r="G67" i="11"/>
  <c r="H67" i="11"/>
  <c r="E67" i="11"/>
  <c r="F66" i="11"/>
  <c r="G66" i="11"/>
  <c r="H66" i="11"/>
  <c r="E66" i="11"/>
  <c r="F65" i="11"/>
  <c r="E65" i="11"/>
  <c r="F64" i="11"/>
  <c r="E64" i="11"/>
  <c r="G63" i="11"/>
  <c r="H63" i="11"/>
  <c r="F63" i="11"/>
  <c r="E63" i="11"/>
  <c r="F62" i="11"/>
  <c r="G62" i="11"/>
  <c r="H62" i="11"/>
  <c r="E62" i="11"/>
  <c r="I61" i="11"/>
  <c r="H61" i="11"/>
  <c r="G61" i="11"/>
  <c r="F61" i="11"/>
  <c r="E61" i="11"/>
  <c r="H60" i="11"/>
  <c r="G60" i="11"/>
  <c r="F60" i="11"/>
  <c r="E60" i="11"/>
  <c r="F59" i="11"/>
  <c r="G59" i="11"/>
  <c r="H59" i="11"/>
  <c r="I59" i="11"/>
  <c r="J59" i="11"/>
  <c r="K59" i="11"/>
  <c r="L59" i="11"/>
  <c r="E59" i="11"/>
  <c r="H58" i="11"/>
  <c r="G58" i="11"/>
  <c r="F58" i="11"/>
  <c r="E58" i="11"/>
  <c r="H57" i="11"/>
  <c r="G57" i="11"/>
  <c r="F57" i="11"/>
  <c r="E57" i="11"/>
  <c r="J54" i="11"/>
  <c r="K54" i="11"/>
  <c r="L54" i="11"/>
  <c r="I54" i="11"/>
  <c r="F54" i="11"/>
  <c r="G54" i="11"/>
  <c r="H54" i="11"/>
  <c r="E54" i="11"/>
  <c r="F53" i="11"/>
  <c r="E53" i="11"/>
  <c r="F52" i="11"/>
  <c r="G52" i="11"/>
  <c r="H52" i="11"/>
  <c r="E52" i="11"/>
  <c r="F51" i="11"/>
  <c r="G51" i="11"/>
  <c r="H51" i="11"/>
  <c r="E51" i="11"/>
  <c r="F50" i="11"/>
  <c r="G50" i="11"/>
  <c r="H50" i="11"/>
  <c r="E50" i="11"/>
  <c r="F49" i="11"/>
  <c r="G49" i="11"/>
  <c r="H49" i="11"/>
  <c r="E49" i="11"/>
  <c r="F48" i="11"/>
  <c r="G48" i="11"/>
  <c r="H48" i="11"/>
  <c r="E48" i="11"/>
  <c r="F47" i="11"/>
  <c r="G47" i="11"/>
  <c r="H47" i="11"/>
  <c r="E47" i="11"/>
  <c r="F46" i="11"/>
  <c r="G46" i="11"/>
  <c r="H46" i="11"/>
  <c r="E46" i="11"/>
  <c r="F45" i="11"/>
  <c r="G45" i="11"/>
  <c r="H45" i="11"/>
  <c r="E45" i="11"/>
  <c r="F44" i="11"/>
  <c r="G44" i="11"/>
  <c r="H44" i="11"/>
  <c r="E44" i="11"/>
  <c r="F43" i="11"/>
  <c r="G43" i="11"/>
  <c r="H43" i="11"/>
  <c r="E43" i="11"/>
  <c r="F42" i="11"/>
  <c r="E42" i="11"/>
  <c r="F41" i="11"/>
  <c r="G41" i="11"/>
  <c r="E41" i="11"/>
  <c r="E40" i="11"/>
  <c r="F39" i="11"/>
  <c r="E39" i="11"/>
  <c r="H38" i="11"/>
  <c r="G38" i="11"/>
  <c r="F38" i="11"/>
  <c r="E38" i="11"/>
  <c r="F37" i="11"/>
  <c r="G37" i="11"/>
  <c r="H37" i="11"/>
  <c r="E37" i="11"/>
  <c r="F36" i="11"/>
  <c r="E36" i="11"/>
  <c r="F35" i="11"/>
  <c r="E35" i="11"/>
  <c r="F34" i="11"/>
  <c r="G34" i="11"/>
  <c r="H34" i="11"/>
  <c r="E34" i="11"/>
  <c r="F33" i="11"/>
  <c r="G33" i="11"/>
  <c r="H33" i="11"/>
  <c r="E33" i="11"/>
  <c r="F32" i="11"/>
  <c r="E32" i="11"/>
  <c r="F31" i="11"/>
  <c r="E31" i="11"/>
  <c r="F30" i="11"/>
  <c r="E30" i="11"/>
  <c r="F29" i="11"/>
  <c r="E29" i="11"/>
  <c r="F28" i="11"/>
  <c r="E28" i="11"/>
  <c r="F27" i="11"/>
  <c r="E27" i="11"/>
  <c r="F26" i="11"/>
  <c r="E26" i="11"/>
  <c r="G25" i="11"/>
  <c r="F25" i="11"/>
  <c r="E25" i="11"/>
  <c r="G24" i="11"/>
  <c r="F24" i="11"/>
  <c r="E24" i="11"/>
  <c r="F23" i="11"/>
  <c r="G23" i="11"/>
  <c r="E23" i="11"/>
  <c r="I22" i="11"/>
  <c r="F22" i="11"/>
  <c r="G22" i="11"/>
  <c r="H22" i="11"/>
  <c r="E22" i="11"/>
  <c r="E21" i="11"/>
  <c r="F20" i="11"/>
  <c r="E20" i="11"/>
  <c r="IA3" i="3"/>
  <c r="IA2" i="3"/>
  <c r="CP2" i="3"/>
  <c r="CQ2" i="3"/>
  <c r="CR2" i="3"/>
  <c r="CS2" i="3"/>
  <c r="CT2" i="3"/>
  <c r="CU2" i="3"/>
  <c r="CV2" i="3"/>
  <c r="CW2" i="3"/>
  <c r="CX2" i="3"/>
  <c r="CY2" i="3"/>
  <c r="CZ2" i="3"/>
  <c r="DA2" i="3"/>
  <c r="DB2" i="3"/>
  <c r="DC2" i="3"/>
  <c r="DD2" i="3"/>
  <c r="DE2" i="3"/>
  <c r="DF2" i="3"/>
  <c r="DG2" i="3"/>
  <c r="DH2" i="3"/>
  <c r="DI2" i="3"/>
  <c r="DJ2" i="3"/>
  <c r="DK2" i="3"/>
  <c r="DL2" i="3"/>
  <c r="DM2" i="3"/>
  <c r="DN2" i="3"/>
  <c r="DO2" i="3"/>
  <c r="DP2" i="3"/>
  <c r="DQ2" i="3"/>
  <c r="DR2" i="3"/>
  <c r="DS2" i="3"/>
  <c r="DT2" i="3"/>
  <c r="DU2" i="3"/>
  <c r="DV2" i="3"/>
  <c r="DW2" i="3"/>
  <c r="DX2" i="3"/>
  <c r="DY2" i="3"/>
  <c r="DZ2" i="3"/>
  <c r="EA2" i="3"/>
  <c r="EB2" i="3"/>
  <c r="EC2" i="3"/>
  <c r="ED2" i="3"/>
  <c r="EE2" i="3"/>
  <c r="EF2" i="3"/>
  <c r="EG2" i="3"/>
  <c r="EH2" i="3"/>
  <c r="EI2" i="3"/>
  <c r="EJ2" i="3"/>
  <c r="EK2" i="3"/>
  <c r="EL2" i="3"/>
  <c r="EM2" i="3"/>
  <c r="EN2" i="3"/>
  <c r="EO2" i="3"/>
  <c r="EP2" i="3"/>
  <c r="EQ2" i="3"/>
  <c r="ER2" i="3"/>
  <c r="ES2" i="3"/>
  <c r="ET2" i="3"/>
  <c r="EU2" i="3"/>
  <c r="EV2" i="3"/>
  <c r="EW2" i="3"/>
  <c r="EX2" i="3"/>
  <c r="EY2" i="3"/>
  <c r="EZ2" i="3"/>
  <c r="FA2" i="3"/>
  <c r="FB2" i="3"/>
  <c r="FC2" i="3"/>
  <c r="FD2" i="3"/>
  <c r="FE2" i="3"/>
  <c r="FF2" i="3"/>
  <c r="FG2" i="3"/>
  <c r="FH2" i="3"/>
  <c r="FI2" i="3"/>
  <c r="FJ2" i="3"/>
  <c r="FK2" i="3"/>
  <c r="FL2" i="3"/>
  <c r="FM2" i="3"/>
  <c r="FN2" i="3"/>
  <c r="FO2" i="3"/>
  <c r="FP2" i="3"/>
  <c r="FQ2" i="3"/>
  <c r="FR2" i="3"/>
  <c r="FS2" i="3"/>
  <c r="FT2" i="3"/>
  <c r="FU2" i="3"/>
  <c r="FV2" i="3"/>
  <c r="FW2" i="3"/>
  <c r="FX2" i="3"/>
  <c r="FY2" i="3"/>
  <c r="FZ2" i="3"/>
  <c r="GA2" i="3"/>
  <c r="GB2" i="3"/>
  <c r="GC2" i="3"/>
  <c r="GD2" i="3"/>
  <c r="GE2" i="3"/>
  <c r="GF2" i="3"/>
  <c r="GG2" i="3"/>
  <c r="GH2" i="3"/>
  <c r="GI2" i="3"/>
  <c r="GJ2" i="3"/>
  <c r="GK2" i="3"/>
  <c r="GL2" i="3"/>
  <c r="GM2" i="3"/>
  <c r="GN2" i="3"/>
  <c r="GO2" i="3"/>
  <c r="GP2" i="3"/>
  <c r="GQ2" i="3"/>
  <c r="GR2" i="3"/>
  <c r="GS2" i="3"/>
  <c r="GT2" i="3"/>
  <c r="GU2" i="3"/>
  <c r="GV2" i="3"/>
  <c r="GW2" i="3"/>
  <c r="GX2" i="3"/>
  <c r="GY2" i="3"/>
  <c r="GZ2" i="3"/>
  <c r="HA2" i="3"/>
  <c r="HB2" i="3"/>
  <c r="HC2" i="3"/>
  <c r="HD2" i="3"/>
  <c r="HE2" i="3"/>
  <c r="HF2" i="3"/>
  <c r="HG2" i="3"/>
  <c r="HH2" i="3"/>
  <c r="HI2" i="3"/>
  <c r="HJ2" i="3"/>
  <c r="HK2" i="3"/>
  <c r="HL2" i="3"/>
  <c r="HM2" i="3"/>
  <c r="HN2" i="3"/>
  <c r="HO2" i="3"/>
  <c r="HP2" i="3"/>
  <c r="HQ2" i="3"/>
  <c r="HR2" i="3"/>
  <c r="HS2" i="3"/>
  <c r="HT2" i="3"/>
  <c r="HU2" i="3"/>
  <c r="HV2" i="3"/>
  <c r="HW2" i="3"/>
  <c r="HX2" i="3"/>
  <c r="HY2" i="3"/>
  <c r="HZ2" i="3"/>
  <c r="CP3" i="3"/>
  <c r="CQ3" i="3"/>
  <c r="CR3" i="3"/>
  <c r="CS3" i="3"/>
  <c r="CT3" i="3"/>
  <c r="CU3" i="3"/>
  <c r="CV3" i="3"/>
  <c r="CW3" i="3"/>
  <c r="CX3" i="3"/>
  <c r="CY3" i="3"/>
  <c r="CZ3" i="3"/>
  <c r="DA3" i="3"/>
  <c r="DB3" i="3"/>
  <c r="DC3" i="3"/>
  <c r="DD3" i="3"/>
  <c r="DE3" i="3"/>
  <c r="DF3" i="3"/>
  <c r="DG3" i="3"/>
  <c r="DH3" i="3"/>
  <c r="DI3" i="3"/>
  <c r="DJ3" i="3"/>
  <c r="DK3" i="3"/>
  <c r="DL3" i="3"/>
  <c r="DM3" i="3"/>
  <c r="DN3" i="3"/>
  <c r="DO3" i="3"/>
  <c r="DP3" i="3"/>
  <c r="DQ3" i="3"/>
  <c r="DR3" i="3"/>
  <c r="DS3" i="3"/>
  <c r="DT3" i="3"/>
  <c r="DU3" i="3"/>
  <c r="DV3" i="3"/>
  <c r="DW3" i="3"/>
  <c r="DX3" i="3"/>
  <c r="DY3" i="3"/>
  <c r="DZ3" i="3"/>
  <c r="EA3" i="3"/>
  <c r="EB3" i="3"/>
  <c r="EC3" i="3"/>
  <c r="ED3" i="3"/>
  <c r="EE3" i="3"/>
  <c r="EF3" i="3"/>
  <c r="EG3" i="3"/>
  <c r="EH3" i="3"/>
  <c r="EI3" i="3"/>
  <c r="EJ3" i="3"/>
  <c r="EK3" i="3"/>
  <c r="EL3" i="3"/>
  <c r="EM3" i="3"/>
  <c r="EN3" i="3"/>
  <c r="EO3" i="3"/>
  <c r="EP3" i="3"/>
  <c r="EQ3" i="3"/>
  <c r="ER3" i="3"/>
  <c r="ES3" i="3"/>
  <c r="ET3" i="3"/>
  <c r="EU3" i="3"/>
  <c r="EV3" i="3"/>
  <c r="EW3" i="3"/>
  <c r="EX3" i="3"/>
  <c r="EY3" i="3"/>
  <c r="EZ3" i="3"/>
  <c r="FA3" i="3"/>
  <c r="FB3" i="3"/>
  <c r="FC3" i="3"/>
  <c r="FD3" i="3"/>
  <c r="FE3" i="3"/>
  <c r="FF3" i="3"/>
  <c r="FG3" i="3"/>
  <c r="FH3" i="3"/>
  <c r="FI3" i="3"/>
  <c r="FJ3" i="3"/>
  <c r="FK3" i="3"/>
  <c r="FL3" i="3"/>
  <c r="FM3" i="3"/>
  <c r="FN3" i="3"/>
  <c r="FO3" i="3"/>
  <c r="FP3" i="3"/>
  <c r="FQ3" i="3"/>
  <c r="FR3" i="3"/>
  <c r="FS3" i="3"/>
  <c r="FT3" i="3"/>
  <c r="FU3" i="3"/>
  <c r="FV3" i="3"/>
  <c r="FW3" i="3"/>
  <c r="FX3" i="3"/>
  <c r="FY3" i="3"/>
  <c r="FZ3" i="3"/>
  <c r="GA3" i="3"/>
  <c r="GB3" i="3"/>
  <c r="GC3" i="3"/>
  <c r="GD3" i="3"/>
  <c r="GE3" i="3"/>
  <c r="GF3" i="3"/>
  <c r="GG3" i="3"/>
  <c r="GH3" i="3"/>
  <c r="GI3" i="3"/>
  <c r="GJ3" i="3"/>
  <c r="GK3" i="3"/>
  <c r="GL3" i="3"/>
  <c r="GM3" i="3"/>
  <c r="GN3" i="3"/>
  <c r="GO3" i="3"/>
  <c r="GP3" i="3"/>
  <c r="GQ3" i="3"/>
  <c r="GR3" i="3"/>
  <c r="GS3" i="3"/>
  <c r="GT3" i="3"/>
  <c r="GU3" i="3"/>
  <c r="GV3" i="3"/>
  <c r="GW3" i="3"/>
  <c r="GX3" i="3"/>
  <c r="GY3" i="3"/>
  <c r="GZ3" i="3"/>
  <c r="HA3" i="3"/>
  <c r="HB3" i="3"/>
  <c r="HC3" i="3"/>
  <c r="HD3" i="3"/>
  <c r="HE3" i="3"/>
  <c r="HF3" i="3"/>
  <c r="HG3" i="3"/>
  <c r="HH3" i="3"/>
  <c r="HI3" i="3"/>
  <c r="HJ3" i="3"/>
  <c r="HK3" i="3"/>
  <c r="HL3" i="3"/>
  <c r="HM3" i="3"/>
  <c r="HN3" i="3"/>
  <c r="HO3" i="3"/>
  <c r="HP3" i="3"/>
  <c r="HQ3" i="3"/>
  <c r="HR3" i="3"/>
  <c r="HS3" i="3"/>
  <c r="HT3" i="3"/>
  <c r="HU3" i="3"/>
  <c r="HV3" i="3"/>
  <c r="HW3" i="3"/>
  <c r="HX3" i="3"/>
  <c r="HY3" i="3"/>
  <c r="HZ3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BV2" i="3"/>
  <c r="BW2" i="3"/>
  <c r="BX2" i="3"/>
  <c r="BY2" i="3"/>
  <c r="BZ2" i="3"/>
  <c r="CA2" i="3"/>
  <c r="CB2" i="3"/>
  <c r="CG2" i="3"/>
  <c r="CH2" i="3"/>
  <c r="CI2" i="3"/>
  <c r="CJ2" i="3"/>
  <c r="CK2" i="3"/>
  <c r="CL2" i="3"/>
  <c r="CM2" i="3"/>
  <c r="CN2" i="3"/>
  <c r="CO2" i="3"/>
  <c r="BI3" i="3"/>
  <c r="BJ3" i="3"/>
  <c r="BK3" i="3"/>
  <c r="BL3" i="3"/>
  <c r="BM3" i="3"/>
  <c r="BN3" i="3"/>
  <c r="BO3" i="3"/>
  <c r="BP3" i="3"/>
  <c r="BQ3" i="3"/>
  <c r="BR3" i="3"/>
  <c r="BS3" i="3"/>
  <c r="BT3" i="3"/>
  <c r="BU3" i="3"/>
  <c r="BV3" i="3"/>
  <c r="BW3" i="3"/>
  <c r="BX3" i="3"/>
  <c r="BY3" i="3"/>
  <c r="BZ3" i="3"/>
  <c r="CA3" i="3"/>
  <c r="CB3" i="3"/>
  <c r="CG3" i="3"/>
  <c r="CH3" i="3"/>
  <c r="CI3" i="3"/>
  <c r="CJ3" i="3"/>
  <c r="CK3" i="3"/>
  <c r="CL3" i="3"/>
  <c r="CM3" i="3"/>
  <c r="CN3" i="3"/>
  <c r="CO3" i="3"/>
  <c r="BH3" i="3"/>
  <c r="BG3" i="3"/>
  <c r="BF3" i="3"/>
  <c r="BE3" i="3"/>
  <c r="BD3" i="3"/>
  <c r="BC3" i="3"/>
  <c r="BB3" i="3"/>
  <c r="BA3" i="3"/>
  <c r="AZ3" i="3"/>
  <c r="AY3" i="3"/>
  <c r="AX3" i="3"/>
  <c r="AW3" i="3"/>
  <c r="AV3" i="3"/>
  <c r="AU3" i="3"/>
  <c r="AT3" i="3"/>
  <c r="AS3" i="3"/>
  <c r="AR3" i="3"/>
  <c r="AO3" i="3"/>
  <c r="AN3" i="3"/>
  <c r="AM3" i="3"/>
  <c r="AL3" i="3"/>
  <c r="AK3" i="3"/>
  <c r="AJ3" i="3"/>
  <c r="AI3" i="3"/>
  <c r="AH3" i="3"/>
  <c r="AG3" i="3"/>
  <c r="AF3" i="3"/>
  <c r="AE3" i="3"/>
  <c r="AD3" i="3"/>
  <c r="AC3" i="3"/>
  <c r="AB3" i="3"/>
  <c r="AA3" i="3"/>
  <c r="Z3" i="3"/>
  <c r="Y3" i="3"/>
  <c r="X3" i="3"/>
  <c r="W3" i="3"/>
  <c r="V3" i="3"/>
  <c r="U3" i="3"/>
  <c r="T3" i="3"/>
  <c r="S3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H2" i="3"/>
  <c r="BG2" i="3"/>
  <c r="BF2" i="3"/>
  <c r="BE2" i="3"/>
  <c r="BD2" i="3"/>
  <c r="BC2" i="3"/>
  <c r="BB2" i="3"/>
  <c r="BA2" i="3"/>
  <c r="AZ2" i="3"/>
  <c r="AY2" i="3"/>
  <c r="AX2" i="3"/>
  <c r="AW2" i="3"/>
  <c r="AV2" i="3"/>
  <c r="AU2" i="3"/>
  <c r="AT2" i="3"/>
  <c r="AS2" i="3"/>
  <c r="AR2" i="3"/>
  <c r="AO2" i="3"/>
  <c r="AN2" i="3"/>
  <c r="AM2" i="3"/>
  <c r="AL2" i="3"/>
  <c r="AK2" i="3"/>
  <c r="AJ2" i="3"/>
  <c r="AI2" i="3"/>
  <c r="AH2" i="3"/>
  <c r="AG2" i="3"/>
  <c r="AF2" i="3"/>
  <c r="AE2" i="3"/>
  <c r="AD2" i="3"/>
  <c r="AC2" i="3"/>
  <c r="AB2" i="3"/>
  <c r="AA2" i="3"/>
  <c r="Z2" i="3"/>
  <c r="Y2" i="3"/>
  <c r="X2" i="3"/>
  <c r="W2" i="3"/>
  <c r="V2" i="3"/>
  <c r="U2" i="3"/>
  <c r="T2" i="3"/>
  <c r="S2" i="3"/>
  <c r="R2" i="3"/>
  <c r="Q2" i="3"/>
  <c r="P2" i="3"/>
  <c r="O2" i="3"/>
  <c r="N2" i="3"/>
  <c r="M2" i="3"/>
  <c r="L2" i="3"/>
  <c r="K2" i="3"/>
  <c r="J2" i="3"/>
  <c r="I2" i="3"/>
  <c r="H2" i="3"/>
  <c r="G2" i="3"/>
  <c r="F2" i="3"/>
  <c r="E2" i="3"/>
  <c r="D2" i="3"/>
  <c r="C2" i="3"/>
  <c r="AQ2" i="3" l="1"/>
  <c r="AQ3" i="3"/>
  <c r="CF2" i="3"/>
  <c r="CF3" i="3"/>
  <c r="CE3" i="3"/>
  <c r="CE2" i="3"/>
  <c r="CC3" i="3"/>
  <c r="AP2" i="3"/>
  <c r="CD3" i="3"/>
  <c r="CC2" i="3"/>
  <c r="CD2" i="3"/>
  <c r="C25" i="11"/>
  <c r="C23" i="11"/>
  <c r="X21" i="11"/>
  <c r="X22" i="11" s="1"/>
  <c r="X23" i="11" s="1"/>
  <c r="X24" i="11" s="1"/>
  <c r="X25" i="11" s="1"/>
  <c r="X26" i="11" s="1"/>
  <c r="X27" i="11" s="1"/>
  <c r="X28" i="11" s="1"/>
  <c r="X29" i="11" s="1"/>
  <c r="X30" i="11" s="1"/>
  <c r="X31" i="11" s="1"/>
  <c r="X32" i="11" s="1"/>
  <c r="C26" i="11"/>
  <c r="X33" i="11" l="1"/>
  <c r="X34" i="11" s="1"/>
  <c r="X35" i="11" s="1"/>
  <c r="Q5" i="11"/>
  <c r="O5" i="11"/>
  <c r="O7" i="11"/>
  <c r="Q7" i="11"/>
  <c r="C29" i="11"/>
  <c r="C30" i="11"/>
  <c r="C27" i="11"/>
  <c r="C28" i="11"/>
  <c r="C31" i="11"/>
  <c r="C32" i="11"/>
  <c r="C33" i="11"/>
  <c r="C34" i="11"/>
  <c r="X36" i="11" l="1"/>
  <c r="C36" i="11"/>
  <c r="C35" i="11"/>
  <c r="C39" i="11" l="1"/>
  <c r="C37" i="11"/>
  <c r="C38" i="11"/>
  <c r="C41" i="11" l="1"/>
  <c r="C42" i="11"/>
  <c r="C40" i="11"/>
  <c r="C44" i="11" l="1"/>
  <c r="C45" i="11"/>
  <c r="C46" i="11"/>
  <c r="C43" i="11"/>
  <c r="C47" i="11" l="1"/>
  <c r="C48" i="11"/>
  <c r="C49" i="11"/>
  <c r="C50" i="11"/>
  <c r="C52" i="11" l="1"/>
  <c r="C53" i="11"/>
  <c r="C54" i="11"/>
  <c r="C51" i="11"/>
</calcChain>
</file>

<file path=xl/sharedStrings.xml><?xml version="1.0" encoding="utf-8"?>
<sst xmlns="http://schemas.openxmlformats.org/spreadsheetml/2006/main" count="1237" uniqueCount="418">
  <si>
    <t>Evaluate</t>
  </si>
  <si>
    <t>Lap</t>
  </si>
  <si>
    <t>Laptime</t>
  </si>
  <si>
    <t>Max laptime</t>
  </si>
  <si>
    <t>Max speed</t>
  </si>
  <si>
    <t>Lap-Diff fuelcons_kg</t>
  </si>
  <si>
    <t>Max FIA_TCockpit</t>
  </si>
  <si>
    <t>Max CrossTimeLap</t>
  </si>
  <si>
    <t>Max CoastTimeLap</t>
  </si>
  <si>
    <t>Ave understeer</t>
  </si>
  <si>
    <t>Ave understeer_LS</t>
  </si>
  <si>
    <t>Ave understeer_MS</t>
  </si>
  <si>
    <t>Ave understeer_HS</t>
  </si>
  <si>
    <t>Max pbrake_f</t>
  </si>
  <si>
    <t>Min tdisk_fl</t>
  </si>
  <si>
    <t>Min tdisk_fr</t>
  </si>
  <si>
    <t>Min tdisk_rl</t>
  </si>
  <si>
    <t>Min tdisk_rr</t>
  </si>
  <si>
    <t>Ave tdisk_fl</t>
  </si>
  <si>
    <t>Ave tdisk_fr</t>
  </si>
  <si>
    <t>Ave tdisk_rl</t>
  </si>
  <si>
    <t>Ave tdisk_rr</t>
  </si>
  <si>
    <t>Ave Pres_Rel_FL</t>
  </si>
  <si>
    <t>Ave Pres_Rel_FR</t>
  </si>
  <si>
    <t>Ave Pres_Rel_RL</t>
  </si>
  <si>
    <t>Ave Pres_Rel_RR</t>
  </si>
  <si>
    <t>Ave CPL_FL</t>
  </si>
  <si>
    <t>Ave CPL_FR</t>
  </si>
  <si>
    <t>Ave CPL_RL</t>
  </si>
  <si>
    <t>Ave CPL_RR</t>
  </si>
  <si>
    <t>Min Oil_level</t>
  </si>
  <si>
    <t>Ave Oil_level</t>
  </si>
  <si>
    <t>Ave pcrank</t>
  </si>
  <si>
    <t>Max pwat_pod</t>
  </si>
  <si>
    <t>Min pfuel</t>
  </si>
  <si>
    <t>Max nmot</t>
  </si>
  <si>
    <t>Max mlo_egt_present_current_can</t>
  </si>
  <si>
    <t>Max Load_FL_Ch1</t>
  </si>
  <si>
    <t>Max Load_FR_Ch1</t>
  </si>
  <si>
    <t>Max Load_RL_Ch1</t>
  </si>
  <si>
    <t>Max Load_RR_Ch1</t>
  </si>
  <si>
    <t>#1</t>
  </si>
  <si>
    <t>#2</t>
  </si>
  <si>
    <t>#3</t>
  </si>
  <si>
    <t>#4</t>
  </si>
  <si>
    <t>#5</t>
  </si>
  <si>
    <t>#6</t>
  </si>
  <si>
    <t>max</t>
  </si>
  <si>
    <t>min</t>
  </si>
  <si>
    <t>s2</t>
  </si>
  <si>
    <t>s3</t>
  </si>
  <si>
    <t>s4</t>
  </si>
  <si>
    <t>s5</t>
  </si>
  <si>
    <t>Ave frh_pitlane</t>
  </si>
  <si>
    <t>Ave rrh_pitlane</t>
  </si>
  <si>
    <t>Ave Ride_F_pit</t>
  </si>
  <si>
    <t>Ave Ride_RL_pit</t>
  </si>
  <si>
    <t>Ave Ride_RR_pit</t>
  </si>
  <si>
    <t>s6</t>
  </si>
  <si>
    <t>Tyres</t>
  </si>
  <si>
    <t>Brakes</t>
  </si>
  <si>
    <t>Engine</t>
  </si>
  <si>
    <t>Max tgear</t>
  </si>
  <si>
    <t>Max tcaliper_fl</t>
  </si>
  <si>
    <t>Max tcaliper_fr</t>
  </si>
  <si>
    <t>Max tcaliper_rl</t>
  </si>
  <si>
    <t>Max tcaliper_rr</t>
  </si>
  <si>
    <t>Driver</t>
  </si>
  <si>
    <t>Ave Brake_bal %</t>
  </si>
  <si>
    <t>Ave Pitlane_Speed</t>
  </si>
  <si>
    <t>Ave FIA_TCockpit</t>
  </si>
  <si>
    <t>Ave Rpm_Upshift</t>
  </si>
  <si>
    <t>Ave Fz_balance</t>
  </si>
  <si>
    <t>Ave Fz_balance_lowspeedcorners</t>
  </si>
  <si>
    <t>Ave Fz_balance_mediumspeedcorners</t>
  </si>
  <si>
    <t>Ave Fz_balance_fastcorners</t>
  </si>
  <si>
    <t>Max accx_onThrottle</t>
  </si>
  <si>
    <t>Max accx_onBrakes</t>
  </si>
  <si>
    <t>Max accy_LeftCorners</t>
  </si>
  <si>
    <t>Max accy_RightCorners</t>
  </si>
  <si>
    <t>Ave CzF_160kph</t>
  </si>
  <si>
    <t>Ave CzR_160kph</t>
  </si>
  <si>
    <t>Ave CzF_220kph</t>
  </si>
  <si>
    <t>Ave CzR_220kph</t>
  </si>
  <si>
    <t>Ave ub</t>
  </si>
  <si>
    <t>Min ub</t>
  </si>
  <si>
    <t>Ave LAP_Throttle_Smoothness</t>
  </si>
  <si>
    <t>Ave LAP_BrakeRelease_Smoothness</t>
  </si>
  <si>
    <t>Ave LAP_SW_Smoothness</t>
  </si>
  <si>
    <t>Max time_FL_Locking</t>
  </si>
  <si>
    <t>Max time_FR_Locking</t>
  </si>
  <si>
    <t>Max time_RL_Locking</t>
  </si>
  <si>
    <t>Max time_RR_Locking</t>
  </si>
  <si>
    <t>Aerodynamics 2</t>
  </si>
  <si>
    <t>Driver 2</t>
  </si>
  <si>
    <t>System</t>
  </si>
  <si>
    <t>Ave tcaliper_fl</t>
  </si>
  <si>
    <t>Ave tcaliper_fr</t>
  </si>
  <si>
    <t>Ave tcaliper_rl</t>
  </si>
  <si>
    <t>Ave tcaliper_rr</t>
  </si>
  <si>
    <t>Max time_d2d</t>
  </si>
  <si>
    <t>Max time_ign01_E</t>
  </si>
  <si>
    <t>Max time_ign02_E</t>
  </si>
  <si>
    <t>Max time_ign03_E</t>
  </si>
  <si>
    <t>Max time_ign04_E</t>
  </si>
  <si>
    <t>Max time_ign05_E</t>
  </si>
  <si>
    <t>Max time_ign06_E</t>
  </si>
  <si>
    <t>Max time_ign07_E</t>
  </si>
  <si>
    <t>Max time_ign08_E</t>
  </si>
  <si>
    <t>Max time_poil2000rpm_E</t>
  </si>
  <si>
    <t>Max time_poil5000rpm_E</t>
  </si>
  <si>
    <t>Ave USOS</t>
  </si>
  <si>
    <t>Ave USOS HS</t>
  </si>
  <si>
    <t>Ave USOS LS Entry</t>
  </si>
  <si>
    <t>Ave USOS LS Mid</t>
  </si>
  <si>
    <t>Ave USOS LS Exit</t>
  </si>
  <si>
    <t>Ave USOS MS Entry</t>
  </si>
  <si>
    <t>Ave USOS MS Exit</t>
  </si>
  <si>
    <t>Ave AB HS</t>
  </si>
  <si>
    <t>Ave AB MS Entry</t>
  </si>
  <si>
    <t>Ave AB MS Mid</t>
  </si>
  <si>
    <t>Ave AB MS Exit</t>
  </si>
  <si>
    <t>Ave Ride_AxleFront_160kph</t>
  </si>
  <si>
    <t>Ave Ride_AxleRear_160kph</t>
  </si>
  <si>
    <t>Ave Ride_AxleFront_220kph</t>
  </si>
  <si>
    <t>Ave Ride_AxleRear_220kph</t>
  </si>
  <si>
    <t>Ave Delta_Amb_TCockpit</t>
  </si>
  <si>
    <t>Ave Delta_TmotvsAMB</t>
  </si>
  <si>
    <t>Ave lambda</t>
  </si>
  <si>
    <t>Ave lambda2</t>
  </si>
  <si>
    <t>Min eps_motor_cur</t>
  </si>
  <si>
    <t>Ave eps_motor_cur</t>
  </si>
  <si>
    <t>Max eps_motor_cur</t>
  </si>
  <si>
    <t>Ave cu_fuel_lift_01</t>
  </si>
  <si>
    <t>Ave cu_fuel_lift_02</t>
  </si>
  <si>
    <t>Ave BumpstopSqueeze_FC_TopSpeed</t>
  </si>
  <si>
    <t>Ave BumpstopSqueeze_RC_TopSpeed</t>
  </si>
  <si>
    <t>s1</t>
  </si>
  <si>
    <t>Engine 2</t>
  </si>
  <si>
    <t>System 2</t>
  </si>
  <si>
    <t>Setup 1</t>
  </si>
  <si>
    <t>Max TC_gain</t>
  </si>
  <si>
    <t>Max TC_slip</t>
  </si>
  <si>
    <t>Max EngineMap</t>
  </si>
  <si>
    <t>Max PedalMap</t>
  </si>
  <si>
    <t>Max SteerMap</t>
  </si>
  <si>
    <t>Ave FL_IR_Temp_Ch2</t>
  </si>
  <si>
    <t>Ave FR_IR_Temp_Ch2</t>
  </si>
  <si>
    <t>Ave RL_IR_Temp_Ch2</t>
  </si>
  <si>
    <t>Ave RR_IR_Temp_Ch2</t>
  </si>
  <si>
    <t>Ave Ride_AxleFront_TS</t>
  </si>
  <si>
    <t>Ave Ride_AxleRear_TS</t>
  </si>
  <si>
    <t>Max tmot</t>
  </si>
  <si>
    <t>Min PRail_80</t>
  </si>
  <si>
    <t>Min PRail2_80</t>
  </si>
  <si>
    <t>Max Damper_HS_Bump_FL</t>
  </si>
  <si>
    <t>Max Damper_HS_Bump_FR</t>
  </si>
  <si>
    <t>Max Damper_HS_Bump_RL</t>
  </si>
  <si>
    <t>Max Damper_HS_Bump_RR</t>
  </si>
  <si>
    <t>Max Damper_HS_Rebound_FL</t>
  </si>
  <si>
    <t>Max Damper_HS_Rebound_FR</t>
  </si>
  <si>
    <t>Max Damper_HS_Rebound_RL</t>
  </si>
  <si>
    <t>Max Damper_HS_Rebound_RR</t>
  </si>
  <si>
    <t>Max Damper_LS_Bump_FL</t>
  </si>
  <si>
    <t>Max Damper_LS_Bump_FR</t>
  </si>
  <si>
    <t>Max Damper_LS_Bump_RL</t>
  </si>
  <si>
    <t>Max Damper_LS_Bump_RR</t>
  </si>
  <si>
    <t>Max Damper_LS_Rebound_FL</t>
  </si>
  <si>
    <t>Max Damper_LS_Rebound_FR</t>
  </si>
  <si>
    <t>Max Damper_LS_Rebound_RL</t>
  </si>
  <si>
    <t>Max Damper_LS_Rebound_RR</t>
  </si>
  <si>
    <t>Min pwat</t>
  </si>
  <si>
    <t>Ave cu_fuel_hp_pwm</t>
  </si>
  <si>
    <t>Lap-Diff FIA_PPUEnergy</t>
  </si>
  <si>
    <t>Max Time_Brake_Leaning</t>
  </si>
  <si>
    <t>Lap-Begin Upshift_RPM_Err</t>
  </si>
  <si>
    <t>Lap-Begin Upshift_7_RPM_Err</t>
  </si>
  <si>
    <t>Ave cu_out_fan</t>
  </si>
  <si>
    <t>Ave FL_IR_Temp_Amb</t>
  </si>
  <si>
    <t>Ave FR_IR_Temp_Amb</t>
  </si>
  <si>
    <t>Ave RL_IR_Temp_Amb</t>
  </si>
  <si>
    <t>Ave RR_IR_Temp_Amb</t>
  </si>
  <si>
    <t>Max Poil_Surge_Lap</t>
  </si>
  <si>
    <t>Max tmot2</t>
  </si>
  <si>
    <t>Max pmotin_pod</t>
  </si>
  <si>
    <t>Min pmotin_pod</t>
  </si>
  <si>
    <t>Min pfuel2</t>
  </si>
  <si>
    <t>Min poil_3500</t>
  </si>
  <si>
    <t>Min poil_5500</t>
  </si>
  <si>
    <t>Min poil_7500</t>
  </si>
  <si>
    <t>Max Oil_level</t>
  </si>
  <si>
    <t>Max pcrank</t>
  </si>
  <si>
    <t>Max FIA_PPUIllegal</t>
  </si>
  <si>
    <t>Max fuelcons_kg</t>
  </si>
  <si>
    <t>Max dmFFMFuelF1</t>
  </si>
  <si>
    <t>Max nturbo</t>
  </si>
  <si>
    <t>Max nturbo2</t>
  </si>
  <si>
    <t>Lap-Begin Ave_Wgc_Pwm</t>
  </si>
  <si>
    <t>Lap-Begin Ave_Wgc_Pwm2</t>
  </si>
  <si>
    <t>Max p22_7500</t>
  </si>
  <si>
    <t>Max p22_2_7500</t>
  </si>
  <si>
    <t>Max p22</t>
  </si>
  <si>
    <t>Max p22_2</t>
  </si>
  <si>
    <t>Max CLU_MPUMeasuredCAN</t>
  </si>
  <si>
    <t>Max tfuel</t>
  </si>
  <si>
    <t>Max tfueltankout_pod</t>
  </si>
  <si>
    <t>Max trail_pod</t>
  </si>
  <si>
    <t>Max trail2_pod</t>
  </si>
  <si>
    <t>Min SOC</t>
  </si>
  <si>
    <t>Max DeviceInfo_PowerstageCurrentSumH</t>
  </si>
  <si>
    <t>Max DeviceInfo_PowerstageCurrentSumL</t>
  </si>
  <si>
    <t>Lap-Begin Ave_E-shift_Current</t>
  </si>
  <si>
    <t>Max abs_EPS_Motor_Current</t>
  </si>
  <si>
    <t>Min cu_fuel_lift_01</t>
  </si>
  <si>
    <t>Max cu_fuel_lift_01</t>
  </si>
  <si>
    <t>Min cu_fuel_lift_02</t>
  </si>
  <si>
    <t>Max cu_fuel_lift_02</t>
  </si>
  <si>
    <t>Min cu_fuel_hp_pwm</t>
  </si>
  <si>
    <t>Max cu_fuel_hp_pwm</t>
  </si>
  <si>
    <t>Min cu_fuel_hp_01</t>
  </si>
  <si>
    <t>Ave cu_fuel_hp_01</t>
  </si>
  <si>
    <t>Max cu_fuel_hp_01</t>
  </si>
  <si>
    <t>Min cu_fuel_hp_02</t>
  </si>
  <si>
    <t>Ave cu_fuel_hp_02</t>
  </si>
  <si>
    <t>Max cu_fuel_hp_02</t>
  </si>
  <si>
    <t>Max Alternator_Error_State</t>
  </si>
  <si>
    <t>Ave altco_gb_DutyCycle</t>
  </si>
  <si>
    <t>Max altco_gb_TChip</t>
  </si>
  <si>
    <t>Max eps_failsafe_1</t>
  </si>
  <si>
    <t>Max eps_failsafe_2</t>
  </si>
  <si>
    <t>Max cpu_load_001</t>
  </si>
  <si>
    <t>Max cpu_load_002</t>
  </si>
  <si>
    <t>Max mlo_egt_temp_error_state_can</t>
  </si>
  <si>
    <t>Max DIAG_EPS_Assist_Stop</t>
  </si>
  <si>
    <t>Max DIAG_EPS_Warning</t>
  </si>
  <si>
    <t>Max mlo_egt_temp_power_section_can</t>
  </si>
  <si>
    <t>Max tecu_core</t>
  </si>
  <si>
    <t>Max tecu_cpu</t>
  </si>
  <si>
    <t>Max tecu_hpi1</t>
  </si>
  <si>
    <t>Max tecu_hpi2</t>
  </si>
  <si>
    <t>Max tecu_ign</t>
  </si>
  <si>
    <t>Max DeviceInfo_DeviceTemperature</t>
  </si>
  <si>
    <t>Max eps_motor_tmp</t>
  </si>
  <si>
    <t>Min sclutch</t>
  </si>
  <si>
    <t>Lap-Begin Ave_Clutch_Slip</t>
  </si>
  <si>
    <t>Ave water_pres_diff_calc_pod</t>
  </si>
  <si>
    <t>Min Ride_AxleFront_Dunlop</t>
  </si>
  <si>
    <t>Min Ride_AxleRear_Dunlop</t>
  </si>
  <si>
    <t>Ave Ride_AxleFront_Porsche1</t>
  </si>
  <si>
    <t>Ave RollBalance_LS</t>
  </si>
  <si>
    <t>Ave RollBalance_MS</t>
  </si>
  <si>
    <t>Ave RollBalance_HS</t>
  </si>
  <si>
    <t>Understeer USOS</t>
  </si>
  <si>
    <t>Understeer USOS HS</t>
  </si>
  <si>
    <t>Understeer USOS LS Entry</t>
  </si>
  <si>
    <t>Understeer USOS LS Mid</t>
  </si>
  <si>
    <t>Understeer USOS LS Exit</t>
  </si>
  <si>
    <t>Understeer USOS MS Entry</t>
  </si>
  <si>
    <t>Understeer USOS MS Exit</t>
  </si>
  <si>
    <t>CzF_TS</t>
  </si>
  <si>
    <t>CzR_TS</t>
  </si>
  <si>
    <t>Max accy_filtered</t>
  </si>
  <si>
    <t>Aerodynamics 1</t>
  </si>
  <si>
    <t>Lap-Begin Ave Lambda</t>
  </si>
  <si>
    <t>Lap-Begin Ave Lambda2</t>
  </si>
  <si>
    <t>Lap-Begin Ave flc</t>
  </si>
  <si>
    <t>Lap-Begin Ave flc2</t>
  </si>
  <si>
    <t>Max pwat</t>
  </si>
  <si>
    <t>Engine 3</t>
  </si>
  <si>
    <t>System 3</t>
  </si>
  <si>
    <t>System 4</t>
  </si>
  <si>
    <t>Ave CzF_TS</t>
  </si>
  <si>
    <t>Ave CzR_TS</t>
  </si>
  <si>
    <t>Outing number</t>
  </si>
  <si>
    <t>End Row (Don'T touch)</t>
  </si>
  <si>
    <t>Plots list</t>
  </si>
  <si>
    <t>ID</t>
  </si>
  <si>
    <t>Title</t>
  </si>
  <si>
    <t xml:space="preserve">Left </t>
  </si>
  <si>
    <t>Top</t>
  </si>
  <si>
    <t>Laptime [s]</t>
  </si>
  <si>
    <t>Fuel [kg] and Energy [MJ]</t>
  </si>
  <si>
    <t>Pitlane speed [Km/h]</t>
  </si>
  <si>
    <t>Sw Knobs</t>
  </si>
  <si>
    <t>Throttle, Brake and SW smoothness</t>
  </si>
  <si>
    <t>Cross and coast time [s]</t>
  </si>
  <si>
    <t>RPM @ Upshift</t>
  </si>
  <si>
    <t>Longitudinal acceleration [g]</t>
  </si>
  <si>
    <t>Pitlane RH [mm]</t>
  </si>
  <si>
    <t>RH front, rear @ Top Speed [mm]</t>
  </si>
  <si>
    <t>Top Speed [Km/h]</t>
  </si>
  <si>
    <t>SCz front, rear @ Top Speed</t>
  </si>
  <si>
    <t>RH @160,220 Kph [mm]</t>
  </si>
  <si>
    <t>Scz front, rear @160 Kph</t>
  </si>
  <si>
    <t>Scz front, rear @220 Kph</t>
  </si>
  <si>
    <t>AB HS,MS [ratio]</t>
  </si>
  <si>
    <t>min RH Dunlop corner [mm]</t>
  </si>
  <si>
    <t>RH 1st Porsche corner [mm]</t>
  </si>
  <si>
    <t>DCPL[N]</t>
  </si>
  <si>
    <t>Roll balance</t>
  </si>
  <si>
    <t>Lateral acceleration [g]</t>
  </si>
  <si>
    <t>Understeer  USOS HS [deg]</t>
  </si>
  <si>
    <t>Understeer  USOS LS [deg]</t>
  </si>
  <si>
    <t>Understeer  USOS MS [deg]</t>
  </si>
  <si>
    <t>HS Bump [%]</t>
  </si>
  <si>
    <t>HS Rebound [%]</t>
  </si>
  <si>
    <t>LS Bump [%]</t>
  </si>
  <si>
    <t>LS Rebound [%]</t>
  </si>
  <si>
    <t>AVG tyre pressure lap [bar]</t>
  </si>
  <si>
    <t>Wheel locking times [s]</t>
  </si>
  <si>
    <t>Min disk temperature [deg C]</t>
  </si>
  <si>
    <t>Air temp inside tyre [deg C]</t>
  </si>
  <si>
    <t>Temp IR2 [deg C]</t>
  </si>
  <si>
    <t>Average disk temperature [deg C]</t>
  </si>
  <si>
    <t>Max pressure [bar] and balance [%]</t>
  </si>
  <si>
    <t>Max &amp; AVG Caliper T [deg C]</t>
  </si>
  <si>
    <t>Oil level [litres], pcrank [mBar]</t>
  </si>
  <si>
    <t>Gearbox and engine temperatures [deg C]</t>
  </si>
  <si>
    <t>Misfire times [s]</t>
  </si>
  <si>
    <t>Min fuel pressure [bar]</t>
  </si>
  <si>
    <t>Coolant pressures [bar]</t>
  </si>
  <si>
    <t xml:space="preserve">Mixture </t>
  </si>
  <si>
    <t>Poil surging time [s]</t>
  </si>
  <si>
    <t>PPU Ilegal [kW] and Engine torque [Nm]</t>
  </si>
  <si>
    <t>Fuel flow [kg/h]</t>
  </si>
  <si>
    <t>Turbo and wastegate valves</t>
  </si>
  <si>
    <t>Intake pressure [mBar]</t>
  </si>
  <si>
    <t>Battery voltage [V]</t>
  </si>
  <si>
    <t>Gearbox actuator current [A]</t>
  </si>
  <si>
    <t>Dog to dog time [s]</t>
  </si>
  <si>
    <t>EPS motor current [A]</t>
  </si>
  <si>
    <t>Fuel mid pumps current [A]</t>
  </si>
  <si>
    <t>Fuel lift pumps_1 current [A]</t>
  </si>
  <si>
    <t>Fuel lift pumps_2 current [A]</t>
  </si>
  <si>
    <t>Fuel lift pumps_3 current [A]</t>
  </si>
  <si>
    <t>Cockpit temperature [deg C]</t>
  </si>
  <si>
    <t>Alternator diagnostics</t>
  </si>
  <si>
    <t>Diagnostics</t>
  </si>
  <si>
    <t>Electronic temperatures</t>
  </si>
  <si>
    <t>Clutch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</si>
  <si>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</si>
  <si>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</si>
  <si>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</si>
  <si>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</si>
  <si>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</si>
  <si>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</si>
  <si>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</si>
  <si>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</si>
  <si>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Titles list</t>
  </si>
  <si>
    <t>Sheet</t>
  </si>
  <si>
    <t>Aerodynamics 3 (Track specific)</t>
  </si>
  <si>
    <t>Setup 2</t>
  </si>
  <si>
    <t>Damper</t>
  </si>
  <si>
    <t>Left</t>
  </si>
  <si>
    <t>Scatters list</t>
  </si>
  <si>
    <t>FuelConsumption_vs_Laptime  [kg/lap vs s]</t>
  </si>
  <si>
    <t>Sw Smoothness vs Laptime</t>
  </si>
  <si>
    <t>Throttle Smoothness vs Laptime</t>
  </si>
  <si>
    <t>Throttle smoothess vs Energy</t>
  </si>
  <si>
    <t>Driver ID</t>
  </si>
  <si>
    <t>Drivers list</t>
  </si>
  <si>
    <t>FuelCons</t>
  </si>
  <si>
    <t>SW smoothness</t>
  </si>
  <si>
    <t>Throttle smoothness</t>
  </si>
  <si>
    <t>Brake release smoothness</t>
  </si>
  <si>
    <t>Energy</t>
  </si>
  <si>
    <t>X_Axis</t>
  </si>
  <si>
    <t>Y_Axis</t>
  </si>
  <si>
    <t>Driver_1_Row</t>
  </si>
  <si>
    <t>Driver_2_Row</t>
  </si>
  <si>
    <t>Driver_3_Row</t>
  </si>
  <si>
    <t>Brake release smoothness vs Laptime</t>
  </si>
  <si>
    <t>Throttle smoothness vs Fuel</t>
  </si>
  <si>
    <t>Reference laptime(s)</t>
  </si>
  <si>
    <t>Reference laptime(hh:mm:ss)</t>
  </si>
  <si>
    <t>Reference laptime (plot format)</t>
  </si>
  <si>
    <t>Reference fuel cons (Kg)</t>
  </si>
  <si>
    <t>Reference Energy (MJ)</t>
  </si>
  <si>
    <t>Fuel cons range max</t>
  </si>
  <si>
    <t>Fuel cons range min</t>
  </si>
  <si>
    <t>Energy range max</t>
  </si>
  <si>
    <t>Energy range min</t>
  </si>
  <si>
    <t>Ave toil</t>
  </si>
  <si>
    <t>Ave Delta_tmot_toil</t>
  </si>
  <si>
    <t>Ave prail_ip_100%</t>
  </si>
  <si>
    <t>Ave prail_ip2_100%</t>
  </si>
  <si>
    <t>Max texh</t>
  </si>
  <si>
    <t>Ave texh</t>
  </si>
  <si>
    <t>Max texh2</t>
  </si>
  <si>
    <t>Ave texh2</t>
  </si>
  <si>
    <t>Ave p21_ip_100%</t>
  </si>
  <si>
    <t>Ave p21_ip2_100%</t>
  </si>
  <si>
    <t>Max B_lc_OFF_Timer</t>
  </si>
  <si>
    <t>Max B_lc2_OFF_Timer</t>
  </si>
  <si>
    <t>Lap-Begin Delta Texh_lapave</t>
  </si>
  <si>
    <t>Lap-Begin Delta I_P21_lapave</t>
  </si>
  <si>
    <t>Control Ips</t>
  </si>
  <si>
    <t>Texh [deg C]</t>
  </si>
  <si>
    <t>Engine 4</t>
  </si>
  <si>
    <t>Ave Ride_AxleRear_Porsche1</t>
  </si>
  <si>
    <t>Catch tank level [mm]</t>
  </si>
  <si>
    <t>Brake wear [mm/lap]</t>
  </si>
  <si>
    <t>Brake wear total [mm]</t>
  </si>
  <si>
    <t>Ave FIA_xOilLevel</t>
  </si>
  <si>
    <t>Lap-Diff Brk_Wear_FL</t>
  </si>
  <si>
    <t>Lap-Diff Brk_Wear_FR</t>
  </si>
  <si>
    <t>Fuel temperature [deg C]</t>
  </si>
  <si>
    <t>Brake wear</t>
  </si>
  <si>
    <t>Disk wear FL</t>
  </si>
  <si>
    <t>Disk wear FR</t>
  </si>
  <si>
    <t>y</t>
  </si>
  <si>
    <t>RD</t>
  </si>
  <si>
    <t>RW</t>
  </si>
  <si>
    <t>RB</t>
  </si>
  <si>
    <t>20210818_18-45-41_LEM_24H_QLY_007009_001_03-29-71</t>
  </si>
  <si>
    <t>20210818_19-30-09_LEM_24H_QLY_007009_002_00-29-06</t>
  </si>
  <si>
    <t>n</t>
  </si>
  <si>
    <t>20210818_19-48-26_LEM_24H_QLY_007009_003_03-29-39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</si>
</sst>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0F0F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AA"/>
        <bgColor indexed="64"/>
      </patternFill>
    </fill>
  </fills>
  <borders count="3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7F7F7F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3">
    <xf numFmtId="0" fontId="0" fillId="0" borderId="0"/>
    <xf numFmtId="0" fontId="5" fillId="5" borderId="15" applyNumberFormat="0" applyAlignment="0" applyProtection="0"/>
    <xf numFmtId="0" fontId="6" fillId="6" borderId="15" applyNumberFormat="0" applyAlignment="0" applyProtection="0"/>
  </cellStyleXfs>
  <cellXfs count="66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0" fontId="1" fillId="0" borderId="0" xfId="0" applyFont="1"/>
    <xf numFmtId="2" fontId="0" fillId="0" borderId="0" xfId="0" applyNumberFormat="1"/>
    <xf numFmtId="0" fontId="0" fillId="4" borderId="0" xfId="0" applyFill="1"/>
    <xf numFmtId="0" fontId="3" fillId="0" borderId="1" xfId="0" applyFont="1" applyBorder="1" applyAlignment="1">
      <alignment horizontal="right" vertical="center" wrapText="1"/>
    </xf>
    <xf numFmtId="21" fontId="0" fillId="0" borderId="0" xfId="0" applyNumberFormat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Border="1"/>
    <xf numFmtId="0" fontId="0" fillId="0" borderId="9" xfId="0" applyBorder="1"/>
    <xf numFmtId="0" fontId="1" fillId="0" borderId="8" xfId="0" applyFont="1" applyBorder="1"/>
    <xf numFmtId="0" fontId="1" fillId="0" borderId="0" xfId="0" applyFon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4" fontId="0" fillId="0" borderId="0" xfId="0" applyNumberFormat="1" applyBorder="1"/>
    <xf numFmtId="3" fontId="1" fillId="0" borderId="0" xfId="0" applyNumberFormat="1" applyFont="1" applyBorder="1"/>
    <xf numFmtId="4" fontId="1" fillId="0" borderId="0" xfId="0" applyNumberFormat="1" applyFont="1" applyBorder="1"/>
    <xf numFmtId="0" fontId="0" fillId="0" borderId="0" xfId="0" applyFill="1" applyBorder="1"/>
    <xf numFmtId="0" fontId="0" fillId="0" borderId="9" xfId="0" applyFill="1" applyBorder="1"/>
    <xf numFmtId="0" fontId="0" fillId="0" borderId="11" xfId="0" applyFill="1" applyBorder="1"/>
    <xf numFmtId="0" fontId="0" fillId="0" borderId="12" xfId="0" applyFill="1" applyBorder="1"/>
    <xf numFmtId="0" fontId="6" fillId="6" borderId="15" xfId="2"/>
    <xf numFmtId="0" fontId="5" fillId="5" borderId="15" xfId="1"/>
    <xf numFmtId="0" fontId="6" fillId="6" borderId="15" xfId="2" applyBorder="1"/>
    <xf numFmtId="0" fontId="6" fillId="6" borderId="17" xfId="2" applyBorder="1"/>
    <xf numFmtId="164" fontId="5" fillId="5" borderId="16" xfId="1" applyNumberFormat="1" applyBorder="1"/>
    <xf numFmtId="164" fontId="6" fillId="6" borderId="18" xfId="2" applyNumberFormat="1" applyBorder="1"/>
    <xf numFmtId="0" fontId="6" fillId="6" borderId="19" xfId="2" applyBorder="1"/>
    <xf numFmtId="0" fontId="6" fillId="6" borderId="20" xfId="2" applyBorder="1"/>
    <xf numFmtId="164" fontId="6" fillId="6" borderId="21" xfId="2" applyNumberFormat="1" applyBorder="1"/>
    <xf numFmtId="0" fontId="6" fillId="6" borderId="22" xfId="2" applyBorder="1"/>
    <xf numFmtId="0" fontId="6" fillId="6" borderId="23" xfId="2" applyBorder="1"/>
    <xf numFmtId="0" fontId="0" fillId="0" borderId="13" xfId="0" applyBorder="1"/>
    <xf numFmtId="0" fontId="0" fillId="0" borderId="24" xfId="0" applyBorder="1"/>
    <xf numFmtId="0" fontId="0" fillId="0" borderId="14" xfId="0" applyBorder="1"/>
    <xf numFmtId="0" fontId="5" fillId="5" borderId="25" xfId="1" applyBorder="1"/>
    <xf numFmtId="0" fontId="6" fillId="6" borderId="26" xfId="2" applyBorder="1"/>
    <xf numFmtId="0" fontId="6" fillId="6" borderId="27" xfId="2" applyBorder="1"/>
    <xf numFmtId="0" fontId="5" fillId="5" borderId="28" xfId="1" applyBorder="1"/>
    <xf numFmtId="0" fontId="6" fillId="6" borderId="29" xfId="2" applyBorder="1"/>
    <xf numFmtId="0" fontId="6" fillId="6" borderId="30" xfId="2" applyBorder="1"/>
    <xf numFmtId="0" fontId="0" fillId="0" borderId="0" xfId="0" applyFont="1" applyBorder="1"/>
    <xf numFmtId="4" fontId="0" fillId="0" borderId="0" xfId="0" applyNumberFormat="1" applyFont="1" applyBorder="1"/>
    <xf numFmtId="0" fontId="2" fillId="0" borderId="1" xfId="0" applyFont="1" applyBorder="1" applyAlignment="1">
      <alignment horizontal="right" vertical="center" wrapText="1"/>
    </xf>
    <xf numFmtId="0" fontId="1" fillId="7" borderId="1" xfId="0" applyFont="1" applyFill="1" applyBorder="1" applyAlignment="1">
      <alignment horizontal="right" vertical="center" wrapText="1"/>
    </xf>
    <xf numFmtId="0" fontId="1" fillId="0" borderId="0" xfId="0" applyFont="1" applyFill="1" applyBorder="1"/>
    <xf numFmtId="0" fontId="0" fillId="0" borderId="0" xfId="0" applyFont="1" applyFill="1" applyBorder="1"/>
    <xf numFmtId="0" fontId="0" fillId="0" borderId="9" xfId="0" applyFont="1" applyBorder="1"/>
    <xf numFmtId="0" fontId="0" fillId="0" borderId="0" xfId="0" applyFont="1"/>
    <xf numFmtId="4" fontId="0" fillId="0" borderId="0" xfId="0" applyNumberFormat="1" applyFont="1"/>
    <xf numFmtId="0" fontId="0" fillId="0" borderId="11" xfId="0" applyFont="1" applyBorder="1"/>
    <xf numFmtId="0" fontId="2" fillId="2" borderId="31" xfId="0" applyFont="1" applyFill="1" applyBorder="1" applyAlignment="1">
      <alignment horizontal="center" vertical="center" wrapText="1"/>
    </xf>
    <xf numFmtId="47" fontId="2" fillId="0" borderId="1" xfId="0" applyNumberFormat="1" applyFont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47" fontId="3" fillId="0" borderId="1" xfId="0" applyNumberFormat="1" applyFont="1" applyBorder="1" applyAlignment="1">
      <alignment horizontal="center" vertical="center" wrapText="1"/>
    </xf>
    <xf numFmtId="47" fontId="7" fillId="7" borderId="1" xfId="0" applyNumberFormat="1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vertical="center" wrapText="1"/>
    </xf>
    <xf numFmtId="0" fontId="2" fillId="3" borderId="3" xfId="0" applyFont="1" applyFill="1" applyBorder="1" applyAlignment="1">
      <alignment vertical="center" wrapText="1"/>
    </xf>
    <xf numFmtId="0" fontId="2" fillId="3" borderId="4" xfId="0" applyFont="1" applyFill="1" applyBorder="1" applyAlignment="1">
      <alignment vertical="center" wrapText="1"/>
    </xf>
  </cellXfs>
  <cellStyles count="3">
    <cellStyle name="Calculation" xfId="2" builtinId="22"/>
    <cellStyle name="Input" xfId="1" builtinId="20"/>
    <cellStyle name="Normal" xfId="0" builtinId="0"/>
  </cellStyles>
  <dxfs count="3">
    <dxf>
      <border outline="0">
        <left style="thin">
          <color rgb="FF000000"/>
        </lef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0F0F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</dxfs>
  <tableStyles count="0" defaultTableStyle="TableStyleMedium2" defaultPivotStyle="PivotStyleLight16"/>
  <colors>
    <mruColors>
      <color rgb="FF00FF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Laptime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Laptime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All!$D$6:$D$30</c:f>
              <c:numCache>
                <c:formatCode>mm:ss.0</c:formatCode>
                <c:ptCount val="25"/>
                <c:pt idx="0">
                  <c:v>1.5064814814814816E-2</c:v>
                </c:pt>
                <c:pt idx="1">
                  <c:v>3.5822916666666664E-3</c:v>
                </c:pt>
                <c:pt idx="2">
                  <c:v>4.410300925925926E-3</c:v>
                </c:pt>
                <c:pt idx="3">
                  <c:v>2.4335648148148151E-3</c:v>
                </c:pt>
                <c:pt idx="4">
                  <c:v>2.4267361111111108E-3</c:v>
                </c:pt>
                <c:pt idx="5">
                  <c:v>3.2358796296296298E-3</c:v>
                </c:pt>
                <c:pt idx="9">
                  <c:v>3.3634259259259256E-4</c:v>
                </c:pt>
                <c:pt idx="10">
                  <c:v>3.5982638888888887E-3</c:v>
                </c:pt>
                <c:pt idx="11">
                  <c:v>2.4575231481481483E-3</c:v>
                </c:pt>
                <c:pt idx="12">
                  <c:v>2.4393518518518518E-3</c:v>
                </c:pt>
                <c:pt idx="13">
                  <c:v>2.8026620370370371E-3</c:v>
                </c:pt>
                <c:pt idx="17">
                  <c:v>4.3872685185185186E-3</c:v>
                </c:pt>
                <c:pt idx="18">
                  <c:v>2.4428240740740738E-3</c:v>
                </c:pt>
                <c:pt idx="19">
                  <c:v>2.4230324074074076E-3</c:v>
                </c:pt>
                <c:pt idx="20">
                  <c:v>2.8606481481481482E-3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BF-4A7C-BF8F-A62F1F0B2F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2268015"/>
        <c:axId val="1452270095"/>
      </c:scatterChart>
      <c:valAx>
        <c:axId val="14522680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52270095"/>
        <c:crosses val="autoZero"/>
        <c:crossBetween val="midCat"/>
      </c:valAx>
      <c:valAx>
        <c:axId val="1452270095"/>
        <c:scaling>
          <c:orientation val="minMax"/>
          <c:max val="2.5810185185185181E-3"/>
          <c:min val="2.3495370370370367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522680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[kg] and Energy [MJ]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Lap-Diff fuelcons_kg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All!$G$6:$G$30</c:f>
              <c:numCache>
                <c:formatCode>General</c:formatCode>
                <c:ptCount val="25"/>
                <c:pt idx="0">
                  <c:v>5.53</c:v>
                </c:pt>
                <c:pt idx="1">
                  <c:v>5.0199999999999996</c:v>
                </c:pt>
                <c:pt idx="2">
                  <c:v>4.4000000000000004</c:v>
                </c:pt>
                <c:pt idx="3">
                  <c:v>5.98</c:v>
                </c:pt>
                <c:pt idx="4">
                  <c:v>6.04</c:v>
                </c:pt>
                <c:pt idx="5">
                  <c:v>-26.97</c:v>
                </c:pt>
                <c:pt idx="9">
                  <c:v>0</c:v>
                </c:pt>
                <c:pt idx="10">
                  <c:v>5.57</c:v>
                </c:pt>
                <c:pt idx="11">
                  <c:v>6.07</c:v>
                </c:pt>
                <c:pt idx="12">
                  <c:v>6.07</c:v>
                </c:pt>
                <c:pt idx="13">
                  <c:v>5.94</c:v>
                </c:pt>
                <c:pt idx="17">
                  <c:v>5.91</c:v>
                </c:pt>
                <c:pt idx="18">
                  <c:v>6.16</c:v>
                </c:pt>
                <c:pt idx="19">
                  <c:v>6.18</c:v>
                </c:pt>
                <c:pt idx="20">
                  <c:v>5.98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29-4192-8E56-114E81AFA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3115695"/>
        <c:axId val="1313120687"/>
      </c:scatterChart>
      <c:scatterChart>
        <c:scatterStyle val="lineMarker"/>
        <c:varyColors val="0"/>
        <c:ser>
          <c:idx val="1"/>
          <c:order val="1"/>
          <c:tx>
            <c:v>Lap-Diff FIA_PPUEnergy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All!$EX$6:$EX$30</c:f>
              <c:numCache>
                <c:formatCode>General</c:formatCode>
                <c:ptCount val="25"/>
                <c:pt idx="0">
                  <c:v>-258.95999999999998</c:v>
                </c:pt>
                <c:pt idx="1">
                  <c:v>58.04</c:v>
                </c:pt>
                <c:pt idx="2">
                  <c:v>45.22</c:v>
                </c:pt>
                <c:pt idx="3">
                  <c:v>74.22</c:v>
                </c:pt>
                <c:pt idx="4">
                  <c:v>75.319999999999993</c:v>
                </c:pt>
                <c:pt idx="5">
                  <c:v>64.400000000000006</c:v>
                </c:pt>
                <c:pt idx="9">
                  <c:v>0</c:v>
                </c:pt>
                <c:pt idx="10">
                  <c:v>-315.3</c:v>
                </c:pt>
                <c:pt idx="11">
                  <c:v>75</c:v>
                </c:pt>
                <c:pt idx="12">
                  <c:v>75.010000000000005</c:v>
                </c:pt>
                <c:pt idx="13">
                  <c:v>72.53</c:v>
                </c:pt>
                <c:pt idx="17">
                  <c:v>71.55</c:v>
                </c:pt>
                <c:pt idx="18">
                  <c:v>76.66</c:v>
                </c:pt>
                <c:pt idx="19">
                  <c:v>76.84</c:v>
                </c:pt>
                <c:pt idx="20">
                  <c:v>71.25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29-4192-8E56-114E81AFA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58543"/>
        <c:axId val="136366863"/>
      </c:scatterChart>
      <c:valAx>
        <c:axId val="13131156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13120687"/>
        <c:crosses val="autoZero"/>
        <c:crossBetween val="midCat"/>
      </c:valAx>
      <c:valAx>
        <c:axId val="1313120687"/>
        <c:scaling>
          <c:orientation val="minMax"/>
          <c:max val="7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13115695"/>
        <c:crosses val="autoZero"/>
        <c:crossBetween val="midCat"/>
      </c:valAx>
      <c:valAx>
        <c:axId val="136366863"/>
        <c:scaling>
          <c:orientation val="minMax"/>
          <c:max val="80"/>
          <c:min val="6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6358543"/>
        <c:crosses val="max"/>
        <c:crossBetween val="midCat"/>
      </c:valAx>
      <c:valAx>
        <c:axId val="136358543"/>
        <c:scaling>
          <c:orientation val="minMax"/>
        </c:scaling>
        <c:delete val="1"/>
        <c:axPos val="b"/>
        <c:majorTickMark val="out"/>
        <c:minorTickMark val="none"/>
        <c:tickLblPos val="nextTo"/>
        <c:crossAx val="1363668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Pitlane speed [Km/h]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Pitlane_Speed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All!$BR$6:$BR$30</c:f>
              <c:numCache>
                <c:formatCode>General</c:formatCode>
                <c:ptCount val="25"/>
                <c:pt idx="0">
                  <c:v>57.31</c:v>
                </c:pt>
                <c:pt idx="5">
                  <c:v>60.174999999999997</c:v>
                </c:pt>
                <c:pt idx="10">
                  <c:v>58.237000000000002</c:v>
                </c:pt>
                <c:pt idx="13">
                  <c:v>59.651000000000003</c:v>
                </c:pt>
                <c:pt idx="17">
                  <c:v>57.834000000000003</c:v>
                </c:pt>
                <c:pt idx="20">
                  <c:v>60.170999999999999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3C-4BFD-AC8F-80371FBB6B09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axId val="1452268015"/>
        <c:axId val="1680551647"/>
      </c:scatterChart>
      <c:valAx>
        <c:axId val="14522680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80551647"/>
        <c:crosses val="autoZero"/>
        <c:crossBetween val="midCat"/>
      </c:valAx>
      <c:valAx>
        <c:axId val="168055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522680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Sw Knobs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TC_gain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All!$K$6:$K$30</c:f>
              <c:numCache>
                <c:formatCode>General</c:formatCode>
                <c:ptCount val="25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7D-416F-B4A3-949A5532DAAA}"/>
            </c:ext>
          </c:extLst>
        </c:ser>
        <c:ser>
          <c:idx val="1"/>
          <c:order val="1"/>
          <c:tx>
            <c:v>Max TC_slip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All!$L$6:$L$30</c:f>
              <c:numCache>
                <c:formatCode>General</c:formatCode>
                <c:ptCount val="25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7D-416F-B4A3-949A5532DAAA}"/>
            </c:ext>
          </c:extLst>
        </c:ser>
        <c:ser>
          <c:idx val="2"/>
          <c:order val="2"/>
          <c:tx>
            <c:v>Max EngineMap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All!$M$6:$M$30</c:f>
              <c:numCache>
                <c:formatCode>General</c:formatCode>
                <c:ptCount val="25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7D-416F-B4A3-949A5532DAAA}"/>
            </c:ext>
          </c:extLst>
        </c:ser>
        <c:ser>
          <c:idx val="3"/>
          <c:order val="3"/>
          <c:tx>
            <c:v>Max PedalMap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All!$N$6:$N$30</c:f>
              <c:numCache>
                <c:formatCode>General</c:formatCode>
                <c:ptCount val="25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7D-416F-B4A3-949A5532DAAA}"/>
            </c:ext>
          </c:extLst>
        </c:ser>
        <c:ser>
          <c:idx val="4"/>
          <c:order val="4"/>
          <c:tx>
            <c:v>Max SteerMap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All!$O$6:$O$30</c:f>
              <c:numCache>
                <c:formatCode>General</c:formatCode>
                <c:ptCount val="25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7D-416F-B4A3-949A5532D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2268015"/>
        <c:axId val="1452263439"/>
      </c:scatterChart>
      <c:valAx>
        <c:axId val="14522680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52263439"/>
        <c:crosses val="autoZero"/>
        <c:crossBetween val="midCat"/>
      </c:valAx>
      <c:valAx>
        <c:axId val="1452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522680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Throttle, Brake and SW smoothness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LAP_Throttle_Smoothness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All!$CI$6:$CI$30</c:f>
              <c:numCache>
                <c:formatCode>General</c:formatCode>
                <c:ptCount val="25"/>
                <c:pt idx="0">
                  <c:v>4.5979999999999999</c:v>
                </c:pt>
                <c:pt idx="1">
                  <c:v>5.016</c:v>
                </c:pt>
                <c:pt idx="2">
                  <c:v>4.391</c:v>
                </c:pt>
                <c:pt idx="3">
                  <c:v>4.7679999999999998</c:v>
                </c:pt>
                <c:pt idx="4">
                  <c:v>4.2830000000000004</c:v>
                </c:pt>
                <c:pt idx="10">
                  <c:v>4.0919999999999996</c:v>
                </c:pt>
                <c:pt idx="11">
                  <c:v>3.9449999999999998</c:v>
                </c:pt>
                <c:pt idx="12">
                  <c:v>3.4740000000000002</c:v>
                </c:pt>
                <c:pt idx="17">
                  <c:v>4.508</c:v>
                </c:pt>
                <c:pt idx="18">
                  <c:v>5.0519999999999996</c:v>
                </c:pt>
                <c:pt idx="19">
                  <c:v>4.782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2B-4FE1-9B3B-6B86DE8A4D6A}"/>
            </c:ext>
          </c:extLst>
        </c:ser>
        <c:ser>
          <c:idx val="1"/>
          <c:order val="1"/>
          <c:tx>
            <c:v>Ave LAP_BrakeRelease_Smoothness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All!$CJ$6:$CJ$30</c:f>
              <c:numCache>
                <c:formatCode>General</c:formatCode>
                <c:ptCount val="25"/>
                <c:pt idx="0">
                  <c:v>-930411.30900000001</c:v>
                </c:pt>
                <c:pt idx="1">
                  <c:v>-116.81699999999999</c:v>
                </c:pt>
                <c:pt idx="2">
                  <c:v>-92.903999999999996</c:v>
                </c:pt>
                <c:pt idx="3">
                  <c:v>-73.218999999999994</c:v>
                </c:pt>
                <c:pt idx="4">
                  <c:v>-90.393000000000001</c:v>
                </c:pt>
                <c:pt idx="9">
                  <c:v>1.895</c:v>
                </c:pt>
                <c:pt idx="10">
                  <c:v>3.5169999999999999</c:v>
                </c:pt>
                <c:pt idx="11">
                  <c:v>3.7210000000000001</c:v>
                </c:pt>
                <c:pt idx="12">
                  <c:v>3.774</c:v>
                </c:pt>
                <c:pt idx="17">
                  <c:v>3.5339999999999998</c:v>
                </c:pt>
                <c:pt idx="18">
                  <c:v>3.6680000000000001</c:v>
                </c:pt>
                <c:pt idx="19">
                  <c:v>3.4980000000000002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2B-4FE1-9B3B-6B86DE8A4D6A}"/>
            </c:ext>
          </c:extLst>
        </c:ser>
        <c:ser>
          <c:idx val="2"/>
          <c:order val="2"/>
          <c:tx>
            <c:v>Ave LAP_SW_Smoothness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All!$CK$6:$CK$30</c:f>
              <c:numCache>
                <c:formatCode>General</c:formatCode>
                <c:ptCount val="25"/>
                <c:pt idx="0">
                  <c:v>1.0649999999999999</c:v>
                </c:pt>
                <c:pt idx="1">
                  <c:v>0.89200000000000002</c:v>
                </c:pt>
                <c:pt idx="2">
                  <c:v>1.31</c:v>
                </c:pt>
                <c:pt idx="3">
                  <c:v>1.702</c:v>
                </c:pt>
                <c:pt idx="4">
                  <c:v>1.3440000000000001</c:v>
                </c:pt>
                <c:pt idx="10">
                  <c:v>1.4039999999999999</c:v>
                </c:pt>
                <c:pt idx="11">
                  <c:v>1.7509999999999999</c:v>
                </c:pt>
                <c:pt idx="12">
                  <c:v>1.7110000000000001</c:v>
                </c:pt>
                <c:pt idx="17">
                  <c:v>1.4079999999999999</c:v>
                </c:pt>
                <c:pt idx="18">
                  <c:v>1.6479999999999999</c:v>
                </c:pt>
                <c:pt idx="19">
                  <c:v>1.456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72B-4FE1-9B3B-6B86DE8A4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2351519"/>
        <c:axId val="1802352767"/>
      </c:scatterChart>
      <c:valAx>
        <c:axId val="1802351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02352767"/>
        <c:crosses val="autoZero"/>
        <c:crossBetween val="midCat"/>
      </c:valAx>
      <c:valAx>
        <c:axId val="1802352767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023515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Cross and coast time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CrossTimeLap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All!$I$6:$I$30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9">
                  <c:v>0</c:v>
                </c:pt>
                <c:pt idx="10">
                  <c:v>1.64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1.43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2E-4AC8-BCF4-D61F45747BDA}"/>
            </c:ext>
          </c:extLst>
        </c:ser>
        <c:ser>
          <c:idx val="1"/>
          <c:order val="1"/>
          <c:tx>
            <c:v>Max CoastTimeLap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All!$J$6:$J$30</c:f>
              <c:numCache>
                <c:formatCode>General</c:formatCode>
                <c:ptCount val="25"/>
                <c:pt idx="0">
                  <c:v>1064.3</c:v>
                </c:pt>
                <c:pt idx="1">
                  <c:v>9.9</c:v>
                </c:pt>
                <c:pt idx="2">
                  <c:v>15.1</c:v>
                </c:pt>
                <c:pt idx="3">
                  <c:v>16.2</c:v>
                </c:pt>
                <c:pt idx="4">
                  <c:v>14.6</c:v>
                </c:pt>
                <c:pt idx="5">
                  <c:v>21.7</c:v>
                </c:pt>
                <c:pt idx="9">
                  <c:v>8.3000000000000007</c:v>
                </c:pt>
                <c:pt idx="10">
                  <c:v>33.799999999999997</c:v>
                </c:pt>
                <c:pt idx="11">
                  <c:v>11.5</c:v>
                </c:pt>
                <c:pt idx="12">
                  <c:v>13.7</c:v>
                </c:pt>
                <c:pt idx="13">
                  <c:v>16.8</c:v>
                </c:pt>
                <c:pt idx="17">
                  <c:v>21.8</c:v>
                </c:pt>
                <c:pt idx="18">
                  <c:v>12.1</c:v>
                </c:pt>
                <c:pt idx="19">
                  <c:v>10.4</c:v>
                </c:pt>
                <c:pt idx="20">
                  <c:v>13.9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2E-4AC8-BCF4-D61F45747BDA}"/>
            </c:ext>
          </c:extLst>
        </c:ser>
        <c:ser>
          <c:idx val="2"/>
          <c:order val="2"/>
          <c:tx>
            <c:v>Max Time_Brake_Leaning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All!$EY$6:$EY$30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1.0409999999999999</c:v>
                </c:pt>
                <c:pt idx="3">
                  <c:v>0</c:v>
                </c:pt>
                <c:pt idx="4">
                  <c:v>0</c:v>
                </c:pt>
                <c:pt idx="5">
                  <c:v>8.1000000000000003E-2</c:v>
                </c:pt>
                <c:pt idx="9">
                  <c:v>0</c:v>
                </c:pt>
                <c:pt idx="10">
                  <c:v>2.0009999999999999</c:v>
                </c:pt>
                <c:pt idx="11">
                  <c:v>0</c:v>
                </c:pt>
                <c:pt idx="12">
                  <c:v>0</c:v>
                </c:pt>
                <c:pt idx="13">
                  <c:v>0.10100000000000001</c:v>
                </c:pt>
                <c:pt idx="17">
                  <c:v>3.0609999999999999</c:v>
                </c:pt>
                <c:pt idx="18">
                  <c:v>0</c:v>
                </c:pt>
                <c:pt idx="19">
                  <c:v>0</c:v>
                </c:pt>
                <c:pt idx="20">
                  <c:v>8.1000000000000003E-2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2E-4AC8-BCF4-D61F45747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5646943"/>
        <c:axId val="1615648191"/>
      </c:scatterChart>
      <c:valAx>
        <c:axId val="16156469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15648191"/>
        <c:crosses val="autoZero"/>
        <c:crossBetween val="midCat"/>
      </c:valAx>
      <c:valAx>
        <c:axId val="1615648191"/>
        <c:scaling>
          <c:orientation val="minMax"/>
          <c:max val="1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156469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RPM @ Upshift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Rpm_Upshift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All!$BT$6:$BT$30</c:f>
              <c:numCache>
                <c:formatCode>General</c:formatCode>
                <c:ptCount val="25"/>
                <c:pt idx="0">
                  <c:v>6804.4669999999996</c:v>
                </c:pt>
                <c:pt idx="1">
                  <c:v>7246.7640000000001</c:v>
                </c:pt>
                <c:pt idx="2">
                  <c:v>7488.7359999999999</c:v>
                </c:pt>
                <c:pt idx="3">
                  <c:v>7457.0460000000003</c:v>
                </c:pt>
                <c:pt idx="4">
                  <c:v>7389.9539999999997</c:v>
                </c:pt>
                <c:pt idx="5">
                  <c:v>7316.0469999999996</c:v>
                </c:pt>
                <c:pt idx="10">
                  <c:v>7092.7250000000004</c:v>
                </c:pt>
                <c:pt idx="11">
                  <c:v>7376.94</c:v>
                </c:pt>
                <c:pt idx="12">
                  <c:v>7396.0940000000001</c:v>
                </c:pt>
                <c:pt idx="13">
                  <c:v>7289.3069999999998</c:v>
                </c:pt>
                <c:pt idx="17">
                  <c:v>7401.9380000000001</c:v>
                </c:pt>
                <c:pt idx="18">
                  <c:v>7431.1239999999998</c:v>
                </c:pt>
                <c:pt idx="19">
                  <c:v>7442.5240000000003</c:v>
                </c:pt>
                <c:pt idx="20">
                  <c:v>7393.9979999999996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CA-4D91-8D8A-EFA6B26AC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1512911"/>
        <c:axId val="1921516239"/>
      </c:scatterChart>
      <c:scatterChart>
        <c:scatterStyle val="lineMarker"/>
        <c:varyColors val="0"/>
        <c:ser>
          <c:idx val="1"/>
          <c:order val="1"/>
          <c:tx>
            <c:v>Lap-Begin Upshift_RPM_Err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All!$EZ$6:$EZ$30</c:f>
              <c:numCache>
                <c:formatCode>General</c:formatCode>
                <c:ptCount val="25"/>
                <c:pt idx="0">
                  <c:v>182.06700000000001</c:v>
                </c:pt>
                <c:pt idx="1">
                  <c:v>14.718999999999999</c:v>
                </c:pt>
                <c:pt idx="2">
                  <c:v>96.682000000000002</c:v>
                </c:pt>
                <c:pt idx="3">
                  <c:v>6.9580000000000002</c:v>
                </c:pt>
                <c:pt idx="4">
                  <c:v>2.1419999999999999</c:v>
                </c:pt>
                <c:pt idx="5">
                  <c:v>0.25600000000000001</c:v>
                </c:pt>
                <c:pt idx="9">
                  <c:v>0</c:v>
                </c:pt>
                <c:pt idx="10">
                  <c:v>0</c:v>
                </c:pt>
                <c:pt idx="11">
                  <c:v>0.432</c:v>
                </c:pt>
                <c:pt idx="12">
                  <c:v>0</c:v>
                </c:pt>
                <c:pt idx="13">
                  <c:v>6.8000000000000005E-2</c:v>
                </c:pt>
                <c:pt idx="17">
                  <c:v>0</c:v>
                </c:pt>
                <c:pt idx="18">
                  <c:v>5.0999999999999997E-2</c:v>
                </c:pt>
                <c:pt idx="19">
                  <c:v>0</c:v>
                </c:pt>
                <c:pt idx="20">
                  <c:v>5.3999999999999999E-2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CA-4D91-8D8A-EFA6B26AC395}"/>
            </c:ext>
          </c:extLst>
        </c:ser>
        <c:ser>
          <c:idx val="2"/>
          <c:order val="2"/>
          <c:tx>
            <c:v>Lap-Begin Upshift_7_RPM_Err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All!$FA$6:$FA$30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FCA-4D91-8D8A-EFA6B26AC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66031"/>
        <c:axId val="136358959"/>
      </c:scatterChart>
      <c:valAx>
        <c:axId val="1921512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21516239"/>
        <c:crosses val="autoZero"/>
        <c:crossBetween val="midCat"/>
      </c:valAx>
      <c:valAx>
        <c:axId val="1921516239"/>
        <c:scaling>
          <c:orientation val="minMax"/>
          <c:max val="8000"/>
          <c:min val="6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21512911"/>
        <c:crosses val="autoZero"/>
        <c:crossBetween val="midCat"/>
      </c:valAx>
      <c:valAx>
        <c:axId val="136358959"/>
        <c:scaling>
          <c:orientation val="minMax"/>
          <c:max val="50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6366031"/>
        <c:crosses val="max"/>
        <c:crossBetween val="midCat"/>
      </c:valAx>
      <c:valAx>
        <c:axId val="136366031"/>
        <c:scaling>
          <c:orientation val="minMax"/>
        </c:scaling>
        <c:delete val="1"/>
        <c:axPos val="b"/>
        <c:majorTickMark val="out"/>
        <c:minorTickMark val="none"/>
        <c:tickLblPos val="nextTo"/>
        <c:crossAx val="1363589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Longitudinal acceleration [g]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accx_onThrottle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All!$BY$6:$BY$30</c:f>
              <c:numCache>
                <c:formatCode>General</c:formatCode>
                <c:ptCount val="25"/>
                <c:pt idx="0">
                  <c:v>1.5189999999999999</c:v>
                </c:pt>
                <c:pt idx="1">
                  <c:v>1.387</c:v>
                </c:pt>
                <c:pt idx="2">
                  <c:v>1.5549999999999999</c:v>
                </c:pt>
                <c:pt idx="3">
                  <c:v>1.546</c:v>
                </c:pt>
                <c:pt idx="4">
                  <c:v>1.4219999999999999</c:v>
                </c:pt>
                <c:pt idx="5">
                  <c:v>1.357</c:v>
                </c:pt>
                <c:pt idx="9">
                  <c:v>2.1999999999999999E-2</c:v>
                </c:pt>
                <c:pt idx="10">
                  <c:v>1.4339999999999999</c:v>
                </c:pt>
                <c:pt idx="11">
                  <c:v>1.615</c:v>
                </c:pt>
                <c:pt idx="12">
                  <c:v>1.417</c:v>
                </c:pt>
                <c:pt idx="13">
                  <c:v>1.879</c:v>
                </c:pt>
                <c:pt idx="17">
                  <c:v>1.599</c:v>
                </c:pt>
                <c:pt idx="18">
                  <c:v>1.3149999999999999</c:v>
                </c:pt>
                <c:pt idx="19">
                  <c:v>1.4550000000000001</c:v>
                </c:pt>
                <c:pt idx="20">
                  <c:v>1.379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4-4A0E-BEFD-3219AC7EF1B2}"/>
            </c:ext>
          </c:extLst>
        </c:ser>
        <c:ser>
          <c:idx val="1"/>
          <c:order val="1"/>
          <c:tx>
            <c:v>Max accx_onBrakes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All!$BZ$6:$BZ$30</c:f>
              <c:numCache>
                <c:formatCode>General</c:formatCode>
                <c:ptCount val="25"/>
                <c:pt idx="0">
                  <c:v>2.2549999999999999</c:v>
                </c:pt>
                <c:pt idx="1">
                  <c:v>2.7010000000000001</c:v>
                </c:pt>
                <c:pt idx="2">
                  <c:v>2.1030000000000002</c:v>
                </c:pt>
                <c:pt idx="3">
                  <c:v>2.6110000000000002</c:v>
                </c:pt>
                <c:pt idx="4">
                  <c:v>2.8050000000000002</c:v>
                </c:pt>
                <c:pt idx="5">
                  <c:v>2.2410000000000001</c:v>
                </c:pt>
                <c:pt idx="9">
                  <c:v>5.0000000000000001E-3</c:v>
                </c:pt>
                <c:pt idx="10">
                  <c:v>2.6659999999999999</c:v>
                </c:pt>
                <c:pt idx="11">
                  <c:v>3.0590000000000002</c:v>
                </c:pt>
                <c:pt idx="12">
                  <c:v>3.2509999999999999</c:v>
                </c:pt>
                <c:pt idx="13">
                  <c:v>3.1389999999999998</c:v>
                </c:pt>
                <c:pt idx="17">
                  <c:v>2.3319999999999999</c:v>
                </c:pt>
                <c:pt idx="18">
                  <c:v>3.0529999999999999</c:v>
                </c:pt>
                <c:pt idx="19">
                  <c:v>3.11</c:v>
                </c:pt>
                <c:pt idx="20">
                  <c:v>3.0510000000000002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24-4A0E-BEFD-3219AC7EF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1507503"/>
        <c:axId val="1921507919"/>
      </c:scatterChart>
      <c:valAx>
        <c:axId val="1921507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21507919"/>
        <c:crosses val="autoZero"/>
        <c:crossBetween val="midCat"/>
      </c:valAx>
      <c:valAx>
        <c:axId val="1921507919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2150750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Pitlane RH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frh_pitlane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All!$BI$6:$BI$30</c:f>
              <c:numCache>
                <c:formatCode>General</c:formatCode>
                <c:ptCount val="25"/>
                <c:pt idx="0">
                  <c:v>64.66</c:v>
                </c:pt>
                <c:pt idx="5">
                  <c:v>65.335999999999999</c:v>
                </c:pt>
                <c:pt idx="10">
                  <c:v>64.974999999999994</c:v>
                </c:pt>
                <c:pt idx="13">
                  <c:v>65.491</c:v>
                </c:pt>
                <c:pt idx="17">
                  <c:v>65.168000000000006</c:v>
                </c:pt>
                <c:pt idx="20">
                  <c:v>66.48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C1-4D07-AC6A-97D58007850B}"/>
            </c:ext>
          </c:extLst>
        </c:ser>
        <c:ser>
          <c:idx val="1"/>
          <c:order val="1"/>
          <c:tx>
            <c:v>Ave rrh_pitlane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All!$BJ$6:$BJ$30</c:f>
              <c:numCache>
                <c:formatCode>General</c:formatCode>
                <c:ptCount val="25"/>
                <c:pt idx="0">
                  <c:v>80.679000000000002</c:v>
                </c:pt>
                <c:pt idx="5">
                  <c:v>81.316000000000003</c:v>
                </c:pt>
                <c:pt idx="10">
                  <c:v>80.885999999999996</c:v>
                </c:pt>
                <c:pt idx="13">
                  <c:v>80.082999999999998</c:v>
                </c:pt>
                <c:pt idx="17">
                  <c:v>82.186000000000007</c:v>
                </c:pt>
                <c:pt idx="20">
                  <c:v>81.293999999999997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C1-4D07-AC6A-97D58007850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921514991"/>
        <c:axId val="1921512911"/>
      </c:scatterChart>
      <c:valAx>
        <c:axId val="1921514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21512911"/>
        <c:crosses val="autoZero"/>
        <c:crossBetween val="midCat"/>
      </c:valAx>
      <c:valAx>
        <c:axId val="1921512911"/>
        <c:scaling>
          <c:orientation val="minMax"/>
          <c:max val="9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215149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 front, rear @ Top Speed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Ride_AxleFront_TS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All!$AR$6:$AR$30</c:f>
              <c:numCache>
                <c:formatCode>General</c:formatCode>
                <c:ptCount val="25"/>
                <c:pt idx="0">
                  <c:v>41.505000000000003</c:v>
                </c:pt>
                <c:pt idx="1">
                  <c:v>39.679000000000002</c:v>
                </c:pt>
                <c:pt idx="2">
                  <c:v>37.927999999999997</c:v>
                </c:pt>
                <c:pt idx="3">
                  <c:v>41.203000000000003</c:v>
                </c:pt>
                <c:pt idx="4">
                  <c:v>41.335000000000001</c:v>
                </c:pt>
                <c:pt idx="5">
                  <c:v>41.613</c:v>
                </c:pt>
                <c:pt idx="10">
                  <c:v>39.905999999999999</c:v>
                </c:pt>
                <c:pt idx="11">
                  <c:v>40.15</c:v>
                </c:pt>
                <c:pt idx="12">
                  <c:v>40.545999999999999</c:v>
                </c:pt>
                <c:pt idx="13">
                  <c:v>39.704000000000001</c:v>
                </c:pt>
                <c:pt idx="17">
                  <c:v>42.524999999999999</c:v>
                </c:pt>
                <c:pt idx="18">
                  <c:v>42.209000000000003</c:v>
                </c:pt>
                <c:pt idx="19">
                  <c:v>41.917999999999999</c:v>
                </c:pt>
                <c:pt idx="20">
                  <c:v>42.170999999999999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6A-43D3-87EC-B125F1DBB9EA}"/>
            </c:ext>
          </c:extLst>
        </c:ser>
        <c:ser>
          <c:idx val="1"/>
          <c:order val="1"/>
          <c:tx>
            <c:v>Ave Ride_AxleRear_TS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All!$AS$6:$AS$30</c:f>
              <c:numCache>
                <c:formatCode>General</c:formatCode>
                <c:ptCount val="25"/>
                <c:pt idx="0">
                  <c:v>36.948</c:v>
                </c:pt>
                <c:pt idx="1">
                  <c:v>36.271999999999998</c:v>
                </c:pt>
                <c:pt idx="2">
                  <c:v>37.988</c:v>
                </c:pt>
                <c:pt idx="3">
                  <c:v>38.51</c:v>
                </c:pt>
                <c:pt idx="4">
                  <c:v>38.026000000000003</c:v>
                </c:pt>
                <c:pt idx="5">
                  <c:v>40.305</c:v>
                </c:pt>
                <c:pt idx="10">
                  <c:v>37.164999999999999</c:v>
                </c:pt>
                <c:pt idx="11">
                  <c:v>35.54</c:v>
                </c:pt>
                <c:pt idx="12">
                  <c:v>38.348999999999997</c:v>
                </c:pt>
                <c:pt idx="13">
                  <c:v>37.844999999999999</c:v>
                </c:pt>
                <c:pt idx="17">
                  <c:v>38.954999999999998</c:v>
                </c:pt>
                <c:pt idx="18">
                  <c:v>39.088000000000001</c:v>
                </c:pt>
                <c:pt idx="19">
                  <c:v>38.238</c:v>
                </c:pt>
                <c:pt idx="20">
                  <c:v>40.807000000000002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6A-43D3-87EC-B125F1DBB9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1512079"/>
        <c:axId val="1921515823"/>
      </c:scatterChart>
      <c:valAx>
        <c:axId val="19215120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21515823"/>
        <c:crosses val="autoZero"/>
        <c:crossBetween val="midCat"/>
      </c:valAx>
      <c:valAx>
        <c:axId val="1921515823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215120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Speed [Km/h]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speed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All!$F$6:$F$30</c:f>
              <c:numCache>
                <c:formatCode>General</c:formatCode>
                <c:ptCount val="25"/>
                <c:pt idx="0">
                  <c:v>324.63</c:v>
                </c:pt>
                <c:pt idx="1">
                  <c:v>330.3</c:v>
                </c:pt>
                <c:pt idx="2">
                  <c:v>320.94</c:v>
                </c:pt>
                <c:pt idx="3">
                  <c:v>330.88</c:v>
                </c:pt>
                <c:pt idx="4">
                  <c:v>331.19</c:v>
                </c:pt>
                <c:pt idx="5">
                  <c:v>328.95</c:v>
                </c:pt>
                <c:pt idx="9">
                  <c:v>0.01</c:v>
                </c:pt>
                <c:pt idx="10">
                  <c:v>327.01</c:v>
                </c:pt>
                <c:pt idx="11">
                  <c:v>327.92</c:v>
                </c:pt>
                <c:pt idx="12">
                  <c:v>330.56</c:v>
                </c:pt>
                <c:pt idx="13">
                  <c:v>330.47</c:v>
                </c:pt>
                <c:pt idx="17">
                  <c:v>325.39</c:v>
                </c:pt>
                <c:pt idx="18">
                  <c:v>328.27</c:v>
                </c:pt>
                <c:pt idx="19">
                  <c:v>328.49</c:v>
                </c:pt>
                <c:pt idx="20">
                  <c:v>326.7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73-4BA4-85F2-0341E3D05C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2355679"/>
        <c:axId val="1802358175"/>
      </c:scatterChart>
      <c:scatterChart>
        <c:scatterStyle val="lineMarker"/>
        <c:varyColors val="0"/>
        <c:ser>
          <c:idx val="1"/>
          <c:order val="1"/>
          <c:tx>
            <c:v>Max accy_filtered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All!$IA$6:$IA$30</c:f>
              <c:numCache>
                <c:formatCode>General</c:formatCode>
                <c:ptCount val="25"/>
                <c:pt idx="0">
                  <c:v>2.7010000000000001</c:v>
                </c:pt>
                <c:pt idx="1">
                  <c:v>2.9169999999999998</c:v>
                </c:pt>
                <c:pt idx="2">
                  <c:v>2.46</c:v>
                </c:pt>
                <c:pt idx="3">
                  <c:v>2.9169999999999998</c:v>
                </c:pt>
                <c:pt idx="4">
                  <c:v>3.0939999999999999</c:v>
                </c:pt>
                <c:pt idx="5">
                  <c:v>2.6059999999999999</c:v>
                </c:pt>
                <c:pt idx="9">
                  <c:v>4.0000000000000001E-3</c:v>
                </c:pt>
                <c:pt idx="10">
                  <c:v>2.2650000000000001</c:v>
                </c:pt>
                <c:pt idx="11">
                  <c:v>2.585</c:v>
                </c:pt>
                <c:pt idx="12">
                  <c:v>2.8719999999999999</c:v>
                </c:pt>
                <c:pt idx="13">
                  <c:v>2.75</c:v>
                </c:pt>
                <c:pt idx="17">
                  <c:v>2.6779999999999999</c:v>
                </c:pt>
                <c:pt idx="18">
                  <c:v>2.9460000000000002</c:v>
                </c:pt>
                <c:pt idx="19">
                  <c:v>3.1110000000000002</c:v>
                </c:pt>
                <c:pt idx="20">
                  <c:v>2.7970000000000002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73-4BA4-85F2-0341E3D05C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59375"/>
        <c:axId val="136364783"/>
      </c:scatterChart>
      <c:valAx>
        <c:axId val="180235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02358175"/>
        <c:crosses val="autoZero"/>
        <c:crossBetween val="midCat"/>
      </c:valAx>
      <c:valAx>
        <c:axId val="1802358175"/>
        <c:scaling>
          <c:orientation val="minMax"/>
          <c:max val="345"/>
          <c:min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02355679"/>
        <c:crosses val="autoZero"/>
        <c:crossBetween val="midCat"/>
      </c:valAx>
      <c:valAx>
        <c:axId val="136364783"/>
        <c:scaling>
          <c:orientation val="minMax"/>
          <c:max val="3.5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6359375"/>
        <c:crosses val="max"/>
        <c:crossBetween val="midCat"/>
      </c:valAx>
      <c:valAx>
        <c:axId val="136359375"/>
        <c:scaling>
          <c:orientation val="minMax"/>
        </c:scaling>
        <c:delete val="1"/>
        <c:axPos val="b"/>
        <c:majorTickMark val="out"/>
        <c:minorTickMark val="none"/>
        <c:tickLblPos val="nextTo"/>
        <c:crossAx val="1363647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SCz front, rear @ Top Speed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CzF_TS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All!$AP$6:$AP$30</c:f>
              <c:numCache>
                <c:formatCode>General</c:formatCode>
                <c:ptCount val="25"/>
                <c:pt idx="0">
                  <c:v>1.4830000000000001</c:v>
                </c:pt>
                <c:pt idx="1">
                  <c:v>1.478</c:v>
                </c:pt>
                <c:pt idx="2">
                  <c:v>1.462</c:v>
                </c:pt>
                <c:pt idx="3">
                  <c:v>1.466</c:v>
                </c:pt>
                <c:pt idx="4">
                  <c:v>1.4710000000000001</c:v>
                </c:pt>
                <c:pt idx="5">
                  <c:v>1.462</c:v>
                </c:pt>
                <c:pt idx="10">
                  <c:v>1.4670000000000001</c:v>
                </c:pt>
                <c:pt idx="11">
                  <c:v>1.4690000000000001</c:v>
                </c:pt>
                <c:pt idx="12">
                  <c:v>1.464</c:v>
                </c:pt>
                <c:pt idx="13">
                  <c:v>1.4690000000000001</c:v>
                </c:pt>
                <c:pt idx="17">
                  <c:v>1.42</c:v>
                </c:pt>
                <c:pt idx="18">
                  <c:v>1.427</c:v>
                </c:pt>
                <c:pt idx="19">
                  <c:v>1.411</c:v>
                </c:pt>
                <c:pt idx="20">
                  <c:v>1.4259999999999999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C0-4F5F-85E3-F8F99C1AE1B8}"/>
            </c:ext>
          </c:extLst>
        </c:ser>
        <c:ser>
          <c:idx val="1"/>
          <c:order val="1"/>
          <c:tx>
            <c:v>CzR_TS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All!$AQ$6:$AQ$30</c:f>
              <c:numCache>
                <c:formatCode>General</c:formatCode>
                <c:ptCount val="25"/>
                <c:pt idx="0">
                  <c:v>1.9990000000000001</c:v>
                </c:pt>
                <c:pt idx="1">
                  <c:v>1.982</c:v>
                </c:pt>
                <c:pt idx="2">
                  <c:v>1.9550000000000001</c:v>
                </c:pt>
                <c:pt idx="3">
                  <c:v>1.9510000000000001</c:v>
                </c:pt>
                <c:pt idx="4">
                  <c:v>1.927</c:v>
                </c:pt>
                <c:pt idx="5">
                  <c:v>1.913</c:v>
                </c:pt>
                <c:pt idx="10">
                  <c:v>1.9350000000000001</c:v>
                </c:pt>
                <c:pt idx="11">
                  <c:v>1.9330000000000001</c:v>
                </c:pt>
                <c:pt idx="12">
                  <c:v>1.9279999999999999</c:v>
                </c:pt>
                <c:pt idx="13">
                  <c:v>1.9179999999999999</c:v>
                </c:pt>
                <c:pt idx="17">
                  <c:v>1.972</c:v>
                </c:pt>
                <c:pt idx="18">
                  <c:v>1.986</c:v>
                </c:pt>
                <c:pt idx="19">
                  <c:v>1.95</c:v>
                </c:pt>
                <c:pt idx="20">
                  <c:v>1.9419999999999999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6C0-4F5F-85E3-F8F99C1AE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1516655"/>
        <c:axId val="1615646111"/>
      </c:scatterChart>
      <c:valAx>
        <c:axId val="19215166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15646111"/>
        <c:crosses val="autoZero"/>
        <c:crossBetween val="midCat"/>
      </c:valAx>
      <c:valAx>
        <c:axId val="1615646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21516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Scz front, rear @160 Kph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CzF_160kph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All!$CC$6:$CC$30</c:f>
              <c:numCache>
                <c:formatCode>General</c:formatCode>
                <c:ptCount val="25"/>
                <c:pt idx="0">
                  <c:v>1.319</c:v>
                </c:pt>
                <c:pt idx="1">
                  <c:v>1.474</c:v>
                </c:pt>
                <c:pt idx="2">
                  <c:v>1.1579999999999999</c:v>
                </c:pt>
                <c:pt idx="3">
                  <c:v>1.383</c:v>
                </c:pt>
                <c:pt idx="4">
                  <c:v>1.4610000000000001</c:v>
                </c:pt>
                <c:pt idx="5">
                  <c:v>1.0369999999999999</c:v>
                </c:pt>
                <c:pt idx="10">
                  <c:v>1.2030000000000001</c:v>
                </c:pt>
                <c:pt idx="11">
                  <c:v>1.302</c:v>
                </c:pt>
                <c:pt idx="12">
                  <c:v>1.417</c:v>
                </c:pt>
                <c:pt idx="13">
                  <c:v>1.3620000000000001</c:v>
                </c:pt>
                <c:pt idx="17">
                  <c:v>1.0009999999999999</c:v>
                </c:pt>
                <c:pt idx="18">
                  <c:v>1.08</c:v>
                </c:pt>
                <c:pt idx="19">
                  <c:v>1.2</c:v>
                </c:pt>
                <c:pt idx="20">
                  <c:v>0.80100000000000005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37-4C8F-A068-C9E68C07A5EE}"/>
            </c:ext>
          </c:extLst>
        </c:ser>
        <c:ser>
          <c:idx val="1"/>
          <c:order val="1"/>
          <c:tx>
            <c:v>Ave CzR_160kph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All!$CD$6:$CD$30</c:f>
              <c:numCache>
                <c:formatCode>General</c:formatCode>
                <c:ptCount val="25"/>
                <c:pt idx="0">
                  <c:v>2.5409999999999999</c:v>
                </c:pt>
                <c:pt idx="1">
                  <c:v>2.6120000000000001</c:v>
                </c:pt>
                <c:pt idx="2">
                  <c:v>2.3610000000000002</c:v>
                </c:pt>
                <c:pt idx="3">
                  <c:v>2.528</c:v>
                </c:pt>
                <c:pt idx="4">
                  <c:v>2.431</c:v>
                </c:pt>
                <c:pt idx="5">
                  <c:v>2.3809999999999998</c:v>
                </c:pt>
                <c:pt idx="10">
                  <c:v>2.3260000000000001</c:v>
                </c:pt>
                <c:pt idx="11">
                  <c:v>2.5510000000000002</c:v>
                </c:pt>
                <c:pt idx="12">
                  <c:v>2.4239999999999999</c:v>
                </c:pt>
                <c:pt idx="13">
                  <c:v>2.411</c:v>
                </c:pt>
                <c:pt idx="17">
                  <c:v>2.274</c:v>
                </c:pt>
                <c:pt idx="18">
                  <c:v>2.3290000000000002</c:v>
                </c:pt>
                <c:pt idx="19">
                  <c:v>2.335</c:v>
                </c:pt>
                <c:pt idx="20">
                  <c:v>2.2930000000000001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37-4C8F-A068-C9E68C07A5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1506255"/>
        <c:axId val="1921507503"/>
      </c:scatterChart>
      <c:valAx>
        <c:axId val="19215062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21507503"/>
        <c:crosses val="autoZero"/>
        <c:crossBetween val="midCat"/>
      </c:valAx>
      <c:valAx>
        <c:axId val="1921507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215062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Scz front, rear @220 Kph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CzF_220kph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All!$CE$6:$CE$30</c:f>
              <c:numCache>
                <c:formatCode>General</c:formatCode>
                <c:ptCount val="25"/>
                <c:pt idx="0">
                  <c:v>1.4119999999999999</c:v>
                </c:pt>
                <c:pt idx="1">
                  <c:v>1.33</c:v>
                </c:pt>
                <c:pt idx="2">
                  <c:v>1.51</c:v>
                </c:pt>
                <c:pt idx="3">
                  <c:v>1.4379999999999999</c:v>
                </c:pt>
                <c:pt idx="4">
                  <c:v>1.403</c:v>
                </c:pt>
                <c:pt idx="5">
                  <c:v>1.5129999999999999</c:v>
                </c:pt>
                <c:pt idx="10">
                  <c:v>1.5089999999999999</c:v>
                </c:pt>
                <c:pt idx="11">
                  <c:v>1.375</c:v>
                </c:pt>
                <c:pt idx="12">
                  <c:v>1.345</c:v>
                </c:pt>
                <c:pt idx="13">
                  <c:v>1.5089999999999999</c:v>
                </c:pt>
                <c:pt idx="17">
                  <c:v>1.341</c:v>
                </c:pt>
                <c:pt idx="18">
                  <c:v>1.373</c:v>
                </c:pt>
                <c:pt idx="19">
                  <c:v>1.369</c:v>
                </c:pt>
                <c:pt idx="20">
                  <c:v>1.2829999999999999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5-4E97-B9F7-AEA7D790E417}"/>
            </c:ext>
          </c:extLst>
        </c:ser>
        <c:ser>
          <c:idx val="1"/>
          <c:order val="1"/>
          <c:tx>
            <c:v>Ave CzR_220kph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All!$CF$6:$CF$30</c:f>
              <c:numCache>
                <c:formatCode>General</c:formatCode>
                <c:ptCount val="25"/>
                <c:pt idx="0">
                  <c:v>2.2400000000000002</c:v>
                </c:pt>
                <c:pt idx="1">
                  <c:v>2.2120000000000002</c:v>
                </c:pt>
                <c:pt idx="2">
                  <c:v>2.1779999999999999</c:v>
                </c:pt>
                <c:pt idx="3">
                  <c:v>2.2080000000000002</c:v>
                </c:pt>
                <c:pt idx="4">
                  <c:v>2.17</c:v>
                </c:pt>
                <c:pt idx="5">
                  <c:v>2.23</c:v>
                </c:pt>
                <c:pt idx="10">
                  <c:v>2.2559999999999998</c:v>
                </c:pt>
                <c:pt idx="11">
                  <c:v>2.1869999999999998</c:v>
                </c:pt>
                <c:pt idx="12">
                  <c:v>2.1989999999999998</c:v>
                </c:pt>
                <c:pt idx="13">
                  <c:v>2.2330000000000001</c:v>
                </c:pt>
                <c:pt idx="17">
                  <c:v>2.1840000000000002</c:v>
                </c:pt>
                <c:pt idx="18">
                  <c:v>2.1779999999999999</c:v>
                </c:pt>
                <c:pt idx="19">
                  <c:v>2.149</c:v>
                </c:pt>
                <c:pt idx="20">
                  <c:v>2.0859999999999999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35-4E97-B9F7-AEA7D790E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2350687"/>
        <c:axId val="1457728943"/>
      </c:scatterChart>
      <c:valAx>
        <c:axId val="18023506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57728943"/>
        <c:crosses val="autoZero"/>
        <c:crossBetween val="midCat"/>
      </c:valAx>
      <c:valAx>
        <c:axId val="1457728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023506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 @160,220 Kph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Ride_AxleFront_160kph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All!$DP$6:$DP$30</c:f>
              <c:numCache>
                <c:formatCode>General</c:formatCode>
                <c:ptCount val="25"/>
                <c:pt idx="0">
                  <c:v>64.88</c:v>
                </c:pt>
                <c:pt idx="1">
                  <c:v>62.795999999999999</c:v>
                </c:pt>
                <c:pt idx="2">
                  <c:v>60.284999999999997</c:v>
                </c:pt>
                <c:pt idx="3">
                  <c:v>66.602999999999994</c:v>
                </c:pt>
                <c:pt idx="4">
                  <c:v>65.650999999999996</c:v>
                </c:pt>
                <c:pt idx="5">
                  <c:v>59.966000000000001</c:v>
                </c:pt>
                <c:pt idx="10">
                  <c:v>62.936999999999998</c:v>
                </c:pt>
                <c:pt idx="11">
                  <c:v>68.171000000000006</c:v>
                </c:pt>
                <c:pt idx="12">
                  <c:v>64.066000000000003</c:v>
                </c:pt>
                <c:pt idx="13">
                  <c:v>67.884</c:v>
                </c:pt>
                <c:pt idx="17">
                  <c:v>63.279000000000003</c:v>
                </c:pt>
                <c:pt idx="18">
                  <c:v>64.42</c:v>
                </c:pt>
                <c:pt idx="19">
                  <c:v>65.481999999999999</c:v>
                </c:pt>
                <c:pt idx="20">
                  <c:v>66.048000000000002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C4-4656-8AB5-6D0D8394F246}"/>
            </c:ext>
          </c:extLst>
        </c:ser>
        <c:ser>
          <c:idx val="1"/>
          <c:order val="1"/>
          <c:tx>
            <c:v>Ave Ride_AxleRear_160kph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All!$DQ$6:$DQ$30</c:f>
              <c:numCache>
                <c:formatCode>General</c:formatCode>
                <c:ptCount val="25"/>
                <c:pt idx="0">
                  <c:v>60.57</c:v>
                </c:pt>
                <c:pt idx="1">
                  <c:v>59.116</c:v>
                </c:pt>
                <c:pt idx="2">
                  <c:v>59.768999999999998</c:v>
                </c:pt>
                <c:pt idx="3">
                  <c:v>61.432000000000002</c:v>
                </c:pt>
                <c:pt idx="4">
                  <c:v>58.387</c:v>
                </c:pt>
                <c:pt idx="5">
                  <c:v>60.966999999999999</c:v>
                </c:pt>
                <c:pt idx="10">
                  <c:v>58.381</c:v>
                </c:pt>
                <c:pt idx="11">
                  <c:v>58.244999999999997</c:v>
                </c:pt>
                <c:pt idx="12">
                  <c:v>59.536999999999999</c:v>
                </c:pt>
                <c:pt idx="13">
                  <c:v>56.326999999999998</c:v>
                </c:pt>
                <c:pt idx="17">
                  <c:v>60.139000000000003</c:v>
                </c:pt>
                <c:pt idx="18">
                  <c:v>60.731000000000002</c:v>
                </c:pt>
                <c:pt idx="19">
                  <c:v>61.500999999999998</c:v>
                </c:pt>
                <c:pt idx="20">
                  <c:v>61.183999999999997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C4-4656-8AB5-6D0D8394F246}"/>
            </c:ext>
          </c:extLst>
        </c:ser>
        <c:ser>
          <c:idx val="2"/>
          <c:order val="2"/>
          <c:tx>
            <c:v>Ave Ride_AxleFront_220kph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All!$DR$6:$DR$30</c:f>
              <c:numCache>
                <c:formatCode>General</c:formatCode>
                <c:ptCount val="25"/>
                <c:pt idx="0">
                  <c:v>53.213999999999999</c:v>
                </c:pt>
                <c:pt idx="1">
                  <c:v>54.393000000000001</c:v>
                </c:pt>
                <c:pt idx="2">
                  <c:v>49.289000000000001</c:v>
                </c:pt>
                <c:pt idx="3">
                  <c:v>54.258000000000003</c:v>
                </c:pt>
                <c:pt idx="4">
                  <c:v>52.61</c:v>
                </c:pt>
                <c:pt idx="5">
                  <c:v>53.101999999999997</c:v>
                </c:pt>
                <c:pt idx="10">
                  <c:v>53.048000000000002</c:v>
                </c:pt>
                <c:pt idx="11">
                  <c:v>53.78</c:v>
                </c:pt>
                <c:pt idx="12">
                  <c:v>54.149000000000001</c:v>
                </c:pt>
                <c:pt idx="13">
                  <c:v>53.588000000000001</c:v>
                </c:pt>
                <c:pt idx="17">
                  <c:v>50.951999999999998</c:v>
                </c:pt>
                <c:pt idx="18">
                  <c:v>54.09</c:v>
                </c:pt>
                <c:pt idx="19">
                  <c:v>55.179000000000002</c:v>
                </c:pt>
                <c:pt idx="20">
                  <c:v>54.466000000000001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C4-4656-8AB5-6D0D8394F246}"/>
            </c:ext>
          </c:extLst>
        </c:ser>
        <c:ser>
          <c:idx val="3"/>
          <c:order val="3"/>
          <c:tx>
            <c:v>Ave Ride_AxleRear_220kph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All!$DS$6:$DS$30</c:f>
              <c:numCache>
                <c:formatCode>General</c:formatCode>
                <c:ptCount val="25"/>
                <c:pt idx="0">
                  <c:v>48.881</c:v>
                </c:pt>
                <c:pt idx="1">
                  <c:v>50.670999999999999</c:v>
                </c:pt>
                <c:pt idx="2">
                  <c:v>49.445999999999998</c:v>
                </c:pt>
                <c:pt idx="3">
                  <c:v>51.356000000000002</c:v>
                </c:pt>
                <c:pt idx="4">
                  <c:v>51.476999999999997</c:v>
                </c:pt>
                <c:pt idx="5">
                  <c:v>51.719000000000001</c:v>
                </c:pt>
                <c:pt idx="10">
                  <c:v>50.862000000000002</c:v>
                </c:pt>
                <c:pt idx="11">
                  <c:v>51.113</c:v>
                </c:pt>
                <c:pt idx="12">
                  <c:v>51.962000000000003</c:v>
                </c:pt>
                <c:pt idx="13">
                  <c:v>52.481000000000002</c:v>
                </c:pt>
                <c:pt idx="17">
                  <c:v>49.823</c:v>
                </c:pt>
                <c:pt idx="18">
                  <c:v>52.039000000000001</c:v>
                </c:pt>
                <c:pt idx="19">
                  <c:v>52.686</c:v>
                </c:pt>
                <c:pt idx="20">
                  <c:v>52.421999999999997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FC4-4656-8AB5-6D0D8394F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0553311"/>
        <c:axId val="1317443295"/>
      </c:scatterChart>
      <c:valAx>
        <c:axId val="16805533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17443295"/>
        <c:crosses val="autoZero"/>
        <c:crossBetween val="midCat"/>
      </c:valAx>
      <c:valAx>
        <c:axId val="1317443295"/>
        <c:scaling>
          <c:orientation val="minMax"/>
          <c:max val="7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805533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 HS,MS [ratio]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AB HS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All!$DL$6:$DL$30</c:f>
              <c:numCache>
                <c:formatCode>General</c:formatCode>
                <c:ptCount val="25"/>
                <c:pt idx="0">
                  <c:v>0.41599999999999998</c:v>
                </c:pt>
                <c:pt idx="1">
                  <c:v>0.41399999999999998</c:v>
                </c:pt>
                <c:pt idx="2">
                  <c:v>0.42</c:v>
                </c:pt>
                <c:pt idx="3">
                  <c:v>0.41299999999999998</c:v>
                </c:pt>
                <c:pt idx="4">
                  <c:v>0.42</c:v>
                </c:pt>
                <c:pt idx="5">
                  <c:v>0.42099999999999999</c:v>
                </c:pt>
                <c:pt idx="10">
                  <c:v>0.41899999999999998</c:v>
                </c:pt>
                <c:pt idx="11">
                  <c:v>0.41699999999999998</c:v>
                </c:pt>
                <c:pt idx="12">
                  <c:v>0.39800000000000002</c:v>
                </c:pt>
                <c:pt idx="13">
                  <c:v>0.34899999999999998</c:v>
                </c:pt>
                <c:pt idx="17">
                  <c:v>0.40799999999999997</c:v>
                </c:pt>
                <c:pt idx="18">
                  <c:v>0.40300000000000002</c:v>
                </c:pt>
                <c:pt idx="19">
                  <c:v>0.40100000000000002</c:v>
                </c:pt>
                <c:pt idx="20">
                  <c:v>0.40799999999999997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CB-465F-838C-2488C4225AE9}"/>
            </c:ext>
          </c:extLst>
        </c:ser>
        <c:ser>
          <c:idx val="1"/>
          <c:order val="1"/>
          <c:tx>
            <c:v>Ave AB MS Entry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All!$DM$6:$DM$30</c:f>
              <c:numCache>
                <c:formatCode>General</c:formatCode>
                <c:ptCount val="25"/>
                <c:pt idx="0">
                  <c:v>0.49199999999999999</c:v>
                </c:pt>
                <c:pt idx="1">
                  <c:v>0.46800000000000003</c:v>
                </c:pt>
                <c:pt idx="2">
                  <c:v>0.52900000000000003</c:v>
                </c:pt>
                <c:pt idx="3">
                  <c:v>0.44600000000000001</c:v>
                </c:pt>
                <c:pt idx="4">
                  <c:v>0.47499999999999998</c:v>
                </c:pt>
                <c:pt idx="5">
                  <c:v>0.46600000000000003</c:v>
                </c:pt>
                <c:pt idx="10">
                  <c:v>0.51300000000000001</c:v>
                </c:pt>
                <c:pt idx="11">
                  <c:v>0.46800000000000003</c:v>
                </c:pt>
                <c:pt idx="12">
                  <c:v>0.44700000000000001</c:v>
                </c:pt>
                <c:pt idx="13">
                  <c:v>0.21</c:v>
                </c:pt>
                <c:pt idx="17">
                  <c:v>0.47399999999999998</c:v>
                </c:pt>
                <c:pt idx="18">
                  <c:v>0.442</c:v>
                </c:pt>
                <c:pt idx="19">
                  <c:v>-0.95099999999999996</c:v>
                </c:pt>
                <c:pt idx="20">
                  <c:v>0.46200000000000002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2CB-465F-838C-2488C4225AE9}"/>
            </c:ext>
          </c:extLst>
        </c:ser>
        <c:ser>
          <c:idx val="2"/>
          <c:order val="2"/>
          <c:tx>
            <c:v>Ave AB MS Mid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All!$DN$6:$DN$30</c:f>
              <c:numCache>
                <c:formatCode>General</c:formatCode>
                <c:ptCount val="25"/>
                <c:pt idx="0">
                  <c:v>0.49199999999999999</c:v>
                </c:pt>
                <c:pt idx="1">
                  <c:v>0.41199999999999998</c:v>
                </c:pt>
                <c:pt idx="2">
                  <c:v>0.35699999999999998</c:v>
                </c:pt>
                <c:pt idx="3">
                  <c:v>0.46200000000000002</c:v>
                </c:pt>
                <c:pt idx="4">
                  <c:v>0.17199999999999999</c:v>
                </c:pt>
                <c:pt idx="5">
                  <c:v>0.39800000000000002</c:v>
                </c:pt>
                <c:pt idx="10">
                  <c:v>0.379</c:v>
                </c:pt>
                <c:pt idx="11">
                  <c:v>0.26700000000000002</c:v>
                </c:pt>
                <c:pt idx="12">
                  <c:v>0.46800000000000003</c:v>
                </c:pt>
                <c:pt idx="13">
                  <c:v>0.42599999999999999</c:v>
                </c:pt>
                <c:pt idx="17">
                  <c:v>0.08</c:v>
                </c:pt>
                <c:pt idx="18">
                  <c:v>0.28599999999999998</c:v>
                </c:pt>
                <c:pt idx="19">
                  <c:v>-6.69</c:v>
                </c:pt>
                <c:pt idx="20">
                  <c:v>0.42599999999999999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2CB-465F-838C-2488C4225AE9}"/>
            </c:ext>
          </c:extLst>
        </c:ser>
        <c:ser>
          <c:idx val="3"/>
          <c:order val="3"/>
          <c:tx>
            <c:v>Ave AB MS Exit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All!$DO$6:$DO$30</c:f>
              <c:numCache>
                <c:formatCode>General</c:formatCode>
                <c:ptCount val="25"/>
                <c:pt idx="0">
                  <c:v>0.35699999999999998</c:v>
                </c:pt>
                <c:pt idx="1">
                  <c:v>0.28100000000000003</c:v>
                </c:pt>
                <c:pt idx="2">
                  <c:v>0.40400000000000003</c:v>
                </c:pt>
                <c:pt idx="3">
                  <c:v>0.34599999999999997</c:v>
                </c:pt>
                <c:pt idx="4">
                  <c:v>0.28399999999999997</c:v>
                </c:pt>
                <c:pt idx="5">
                  <c:v>0.38400000000000001</c:v>
                </c:pt>
                <c:pt idx="10">
                  <c:v>0.39400000000000002</c:v>
                </c:pt>
                <c:pt idx="11">
                  <c:v>0.308</c:v>
                </c:pt>
                <c:pt idx="12">
                  <c:v>0.38300000000000001</c:v>
                </c:pt>
                <c:pt idx="13">
                  <c:v>0.183</c:v>
                </c:pt>
                <c:pt idx="17">
                  <c:v>0.33900000000000002</c:v>
                </c:pt>
                <c:pt idx="18">
                  <c:v>0.309</c:v>
                </c:pt>
                <c:pt idx="19">
                  <c:v>0.23100000000000001</c:v>
                </c:pt>
                <c:pt idx="20">
                  <c:v>0.26400000000000001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2CB-465F-838C-2488C4225A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058271"/>
        <c:axId val="95056607"/>
      </c:scatterChart>
      <c:valAx>
        <c:axId val="950582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5056607"/>
        <c:crosses val="autoZero"/>
        <c:crossBetween val="midCat"/>
      </c:valAx>
      <c:valAx>
        <c:axId val="95056607"/>
        <c:scaling>
          <c:orientation val="minMax"/>
          <c:max val="1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50582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min RH Dunlop corner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Ride_AxleFront_Dunlop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All!$HW$6:$HW$30</c:f>
              <c:numCache>
                <c:formatCode>General</c:formatCode>
                <c:ptCount val="25"/>
                <c:pt idx="0">
                  <c:v>35.64</c:v>
                </c:pt>
                <c:pt idx="1">
                  <c:v>35.64</c:v>
                </c:pt>
                <c:pt idx="2">
                  <c:v>38.01</c:v>
                </c:pt>
                <c:pt idx="3">
                  <c:v>36.65</c:v>
                </c:pt>
                <c:pt idx="4">
                  <c:v>36.65</c:v>
                </c:pt>
                <c:pt idx="5">
                  <c:v>37.64</c:v>
                </c:pt>
                <c:pt idx="9">
                  <c:v>52.98</c:v>
                </c:pt>
                <c:pt idx="10">
                  <c:v>37.21</c:v>
                </c:pt>
                <c:pt idx="11">
                  <c:v>37.21</c:v>
                </c:pt>
                <c:pt idx="12">
                  <c:v>40.299999999999997</c:v>
                </c:pt>
                <c:pt idx="13">
                  <c:v>41.08</c:v>
                </c:pt>
                <c:pt idx="17">
                  <c:v>39.229999999999997</c:v>
                </c:pt>
                <c:pt idx="18">
                  <c:v>39.229999999999997</c:v>
                </c:pt>
                <c:pt idx="19">
                  <c:v>40.5</c:v>
                </c:pt>
                <c:pt idx="20">
                  <c:v>40.5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E7-4B32-81A8-CC3FC2E8E675}"/>
            </c:ext>
          </c:extLst>
        </c:ser>
        <c:ser>
          <c:idx val="1"/>
          <c:order val="1"/>
          <c:tx>
            <c:v>Min Ride_AxleRear_Dunlop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All!$HX$6:$HX$30</c:f>
              <c:numCache>
                <c:formatCode>General</c:formatCode>
                <c:ptCount val="25"/>
                <c:pt idx="0">
                  <c:v>44.28</c:v>
                </c:pt>
                <c:pt idx="1">
                  <c:v>44.28</c:v>
                </c:pt>
                <c:pt idx="2">
                  <c:v>48.21</c:v>
                </c:pt>
                <c:pt idx="3">
                  <c:v>47.31</c:v>
                </c:pt>
                <c:pt idx="4">
                  <c:v>47.31</c:v>
                </c:pt>
                <c:pt idx="5">
                  <c:v>54.13</c:v>
                </c:pt>
                <c:pt idx="9">
                  <c:v>74.959999999999994</c:v>
                </c:pt>
                <c:pt idx="10">
                  <c:v>48.83</c:v>
                </c:pt>
                <c:pt idx="11">
                  <c:v>43.92</c:v>
                </c:pt>
                <c:pt idx="12">
                  <c:v>43.82</c:v>
                </c:pt>
                <c:pt idx="13">
                  <c:v>43.82</c:v>
                </c:pt>
                <c:pt idx="17">
                  <c:v>40.36</c:v>
                </c:pt>
                <c:pt idx="18">
                  <c:v>37.46</c:v>
                </c:pt>
                <c:pt idx="19">
                  <c:v>37.46</c:v>
                </c:pt>
                <c:pt idx="20">
                  <c:v>43.43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E7-4B32-81A8-CC3FC2E8E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059103"/>
        <c:axId val="95053695"/>
      </c:scatterChart>
      <c:valAx>
        <c:axId val="950591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5053695"/>
        <c:crosses val="autoZero"/>
        <c:crossBetween val="midCat"/>
      </c:valAx>
      <c:valAx>
        <c:axId val="95053695"/>
        <c:scaling>
          <c:orientation val="minMax"/>
          <c:max val="7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505910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 1st Porsche corner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Ride_AxleFront_Porsche1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All!$HY$6:$HY$30</c:f>
              <c:numCache>
                <c:formatCode>General</c:formatCode>
                <c:ptCount val="25"/>
                <c:pt idx="3">
                  <c:v>47.43</c:v>
                </c:pt>
                <c:pt idx="4">
                  <c:v>48.98</c:v>
                </c:pt>
                <c:pt idx="11">
                  <c:v>48.66</c:v>
                </c:pt>
                <c:pt idx="12">
                  <c:v>50.93</c:v>
                </c:pt>
                <c:pt idx="18">
                  <c:v>50.51</c:v>
                </c:pt>
                <c:pt idx="19">
                  <c:v>51.13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39-47E6-BEDD-7F1659DCAEDC}"/>
            </c:ext>
          </c:extLst>
        </c:ser>
        <c:ser>
          <c:idx val="1"/>
          <c:order val="1"/>
          <c:tx>
            <c:v>Ave Ride_AxleRear_Porsche1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All!$HZ$6:$HZ$30</c:f>
              <c:numCache>
                <c:formatCode>General</c:formatCode>
                <c:ptCount val="25"/>
                <c:pt idx="3">
                  <c:v>57.52</c:v>
                </c:pt>
                <c:pt idx="4">
                  <c:v>60.35</c:v>
                </c:pt>
                <c:pt idx="11">
                  <c:v>60.22</c:v>
                </c:pt>
                <c:pt idx="12">
                  <c:v>62.44</c:v>
                </c:pt>
                <c:pt idx="18">
                  <c:v>61.19</c:v>
                </c:pt>
                <c:pt idx="19">
                  <c:v>61.89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39-47E6-BEDD-7F1659DCAE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057855"/>
        <c:axId val="95059103"/>
      </c:scatterChart>
      <c:valAx>
        <c:axId val="950578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5059103"/>
        <c:crosses val="autoZero"/>
        <c:crossBetween val="midCat"/>
      </c:valAx>
      <c:valAx>
        <c:axId val="95059103"/>
        <c:scaling>
          <c:orientation val="minMax"/>
          <c:max val="7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50578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DCPL[N]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CPL_FL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All!$AL$6:$AL$30</c:f>
              <c:numCache>
                <c:formatCode>General</c:formatCode>
                <c:ptCount val="25"/>
                <c:pt idx="0">
                  <c:v>552.471</c:v>
                </c:pt>
                <c:pt idx="1">
                  <c:v>685.97400000000005</c:v>
                </c:pt>
                <c:pt idx="2">
                  <c:v>596.68700000000001</c:v>
                </c:pt>
                <c:pt idx="3">
                  <c:v>679.89300000000003</c:v>
                </c:pt>
                <c:pt idx="4">
                  <c:v>666.37099999999998</c:v>
                </c:pt>
                <c:pt idx="5">
                  <c:v>571.01</c:v>
                </c:pt>
                <c:pt idx="10">
                  <c:v>595.726</c:v>
                </c:pt>
                <c:pt idx="11">
                  <c:v>696.32399999999996</c:v>
                </c:pt>
                <c:pt idx="12">
                  <c:v>778.29700000000003</c:v>
                </c:pt>
                <c:pt idx="13">
                  <c:v>729.89800000000002</c:v>
                </c:pt>
                <c:pt idx="17">
                  <c:v>574.09500000000003</c:v>
                </c:pt>
                <c:pt idx="18">
                  <c:v>694.56399999999996</c:v>
                </c:pt>
                <c:pt idx="19">
                  <c:v>689.09</c:v>
                </c:pt>
                <c:pt idx="20">
                  <c:v>636.36099999999999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A3-4CFE-B25C-10C7C32C22AE}"/>
            </c:ext>
          </c:extLst>
        </c:ser>
        <c:ser>
          <c:idx val="1"/>
          <c:order val="1"/>
          <c:tx>
            <c:v>Ave CPL_FR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All!$AM$6:$AM$30</c:f>
              <c:numCache>
                <c:formatCode>General</c:formatCode>
                <c:ptCount val="25"/>
                <c:pt idx="0">
                  <c:v>590.82500000000005</c:v>
                </c:pt>
                <c:pt idx="1">
                  <c:v>678.48900000000003</c:v>
                </c:pt>
                <c:pt idx="2">
                  <c:v>617.22799999999995</c:v>
                </c:pt>
                <c:pt idx="3">
                  <c:v>688.548</c:v>
                </c:pt>
                <c:pt idx="4">
                  <c:v>699.51199999999994</c:v>
                </c:pt>
                <c:pt idx="5">
                  <c:v>597.09</c:v>
                </c:pt>
                <c:pt idx="10">
                  <c:v>628.48299999999995</c:v>
                </c:pt>
                <c:pt idx="11">
                  <c:v>706.37099999999998</c:v>
                </c:pt>
                <c:pt idx="12">
                  <c:v>894.88800000000003</c:v>
                </c:pt>
                <c:pt idx="13">
                  <c:v>999.16800000000001</c:v>
                </c:pt>
                <c:pt idx="17">
                  <c:v>586.26099999999997</c:v>
                </c:pt>
                <c:pt idx="18">
                  <c:v>673.09</c:v>
                </c:pt>
                <c:pt idx="19">
                  <c:v>685.53499999999997</c:v>
                </c:pt>
                <c:pt idx="20">
                  <c:v>633.74599999999998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A3-4CFE-B25C-10C7C32C22AE}"/>
            </c:ext>
          </c:extLst>
        </c:ser>
        <c:ser>
          <c:idx val="2"/>
          <c:order val="2"/>
          <c:tx>
            <c:v>Ave CPL_RL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All!$AN$6:$AN$30</c:f>
              <c:numCache>
                <c:formatCode>General</c:formatCode>
                <c:ptCount val="25"/>
                <c:pt idx="0">
                  <c:v>701.22</c:v>
                </c:pt>
                <c:pt idx="1">
                  <c:v>834.00900000000001</c:v>
                </c:pt>
                <c:pt idx="2">
                  <c:v>734.07600000000002</c:v>
                </c:pt>
                <c:pt idx="3">
                  <c:v>852.16700000000003</c:v>
                </c:pt>
                <c:pt idx="4">
                  <c:v>839.928</c:v>
                </c:pt>
                <c:pt idx="5">
                  <c:v>712.40599999999995</c:v>
                </c:pt>
                <c:pt idx="10">
                  <c:v>737.803</c:v>
                </c:pt>
                <c:pt idx="11">
                  <c:v>854.84900000000005</c:v>
                </c:pt>
                <c:pt idx="12">
                  <c:v>904.452</c:v>
                </c:pt>
                <c:pt idx="13">
                  <c:v>853.976</c:v>
                </c:pt>
                <c:pt idx="17">
                  <c:v>720.16899999999998</c:v>
                </c:pt>
                <c:pt idx="18">
                  <c:v>849.65800000000002</c:v>
                </c:pt>
                <c:pt idx="19">
                  <c:v>887.22299999999996</c:v>
                </c:pt>
                <c:pt idx="20">
                  <c:v>780.56299999999999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FA3-4CFE-B25C-10C7C32C22AE}"/>
            </c:ext>
          </c:extLst>
        </c:ser>
        <c:ser>
          <c:idx val="3"/>
          <c:order val="3"/>
          <c:tx>
            <c:v>Ave CPL_RR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All!$AO$6:$AO$30</c:f>
              <c:numCache>
                <c:formatCode>General</c:formatCode>
                <c:ptCount val="25"/>
                <c:pt idx="0">
                  <c:v>748.75599999999997</c:v>
                </c:pt>
                <c:pt idx="1">
                  <c:v>756.93600000000004</c:v>
                </c:pt>
                <c:pt idx="2">
                  <c:v>728.18700000000001</c:v>
                </c:pt>
                <c:pt idx="3">
                  <c:v>821.88800000000003</c:v>
                </c:pt>
                <c:pt idx="4">
                  <c:v>820.65800000000002</c:v>
                </c:pt>
                <c:pt idx="5">
                  <c:v>755.59500000000003</c:v>
                </c:pt>
                <c:pt idx="10">
                  <c:v>758.92600000000004</c:v>
                </c:pt>
                <c:pt idx="11">
                  <c:v>826.26599999999996</c:v>
                </c:pt>
                <c:pt idx="12">
                  <c:v>835.83799999999997</c:v>
                </c:pt>
                <c:pt idx="13">
                  <c:v>783.29899999999998</c:v>
                </c:pt>
                <c:pt idx="17">
                  <c:v>725.91099999999994</c:v>
                </c:pt>
                <c:pt idx="18">
                  <c:v>814.98400000000004</c:v>
                </c:pt>
                <c:pt idx="19">
                  <c:v>803.75099999999998</c:v>
                </c:pt>
                <c:pt idx="20">
                  <c:v>778.40499999999997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FA3-4CFE-B25C-10C7C32C2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060767"/>
        <c:axId val="95053279"/>
      </c:scatterChart>
      <c:valAx>
        <c:axId val="950607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5053279"/>
        <c:crosses val="autoZero"/>
        <c:crossBetween val="midCat"/>
      </c:valAx>
      <c:valAx>
        <c:axId val="95053279"/>
        <c:scaling>
          <c:orientation val="minMax"/>
          <c:max val="1200"/>
          <c:min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50607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Roll balance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Fz_balance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All!$BU$6:$BU$30</c:f>
              <c:numCache>
                <c:formatCode>General</c:formatCode>
                <c:ptCount val="25"/>
                <c:pt idx="0">
                  <c:v>51.375</c:v>
                </c:pt>
                <c:pt idx="1">
                  <c:v>42.058999999999997</c:v>
                </c:pt>
                <c:pt idx="2">
                  <c:v>38.898000000000003</c:v>
                </c:pt>
                <c:pt idx="3">
                  <c:v>50.22</c:v>
                </c:pt>
                <c:pt idx="4">
                  <c:v>50.237000000000002</c:v>
                </c:pt>
                <c:pt idx="5">
                  <c:v>46.045999999999999</c:v>
                </c:pt>
                <c:pt idx="9">
                  <c:v>71.588999999999999</c:v>
                </c:pt>
                <c:pt idx="10">
                  <c:v>53.56</c:v>
                </c:pt>
                <c:pt idx="11">
                  <c:v>49.427</c:v>
                </c:pt>
                <c:pt idx="12">
                  <c:v>51.7</c:v>
                </c:pt>
                <c:pt idx="13">
                  <c:v>51.408999999999999</c:v>
                </c:pt>
                <c:pt idx="17">
                  <c:v>50.814999999999998</c:v>
                </c:pt>
                <c:pt idx="18">
                  <c:v>49.871000000000002</c:v>
                </c:pt>
                <c:pt idx="19">
                  <c:v>50.131</c:v>
                </c:pt>
                <c:pt idx="20">
                  <c:v>48.463999999999999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83-4A36-9A44-5B9788C5CC22}"/>
            </c:ext>
          </c:extLst>
        </c:ser>
        <c:ser>
          <c:idx val="1"/>
          <c:order val="1"/>
          <c:tx>
            <c:v>Ave RollBalance_LS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All!$BV$6:$BV$30</c:f>
              <c:numCache>
                <c:formatCode>General</c:formatCode>
                <c:ptCount val="25"/>
                <c:pt idx="0">
                  <c:v>52.164000000000001</c:v>
                </c:pt>
                <c:pt idx="1">
                  <c:v>53.497</c:v>
                </c:pt>
                <c:pt idx="2">
                  <c:v>52.081000000000003</c:v>
                </c:pt>
                <c:pt idx="3">
                  <c:v>51.921999999999997</c:v>
                </c:pt>
                <c:pt idx="4">
                  <c:v>52.786000000000001</c:v>
                </c:pt>
                <c:pt idx="5">
                  <c:v>51.704999999999998</c:v>
                </c:pt>
                <c:pt idx="10">
                  <c:v>53.73</c:v>
                </c:pt>
                <c:pt idx="11">
                  <c:v>52.652999999999999</c:v>
                </c:pt>
                <c:pt idx="12">
                  <c:v>54.813000000000002</c:v>
                </c:pt>
                <c:pt idx="13">
                  <c:v>53.343000000000004</c:v>
                </c:pt>
                <c:pt idx="17">
                  <c:v>54.093000000000004</c:v>
                </c:pt>
                <c:pt idx="18">
                  <c:v>53.268000000000001</c:v>
                </c:pt>
                <c:pt idx="19">
                  <c:v>54.164999999999999</c:v>
                </c:pt>
                <c:pt idx="20">
                  <c:v>53.73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83-4A36-9A44-5B9788C5CC22}"/>
            </c:ext>
          </c:extLst>
        </c:ser>
        <c:ser>
          <c:idx val="2"/>
          <c:order val="2"/>
          <c:tx>
            <c:v>Ave RollBalance_MS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All!$BW$6:$BW$30</c:f>
              <c:numCache>
                <c:formatCode>General</c:formatCode>
                <c:ptCount val="25"/>
                <c:pt idx="0">
                  <c:v>54.872</c:v>
                </c:pt>
                <c:pt idx="1">
                  <c:v>53.832999999999998</c:v>
                </c:pt>
                <c:pt idx="2">
                  <c:v>54.99</c:v>
                </c:pt>
                <c:pt idx="3">
                  <c:v>53.066000000000003</c:v>
                </c:pt>
                <c:pt idx="4">
                  <c:v>53.115000000000002</c:v>
                </c:pt>
                <c:pt idx="5">
                  <c:v>55.881999999999998</c:v>
                </c:pt>
                <c:pt idx="10">
                  <c:v>55.026000000000003</c:v>
                </c:pt>
                <c:pt idx="11">
                  <c:v>53.585000000000001</c:v>
                </c:pt>
                <c:pt idx="12">
                  <c:v>52.448999999999998</c:v>
                </c:pt>
                <c:pt idx="13">
                  <c:v>54.003</c:v>
                </c:pt>
                <c:pt idx="17">
                  <c:v>55.018000000000001</c:v>
                </c:pt>
                <c:pt idx="18">
                  <c:v>54.265000000000001</c:v>
                </c:pt>
                <c:pt idx="19">
                  <c:v>54.113</c:v>
                </c:pt>
                <c:pt idx="20">
                  <c:v>54.46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83-4A36-9A44-5B9788C5CC22}"/>
            </c:ext>
          </c:extLst>
        </c:ser>
        <c:ser>
          <c:idx val="3"/>
          <c:order val="3"/>
          <c:tx>
            <c:v>Ave RollBalance_HS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All!$BX$6:$BX$30</c:f>
              <c:numCache>
                <c:formatCode>General</c:formatCode>
                <c:ptCount val="25"/>
                <c:pt idx="0">
                  <c:v>54.857999999999997</c:v>
                </c:pt>
                <c:pt idx="1">
                  <c:v>53.945999999999998</c:v>
                </c:pt>
                <c:pt idx="2">
                  <c:v>55.988999999999997</c:v>
                </c:pt>
                <c:pt idx="3">
                  <c:v>54.954000000000001</c:v>
                </c:pt>
                <c:pt idx="4">
                  <c:v>55.01</c:v>
                </c:pt>
                <c:pt idx="5">
                  <c:v>54.762</c:v>
                </c:pt>
                <c:pt idx="10">
                  <c:v>56.250999999999998</c:v>
                </c:pt>
                <c:pt idx="11">
                  <c:v>54.463999999999999</c:v>
                </c:pt>
                <c:pt idx="12">
                  <c:v>54.222999999999999</c:v>
                </c:pt>
                <c:pt idx="13">
                  <c:v>52.25</c:v>
                </c:pt>
                <c:pt idx="17">
                  <c:v>55.360999999999997</c:v>
                </c:pt>
                <c:pt idx="18">
                  <c:v>55.268000000000001</c:v>
                </c:pt>
                <c:pt idx="19">
                  <c:v>55.043999999999997</c:v>
                </c:pt>
                <c:pt idx="20">
                  <c:v>55.427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A83-4A36-9A44-5B9788C5C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1516655"/>
        <c:axId val="1921512079"/>
      </c:scatterChart>
      <c:valAx>
        <c:axId val="19215166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21512079"/>
        <c:crosses val="autoZero"/>
        <c:crossBetween val="midCat"/>
      </c:valAx>
      <c:valAx>
        <c:axId val="1921512079"/>
        <c:scaling>
          <c:orientation val="minMax"/>
          <c:max val="60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21516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Lateral acceleration [g]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accy_LeftCorners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All!$CA$6:$CA$30</c:f>
              <c:numCache>
                <c:formatCode>General</c:formatCode>
                <c:ptCount val="25"/>
                <c:pt idx="0">
                  <c:v>2.8620000000000001</c:v>
                </c:pt>
                <c:pt idx="1">
                  <c:v>3.3639999999999999</c:v>
                </c:pt>
                <c:pt idx="2">
                  <c:v>3.4079999999999999</c:v>
                </c:pt>
                <c:pt idx="3">
                  <c:v>3.7829999999999999</c:v>
                </c:pt>
                <c:pt idx="4">
                  <c:v>3.661</c:v>
                </c:pt>
                <c:pt idx="5">
                  <c:v>2.613</c:v>
                </c:pt>
                <c:pt idx="9">
                  <c:v>2.4E-2</c:v>
                </c:pt>
                <c:pt idx="10">
                  <c:v>2.669</c:v>
                </c:pt>
                <c:pt idx="11">
                  <c:v>3.5310000000000001</c:v>
                </c:pt>
                <c:pt idx="12">
                  <c:v>3.8610000000000002</c:v>
                </c:pt>
                <c:pt idx="13">
                  <c:v>3.2090000000000001</c:v>
                </c:pt>
                <c:pt idx="17">
                  <c:v>3.1909999999999998</c:v>
                </c:pt>
                <c:pt idx="18">
                  <c:v>3.4540000000000002</c:v>
                </c:pt>
                <c:pt idx="19">
                  <c:v>3.976</c:v>
                </c:pt>
                <c:pt idx="20">
                  <c:v>3.0920000000000001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23-46D7-A0B4-5AEBB56D8BA5}"/>
            </c:ext>
          </c:extLst>
        </c:ser>
        <c:ser>
          <c:idx val="1"/>
          <c:order val="1"/>
          <c:tx>
            <c:v>Max accy_RightCorners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All!$CB$6:$CB$30</c:f>
              <c:numCache>
                <c:formatCode>General</c:formatCode>
                <c:ptCount val="25"/>
                <c:pt idx="0">
                  <c:v>3.0990000000000002</c:v>
                </c:pt>
                <c:pt idx="1">
                  <c:v>3.26</c:v>
                </c:pt>
                <c:pt idx="2">
                  <c:v>3.0870000000000002</c:v>
                </c:pt>
                <c:pt idx="3">
                  <c:v>3.5710000000000002</c:v>
                </c:pt>
                <c:pt idx="4">
                  <c:v>3.7389999999999999</c:v>
                </c:pt>
                <c:pt idx="5">
                  <c:v>2.8</c:v>
                </c:pt>
                <c:pt idx="9">
                  <c:v>2.1000000000000001E-2</c:v>
                </c:pt>
                <c:pt idx="10">
                  <c:v>2.7090000000000001</c:v>
                </c:pt>
                <c:pt idx="11">
                  <c:v>3.45</c:v>
                </c:pt>
                <c:pt idx="12">
                  <c:v>3.835</c:v>
                </c:pt>
                <c:pt idx="13">
                  <c:v>3.7069999999999999</c:v>
                </c:pt>
                <c:pt idx="17">
                  <c:v>2.9670000000000001</c:v>
                </c:pt>
                <c:pt idx="18">
                  <c:v>4.1769999999999996</c:v>
                </c:pt>
                <c:pt idx="19">
                  <c:v>3.669</c:v>
                </c:pt>
                <c:pt idx="20">
                  <c:v>3.3359999999999999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23-46D7-A0B4-5AEBB56D8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0553311"/>
        <c:axId val="1313115695"/>
      </c:scatterChart>
      <c:valAx>
        <c:axId val="16805533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13115695"/>
        <c:crosses val="autoZero"/>
        <c:crossBetween val="midCat"/>
      </c:valAx>
      <c:valAx>
        <c:axId val="1313115695"/>
        <c:scaling>
          <c:orientation val="minMax"/>
          <c:max val="4.5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805533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Understeer  USOS HS [deg]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Understeer USOS HS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All!$DF$6:$DF$30</c:f>
              <c:numCache>
                <c:formatCode>General</c:formatCode>
                <c:ptCount val="25"/>
                <c:pt idx="0">
                  <c:v>3.9E-2</c:v>
                </c:pt>
                <c:pt idx="1">
                  <c:v>0.03</c:v>
                </c:pt>
                <c:pt idx="2">
                  <c:v>8.6999999999999994E-2</c:v>
                </c:pt>
                <c:pt idx="3">
                  <c:v>6.2E-2</c:v>
                </c:pt>
                <c:pt idx="4">
                  <c:v>0.03</c:v>
                </c:pt>
                <c:pt idx="5">
                  <c:v>8.9999999999999993E-3</c:v>
                </c:pt>
                <c:pt idx="10">
                  <c:v>1.2999999999999999E-2</c:v>
                </c:pt>
                <c:pt idx="11">
                  <c:v>2.5000000000000001E-2</c:v>
                </c:pt>
                <c:pt idx="12">
                  <c:v>1.7000000000000001E-2</c:v>
                </c:pt>
                <c:pt idx="13">
                  <c:v>-6.0000000000000001E-3</c:v>
                </c:pt>
                <c:pt idx="17">
                  <c:v>0.11799999999999999</c:v>
                </c:pt>
                <c:pt idx="18">
                  <c:v>7.1999999999999995E-2</c:v>
                </c:pt>
                <c:pt idx="19">
                  <c:v>5.3999999999999999E-2</c:v>
                </c:pt>
                <c:pt idx="20">
                  <c:v>2.5000000000000001E-2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06-4A62-B4EA-2A5A93505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309007"/>
        <c:axId val="2070311503"/>
      </c:scatterChart>
      <c:valAx>
        <c:axId val="20703090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70311503"/>
        <c:crosses val="autoZero"/>
        <c:crossBetween val="midCat"/>
      </c:valAx>
      <c:valAx>
        <c:axId val="2070311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703090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Understeer  USOS LS [deg]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Understeer USOS LS Entry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All!$DG$6:$DG$30</c:f>
              <c:numCache>
                <c:formatCode>General</c:formatCode>
                <c:ptCount val="25"/>
                <c:pt idx="0">
                  <c:v>0.193</c:v>
                </c:pt>
                <c:pt idx="1">
                  <c:v>0.35299999999999998</c:v>
                </c:pt>
                <c:pt idx="2">
                  <c:v>1.256</c:v>
                </c:pt>
                <c:pt idx="3">
                  <c:v>0.83899999999999997</c:v>
                </c:pt>
                <c:pt idx="4">
                  <c:v>0.68100000000000005</c:v>
                </c:pt>
                <c:pt idx="5">
                  <c:v>0.4</c:v>
                </c:pt>
                <c:pt idx="9">
                  <c:v>0</c:v>
                </c:pt>
                <c:pt idx="10">
                  <c:v>0.48399999999999999</c:v>
                </c:pt>
                <c:pt idx="11">
                  <c:v>0.34799999999999998</c:v>
                </c:pt>
                <c:pt idx="12">
                  <c:v>0.98199999999999998</c:v>
                </c:pt>
                <c:pt idx="13">
                  <c:v>9.5000000000000001E-2</c:v>
                </c:pt>
                <c:pt idx="17">
                  <c:v>0.161</c:v>
                </c:pt>
                <c:pt idx="18">
                  <c:v>1.3049999999999999</c:v>
                </c:pt>
                <c:pt idx="19">
                  <c:v>0.68300000000000005</c:v>
                </c:pt>
                <c:pt idx="20">
                  <c:v>0.23100000000000001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4D-448E-9DA2-00D0207362A9}"/>
            </c:ext>
          </c:extLst>
        </c:ser>
        <c:ser>
          <c:idx val="1"/>
          <c:order val="1"/>
          <c:tx>
            <c:v>Understeer USOS LS Mid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All!$DH$6:$DH$30</c:f>
              <c:numCache>
                <c:formatCode>General</c:formatCode>
                <c:ptCount val="25"/>
                <c:pt idx="0">
                  <c:v>1.252</c:v>
                </c:pt>
                <c:pt idx="1">
                  <c:v>1.7450000000000001</c:v>
                </c:pt>
                <c:pt idx="2">
                  <c:v>3.5819999999999999</c:v>
                </c:pt>
                <c:pt idx="3">
                  <c:v>2.371</c:v>
                </c:pt>
                <c:pt idx="4">
                  <c:v>1.645</c:v>
                </c:pt>
                <c:pt idx="5">
                  <c:v>1.575</c:v>
                </c:pt>
                <c:pt idx="10">
                  <c:v>1.1000000000000001</c:v>
                </c:pt>
                <c:pt idx="11">
                  <c:v>1.139</c:v>
                </c:pt>
                <c:pt idx="12">
                  <c:v>1.2410000000000001</c:v>
                </c:pt>
                <c:pt idx="13">
                  <c:v>0.99099999999999999</c:v>
                </c:pt>
                <c:pt idx="17">
                  <c:v>2.7490000000000001</c:v>
                </c:pt>
                <c:pt idx="18">
                  <c:v>2.5870000000000002</c:v>
                </c:pt>
                <c:pt idx="19">
                  <c:v>1.9159999999999999</c:v>
                </c:pt>
                <c:pt idx="20">
                  <c:v>1.2929999999999999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44D-448E-9DA2-00D0207362A9}"/>
            </c:ext>
          </c:extLst>
        </c:ser>
        <c:ser>
          <c:idx val="2"/>
          <c:order val="2"/>
          <c:tx>
            <c:v>Understeer USOS LS Exit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All!$DI$6:$DI$30</c:f>
              <c:numCache>
                <c:formatCode>General</c:formatCode>
                <c:ptCount val="25"/>
                <c:pt idx="0">
                  <c:v>1.2430000000000001</c:v>
                </c:pt>
                <c:pt idx="1">
                  <c:v>1.0629999999999999</c:v>
                </c:pt>
                <c:pt idx="2">
                  <c:v>0.97</c:v>
                </c:pt>
                <c:pt idx="3">
                  <c:v>1.2589999999999999</c:v>
                </c:pt>
                <c:pt idx="4">
                  <c:v>1.0289999999999999</c:v>
                </c:pt>
                <c:pt idx="5">
                  <c:v>0.68100000000000005</c:v>
                </c:pt>
                <c:pt idx="10">
                  <c:v>0.79500000000000004</c:v>
                </c:pt>
                <c:pt idx="11">
                  <c:v>0.76100000000000001</c:v>
                </c:pt>
                <c:pt idx="12">
                  <c:v>0.76900000000000002</c:v>
                </c:pt>
                <c:pt idx="13">
                  <c:v>0.70799999999999996</c:v>
                </c:pt>
                <c:pt idx="17">
                  <c:v>0.73599999999999999</c:v>
                </c:pt>
                <c:pt idx="18">
                  <c:v>0.98899999999999999</c:v>
                </c:pt>
                <c:pt idx="19">
                  <c:v>0.66500000000000004</c:v>
                </c:pt>
                <c:pt idx="20">
                  <c:v>0.746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44D-448E-9DA2-00D020736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321487"/>
        <c:axId val="2070321071"/>
      </c:scatterChart>
      <c:valAx>
        <c:axId val="20703214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70321071"/>
        <c:crosses val="autoZero"/>
        <c:crossBetween val="midCat"/>
      </c:valAx>
      <c:valAx>
        <c:axId val="2070321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703214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Understeer  USOS MS [deg]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Understeer USOS MS Entry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All!$DJ$6:$DJ$30</c:f>
              <c:numCache>
                <c:formatCode>General</c:formatCode>
                <c:ptCount val="25"/>
                <c:pt idx="0">
                  <c:v>0.17799999999999999</c:v>
                </c:pt>
                <c:pt idx="1">
                  <c:v>0.14599999999999999</c:v>
                </c:pt>
                <c:pt idx="2">
                  <c:v>0.13300000000000001</c:v>
                </c:pt>
                <c:pt idx="3">
                  <c:v>0.125</c:v>
                </c:pt>
                <c:pt idx="4">
                  <c:v>1.0999999999999999E-2</c:v>
                </c:pt>
                <c:pt idx="5">
                  <c:v>9.7000000000000003E-2</c:v>
                </c:pt>
                <c:pt idx="10">
                  <c:v>0.14099999999999999</c:v>
                </c:pt>
                <c:pt idx="11">
                  <c:v>9.4E-2</c:v>
                </c:pt>
                <c:pt idx="12">
                  <c:v>2.7E-2</c:v>
                </c:pt>
                <c:pt idx="13">
                  <c:v>-2.5999999999999999E-2</c:v>
                </c:pt>
                <c:pt idx="17">
                  <c:v>0.192</c:v>
                </c:pt>
                <c:pt idx="18">
                  <c:v>0.11799999999999999</c:v>
                </c:pt>
                <c:pt idx="19">
                  <c:v>-4.2999999999999997E-2</c:v>
                </c:pt>
                <c:pt idx="20">
                  <c:v>-3.1E-2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B4-47D4-8A6C-70E2D50E2882}"/>
            </c:ext>
          </c:extLst>
        </c:ser>
        <c:ser>
          <c:idx val="1"/>
          <c:order val="1"/>
          <c:tx>
            <c:v>Understeer USOS MS Exit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All!$DK$6:$DK$30</c:f>
              <c:numCache>
                <c:formatCode>General</c:formatCode>
                <c:ptCount val="25"/>
                <c:pt idx="0">
                  <c:v>0.81299999999999994</c:v>
                </c:pt>
                <c:pt idx="1">
                  <c:v>0.65200000000000002</c:v>
                </c:pt>
                <c:pt idx="2">
                  <c:v>0.70399999999999996</c:v>
                </c:pt>
                <c:pt idx="3">
                  <c:v>0.72099999999999997</c:v>
                </c:pt>
                <c:pt idx="4">
                  <c:v>0.61399999999999999</c:v>
                </c:pt>
                <c:pt idx="5">
                  <c:v>0.47499999999999998</c:v>
                </c:pt>
                <c:pt idx="10">
                  <c:v>0.71299999999999997</c:v>
                </c:pt>
                <c:pt idx="11">
                  <c:v>0.64800000000000002</c:v>
                </c:pt>
                <c:pt idx="12">
                  <c:v>0.45800000000000002</c:v>
                </c:pt>
                <c:pt idx="13">
                  <c:v>0.63200000000000001</c:v>
                </c:pt>
                <c:pt idx="17">
                  <c:v>0.72199999999999998</c:v>
                </c:pt>
                <c:pt idx="18">
                  <c:v>0.65800000000000003</c:v>
                </c:pt>
                <c:pt idx="19">
                  <c:v>0.48199999999999998</c:v>
                </c:pt>
                <c:pt idx="20">
                  <c:v>0.51200000000000001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B4-47D4-8A6C-70E2D50E28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318159"/>
        <c:axId val="2070318575"/>
      </c:scatterChart>
      <c:valAx>
        <c:axId val="20703181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70318575"/>
        <c:crosses val="autoZero"/>
        <c:crossBetween val="midCat"/>
      </c:valAx>
      <c:valAx>
        <c:axId val="2070318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703181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HS Bump [%]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Damper_HS_Bump_FL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All!$DT$6:$DT$30</c:f>
              <c:numCache>
                <c:formatCode>General</c:formatCode>
                <c:ptCount val="25"/>
                <c:pt idx="0">
                  <c:v>0.76</c:v>
                </c:pt>
                <c:pt idx="1">
                  <c:v>3.1</c:v>
                </c:pt>
                <c:pt idx="2">
                  <c:v>1.8</c:v>
                </c:pt>
                <c:pt idx="3">
                  <c:v>7.29</c:v>
                </c:pt>
                <c:pt idx="4">
                  <c:v>7.16</c:v>
                </c:pt>
                <c:pt idx="5">
                  <c:v>3.43</c:v>
                </c:pt>
                <c:pt idx="9">
                  <c:v>0</c:v>
                </c:pt>
                <c:pt idx="10">
                  <c:v>3.69</c:v>
                </c:pt>
                <c:pt idx="11">
                  <c:v>7.21</c:v>
                </c:pt>
                <c:pt idx="12">
                  <c:v>9.51</c:v>
                </c:pt>
                <c:pt idx="13">
                  <c:v>10.02</c:v>
                </c:pt>
                <c:pt idx="17">
                  <c:v>3.12</c:v>
                </c:pt>
                <c:pt idx="18">
                  <c:v>7.04</c:v>
                </c:pt>
                <c:pt idx="19">
                  <c:v>7.16</c:v>
                </c:pt>
                <c:pt idx="20">
                  <c:v>5.2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00-43EA-9061-9939F1FE1001}"/>
            </c:ext>
          </c:extLst>
        </c:ser>
        <c:ser>
          <c:idx val="1"/>
          <c:order val="1"/>
          <c:tx>
            <c:v>Max Damper_HS_Bump_FR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All!$DU$6:$DU$30</c:f>
              <c:numCache>
                <c:formatCode>General</c:formatCode>
                <c:ptCount val="25"/>
                <c:pt idx="0">
                  <c:v>0.77</c:v>
                </c:pt>
                <c:pt idx="1">
                  <c:v>2.98</c:v>
                </c:pt>
                <c:pt idx="2">
                  <c:v>1.91</c:v>
                </c:pt>
                <c:pt idx="3">
                  <c:v>7.29</c:v>
                </c:pt>
                <c:pt idx="4">
                  <c:v>7.32</c:v>
                </c:pt>
                <c:pt idx="5">
                  <c:v>3.96</c:v>
                </c:pt>
                <c:pt idx="9">
                  <c:v>0</c:v>
                </c:pt>
                <c:pt idx="10">
                  <c:v>4.0599999999999996</c:v>
                </c:pt>
                <c:pt idx="11">
                  <c:v>6.81</c:v>
                </c:pt>
                <c:pt idx="12">
                  <c:v>13.83</c:v>
                </c:pt>
                <c:pt idx="13">
                  <c:v>19.77</c:v>
                </c:pt>
                <c:pt idx="17">
                  <c:v>3.43</c:v>
                </c:pt>
                <c:pt idx="18">
                  <c:v>6.87</c:v>
                </c:pt>
                <c:pt idx="19">
                  <c:v>6.98</c:v>
                </c:pt>
                <c:pt idx="20">
                  <c:v>5.51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00-43EA-9061-9939F1FE1001}"/>
            </c:ext>
          </c:extLst>
        </c:ser>
        <c:ser>
          <c:idx val="2"/>
          <c:order val="2"/>
          <c:tx>
            <c:v>Max Damper_HS_Bump_RL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All!$DV$6:$DV$30</c:f>
              <c:numCache>
                <c:formatCode>General</c:formatCode>
                <c:ptCount val="25"/>
                <c:pt idx="0">
                  <c:v>1.59</c:v>
                </c:pt>
                <c:pt idx="1">
                  <c:v>6.35</c:v>
                </c:pt>
                <c:pt idx="2">
                  <c:v>4.37</c:v>
                </c:pt>
                <c:pt idx="3">
                  <c:v>14.38</c:v>
                </c:pt>
                <c:pt idx="4">
                  <c:v>14.52</c:v>
                </c:pt>
                <c:pt idx="5">
                  <c:v>8.73</c:v>
                </c:pt>
                <c:pt idx="9">
                  <c:v>0</c:v>
                </c:pt>
                <c:pt idx="10">
                  <c:v>8.2100000000000009</c:v>
                </c:pt>
                <c:pt idx="11">
                  <c:v>14.36</c:v>
                </c:pt>
                <c:pt idx="12">
                  <c:v>16.02</c:v>
                </c:pt>
                <c:pt idx="13">
                  <c:v>15.78</c:v>
                </c:pt>
                <c:pt idx="17">
                  <c:v>6.34</c:v>
                </c:pt>
                <c:pt idx="18">
                  <c:v>14.04</c:v>
                </c:pt>
                <c:pt idx="19">
                  <c:v>14.26</c:v>
                </c:pt>
                <c:pt idx="20">
                  <c:v>11.81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800-43EA-9061-9939F1FE1001}"/>
            </c:ext>
          </c:extLst>
        </c:ser>
        <c:ser>
          <c:idx val="3"/>
          <c:order val="3"/>
          <c:tx>
            <c:v>Max Damper_HS_Bump_RR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All!$DW$6:$DW$30</c:f>
              <c:numCache>
                <c:formatCode>General</c:formatCode>
                <c:ptCount val="25"/>
                <c:pt idx="0">
                  <c:v>1.33</c:v>
                </c:pt>
                <c:pt idx="1">
                  <c:v>4.74</c:v>
                </c:pt>
                <c:pt idx="2">
                  <c:v>3.58</c:v>
                </c:pt>
                <c:pt idx="3">
                  <c:v>11.85</c:v>
                </c:pt>
                <c:pt idx="4">
                  <c:v>11.66</c:v>
                </c:pt>
                <c:pt idx="5">
                  <c:v>6.86</c:v>
                </c:pt>
                <c:pt idx="9">
                  <c:v>0</c:v>
                </c:pt>
                <c:pt idx="10">
                  <c:v>6.61</c:v>
                </c:pt>
                <c:pt idx="11">
                  <c:v>11.29</c:v>
                </c:pt>
                <c:pt idx="12">
                  <c:v>12.16</c:v>
                </c:pt>
                <c:pt idx="13">
                  <c:v>10.88</c:v>
                </c:pt>
                <c:pt idx="17">
                  <c:v>5.16</c:v>
                </c:pt>
                <c:pt idx="18">
                  <c:v>10.77</c:v>
                </c:pt>
                <c:pt idx="19">
                  <c:v>10.95</c:v>
                </c:pt>
                <c:pt idx="20">
                  <c:v>9.3000000000000007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800-43EA-9061-9939F1FE1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320655"/>
        <c:axId val="2070314415"/>
      </c:scatterChart>
      <c:valAx>
        <c:axId val="20703206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70314415"/>
        <c:crosses val="autoZero"/>
        <c:crossBetween val="midCat"/>
      </c:valAx>
      <c:valAx>
        <c:axId val="207031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70320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HS Rebound [%]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Damper_HS_Rebound_FL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All!$DX$6:$DX$30</c:f>
              <c:numCache>
                <c:formatCode>General</c:formatCode>
                <c:ptCount val="25"/>
                <c:pt idx="0">
                  <c:v>0.79</c:v>
                </c:pt>
                <c:pt idx="1">
                  <c:v>3.22</c:v>
                </c:pt>
                <c:pt idx="2">
                  <c:v>2.0499999999999998</c:v>
                </c:pt>
                <c:pt idx="3">
                  <c:v>7.54</c:v>
                </c:pt>
                <c:pt idx="4">
                  <c:v>7.68</c:v>
                </c:pt>
                <c:pt idx="5">
                  <c:v>3.72</c:v>
                </c:pt>
                <c:pt idx="9">
                  <c:v>0</c:v>
                </c:pt>
                <c:pt idx="10">
                  <c:v>3.87</c:v>
                </c:pt>
                <c:pt idx="11">
                  <c:v>7.52</c:v>
                </c:pt>
                <c:pt idx="12">
                  <c:v>9.77</c:v>
                </c:pt>
                <c:pt idx="13">
                  <c:v>10.18</c:v>
                </c:pt>
                <c:pt idx="17">
                  <c:v>3.24</c:v>
                </c:pt>
                <c:pt idx="18">
                  <c:v>7.22</c:v>
                </c:pt>
                <c:pt idx="19">
                  <c:v>7.24</c:v>
                </c:pt>
                <c:pt idx="20">
                  <c:v>5.61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9D-40CA-A416-3897EDF67D14}"/>
            </c:ext>
          </c:extLst>
        </c:ser>
        <c:ser>
          <c:idx val="1"/>
          <c:order val="1"/>
          <c:tx>
            <c:v>Max Damper_HS_Rebound_FR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All!$DY$6:$DY$30</c:f>
              <c:numCache>
                <c:formatCode>General</c:formatCode>
                <c:ptCount val="25"/>
                <c:pt idx="0">
                  <c:v>0.75</c:v>
                </c:pt>
                <c:pt idx="1">
                  <c:v>3.23</c:v>
                </c:pt>
                <c:pt idx="2">
                  <c:v>1.96</c:v>
                </c:pt>
                <c:pt idx="3">
                  <c:v>7.48</c:v>
                </c:pt>
                <c:pt idx="4">
                  <c:v>7.55</c:v>
                </c:pt>
                <c:pt idx="5">
                  <c:v>3.84</c:v>
                </c:pt>
                <c:pt idx="9">
                  <c:v>0</c:v>
                </c:pt>
                <c:pt idx="10">
                  <c:v>4.01</c:v>
                </c:pt>
                <c:pt idx="11">
                  <c:v>7.12</c:v>
                </c:pt>
                <c:pt idx="12">
                  <c:v>14.09</c:v>
                </c:pt>
                <c:pt idx="13">
                  <c:v>20.04</c:v>
                </c:pt>
                <c:pt idx="17">
                  <c:v>3.36</c:v>
                </c:pt>
                <c:pt idx="18">
                  <c:v>7.16</c:v>
                </c:pt>
                <c:pt idx="19">
                  <c:v>7.25</c:v>
                </c:pt>
                <c:pt idx="20">
                  <c:v>5.66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9D-40CA-A416-3897EDF67D14}"/>
            </c:ext>
          </c:extLst>
        </c:ser>
        <c:ser>
          <c:idx val="2"/>
          <c:order val="2"/>
          <c:tx>
            <c:v>Max Damper_HS_Rebound_RL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All!$DZ$6:$DZ$30</c:f>
              <c:numCache>
                <c:formatCode>General</c:formatCode>
                <c:ptCount val="25"/>
                <c:pt idx="0">
                  <c:v>1.45</c:v>
                </c:pt>
                <c:pt idx="1">
                  <c:v>6.09</c:v>
                </c:pt>
                <c:pt idx="2">
                  <c:v>4</c:v>
                </c:pt>
                <c:pt idx="3">
                  <c:v>13.92</c:v>
                </c:pt>
                <c:pt idx="4">
                  <c:v>14.1</c:v>
                </c:pt>
                <c:pt idx="5">
                  <c:v>8.07</c:v>
                </c:pt>
                <c:pt idx="9">
                  <c:v>0</c:v>
                </c:pt>
                <c:pt idx="10">
                  <c:v>7.38</c:v>
                </c:pt>
                <c:pt idx="11">
                  <c:v>13.71</c:v>
                </c:pt>
                <c:pt idx="12">
                  <c:v>15.49</c:v>
                </c:pt>
                <c:pt idx="13">
                  <c:v>15.36</c:v>
                </c:pt>
                <c:pt idx="17">
                  <c:v>5.7</c:v>
                </c:pt>
                <c:pt idx="18">
                  <c:v>13.17</c:v>
                </c:pt>
                <c:pt idx="19">
                  <c:v>13.54</c:v>
                </c:pt>
                <c:pt idx="20">
                  <c:v>11.06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9D-40CA-A416-3897EDF67D14}"/>
            </c:ext>
          </c:extLst>
        </c:ser>
        <c:ser>
          <c:idx val="3"/>
          <c:order val="3"/>
          <c:tx>
            <c:v>Max Damper_HS_Rebound_RR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All!$EA$6:$EA$30</c:f>
              <c:numCache>
                <c:formatCode>General</c:formatCode>
                <c:ptCount val="25"/>
                <c:pt idx="0">
                  <c:v>1.23</c:v>
                </c:pt>
                <c:pt idx="1">
                  <c:v>4.66</c:v>
                </c:pt>
                <c:pt idx="2">
                  <c:v>3.32</c:v>
                </c:pt>
                <c:pt idx="3">
                  <c:v>11.51</c:v>
                </c:pt>
                <c:pt idx="4">
                  <c:v>11.36</c:v>
                </c:pt>
                <c:pt idx="5">
                  <c:v>6.42</c:v>
                </c:pt>
                <c:pt idx="9">
                  <c:v>0</c:v>
                </c:pt>
                <c:pt idx="10">
                  <c:v>6.13</c:v>
                </c:pt>
                <c:pt idx="11">
                  <c:v>10.89</c:v>
                </c:pt>
                <c:pt idx="12">
                  <c:v>11.82</c:v>
                </c:pt>
                <c:pt idx="13">
                  <c:v>10.68</c:v>
                </c:pt>
                <c:pt idx="17">
                  <c:v>4.75</c:v>
                </c:pt>
                <c:pt idx="18">
                  <c:v>10.48</c:v>
                </c:pt>
                <c:pt idx="19">
                  <c:v>11</c:v>
                </c:pt>
                <c:pt idx="20">
                  <c:v>8.7899999999999991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19D-40CA-A416-3897EDF67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055775"/>
        <c:axId val="95057439"/>
      </c:scatterChart>
      <c:valAx>
        <c:axId val="95055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5057439"/>
        <c:crosses val="autoZero"/>
        <c:crossBetween val="midCat"/>
      </c:valAx>
      <c:valAx>
        <c:axId val="95057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50557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LS Bump [%]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Damper_LS_Bump_FL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All!$EB$6:$EB$30</c:f>
              <c:numCache>
                <c:formatCode>General</c:formatCode>
                <c:ptCount val="25"/>
                <c:pt idx="0">
                  <c:v>9.67</c:v>
                </c:pt>
                <c:pt idx="1">
                  <c:v>42.97</c:v>
                </c:pt>
                <c:pt idx="2">
                  <c:v>42.69</c:v>
                </c:pt>
                <c:pt idx="3">
                  <c:v>41.14</c:v>
                </c:pt>
                <c:pt idx="4">
                  <c:v>42.15</c:v>
                </c:pt>
                <c:pt idx="5">
                  <c:v>43.84</c:v>
                </c:pt>
                <c:pt idx="9">
                  <c:v>16.579999999999998</c:v>
                </c:pt>
                <c:pt idx="10">
                  <c:v>33.520000000000003</c:v>
                </c:pt>
                <c:pt idx="11">
                  <c:v>41.8</c:v>
                </c:pt>
                <c:pt idx="12">
                  <c:v>39.4</c:v>
                </c:pt>
                <c:pt idx="13">
                  <c:v>38.22</c:v>
                </c:pt>
                <c:pt idx="17">
                  <c:v>27.51</c:v>
                </c:pt>
                <c:pt idx="18">
                  <c:v>41.48</c:v>
                </c:pt>
                <c:pt idx="19">
                  <c:v>41.33</c:v>
                </c:pt>
                <c:pt idx="20">
                  <c:v>42.86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54-497F-A82E-CACD53E6CD7B}"/>
            </c:ext>
          </c:extLst>
        </c:ser>
        <c:ser>
          <c:idx val="1"/>
          <c:order val="1"/>
          <c:tx>
            <c:v>Max Damper_LS_Bump_FR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All!$EC$6:$EC$30</c:f>
              <c:numCache>
                <c:formatCode>General</c:formatCode>
                <c:ptCount val="25"/>
                <c:pt idx="0">
                  <c:v>9.41</c:v>
                </c:pt>
                <c:pt idx="1">
                  <c:v>42.78</c:v>
                </c:pt>
                <c:pt idx="2">
                  <c:v>42.03</c:v>
                </c:pt>
                <c:pt idx="3">
                  <c:v>40.659999999999997</c:v>
                </c:pt>
                <c:pt idx="4">
                  <c:v>40.49</c:v>
                </c:pt>
                <c:pt idx="5">
                  <c:v>42.65</c:v>
                </c:pt>
                <c:pt idx="9">
                  <c:v>12.42</c:v>
                </c:pt>
                <c:pt idx="10">
                  <c:v>33.4</c:v>
                </c:pt>
                <c:pt idx="11">
                  <c:v>40.94</c:v>
                </c:pt>
                <c:pt idx="12">
                  <c:v>34.64</c:v>
                </c:pt>
                <c:pt idx="13">
                  <c:v>28.55</c:v>
                </c:pt>
                <c:pt idx="17">
                  <c:v>26.79</c:v>
                </c:pt>
                <c:pt idx="18">
                  <c:v>40.89</c:v>
                </c:pt>
                <c:pt idx="19">
                  <c:v>41.21</c:v>
                </c:pt>
                <c:pt idx="20">
                  <c:v>41.51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54-497F-A82E-CACD53E6CD7B}"/>
            </c:ext>
          </c:extLst>
        </c:ser>
        <c:ser>
          <c:idx val="2"/>
          <c:order val="2"/>
          <c:tx>
            <c:v>Max Damper_LS_Bump_RL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All!$ED$6:$ED$30</c:f>
              <c:numCache>
                <c:formatCode>General</c:formatCode>
                <c:ptCount val="25"/>
                <c:pt idx="0">
                  <c:v>7.8</c:v>
                </c:pt>
                <c:pt idx="1">
                  <c:v>34.92</c:v>
                </c:pt>
                <c:pt idx="2">
                  <c:v>35.409999999999997</c:v>
                </c:pt>
                <c:pt idx="3">
                  <c:v>31.66</c:v>
                </c:pt>
                <c:pt idx="4">
                  <c:v>31.7</c:v>
                </c:pt>
                <c:pt idx="5">
                  <c:v>34.21</c:v>
                </c:pt>
                <c:pt idx="9">
                  <c:v>4.7</c:v>
                </c:pt>
                <c:pt idx="10">
                  <c:v>26.82</c:v>
                </c:pt>
                <c:pt idx="11">
                  <c:v>31.7</c:v>
                </c:pt>
                <c:pt idx="12">
                  <c:v>30.93</c:v>
                </c:pt>
                <c:pt idx="13">
                  <c:v>29.85</c:v>
                </c:pt>
                <c:pt idx="17">
                  <c:v>22.64</c:v>
                </c:pt>
                <c:pt idx="18">
                  <c:v>31.87</c:v>
                </c:pt>
                <c:pt idx="19">
                  <c:v>31.54</c:v>
                </c:pt>
                <c:pt idx="20">
                  <c:v>32.22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54-497F-A82E-CACD53E6CD7B}"/>
            </c:ext>
          </c:extLst>
        </c:ser>
        <c:ser>
          <c:idx val="3"/>
          <c:order val="3"/>
          <c:tx>
            <c:v>Max Damper_LS_Bump_RR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All!$EE$6:$EE$30</c:f>
              <c:numCache>
                <c:formatCode>General</c:formatCode>
                <c:ptCount val="25"/>
                <c:pt idx="0">
                  <c:v>7.65</c:v>
                </c:pt>
                <c:pt idx="1">
                  <c:v>35.869999999999997</c:v>
                </c:pt>
                <c:pt idx="2">
                  <c:v>33.81</c:v>
                </c:pt>
                <c:pt idx="3">
                  <c:v>33.92</c:v>
                </c:pt>
                <c:pt idx="4">
                  <c:v>34.28</c:v>
                </c:pt>
                <c:pt idx="5">
                  <c:v>35.24</c:v>
                </c:pt>
                <c:pt idx="9">
                  <c:v>12.24</c:v>
                </c:pt>
                <c:pt idx="10">
                  <c:v>27.88</c:v>
                </c:pt>
                <c:pt idx="11">
                  <c:v>34.22</c:v>
                </c:pt>
                <c:pt idx="12">
                  <c:v>34.22</c:v>
                </c:pt>
                <c:pt idx="13">
                  <c:v>35.049999999999997</c:v>
                </c:pt>
                <c:pt idx="17">
                  <c:v>23.7</c:v>
                </c:pt>
                <c:pt idx="18">
                  <c:v>35.21</c:v>
                </c:pt>
                <c:pt idx="19">
                  <c:v>35.42</c:v>
                </c:pt>
                <c:pt idx="20">
                  <c:v>34.79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54-497F-A82E-CACD53E6CD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1512495"/>
        <c:axId val="1680553311"/>
      </c:scatterChart>
      <c:valAx>
        <c:axId val="1921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80553311"/>
        <c:crosses val="autoZero"/>
        <c:crossBetween val="midCat"/>
      </c:valAx>
      <c:valAx>
        <c:axId val="168055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21512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LS Rebound [%]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Damper_LS_Rebound_FL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All!$EF$6:$EF$30</c:f>
              <c:numCache>
                <c:formatCode>General</c:formatCode>
                <c:ptCount val="25"/>
                <c:pt idx="0">
                  <c:v>88.78</c:v>
                </c:pt>
                <c:pt idx="1">
                  <c:v>50.71</c:v>
                </c:pt>
                <c:pt idx="2">
                  <c:v>53.46</c:v>
                </c:pt>
                <c:pt idx="3">
                  <c:v>44.03</c:v>
                </c:pt>
                <c:pt idx="4">
                  <c:v>43.01</c:v>
                </c:pt>
                <c:pt idx="5">
                  <c:v>49</c:v>
                </c:pt>
                <c:pt idx="9">
                  <c:v>83.42</c:v>
                </c:pt>
                <c:pt idx="10">
                  <c:v>58.92</c:v>
                </c:pt>
                <c:pt idx="11">
                  <c:v>43.48</c:v>
                </c:pt>
                <c:pt idx="12">
                  <c:v>41.32</c:v>
                </c:pt>
                <c:pt idx="13">
                  <c:v>41.58</c:v>
                </c:pt>
                <c:pt idx="17">
                  <c:v>66.13</c:v>
                </c:pt>
                <c:pt idx="18">
                  <c:v>44.26</c:v>
                </c:pt>
                <c:pt idx="19">
                  <c:v>44.27</c:v>
                </c:pt>
                <c:pt idx="20">
                  <c:v>46.33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F8-46C0-B606-CFE937F155F0}"/>
            </c:ext>
          </c:extLst>
        </c:ser>
        <c:ser>
          <c:idx val="1"/>
          <c:order val="1"/>
          <c:tx>
            <c:v>Max Damper_LS_Rebound_FR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All!$EG$6:$EG$30</c:f>
              <c:numCache>
                <c:formatCode>General</c:formatCode>
                <c:ptCount val="25"/>
                <c:pt idx="0">
                  <c:v>89.07</c:v>
                </c:pt>
                <c:pt idx="1">
                  <c:v>51.01</c:v>
                </c:pt>
                <c:pt idx="2">
                  <c:v>54.11</c:v>
                </c:pt>
                <c:pt idx="3">
                  <c:v>44.57</c:v>
                </c:pt>
                <c:pt idx="4">
                  <c:v>44.65</c:v>
                </c:pt>
                <c:pt idx="5">
                  <c:v>49.53</c:v>
                </c:pt>
                <c:pt idx="9">
                  <c:v>87.57</c:v>
                </c:pt>
                <c:pt idx="10">
                  <c:v>58.53</c:v>
                </c:pt>
                <c:pt idx="11">
                  <c:v>45.13</c:v>
                </c:pt>
                <c:pt idx="12">
                  <c:v>37.44</c:v>
                </c:pt>
                <c:pt idx="13">
                  <c:v>31.63</c:v>
                </c:pt>
                <c:pt idx="17">
                  <c:v>66.42</c:v>
                </c:pt>
                <c:pt idx="18">
                  <c:v>45.08</c:v>
                </c:pt>
                <c:pt idx="19">
                  <c:v>44.56</c:v>
                </c:pt>
                <c:pt idx="20">
                  <c:v>47.31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F8-46C0-B606-CFE937F155F0}"/>
            </c:ext>
          </c:extLst>
        </c:ser>
        <c:ser>
          <c:idx val="2"/>
          <c:order val="2"/>
          <c:tx>
            <c:v>Max Damper_LS_Rebound_RL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All!$EH$6:$EH$30</c:f>
              <c:numCache>
                <c:formatCode>General</c:formatCode>
                <c:ptCount val="25"/>
                <c:pt idx="0">
                  <c:v>89.17</c:v>
                </c:pt>
                <c:pt idx="1">
                  <c:v>52.64</c:v>
                </c:pt>
                <c:pt idx="2">
                  <c:v>56.22</c:v>
                </c:pt>
                <c:pt idx="3">
                  <c:v>40.03</c:v>
                </c:pt>
                <c:pt idx="4">
                  <c:v>39.67</c:v>
                </c:pt>
                <c:pt idx="5">
                  <c:v>48.98</c:v>
                </c:pt>
                <c:pt idx="9">
                  <c:v>95.3</c:v>
                </c:pt>
                <c:pt idx="10">
                  <c:v>57.59</c:v>
                </c:pt>
                <c:pt idx="11">
                  <c:v>40.229999999999997</c:v>
                </c:pt>
                <c:pt idx="12">
                  <c:v>37.56</c:v>
                </c:pt>
                <c:pt idx="13">
                  <c:v>39.01</c:v>
                </c:pt>
                <c:pt idx="17">
                  <c:v>65.319999999999993</c:v>
                </c:pt>
                <c:pt idx="18">
                  <c:v>40.92</c:v>
                </c:pt>
                <c:pt idx="19">
                  <c:v>40.65</c:v>
                </c:pt>
                <c:pt idx="20">
                  <c:v>44.9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F8-46C0-B606-CFE937F155F0}"/>
            </c:ext>
          </c:extLst>
        </c:ser>
        <c:ser>
          <c:idx val="3"/>
          <c:order val="3"/>
          <c:tx>
            <c:v>Max Damper_LS_Rebound_RR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All!$EI$6:$EI$30</c:f>
              <c:numCache>
                <c:formatCode>General</c:formatCode>
                <c:ptCount val="25"/>
                <c:pt idx="0">
                  <c:v>89.79</c:v>
                </c:pt>
                <c:pt idx="1">
                  <c:v>54.73</c:v>
                </c:pt>
                <c:pt idx="2">
                  <c:v>59.28</c:v>
                </c:pt>
                <c:pt idx="3">
                  <c:v>42.73</c:v>
                </c:pt>
                <c:pt idx="4">
                  <c:v>42.7</c:v>
                </c:pt>
                <c:pt idx="5">
                  <c:v>51.47</c:v>
                </c:pt>
                <c:pt idx="9">
                  <c:v>87.76</c:v>
                </c:pt>
                <c:pt idx="10">
                  <c:v>59.38</c:v>
                </c:pt>
                <c:pt idx="11">
                  <c:v>43.6</c:v>
                </c:pt>
                <c:pt idx="12">
                  <c:v>41.81</c:v>
                </c:pt>
                <c:pt idx="13">
                  <c:v>43.38</c:v>
                </c:pt>
                <c:pt idx="17">
                  <c:v>66.39</c:v>
                </c:pt>
                <c:pt idx="18">
                  <c:v>43.54</c:v>
                </c:pt>
                <c:pt idx="19">
                  <c:v>42.63</c:v>
                </c:pt>
                <c:pt idx="20">
                  <c:v>47.12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DF8-46C0-B606-CFE937F15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928303"/>
        <c:axId val="134914575"/>
      </c:scatterChart>
      <c:valAx>
        <c:axId val="134928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4914575"/>
        <c:crosses val="autoZero"/>
        <c:crossBetween val="midCat"/>
      </c:valAx>
      <c:valAx>
        <c:axId val="134914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492830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AVG tyre pressure lap [bar]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Pres_Rel_FL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All!$AD$6:$AD$30</c:f>
              <c:numCache>
                <c:formatCode>General</c:formatCode>
                <c:ptCount val="25"/>
                <c:pt idx="0">
                  <c:v>1.542</c:v>
                </c:pt>
                <c:pt idx="1">
                  <c:v>1.74</c:v>
                </c:pt>
                <c:pt idx="2">
                  <c:v>1.5629999999999999</c:v>
                </c:pt>
                <c:pt idx="3">
                  <c:v>1.6819999999999999</c:v>
                </c:pt>
                <c:pt idx="4">
                  <c:v>1.7609999999999999</c:v>
                </c:pt>
                <c:pt idx="5">
                  <c:v>1.7430000000000001</c:v>
                </c:pt>
                <c:pt idx="9">
                  <c:v>1.7390000000000001</c:v>
                </c:pt>
                <c:pt idx="10">
                  <c:v>1.694</c:v>
                </c:pt>
                <c:pt idx="11">
                  <c:v>1.7170000000000001</c:v>
                </c:pt>
                <c:pt idx="12">
                  <c:v>1.7529999999999999</c:v>
                </c:pt>
                <c:pt idx="13">
                  <c:v>1.768</c:v>
                </c:pt>
                <c:pt idx="17">
                  <c:v>1.6850000000000001</c:v>
                </c:pt>
                <c:pt idx="18">
                  <c:v>1.7689999999999999</c:v>
                </c:pt>
                <c:pt idx="19">
                  <c:v>1.8069999999999999</c:v>
                </c:pt>
                <c:pt idx="20">
                  <c:v>1.8169999999999999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6F-48F7-BE41-6C9366DD3F37}"/>
            </c:ext>
          </c:extLst>
        </c:ser>
        <c:ser>
          <c:idx val="1"/>
          <c:order val="1"/>
          <c:tx>
            <c:v>Ave Pres_Rel_FR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All!$AE$6:$AE$30</c:f>
              <c:numCache>
                <c:formatCode>General</c:formatCode>
                <c:ptCount val="25"/>
                <c:pt idx="0">
                  <c:v>1.165</c:v>
                </c:pt>
                <c:pt idx="1">
                  <c:v>1.782</c:v>
                </c:pt>
                <c:pt idx="2">
                  <c:v>1.6120000000000001</c:v>
                </c:pt>
                <c:pt idx="3">
                  <c:v>1.7210000000000001</c:v>
                </c:pt>
                <c:pt idx="4">
                  <c:v>1.7889999999999999</c:v>
                </c:pt>
                <c:pt idx="5">
                  <c:v>1.78</c:v>
                </c:pt>
                <c:pt idx="9">
                  <c:v>1.7929999999999999</c:v>
                </c:pt>
                <c:pt idx="10">
                  <c:v>1.7490000000000001</c:v>
                </c:pt>
                <c:pt idx="11">
                  <c:v>1.756</c:v>
                </c:pt>
                <c:pt idx="12">
                  <c:v>1.7949999999999999</c:v>
                </c:pt>
                <c:pt idx="13">
                  <c:v>1.821</c:v>
                </c:pt>
                <c:pt idx="17">
                  <c:v>1.78</c:v>
                </c:pt>
                <c:pt idx="18">
                  <c:v>1.85</c:v>
                </c:pt>
                <c:pt idx="19">
                  <c:v>1.881</c:v>
                </c:pt>
                <c:pt idx="20">
                  <c:v>1.8939999999999999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6F-48F7-BE41-6C9366DD3F37}"/>
            </c:ext>
          </c:extLst>
        </c:ser>
        <c:ser>
          <c:idx val="2"/>
          <c:order val="2"/>
          <c:tx>
            <c:v>Ave Pres_Rel_RL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All!$AF$6:$AF$30</c:f>
              <c:numCache>
                <c:formatCode>General</c:formatCode>
                <c:ptCount val="25"/>
                <c:pt idx="0">
                  <c:v>1.577</c:v>
                </c:pt>
                <c:pt idx="1">
                  <c:v>1.7190000000000001</c:v>
                </c:pt>
                <c:pt idx="2">
                  <c:v>1.5069999999999999</c:v>
                </c:pt>
                <c:pt idx="3">
                  <c:v>1.6679999999999999</c:v>
                </c:pt>
                <c:pt idx="4">
                  <c:v>1.7969999999999999</c:v>
                </c:pt>
                <c:pt idx="5">
                  <c:v>1.7749999999999999</c:v>
                </c:pt>
                <c:pt idx="9">
                  <c:v>1.72</c:v>
                </c:pt>
                <c:pt idx="10">
                  <c:v>1.6639999999999999</c:v>
                </c:pt>
                <c:pt idx="11">
                  <c:v>1.7470000000000001</c:v>
                </c:pt>
                <c:pt idx="12">
                  <c:v>1.827</c:v>
                </c:pt>
                <c:pt idx="13">
                  <c:v>1.865</c:v>
                </c:pt>
                <c:pt idx="17">
                  <c:v>1.5680000000000001</c:v>
                </c:pt>
                <c:pt idx="18">
                  <c:v>1.744</c:v>
                </c:pt>
                <c:pt idx="19">
                  <c:v>1.8380000000000001</c:v>
                </c:pt>
                <c:pt idx="20">
                  <c:v>1.8740000000000001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E6F-48F7-BE41-6C9366DD3F37}"/>
            </c:ext>
          </c:extLst>
        </c:ser>
        <c:ser>
          <c:idx val="3"/>
          <c:order val="3"/>
          <c:tx>
            <c:v>Ave Pres_Rel_RR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All!$AG$6:$AG$30</c:f>
              <c:numCache>
                <c:formatCode>General</c:formatCode>
                <c:ptCount val="25"/>
                <c:pt idx="0">
                  <c:v>1.6</c:v>
                </c:pt>
                <c:pt idx="1">
                  <c:v>1.772</c:v>
                </c:pt>
                <c:pt idx="2">
                  <c:v>1.5760000000000001</c:v>
                </c:pt>
                <c:pt idx="3">
                  <c:v>1.7150000000000001</c:v>
                </c:pt>
                <c:pt idx="4">
                  <c:v>1.839</c:v>
                </c:pt>
                <c:pt idx="5">
                  <c:v>1.827</c:v>
                </c:pt>
                <c:pt idx="9">
                  <c:v>1.788</c:v>
                </c:pt>
                <c:pt idx="10">
                  <c:v>1.7250000000000001</c:v>
                </c:pt>
                <c:pt idx="11">
                  <c:v>1.7929999999999999</c:v>
                </c:pt>
                <c:pt idx="12">
                  <c:v>1.867</c:v>
                </c:pt>
                <c:pt idx="13">
                  <c:v>1.9039999999999999</c:v>
                </c:pt>
                <c:pt idx="17">
                  <c:v>1.641</c:v>
                </c:pt>
                <c:pt idx="18">
                  <c:v>1.796</c:v>
                </c:pt>
                <c:pt idx="19">
                  <c:v>1.883</c:v>
                </c:pt>
                <c:pt idx="20">
                  <c:v>1.919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E6F-48F7-BE41-6C9366DD3F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309423"/>
        <c:axId val="2070318991"/>
      </c:scatterChart>
      <c:valAx>
        <c:axId val="2070309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70318991"/>
        <c:crosses val="autoZero"/>
        <c:crossBetween val="midCat"/>
      </c:valAx>
      <c:valAx>
        <c:axId val="2070318991"/>
        <c:scaling>
          <c:orientation val="minMax"/>
          <c:max val="2.1"/>
          <c:min val="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703094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Temp IR2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FL_IR_Temp_Ch2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All!$AH$6:$AH$30</c:f>
              <c:numCache>
                <c:formatCode>General</c:formatCode>
                <c:ptCount val="25"/>
                <c:pt idx="0">
                  <c:v>-15.46</c:v>
                </c:pt>
                <c:pt idx="1">
                  <c:v>73.98</c:v>
                </c:pt>
                <c:pt idx="2">
                  <c:v>48.57</c:v>
                </c:pt>
                <c:pt idx="3">
                  <c:v>72.849999999999994</c:v>
                </c:pt>
                <c:pt idx="4">
                  <c:v>83.15</c:v>
                </c:pt>
                <c:pt idx="5">
                  <c:v>77.36</c:v>
                </c:pt>
                <c:pt idx="9">
                  <c:v>73.650000000000006</c:v>
                </c:pt>
                <c:pt idx="10">
                  <c:v>66.099999999999994</c:v>
                </c:pt>
                <c:pt idx="11">
                  <c:v>75.7</c:v>
                </c:pt>
                <c:pt idx="12">
                  <c:v>81.41</c:v>
                </c:pt>
                <c:pt idx="13">
                  <c:v>82.79</c:v>
                </c:pt>
                <c:pt idx="17">
                  <c:v>59.98</c:v>
                </c:pt>
                <c:pt idx="18">
                  <c:v>77.069999999999993</c:v>
                </c:pt>
                <c:pt idx="19">
                  <c:v>82.91</c:v>
                </c:pt>
                <c:pt idx="20">
                  <c:v>82.69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A2-4168-B66B-4ABD7E306905}"/>
            </c:ext>
          </c:extLst>
        </c:ser>
        <c:ser>
          <c:idx val="1"/>
          <c:order val="1"/>
          <c:tx>
            <c:v>Ave FR_IR_Temp_Ch2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All!$AI$6:$AI$30</c:f>
              <c:numCache>
                <c:formatCode>General</c:formatCode>
                <c:ptCount val="25"/>
                <c:pt idx="0">
                  <c:v>31.72</c:v>
                </c:pt>
                <c:pt idx="1">
                  <c:v>69.91</c:v>
                </c:pt>
                <c:pt idx="2">
                  <c:v>46.02</c:v>
                </c:pt>
                <c:pt idx="3">
                  <c:v>68.599999999999994</c:v>
                </c:pt>
                <c:pt idx="4">
                  <c:v>77.3</c:v>
                </c:pt>
                <c:pt idx="5">
                  <c:v>72.53</c:v>
                </c:pt>
                <c:pt idx="9">
                  <c:v>67.959999999999994</c:v>
                </c:pt>
                <c:pt idx="10">
                  <c:v>62.14</c:v>
                </c:pt>
                <c:pt idx="11">
                  <c:v>71.92</c:v>
                </c:pt>
                <c:pt idx="12">
                  <c:v>80.010000000000005</c:v>
                </c:pt>
                <c:pt idx="13">
                  <c:v>81.599999999999994</c:v>
                </c:pt>
                <c:pt idx="17">
                  <c:v>55.8</c:v>
                </c:pt>
                <c:pt idx="18">
                  <c:v>68.63</c:v>
                </c:pt>
                <c:pt idx="19">
                  <c:v>73.16</c:v>
                </c:pt>
                <c:pt idx="20">
                  <c:v>72.8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A2-4168-B66B-4ABD7E306905}"/>
            </c:ext>
          </c:extLst>
        </c:ser>
        <c:ser>
          <c:idx val="2"/>
          <c:order val="2"/>
          <c:tx>
            <c:v>Ave RL_IR_Temp_Ch2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All!$AJ$6:$AJ$30</c:f>
              <c:numCache>
                <c:formatCode>General</c:formatCode>
                <c:ptCount val="25"/>
                <c:pt idx="0">
                  <c:v>-17.03</c:v>
                </c:pt>
                <c:pt idx="1">
                  <c:v>98.88</c:v>
                </c:pt>
                <c:pt idx="2">
                  <c:v>62.37</c:v>
                </c:pt>
                <c:pt idx="3">
                  <c:v>96.09</c:v>
                </c:pt>
                <c:pt idx="4">
                  <c:v>116.53</c:v>
                </c:pt>
                <c:pt idx="5">
                  <c:v>106.85</c:v>
                </c:pt>
                <c:pt idx="9">
                  <c:v>96.1</c:v>
                </c:pt>
                <c:pt idx="10">
                  <c:v>86.51</c:v>
                </c:pt>
                <c:pt idx="11">
                  <c:v>105</c:v>
                </c:pt>
                <c:pt idx="12">
                  <c:v>117.79</c:v>
                </c:pt>
                <c:pt idx="13">
                  <c:v>120.81</c:v>
                </c:pt>
                <c:pt idx="17">
                  <c:v>67.06</c:v>
                </c:pt>
                <c:pt idx="18">
                  <c:v>100.53</c:v>
                </c:pt>
                <c:pt idx="19">
                  <c:v>113.31</c:v>
                </c:pt>
                <c:pt idx="20">
                  <c:v>113.91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A2-4168-B66B-4ABD7E306905}"/>
            </c:ext>
          </c:extLst>
        </c:ser>
        <c:ser>
          <c:idx val="3"/>
          <c:order val="3"/>
          <c:tx>
            <c:v>Ave RR_IR_Temp_Ch2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All!$AK$6:$AK$30</c:f>
              <c:numCache>
                <c:formatCode>General</c:formatCode>
                <c:ptCount val="25"/>
                <c:pt idx="0">
                  <c:v>-19.12</c:v>
                </c:pt>
                <c:pt idx="1">
                  <c:v>90.92</c:v>
                </c:pt>
                <c:pt idx="2">
                  <c:v>58.64</c:v>
                </c:pt>
                <c:pt idx="3">
                  <c:v>87.64</c:v>
                </c:pt>
                <c:pt idx="4">
                  <c:v>105.68</c:v>
                </c:pt>
                <c:pt idx="5">
                  <c:v>99.01</c:v>
                </c:pt>
                <c:pt idx="9">
                  <c:v>88.9</c:v>
                </c:pt>
                <c:pt idx="10">
                  <c:v>80.209999999999994</c:v>
                </c:pt>
                <c:pt idx="11">
                  <c:v>96.08</c:v>
                </c:pt>
                <c:pt idx="12">
                  <c:v>107.42</c:v>
                </c:pt>
                <c:pt idx="13">
                  <c:v>110.92</c:v>
                </c:pt>
                <c:pt idx="17">
                  <c:v>65.75</c:v>
                </c:pt>
                <c:pt idx="18">
                  <c:v>96.77</c:v>
                </c:pt>
                <c:pt idx="19">
                  <c:v>108.98</c:v>
                </c:pt>
                <c:pt idx="20">
                  <c:v>110.59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2A2-4168-B66B-4ABD7E306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069087"/>
        <c:axId val="95058687"/>
      </c:scatterChart>
      <c:valAx>
        <c:axId val="95069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5058687"/>
        <c:crosses val="autoZero"/>
        <c:crossBetween val="midCat"/>
      </c:valAx>
      <c:valAx>
        <c:axId val="95058687"/>
        <c:scaling>
          <c:orientation val="minMax"/>
          <c:max val="140"/>
          <c:min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50690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Air temp inside tyre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FL_IR_Temp_Amb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All!$FC$6:$FC$30</c:f>
              <c:numCache>
                <c:formatCode>General</c:formatCode>
                <c:ptCount val="25"/>
                <c:pt idx="0">
                  <c:v>15.601000000000001</c:v>
                </c:pt>
                <c:pt idx="1">
                  <c:v>70.492000000000004</c:v>
                </c:pt>
                <c:pt idx="2">
                  <c:v>59.021999999999998</c:v>
                </c:pt>
                <c:pt idx="3">
                  <c:v>57.164999999999999</c:v>
                </c:pt>
                <c:pt idx="4">
                  <c:v>69.658000000000001</c:v>
                </c:pt>
                <c:pt idx="5">
                  <c:v>71.563999999999993</c:v>
                </c:pt>
                <c:pt idx="9">
                  <c:v>70.033000000000001</c:v>
                </c:pt>
                <c:pt idx="10">
                  <c:v>68.734999999999999</c:v>
                </c:pt>
                <c:pt idx="11">
                  <c:v>68.11</c:v>
                </c:pt>
                <c:pt idx="12">
                  <c:v>72.049000000000007</c:v>
                </c:pt>
                <c:pt idx="13">
                  <c:v>74.525999999999996</c:v>
                </c:pt>
                <c:pt idx="17">
                  <c:v>57.158999999999999</c:v>
                </c:pt>
                <c:pt idx="18">
                  <c:v>67.635000000000005</c:v>
                </c:pt>
                <c:pt idx="19">
                  <c:v>73.069000000000003</c:v>
                </c:pt>
                <c:pt idx="20">
                  <c:v>74.343999999999994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70-48CD-B5C3-599EB0DA7068}"/>
            </c:ext>
          </c:extLst>
        </c:ser>
        <c:ser>
          <c:idx val="1"/>
          <c:order val="1"/>
          <c:tx>
            <c:v>Ave FR_IR_Temp_Amb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All!$FD$6:$FD$30</c:f>
              <c:numCache>
                <c:formatCode>General</c:formatCode>
                <c:ptCount val="25"/>
                <c:pt idx="0">
                  <c:v>57.045000000000002</c:v>
                </c:pt>
                <c:pt idx="1">
                  <c:v>66.242000000000004</c:v>
                </c:pt>
                <c:pt idx="2">
                  <c:v>54.848999999999997</c:v>
                </c:pt>
                <c:pt idx="3">
                  <c:v>52.984000000000002</c:v>
                </c:pt>
                <c:pt idx="4">
                  <c:v>63.798999999999999</c:v>
                </c:pt>
                <c:pt idx="5">
                  <c:v>65.953000000000003</c:v>
                </c:pt>
                <c:pt idx="9">
                  <c:v>65.141000000000005</c:v>
                </c:pt>
                <c:pt idx="10">
                  <c:v>64.066999999999993</c:v>
                </c:pt>
                <c:pt idx="11">
                  <c:v>63.695999999999998</c:v>
                </c:pt>
                <c:pt idx="12">
                  <c:v>67.191999999999993</c:v>
                </c:pt>
                <c:pt idx="13">
                  <c:v>69.869</c:v>
                </c:pt>
                <c:pt idx="17">
                  <c:v>54.116</c:v>
                </c:pt>
                <c:pt idx="18">
                  <c:v>62.040999999999997</c:v>
                </c:pt>
                <c:pt idx="19">
                  <c:v>66.691999999999993</c:v>
                </c:pt>
                <c:pt idx="20">
                  <c:v>68.003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70-48CD-B5C3-599EB0DA7068}"/>
            </c:ext>
          </c:extLst>
        </c:ser>
        <c:ser>
          <c:idx val="2"/>
          <c:order val="2"/>
          <c:tx>
            <c:v>Ave RL_IR_Temp_Amb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All!$FE$6:$FE$30</c:f>
              <c:numCache>
                <c:formatCode>General</c:formatCode>
                <c:ptCount val="25"/>
                <c:pt idx="0">
                  <c:v>12.644</c:v>
                </c:pt>
                <c:pt idx="1">
                  <c:v>76.894999999999996</c:v>
                </c:pt>
                <c:pt idx="2">
                  <c:v>63.283000000000001</c:v>
                </c:pt>
                <c:pt idx="3">
                  <c:v>62.212000000000003</c:v>
                </c:pt>
                <c:pt idx="4">
                  <c:v>79.893000000000001</c:v>
                </c:pt>
                <c:pt idx="5">
                  <c:v>82.147999999999996</c:v>
                </c:pt>
                <c:pt idx="9">
                  <c:v>76.448999999999998</c:v>
                </c:pt>
                <c:pt idx="10">
                  <c:v>71.335999999999999</c:v>
                </c:pt>
                <c:pt idx="11">
                  <c:v>74.03</c:v>
                </c:pt>
                <c:pt idx="12">
                  <c:v>83.266000000000005</c:v>
                </c:pt>
                <c:pt idx="13">
                  <c:v>88.808000000000007</c:v>
                </c:pt>
                <c:pt idx="17">
                  <c:v>54.686999999999998</c:v>
                </c:pt>
                <c:pt idx="18">
                  <c:v>72.290999999999997</c:v>
                </c:pt>
                <c:pt idx="19">
                  <c:v>84.167000000000002</c:v>
                </c:pt>
                <c:pt idx="20">
                  <c:v>88.382000000000005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70-48CD-B5C3-599EB0DA7068}"/>
            </c:ext>
          </c:extLst>
        </c:ser>
        <c:ser>
          <c:idx val="3"/>
          <c:order val="3"/>
          <c:tx>
            <c:v>Ave RR_IR_Temp_Amb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All!$FF$6:$FF$30</c:f>
              <c:numCache>
                <c:formatCode>General</c:formatCode>
                <c:ptCount val="25"/>
                <c:pt idx="0">
                  <c:v>11.505000000000001</c:v>
                </c:pt>
                <c:pt idx="1">
                  <c:v>73.474999999999994</c:v>
                </c:pt>
                <c:pt idx="2">
                  <c:v>61.44</c:v>
                </c:pt>
                <c:pt idx="3">
                  <c:v>59.801000000000002</c:v>
                </c:pt>
                <c:pt idx="4">
                  <c:v>75.688999999999993</c:v>
                </c:pt>
                <c:pt idx="5">
                  <c:v>78.695999999999998</c:v>
                </c:pt>
                <c:pt idx="9">
                  <c:v>74.41</c:v>
                </c:pt>
                <c:pt idx="10">
                  <c:v>68.501999999999995</c:v>
                </c:pt>
                <c:pt idx="11">
                  <c:v>71.072999999999993</c:v>
                </c:pt>
                <c:pt idx="12">
                  <c:v>79.281999999999996</c:v>
                </c:pt>
                <c:pt idx="13">
                  <c:v>84.352000000000004</c:v>
                </c:pt>
                <c:pt idx="17">
                  <c:v>56.301000000000002</c:v>
                </c:pt>
                <c:pt idx="18">
                  <c:v>71.165999999999997</c:v>
                </c:pt>
                <c:pt idx="19">
                  <c:v>81.843999999999994</c:v>
                </c:pt>
                <c:pt idx="20">
                  <c:v>86.067999999999998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F70-48CD-B5C3-599EB0DA7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075327"/>
        <c:axId val="97076991"/>
      </c:scatterChart>
      <c:valAx>
        <c:axId val="97075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7076991"/>
        <c:crosses val="autoZero"/>
        <c:crossBetween val="midCat"/>
      </c:valAx>
      <c:valAx>
        <c:axId val="97076991"/>
        <c:scaling>
          <c:orientation val="minMax"/>
          <c:max val="120"/>
          <c:min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70753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Wheel locking times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time_FL_Locking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All!$CL$6:$CL$30</c:f>
              <c:numCache>
                <c:formatCode>General</c:formatCode>
                <c:ptCount val="25"/>
                <c:pt idx="0">
                  <c:v>0.2</c:v>
                </c:pt>
                <c:pt idx="1">
                  <c:v>0.2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2.1</c:v>
                </c:pt>
                <c:pt idx="9">
                  <c:v>0</c:v>
                </c:pt>
                <c:pt idx="10">
                  <c:v>0</c:v>
                </c:pt>
                <c:pt idx="11">
                  <c:v>0.1</c:v>
                </c:pt>
                <c:pt idx="12">
                  <c:v>0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0.1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92-48FB-BDF5-14DBB66139BC}"/>
            </c:ext>
          </c:extLst>
        </c:ser>
        <c:ser>
          <c:idx val="1"/>
          <c:order val="1"/>
          <c:tx>
            <c:v>Max time_FR_Locking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All!$CM$6:$CM$30</c:f>
              <c:numCache>
                <c:formatCode>General</c:formatCode>
                <c:ptCount val="25"/>
                <c:pt idx="0">
                  <c:v>0.2</c:v>
                </c:pt>
                <c:pt idx="1">
                  <c:v>0.5</c:v>
                </c:pt>
                <c:pt idx="2">
                  <c:v>0.3</c:v>
                </c:pt>
                <c:pt idx="3">
                  <c:v>0.4</c:v>
                </c:pt>
                <c:pt idx="4">
                  <c:v>1.1000000000000001</c:v>
                </c:pt>
                <c:pt idx="5">
                  <c:v>0.1</c:v>
                </c:pt>
                <c:pt idx="9">
                  <c:v>0</c:v>
                </c:pt>
                <c:pt idx="10">
                  <c:v>1.6</c:v>
                </c:pt>
                <c:pt idx="11">
                  <c:v>0.3</c:v>
                </c:pt>
                <c:pt idx="12">
                  <c:v>5.0999999999999996</c:v>
                </c:pt>
                <c:pt idx="13">
                  <c:v>0.2</c:v>
                </c:pt>
                <c:pt idx="17">
                  <c:v>0.2</c:v>
                </c:pt>
                <c:pt idx="18">
                  <c:v>2</c:v>
                </c:pt>
                <c:pt idx="19">
                  <c:v>0.3</c:v>
                </c:pt>
                <c:pt idx="20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92-48FB-BDF5-14DBB66139BC}"/>
            </c:ext>
          </c:extLst>
        </c:ser>
        <c:ser>
          <c:idx val="2"/>
          <c:order val="2"/>
          <c:tx>
            <c:v>Max time_RL_Locking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All!$CN$6:$CN$30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0.1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92-48FB-BDF5-14DBB66139BC}"/>
            </c:ext>
          </c:extLst>
        </c:ser>
        <c:ser>
          <c:idx val="3"/>
          <c:order val="3"/>
          <c:tx>
            <c:v>Max time_RR_Locking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All!$CO$6:$CO$30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0.1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C92-48FB-BDF5-14DBB6613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068671"/>
        <c:axId val="97070335"/>
      </c:scatterChart>
      <c:valAx>
        <c:axId val="97068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7070335"/>
        <c:crosses val="autoZero"/>
        <c:crossBetween val="midCat"/>
      </c:valAx>
      <c:valAx>
        <c:axId val="97070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70686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Min disk temperature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tdisk_fl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All!$V$6:$V$30</c:f>
              <c:numCache>
                <c:formatCode>General</c:formatCode>
                <c:ptCount val="25"/>
                <c:pt idx="0">
                  <c:v>60</c:v>
                </c:pt>
                <c:pt idx="1">
                  <c:v>132.5</c:v>
                </c:pt>
                <c:pt idx="2">
                  <c:v>60</c:v>
                </c:pt>
                <c:pt idx="3">
                  <c:v>218.34</c:v>
                </c:pt>
                <c:pt idx="4">
                  <c:v>243.34</c:v>
                </c:pt>
                <c:pt idx="5">
                  <c:v>170</c:v>
                </c:pt>
                <c:pt idx="9">
                  <c:v>306</c:v>
                </c:pt>
                <c:pt idx="10">
                  <c:v>165</c:v>
                </c:pt>
                <c:pt idx="11">
                  <c:v>226.66</c:v>
                </c:pt>
                <c:pt idx="12">
                  <c:v>238.34</c:v>
                </c:pt>
                <c:pt idx="13">
                  <c:v>248.34</c:v>
                </c:pt>
                <c:pt idx="17">
                  <c:v>197.5</c:v>
                </c:pt>
                <c:pt idx="18">
                  <c:v>280</c:v>
                </c:pt>
                <c:pt idx="19">
                  <c:v>251.66</c:v>
                </c:pt>
                <c:pt idx="20">
                  <c:v>260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44-462E-AB23-E527DA68EF84}"/>
            </c:ext>
          </c:extLst>
        </c:ser>
        <c:ser>
          <c:idx val="1"/>
          <c:order val="1"/>
          <c:tx>
            <c:v>Min tdisk_fr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All!$W$6:$W$30</c:f>
              <c:numCache>
                <c:formatCode>General</c:formatCode>
                <c:ptCount val="25"/>
                <c:pt idx="0">
                  <c:v>40</c:v>
                </c:pt>
                <c:pt idx="1">
                  <c:v>140</c:v>
                </c:pt>
                <c:pt idx="2">
                  <c:v>40</c:v>
                </c:pt>
                <c:pt idx="3">
                  <c:v>235</c:v>
                </c:pt>
                <c:pt idx="4">
                  <c:v>266.66000000000003</c:v>
                </c:pt>
                <c:pt idx="5">
                  <c:v>195</c:v>
                </c:pt>
                <c:pt idx="9">
                  <c:v>320</c:v>
                </c:pt>
                <c:pt idx="10">
                  <c:v>187.5</c:v>
                </c:pt>
                <c:pt idx="11">
                  <c:v>258.33999999999997</c:v>
                </c:pt>
                <c:pt idx="12">
                  <c:v>235</c:v>
                </c:pt>
                <c:pt idx="13">
                  <c:v>268.33999999999997</c:v>
                </c:pt>
                <c:pt idx="17">
                  <c:v>216.66</c:v>
                </c:pt>
                <c:pt idx="18">
                  <c:v>307</c:v>
                </c:pt>
                <c:pt idx="19">
                  <c:v>288.33999999999997</c:v>
                </c:pt>
                <c:pt idx="20">
                  <c:v>301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44-462E-AB23-E527DA68EF84}"/>
            </c:ext>
          </c:extLst>
        </c:ser>
        <c:ser>
          <c:idx val="2"/>
          <c:order val="2"/>
          <c:tx>
            <c:v>Min tdisk_rl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All!$X$6:$X$30</c:f>
              <c:numCache>
                <c:formatCode>General</c:formatCode>
                <c:ptCount val="25"/>
                <c:pt idx="0">
                  <c:v>80</c:v>
                </c:pt>
                <c:pt idx="1">
                  <c:v>130</c:v>
                </c:pt>
                <c:pt idx="2">
                  <c:v>80</c:v>
                </c:pt>
                <c:pt idx="3">
                  <c:v>127.5</c:v>
                </c:pt>
                <c:pt idx="4">
                  <c:v>190</c:v>
                </c:pt>
                <c:pt idx="5">
                  <c:v>140</c:v>
                </c:pt>
                <c:pt idx="9">
                  <c:v>167.5</c:v>
                </c:pt>
                <c:pt idx="10">
                  <c:v>110</c:v>
                </c:pt>
                <c:pt idx="11">
                  <c:v>137.5</c:v>
                </c:pt>
                <c:pt idx="12">
                  <c:v>187.5</c:v>
                </c:pt>
                <c:pt idx="13">
                  <c:v>205</c:v>
                </c:pt>
                <c:pt idx="17">
                  <c:v>130</c:v>
                </c:pt>
                <c:pt idx="18">
                  <c:v>195</c:v>
                </c:pt>
                <c:pt idx="19">
                  <c:v>211.66</c:v>
                </c:pt>
                <c:pt idx="20">
                  <c:v>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B44-462E-AB23-E527DA68EF84}"/>
            </c:ext>
          </c:extLst>
        </c:ser>
        <c:ser>
          <c:idx val="3"/>
          <c:order val="3"/>
          <c:tx>
            <c:v>Min tdisk_rr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All!$Y$6:$Y$30</c:f>
              <c:numCache>
                <c:formatCode>General</c:formatCode>
                <c:ptCount val="25"/>
                <c:pt idx="0">
                  <c:v>80</c:v>
                </c:pt>
                <c:pt idx="1">
                  <c:v>147.5</c:v>
                </c:pt>
                <c:pt idx="2">
                  <c:v>80</c:v>
                </c:pt>
                <c:pt idx="3">
                  <c:v>175</c:v>
                </c:pt>
                <c:pt idx="4">
                  <c:v>228.34</c:v>
                </c:pt>
                <c:pt idx="5">
                  <c:v>172.5</c:v>
                </c:pt>
                <c:pt idx="9">
                  <c:v>215</c:v>
                </c:pt>
                <c:pt idx="10">
                  <c:v>127.5</c:v>
                </c:pt>
                <c:pt idx="11">
                  <c:v>175</c:v>
                </c:pt>
                <c:pt idx="12">
                  <c:v>225</c:v>
                </c:pt>
                <c:pt idx="13">
                  <c:v>248.34</c:v>
                </c:pt>
                <c:pt idx="17">
                  <c:v>160</c:v>
                </c:pt>
                <c:pt idx="18">
                  <c:v>236.66</c:v>
                </c:pt>
                <c:pt idx="19">
                  <c:v>258.33999999999997</c:v>
                </c:pt>
                <c:pt idx="20">
                  <c:v>271.66000000000003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B44-462E-AB23-E527DA68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919151"/>
        <c:axId val="134923727"/>
      </c:scatterChart>
      <c:valAx>
        <c:axId val="1349191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4923727"/>
        <c:crosses val="autoZero"/>
        <c:crossBetween val="midCat"/>
      </c:valAx>
      <c:valAx>
        <c:axId val="134923727"/>
        <c:scaling>
          <c:orientation val="minMax"/>
          <c:max val="42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49191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disk temperature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tdisk_fl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All!$Z$6:$Z$30</c:f>
              <c:numCache>
                <c:formatCode>General</c:formatCode>
                <c:ptCount val="25"/>
                <c:pt idx="0">
                  <c:v>126.88</c:v>
                </c:pt>
                <c:pt idx="1">
                  <c:v>302.83</c:v>
                </c:pt>
                <c:pt idx="2">
                  <c:v>148.72999999999999</c:v>
                </c:pt>
                <c:pt idx="3">
                  <c:v>372.94</c:v>
                </c:pt>
                <c:pt idx="4">
                  <c:v>388.67</c:v>
                </c:pt>
                <c:pt idx="5">
                  <c:v>343.04</c:v>
                </c:pt>
                <c:pt idx="9">
                  <c:v>311.22000000000003</c:v>
                </c:pt>
                <c:pt idx="10">
                  <c:v>311.68</c:v>
                </c:pt>
                <c:pt idx="11">
                  <c:v>378.4</c:v>
                </c:pt>
                <c:pt idx="12">
                  <c:v>388.7</c:v>
                </c:pt>
                <c:pt idx="13">
                  <c:v>390.09</c:v>
                </c:pt>
                <c:pt idx="17">
                  <c:v>340.89</c:v>
                </c:pt>
                <c:pt idx="18">
                  <c:v>413.46</c:v>
                </c:pt>
                <c:pt idx="19">
                  <c:v>391.44</c:v>
                </c:pt>
                <c:pt idx="20">
                  <c:v>391.68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43-4548-93A6-BEC8DF1FCBA8}"/>
            </c:ext>
          </c:extLst>
        </c:ser>
        <c:ser>
          <c:idx val="1"/>
          <c:order val="1"/>
          <c:tx>
            <c:v>Ave tdisk_fr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All!$AA$6:$AA$30</c:f>
              <c:numCache>
                <c:formatCode>General</c:formatCode>
                <c:ptCount val="25"/>
                <c:pt idx="0">
                  <c:v>108.21</c:v>
                </c:pt>
                <c:pt idx="1">
                  <c:v>324.01</c:v>
                </c:pt>
                <c:pt idx="2">
                  <c:v>150.22</c:v>
                </c:pt>
                <c:pt idx="3">
                  <c:v>389.56</c:v>
                </c:pt>
                <c:pt idx="4">
                  <c:v>407.18</c:v>
                </c:pt>
                <c:pt idx="5">
                  <c:v>369.54</c:v>
                </c:pt>
                <c:pt idx="9">
                  <c:v>328.5</c:v>
                </c:pt>
                <c:pt idx="10">
                  <c:v>334.49</c:v>
                </c:pt>
                <c:pt idx="11">
                  <c:v>408.52</c:v>
                </c:pt>
                <c:pt idx="12">
                  <c:v>390.52</c:v>
                </c:pt>
                <c:pt idx="13">
                  <c:v>416.13</c:v>
                </c:pt>
                <c:pt idx="17">
                  <c:v>358.53</c:v>
                </c:pt>
                <c:pt idx="18">
                  <c:v>436.52</c:v>
                </c:pt>
                <c:pt idx="19">
                  <c:v>424.06</c:v>
                </c:pt>
                <c:pt idx="20">
                  <c:v>419.65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43-4548-93A6-BEC8DF1FCBA8}"/>
            </c:ext>
          </c:extLst>
        </c:ser>
        <c:ser>
          <c:idx val="2"/>
          <c:order val="2"/>
          <c:tx>
            <c:v>Ave tdisk_rl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All!$AB$6:$AB$30</c:f>
              <c:numCache>
                <c:formatCode>General</c:formatCode>
                <c:ptCount val="25"/>
                <c:pt idx="0">
                  <c:v>105.39</c:v>
                </c:pt>
                <c:pt idx="1">
                  <c:v>239.85</c:v>
                </c:pt>
                <c:pt idx="2">
                  <c:v>113.01</c:v>
                </c:pt>
                <c:pt idx="3">
                  <c:v>263.47000000000003</c:v>
                </c:pt>
                <c:pt idx="4">
                  <c:v>310.77</c:v>
                </c:pt>
                <c:pt idx="5">
                  <c:v>221.89</c:v>
                </c:pt>
                <c:pt idx="9">
                  <c:v>172</c:v>
                </c:pt>
                <c:pt idx="10">
                  <c:v>196.3</c:v>
                </c:pt>
                <c:pt idx="11">
                  <c:v>276.02</c:v>
                </c:pt>
                <c:pt idx="12">
                  <c:v>316.60000000000002</c:v>
                </c:pt>
                <c:pt idx="13">
                  <c:v>312.35000000000002</c:v>
                </c:pt>
                <c:pt idx="17">
                  <c:v>225.07</c:v>
                </c:pt>
                <c:pt idx="18">
                  <c:v>317.49</c:v>
                </c:pt>
                <c:pt idx="19">
                  <c:v>328.96</c:v>
                </c:pt>
                <c:pt idx="20">
                  <c:v>305.27999999999997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43-4548-93A6-BEC8DF1FCBA8}"/>
            </c:ext>
          </c:extLst>
        </c:ser>
        <c:ser>
          <c:idx val="3"/>
          <c:order val="3"/>
          <c:tx>
            <c:v>Ave tdisk_rr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All!$AC$6:$AC$30</c:f>
              <c:numCache>
                <c:formatCode>General</c:formatCode>
                <c:ptCount val="25"/>
                <c:pt idx="0">
                  <c:v>111.77</c:v>
                </c:pt>
                <c:pt idx="1">
                  <c:v>291.89999999999998</c:v>
                </c:pt>
                <c:pt idx="2">
                  <c:v>125.68</c:v>
                </c:pt>
                <c:pt idx="3">
                  <c:v>332.78</c:v>
                </c:pt>
                <c:pt idx="4">
                  <c:v>375.82</c:v>
                </c:pt>
                <c:pt idx="5">
                  <c:v>284.82</c:v>
                </c:pt>
                <c:pt idx="9">
                  <c:v>218.84</c:v>
                </c:pt>
                <c:pt idx="10">
                  <c:v>248.84</c:v>
                </c:pt>
                <c:pt idx="11">
                  <c:v>341.81</c:v>
                </c:pt>
                <c:pt idx="12">
                  <c:v>380.46</c:v>
                </c:pt>
                <c:pt idx="13">
                  <c:v>380.22</c:v>
                </c:pt>
                <c:pt idx="17">
                  <c:v>281.06</c:v>
                </c:pt>
                <c:pt idx="18">
                  <c:v>387.57</c:v>
                </c:pt>
                <c:pt idx="19">
                  <c:v>402.65</c:v>
                </c:pt>
                <c:pt idx="20">
                  <c:v>375.97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543-4548-93A6-BEC8DF1FC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069087"/>
        <c:axId val="97069919"/>
      </c:scatterChart>
      <c:valAx>
        <c:axId val="97069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7069919"/>
        <c:crosses val="autoZero"/>
        <c:crossBetween val="midCat"/>
      </c:valAx>
      <c:valAx>
        <c:axId val="97069919"/>
        <c:scaling>
          <c:orientation val="minMax"/>
          <c:max val="550"/>
          <c:min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70690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 pressure [bar] and balance [%]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pbrake_f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All!$T$6:$T$30</c:f>
              <c:numCache>
                <c:formatCode>General</c:formatCode>
                <c:ptCount val="25"/>
                <c:pt idx="0">
                  <c:v>60.56</c:v>
                </c:pt>
                <c:pt idx="1">
                  <c:v>75.22</c:v>
                </c:pt>
                <c:pt idx="2">
                  <c:v>58.52</c:v>
                </c:pt>
                <c:pt idx="3">
                  <c:v>71.42</c:v>
                </c:pt>
                <c:pt idx="4">
                  <c:v>78.14</c:v>
                </c:pt>
                <c:pt idx="5">
                  <c:v>56</c:v>
                </c:pt>
                <c:pt idx="9">
                  <c:v>20.65</c:v>
                </c:pt>
                <c:pt idx="10">
                  <c:v>69.61</c:v>
                </c:pt>
                <c:pt idx="11">
                  <c:v>87.06</c:v>
                </c:pt>
                <c:pt idx="12">
                  <c:v>93.72</c:v>
                </c:pt>
                <c:pt idx="13">
                  <c:v>88.02</c:v>
                </c:pt>
                <c:pt idx="17">
                  <c:v>58.38</c:v>
                </c:pt>
                <c:pt idx="18">
                  <c:v>73.55</c:v>
                </c:pt>
                <c:pt idx="19">
                  <c:v>82.72</c:v>
                </c:pt>
                <c:pt idx="20">
                  <c:v>75.09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8-48A4-B552-C40B997B5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5796927"/>
        <c:axId val="2075785695"/>
      </c:scatterChart>
      <c:scatterChart>
        <c:scatterStyle val="lineMarker"/>
        <c:varyColors val="0"/>
        <c:ser>
          <c:idx val="1"/>
          <c:order val="1"/>
          <c:tx>
            <c:v>Ave Brake_bal %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All!$U$6:$U$30</c:f>
              <c:numCache>
                <c:formatCode>General</c:formatCode>
                <c:ptCount val="25"/>
                <c:pt idx="0">
                  <c:v>61.243000000000002</c:v>
                </c:pt>
                <c:pt idx="1">
                  <c:v>61.012</c:v>
                </c:pt>
                <c:pt idx="2">
                  <c:v>61.536999999999999</c:v>
                </c:pt>
                <c:pt idx="3">
                  <c:v>60.997</c:v>
                </c:pt>
                <c:pt idx="4">
                  <c:v>60.893000000000001</c:v>
                </c:pt>
                <c:pt idx="5">
                  <c:v>61.481000000000002</c:v>
                </c:pt>
                <c:pt idx="9">
                  <c:v>63.636000000000003</c:v>
                </c:pt>
                <c:pt idx="10">
                  <c:v>61.570999999999998</c:v>
                </c:pt>
                <c:pt idx="11">
                  <c:v>61.19</c:v>
                </c:pt>
                <c:pt idx="12">
                  <c:v>60.965000000000003</c:v>
                </c:pt>
                <c:pt idx="13">
                  <c:v>60.674999999999997</c:v>
                </c:pt>
                <c:pt idx="17">
                  <c:v>62.188000000000002</c:v>
                </c:pt>
                <c:pt idx="18">
                  <c:v>60.529000000000003</c:v>
                </c:pt>
                <c:pt idx="19">
                  <c:v>60.125</c:v>
                </c:pt>
                <c:pt idx="20">
                  <c:v>60.125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8-48A4-B552-C40B997B5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67279"/>
        <c:axId val="136356879"/>
      </c:scatterChart>
      <c:valAx>
        <c:axId val="20757969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75785695"/>
        <c:crosses val="autoZero"/>
        <c:crossBetween val="midCat"/>
      </c:valAx>
      <c:valAx>
        <c:axId val="2075785695"/>
        <c:scaling>
          <c:orientation val="minMax"/>
          <c:max val="11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75796927"/>
        <c:crosses val="autoZero"/>
        <c:crossBetween val="midCat"/>
      </c:valAx>
      <c:valAx>
        <c:axId val="136356879"/>
        <c:scaling>
          <c:orientation val="minMax"/>
          <c:max val="70"/>
          <c:min val="5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6367279"/>
        <c:crosses val="max"/>
        <c:crossBetween val="midCat"/>
      </c:valAx>
      <c:valAx>
        <c:axId val="136367279"/>
        <c:scaling>
          <c:orientation val="minMax"/>
        </c:scaling>
        <c:delete val="1"/>
        <c:axPos val="b"/>
        <c:majorTickMark val="out"/>
        <c:minorTickMark val="none"/>
        <c:tickLblPos val="nextTo"/>
        <c:crossAx val="1363568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 &amp; AVG Caliper T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tcaliper_fl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All!$BN$6:$BN$30</c:f>
              <c:numCache>
                <c:formatCode>General</c:formatCode>
                <c:ptCount val="25"/>
                <c:pt idx="0">
                  <c:v>81.831999999999994</c:v>
                </c:pt>
                <c:pt idx="1">
                  <c:v>110.488</c:v>
                </c:pt>
                <c:pt idx="2">
                  <c:v>99.975999999999999</c:v>
                </c:pt>
                <c:pt idx="3">
                  <c:v>94.52</c:v>
                </c:pt>
                <c:pt idx="4">
                  <c:v>98.087999999999994</c:v>
                </c:pt>
                <c:pt idx="5">
                  <c:v>114.504</c:v>
                </c:pt>
                <c:pt idx="9">
                  <c:v>124.664</c:v>
                </c:pt>
                <c:pt idx="10">
                  <c:v>139.24</c:v>
                </c:pt>
                <c:pt idx="11">
                  <c:v>97.975999999999999</c:v>
                </c:pt>
                <c:pt idx="12">
                  <c:v>99.64</c:v>
                </c:pt>
                <c:pt idx="13">
                  <c:v>117.24</c:v>
                </c:pt>
                <c:pt idx="17">
                  <c:v>151.352</c:v>
                </c:pt>
                <c:pt idx="18">
                  <c:v>107.72</c:v>
                </c:pt>
                <c:pt idx="19">
                  <c:v>105.896</c:v>
                </c:pt>
                <c:pt idx="20">
                  <c:v>117.83199999999999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B0-4E9D-8951-816508C60ECB}"/>
            </c:ext>
          </c:extLst>
        </c:ser>
        <c:ser>
          <c:idx val="1"/>
          <c:order val="1"/>
          <c:tx>
            <c:v>Max tcaliper_fr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All!$BO$6:$BO$30</c:f>
              <c:numCache>
                <c:formatCode>General</c:formatCode>
                <c:ptCount val="25"/>
                <c:pt idx="0">
                  <c:v>78.456000000000003</c:v>
                </c:pt>
                <c:pt idx="1">
                  <c:v>106.80800000000001</c:v>
                </c:pt>
                <c:pt idx="2">
                  <c:v>96.488</c:v>
                </c:pt>
                <c:pt idx="3">
                  <c:v>92.52</c:v>
                </c:pt>
                <c:pt idx="4">
                  <c:v>97.608000000000004</c:v>
                </c:pt>
                <c:pt idx="5">
                  <c:v>112.584</c:v>
                </c:pt>
                <c:pt idx="9">
                  <c:v>127.304</c:v>
                </c:pt>
                <c:pt idx="10">
                  <c:v>141.19200000000001</c:v>
                </c:pt>
                <c:pt idx="11">
                  <c:v>98.488</c:v>
                </c:pt>
                <c:pt idx="12">
                  <c:v>101.48</c:v>
                </c:pt>
                <c:pt idx="13">
                  <c:v>116.184</c:v>
                </c:pt>
                <c:pt idx="17">
                  <c:v>152.16800000000001</c:v>
                </c:pt>
                <c:pt idx="18">
                  <c:v>107.352</c:v>
                </c:pt>
                <c:pt idx="19">
                  <c:v>106.392</c:v>
                </c:pt>
                <c:pt idx="20">
                  <c:v>120.648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B0-4E9D-8951-816508C60ECB}"/>
            </c:ext>
          </c:extLst>
        </c:ser>
        <c:ser>
          <c:idx val="2"/>
          <c:order val="2"/>
          <c:tx>
            <c:v>Max tcaliper_rl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All!$BP$6:$BP$30</c:f>
              <c:numCache>
                <c:formatCode>General</c:formatCode>
                <c:ptCount val="25"/>
                <c:pt idx="0">
                  <c:v>91.703999999999994</c:v>
                </c:pt>
                <c:pt idx="1">
                  <c:v>126.80800000000001</c:v>
                </c:pt>
                <c:pt idx="2">
                  <c:v>114.68</c:v>
                </c:pt>
                <c:pt idx="3">
                  <c:v>108.80800000000001</c:v>
                </c:pt>
                <c:pt idx="4">
                  <c:v>125.928</c:v>
                </c:pt>
                <c:pt idx="5">
                  <c:v>133.17599999999999</c:v>
                </c:pt>
                <c:pt idx="9">
                  <c:v>110.08799999999999</c:v>
                </c:pt>
                <c:pt idx="10">
                  <c:v>106.80800000000001</c:v>
                </c:pt>
                <c:pt idx="11">
                  <c:v>117.36799999999999</c:v>
                </c:pt>
                <c:pt idx="12">
                  <c:v>129.72</c:v>
                </c:pt>
                <c:pt idx="13">
                  <c:v>140.28</c:v>
                </c:pt>
                <c:pt idx="17">
                  <c:v>128.66399999999999</c:v>
                </c:pt>
                <c:pt idx="18">
                  <c:v>130.71199999999999</c:v>
                </c:pt>
                <c:pt idx="19">
                  <c:v>135.91200000000001</c:v>
                </c:pt>
                <c:pt idx="20">
                  <c:v>140.376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B0-4E9D-8951-816508C60ECB}"/>
            </c:ext>
          </c:extLst>
        </c:ser>
        <c:ser>
          <c:idx val="3"/>
          <c:order val="3"/>
          <c:tx>
            <c:v>Max tcaliper_rr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All!$BQ$6:$BQ$30</c:f>
              <c:numCache>
                <c:formatCode>General</c:formatCode>
                <c:ptCount val="25"/>
                <c:pt idx="0">
                  <c:v>90.584000000000003</c:v>
                </c:pt>
                <c:pt idx="1">
                  <c:v>129.17599999999999</c:v>
                </c:pt>
                <c:pt idx="2">
                  <c:v>116.92</c:v>
                </c:pt>
                <c:pt idx="3">
                  <c:v>113.736</c:v>
                </c:pt>
                <c:pt idx="4">
                  <c:v>129.08000000000001</c:v>
                </c:pt>
                <c:pt idx="5">
                  <c:v>136.952</c:v>
                </c:pt>
                <c:pt idx="9">
                  <c:v>117.96</c:v>
                </c:pt>
                <c:pt idx="10">
                  <c:v>111.91200000000001</c:v>
                </c:pt>
                <c:pt idx="11">
                  <c:v>122.152</c:v>
                </c:pt>
                <c:pt idx="12">
                  <c:v>133.36799999999999</c:v>
                </c:pt>
                <c:pt idx="13">
                  <c:v>144.61600000000001</c:v>
                </c:pt>
                <c:pt idx="17">
                  <c:v>133.816</c:v>
                </c:pt>
                <c:pt idx="18">
                  <c:v>134.68</c:v>
                </c:pt>
                <c:pt idx="19">
                  <c:v>141.06399999999999</c:v>
                </c:pt>
                <c:pt idx="20">
                  <c:v>144.15199999999999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B0-4E9D-8951-816508C60ECB}"/>
            </c:ext>
          </c:extLst>
        </c:ser>
        <c:ser>
          <c:idx val="4"/>
          <c:order val="4"/>
          <c:tx>
            <c:v>Ave tcaliper_fl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All!$CP$6:$CP$30</c:f>
              <c:numCache>
                <c:formatCode>General</c:formatCode>
                <c:ptCount val="25"/>
                <c:pt idx="0">
                  <c:v>36.561</c:v>
                </c:pt>
                <c:pt idx="1">
                  <c:v>94.4</c:v>
                </c:pt>
                <c:pt idx="2">
                  <c:v>68.572999999999993</c:v>
                </c:pt>
                <c:pt idx="3">
                  <c:v>83.349000000000004</c:v>
                </c:pt>
                <c:pt idx="4">
                  <c:v>94.599000000000004</c:v>
                </c:pt>
                <c:pt idx="5">
                  <c:v>98.081999999999994</c:v>
                </c:pt>
                <c:pt idx="9">
                  <c:v>121.321</c:v>
                </c:pt>
                <c:pt idx="10">
                  <c:v>104.815</c:v>
                </c:pt>
                <c:pt idx="11">
                  <c:v>93.863</c:v>
                </c:pt>
                <c:pt idx="12">
                  <c:v>95.903000000000006</c:v>
                </c:pt>
                <c:pt idx="13">
                  <c:v>98.706999999999994</c:v>
                </c:pt>
                <c:pt idx="17">
                  <c:v>113.97199999999999</c:v>
                </c:pt>
                <c:pt idx="18">
                  <c:v>102.34</c:v>
                </c:pt>
                <c:pt idx="19">
                  <c:v>98.921999999999997</c:v>
                </c:pt>
                <c:pt idx="20">
                  <c:v>100.038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4B0-4E9D-8951-816508C60ECB}"/>
            </c:ext>
          </c:extLst>
        </c:ser>
        <c:ser>
          <c:idx val="5"/>
          <c:order val="5"/>
          <c:tx>
            <c:v>Ave tcaliper_fr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All!$CQ$6:$CQ$30</c:f>
              <c:numCache>
                <c:formatCode>General</c:formatCode>
                <c:ptCount val="25"/>
                <c:pt idx="0">
                  <c:v>35.218000000000004</c:v>
                </c:pt>
                <c:pt idx="1">
                  <c:v>92.433999999999997</c:v>
                </c:pt>
                <c:pt idx="2">
                  <c:v>67.778000000000006</c:v>
                </c:pt>
                <c:pt idx="3">
                  <c:v>83.066000000000003</c:v>
                </c:pt>
                <c:pt idx="4">
                  <c:v>94.27</c:v>
                </c:pt>
                <c:pt idx="5">
                  <c:v>97.679000000000002</c:v>
                </c:pt>
                <c:pt idx="9">
                  <c:v>123.9</c:v>
                </c:pt>
                <c:pt idx="10">
                  <c:v>107.459</c:v>
                </c:pt>
                <c:pt idx="11">
                  <c:v>95.319000000000003</c:v>
                </c:pt>
                <c:pt idx="12">
                  <c:v>96.100999999999999</c:v>
                </c:pt>
                <c:pt idx="13">
                  <c:v>96.540999999999997</c:v>
                </c:pt>
                <c:pt idx="17">
                  <c:v>115.31399999999999</c:v>
                </c:pt>
                <c:pt idx="18">
                  <c:v>102.949</c:v>
                </c:pt>
                <c:pt idx="19">
                  <c:v>101.74299999999999</c:v>
                </c:pt>
                <c:pt idx="20">
                  <c:v>103.22799999999999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4B0-4E9D-8951-816508C60ECB}"/>
            </c:ext>
          </c:extLst>
        </c:ser>
        <c:ser>
          <c:idx val="6"/>
          <c:order val="6"/>
          <c:tx>
            <c:v>Ave tcaliper_rl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All!$CR$6:$CR$30</c:f>
              <c:numCache>
                <c:formatCode>General</c:formatCode>
                <c:ptCount val="25"/>
                <c:pt idx="0">
                  <c:v>37.722999999999999</c:v>
                </c:pt>
                <c:pt idx="1">
                  <c:v>107.482</c:v>
                </c:pt>
                <c:pt idx="2">
                  <c:v>78.307000000000002</c:v>
                </c:pt>
                <c:pt idx="3">
                  <c:v>86.635999999999996</c:v>
                </c:pt>
                <c:pt idx="4">
                  <c:v>115.511</c:v>
                </c:pt>
                <c:pt idx="5">
                  <c:v>111.26</c:v>
                </c:pt>
                <c:pt idx="9">
                  <c:v>109.804</c:v>
                </c:pt>
                <c:pt idx="10">
                  <c:v>96.117999999999995</c:v>
                </c:pt>
                <c:pt idx="11">
                  <c:v>103.673</c:v>
                </c:pt>
                <c:pt idx="12">
                  <c:v>119.596</c:v>
                </c:pt>
                <c:pt idx="13">
                  <c:v>128.125</c:v>
                </c:pt>
                <c:pt idx="17">
                  <c:v>112.361</c:v>
                </c:pt>
                <c:pt idx="18">
                  <c:v>118.357</c:v>
                </c:pt>
                <c:pt idx="19">
                  <c:v>128.85499999999999</c:v>
                </c:pt>
                <c:pt idx="20">
                  <c:v>130.71799999999999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4B0-4E9D-8951-816508C60ECB}"/>
            </c:ext>
          </c:extLst>
        </c:ser>
        <c:ser>
          <c:idx val="7"/>
          <c:order val="7"/>
          <c:tx>
            <c:v>Ave tcaliper_rr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All!$CS$6:$CS$30</c:f>
              <c:numCache>
                <c:formatCode>General</c:formatCode>
                <c:ptCount val="25"/>
                <c:pt idx="0">
                  <c:v>35.43</c:v>
                </c:pt>
                <c:pt idx="1">
                  <c:v>110.176</c:v>
                </c:pt>
                <c:pt idx="2">
                  <c:v>79.286000000000001</c:v>
                </c:pt>
                <c:pt idx="3">
                  <c:v>93.518000000000001</c:v>
                </c:pt>
                <c:pt idx="4">
                  <c:v>121.003</c:v>
                </c:pt>
                <c:pt idx="5">
                  <c:v>117.74</c:v>
                </c:pt>
                <c:pt idx="9">
                  <c:v>116.13</c:v>
                </c:pt>
                <c:pt idx="10">
                  <c:v>102</c:v>
                </c:pt>
                <c:pt idx="11">
                  <c:v>109.34</c:v>
                </c:pt>
                <c:pt idx="12">
                  <c:v>125.05200000000001</c:v>
                </c:pt>
                <c:pt idx="13">
                  <c:v>133.369</c:v>
                </c:pt>
                <c:pt idx="17">
                  <c:v>118.261</c:v>
                </c:pt>
                <c:pt idx="18">
                  <c:v>124.435</c:v>
                </c:pt>
                <c:pt idx="19">
                  <c:v>134.90199999999999</c:v>
                </c:pt>
                <c:pt idx="20">
                  <c:v>136.501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4B0-4E9D-8951-816508C60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5805247"/>
        <c:axId val="2075787775"/>
      </c:scatterChart>
      <c:valAx>
        <c:axId val="2075805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75787775"/>
        <c:crosses val="autoZero"/>
        <c:crossBetween val="midCat"/>
      </c:valAx>
      <c:valAx>
        <c:axId val="2075787775"/>
        <c:scaling>
          <c:orientation val="minMax"/>
          <c:max val="25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75805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Brake wear [mm/lap]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Lap-Diff Brk_Wear_FL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All!$IQ$6:$IQ$30</c:f>
              <c:numCache>
                <c:formatCode>General</c:formatCode>
                <c:ptCount val="25"/>
                <c:pt idx="0">
                  <c:v>0.01</c:v>
                </c:pt>
                <c:pt idx="1">
                  <c:v>1.2E-2</c:v>
                </c:pt>
                <c:pt idx="2">
                  <c:v>1E-3</c:v>
                </c:pt>
                <c:pt idx="3">
                  <c:v>7.0000000000000001E-3</c:v>
                </c:pt>
                <c:pt idx="4">
                  <c:v>8.9999999999999993E-3</c:v>
                </c:pt>
                <c:pt idx="5">
                  <c:v>0</c:v>
                </c:pt>
                <c:pt idx="9">
                  <c:v>1E-3</c:v>
                </c:pt>
                <c:pt idx="10">
                  <c:v>8.9999999999999993E-3</c:v>
                </c:pt>
                <c:pt idx="11">
                  <c:v>1.2999999999999999E-2</c:v>
                </c:pt>
                <c:pt idx="12">
                  <c:v>0.01</c:v>
                </c:pt>
                <c:pt idx="13">
                  <c:v>0</c:v>
                </c:pt>
                <c:pt idx="17">
                  <c:v>1E-3</c:v>
                </c:pt>
                <c:pt idx="18">
                  <c:v>8.9999999999999993E-3</c:v>
                </c:pt>
                <c:pt idx="19">
                  <c:v>1.0999999999999999E-2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3D-472C-A490-46EE76EBB0D8}"/>
            </c:ext>
          </c:extLst>
        </c:ser>
        <c:ser>
          <c:idx val="1"/>
          <c:order val="1"/>
          <c:tx>
            <c:v>Lap-Diff Brk_Wear_FR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All!$IR$6:$IR$30</c:f>
              <c:numCache>
                <c:formatCode>General</c:formatCode>
                <c:ptCount val="25"/>
                <c:pt idx="0">
                  <c:v>-0.01</c:v>
                </c:pt>
                <c:pt idx="1">
                  <c:v>1.4E-2</c:v>
                </c:pt>
                <c:pt idx="2">
                  <c:v>-6.0000000000000001E-3</c:v>
                </c:pt>
                <c:pt idx="3">
                  <c:v>-5.0000000000000001E-3</c:v>
                </c:pt>
                <c:pt idx="4">
                  <c:v>8.0000000000000002E-3</c:v>
                </c:pt>
                <c:pt idx="5">
                  <c:v>0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6.0000000000000001E-3</c:v>
                </c:pt>
                <c:pt idx="12">
                  <c:v>4.0000000000000001E-3</c:v>
                </c:pt>
                <c:pt idx="13">
                  <c:v>0</c:v>
                </c:pt>
                <c:pt idx="17">
                  <c:v>0.01</c:v>
                </c:pt>
                <c:pt idx="18">
                  <c:v>4.0000000000000001E-3</c:v>
                </c:pt>
                <c:pt idx="19">
                  <c:v>6.0000000000000001E-3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3D-472C-A490-46EE76EBB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5789023"/>
        <c:axId val="2075805663"/>
      </c:scatterChart>
      <c:valAx>
        <c:axId val="20757890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75805663"/>
        <c:crosses val="autoZero"/>
        <c:crossBetween val="midCat"/>
      </c:valAx>
      <c:valAx>
        <c:axId val="2075805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757890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Brake wear total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Disk wear 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All!$IS$6:$IS$30</c:f>
              <c:numCache>
                <c:formatCode>General</c:formatCode>
                <c:ptCount val="25"/>
                <c:pt idx="0">
                  <c:v>0.01</c:v>
                </c:pt>
                <c:pt idx="1">
                  <c:v>0.22500000000000001</c:v>
                </c:pt>
                <c:pt idx="2">
                  <c:v>0.22600000000000001</c:v>
                </c:pt>
                <c:pt idx="3">
                  <c:v>0.23300000000000001</c:v>
                </c:pt>
                <c:pt idx="4">
                  <c:v>0.24200000000000002</c:v>
                </c:pt>
                <c:pt idx="5">
                  <c:v>0.24200000000000002</c:v>
                </c:pt>
                <c:pt idx="6">
                  <c:v>0.24200000000000002</c:v>
                </c:pt>
                <c:pt idx="7">
                  <c:v>0.24200000000000002</c:v>
                </c:pt>
                <c:pt idx="8">
                  <c:v>0.24200000000000002</c:v>
                </c:pt>
                <c:pt idx="9">
                  <c:v>0.24200000000000002</c:v>
                </c:pt>
                <c:pt idx="10">
                  <c:v>0.251</c:v>
                </c:pt>
                <c:pt idx="11">
                  <c:v>0.26400000000000001</c:v>
                </c:pt>
                <c:pt idx="12">
                  <c:v>0.27400000000000002</c:v>
                </c:pt>
                <c:pt idx="13">
                  <c:v>0.27400000000000002</c:v>
                </c:pt>
                <c:pt idx="14">
                  <c:v>0.27400000000000002</c:v>
                </c:pt>
                <c:pt idx="15">
                  <c:v>0.27400000000000002</c:v>
                </c:pt>
                <c:pt idx="16">
                  <c:v>0.27400000000000002</c:v>
                </c:pt>
                <c:pt idx="17">
                  <c:v>0.27400000000000002</c:v>
                </c:pt>
                <c:pt idx="18">
                  <c:v>0.28300000000000003</c:v>
                </c:pt>
                <c:pt idx="19">
                  <c:v>0.29400000000000004</c:v>
                </c:pt>
                <c:pt idx="20">
                  <c:v>0.29400000000000004</c:v>
                </c:pt>
                <c:pt idx="21">
                  <c:v>0.29400000000000004</c:v>
                </c:pt>
                <c:pt idx="22">
                  <c:v>0.29400000000000004</c:v>
                </c:pt>
                <c:pt idx="23">
                  <c:v>0.29400000000000004</c:v>
                </c:pt>
                <c:pt idx="24">
                  <c:v>0.29400000000000004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DC-4E81-B1BB-A19C5E14F5E2}"/>
            </c:ext>
          </c:extLst>
        </c:ser>
        <c:ser>
          <c:idx val="1"/>
          <c:order val="1"/>
          <c:tx>
            <c:v>Disk wear 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All!$IT$6:$IT$30</c:f>
              <c:numCache>
                <c:formatCode>General</c:formatCode>
                <c:ptCount val="25"/>
                <c:pt idx="0">
                  <c:v>-0.01</c:v>
                </c:pt>
                <c:pt idx="1">
                  <c:v>9.9000000000000005E-2</c:v>
                </c:pt>
                <c:pt idx="2">
                  <c:v>9.2999999999999999E-2</c:v>
                </c:pt>
                <c:pt idx="3">
                  <c:v>8.7999999999999995E-2</c:v>
                </c:pt>
                <c:pt idx="4">
                  <c:v>9.6000000000000002E-2</c:v>
                </c:pt>
                <c:pt idx="5">
                  <c:v>9.6000000000000002E-2</c:v>
                </c:pt>
                <c:pt idx="6">
                  <c:v>9.6000000000000002E-2</c:v>
                </c:pt>
                <c:pt idx="7">
                  <c:v>9.6000000000000002E-2</c:v>
                </c:pt>
                <c:pt idx="8">
                  <c:v>9.6000000000000002E-2</c:v>
                </c:pt>
                <c:pt idx="9">
                  <c:v>9.6000000000000002E-2</c:v>
                </c:pt>
                <c:pt idx="10">
                  <c:v>0.10100000000000001</c:v>
                </c:pt>
                <c:pt idx="11">
                  <c:v>0.10700000000000001</c:v>
                </c:pt>
                <c:pt idx="12">
                  <c:v>0.11100000000000002</c:v>
                </c:pt>
                <c:pt idx="13">
                  <c:v>0.11100000000000002</c:v>
                </c:pt>
                <c:pt idx="14">
                  <c:v>0.11100000000000002</c:v>
                </c:pt>
                <c:pt idx="15">
                  <c:v>0.11100000000000002</c:v>
                </c:pt>
                <c:pt idx="16">
                  <c:v>0.11100000000000002</c:v>
                </c:pt>
                <c:pt idx="17">
                  <c:v>0.11100000000000002</c:v>
                </c:pt>
                <c:pt idx="18">
                  <c:v>0.11500000000000002</c:v>
                </c:pt>
                <c:pt idx="19">
                  <c:v>0.12100000000000002</c:v>
                </c:pt>
                <c:pt idx="20">
                  <c:v>0.12100000000000002</c:v>
                </c:pt>
                <c:pt idx="21">
                  <c:v>0.12100000000000002</c:v>
                </c:pt>
                <c:pt idx="22">
                  <c:v>0.12100000000000002</c:v>
                </c:pt>
                <c:pt idx="23">
                  <c:v>0.12100000000000002</c:v>
                </c:pt>
                <c:pt idx="24">
                  <c:v>0.12100000000000002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DC-4E81-B1BB-A19C5E14F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5800671"/>
        <c:axId val="2075790687"/>
      </c:scatterChart>
      <c:valAx>
        <c:axId val="2075800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75790687"/>
        <c:crosses val="autoZero"/>
        <c:crossBetween val="midCat"/>
      </c:valAx>
      <c:valAx>
        <c:axId val="2075790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758006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Oil level [litres], pcrank [mBar]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Oil_level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All!$AV$6:$AV$30</c:f>
              <c:numCache>
                <c:formatCode>General</c:formatCode>
                <c:ptCount val="25"/>
                <c:pt idx="0">
                  <c:v>2.0575000000000001</c:v>
                </c:pt>
                <c:pt idx="1">
                  <c:v>2.5710000000000002</c:v>
                </c:pt>
                <c:pt idx="2">
                  <c:v>2.0910000000000002</c:v>
                </c:pt>
                <c:pt idx="3">
                  <c:v>1.7805</c:v>
                </c:pt>
                <c:pt idx="4">
                  <c:v>1.72</c:v>
                </c:pt>
                <c:pt idx="5">
                  <c:v>2.1154999999999999</c:v>
                </c:pt>
                <c:pt idx="9">
                  <c:v>3.8805000000000001</c:v>
                </c:pt>
                <c:pt idx="10">
                  <c:v>2.0489999999999999</c:v>
                </c:pt>
                <c:pt idx="11">
                  <c:v>1.7845</c:v>
                </c:pt>
                <c:pt idx="12">
                  <c:v>1.569</c:v>
                </c:pt>
                <c:pt idx="13">
                  <c:v>2.0225</c:v>
                </c:pt>
                <c:pt idx="17">
                  <c:v>1.9770000000000001</c:v>
                </c:pt>
                <c:pt idx="18">
                  <c:v>1.5765</c:v>
                </c:pt>
                <c:pt idx="19">
                  <c:v>1.482</c:v>
                </c:pt>
                <c:pt idx="20">
                  <c:v>1.6635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EC-4BDA-84C1-4740C175431A}"/>
            </c:ext>
          </c:extLst>
        </c:ser>
        <c:ser>
          <c:idx val="1"/>
          <c:order val="1"/>
          <c:tx>
            <c:v>Ave Oil_level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All!$AW$6:$AW$30</c:f>
              <c:numCache>
                <c:formatCode>General</c:formatCode>
                <c:ptCount val="25"/>
                <c:pt idx="0">
                  <c:v>5.5628000000000002</c:v>
                </c:pt>
                <c:pt idx="1">
                  <c:v>4.9010999999999996</c:v>
                </c:pt>
                <c:pt idx="2">
                  <c:v>5.2525000000000004</c:v>
                </c:pt>
                <c:pt idx="3">
                  <c:v>5.13</c:v>
                </c:pt>
                <c:pt idx="4">
                  <c:v>5.1241000000000003</c:v>
                </c:pt>
                <c:pt idx="5">
                  <c:v>4.7746000000000004</c:v>
                </c:pt>
                <c:pt idx="9">
                  <c:v>3.9009999999999998</c:v>
                </c:pt>
                <c:pt idx="10">
                  <c:v>4.8841000000000001</c:v>
                </c:pt>
                <c:pt idx="11">
                  <c:v>5.1044999999999998</c:v>
                </c:pt>
                <c:pt idx="12">
                  <c:v>5.0918000000000001</c:v>
                </c:pt>
                <c:pt idx="13">
                  <c:v>4.9574999999999996</c:v>
                </c:pt>
                <c:pt idx="17">
                  <c:v>4.7946999999999997</c:v>
                </c:pt>
                <c:pt idx="18">
                  <c:v>4.9851000000000001</c:v>
                </c:pt>
                <c:pt idx="19">
                  <c:v>5.0186000000000002</c:v>
                </c:pt>
                <c:pt idx="20">
                  <c:v>4.8334000000000001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EC-4BDA-84C1-4740C175431A}"/>
            </c:ext>
          </c:extLst>
        </c:ser>
        <c:ser>
          <c:idx val="2"/>
          <c:order val="2"/>
          <c:tx>
            <c:v>Max Oil_level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All!$FS$6:$FS$30</c:f>
              <c:numCache>
                <c:formatCode>General</c:formatCode>
                <c:ptCount val="25"/>
                <c:pt idx="0">
                  <c:v>6.7424999999999997</c:v>
                </c:pt>
                <c:pt idx="1">
                  <c:v>6.7060000000000004</c:v>
                </c:pt>
                <c:pt idx="2">
                  <c:v>6.47</c:v>
                </c:pt>
                <c:pt idx="3">
                  <c:v>6.649</c:v>
                </c:pt>
                <c:pt idx="4">
                  <c:v>6.7115</c:v>
                </c:pt>
                <c:pt idx="5">
                  <c:v>6.63</c:v>
                </c:pt>
                <c:pt idx="9">
                  <c:v>3.9180000000000001</c:v>
                </c:pt>
                <c:pt idx="10">
                  <c:v>6.6890000000000001</c:v>
                </c:pt>
                <c:pt idx="11">
                  <c:v>6.8070000000000004</c:v>
                </c:pt>
                <c:pt idx="12">
                  <c:v>6.7619999999999996</c:v>
                </c:pt>
                <c:pt idx="13">
                  <c:v>6.7030000000000003</c:v>
                </c:pt>
                <c:pt idx="17">
                  <c:v>6.6074999999999999</c:v>
                </c:pt>
                <c:pt idx="18">
                  <c:v>6.5415000000000001</c:v>
                </c:pt>
                <c:pt idx="19">
                  <c:v>6.6315</c:v>
                </c:pt>
                <c:pt idx="20">
                  <c:v>6.5549999999999997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EC-4BDA-84C1-4740C1754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5793599"/>
        <c:axId val="2075796095"/>
      </c:scatterChart>
      <c:scatterChart>
        <c:scatterStyle val="lineMarker"/>
        <c:varyColors val="0"/>
        <c:ser>
          <c:idx val="3"/>
          <c:order val="3"/>
          <c:tx>
            <c:v>Max pcrank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All!$FT$6:$FT$30</c:f>
              <c:numCache>
                <c:formatCode>General</c:formatCode>
                <c:ptCount val="25"/>
                <c:pt idx="0">
                  <c:v>1069.2</c:v>
                </c:pt>
                <c:pt idx="1">
                  <c:v>1073.9000000000001</c:v>
                </c:pt>
                <c:pt idx="2">
                  <c:v>1077.3</c:v>
                </c:pt>
                <c:pt idx="3">
                  <c:v>1069.4000000000001</c:v>
                </c:pt>
                <c:pt idx="4">
                  <c:v>1069.0999999999999</c:v>
                </c:pt>
                <c:pt idx="5">
                  <c:v>1076.8</c:v>
                </c:pt>
                <c:pt idx="9">
                  <c:v>1030.2</c:v>
                </c:pt>
                <c:pt idx="10">
                  <c:v>1081.8</c:v>
                </c:pt>
                <c:pt idx="11">
                  <c:v>1077.4000000000001</c:v>
                </c:pt>
                <c:pt idx="12">
                  <c:v>1069.3</c:v>
                </c:pt>
                <c:pt idx="13">
                  <c:v>1069.9000000000001</c:v>
                </c:pt>
                <c:pt idx="17">
                  <c:v>1078.2</c:v>
                </c:pt>
                <c:pt idx="18">
                  <c:v>1086.8</c:v>
                </c:pt>
                <c:pt idx="19">
                  <c:v>1071.0999999999999</c:v>
                </c:pt>
                <c:pt idx="20">
                  <c:v>1075.5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BEC-4BDA-84C1-4740C1754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61039"/>
        <c:axId val="136367695"/>
      </c:scatterChart>
      <c:valAx>
        <c:axId val="2075793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75796095"/>
        <c:crosses val="autoZero"/>
        <c:crossBetween val="midCat"/>
      </c:valAx>
      <c:valAx>
        <c:axId val="2075796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75793599"/>
        <c:crosses val="autoZero"/>
        <c:crossBetween val="midCat"/>
      </c:valAx>
      <c:valAx>
        <c:axId val="136367695"/>
        <c:scaling>
          <c:orientation val="minMax"/>
          <c:max val="1100"/>
          <c:min val="8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6361039"/>
        <c:crosses val="max"/>
        <c:crossBetween val="midCat"/>
      </c:valAx>
      <c:valAx>
        <c:axId val="136361039"/>
        <c:scaling>
          <c:orientation val="minMax"/>
        </c:scaling>
        <c:delete val="1"/>
        <c:axPos val="b"/>
        <c:majorTickMark val="out"/>
        <c:minorTickMark val="none"/>
        <c:tickLblPos val="nextTo"/>
        <c:crossAx val="1363676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Gearbox and engine temperatures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tmot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All!$AT$6:$AT$30</c:f>
              <c:numCache>
                <c:formatCode>General</c:formatCode>
                <c:ptCount val="25"/>
                <c:pt idx="0">
                  <c:v>82</c:v>
                </c:pt>
                <c:pt idx="1">
                  <c:v>82</c:v>
                </c:pt>
                <c:pt idx="2">
                  <c:v>82</c:v>
                </c:pt>
                <c:pt idx="3">
                  <c:v>83</c:v>
                </c:pt>
                <c:pt idx="4">
                  <c:v>83</c:v>
                </c:pt>
                <c:pt idx="5">
                  <c:v>82</c:v>
                </c:pt>
                <c:pt idx="9">
                  <c:v>82</c:v>
                </c:pt>
                <c:pt idx="10">
                  <c:v>84</c:v>
                </c:pt>
                <c:pt idx="11">
                  <c:v>83</c:v>
                </c:pt>
                <c:pt idx="12">
                  <c:v>83</c:v>
                </c:pt>
                <c:pt idx="13">
                  <c:v>83</c:v>
                </c:pt>
                <c:pt idx="17">
                  <c:v>86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19-43B8-B21E-67A83A404876}"/>
            </c:ext>
          </c:extLst>
        </c:ser>
        <c:ser>
          <c:idx val="1"/>
          <c:order val="1"/>
          <c:tx>
            <c:v>Max tmot2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All!$FL$6:$FL$30</c:f>
              <c:numCache>
                <c:formatCode>General</c:formatCode>
                <c:ptCount val="25"/>
                <c:pt idx="0">
                  <c:v>82</c:v>
                </c:pt>
                <c:pt idx="1">
                  <c:v>83</c:v>
                </c:pt>
                <c:pt idx="2">
                  <c:v>82</c:v>
                </c:pt>
                <c:pt idx="3">
                  <c:v>83</c:v>
                </c:pt>
                <c:pt idx="4">
                  <c:v>83</c:v>
                </c:pt>
                <c:pt idx="5">
                  <c:v>83</c:v>
                </c:pt>
                <c:pt idx="9">
                  <c:v>81</c:v>
                </c:pt>
                <c:pt idx="10">
                  <c:v>85</c:v>
                </c:pt>
                <c:pt idx="11">
                  <c:v>83</c:v>
                </c:pt>
                <c:pt idx="12">
                  <c:v>83</c:v>
                </c:pt>
                <c:pt idx="13">
                  <c:v>83</c:v>
                </c:pt>
                <c:pt idx="17">
                  <c:v>87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19-43B8-B21E-67A83A404876}"/>
            </c:ext>
          </c:extLst>
        </c:ser>
        <c:ser>
          <c:idx val="2"/>
          <c:order val="2"/>
          <c:tx>
            <c:v>Max tgear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All!$AU$6:$AU$30</c:f>
              <c:numCache>
                <c:formatCode>General</c:formatCode>
                <c:ptCount val="25"/>
                <c:pt idx="0">
                  <c:v>88</c:v>
                </c:pt>
                <c:pt idx="1">
                  <c:v>102</c:v>
                </c:pt>
                <c:pt idx="2">
                  <c:v>93</c:v>
                </c:pt>
                <c:pt idx="3">
                  <c:v>109</c:v>
                </c:pt>
                <c:pt idx="4">
                  <c:v>115</c:v>
                </c:pt>
                <c:pt idx="5">
                  <c:v>116</c:v>
                </c:pt>
                <c:pt idx="9">
                  <c:v>109</c:v>
                </c:pt>
                <c:pt idx="10">
                  <c:v>111</c:v>
                </c:pt>
                <c:pt idx="11">
                  <c:v>116</c:v>
                </c:pt>
                <c:pt idx="12">
                  <c:v>119</c:v>
                </c:pt>
                <c:pt idx="13">
                  <c:v>120</c:v>
                </c:pt>
                <c:pt idx="17">
                  <c:v>115</c:v>
                </c:pt>
                <c:pt idx="18">
                  <c:v>119</c:v>
                </c:pt>
                <c:pt idx="19">
                  <c:v>121</c:v>
                </c:pt>
                <c:pt idx="20">
                  <c:v>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719-43B8-B21E-67A83A404876}"/>
            </c:ext>
          </c:extLst>
        </c:ser>
        <c:ser>
          <c:idx val="4"/>
          <c:order val="4"/>
          <c:tx>
            <c:v>Ave Delta_tmot_toil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All!$IC$6:$IC$30</c:f>
              <c:numCache>
                <c:formatCode>General</c:formatCode>
                <c:ptCount val="25"/>
                <c:pt idx="0">
                  <c:v>6.867</c:v>
                </c:pt>
                <c:pt idx="1">
                  <c:v>19.879000000000001</c:v>
                </c:pt>
                <c:pt idx="2">
                  <c:v>14.771000000000001</c:v>
                </c:pt>
                <c:pt idx="3">
                  <c:v>22.341999999999999</c:v>
                </c:pt>
                <c:pt idx="4">
                  <c:v>23.01</c:v>
                </c:pt>
                <c:pt idx="5">
                  <c:v>21.337</c:v>
                </c:pt>
                <c:pt idx="9">
                  <c:v>14.978999999999999</c:v>
                </c:pt>
                <c:pt idx="10">
                  <c:v>19.428999999999998</c:v>
                </c:pt>
                <c:pt idx="11">
                  <c:v>22.228000000000002</c:v>
                </c:pt>
                <c:pt idx="12">
                  <c:v>22.783999999999999</c:v>
                </c:pt>
                <c:pt idx="13">
                  <c:v>22.675000000000001</c:v>
                </c:pt>
                <c:pt idx="17">
                  <c:v>19.253</c:v>
                </c:pt>
                <c:pt idx="18">
                  <c:v>22.715</c:v>
                </c:pt>
                <c:pt idx="19">
                  <c:v>22.952999999999999</c:v>
                </c:pt>
                <c:pt idx="20">
                  <c:v>22.678999999999998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719-43B8-B21E-67A83A4048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5816895"/>
        <c:axId val="2075813567"/>
      </c:scatterChart>
      <c:scatterChart>
        <c:scatterStyle val="lineMarker"/>
        <c:varyColors val="0"/>
        <c:ser>
          <c:idx val="3"/>
          <c:order val="3"/>
          <c:tx>
            <c:v>Ave Delta_TmotvsAMB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All!$EK$6:$EK$30</c:f>
              <c:numCache>
                <c:formatCode>General</c:formatCode>
                <c:ptCount val="25"/>
                <c:pt idx="0">
                  <c:v>49.033999999999999</c:v>
                </c:pt>
                <c:pt idx="1">
                  <c:v>59.865000000000002</c:v>
                </c:pt>
                <c:pt idx="2">
                  <c:v>59.247999999999998</c:v>
                </c:pt>
                <c:pt idx="3">
                  <c:v>60.378999999999998</c:v>
                </c:pt>
                <c:pt idx="4">
                  <c:v>60.732999999999997</c:v>
                </c:pt>
                <c:pt idx="5">
                  <c:v>60.374000000000002</c:v>
                </c:pt>
                <c:pt idx="9">
                  <c:v>61.334000000000003</c:v>
                </c:pt>
                <c:pt idx="10">
                  <c:v>59.765999999999998</c:v>
                </c:pt>
                <c:pt idx="11">
                  <c:v>61.185000000000002</c:v>
                </c:pt>
                <c:pt idx="12">
                  <c:v>60.924999999999997</c:v>
                </c:pt>
                <c:pt idx="13">
                  <c:v>61</c:v>
                </c:pt>
                <c:pt idx="17">
                  <c:v>60.603000000000002</c:v>
                </c:pt>
                <c:pt idx="18">
                  <c:v>61.347999999999999</c:v>
                </c:pt>
                <c:pt idx="19">
                  <c:v>61.427999999999997</c:v>
                </c:pt>
                <c:pt idx="20">
                  <c:v>61.683999999999997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719-43B8-B21E-67A83A404876}"/>
            </c:ext>
          </c:extLst>
        </c:ser>
        <c:ser>
          <c:idx val="5"/>
          <c:order val="5"/>
          <c:tx>
            <c:v>Ave Delta_tmot_toil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All!$IC$6:$IC$30</c:f>
              <c:numCache>
                <c:formatCode>General</c:formatCode>
                <c:ptCount val="25"/>
                <c:pt idx="0">
                  <c:v>6.867</c:v>
                </c:pt>
                <c:pt idx="1">
                  <c:v>19.879000000000001</c:v>
                </c:pt>
                <c:pt idx="2">
                  <c:v>14.771000000000001</c:v>
                </c:pt>
                <c:pt idx="3">
                  <c:v>22.341999999999999</c:v>
                </c:pt>
                <c:pt idx="4">
                  <c:v>23.01</c:v>
                </c:pt>
                <c:pt idx="5">
                  <c:v>21.337</c:v>
                </c:pt>
                <c:pt idx="9">
                  <c:v>14.978999999999999</c:v>
                </c:pt>
                <c:pt idx="10">
                  <c:v>19.428999999999998</c:v>
                </c:pt>
                <c:pt idx="11">
                  <c:v>22.228000000000002</c:v>
                </c:pt>
                <c:pt idx="12">
                  <c:v>22.783999999999999</c:v>
                </c:pt>
                <c:pt idx="13">
                  <c:v>22.675000000000001</c:v>
                </c:pt>
                <c:pt idx="17">
                  <c:v>19.253</c:v>
                </c:pt>
                <c:pt idx="18">
                  <c:v>22.715</c:v>
                </c:pt>
                <c:pt idx="19">
                  <c:v>22.952999999999999</c:v>
                </c:pt>
                <c:pt idx="20">
                  <c:v>22.678999999999998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719-43B8-B21E-67A83A4048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60623"/>
        <c:axId val="136356047"/>
      </c:scatterChart>
      <c:valAx>
        <c:axId val="20758168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75813567"/>
        <c:crosses val="autoZero"/>
        <c:crossBetween val="midCat"/>
      </c:valAx>
      <c:valAx>
        <c:axId val="2075813567"/>
        <c:scaling>
          <c:orientation val="minMax"/>
          <c:max val="130"/>
          <c:min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75816895"/>
        <c:crosses val="autoZero"/>
        <c:crossBetween val="midCat"/>
      </c:valAx>
      <c:valAx>
        <c:axId val="136356047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6360623"/>
        <c:crosses val="max"/>
        <c:crossBetween val="midCat"/>
      </c:valAx>
      <c:valAx>
        <c:axId val="136360623"/>
        <c:scaling>
          <c:orientation val="minMax"/>
        </c:scaling>
        <c:delete val="1"/>
        <c:axPos val="b"/>
        <c:majorTickMark val="out"/>
        <c:minorTickMark val="none"/>
        <c:tickLblPos val="nextTo"/>
        <c:crossAx val="1363560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Misfire times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time_ign01_E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All!$CU$6:$CU$30</c:f>
              <c:numCache>
                <c:formatCode>General</c:formatCode>
                <c:ptCount val="25"/>
                <c:pt idx="0">
                  <c:v>1.3</c:v>
                </c:pt>
                <c:pt idx="1">
                  <c:v>0.29799999999999999</c:v>
                </c:pt>
                <c:pt idx="2">
                  <c:v>0.90100000000000002</c:v>
                </c:pt>
                <c:pt idx="3">
                  <c:v>1.1000000000000001</c:v>
                </c:pt>
                <c:pt idx="4">
                  <c:v>1.2969999999999999</c:v>
                </c:pt>
                <c:pt idx="5">
                  <c:v>0.89900000000000002</c:v>
                </c:pt>
                <c:pt idx="9">
                  <c:v>0</c:v>
                </c:pt>
                <c:pt idx="10">
                  <c:v>1.1990000000000001</c:v>
                </c:pt>
                <c:pt idx="11">
                  <c:v>1.2</c:v>
                </c:pt>
                <c:pt idx="12">
                  <c:v>0.499</c:v>
                </c:pt>
                <c:pt idx="13">
                  <c:v>3.3380000000000001</c:v>
                </c:pt>
                <c:pt idx="17">
                  <c:v>1.6970000000000001</c:v>
                </c:pt>
                <c:pt idx="18">
                  <c:v>1</c:v>
                </c:pt>
                <c:pt idx="19">
                  <c:v>0.79900000000000004</c:v>
                </c:pt>
                <c:pt idx="20">
                  <c:v>0.79800000000000004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84-4C43-8312-EE744BEC5E6D}"/>
            </c:ext>
          </c:extLst>
        </c:ser>
        <c:ser>
          <c:idx val="1"/>
          <c:order val="1"/>
          <c:tx>
            <c:v>Max time_ign02_E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All!$CV$6:$CV$30</c:f>
              <c:numCache>
                <c:formatCode>General</c:formatCode>
                <c:ptCount val="25"/>
                <c:pt idx="0">
                  <c:v>0.9</c:v>
                </c:pt>
                <c:pt idx="1">
                  <c:v>0.80200000000000005</c:v>
                </c:pt>
                <c:pt idx="2">
                  <c:v>0.79900000000000004</c:v>
                </c:pt>
                <c:pt idx="3">
                  <c:v>0.79800000000000004</c:v>
                </c:pt>
                <c:pt idx="4">
                  <c:v>1.5980000000000001</c:v>
                </c:pt>
                <c:pt idx="5">
                  <c:v>1.6970000000000001</c:v>
                </c:pt>
                <c:pt idx="9">
                  <c:v>0</c:v>
                </c:pt>
                <c:pt idx="10">
                  <c:v>1.5</c:v>
                </c:pt>
                <c:pt idx="11">
                  <c:v>0.995</c:v>
                </c:pt>
                <c:pt idx="12">
                  <c:v>0.7</c:v>
                </c:pt>
                <c:pt idx="13">
                  <c:v>4.1369999999999996</c:v>
                </c:pt>
                <c:pt idx="17">
                  <c:v>2.5</c:v>
                </c:pt>
                <c:pt idx="18">
                  <c:v>1.4</c:v>
                </c:pt>
                <c:pt idx="19">
                  <c:v>1.103</c:v>
                </c:pt>
                <c:pt idx="20">
                  <c:v>0.90100000000000002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84-4C43-8312-EE744BEC5E6D}"/>
            </c:ext>
          </c:extLst>
        </c:ser>
        <c:ser>
          <c:idx val="2"/>
          <c:order val="2"/>
          <c:tx>
            <c:v>Max time_ign03_E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All!$CW$6:$CW$30</c:f>
              <c:numCache>
                <c:formatCode>General</c:formatCode>
                <c:ptCount val="25"/>
                <c:pt idx="0">
                  <c:v>1.3939999999999999</c:v>
                </c:pt>
                <c:pt idx="1">
                  <c:v>0.6</c:v>
                </c:pt>
                <c:pt idx="2">
                  <c:v>1.5980000000000001</c:v>
                </c:pt>
                <c:pt idx="3">
                  <c:v>0.7</c:v>
                </c:pt>
                <c:pt idx="4">
                  <c:v>1.3</c:v>
                </c:pt>
                <c:pt idx="5">
                  <c:v>1.3029999999999999</c:v>
                </c:pt>
                <c:pt idx="9">
                  <c:v>0</c:v>
                </c:pt>
                <c:pt idx="10">
                  <c:v>0.60099999999999998</c:v>
                </c:pt>
                <c:pt idx="11">
                  <c:v>1.099</c:v>
                </c:pt>
                <c:pt idx="12">
                  <c:v>0.90200000000000002</c:v>
                </c:pt>
                <c:pt idx="13">
                  <c:v>3.44</c:v>
                </c:pt>
                <c:pt idx="17">
                  <c:v>1.7010000000000001</c:v>
                </c:pt>
                <c:pt idx="18">
                  <c:v>0.79800000000000004</c:v>
                </c:pt>
                <c:pt idx="19">
                  <c:v>1.202</c:v>
                </c:pt>
                <c:pt idx="20">
                  <c:v>1.7010000000000001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84-4C43-8312-EE744BEC5E6D}"/>
            </c:ext>
          </c:extLst>
        </c:ser>
        <c:ser>
          <c:idx val="3"/>
          <c:order val="3"/>
          <c:tx>
            <c:v>Max time_ign04_E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All!$CX$6:$CX$30</c:f>
              <c:numCache>
                <c:formatCode>General</c:formatCode>
                <c:ptCount val="25"/>
                <c:pt idx="0">
                  <c:v>1.502</c:v>
                </c:pt>
                <c:pt idx="1">
                  <c:v>1.6020000000000001</c:v>
                </c:pt>
                <c:pt idx="2">
                  <c:v>1.403</c:v>
                </c:pt>
                <c:pt idx="3">
                  <c:v>1.2969999999999999</c:v>
                </c:pt>
                <c:pt idx="4">
                  <c:v>1.2949999999999999</c:v>
                </c:pt>
                <c:pt idx="5">
                  <c:v>1.0980000000000001</c:v>
                </c:pt>
                <c:pt idx="9">
                  <c:v>0</c:v>
                </c:pt>
                <c:pt idx="10">
                  <c:v>1.399</c:v>
                </c:pt>
                <c:pt idx="11">
                  <c:v>0.997</c:v>
                </c:pt>
                <c:pt idx="12">
                  <c:v>1.4</c:v>
                </c:pt>
                <c:pt idx="13">
                  <c:v>3.7389999999999999</c:v>
                </c:pt>
                <c:pt idx="17">
                  <c:v>1.597</c:v>
                </c:pt>
                <c:pt idx="18">
                  <c:v>1.097</c:v>
                </c:pt>
                <c:pt idx="19">
                  <c:v>1.6990000000000001</c:v>
                </c:pt>
                <c:pt idx="20">
                  <c:v>1.7989999999999999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284-4C43-8312-EE744BEC5E6D}"/>
            </c:ext>
          </c:extLst>
        </c:ser>
        <c:ser>
          <c:idx val="4"/>
          <c:order val="4"/>
          <c:tx>
            <c:v>Max time_ign05_E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All!$CY$6:$CY$30</c:f>
              <c:numCache>
                <c:formatCode>General</c:formatCode>
                <c:ptCount val="25"/>
                <c:pt idx="0">
                  <c:v>0.7</c:v>
                </c:pt>
                <c:pt idx="1">
                  <c:v>0.1</c:v>
                </c:pt>
                <c:pt idx="2">
                  <c:v>1.097</c:v>
                </c:pt>
                <c:pt idx="3">
                  <c:v>0.79700000000000004</c:v>
                </c:pt>
                <c:pt idx="4">
                  <c:v>0.499</c:v>
                </c:pt>
                <c:pt idx="5">
                  <c:v>0.79900000000000004</c:v>
                </c:pt>
                <c:pt idx="9">
                  <c:v>0</c:v>
                </c:pt>
                <c:pt idx="10">
                  <c:v>1.304</c:v>
                </c:pt>
                <c:pt idx="11">
                  <c:v>0.89800000000000002</c:v>
                </c:pt>
                <c:pt idx="12">
                  <c:v>0.9</c:v>
                </c:pt>
                <c:pt idx="13">
                  <c:v>3.2370000000000001</c:v>
                </c:pt>
                <c:pt idx="17">
                  <c:v>0.998</c:v>
                </c:pt>
                <c:pt idx="18">
                  <c:v>0.79600000000000004</c:v>
                </c:pt>
                <c:pt idx="19">
                  <c:v>0.998</c:v>
                </c:pt>
                <c:pt idx="20">
                  <c:v>0.89900000000000002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284-4C43-8312-EE744BEC5E6D}"/>
            </c:ext>
          </c:extLst>
        </c:ser>
        <c:ser>
          <c:idx val="5"/>
          <c:order val="5"/>
          <c:tx>
            <c:v>Max time_ign06_E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All!$CZ$6:$CZ$30</c:f>
              <c:numCache>
                <c:formatCode>General</c:formatCode>
                <c:ptCount val="25"/>
                <c:pt idx="0">
                  <c:v>1.296</c:v>
                </c:pt>
                <c:pt idx="1">
                  <c:v>0.79900000000000004</c:v>
                </c:pt>
                <c:pt idx="2">
                  <c:v>0.8</c:v>
                </c:pt>
                <c:pt idx="3">
                  <c:v>0.80100000000000005</c:v>
                </c:pt>
                <c:pt idx="4">
                  <c:v>1.0009999999999999</c:v>
                </c:pt>
                <c:pt idx="5">
                  <c:v>1</c:v>
                </c:pt>
                <c:pt idx="9">
                  <c:v>0</c:v>
                </c:pt>
                <c:pt idx="10">
                  <c:v>1.6950000000000001</c:v>
                </c:pt>
                <c:pt idx="11">
                  <c:v>0.59899999999999998</c:v>
                </c:pt>
                <c:pt idx="12">
                  <c:v>1</c:v>
                </c:pt>
                <c:pt idx="13">
                  <c:v>3.04</c:v>
                </c:pt>
                <c:pt idx="17">
                  <c:v>1.3</c:v>
                </c:pt>
                <c:pt idx="18">
                  <c:v>1.2989999999999999</c:v>
                </c:pt>
                <c:pt idx="19">
                  <c:v>1.198</c:v>
                </c:pt>
                <c:pt idx="20">
                  <c:v>1.0009999999999999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284-4C43-8312-EE744BEC5E6D}"/>
            </c:ext>
          </c:extLst>
        </c:ser>
        <c:ser>
          <c:idx val="6"/>
          <c:order val="6"/>
          <c:tx>
            <c:v>Max time_ign07_E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All!$DA$6:$DA$30</c:f>
              <c:numCache>
                <c:formatCode>General</c:formatCode>
                <c:ptCount val="25"/>
                <c:pt idx="0">
                  <c:v>0.7</c:v>
                </c:pt>
                <c:pt idx="1">
                  <c:v>0.60299999999999998</c:v>
                </c:pt>
                <c:pt idx="2">
                  <c:v>1.1000000000000001</c:v>
                </c:pt>
                <c:pt idx="3">
                  <c:v>0.70199999999999996</c:v>
                </c:pt>
                <c:pt idx="4">
                  <c:v>0.995</c:v>
                </c:pt>
                <c:pt idx="5">
                  <c:v>0.499</c:v>
                </c:pt>
                <c:pt idx="9">
                  <c:v>0</c:v>
                </c:pt>
                <c:pt idx="10">
                  <c:v>0.80100000000000005</c:v>
                </c:pt>
                <c:pt idx="11">
                  <c:v>0.59899999999999998</c:v>
                </c:pt>
                <c:pt idx="12">
                  <c:v>0.90100000000000002</c:v>
                </c:pt>
                <c:pt idx="13">
                  <c:v>3.04</c:v>
                </c:pt>
                <c:pt idx="17">
                  <c:v>0.59899999999999998</c:v>
                </c:pt>
                <c:pt idx="18">
                  <c:v>1.3009999999999999</c:v>
                </c:pt>
                <c:pt idx="19">
                  <c:v>0.79900000000000004</c:v>
                </c:pt>
                <c:pt idx="20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284-4C43-8312-EE744BEC5E6D}"/>
            </c:ext>
          </c:extLst>
        </c:ser>
        <c:ser>
          <c:idx val="7"/>
          <c:order val="7"/>
          <c:tx>
            <c:v>Max time_ign08_E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All!$DB$6:$DB$30</c:f>
              <c:numCache>
                <c:formatCode>General</c:formatCode>
                <c:ptCount val="25"/>
                <c:pt idx="0">
                  <c:v>1.4970000000000001</c:v>
                </c:pt>
                <c:pt idx="1">
                  <c:v>0.9</c:v>
                </c:pt>
                <c:pt idx="2">
                  <c:v>1.6970000000000001</c:v>
                </c:pt>
                <c:pt idx="3">
                  <c:v>0.998</c:v>
                </c:pt>
                <c:pt idx="4">
                  <c:v>1.298</c:v>
                </c:pt>
                <c:pt idx="5">
                  <c:v>1.4990000000000001</c:v>
                </c:pt>
                <c:pt idx="9">
                  <c:v>0</c:v>
                </c:pt>
                <c:pt idx="10">
                  <c:v>1.099</c:v>
                </c:pt>
                <c:pt idx="11">
                  <c:v>1.496</c:v>
                </c:pt>
                <c:pt idx="12">
                  <c:v>1.3</c:v>
                </c:pt>
                <c:pt idx="13">
                  <c:v>3.8370000000000002</c:v>
                </c:pt>
                <c:pt idx="17">
                  <c:v>2.5950000000000002</c:v>
                </c:pt>
                <c:pt idx="18">
                  <c:v>1.296</c:v>
                </c:pt>
                <c:pt idx="19">
                  <c:v>1.8</c:v>
                </c:pt>
                <c:pt idx="20">
                  <c:v>2.4009999999999998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284-4C43-8312-EE744BEC5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068671"/>
        <c:axId val="97075327"/>
      </c:scatterChart>
      <c:valAx>
        <c:axId val="97068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7075327"/>
        <c:crosses val="autoZero"/>
        <c:crossBetween val="midCat"/>
      </c:valAx>
      <c:valAx>
        <c:axId val="97075327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70686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Min fuel pressure [bar]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pfuel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All!$AZ$6:$AZ$30</c:f>
              <c:numCache>
                <c:formatCode>General</c:formatCode>
                <c:ptCount val="25"/>
                <c:pt idx="0">
                  <c:v>0.23</c:v>
                </c:pt>
                <c:pt idx="1">
                  <c:v>5.68</c:v>
                </c:pt>
                <c:pt idx="2">
                  <c:v>5.76</c:v>
                </c:pt>
                <c:pt idx="3">
                  <c:v>5.6</c:v>
                </c:pt>
                <c:pt idx="4">
                  <c:v>5.62</c:v>
                </c:pt>
                <c:pt idx="5">
                  <c:v>5.61</c:v>
                </c:pt>
                <c:pt idx="9">
                  <c:v>6.15</c:v>
                </c:pt>
                <c:pt idx="10">
                  <c:v>5.57</c:v>
                </c:pt>
                <c:pt idx="11">
                  <c:v>5.6</c:v>
                </c:pt>
                <c:pt idx="12">
                  <c:v>5.55</c:v>
                </c:pt>
                <c:pt idx="13">
                  <c:v>5.58</c:v>
                </c:pt>
                <c:pt idx="17">
                  <c:v>4.9000000000000004</c:v>
                </c:pt>
                <c:pt idx="18">
                  <c:v>4.74</c:v>
                </c:pt>
                <c:pt idx="19">
                  <c:v>4.9400000000000004</c:v>
                </c:pt>
                <c:pt idx="20">
                  <c:v>5.05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5B-4D6A-A16E-E1D642C0D575}"/>
            </c:ext>
          </c:extLst>
        </c:ser>
        <c:ser>
          <c:idx val="1"/>
          <c:order val="1"/>
          <c:tx>
            <c:v>Min pfuel2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All!$FO$6:$FO$30</c:f>
              <c:numCache>
                <c:formatCode>General</c:formatCode>
                <c:ptCount val="25"/>
                <c:pt idx="0">
                  <c:v>0.23</c:v>
                </c:pt>
                <c:pt idx="1">
                  <c:v>5.5</c:v>
                </c:pt>
                <c:pt idx="2">
                  <c:v>5.35</c:v>
                </c:pt>
                <c:pt idx="3">
                  <c:v>5.49</c:v>
                </c:pt>
                <c:pt idx="4">
                  <c:v>5.45</c:v>
                </c:pt>
                <c:pt idx="5">
                  <c:v>5.31</c:v>
                </c:pt>
                <c:pt idx="9">
                  <c:v>6.14</c:v>
                </c:pt>
                <c:pt idx="10">
                  <c:v>5.36</c:v>
                </c:pt>
                <c:pt idx="11">
                  <c:v>5.4</c:v>
                </c:pt>
                <c:pt idx="12">
                  <c:v>5.35</c:v>
                </c:pt>
                <c:pt idx="13">
                  <c:v>5.47</c:v>
                </c:pt>
                <c:pt idx="17">
                  <c:v>4.83</c:v>
                </c:pt>
                <c:pt idx="18">
                  <c:v>4.7300000000000004</c:v>
                </c:pt>
                <c:pt idx="19">
                  <c:v>4.92</c:v>
                </c:pt>
                <c:pt idx="20">
                  <c:v>4.97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5B-4D6A-A16E-E1D642C0D5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616559"/>
        <c:axId val="139608655"/>
      </c:scatterChart>
      <c:scatterChart>
        <c:scatterStyle val="lineMarker"/>
        <c:varyColors val="0"/>
        <c:ser>
          <c:idx val="2"/>
          <c:order val="2"/>
          <c:tx>
            <c:v>Min PRail_80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All!$BA$6:$BA$30</c:f>
              <c:numCache>
                <c:formatCode>General</c:formatCode>
                <c:ptCount val="25"/>
                <c:pt idx="0">
                  <c:v>66.207999999999998</c:v>
                </c:pt>
                <c:pt idx="1">
                  <c:v>70.798000000000002</c:v>
                </c:pt>
                <c:pt idx="2">
                  <c:v>72.623000000000005</c:v>
                </c:pt>
                <c:pt idx="3">
                  <c:v>132.15</c:v>
                </c:pt>
                <c:pt idx="4">
                  <c:v>118.392</c:v>
                </c:pt>
                <c:pt idx="5">
                  <c:v>69.296999999999997</c:v>
                </c:pt>
                <c:pt idx="10">
                  <c:v>69.8</c:v>
                </c:pt>
                <c:pt idx="11">
                  <c:v>139.24600000000001</c:v>
                </c:pt>
                <c:pt idx="12">
                  <c:v>140.92400000000001</c:v>
                </c:pt>
                <c:pt idx="13">
                  <c:v>69.203000000000003</c:v>
                </c:pt>
                <c:pt idx="17">
                  <c:v>69.7</c:v>
                </c:pt>
                <c:pt idx="18">
                  <c:v>118.717</c:v>
                </c:pt>
                <c:pt idx="19">
                  <c:v>106.441</c:v>
                </c:pt>
                <c:pt idx="20">
                  <c:v>68.900000000000006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B5B-4D6A-A16E-E1D642C0D575}"/>
            </c:ext>
          </c:extLst>
        </c:ser>
        <c:ser>
          <c:idx val="3"/>
          <c:order val="3"/>
          <c:tx>
            <c:v>Min PRail2_80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All!$BB$6:$BB$30</c:f>
              <c:numCache>
                <c:formatCode>General</c:formatCode>
                <c:ptCount val="25"/>
                <c:pt idx="0">
                  <c:v>66.5</c:v>
                </c:pt>
                <c:pt idx="1">
                  <c:v>71.915999999999997</c:v>
                </c:pt>
                <c:pt idx="2">
                  <c:v>72.608999999999995</c:v>
                </c:pt>
                <c:pt idx="3">
                  <c:v>133.667</c:v>
                </c:pt>
                <c:pt idx="4">
                  <c:v>117.889</c:v>
                </c:pt>
                <c:pt idx="5">
                  <c:v>69.2</c:v>
                </c:pt>
                <c:pt idx="10">
                  <c:v>69.7</c:v>
                </c:pt>
                <c:pt idx="11">
                  <c:v>140.38499999999999</c:v>
                </c:pt>
                <c:pt idx="12">
                  <c:v>139.68799999999999</c:v>
                </c:pt>
                <c:pt idx="13">
                  <c:v>69.599999999999994</c:v>
                </c:pt>
                <c:pt idx="17">
                  <c:v>69.8</c:v>
                </c:pt>
                <c:pt idx="18">
                  <c:v>118.003</c:v>
                </c:pt>
                <c:pt idx="19">
                  <c:v>107.447</c:v>
                </c:pt>
                <c:pt idx="20">
                  <c:v>69.099999999999994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B5B-4D6A-A16E-E1D642C0D575}"/>
            </c:ext>
          </c:extLst>
        </c:ser>
        <c:ser>
          <c:idx val="4"/>
          <c:order val="4"/>
          <c:tx>
            <c:v>Ave prail_ip_100%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All!$ID$6:$ID$30</c:f>
              <c:numCache>
                <c:formatCode>General</c:formatCode>
                <c:ptCount val="25"/>
                <c:pt idx="0">
                  <c:v>-5.8999999999999997E-2</c:v>
                </c:pt>
                <c:pt idx="1">
                  <c:v>-0.19700000000000001</c:v>
                </c:pt>
                <c:pt idx="2">
                  <c:v>-0.11799999999999999</c:v>
                </c:pt>
                <c:pt idx="3">
                  <c:v>-0.39300000000000002</c:v>
                </c:pt>
                <c:pt idx="4">
                  <c:v>-0.36399999999999999</c:v>
                </c:pt>
                <c:pt idx="5">
                  <c:v>-0.21099999999999999</c:v>
                </c:pt>
                <c:pt idx="9">
                  <c:v>0</c:v>
                </c:pt>
                <c:pt idx="10">
                  <c:v>-0.18</c:v>
                </c:pt>
                <c:pt idx="11">
                  <c:v>-0.36799999999999999</c:v>
                </c:pt>
                <c:pt idx="12">
                  <c:v>-0.40600000000000003</c:v>
                </c:pt>
                <c:pt idx="13">
                  <c:v>-0.31900000000000001</c:v>
                </c:pt>
                <c:pt idx="17">
                  <c:v>-0.19</c:v>
                </c:pt>
                <c:pt idx="18">
                  <c:v>-0.33500000000000002</c:v>
                </c:pt>
                <c:pt idx="19">
                  <c:v>-0.39900000000000002</c:v>
                </c:pt>
                <c:pt idx="20">
                  <c:v>-0.249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B5B-4D6A-A16E-E1D642C0D575}"/>
            </c:ext>
          </c:extLst>
        </c:ser>
        <c:ser>
          <c:idx val="5"/>
          <c:order val="5"/>
          <c:tx>
            <c:v>Ave prail_ip2_100%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All!$IE$6:$IE$30</c:f>
              <c:numCache>
                <c:formatCode>General</c:formatCode>
                <c:ptCount val="25"/>
                <c:pt idx="0">
                  <c:v>-3.6999999999999998E-2</c:v>
                </c:pt>
                <c:pt idx="1">
                  <c:v>-0.111</c:v>
                </c:pt>
                <c:pt idx="2">
                  <c:v>-5.6000000000000001E-2</c:v>
                </c:pt>
                <c:pt idx="3">
                  <c:v>-0.20100000000000001</c:v>
                </c:pt>
                <c:pt idx="4">
                  <c:v>-0.17799999999999999</c:v>
                </c:pt>
                <c:pt idx="5">
                  <c:v>-0.10199999999999999</c:v>
                </c:pt>
                <c:pt idx="9">
                  <c:v>0</c:v>
                </c:pt>
                <c:pt idx="10">
                  <c:v>-8.3000000000000004E-2</c:v>
                </c:pt>
                <c:pt idx="11">
                  <c:v>-0.17799999999999999</c:v>
                </c:pt>
                <c:pt idx="12">
                  <c:v>-0.19800000000000001</c:v>
                </c:pt>
                <c:pt idx="13">
                  <c:v>-0.151</c:v>
                </c:pt>
                <c:pt idx="17">
                  <c:v>-7.6999999999999999E-2</c:v>
                </c:pt>
                <c:pt idx="18">
                  <c:v>-0.13600000000000001</c:v>
                </c:pt>
                <c:pt idx="19">
                  <c:v>-0.159</c:v>
                </c:pt>
                <c:pt idx="20">
                  <c:v>-0.11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B5B-4D6A-A16E-E1D642C0D5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24431"/>
        <c:axId val="136308623"/>
      </c:scatterChart>
      <c:valAx>
        <c:axId val="139616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9608655"/>
        <c:crosses val="autoZero"/>
        <c:crossBetween val="midCat"/>
      </c:valAx>
      <c:valAx>
        <c:axId val="139608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9616559"/>
        <c:crosses val="autoZero"/>
        <c:crossBetween val="midCat"/>
      </c:valAx>
      <c:valAx>
        <c:axId val="136308623"/>
        <c:scaling>
          <c:orientation val="minMax"/>
          <c:max val="7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6324431"/>
        <c:crosses val="max"/>
        <c:crossBetween val="midCat"/>
      </c:valAx>
      <c:valAx>
        <c:axId val="136324431"/>
        <c:scaling>
          <c:orientation val="minMax"/>
        </c:scaling>
        <c:delete val="1"/>
        <c:axPos val="b"/>
        <c:majorTickMark val="out"/>
        <c:minorTickMark val="none"/>
        <c:tickLblPos val="nextTo"/>
        <c:crossAx val="1363086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Coolant pressures [bar]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pwat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All!$EL$6:$EL$30</c:f>
              <c:numCache>
                <c:formatCode>General</c:formatCode>
                <c:ptCount val="25"/>
                <c:pt idx="0">
                  <c:v>2.2999999999999998</c:v>
                </c:pt>
                <c:pt idx="1">
                  <c:v>2.1</c:v>
                </c:pt>
                <c:pt idx="2">
                  <c:v>2.1</c:v>
                </c:pt>
                <c:pt idx="3">
                  <c:v>2.2000000000000002</c:v>
                </c:pt>
                <c:pt idx="4">
                  <c:v>2.15</c:v>
                </c:pt>
                <c:pt idx="5">
                  <c:v>2.2000000000000002</c:v>
                </c:pt>
                <c:pt idx="9">
                  <c:v>2.25</c:v>
                </c:pt>
                <c:pt idx="10">
                  <c:v>2.5499999999999998</c:v>
                </c:pt>
                <c:pt idx="11">
                  <c:v>2.15</c:v>
                </c:pt>
                <c:pt idx="12">
                  <c:v>2.2000000000000002</c:v>
                </c:pt>
                <c:pt idx="13">
                  <c:v>2.2000000000000002</c:v>
                </c:pt>
                <c:pt idx="17">
                  <c:v>2.6</c:v>
                </c:pt>
                <c:pt idx="18">
                  <c:v>2.15</c:v>
                </c:pt>
                <c:pt idx="19">
                  <c:v>2.25</c:v>
                </c:pt>
                <c:pt idx="20">
                  <c:v>2.2000000000000002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53-40C6-8989-764D0B85B0C7}"/>
            </c:ext>
          </c:extLst>
        </c:ser>
        <c:ser>
          <c:idx val="1"/>
          <c:order val="1"/>
          <c:tx>
            <c:v>Min pwat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All!$EM$6:$EM$30</c:f>
              <c:numCache>
                <c:formatCode>General</c:formatCode>
                <c:ptCount val="25"/>
                <c:pt idx="0">
                  <c:v>1.65</c:v>
                </c:pt>
                <c:pt idx="1">
                  <c:v>1.75</c:v>
                </c:pt>
                <c:pt idx="2">
                  <c:v>1.7</c:v>
                </c:pt>
                <c:pt idx="3">
                  <c:v>1.75</c:v>
                </c:pt>
                <c:pt idx="4">
                  <c:v>1.8</c:v>
                </c:pt>
                <c:pt idx="5">
                  <c:v>1.7</c:v>
                </c:pt>
                <c:pt idx="9">
                  <c:v>2.2000000000000002</c:v>
                </c:pt>
                <c:pt idx="10">
                  <c:v>1.7</c:v>
                </c:pt>
                <c:pt idx="11">
                  <c:v>1.75</c:v>
                </c:pt>
                <c:pt idx="12">
                  <c:v>1.8</c:v>
                </c:pt>
                <c:pt idx="13">
                  <c:v>1.75</c:v>
                </c:pt>
                <c:pt idx="17">
                  <c:v>1.75</c:v>
                </c:pt>
                <c:pt idx="18">
                  <c:v>1.75</c:v>
                </c:pt>
                <c:pt idx="19">
                  <c:v>1.75</c:v>
                </c:pt>
                <c:pt idx="20">
                  <c:v>1.75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53-40C6-8989-764D0B85B0C7}"/>
            </c:ext>
          </c:extLst>
        </c:ser>
        <c:ser>
          <c:idx val="2"/>
          <c:order val="2"/>
          <c:tx>
            <c:v>Max pmotin_pod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All!$FM$6:$FM$30</c:f>
              <c:numCache>
                <c:formatCode>General</c:formatCode>
                <c:ptCount val="25"/>
                <c:pt idx="0">
                  <c:v>3.69</c:v>
                </c:pt>
                <c:pt idx="1">
                  <c:v>3.74</c:v>
                </c:pt>
                <c:pt idx="2">
                  <c:v>3.75</c:v>
                </c:pt>
                <c:pt idx="3">
                  <c:v>3.81</c:v>
                </c:pt>
                <c:pt idx="4">
                  <c:v>3.79</c:v>
                </c:pt>
                <c:pt idx="5">
                  <c:v>3.76</c:v>
                </c:pt>
                <c:pt idx="9">
                  <c:v>2.1800000000000002</c:v>
                </c:pt>
                <c:pt idx="10">
                  <c:v>3.77</c:v>
                </c:pt>
                <c:pt idx="11">
                  <c:v>3.83</c:v>
                </c:pt>
                <c:pt idx="12">
                  <c:v>3.7</c:v>
                </c:pt>
                <c:pt idx="13">
                  <c:v>3.68</c:v>
                </c:pt>
                <c:pt idx="17">
                  <c:v>3.66</c:v>
                </c:pt>
                <c:pt idx="18">
                  <c:v>3.67</c:v>
                </c:pt>
                <c:pt idx="19">
                  <c:v>3.69</c:v>
                </c:pt>
                <c:pt idx="20">
                  <c:v>3.69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53-40C6-8989-764D0B85B0C7}"/>
            </c:ext>
          </c:extLst>
        </c:ser>
        <c:ser>
          <c:idx val="3"/>
          <c:order val="3"/>
          <c:tx>
            <c:v>Min pmotin_pod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All!$FN$6:$FN$30</c:f>
              <c:numCache>
                <c:formatCode>General</c:formatCode>
                <c:ptCount val="25"/>
                <c:pt idx="0">
                  <c:v>1.91</c:v>
                </c:pt>
                <c:pt idx="1">
                  <c:v>2.21</c:v>
                </c:pt>
                <c:pt idx="2">
                  <c:v>2.25</c:v>
                </c:pt>
                <c:pt idx="3">
                  <c:v>2.39</c:v>
                </c:pt>
                <c:pt idx="4">
                  <c:v>2.4300000000000002</c:v>
                </c:pt>
                <c:pt idx="5">
                  <c:v>2.1</c:v>
                </c:pt>
                <c:pt idx="9">
                  <c:v>2.15</c:v>
                </c:pt>
                <c:pt idx="10">
                  <c:v>2.2400000000000002</c:v>
                </c:pt>
                <c:pt idx="11">
                  <c:v>2.36</c:v>
                </c:pt>
                <c:pt idx="12">
                  <c:v>1.8</c:v>
                </c:pt>
                <c:pt idx="13">
                  <c:v>-0.05</c:v>
                </c:pt>
                <c:pt idx="17">
                  <c:v>-0.47</c:v>
                </c:pt>
                <c:pt idx="18">
                  <c:v>-0.35</c:v>
                </c:pt>
                <c:pt idx="19">
                  <c:v>0</c:v>
                </c:pt>
                <c:pt idx="20">
                  <c:v>-0.43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F53-40C6-8989-764D0B85B0C7}"/>
            </c:ext>
          </c:extLst>
        </c:ser>
        <c:ser>
          <c:idx val="4"/>
          <c:order val="4"/>
          <c:tx>
            <c:v>Ave water_pres_diff_calc_pod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All!$HV$6:$HV$30</c:f>
              <c:numCache>
                <c:formatCode>General</c:formatCode>
                <c:ptCount val="25"/>
                <c:pt idx="0">
                  <c:v>0.216</c:v>
                </c:pt>
                <c:pt idx="1">
                  <c:v>0.91900000000000004</c:v>
                </c:pt>
                <c:pt idx="2">
                  <c:v>0.79600000000000004</c:v>
                </c:pt>
                <c:pt idx="3">
                  <c:v>1.3540000000000001</c:v>
                </c:pt>
                <c:pt idx="4">
                  <c:v>1.345</c:v>
                </c:pt>
                <c:pt idx="5">
                  <c:v>1.006</c:v>
                </c:pt>
                <c:pt idx="9">
                  <c:v>-5.8000000000000003E-2</c:v>
                </c:pt>
                <c:pt idx="10">
                  <c:v>1.0329999999999999</c:v>
                </c:pt>
                <c:pt idx="11">
                  <c:v>1.2669999999999999</c:v>
                </c:pt>
                <c:pt idx="12">
                  <c:v>1.0429999999999999</c:v>
                </c:pt>
                <c:pt idx="13">
                  <c:v>0.37</c:v>
                </c:pt>
                <c:pt idx="17">
                  <c:v>-8.1000000000000003E-2</c:v>
                </c:pt>
                <c:pt idx="18">
                  <c:v>0.30199999999999999</c:v>
                </c:pt>
                <c:pt idx="19">
                  <c:v>0.42</c:v>
                </c:pt>
                <c:pt idx="20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F53-40C6-8989-764D0B85B0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628623"/>
        <c:axId val="139609903"/>
      </c:scatterChart>
      <c:valAx>
        <c:axId val="1396286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9609903"/>
        <c:crosses val="autoZero"/>
        <c:crossBetween val="midCat"/>
      </c:valAx>
      <c:valAx>
        <c:axId val="139609903"/>
        <c:scaling>
          <c:orientation val="minMax"/>
          <c:max val="7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96286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Mixture 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Lap-Begin Ave Lambda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All!$FG$6:$FG$30</c:f>
              <c:numCache>
                <c:formatCode>General</c:formatCode>
                <c:ptCount val="25"/>
                <c:pt idx="0">
                  <c:v>1.0109999999999999</c:v>
                </c:pt>
                <c:pt idx="1">
                  <c:v>0.91600000000000004</c:v>
                </c:pt>
                <c:pt idx="2">
                  <c:v>0.92400000000000004</c:v>
                </c:pt>
                <c:pt idx="3">
                  <c:v>0.91600000000000004</c:v>
                </c:pt>
                <c:pt idx="4">
                  <c:v>0.91600000000000004</c:v>
                </c:pt>
                <c:pt idx="5">
                  <c:v>0.95899999999999996</c:v>
                </c:pt>
                <c:pt idx="9">
                  <c:v>1.206</c:v>
                </c:pt>
                <c:pt idx="10">
                  <c:v>0.96</c:v>
                </c:pt>
                <c:pt idx="11">
                  <c:v>0.91300000000000003</c:v>
                </c:pt>
                <c:pt idx="12">
                  <c:v>0.91200000000000003</c:v>
                </c:pt>
                <c:pt idx="13">
                  <c:v>0.91900000000000004</c:v>
                </c:pt>
                <c:pt idx="17">
                  <c:v>0.98799999999999999</c:v>
                </c:pt>
                <c:pt idx="18">
                  <c:v>0.91800000000000004</c:v>
                </c:pt>
                <c:pt idx="19">
                  <c:v>0.91800000000000004</c:v>
                </c:pt>
                <c:pt idx="20">
                  <c:v>0.92400000000000004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EE-45E5-9B47-923BB3F9E67C}"/>
            </c:ext>
          </c:extLst>
        </c:ser>
        <c:ser>
          <c:idx val="1"/>
          <c:order val="1"/>
          <c:tx>
            <c:v>Lap-Begin Ave Lambda2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All!$FH$6:$FH$30</c:f>
              <c:numCache>
                <c:formatCode>General</c:formatCode>
                <c:ptCount val="25"/>
                <c:pt idx="0">
                  <c:v>1.01</c:v>
                </c:pt>
                <c:pt idx="1">
                  <c:v>0.91600000000000004</c:v>
                </c:pt>
                <c:pt idx="2">
                  <c:v>0.92400000000000004</c:v>
                </c:pt>
                <c:pt idx="3">
                  <c:v>0.91700000000000004</c:v>
                </c:pt>
                <c:pt idx="4">
                  <c:v>0.91700000000000004</c:v>
                </c:pt>
                <c:pt idx="5">
                  <c:v>0.94599999999999995</c:v>
                </c:pt>
                <c:pt idx="9">
                  <c:v>1.24</c:v>
                </c:pt>
                <c:pt idx="10">
                  <c:v>0.96199999999999997</c:v>
                </c:pt>
                <c:pt idx="11">
                  <c:v>0.91400000000000003</c:v>
                </c:pt>
                <c:pt idx="12">
                  <c:v>0.91300000000000003</c:v>
                </c:pt>
                <c:pt idx="13">
                  <c:v>0.91800000000000004</c:v>
                </c:pt>
                <c:pt idx="17">
                  <c:v>0.96599999999999997</c:v>
                </c:pt>
                <c:pt idx="18">
                  <c:v>0.91800000000000004</c:v>
                </c:pt>
                <c:pt idx="19">
                  <c:v>0.91800000000000004</c:v>
                </c:pt>
                <c:pt idx="20">
                  <c:v>0.94299999999999995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EE-45E5-9B47-923BB3F9E67C}"/>
            </c:ext>
          </c:extLst>
        </c:ser>
        <c:ser>
          <c:idx val="2"/>
          <c:order val="2"/>
          <c:tx>
            <c:v>Lap-Begin Ave flc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All!$FI$6:$FI$30</c:f>
              <c:numCache>
                <c:formatCode>General</c:formatCode>
                <c:ptCount val="25"/>
                <c:pt idx="0">
                  <c:v>1.002</c:v>
                </c:pt>
                <c:pt idx="1">
                  <c:v>0.995</c:v>
                </c:pt>
                <c:pt idx="2">
                  <c:v>1.0029999999999999</c:v>
                </c:pt>
                <c:pt idx="3">
                  <c:v>0.995</c:v>
                </c:pt>
                <c:pt idx="4">
                  <c:v>0.99299999999999999</c:v>
                </c:pt>
                <c:pt idx="5">
                  <c:v>0.998</c:v>
                </c:pt>
                <c:pt idx="9">
                  <c:v>1</c:v>
                </c:pt>
                <c:pt idx="10">
                  <c:v>1.002</c:v>
                </c:pt>
                <c:pt idx="11">
                  <c:v>0.997</c:v>
                </c:pt>
                <c:pt idx="12">
                  <c:v>0.996</c:v>
                </c:pt>
                <c:pt idx="13">
                  <c:v>0.996</c:v>
                </c:pt>
                <c:pt idx="17">
                  <c:v>1.0009999999999999</c:v>
                </c:pt>
                <c:pt idx="18">
                  <c:v>0.996</c:v>
                </c:pt>
                <c:pt idx="19">
                  <c:v>0.996</c:v>
                </c:pt>
                <c:pt idx="20">
                  <c:v>0.997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BEE-45E5-9B47-923BB3F9E67C}"/>
            </c:ext>
          </c:extLst>
        </c:ser>
        <c:ser>
          <c:idx val="3"/>
          <c:order val="3"/>
          <c:tx>
            <c:v>Lap-Begin Ave flc2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All!$FJ$6:$FJ$30</c:f>
              <c:numCache>
                <c:formatCode>General</c:formatCode>
                <c:ptCount val="25"/>
                <c:pt idx="0">
                  <c:v>1.0029999999999999</c:v>
                </c:pt>
                <c:pt idx="1">
                  <c:v>0.998</c:v>
                </c:pt>
                <c:pt idx="2">
                  <c:v>1.0049999999999999</c:v>
                </c:pt>
                <c:pt idx="3">
                  <c:v>0.999</c:v>
                </c:pt>
                <c:pt idx="4">
                  <c:v>0.997</c:v>
                </c:pt>
                <c:pt idx="5">
                  <c:v>1.0009999999999999</c:v>
                </c:pt>
                <c:pt idx="9">
                  <c:v>1</c:v>
                </c:pt>
                <c:pt idx="10">
                  <c:v>1.004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7">
                  <c:v>1.004</c:v>
                </c:pt>
                <c:pt idx="18">
                  <c:v>1.002</c:v>
                </c:pt>
                <c:pt idx="19">
                  <c:v>1.0009999999999999</c:v>
                </c:pt>
                <c:pt idx="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BEE-45E5-9B47-923BB3F9E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629871"/>
        <c:axId val="139626127"/>
      </c:scatterChart>
      <c:scatterChart>
        <c:scatterStyle val="lineMarker"/>
        <c:varyColors val="0"/>
        <c:ser>
          <c:idx val="4"/>
          <c:order val="4"/>
          <c:tx>
            <c:v>Max B_lc_OFF_Timer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All!$IL$6:$IL$30</c:f>
              <c:numCache>
                <c:formatCode>General</c:formatCode>
                <c:ptCount val="25"/>
                <c:pt idx="0">
                  <c:v>1149.307</c:v>
                </c:pt>
                <c:pt idx="1">
                  <c:v>201.03</c:v>
                </c:pt>
                <c:pt idx="2">
                  <c:v>299.63799999999998</c:v>
                </c:pt>
                <c:pt idx="3">
                  <c:v>71.811000000000007</c:v>
                </c:pt>
                <c:pt idx="4">
                  <c:v>68.850999999999999</c:v>
                </c:pt>
                <c:pt idx="5">
                  <c:v>126.509</c:v>
                </c:pt>
                <c:pt idx="9">
                  <c:v>29.047000000000001</c:v>
                </c:pt>
                <c:pt idx="10">
                  <c:v>164.12100000000001</c:v>
                </c:pt>
                <c:pt idx="11">
                  <c:v>67.149000000000001</c:v>
                </c:pt>
                <c:pt idx="12">
                  <c:v>66.528999999999996</c:v>
                </c:pt>
                <c:pt idx="13">
                  <c:v>80.989999999999995</c:v>
                </c:pt>
                <c:pt idx="17">
                  <c:v>229.57400000000001</c:v>
                </c:pt>
                <c:pt idx="18">
                  <c:v>66.849999999999994</c:v>
                </c:pt>
                <c:pt idx="19">
                  <c:v>64.703999999999994</c:v>
                </c:pt>
                <c:pt idx="20">
                  <c:v>78.893000000000001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BEE-45E5-9B47-923BB3F9E67C}"/>
            </c:ext>
          </c:extLst>
        </c:ser>
        <c:ser>
          <c:idx val="5"/>
          <c:order val="5"/>
          <c:tx>
            <c:v>Max B_lc2_OFF_Timer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All!$IM$6:$IM$30</c:f>
              <c:numCache>
                <c:formatCode>General</c:formatCode>
                <c:ptCount val="25"/>
                <c:pt idx="0">
                  <c:v>1149.1079999999999</c:v>
                </c:pt>
                <c:pt idx="1">
                  <c:v>201.03</c:v>
                </c:pt>
                <c:pt idx="2">
                  <c:v>299.63799999999998</c:v>
                </c:pt>
                <c:pt idx="3">
                  <c:v>71.811000000000007</c:v>
                </c:pt>
                <c:pt idx="4">
                  <c:v>68.850999999999999</c:v>
                </c:pt>
                <c:pt idx="5">
                  <c:v>126.509</c:v>
                </c:pt>
                <c:pt idx="9">
                  <c:v>29.047000000000001</c:v>
                </c:pt>
                <c:pt idx="10">
                  <c:v>163.98</c:v>
                </c:pt>
                <c:pt idx="11">
                  <c:v>67.149000000000001</c:v>
                </c:pt>
                <c:pt idx="12">
                  <c:v>66.528999999999996</c:v>
                </c:pt>
                <c:pt idx="13">
                  <c:v>80.989999999999995</c:v>
                </c:pt>
                <c:pt idx="17">
                  <c:v>229.57400000000001</c:v>
                </c:pt>
                <c:pt idx="18">
                  <c:v>66.849999999999994</c:v>
                </c:pt>
                <c:pt idx="19">
                  <c:v>64.703999999999994</c:v>
                </c:pt>
                <c:pt idx="20">
                  <c:v>78.893000000000001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BEE-45E5-9B47-923BB3F9E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06959"/>
        <c:axId val="136306543"/>
      </c:scatterChart>
      <c:valAx>
        <c:axId val="139629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9626127"/>
        <c:crosses val="autoZero"/>
        <c:crossBetween val="midCat"/>
      </c:valAx>
      <c:valAx>
        <c:axId val="139626127"/>
        <c:scaling>
          <c:orientation val="minMax"/>
          <c:max val="1.1000000000000001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9629871"/>
        <c:crosses val="autoZero"/>
        <c:crossBetween val="midCat"/>
      </c:valAx>
      <c:valAx>
        <c:axId val="136306543"/>
        <c:scaling>
          <c:orientation val="minMax"/>
          <c:max val="5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6306959"/>
        <c:crosses val="max"/>
        <c:crossBetween val="midCat"/>
      </c:valAx>
      <c:valAx>
        <c:axId val="136306959"/>
        <c:scaling>
          <c:orientation val="minMax"/>
        </c:scaling>
        <c:delete val="1"/>
        <c:axPos val="b"/>
        <c:majorTickMark val="out"/>
        <c:minorTickMark val="none"/>
        <c:tickLblPos val="nextTo"/>
        <c:crossAx val="1363065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Poil surging time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Min poil_3500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All!$FP$6:$FP$30</c:f>
              <c:numCache>
                <c:formatCode>General</c:formatCode>
                <c:ptCount val="25"/>
                <c:pt idx="0">
                  <c:v>0.6</c:v>
                </c:pt>
                <c:pt idx="1">
                  <c:v>4.2</c:v>
                </c:pt>
                <c:pt idx="5">
                  <c:v>3.85</c:v>
                </c:pt>
                <c:pt idx="9">
                  <c:v>5.3</c:v>
                </c:pt>
                <c:pt idx="10">
                  <c:v>3.9</c:v>
                </c:pt>
                <c:pt idx="13">
                  <c:v>3.8</c:v>
                </c:pt>
                <c:pt idx="17">
                  <c:v>0.4</c:v>
                </c:pt>
                <c:pt idx="20">
                  <c:v>2.95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D9-4BE7-8E04-4A7AC1154EDE}"/>
            </c:ext>
          </c:extLst>
        </c:ser>
        <c:ser>
          <c:idx val="2"/>
          <c:order val="2"/>
          <c:tx>
            <c:v>Min poil_5500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All!$FQ$6:$FQ$30</c:f>
              <c:numCache>
                <c:formatCode>General</c:formatCode>
                <c:ptCount val="25"/>
                <c:pt idx="0">
                  <c:v>1.55</c:v>
                </c:pt>
                <c:pt idx="1">
                  <c:v>4.45</c:v>
                </c:pt>
                <c:pt idx="2">
                  <c:v>4.9000000000000004</c:v>
                </c:pt>
                <c:pt idx="3">
                  <c:v>4.75</c:v>
                </c:pt>
                <c:pt idx="4">
                  <c:v>4.55</c:v>
                </c:pt>
                <c:pt idx="5">
                  <c:v>4.45</c:v>
                </c:pt>
                <c:pt idx="9">
                  <c:v>0.55000000000000004</c:v>
                </c:pt>
                <c:pt idx="10">
                  <c:v>0.55000000000000004</c:v>
                </c:pt>
                <c:pt idx="11">
                  <c:v>4.75</c:v>
                </c:pt>
                <c:pt idx="12">
                  <c:v>4.6500000000000004</c:v>
                </c:pt>
                <c:pt idx="13">
                  <c:v>4.3499999999999996</c:v>
                </c:pt>
                <c:pt idx="17">
                  <c:v>1.85</c:v>
                </c:pt>
                <c:pt idx="18">
                  <c:v>4.9000000000000004</c:v>
                </c:pt>
                <c:pt idx="19">
                  <c:v>4.9000000000000004</c:v>
                </c:pt>
                <c:pt idx="20">
                  <c:v>4.55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FD9-4BE7-8E04-4A7AC1154EDE}"/>
            </c:ext>
          </c:extLst>
        </c:ser>
        <c:ser>
          <c:idx val="3"/>
          <c:order val="3"/>
          <c:tx>
            <c:v>Min poil_7500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All!$FR$6:$FR$30</c:f>
              <c:numCache>
                <c:formatCode>General</c:formatCode>
                <c:ptCount val="25"/>
                <c:pt idx="0">
                  <c:v>5.2</c:v>
                </c:pt>
                <c:pt idx="1">
                  <c:v>5.15</c:v>
                </c:pt>
                <c:pt idx="2">
                  <c:v>5.25</c:v>
                </c:pt>
                <c:pt idx="3">
                  <c:v>5</c:v>
                </c:pt>
                <c:pt idx="4">
                  <c:v>4.9000000000000004</c:v>
                </c:pt>
                <c:pt idx="5">
                  <c:v>5.0999999999999996</c:v>
                </c:pt>
                <c:pt idx="9">
                  <c:v>5.6</c:v>
                </c:pt>
                <c:pt idx="10">
                  <c:v>5.15</c:v>
                </c:pt>
                <c:pt idx="11">
                  <c:v>5.15</c:v>
                </c:pt>
                <c:pt idx="12">
                  <c:v>5.0999999999999996</c:v>
                </c:pt>
                <c:pt idx="13">
                  <c:v>5</c:v>
                </c:pt>
                <c:pt idx="17">
                  <c:v>5.05</c:v>
                </c:pt>
                <c:pt idx="18">
                  <c:v>5.15</c:v>
                </c:pt>
                <c:pt idx="19">
                  <c:v>4.95</c:v>
                </c:pt>
                <c:pt idx="20">
                  <c:v>4.95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FD9-4BE7-8E04-4A7AC1154E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634031"/>
        <c:axId val="139633199"/>
      </c:scatterChart>
      <c:scatterChart>
        <c:scatterStyle val="lineMarker"/>
        <c:varyColors val="0"/>
        <c:ser>
          <c:idx val="0"/>
          <c:order val="0"/>
          <c:tx>
            <c:v>Max Poil_Surge_Lap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All!$FK$6:$FK$30</c:f>
              <c:numCache>
                <c:formatCode>General</c:formatCode>
                <c:ptCount val="25"/>
                <c:pt idx="0">
                  <c:v>0.20200000000000001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9">
                  <c:v>0</c:v>
                </c:pt>
                <c:pt idx="10">
                  <c:v>0.10100000000000001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0.30199999999999999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D9-4BE7-8E04-4A7AC1154E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27759"/>
        <c:axId val="136306127"/>
      </c:scatterChart>
      <c:valAx>
        <c:axId val="1396340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9633199"/>
        <c:crosses val="autoZero"/>
        <c:crossBetween val="midCat"/>
      </c:valAx>
      <c:valAx>
        <c:axId val="139633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9634031"/>
        <c:crosses val="autoZero"/>
        <c:crossBetween val="midCat"/>
      </c:valAx>
      <c:valAx>
        <c:axId val="136306127"/>
        <c:scaling>
          <c:orientation val="minMax"/>
          <c:max val="1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6327759"/>
        <c:crosses val="max"/>
        <c:crossBetween val="midCat"/>
      </c:valAx>
      <c:valAx>
        <c:axId val="136327759"/>
        <c:scaling>
          <c:orientation val="minMax"/>
        </c:scaling>
        <c:delete val="1"/>
        <c:axPos val="b"/>
        <c:majorTickMark val="out"/>
        <c:minorTickMark val="none"/>
        <c:tickLblPos val="nextTo"/>
        <c:crossAx val="1363061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PPU Ilegal [kW] and Engine torque [Nm]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Max CLU_MPUMeasuredCAN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All!$GF$6:$GF$30</c:f>
              <c:numCache>
                <c:formatCode>General</c:formatCode>
                <c:ptCount val="25"/>
                <c:pt idx="0">
                  <c:v>1457.375</c:v>
                </c:pt>
                <c:pt idx="1">
                  <c:v>1385.9375</c:v>
                </c:pt>
                <c:pt idx="2">
                  <c:v>1347.3438000000001</c:v>
                </c:pt>
                <c:pt idx="3">
                  <c:v>1356.4844000000001</c:v>
                </c:pt>
                <c:pt idx="4">
                  <c:v>1443.375</c:v>
                </c:pt>
                <c:pt idx="5">
                  <c:v>1274.9530999999999</c:v>
                </c:pt>
                <c:pt idx="9">
                  <c:v>29.578099999999999</c:v>
                </c:pt>
                <c:pt idx="10">
                  <c:v>1387.2030999999999</c:v>
                </c:pt>
                <c:pt idx="11">
                  <c:v>1425.9375</c:v>
                </c:pt>
                <c:pt idx="12">
                  <c:v>1396.2344000000001</c:v>
                </c:pt>
                <c:pt idx="13">
                  <c:v>1359.5938000000001</c:v>
                </c:pt>
                <c:pt idx="17">
                  <c:v>1461.1719000000001</c:v>
                </c:pt>
                <c:pt idx="18">
                  <c:v>1395.1094000000001</c:v>
                </c:pt>
                <c:pt idx="19">
                  <c:v>1327.3905999999999</c:v>
                </c:pt>
                <c:pt idx="20">
                  <c:v>1373.9844000000001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62-4F28-A905-54549CF32C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631119"/>
        <c:axId val="139636111"/>
      </c:scatterChart>
      <c:scatterChart>
        <c:scatterStyle val="lineMarker"/>
        <c:varyColors val="0"/>
        <c:ser>
          <c:idx val="0"/>
          <c:order val="0"/>
          <c:tx>
            <c:v>Max FIA_PPUIllegal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All!$FU$6:$FU$30</c:f>
              <c:numCache>
                <c:formatCode>General</c:formatCode>
                <c:ptCount val="25"/>
                <c:pt idx="0">
                  <c:v>5.88</c:v>
                </c:pt>
                <c:pt idx="1">
                  <c:v>6.97</c:v>
                </c:pt>
                <c:pt idx="2">
                  <c:v>7.11</c:v>
                </c:pt>
                <c:pt idx="3">
                  <c:v>6.75</c:v>
                </c:pt>
                <c:pt idx="4">
                  <c:v>7.42</c:v>
                </c:pt>
                <c:pt idx="5">
                  <c:v>6.86</c:v>
                </c:pt>
                <c:pt idx="9">
                  <c:v>0</c:v>
                </c:pt>
                <c:pt idx="10">
                  <c:v>7.06</c:v>
                </c:pt>
                <c:pt idx="11">
                  <c:v>7.17</c:v>
                </c:pt>
                <c:pt idx="12">
                  <c:v>6.36</c:v>
                </c:pt>
                <c:pt idx="13">
                  <c:v>6.39</c:v>
                </c:pt>
                <c:pt idx="17">
                  <c:v>5.98</c:v>
                </c:pt>
                <c:pt idx="18">
                  <c:v>6.12</c:v>
                </c:pt>
                <c:pt idx="19">
                  <c:v>6.22</c:v>
                </c:pt>
                <c:pt idx="20">
                  <c:v>6.32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62-4F28-A905-54549CF32C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13615"/>
        <c:axId val="136317775"/>
      </c:scatterChart>
      <c:valAx>
        <c:axId val="13963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9636111"/>
        <c:crosses val="autoZero"/>
        <c:crossBetween val="midCat"/>
      </c:valAx>
      <c:valAx>
        <c:axId val="139636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9631119"/>
        <c:crosses val="autoZero"/>
        <c:crossBetween val="midCat"/>
      </c:valAx>
      <c:valAx>
        <c:axId val="136317775"/>
        <c:scaling>
          <c:orientation val="minMax"/>
          <c:max val="1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6313615"/>
        <c:crosses val="max"/>
        <c:crossBetween val="midCat"/>
      </c:valAx>
      <c:valAx>
        <c:axId val="136313615"/>
        <c:scaling>
          <c:orientation val="minMax"/>
        </c:scaling>
        <c:delete val="1"/>
        <c:axPos val="b"/>
        <c:majorTickMark val="out"/>
        <c:minorTickMark val="none"/>
        <c:tickLblPos val="nextTo"/>
        <c:crossAx val="1363177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flow [kg/h]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Max dmFFMFuelF1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All!$FW$6:$FW$30</c:f>
              <c:numCache>
                <c:formatCode>General</c:formatCode>
                <c:ptCount val="25"/>
                <c:pt idx="0">
                  <c:v>16383.5</c:v>
                </c:pt>
                <c:pt idx="1">
                  <c:v>3158</c:v>
                </c:pt>
                <c:pt idx="2">
                  <c:v>3067.5</c:v>
                </c:pt>
                <c:pt idx="3">
                  <c:v>3129</c:v>
                </c:pt>
                <c:pt idx="4">
                  <c:v>3169</c:v>
                </c:pt>
                <c:pt idx="5">
                  <c:v>3227.5</c:v>
                </c:pt>
                <c:pt idx="9">
                  <c:v>3.5</c:v>
                </c:pt>
                <c:pt idx="10">
                  <c:v>3072.5</c:v>
                </c:pt>
                <c:pt idx="11">
                  <c:v>3116</c:v>
                </c:pt>
                <c:pt idx="12">
                  <c:v>3125.5</c:v>
                </c:pt>
                <c:pt idx="13">
                  <c:v>3083.5</c:v>
                </c:pt>
                <c:pt idx="17">
                  <c:v>2952</c:v>
                </c:pt>
                <c:pt idx="18">
                  <c:v>2909.5</c:v>
                </c:pt>
                <c:pt idx="19">
                  <c:v>2902.5</c:v>
                </c:pt>
                <c:pt idx="20">
                  <c:v>3005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25-4CDA-8127-80E556A737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634447"/>
        <c:axId val="139634863"/>
      </c:scatterChart>
      <c:scatterChart>
        <c:scatterStyle val="lineMarker"/>
        <c:varyColors val="0"/>
        <c:ser>
          <c:idx val="0"/>
          <c:order val="0"/>
          <c:tx>
            <c:v>Max fuelcons_kg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All!$FV$6:$FV$30</c:f>
              <c:numCache>
                <c:formatCode>General</c:formatCode>
                <c:ptCount val="25"/>
                <c:pt idx="0">
                  <c:v>5.53</c:v>
                </c:pt>
                <c:pt idx="1">
                  <c:v>10.55</c:v>
                </c:pt>
                <c:pt idx="2">
                  <c:v>14.95</c:v>
                </c:pt>
                <c:pt idx="3">
                  <c:v>20.93</c:v>
                </c:pt>
                <c:pt idx="4">
                  <c:v>26.97</c:v>
                </c:pt>
                <c:pt idx="5">
                  <c:v>32.340000000000003</c:v>
                </c:pt>
                <c:pt idx="9">
                  <c:v>0</c:v>
                </c:pt>
                <c:pt idx="10">
                  <c:v>5.57</c:v>
                </c:pt>
                <c:pt idx="11">
                  <c:v>11.64</c:v>
                </c:pt>
                <c:pt idx="12">
                  <c:v>17.71</c:v>
                </c:pt>
                <c:pt idx="13">
                  <c:v>23.65</c:v>
                </c:pt>
                <c:pt idx="17">
                  <c:v>29.56</c:v>
                </c:pt>
                <c:pt idx="18">
                  <c:v>35.72</c:v>
                </c:pt>
                <c:pt idx="19">
                  <c:v>41.89</c:v>
                </c:pt>
                <c:pt idx="20">
                  <c:v>47.88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25-4CDA-8127-80E556A737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28591"/>
        <c:axId val="136314031"/>
      </c:scatterChart>
      <c:valAx>
        <c:axId val="1396344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9634863"/>
        <c:crosses val="autoZero"/>
        <c:crossBetween val="midCat"/>
      </c:valAx>
      <c:valAx>
        <c:axId val="139634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9634447"/>
        <c:crosses val="autoZero"/>
        <c:crossBetween val="midCat"/>
      </c:valAx>
      <c:valAx>
        <c:axId val="136314031"/>
        <c:scaling>
          <c:orientation val="minMax"/>
          <c:max val="9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6328591"/>
        <c:crosses val="max"/>
        <c:crossBetween val="midCat"/>
      </c:valAx>
      <c:valAx>
        <c:axId val="136328591"/>
        <c:scaling>
          <c:orientation val="minMax"/>
        </c:scaling>
        <c:delete val="1"/>
        <c:axPos val="b"/>
        <c:majorTickMark val="out"/>
        <c:minorTickMark val="none"/>
        <c:tickLblPos val="nextTo"/>
        <c:crossAx val="1363140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Turbo and wastegate valves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nturbo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All!$FX$6:$FX$30</c:f>
              <c:numCache>
                <c:formatCode>General</c:formatCode>
                <c:ptCount val="25"/>
                <c:pt idx="0">
                  <c:v>165200</c:v>
                </c:pt>
                <c:pt idx="1">
                  <c:v>166900</c:v>
                </c:pt>
                <c:pt idx="2">
                  <c:v>172800</c:v>
                </c:pt>
                <c:pt idx="3">
                  <c:v>167500</c:v>
                </c:pt>
                <c:pt idx="4">
                  <c:v>164500</c:v>
                </c:pt>
                <c:pt idx="5">
                  <c:v>162700</c:v>
                </c:pt>
                <c:pt idx="9">
                  <c:v>0</c:v>
                </c:pt>
                <c:pt idx="10">
                  <c:v>166000</c:v>
                </c:pt>
                <c:pt idx="11">
                  <c:v>170100</c:v>
                </c:pt>
                <c:pt idx="12">
                  <c:v>166500</c:v>
                </c:pt>
                <c:pt idx="13">
                  <c:v>168900</c:v>
                </c:pt>
                <c:pt idx="17">
                  <c:v>165100</c:v>
                </c:pt>
                <c:pt idx="18">
                  <c:v>166000</c:v>
                </c:pt>
                <c:pt idx="19">
                  <c:v>162700</c:v>
                </c:pt>
                <c:pt idx="20">
                  <c:v>161900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77-42AA-962E-74068CBAC9D2}"/>
            </c:ext>
          </c:extLst>
        </c:ser>
        <c:ser>
          <c:idx val="1"/>
          <c:order val="1"/>
          <c:tx>
            <c:v>Max nturbo2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All!$FY$6:$FY$30</c:f>
              <c:numCache>
                <c:formatCode>General</c:formatCode>
                <c:ptCount val="25"/>
                <c:pt idx="0">
                  <c:v>165600</c:v>
                </c:pt>
                <c:pt idx="1">
                  <c:v>167000</c:v>
                </c:pt>
                <c:pt idx="2">
                  <c:v>175000</c:v>
                </c:pt>
                <c:pt idx="3">
                  <c:v>169300</c:v>
                </c:pt>
                <c:pt idx="4">
                  <c:v>165100</c:v>
                </c:pt>
                <c:pt idx="5">
                  <c:v>163200</c:v>
                </c:pt>
                <c:pt idx="9">
                  <c:v>0</c:v>
                </c:pt>
                <c:pt idx="10">
                  <c:v>167300</c:v>
                </c:pt>
                <c:pt idx="11">
                  <c:v>172500</c:v>
                </c:pt>
                <c:pt idx="12">
                  <c:v>168000</c:v>
                </c:pt>
                <c:pt idx="13">
                  <c:v>170600</c:v>
                </c:pt>
                <c:pt idx="17">
                  <c:v>165700</c:v>
                </c:pt>
                <c:pt idx="18">
                  <c:v>166100</c:v>
                </c:pt>
                <c:pt idx="19">
                  <c:v>164300</c:v>
                </c:pt>
                <c:pt idx="20">
                  <c:v>163100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77-42AA-962E-74068CBAC9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626959"/>
        <c:axId val="139621551"/>
      </c:scatterChart>
      <c:scatterChart>
        <c:scatterStyle val="lineMarker"/>
        <c:varyColors val="0"/>
        <c:ser>
          <c:idx val="2"/>
          <c:order val="2"/>
          <c:tx>
            <c:v>Lap-Begin Ave_Wgc_Pwm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All!$FZ$6:$FZ$30</c:f>
              <c:numCache>
                <c:formatCode>General</c:formatCode>
                <c:ptCount val="25"/>
                <c:pt idx="0">
                  <c:v>48.514000000000003</c:v>
                </c:pt>
                <c:pt idx="1">
                  <c:v>47.436</c:v>
                </c:pt>
                <c:pt idx="2">
                  <c:v>54.341000000000001</c:v>
                </c:pt>
                <c:pt idx="3">
                  <c:v>47.895000000000003</c:v>
                </c:pt>
                <c:pt idx="4">
                  <c:v>47.631</c:v>
                </c:pt>
                <c:pt idx="5">
                  <c:v>48.689</c:v>
                </c:pt>
                <c:pt idx="10">
                  <c:v>48.637999999999998</c:v>
                </c:pt>
                <c:pt idx="11">
                  <c:v>47.570999999999998</c:v>
                </c:pt>
                <c:pt idx="12">
                  <c:v>47.305</c:v>
                </c:pt>
                <c:pt idx="13">
                  <c:v>47.597000000000001</c:v>
                </c:pt>
                <c:pt idx="17">
                  <c:v>48.505000000000003</c:v>
                </c:pt>
                <c:pt idx="18">
                  <c:v>47.570999999999998</c:v>
                </c:pt>
                <c:pt idx="19">
                  <c:v>47.253999999999998</c:v>
                </c:pt>
                <c:pt idx="20">
                  <c:v>47.307000000000002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77-42AA-962E-74068CBAC9D2}"/>
            </c:ext>
          </c:extLst>
        </c:ser>
        <c:ser>
          <c:idx val="3"/>
          <c:order val="3"/>
          <c:tx>
            <c:v>Lap-Begin Ave_Wgc_Pwm2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All!$GA$6:$GA$30</c:f>
              <c:numCache>
                <c:formatCode>General</c:formatCode>
                <c:ptCount val="25"/>
                <c:pt idx="0">
                  <c:v>47.607999999999997</c:v>
                </c:pt>
                <c:pt idx="1">
                  <c:v>47.216000000000001</c:v>
                </c:pt>
                <c:pt idx="2">
                  <c:v>53.667999999999999</c:v>
                </c:pt>
                <c:pt idx="3">
                  <c:v>47.392000000000003</c:v>
                </c:pt>
                <c:pt idx="4">
                  <c:v>47.255000000000003</c:v>
                </c:pt>
                <c:pt idx="5">
                  <c:v>48.383000000000003</c:v>
                </c:pt>
                <c:pt idx="10">
                  <c:v>48.68</c:v>
                </c:pt>
                <c:pt idx="11">
                  <c:v>47.698</c:v>
                </c:pt>
                <c:pt idx="12">
                  <c:v>47.585000000000001</c:v>
                </c:pt>
                <c:pt idx="13">
                  <c:v>47.69</c:v>
                </c:pt>
                <c:pt idx="17">
                  <c:v>48.457999999999998</c:v>
                </c:pt>
                <c:pt idx="18">
                  <c:v>47.747</c:v>
                </c:pt>
                <c:pt idx="19">
                  <c:v>47.280999999999999</c:v>
                </c:pt>
                <c:pt idx="20">
                  <c:v>47.378999999999998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F77-42AA-962E-74068CBAC9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04463"/>
        <c:axId val="136311951"/>
      </c:scatterChart>
      <c:valAx>
        <c:axId val="139626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9621551"/>
        <c:crosses val="autoZero"/>
        <c:crossBetween val="midCat"/>
      </c:valAx>
      <c:valAx>
        <c:axId val="139621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9626959"/>
        <c:crosses val="autoZero"/>
        <c:crossBetween val="midCat"/>
      </c:valAx>
      <c:valAx>
        <c:axId val="136311951"/>
        <c:scaling>
          <c:orientation val="minMax"/>
          <c:max val="7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6304463"/>
        <c:crosses val="max"/>
        <c:crossBetween val="midCat"/>
      </c:valAx>
      <c:valAx>
        <c:axId val="136304463"/>
        <c:scaling>
          <c:orientation val="minMax"/>
        </c:scaling>
        <c:delete val="1"/>
        <c:axPos val="b"/>
        <c:majorTickMark val="out"/>
        <c:minorTickMark val="none"/>
        <c:tickLblPos val="nextTo"/>
        <c:crossAx val="1363119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Intake pressure [mBar]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p22_7500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All!$GB$6:$GB$30</c:f>
              <c:numCache>
                <c:formatCode>General</c:formatCode>
                <c:ptCount val="25"/>
                <c:pt idx="0">
                  <c:v>2166.3000000000002</c:v>
                </c:pt>
                <c:pt idx="1">
                  <c:v>2233</c:v>
                </c:pt>
                <c:pt idx="2">
                  <c:v>2170.9</c:v>
                </c:pt>
                <c:pt idx="3">
                  <c:v>2168.8000000000002</c:v>
                </c:pt>
                <c:pt idx="4">
                  <c:v>2205.1</c:v>
                </c:pt>
                <c:pt idx="5">
                  <c:v>2178.8000000000002</c:v>
                </c:pt>
                <c:pt idx="9">
                  <c:v>2116.1</c:v>
                </c:pt>
                <c:pt idx="10">
                  <c:v>2146.1999999999998</c:v>
                </c:pt>
                <c:pt idx="11">
                  <c:v>2253.1</c:v>
                </c:pt>
                <c:pt idx="12">
                  <c:v>2146.1</c:v>
                </c:pt>
                <c:pt idx="13">
                  <c:v>2142.1999999999998</c:v>
                </c:pt>
                <c:pt idx="17">
                  <c:v>2142.6999999999998</c:v>
                </c:pt>
                <c:pt idx="18">
                  <c:v>2149</c:v>
                </c:pt>
                <c:pt idx="19">
                  <c:v>2143.6</c:v>
                </c:pt>
                <c:pt idx="20">
                  <c:v>2156.8000000000002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92-4808-8C21-54FEAFE9FC9D}"/>
            </c:ext>
          </c:extLst>
        </c:ser>
        <c:ser>
          <c:idx val="1"/>
          <c:order val="1"/>
          <c:tx>
            <c:v>Max p22_2_7500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All!$GC$6:$GC$30</c:f>
              <c:numCache>
                <c:formatCode>General</c:formatCode>
                <c:ptCount val="25"/>
                <c:pt idx="0">
                  <c:v>2167.3000000000002</c:v>
                </c:pt>
                <c:pt idx="1">
                  <c:v>2157.8000000000002</c:v>
                </c:pt>
                <c:pt idx="2">
                  <c:v>2171.8000000000002</c:v>
                </c:pt>
                <c:pt idx="3">
                  <c:v>2158.9</c:v>
                </c:pt>
                <c:pt idx="4">
                  <c:v>2172.6</c:v>
                </c:pt>
                <c:pt idx="5">
                  <c:v>2180.6999999999998</c:v>
                </c:pt>
                <c:pt idx="9">
                  <c:v>2116.6999999999998</c:v>
                </c:pt>
                <c:pt idx="10">
                  <c:v>2278</c:v>
                </c:pt>
                <c:pt idx="11">
                  <c:v>2205.9</c:v>
                </c:pt>
                <c:pt idx="12">
                  <c:v>2147.8000000000002</c:v>
                </c:pt>
                <c:pt idx="13">
                  <c:v>2212.1</c:v>
                </c:pt>
                <c:pt idx="17">
                  <c:v>2197</c:v>
                </c:pt>
                <c:pt idx="18">
                  <c:v>2158.1999999999998</c:v>
                </c:pt>
                <c:pt idx="19">
                  <c:v>2147.6</c:v>
                </c:pt>
                <c:pt idx="20">
                  <c:v>2157.8000000000002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92-4808-8C21-54FEAFE9FC9D}"/>
            </c:ext>
          </c:extLst>
        </c:ser>
        <c:ser>
          <c:idx val="2"/>
          <c:order val="2"/>
          <c:tx>
            <c:v>Max p22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All!$GD$6:$GD$30</c:f>
              <c:numCache>
                <c:formatCode>General</c:formatCode>
                <c:ptCount val="25"/>
                <c:pt idx="0">
                  <c:v>2205.6999999999998</c:v>
                </c:pt>
                <c:pt idx="1">
                  <c:v>2233</c:v>
                </c:pt>
                <c:pt idx="2">
                  <c:v>2246.5</c:v>
                </c:pt>
                <c:pt idx="3">
                  <c:v>2212.6999999999998</c:v>
                </c:pt>
                <c:pt idx="4">
                  <c:v>2284</c:v>
                </c:pt>
                <c:pt idx="5">
                  <c:v>2201.6999999999998</c:v>
                </c:pt>
                <c:pt idx="9">
                  <c:v>1014.3</c:v>
                </c:pt>
                <c:pt idx="10">
                  <c:v>2190.6999999999998</c:v>
                </c:pt>
                <c:pt idx="11">
                  <c:v>2253.1</c:v>
                </c:pt>
                <c:pt idx="12">
                  <c:v>2221</c:v>
                </c:pt>
                <c:pt idx="13">
                  <c:v>2188.4</c:v>
                </c:pt>
                <c:pt idx="17">
                  <c:v>2179.1</c:v>
                </c:pt>
                <c:pt idx="18">
                  <c:v>2202</c:v>
                </c:pt>
                <c:pt idx="19">
                  <c:v>2390.8000000000002</c:v>
                </c:pt>
                <c:pt idx="20">
                  <c:v>2270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592-4808-8C21-54FEAFE9FC9D}"/>
            </c:ext>
          </c:extLst>
        </c:ser>
        <c:ser>
          <c:idx val="3"/>
          <c:order val="3"/>
          <c:tx>
            <c:v>Max p22_2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All!$GE$6:$GE$30</c:f>
              <c:numCache>
                <c:formatCode>General</c:formatCode>
                <c:ptCount val="25"/>
                <c:pt idx="0">
                  <c:v>2204.5</c:v>
                </c:pt>
                <c:pt idx="1">
                  <c:v>2209.1</c:v>
                </c:pt>
                <c:pt idx="2">
                  <c:v>2247.8000000000002</c:v>
                </c:pt>
                <c:pt idx="3">
                  <c:v>2213.8000000000002</c:v>
                </c:pt>
                <c:pt idx="4">
                  <c:v>2210.3000000000002</c:v>
                </c:pt>
                <c:pt idx="5">
                  <c:v>2206.8000000000002</c:v>
                </c:pt>
                <c:pt idx="9">
                  <c:v>1014.8</c:v>
                </c:pt>
                <c:pt idx="10">
                  <c:v>2487.4</c:v>
                </c:pt>
                <c:pt idx="11">
                  <c:v>2205.9</c:v>
                </c:pt>
                <c:pt idx="12">
                  <c:v>2174.8000000000002</c:v>
                </c:pt>
                <c:pt idx="13">
                  <c:v>2212.1</c:v>
                </c:pt>
                <c:pt idx="17">
                  <c:v>2197</c:v>
                </c:pt>
                <c:pt idx="18">
                  <c:v>2201.8000000000002</c:v>
                </c:pt>
                <c:pt idx="19">
                  <c:v>2179.1999999999998</c:v>
                </c:pt>
                <c:pt idx="20">
                  <c:v>2173.4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592-4808-8C21-54FEAFE9FC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621135"/>
        <c:axId val="139630703"/>
      </c:scatterChart>
      <c:valAx>
        <c:axId val="1396211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9630703"/>
        <c:crosses val="autoZero"/>
        <c:crossBetween val="midCat"/>
      </c:valAx>
      <c:valAx>
        <c:axId val="139630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962113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temperature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tfuel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All!$GG$6:$GG$30</c:f>
              <c:numCache>
                <c:formatCode>General</c:formatCode>
                <c:ptCount val="25"/>
                <c:pt idx="0">
                  <c:v>40</c:v>
                </c:pt>
                <c:pt idx="1">
                  <c:v>28</c:v>
                </c:pt>
                <c:pt idx="2">
                  <c:v>28</c:v>
                </c:pt>
                <c:pt idx="3">
                  <c:v>29</c:v>
                </c:pt>
                <c:pt idx="4">
                  <c:v>29</c:v>
                </c:pt>
                <c:pt idx="5">
                  <c:v>30</c:v>
                </c:pt>
                <c:pt idx="9">
                  <c:v>30</c:v>
                </c:pt>
                <c:pt idx="10">
                  <c:v>31</c:v>
                </c:pt>
                <c:pt idx="11">
                  <c:v>29</c:v>
                </c:pt>
                <c:pt idx="12">
                  <c:v>29</c:v>
                </c:pt>
                <c:pt idx="13">
                  <c:v>30</c:v>
                </c:pt>
                <c:pt idx="17">
                  <c:v>31</c:v>
                </c:pt>
                <c:pt idx="18">
                  <c:v>32</c:v>
                </c:pt>
                <c:pt idx="19">
                  <c:v>33</c:v>
                </c:pt>
                <c:pt idx="20">
                  <c:v>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5D-4FBC-A668-DC3B18AC9BB1}"/>
            </c:ext>
          </c:extLst>
        </c:ser>
        <c:ser>
          <c:idx val="1"/>
          <c:order val="1"/>
          <c:tx>
            <c:v>Max tfueltankout_pod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All!$GH$6:$GH$30</c:f>
              <c:numCache>
                <c:formatCode>General</c:formatCode>
                <c:ptCount val="25"/>
                <c:pt idx="0">
                  <c:v>40.299999999999997</c:v>
                </c:pt>
                <c:pt idx="1">
                  <c:v>27.5</c:v>
                </c:pt>
                <c:pt idx="2">
                  <c:v>28.1</c:v>
                </c:pt>
                <c:pt idx="3">
                  <c:v>28.5</c:v>
                </c:pt>
                <c:pt idx="4">
                  <c:v>29</c:v>
                </c:pt>
                <c:pt idx="5">
                  <c:v>29.8</c:v>
                </c:pt>
                <c:pt idx="9">
                  <c:v>30.3</c:v>
                </c:pt>
                <c:pt idx="10">
                  <c:v>30.9</c:v>
                </c:pt>
                <c:pt idx="11">
                  <c:v>28.9</c:v>
                </c:pt>
                <c:pt idx="12">
                  <c:v>29.4</c:v>
                </c:pt>
                <c:pt idx="13">
                  <c:v>30</c:v>
                </c:pt>
                <c:pt idx="17">
                  <c:v>31.4</c:v>
                </c:pt>
                <c:pt idx="18">
                  <c:v>31.8</c:v>
                </c:pt>
                <c:pt idx="19">
                  <c:v>32.5</c:v>
                </c:pt>
                <c:pt idx="20">
                  <c:v>33.299999999999997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5D-4FBC-A668-DC3B18AC9BB1}"/>
            </c:ext>
          </c:extLst>
        </c:ser>
        <c:ser>
          <c:idx val="2"/>
          <c:order val="2"/>
          <c:tx>
            <c:v>Max trail_pod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All!$GI$6:$GI$30</c:f>
              <c:numCache>
                <c:formatCode>General</c:formatCode>
                <c:ptCount val="25"/>
                <c:pt idx="0">
                  <c:v>77.2</c:v>
                </c:pt>
                <c:pt idx="1">
                  <c:v>50.1</c:v>
                </c:pt>
                <c:pt idx="2">
                  <c:v>49.4</c:v>
                </c:pt>
                <c:pt idx="3">
                  <c:v>46.6</c:v>
                </c:pt>
                <c:pt idx="4">
                  <c:v>46.8</c:v>
                </c:pt>
                <c:pt idx="5">
                  <c:v>47.3</c:v>
                </c:pt>
                <c:pt idx="9">
                  <c:v>48.1</c:v>
                </c:pt>
                <c:pt idx="10">
                  <c:v>53.2</c:v>
                </c:pt>
                <c:pt idx="11">
                  <c:v>47.8</c:v>
                </c:pt>
                <c:pt idx="12">
                  <c:v>46.8</c:v>
                </c:pt>
                <c:pt idx="13">
                  <c:v>47.1</c:v>
                </c:pt>
                <c:pt idx="17">
                  <c:v>55.7</c:v>
                </c:pt>
                <c:pt idx="18">
                  <c:v>48.8</c:v>
                </c:pt>
                <c:pt idx="19">
                  <c:v>47.6</c:v>
                </c:pt>
                <c:pt idx="20">
                  <c:v>47.8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5D-4FBC-A668-DC3B18AC9BB1}"/>
            </c:ext>
          </c:extLst>
        </c:ser>
        <c:ser>
          <c:idx val="3"/>
          <c:order val="3"/>
          <c:tx>
            <c:v>Max trail2_pod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All!$GJ$6:$GJ$30</c:f>
              <c:numCache>
                <c:formatCode>General</c:formatCode>
                <c:ptCount val="25"/>
                <c:pt idx="0">
                  <c:v>77.5</c:v>
                </c:pt>
                <c:pt idx="1">
                  <c:v>54.3</c:v>
                </c:pt>
                <c:pt idx="2">
                  <c:v>56.1</c:v>
                </c:pt>
                <c:pt idx="3">
                  <c:v>52.3</c:v>
                </c:pt>
                <c:pt idx="4">
                  <c:v>51.6</c:v>
                </c:pt>
                <c:pt idx="5">
                  <c:v>52.7</c:v>
                </c:pt>
                <c:pt idx="9">
                  <c:v>53.4</c:v>
                </c:pt>
                <c:pt idx="10">
                  <c:v>58.1</c:v>
                </c:pt>
                <c:pt idx="11">
                  <c:v>53.2</c:v>
                </c:pt>
                <c:pt idx="12">
                  <c:v>51.5</c:v>
                </c:pt>
                <c:pt idx="13">
                  <c:v>51.9</c:v>
                </c:pt>
                <c:pt idx="17">
                  <c:v>59.9</c:v>
                </c:pt>
                <c:pt idx="18">
                  <c:v>54.2</c:v>
                </c:pt>
                <c:pt idx="19">
                  <c:v>52.5</c:v>
                </c:pt>
                <c:pt idx="20">
                  <c:v>52.7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95D-4FBC-A668-DC3B18AC9B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1512495"/>
        <c:axId val="2070314831"/>
      </c:scatterChart>
      <c:valAx>
        <c:axId val="1921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70314831"/>
        <c:crosses val="autoZero"/>
        <c:crossBetween val="midCat"/>
      </c:valAx>
      <c:valAx>
        <c:axId val="2070314831"/>
        <c:scaling>
          <c:orientation val="minMax"/>
          <c:max val="9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21512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Control Ips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prail_ip_100%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All!$ID$6:$ID$30</c:f>
              <c:numCache>
                <c:formatCode>General</c:formatCode>
                <c:ptCount val="25"/>
                <c:pt idx="0">
                  <c:v>-5.8999999999999997E-2</c:v>
                </c:pt>
                <c:pt idx="1">
                  <c:v>-0.19700000000000001</c:v>
                </c:pt>
                <c:pt idx="2">
                  <c:v>-0.11799999999999999</c:v>
                </c:pt>
                <c:pt idx="3">
                  <c:v>-0.39300000000000002</c:v>
                </c:pt>
                <c:pt idx="4">
                  <c:v>-0.36399999999999999</c:v>
                </c:pt>
                <c:pt idx="5">
                  <c:v>-0.21099999999999999</c:v>
                </c:pt>
                <c:pt idx="9">
                  <c:v>0</c:v>
                </c:pt>
                <c:pt idx="10">
                  <c:v>-0.18</c:v>
                </c:pt>
                <c:pt idx="11">
                  <c:v>-0.36799999999999999</c:v>
                </c:pt>
                <c:pt idx="12">
                  <c:v>-0.40600000000000003</c:v>
                </c:pt>
                <c:pt idx="13">
                  <c:v>-0.31900000000000001</c:v>
                </c:pt>
                <c:pt idx="17">
                  <c:v>-0.19</c:v>
                </c:pt>
                <c:pt idx="18">
                  <c:v>-0.33500000000000002</c:v>
                </c:pt>
                <c:pt idx="19">
                  <c:v>-0.39900000000000002</c:v>
                </c:pt>
                <c:pt idx="20">
                  <c:v>-0.249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9-4E19-A8E9-C3DF3456B2D1}"/>
            </c:ext>
          </c:extLst>
        </c:ser>
        <c:ser>
          <c:idx val="1"/>
          <c:order val="1"/>
          <c:tx>
            <c:v>Ave prail_ip2_100%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All!$IE$6:$IE$30</c:f>
              <c:numCache>
                <c:formatCode>General</c:formatCode>
                <c:ptCount val="25"/>
                <c:pt idx="0">
                  <c:v>-3.6999999999999998E-2</c:v>
                </c:pt>
                <c:pt idx="1">
                  <c:v>-0.111</c:v>
                </c:pt>
                <c:pt idx="2">
                  <c:v>-5.6000000000000001E-2</c:v>
                </c:pt>
                <c:pt idx="3">
                  <c:v>-0.20100000000000001</c:v>
                </c:pt>
                <c:pt idx="4">
                  <c:v>-0.17799999999999999</c:v>
                </c:pt>
                <c:pt idx="5">
                  <c:v>-0.10199999999999999</c:v>
                </c:pt>
                <c:pt idx="9">
                  <c:v>0</c:v>
                </c:pt>
                <c:pt idx="10">
                  <c:v>-8.3000000000000004E-2</c:v>
                </c:pt>
                <c:pt idx="11">
                  <c:v>-0.17799999999999999</c:v>
                </c:pt>
                <c:pt idx="12">
                  <c:v>-0.19800000000000001</c:v>
                </c:pt>
                <c:pt idx="13">
                  <c:v>-0.151</c:v>
                </c:pt>
                <c:pt idx="17">
                  <c:v>-7.6999999999999999E-2</c:v>
                </c:pt>
                <c:pt idx="18">
                  <c:v>-0.13600000000000001</c:v>
                </c:pt>
                <c:pt idx="19">
                  <c:v>-0.159</c:v>
                </c:pt>
                <c:pt idx="20">
                  <c:v>-0.11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79-4E19-A8E9-C3DF3456B2D1}"/>
            </c:ext>
          </c:extLst>
        </c:ser>
        <c:ser>
          <c:idx val="2"/>
          <c:order val="2"/>
          <c:tx>
            <c:v>Ave p21_ip_100%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All!$IJ$6:$IJ$30</c:f>
              <c:numCache>
                <c:formatCode>General</c:formatCode>
                <c:ptCount val="25"/>
                <c:pt idx="0">
                  <c:v>7.0000000000000001E-3</c:v>
                </c:pt>
                <c:pt idx="1">
                  <c:v>8.9999999999999993E-3</c:v>
                </c:pt>
                <c:pt idx="2">
                  <c:v>7.0000000000000007E-2</c:v>
                </c:pt>
                <c:pt idx="3">
                  <c:v>3.2000000000000001E-2</c:v>
                </c:pt>
                <c:pt idx="4">
                  <c:v>-1.4999999999999999E-2</c:v>
                </c:pt>
                <c:pt idx="5">
                  <c:v>7.4999999999999997E-2</c:v>
                </c:pt>
                <c:pt idx="9">
                  <c:v>0</c:v>
                </c:pt>
                <c:pt idx="10">
                  <c:v>1.2E-2</c:v>
                </c:pt>
                <c:pt idx="11">
                  <c:v>1.6E-2</c:v>
                </c:pt>
                <c:pt idx="12">
                  <c:v>-0.01</c:v>
                </c:pt>
                <c:pt idx="13">
                  <c:v>-4.0000000000000001E-3</c:v>
                </c:pt>
                <c:pt idx="17">
                  <c:v>2.8000000000000001E-2</c:v>
                </c:pt>
                <c:pt idx="18">
                  <c:v>-2.1000000000000001E-2</c:v>
                </c:pt>
                <c:pt idx="19">
                  <c:v>-0.02</c:v>
                </c:pt>
                <c:pt idx="20">
                  <c:v>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279-4E19-A8E9-C3DF3456B2D1}"/>
            </c:ext>
          </c:extLst>
        </c:ser>
        <c:ser>
          <c:idx val="3"/>
          <c:order val="3"/>
          <c:tx>
            <c:v>Ave p21_ip2_100%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All!$IK$6:$IK$30</c:f>
              <c:numCache>
                <c:formatCode>General</c:formatCode>
                <c:ptCount val="25"/>
                <c:pt idx="0">
                  <c:v>-0.01</c:v>
                </c:pt>
                <c:pt idx="1">
                  <c:v>-4.0000000000000001E-3</c:v>
                </c:pt>
                <c:pt idx="2">
                  <c:v>0.04</c:v>
                </c:pt>
                <c:pt idx="3">
                  <c:v>-5.1999999999999998E-2</c:v>
                </c:pt>
                <c:pt idx="4">
                  <c:v>-7.0000000000000007E-2</c:v>
                </c:pt>
                <c:pt idx="5">
                  <c:v>4.9000000000000002E-2</c:v>
                </c:pt>
                <c:pt idx="9">
                  <c:v>0</c:v>
                </c:pt>
                <c:pt idx="10">
                  <c:v>2.8000000000000001E-2</c:v>
                </c:pt>
                <c:pt idx="11">
                  <c:v>2.5000000000000001E-2</c:v>
                </c:pt>
                <c:pt idx="12">
                  <c:v>3.9E-2</c:v>
                </c:pt>
                <c:pt idx="13">
                  <c:v>1.9E-2</c:v>
                </c:pt>
                <c:pt idx="17">
                  <c:v>2.7E-2</c:v>
                </c:pt>
                <c:pt idx="18">
                  <c:v>1.6E-2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279-4E19-A8E9-C3DF3456B2D1}"/>
            </c:ext>
          </c:extLst>
        </c:ser>
        <c:ser>
          <c:idx val="4"/>
          <c:order val="4"/>
          <c:tx>
            <c:v>Lap-Begin Delta I_P21_lapave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All!$IO$6:$IO$30</c:f>
              <c:numCache>
                <c:formatCode>General</c:formatCode>
                <c:ptCount val="25"/>
                <c:pt idx="0">
                  <c:v>9.2999999999999999E-2</c:v>
                </c:pt>
                <c:pt idx="1">
                  <c:v>0.10100000000000001</c:v>
                </c:pt>
                <c:pt idx="2">
                  <c:v>0.106</c:v>
                </c:pt>
                <c:pt idx="3">
                  <c:v>0.26200000000000001</c:v>
                </c:pt>
                <c:pt idx="4">
                  <c:v>0.22800000000000001</c:v>
                </c:pt>
                <c:pt idx="5">
                  <c:v>0.14799999999999999</c:v>
                </c:pt>
                <c:pt idx="9">
                  <c:v>0</c:v>
                </c:pt>
                <c:pt idx="10">
                  <c:v>0.13600000000000001</c:v>
                </c:pt>
                <c:pt idx="11">
                  <c:v>0.26300000000000001</c:v>
                </c:pt>
                <c:pt idx="12">
                  <c:v>0.27300000000000002</c:v>
                </c:pt>
                <c:pt idx="13">
                  <c:v>0.23300000000000001</c:v>
                </c:pt>
                <c:pt idx="17">
                  <c:v>0.16300000000000001</c:v>
                </c:pt>
                <c:pt idx="18">
                  <c:v>0.23100000000000001</c:v>
                </c:pt>
                <c:pt idx="19">
                  <c:v>0.24399999999999999</c:v>
                </c:pt>
                <c:pt idx="20">
                  <c:v>0.17299999999999999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279-4E19-A8E9-C3DF3456B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505343"/>
        <c:axId val="257490783"/>
      </c:scatterChart>
      <c:valAx>
        <c:axId val="2575053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7490783"/>
        <c:crosses val="autoZero"/>
        <c:crossBetween val="midCat"/>
      </c:valAx>
      <c:valAx>
        <c:axId val="257490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75053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Texh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texh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All!$IF$6:$IF$30</c:f>
              <c:numCache>
                <c:formatCode>General</c:formatCode>
                <c:ptCount val="25"/>
                <c:pt idx="0">
                  <c:v>837.2</c:v>
                </c:pt>
                <c:pt idx="1">
                  <c:v>801.7</c:v>
                </c:pt>
                <c:pt idx="2">
                  <c:v>789</c:v>
                </c:pt>
                <c:pt idx="3">
                  <c:v>802.7</c:v>
                </c:pt>
                <c:pt idx="4">
                  <c:v>816.9</c:v>
                </c:pt>
                <c:pt idx="5">
                  <c:v>795.2</c:v>
                </c:pt>
                <c:pt idx="9">
                  <c:v>491.1</c:v>
                </c:pt>
                <c:pt idx="10">
                  <c:v>812.9</c:v>
                </c:pt>
                <c:pt idx="11">
                  <c:v>805.5</c:v>
                </c:pt>
                <c:pt idx="12">
                  <c:v>803.2</c:v>
                </c:pt>
                <c:pt idx="13">
                  <c:v>803.2</c:v>
                </c:pt>
                <c:pt idx="17">
                  <c:v>794.4</c:v>
                </c:pt>
                <c:pt idx="18">
                  <c:v>802</c:v>
                </c:pt>
                <c:pt idx="19">
                  <c:v>804.4</c:v>
                </c:pt>
                <c:pt idx="20">
                  <c:v>805.2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ED-490A-9636-1BB635ED0A7D}"/>
            </c:ext>
          </c:extLst>
        </c:ser>
        <c:ser>
          <c:idx val="1"/>
          <c:order val="1"/>
          <c:tx>
            <c:v>Ave texh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All!$IG$6:$IG$30</c:f>
              <c:numCache>
                <c:formatCode>General</c:formatCode>
                <c:ptCount val="25"/>
                <c:pt idx="0">
                  <c:v>236</c:v>
                </c:pt>
                <c:pt idx="1">
                  <c:v>662.4</c:v>
                </c:pt>
                <c:pt idx="2">
                  <c:v>604.5</c:v>
                </c:pt>
                <c:pt idx="3">
                  <c:v>748.9</c:v>
                </c:pt>
                <c:pt idx="4">
                  <c:v>755.3</c:v>
                </c:pt>
                <c:pt idx="5">
                  <c:v>705.2</c:v>
                </c:pt>
                <c:pt idx="9">
                  <c:v>475.8</c:v>
                </c:pt>
                <c:pt idx="10">
                  <c:v>697</c:v>
                </c:pt>
                <c:pt idx="11">
                  <c:v>759.6</c:v>
                </c:pt>
                <c:pt idx="12">
                  <c:v>761.4</c:v>
                </c:pt>
                <c:pt idx="13">
                  <c:v>748</c:v>
                </c:pt>
                <c:pt idx="17">
                  <c:v>672.3</c:v>
                </c:pt>
                <c:pt idx="18">
                  <c:v>756.7</c:v>
                </c:pt>
                <c:pt idx="19">
                  <c:v>756.8</c:v>
                </c:pt>
                <c:pt idx="20">
                  <c:v>740.2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ED-490A-9636-1BB635ED0A7D}"/>
            </c:ext>
          </c:extLst>
        </c:ser>
        <c:ser>
          <c:idx val="2"/>
          <c:order val="2"/>
          <c:tx>
            <c:v>Max texh2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All!$IH$6:$IH$30</c:f>
              <c:numCache>
                <c:formatCode>General</c:formatCode>
                <c:ptCount val="25"/>
                <c:pt idx="0">
                  <c:v>819.7</c:v>
                </c:pt>
                <c:pt idx="1">
                  <c:v>811.3</c:v>
                </c:pt>
                <c:pt idx="2">
                  <c:v>799</c:v>
                </c:pt>
                <c:pt idx="3">
                  <c:v>812.9</c:v>
                </c:pt>
                <c:pt idx="4">
                  <c:v>814.6</c:v>
                </c:pt>
                <c:pt idx="5">
                  <c:v>804.9</c:v>
                </c:pt>
                <c:pt idx="9">
                  <c:v>530.9</c:v>
                </c:pt>
                <c:pt idx="10">
                  <c:v>816.9</c:v>
                </c:pt>
                <c:pt idx="11">
                  <c:v>814.8</c:v>
                </c:pt>
                <c:pt idx="12">
                  <c:v>816</c:v>
                </c:pt>
                <c:pt idx="13">
                  <c:v>815</c:v>
                </c:pt>
                <c:pt idx="17">
                  <c:v>806</c:v>
                </c:pt>
                <c:pt idx="18">
                  <c:v>809.1</c:v>
                </c:pt>
                <c:pt idx="19">
                  <c:v>802.6</c:v>
                </c:pt>
                <c:pt idx="20">
                  <c:v>815.9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ED-490A-9636-1BB635ED0A7D}"/>
            </c:ext>
          </c:extLst>
        </c:ser>
        <c:ser>
          <c:idx val="3"/>
          <c:order val="3"/>
          <c:tx>
            <c:v>Ave texh2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All!$II$6:$II$30</c:f>
              <c:numCache>
                <c:formatCode>General</c:formatCode>
                <c:ptCount val="25"/>
                <c:pt idx="0">
                  <c:v>243.8</c:v>
                </c:pt>
                <c:pt idx="1">
                  <c:v>675.8</c:v>
                </c:pt>
                <c:pt idx="2">
                  <c:v>617.6</c:v>
                </c:pt>
                <c:pt idx="3">
                  <c:v>761.4</c:v>
                </c:pt>
                <c:pt idx="4">
                  <c:v>765.9</c:v>
                </c:pt>
                <c:pt idx="5">
                  <c:v>721.3</c:v>
                </c:pt>
                <c:pt idx="9">
                  <c:v>513.1</c:v>
                </c:pt>
                <c:pt idx="10">
                  <c:v>710</c:v>
                </c:pt>
                <c:pt idx="11">
                  <c:v>770.8</c:v>
                </c:pt>
                <c:pt idx="12">
                  <c:v>772.6</c:v>
                </c:pt>
                <c:pt idx="13">
                  <c:v>763.1</c:v>
                </c:pt>
                <c:pt idx="17">
                  <c:v>688.1</c:v>
                </c:pt>
                <c:pt idx="18">
                  <c:v>769.1</c:v>
                </c:pt>
                <c:pt idx="19">
                  <c:v>767.8</c:v>
                </c:pt>
                <c:pt idx="20">
                  <c:v>753.8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ED-490A-9636-1BB635ED0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501599"/>
        <c:axId val="257508671"/>
      </c:scatterChart>
      <c:scatterChart>
        <c:scatterStyle val="lineMarker"/>
        <c:varyColors val="0"/>
        <c:ser>
          <c:idx val="4"/>
          <c:order val="4"/>
          <c:tx>
            <c:v>Lap-Begin Delta Texh_lapave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All!$IN$6:$IN$30</c:f>
              <c:numCache>
                <c:formatCode>General</c:formatCode>
                <c:ptCount val="25"/>
                <c:pt idx="0">
                  <c:v>8.1180000000000003</c:v>
                </c:pt>
                <c:pt idx="1">
                  <c:v>13.439</c:v>
                </c:pt>
                <c:pt idx="2">
                  <c:v>13.276999999999999</c:v>
                </c:pt>
                <c:pt idx="3">
                  <c:v>12.606</c:v>
                </c:pt>
                <c:pt idx="4">
                  <c:v>10.904</c:v>
                </c:pt>
                <c:pt idx="5">
                  <c:v>16.076000000000001</c:v>
                </c:pt>
                <c:pt idx="9">
                  <c:v>37.353000000000002</c:v>
                </c:pt>
                <c:pt idx="10">
                  <c:v>13.13</c:v>
                </c:pt>
                <c:pt idx="11">
                  <c:v>11.327</c:v>
                </c:pt>
                <c:pt idx="12">
                  <c:v>11.247</c:v>
                </c:pt>
                <c:pt idx="13">
                  <c:v>15.064</c:v>
                </c:pt>
                <c:pt idx="17">
                  <c:v>15.933</c:v>
                </c:pt>
                <c:pt idx="18">
                  <c:v>12.394</c:v>
                </c:pt>
                <c:pt idx="19">
                  <c:v>11.096</c:v>
                </c:pt>
                <c:pt idx="20">
                  <c:v>13.632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ED-490A-9636-1BB635ED0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05295"/>
        <c:axId val="136315695"/>
      </c:scatterChart>
      <c:valAx>
        <c:axId val="25750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7508671"/>
        <c:crosses val="autoZero"/>
        <c:crossBetween val="midCat"/>
      </c:valAx>
      <c:valAx>
        <c:axId val="25750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7501599"/>
        <c:crosses val="autoZero"/>
        <c:crossBetween val="midCat"/>
      </c:valAx>
      <c:valAx>
        <c:axId val="136315695"/>
        <c:scaling>
          <c:orientation val="minMax"/>
          <c:max val="5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6305295"/>
        <c:crosses val="max"/>
        <c:crossBetween val="midCat"/>
      </c:valAx>
      <c:valAx>
        <c:axId val="136305295"/>
        <c:scaling>
          <c:orientation val="minMax"/>
        </c:scaling>
        <c:delete val="1"/>
        <c:axPos val="b"/>
        <c:majorTickMark val="out"/>
        <c:minorTickMark val="none"/>
        <c:tickLblPos val="nextTo"/>
        <c:crossAx val="1363156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Catch tank level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FIA_xOilLevel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All!$IP$6:$IP$30</c:f>
              <c:numCache>
                <c:formatCode>General</c:formatCode>
                <c:ptCount val="25"/>
                <c:pt idx="0">
                  <c:v>10.119999999999999</c:v>
                </c:pt>
                <c:pt idx="1">
                  <c:v>9.01</c:v>
                </c:pt>
                <c:pt idx="2">
                  <c:v>9.32</c:v>
                </c:pt>
                <c:pt idx="3">
                  <c:v>9.59</c:v>
                </c:pt>
                <c:pt idx="4">
                  <c:v>9.61</c:v>
                </c:pt>
                <c:pt idx="5">
                  <c:v>9.89</c:v>
                </c:pt>
                <c:pt idx="9">
                  <c:v>10.56</c:v>
                </c:pt>
                <c:pt idx="10">
                  <c:v>10.1</c:v>
                </c:pt>
                <c:pt idx="11">
                  <c:v>9.8699999999999992</c:v>
                </c:pt>
                <c:pt idx="12">
                  <c:v>9.77</c:v>
                </c:pt>
                <c:pt idx="13">
                  <c:v>9.73</c:v>
                </c:pt>
                <c:pt idx="17">
                  <c:v>9.83</c:v>
                </c:pt>
                <c:pt idx="18">
                  <c:v>9.5</c:v>
                </c:pt>
                <c:pt idx="19">
                  <c:v>9.48</c:v>
                </c:pt>
                <c:pt idx="20">
                  <c:v>9.4700000000000006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7A-4481-A43B-5D1202CE4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500767"/>
        <c:axId val="257501183"/>
      </c:scatterChart>
      <c:valAx>
        <c:axId val="2575007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7501183"/>
        <c:crosses val="autoZero"/>
        <c:crossBetween val="midCat"/>
      </c:valAx>
      <c:valAx>
        <c:axId val="257501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75007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Battery voltage [V]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ub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All!$CG$6:$CG$30</c:f>
              <c:numCache>
                <c:formatCode>General</c:formatCode>
                <c:ptCount val="25"/>
                <c:pt idx="0">
                  <c:v>13.036</c:v>
                </c:pt>
                <c:pt idx="1">
                  <c:v>13.962</c:v>
                </c:pt>
                <c:pt idx="2">
                  <c:v>14.005000000000001</c:v>
                </c:pt>
                <c:pt idx="3">
                  <c:v>13.938000000000001</c:v>
                </c:pt>
                <c:pt idx="4">
                  <c:v>13.943</c:v>
                </c:pt>
                <c:pt idx="5">
                  <c:v>13.962</c:v>
                </c:pt>
                <c:pt idx="9">
                  <c:v>13.206</c:v>
                </c:pt>
                <c:pt idx="10">
                  <c:v>13.855</c:v>
                </c:pt>
                <c:pt idx="11">
                  <c:v>13.944000000000001</c:v>
                </c:pt>
                <c:pt idx="12">
                  <c:v>13.943</c:v>
                </c:pt>
                <c:pt idx="13">
                  <c:v>13.958</c:v>
                </c:pt>
                <c:pt idx="17">
                  <c:v>13.696999999999999</c:v>
                </c:pt>
                <c:pt idx="18">
                  <c:v>13.942</c:v>
                </c:pt>
                <c:pt idx="19">
                  <c:v>13.939</c:v>
                </c:pt>
                <c:pt idx="20">
                  <c:v>13.95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D6-4A7F-BDFC-FFEE931611D3}"/>
            </c:ext>
          </c:extLst>
        </c:ser>
        <c:ser>
          <c:idx val="1"/>
          <c:order val="1"/>
          <c:tx>
            <c:v>Min ub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All!$CH$6:$CH$30</c:f>
              <c:numCache>
                <c:formatCode>General</c:formatCode>
                <c:ptCount val="25"/>
                <c:pt idx="0">
                  <c:v>9.7460000000000004</c:v>
                </c:pt>
                <c:pt idx="1">
                  <c:v>13.56</c:v>
                </c:pt>
                <c:pt idx="2">
                  <c:v>13.826000000000001</c:v>
                </c:pt>
                <c:pt idx="3">
                  <c:v>13.775</c:v>
                </c:pt>
                <c:pt idx="4">
                  <c:v>13.795999999999999</c:v>
                </c:pt>
                <c:pt idx="5">
                  <c:v>10.569000000000001</c:v>
                </c:pt>
                <c:pt idx="9">
                  <c:v>12.936999999999999</c:v>
                </c:pt>
                <c:pt idx="10">
                  <c:v>10.446999999999999</c:v>
                </c:pt>
                <c:pt idx="11">
                  <c:v>13.778</c:v>
                </c:pt>
                <c:pt idx="12">
                  <c:v>13.759</c:v>
                </c:pt>
                <c:pt idx="13">
                  <c:v>13.746</c:v>
                </c:pt>
                <c:pt idx="17">
                  <c:v>10.012</c:v>
                </c:pt>
                <c:pt idx="18">
                  <c:v>13.8</c:v>
                </c:pt>
                <c:pt idx="19">
                  <c:v>13.781000000000001</c:v>
                </c:pt>
                <c:pt idx="20">
                  <c:v>13.507999999999999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D6-4A7F-BDFC-FFEE931611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497855"/>
        <c:axId val="257498687"/>
      </c:scatterChart>
      <c:scatterChart>
        <c:scatterStyle val="lineMarker"/>
        <c:varyColors val="0"/>
        <c:ser>
          <c:idx val="2"/>
          <c:order val="2"/>
          <c:tx>
            <c:v>Min SOC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All!$GK$6:$GK$30</c:f>
              <c:numCache>
                <c:formatCode>General</c:formatCode>
                <c:ptCount val="25"/>
                <c:pt idx="0">
                  <c:v>63</c:v>
                </c:pt>
                <c:pt idx="1">
                  <c:v>87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9">
                  <c:v>89</c:v>
                </c:pt>
                <c:pt idx="10">
                  <c:v>98.5</c:v>
                </c:pt>
                <c:pt idx="11">
                  <c:v>99.5</c:v>
                </c:pt>
                <c:pt idx="12">
                  <c:v>99.5</c:v>
                </c:pt>
                <c:pt idx="13">
                  <c:v>99.5</c:v>
                </c:pt>
                <c:pt idx="17">
                  <c:v>95.5</c:v>
                </c:pt>
                <c:pt idx="18">
                  <c:v>99.5</c:v>
                </c:pt>
                <c:pt idx="19">
                  <c:v>99.5</c:v>
                </c:pt>
                <c:pt idx="20">
                  <c:v>99.5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D6-4A7F-BDFC-FFEE931611D3}"/>
            </c:ext>
          </c:extLst>
        </c:ser>
        <c:ser>
          <c:idx val="3"/>
          <c:order val="3"/>
          <c:tx>
            <c:v>Max DeviceInfo_PowerstageCurrentSumH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All!$GL$6:$GL$30</c:f>
              <c:numCache>
                <c:formatCode>General</c:formatCode>
                <c:ptCount val="25"/>
                <c:pt idx="0">
                  <c:v>80</c:v>
                </c:pt>
                <c:pt idx="1">
                  <c:v>75.2</c:v>
                </c:pt>
                <c:pt idx="2">
                  <c:v>94.6</c:v>
                </c:pt>
                <c:pt idx="3">
                  <c:v>96.8</c:v>
                </c:pt>
                <c:pt idx="4">
                  <c:v>90.9</c:v>
                </c:pt>
                <c:pt idx="5">
                  <c:v>75.099999999999994</c:v>
                </c:pt>
                <c:pt idx="9">
                  <c:v>24</c:v>
                </c:pt>
                <c:pt idx="10">
                  <c:v>90.2</c:v>
                </c:pt>
                <c:pt idx="11">
                  <c:v>77.3</c:v>
                </c:pt>
                <c:pt idx="12">
                  <c:v>77.099999999999994</c:v>
                </c:pt>
                <c:pt idx="13">
                  <c:v>74.2</c:v>
                </c:pt>
                <c:pt idx="17">
                  <c:v>100.5</c:v>
                </c:pt>
                <c:pt idx="18">
                  <c:v>89.7</c:v>
                </c:pt>
                <c:pt idx="19">
                  <c:v>90.3</c:v>
                </c:pt>
                <c:pt idx="20">
                  <c:v>77.2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D6-4A7F-BDFC-FFEE931611D3}"/>
            </c:ext>
          </c:extLst>
        </c:ser>
        <c:ser>
          <c:idx val="4"/>
          <c:order val="4"/>
          <c:tx>
            <c:v>Max DeviceInfo_PowerstageCurrentSumL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All!$GM$6:$GM$30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3D6-4A7F-BDFC-FFEE931611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16943"/>
        <c:axId val="136318607"/>
      </c:scatterChart>
      <c:valAx>
        <c:axId val="2574978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7498687"/>
        <c:crosses val="autoZero"/>
        <c:crossBetween val="midCat"/>
      </c:valAx>
      <c:valAx>
        <c:axId val="257498687"/>
        <c:scaling>
          <c:orientation val="minMax"/>
          <c:max val="16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7497855"/>
        <c:crosses val="autoZero"/>
        <c:crossBetween val="midCat"/>
      </c:valAx>
      <c:valAx>
        <c:axId val="136318607"/>
        <c:scaling>
          <c:orientation val="minMax"/>
          <c:max val="150"/>
          <c:min val="5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6316943"/>
        <c:crosses val="max"/>
        <c:crossBetween val="midCat"/>
      </c:valAx>
      <c:valAx>
        <c:axId val="136316943"/>
        <c:scaling>
          <c:orientation val="minMax"/>
        </c:scaling>
        <c:delete val="1"/>
        <c:axPos val="b"/>
        <c:majorTickMark val="out"/>
        <c:minorTickMark val="none"/>
        <c:tickLblPos val="nextTo"/>
        <c:crossAx val="1363186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Gearbox actuator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Lap-Begin Ave_E-shift_Current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All!$GN$6:$GN$30</c:f>
              <c:numCache>
                <c:formatCode>General</c:formatCode>
                <c:ptCount val="25"/>
                <c:pt idx="0">
                  <c:v>24.276</c:v>
                </c:pt>
                <c:pt idx="1">
                  <c:v>26.259</c:v>
                </c:pt>
                <c:pt idx="2">
                  <c:v>26.568000000000001</c:v>
                </c:pt>
                <c:pt idx="3">
                  <c:v>26.419</c:v>
                </c:pt>
                <c:pt idx="4">
                  <c:v>27.54</c:v>
                </c:pt>
                <c:pt idx="5">
                  <c:v>26.741</c:v>
                </c:pt>
                <c:pt idx="10">
                  <c:v>27.611000000000001</c:v>
                </c:pt>
                <c:pt idx="11">
                  <c:v>27.795999999999999</c:v>
                </c:pt>
                <c:pt idx="12">
                  <c:v>26.353000000000002</c:v>
                </c:pt>
                <c:pt idx="13">
                  <c:v>28.184000000000001</c:v>
                </c:pt>
                <c:pt idx="17">
                  <c:v>27.949000000000002</c:v>
                </c:pt>
                <c:pt idx="18">
                  <c:v>27.423999999999999</c:v>
                </c:pt>
                <c:pt idx="19">
                  <c:v>27.596</c:v>
                </c:pt>
                <c:pt idx="20">
                  <c:v>28.731000000000002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AE-42FC-A681-F3061990A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510751"/>
        <c:axId val="257514495"/>
      </c:scatterChart>
      <c:valAx>
        <c:axId val="2575107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7514495"/>
        <c:crosses val="autoZero"/>
        <c:crossBetween val="midCat"/>
      </c:valAx>
      <c:valAx>
        <c:axId val="257514495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75107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Dog to dog time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time_d2d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All!$CT$6:$CT$30</c:f>
              <c:numCache>
                <c:formatCode>General</c:formatCode>
                <c:ptCount val="25"/>
                <c:pt idx="0">
                  <c:v>0.24299999999999999</c:v>
                </c:pt>
                <c:pt idx="1">
                  <c:v>0.185</c:v>
                </c:pt>
                <c:pt idx="2">
                  <c:v>0.25600000000000001</c:v>
                </c:pt>
                <c:pt idx="3">
                  <c:v>0.313</c:v>
                </c:pt>
                <c:pt idx="4">
                  <c:v>0.42299999999999999</c:v>
                </c:pt>
                <c:pt idx="5">
                  <c:v>0.28599999999999998</c:v>
                </c:pt>
                <c:pt idx="9">
                  <c:v>0</c:v>
                </c:pt>
                <c:pt idx="10">
                  <c:v>0.34799999999999998</c:v>
                </c:pt>
                <c:pt idx="11">
                  <c:v>0.311</c:v>
                </c:pt>
                <c:pt idx="12">
                  <c:v>0.29099999999999998</c:v>
                </c:pt>
                <c:pt idx="13">
                  <c:v>0.40600000000000003</c:v>
                </c:pt>
                <c:pt idx="17">
                  <c:v>0.44900000000000001</c:v>
                </c:pt>
                <c:pt idx="18">
                  <c:v>0.379</c:v>
                </c:pt>
                <c:pt idx="19">
                  <c:v>0.39100000000000001</c:v>
                </c:pt>
                <c:pt idx="20">
                  <c:v>0.52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89-4B84-882E-C1FF36B74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926639"/>
        <c:axId val="134927471"/>
      </c:scatterChart>
      <c:valAx>
        <c:axId val="1349266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4927471"/>
        <c:crosses val="autoZero"/>
        <c:crossBetween val="midCat"/>
      </c:valAx>
      <c:valAx>
        <c:axId val="134927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49266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EPS motor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eps_motor_cur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All!$ER$6:$ER$30</c:f>
              <c:numCache>
                <c:formatCode>General</c:formatCode>
                <c:ptCount val="25"/>
                <c:pt idx="0">
                  <c:v>101.098</c:v>
                </c:pt>
                <c:pt idx="1">
                  <c:v>103.434</c:v>
                </c:pt>
                <c:pt idx="2">
                  <c:v>123.29</c:v>
                </c:pt>
                <c:pt idx="3">
                  <c:v>107.23</c:v>
                </c:pt>
                <c:pt idx="4">
                  <c:v>108.10599999999999</c:v>
                </c:pt>
                <c:pt idx="5">
                  <c:v>99.054000000000002</c:v>
                </c:pt>
                <c:pt idx="9">
                  <c:v>0.65</c:v>
                </c:pt>
                <c:pt idx="10">
                  <c:v>84.453999999999994</c:v>
                </c:pt>
                <c:pt idx="11">
                  <c:v>106.938</c:v>
                </c:pt>
                <c:pt idx="12">
                  <c:v>116.282</c:v>
                </c:pt>
                <c:pt idx="13">
                  <c:v>130.006</c:v>
                </c:pt>
                <c:pt idx="17">
                  <c:v>97.593999999999994</c:v>
                </c:pt>
                <c:pt idx="18">
                  <c:v>99.346000000000004</c:v>
                </c:pt>
                <c:pt idx="19">
                  <c:v>105.47799999999999</c:v>
                </c:pt>
                <c:pt idx="20">
                  <c:v>82.41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62-4EA0-9B33-9565C465E2AA}"/>
            </c:ext>
          </c:extLst>
        </c:ser>
        <c:ser>
          <c:idx val="1"/>
          <c:order val="1"/>
          <c:tx>
            <c:v>Ave eps_motor_cur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All!$EQ$6:$EQ$30</c:f>
              <c:numCache>
                <c:formatCode>General</c:formatCode>
                <c:ptCount val="25"/>
                <c:pt idx="0">
                  <c:v>-0.25700000000000001</c:v>
                </c:pt>
                <c:pt idx="1">
                  <c:v>-1.63</c:v>
                </c:pt>
                <c:pt idx="2">
                  <c:v>-6.8000000000000005E-2</c:v>
                </c:pt>
                <c:pt idx="3">
                  <c:v>-2.2509999999999999</c:v>
                </c:pt>
                <c:pt idx="4">
                  <c:v>-2.298</c:v>
                </c:pt>
                <c:pt idx="5">
                  <c:v>-0.86599999999999999</c:v>
                </c:pt>
                <c:pt idx="9">
                  <c:v>-0.14299999999999999</c:v>
                </c:pt>
                <c:pt idx="10">
                  <c:v>-1.0880000000000001</c:v>
                </c:pt>
                <c:pt idx="11">
                  <c:v>-2.274</c:v>
                </c:pt>
                <c:pt idx="12">
                  <c:v>-2.57</c:v>
                </c:pt>
                <c:pt idx="13">
                  <c:v>-2.3730000000000002</c:v>
                </c:pt>
                <c:pt idx="17">
                  <c:v>-1.6910000000000001</c:v>
                </c:pt>
                <c:pt idx="18">
                  <c:v>-2.7149999999999999</c:v>
                </c:pt>
                <c:pt idx="19">
                  <c:v>-2.621</c:v>
                </c:pt>
                <c:pt idx="20">
                  <c:v>-2.4129999999999998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62-4EA0-9B33-9565C465E2AA}"/>
            </c:ext>
          </c:extLst>
        </c:ser>
        <c:ser>
          <c:idx val="2"/>
          <c:order val="2"/>
          <c:tx>
            <c:v>Min eps_motor_cur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All!$EP$6:$EP$30</c:f>
              <c:numCache>
                <c:formatCode>General</c:formatCode>
                <c:ptCount val="25"/>
                <c:pt idx="0">
                  <c:v>-97.462000000000003</c:v>
                </c:pt>
                <c:pt idx="1">
                  <c:v>-103.886</c:v>
                </c:pt>
                <c:pt idx="2">
                  <c:v>-86.95</c:v>
                </c:pt>
                <c:pt idx="3">
                  <c:v>-122.282</c:v>
                </c:pt>
                <c:pt idx="4">
                  <c:v>-108.85</c:v>
                </c:pt>
                <c:pt idx="5">
                  <c:v>-100.96599999999999</c:v>
                </c:pt>
                <c:pt idx="9">
                  <c:v>-0.81</c:v>
                </c:pt>
                <c:pt idx="10">
                  <c:v>-84.76</c:v>
                </c:pt>
                <c:pt idx="11">
                  <c:v>-117.026</c:v>
                </c:pt>
                <c:pt idx="12">
                  <c:v>-118.77800000000001</c:v>
                </c:pt>
                <c:pt idx="13">
                  <c:v>-111.47799999999999</c:v>
                </c:pt>
                <c:pt idx="17">
                  <c:v>-108.26600000000001</c:v>
                </c:pt>
                <c:pt idx="18">
                  <c:v>-109.142</c:v>
                </c:pt>
                <c:pt idx="19">
                  <c:v>-113.52200000000001</c:v>
                </c:pt>
                <c:pt idx="20">
                  <c:v>-105.346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62-4EA0-9B33-9565C465E2AA}"/>
            </c:ext>
          </c:extLst>
        </c:ser>
        <c:ser>
          <c:idx val="3"/>
          <c:order val="3"/>
          <c:tx>
            <c:v>Max abs_EPS_Motor_Current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All!$GO$6:$GO$30</c:f>
              <c:numCache>
                <c:formatCode>General</c:formatCode>
                <c:ptCount val="25"/>
                <c:pt idx="0">
                  <c:v>101.098</c:v>
                </c:pt>
                <c:pt idx="1">
                  <c:v>103.886</c:v>
                </c:pt>
                <c:pt idx="2">
                  <c:v>123.29</c:v>
                </c:pt>
                <c:pt idx="3">
                  <c:v>122.282</c:v>
                </c:pt>
                <c:pt idx="4">
                  <c:v>108.85</c:v>
                </c:pt>
                <c:pt idx="5">
                  <c:v>100.96599999999999</c:v>
                </c:pt>
                <c:pt idx="9">
                  <c:v>0.81</c:v>
                </c:pt>
                <c:pt idx="10">
                  <c:v>84.76</c:v>
                </c:pt>
                <c:pt idx="11">
                  <c:v>117.026</c:v>
                </c:pt>
                <c:pt idx="12">
                  <c:v>118.77800000000001</c:v>
                </c:pt>
                <c:pt idx="13">
                  <c:v>130.006</c:v>
                </c:pt>
                <c:pt idx="17">
                  <c:v>108.26600000000001</c:v>
                </c:pt>
                <c:pt idx="18">
                  <c:v>109.142</c:v>
                </c:pt>
                <c:pt idx="19">
                  <c:v>113.52200000000001</c:v>
                </c:pt>
                <c:pt idx="20">
                  <c:v>105.346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62-4EA0-9B33-9565C465E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057983"/>
        <c:axId val="74055487"/>
      </c:scatterChart>
      <c:valAx>
        <c:axId val="74057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055487"/>
        <c:crosses val="autoZero"/>
        <c:crossBetween val="midCat"/>
      </c:valAx>
      <c:valAx>
        <c:axId val="74055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0579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lift pumps_1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cu_fuel_lift_01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All!$GQ$6:$GQ$30</c:f>
              <c:numCache>
                <c:formatCode>General</c:formatCode>
                <c:ptCount val="25"/>
                <c:pt idx="0">
                  <c:v>5.31</c:v>
                </c:pt>
                <c:pt idx="1">
                  <c:v>1.9470000000000001</c:v>
                </c:pt>
                <c:pt idx="2">
                  <c:v>1.9470000000000001</c:v>
                </c:pt>
                <c:pt idx="3">
                  <c:v>1.8879999999999999</c:v>
                </c:pt>
                <c:pt idx="4">
                  <c:v>1.8879999999999999</c:v>
                </c:pt>
                <c:pt idx="5">
                  <c:v>5.133</c:v>
                </c:pt>
                <c:pt idx="9">
                  <c:v>1.77</c:v>
                </c:pt>
                <c:pt idx="10">
                  <c:v>4.2480000000000002</c:v>
                </c:pt>
                <c:pt idx="11">
                  <c:v>1.8879999999999999</c:v>
                </c:pt>
                <c:pt idx="12">
                  <c:v>1.9470000000000001</c:v>
                </c:pt>
                <c:pt idx="13">
                  <c:v>1.8879999999999999</c:v>
                </c:pt>
                <c:pt idx="17">
                  <c:v>4.13</c:v>
                </c:pt>
                <c:pt idx="18">
                  <c:v>1.8879999999999999</c:v>
                </c:pt>
                <c:pt idx="19">
                  <c:v>1.8879999999999999</c:v>
                </c:pt>
                <c:pt idx="20">
                  <c:v>1.9470000000000001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D-48A2-8195-68D592E899F4}"/>
            </c:ext>
          </c:extLst>
        </c:ser>
        <c:ser>
          <c:idx val="1"/>
          <c:order val="1"/>
          <c:tx>
            <c:v>Ave cu_fuel_lift_01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All!$ES$6:$ES$30</c:f>
              <c:numCache>
                <c:formatCode>General</c:formatCode>
                <c:ptCount val="25"/>
                <c:pt idx="0">
                  <c:v>0.48799999999999999</c:v>
                </c:pt>
                <c:pt idx="1">
                  <c:v>1.5820000000000001</c:v>
                </c:pt>
                <c:pt idx="2">
                  <c:v>1.605</c:v>
                </c:pt>
                <c:pt idx="3">
                  <c:v>1.486</c:v>
                </c:pt>
                <c:pt idx="4">
                  <c:v>1.4510000000000001</c:v>
                </c:pt>
                <c:pt idx="5">
                  <c:v>1.5049999999999999</c:v>
                </c:pt>
                <c:pt idx="9">
                  <c:v>0.77600000000000002</c:v>
                </c:pt>
                <c:pt idx="10">
                  <c:v>1.2070000000000001</c:v>
                </c:pt>
                <c:pt idx="11">
                  <c:v>1.54</c:v>
                </c:pt>
                <c:pt idx="12">
                  <c:v>1.494</c:v>
                </c:pt>
                <c:pt idx="13">
                  <c:v>1.4990000000000001</c:v>
                </c:pt>
                <c:pt idx="17">
                  <c:v>1.3029999999999999</c:v>
                </c:pt>
                <c:pt idx="18">
                  <c:v>1.4279999999999999</c:v>
                </c:pt>
                <c:pt idx="19">
                  <c:v>1.3979999999999999</c:v>
                </c:pt>
                <c:pt idx="20">
                  <c:v>1.42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D-48A2-8195-68D592E899F4}"/>
            </c:ext>
          </c:extLst>
        </c:ser>
        <c:ser>
          <c:idx val="2"/>
          <c:order val="2"/>
          <c:tx>
            <c:v>Min cu_fuel_lift_01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All!$GP$6:$GP$30</c:f>
              <c:numCache>
                <c:formatCode>General</c:formatCode>
                <c:ptCount val="25"/>
                <c:pt idx="0">
                  <c:v>0</c:v>
                </c:pt>
                <c:pt idx="1">
                  <c:v>1.0620000000000001</c:v>
                </c:pt>
                <c:pt idx="2">
                  <c:v>0.94399999999999995</c:v>
                </c:pt>
                <c:pt idx="3">
                  <c:v>0.53100000000000003</c:v>
                </c:pt>
                <c:pt idx="4">
                  <c:v>0.53100000000000003</c:v>
                </c:pt>
                <c:pt idx="5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0.88500000000000001</c:v>
                </c:pt>
                <c:pt idx="12">
                  <c:v>0.53100000000000003</c:v>
                </c:pt>
                <c:pt idx="13">
                  <c:v>0</c:v>
                </c:pt>
                <c:pt idx="17">
                  <c:v>0</c:v>
                </c:pt>
                <c:pt idx="18">
                  <c:v>0.53100000000000003</c:v>
                </c:pt>
                <c:pt idx="19">
                  <c:v>0.41299999999999998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6D-48A2-8195-68D592E89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4732239"/>
        <c:axId val="2014728079"/>
      </c:scatterChart>
      <c:valAx>
        <c:axId val="20147322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14728079"/>
        <c:crosses val="autoZero"/>
        <c:crossBetween val="midCat"/>
      </c:valAx>
      <c:valAx>
        <c:axId val="2014728079"/>
        <c:scaling>
          <c:orientation val="minMax"/>
          <c:max val="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147322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lift pumps_2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cu_fuel_lift_02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All!$GS$6:$GS$30</c:f>
              <c:numCache>
                <c:formatCode>General</c:formatCode>
                <c:ptCount val="25"/>
                <c:pt idx="0">
                  <c:v>5.782</c:v>
                </c:pt>
                <c:pt idx="1">
                  <c:v>2.0059999999999998</c:v>
                </c:pt>
                <c:pt idx="2">
                  <c:v>2.0059999999999998</c:v>
                </c:pt>
                <c:pt idx="3">
                  <c:v>2.0059999999999998</c:v>
                </c:pt>
                <c:pt idx="4">
                  <c:v>2.0059999999999998</c:v>
                </c:pt>
                <c:pt idx="5">
                  <c:v>5.0739999999999998</c:v>
                </c:pt>
                <c:pt idx="9">
                  <c:v>1.77</c:v>
                </c:pt>
                <c:pt idx="10">
                  <c:v>5.1920000000000002</c:v>
                </c:pt>
                <c:pt idx="11">
                  <c:v>2.0649999999999999</c:v>
                </c:pt>
                <c:pt idx="12">
                  <c:v>2.0059999999999998</c:v>
                </c:pt>
                <c:pt idx="13">
                  <c:v>2.0059999999999998</c:v>
                </c:pt>
                <c:pt idx="17">
                  <c:v>4.13</c:v>
                </c:pt>
                <c:pt idx="18">
                  <c:v>2.0059999999999998</c:v>
                </c:pt>
                <c:pt idx="19">
                  <c:v>2.0059999999999998</c:v>
                </c:pt>
                <c:pt idx="20">
                  <c:v>2.0059999999999998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C8-49DE-A2AE-62B9B4877973}"/>
            </c:ext>
          </c:extLst>
        </c:ser>
        <c:ser>
          <c:idx val="1"/>
          <c:order val="1"/>
          <c:tx>
            <c:v>Ave cu_fuel_lift_02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All!$ET$6:$ET$30</c:f>
              <c:numCache>
                <c:formatCode>General</c:formatCode>
                <c:ptCount val="25"/>
                <c:pt idx="0">
                  <c:v>0.50700000000000001</c:v>
                </c:pt>
                <c:pt idx="1">
                  <c:v>1.649</c:v>
                </c:pt>
                <c:pt idx="2">
                  <c:v>1.6859999999999999</c:v>
                </c:pt>
                <c:pt idx="3">
                  <c:v>1.661</c:v>
                </c:pt>
                <c:pt idx="4">
                  <c:v>1.657</c:v>
                </c:pt>
                <c:pt idx="5">
                  <c:v>1.627</c:v>
                </c:pt>
                <c:pt idx="9">
                  <c:v>0.8</c:v>
                </c:pt>
                <c:pt idx="10">
                  <c:v>1.242</c:v>
                </c:pt>
                <c:pt idx="11">
                  <c:v>1.649</c:v>
                </c:pt>
                <c:pt idx="12">
                  <c:v>1.6459999999999999</c:v>
                </c:pt>
                <c:pt idx="13">
                  <c:v>1.63</c:v>
                </c:pt>
                <c:pt idx="17">
                  <c:v>1.4219999999999999</c:v>
                </c:pt>
                <c:pt idx="18">
                  <c:v>1.6259999999999999</c:v>
                </c:pt>
                <c:pt idx="19">
                  <c:v>1.6020000000000001</c:v>
                </c:pt>
                <c:pt idx="20">
                  <c:v>1.5960000000000001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C8-49DE-A2AE-62B9B4877973}"/>
            </c:ext>
          </c:extLst>
        </c:ser>
        <c:ser>
          <c:idx val="2"/>
          <c:order val="2"/>
          <c:tx>
            <c:v>Min cu_fuel_lift_02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All!$GR$6:$GR$30</c:f>
              <c:numCache>
                <c:formatCode>General</c:formatCode>
                <c:ptCount val="25"/>
                <c:pt idx="0">
                  <c:v>0</c:v>
                </c:pt>
                <c:pt idx="1">
                  <c:v>1.298</c:v>
                </c:pt>
                <c:pt idx="2">
                  <c:v>1.357</c:v>
                </c:pt>
                <c:pt idx="3">
                  <c:v>1.298</c:v>
                </c:pt>
                <c:pt idx="4">
                  <c:v>1.121</c:v>
                </c:pt>
                <c:pt idx="5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1.298</c:v>
                </c:pt>
                <c:pt idx="12">
                  <c:v>1.298</c:v>
                </c:pt>
                <c:pt idx="13">
                  <c:v>0</c:v>
                </c:pt>
                <c:pt idx="17">
                  <c:v>0</c:v>
                </c:pt>
                <c:pt idx="18">
                  <c:v>0.82599999999999996</c:v>
                </c:pt>
                <c:pt idx="19">
                  <c:v>0.70799999999999996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EC8-49DE-A2AE-62B9B48779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4733903"/>
        <c:axId val="2014734319"/>
      </c:scatterChart>
      <c:valAx>
        <c:axId val="20147339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14734319"/>
        <c:crosses val="autoZero"/>
        <c:crossBetween val="midCat"/>
      </c:valAx>
      <c:valAx>
        <c:axId val="2014734319"/>
        <c:scaling>
          <c:orientation val="minMax"/>
          <c:max val="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1473390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lift pumps_3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cu_fuel_hp_pwm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All!$GU$6:$GU$30</c:f>
              <c:numCache>
                <c:formatCode>General</c:formatCode>
                <c:ptCount val="25"/>
                <c:pt idx="0">
                  <c:v>5.4870000000000001</c:v>
                </c:pt>
                <c:pt idx="1">
                  <c:v>1.829</c:v>
                </c:pt>
                <c:pt idx="2">
                  <c:v>1.8879999999999999</c:v>
                </c:pt>
                <c:pt idx="3">
                  <c:v>1.8879999999999999</c:v>
                </c:pt>
                <c:pt idx="4">
                  <c:v>1.8879999999999999</c:v>
                </c:pt>
                <c:pt idx="5">
                  <c:v>5.4279999999999999</c:v>
                </c:pt>
                <c:pt idx="9">
                  <c:v>1.7110000000000001</c:v>
                </c:pt>
                <c:pt idx="10">
                  <c:v>4.3659999999999997</c:v>
                </c:pt>
                <c:pt idx="11">
                  <c:v>1.8879999999999999</c:v>
                </c:pt>
                <c:pt idx="12">
                  <c:v>1.829</c:v>
                </c:pt>
                <c:pt idx="13">
                  <c:v>1.8879999999999999</c:v>
                </c:pt>
                <c:pt idx="17">
                  <c:v>3.9529999999999998</c:v>
                </c:pt>
                <c:pt idx="18">
                  <c:v>1.8879999999999999</c:v>
                </c:pt>
                <c:pt idx="19">
                  <c:v>1.8879999999999999</c:v>
                </c:pt>
                <c:pt idx="20">
                  <c:v>1.8879999999999999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FD-473D-A88F-6BBF355B2F03}"/>
            </c:ext>
          </c:extLst>
        </c:ser>
        <c:ser>
          <c:idx val="1"/>
          <c:order val="1"/>
          <c:tx>
            <c:v>Ave cu_fuel_hp_pwm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All!$EU$6:$EU$30</c:f>
              <c:numCache>
                <c:formatCode>General</c:formatCode>
                <c:ptCount val="25"/>
                <c:pt idx="0">
                  <c:v>0.47599999999999998</c:v>
                </c:pt>
                <c:pt idx="1">
                  <c:v>1.5489999999999999</c:v>
                </c:pt>
                <c:pt idx="2">
                  <c:v>1.5660000000000001</c:v>
                </c:pt>
                <c:pt idx="3">
                  <c:v>1.46</c:v>
                </c:pt>
                <c:pt idx="4">
                  <c:v>1.4279999999999999</c:v>
                </c:pt>
                <c:pt idx="5">
                  <c:v>1.5009999999999999</c:v>
                </c:pt>
                <c:pt idx="9">
                  <c:v>0.76400000000000001</c:v>
                </c:pt>
                <c:pt idx="10">
                  <c:v>1.175</c:v>
                </c:pt>
                <c:pt idx="11">
                  <c:v>1.478</c:v>
                </c:pt>
                <c:pt idx="12">
                  <c:v>1.4470000000000001</c:v>
                </c:pt>
                <c:pt idx="13">
                  <c:v>1.4419999999999999</c:v>
                </c:pt>
                <c:pt idx="17">
                  <c:v>1.266</c:v>
                </c:pt>
                <c:pt idx="18">
                  <c:v>1.4159999999999999</c:v>
                </c:pt>
                <c:pt idx="19">
                  <c:v>1.391</c:v>
                </c:pt>
                <c:pt idx="20">
                  <c:v>1.417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FD-473D-A88F-6BBF355B2F03}"/>
            </c:ext>
          </c:extLst>
        </c:ser>
        <c:ser>
          <c:idx val="2"/>
          <c:order val="2"/>
          <c:tx>
            <c:v>Min cu_fuel_hp_pwm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All!$GT$6:$GT$30</c:f>
              <c:numCache>
                <c:formatCode>General</c:formatCode>
                <c:ptCount val="25"/>
                <c:pt idx="0">
                  <c:v>0</c:v>
                </c:pt>
                <c:pt idx="1">
                  <c:v>0.82599999999999996</c:v>
                </c:pt>
                <c:pt idx="2">
                  <c:v>0.82599999999999996</c:v>
                </c:pt>
                <c:pt idx="3">
                  <c:v>0.59</c:v>
                </c:pt>
                <c:pt idx="4">
                  <c:v>0.47199999999999998</c:v>
                </c:pt>
                <c:pt idx="5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0.76700000000000002</c:v>
                </c:pt>
                <c:pt idx="12">
                  <c:v>0.70799999999999996</c:v>
                </c:pt>
                <c:pt idx="13">
                  <c:v>0</c:v>
                </c:pt>
                <c:pt idx="17">
                  <c:v>0</c:v>
                </c:pt>
                <c:pt idx="18">
                  <c:v>0.59</c:v>
                </c:pt>
                <c:pt idx="19">
                  <c:v>0.53100000000000003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CFD-473D-A88F-6BBF355B2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484063"/>
        <c:axId val="138496127"/>
      </c:scatterChart>
      <c:valAx>
        <c:axId val="1384840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8496127"/>
        <c:crosses val="autoZero"/>
        <c:crossBetween val="midCat"/>
      </c:valAx>
      <c:valAx>
        <c:axId val="138496127"/>
        <c:scaling>
          <c:orientation val="minMax"/>
          <c:max val="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84840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mid pumps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cu_fuel_hp_01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All!$GV$6:$GV$30</c:f>
              <c:numCache>
                <c:formatCode>General</c:formatCode>
                <c:ptCount val="25"/>
                <c:pt idx="0">
                  <c:v>0</c:v>
                </c:pt>
                <c:pt idx="1">
                  <c:v>12.837999999999999</c:v>
                </c:pt>
                <c:pt idx="2">
                  <c:v>12.837999999999999</c:v>
                </c:pt>
                <c:pt idx="3">
                  <c:v>12.74</c:v>
                </c:pt>
                <c:pt idx="4">
                  <c:v>12.936</c:v>
                </c:pt>
                <c:pt idx="5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12.837999999999999</c:v>
                </c:pt>
                <c:pt idx="12">
                  <c:v>12.74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CE-427E-9851-620E0C177C63}"/>
            </c:ext>
          </c:extLst>
        </c:ser>
        <c:ser>
          <c:idx val="1"/>
          <c:order val="1"/>
          <c:tx>
            <c:v>Ave cu_fuel_hp_01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All!$GW$6:$GW$30</c:f>
              <c:numCache>
                <c:formatCode>General</c:formatCode>
                <c:ptCount val="25"/>
                <c:pt idx="0">
                  <c:v>4.0609999999999999</c:v>
                </c:pt>
                <c:pt idx="1">
                  <c:v>14.1</c:v>
                </c:pt>
                <c:pt idx="2">
                  <c:v>14.137</c:v>
                </c:pt>
                <c:pt idx="3">
                  <c:v>13.913</c:v>
                </c:pt>
                <c:pt idx="4">
                  <c:v>13.897</c:v>
                </c:pt>
                <c:pt idx="5">
                  <c:v>13.776999999999999</c:v>
                </c:pt>
                <c:pt idx="9">
                  <c:v>0</c:v>
                </c:pt>
                <c:pt idx="10">
                  <c:v>10.52</c:v>
                </c:pt>
                <c:pt idx="11">
                  <c:v>13.866</c:v>
                </c:pt>
                <c:pt idx="12">
                  <c:v>13.87</c:v>
                </c:pt>
                <c:pt idx="13">
                  <c:v>13.788</c:v>
                </c:pt>
                <c:pt idx="17">
                  <c:v>2.1000000000000001E-2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CE-427E-9851-620E0C177C63}"/>
            </c:ext>
          </c:extLst>
        </c:ser>
        <c:ser>
          <c:idx val="2"/>
          <c:order val="2"/>
          <c:tx>
            <c:v>Max cu_fuel_hp_01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All!$GX$6:$GX$30</c:f>
              <c:numCache>
                <c:formatCode>General</c:formatCode>
                <c:ptCount val="25"/>
                <c:pt idx="0">
                  <c:v>24.99</c:v>
                </c:pt>
                <c:pt idx="1">
                  <c:v>15.68</c:v>
                </c:pt>
                <c:pt idx="2">
                  <c:v>16.170000000000002</c:v>
                </c:pt>
                <c:pt idx="3">
                  <c:v>16.170000000000002</c:v>
                </c:pt>
                <c:pt idx="4">
                  <c:v>15.288</c:v>
                </c:pt>
                <c:pt idx="5">
                  <c:v>24.99</c:v>
                </c:pt>
                <c:pt idx="9">
                  <c:v>0</c:v>
                </c:pt>
                <c:pt idx="10">
                  <c:v>23.911999999999999</c:v>
                </c:pt>
                <c:pt idx="11">
                  <c:v>15.092000000000001</c:v>
                </c:pt>
                <c:pt idx="12">
                  <c:v>15.288</c:v>
                </c:pt>
                <c:pt idx="13">
                  <c:v>15.288</c:v>
                </c:pt>
                <c:pt idx="17">
                  <c:v>22.245999999999999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9CE-427E-9851-620E0C177C63}"/>
            </c:ext>
          </c:extLst>
        </c:ser>
        <c:ser>
          <c:idx val="3"/>
          <c:order val="3"/>
          <c:tx>
            <c:v>Min cu_fuel_hp_02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All!$GY$6:$GY$30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0</c:v>
                </c:pt>
                <c:pt idx="18">
                  <c:v>12.054</c:v>
                </c:pt>
                <c:pt idx="19">
                  <c:v>12.544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9CE-427E-9851-620E0C177C63}"/>
            </c:ext>
          </c:extLst>
        </c:ser>
        <c:ser>
          <c:idx val="4"/>
          <c:order val="4"/>
          <c:tx>
            <c:v>Ave cu_fuel_hp_02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All!$GZ$6:$GZ$30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12.233000000000001</c:v>
                </c:pt>
                <c:pt idx="18">
                  <c:v>13.901999999999999</c:v>
                </c:pt>
                <c:pt idx="19">
                  <c:v>13.866</c:v>
                </c:pt>
                <c:pt idx="20">
                  <c:v>13.804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9CE-427E-9851-620E0C177C63}"/>
            </c:ext>
          </c:extLst>
        </c:ser>
        <c:ser>
          <c:idx val="5"/>
          <c:order val="5"/>
          <c:tx>
            <c:v>Max cu_fuel_hp_02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All!$HA$6:$HA$30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21.853999999999999</c:v>
                </c:pt>
                <c:pt idx="18">
                  <c:v>15.875999999999999</c:v>
                </c:pt>
                <c:pt idx="19">
                  <c:v>16.170000000000002</c:v>
                </c:pt>
                <c:pt idx="20">
                  <c:v>15.385999999999999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9CE-427E-9851-620E0C177C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494463"/>
        <c:axId val="138475327"/>
      </c:scatterChart>
      <c:valAx>
        <c:axId val="1384944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8475327"/>
        <c:crosses val="autoZero"/>
        <c:crossBetween val="midCat"/>
      </c:valAx>
      <c:valAx>
        <c:axId val="138475327"/>
        <c:scaling>
          <c:orientation val="minMax"/>
          <c:max val="2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84944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Cockpit temperature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FIA_TCockpit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All!$BS$6:$BS$30</c:f>
              <c:numCache>
                <c:formatCode>General</c:formatCode>
                <c:ptCount val="25"/>
                <c:pt idx="0">
                  <c:v>26</c:v>
                </c:pt>
                <c:pt idx="1">
                  <c:v>26.4</c:v>
                </c:pt>
                <c:pt idx="2">
                  <c:v>25.9</c:v>
                </c:pt>
                <c:pt idx="3">
                  <c:v>26.4</c:v>
                </c:pt>
                <c:pt idx="4">
                  <c:v>26.9</c:v>
                </c:pt>
                <c:pt idx="5">
                  <c:v>27</c:v>
                </c:pt>
                <c:pt idx="9">
                  <c:v>26.7</c:v>
                </c:pt>
                <c:pt idx="10">
                  <c:v>26.7</c:v>
                </c:pt>
                <c:pt idx="11">
                  <c:v>26.8</c:v>
                </c:pt>
                <c:pt idx="12">
                  <c:v>26.9</c:v>
                </c:pt>
                <c:pt idx="13">
                  <c:v>27.1</c:v>
                </c:pt>
                <c:pt idx="17">
                  <c:v>26.9</c:v>
                </c:pt>
                <c:pt idx="18">
                  <c:v>26.9</c:v>
                </c:pt>
                <c:pt idx="19">
                  <c:v>27.1</c:v>
                </c:pt>
                <c:pt idx="20">
                  <c:v>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F6-46FF-91FB-7FB47AA2D0BA}"/>
            </c:ext>
          </c:extLst>
        </c:ser>
        <c:ser>
          <c:idx val="2"/>
          <c:order val="2"/>
          <c:tx>
            <c:v>Ave cu_out_fan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All!$FB$6:$FB$30</c:f>
              <c:numCache>
                <c:formatCode>General</c:formatCode>
                <c:ptCount val="25"/>
                <c:pt idx="0">
                  <c:v>5.0410000000000004</c:v>
                </c:pt>
                <c:pt idx="1">
                  <c:v>9.2799999999999994</c:v>
                </c:pt>
                <c:pt idx="2">
                  <c:v>9.4169999999999998</c:v>
                </c:pt>
                <c:pt idx="3">
                  <c:v>9.1620000000000008</c:v>
                </c:pt>
                <c:pt idx="4">
                  <c:v>9.1660000000000004</c:v>
                </c:pt>
                <c:pt idx="5">
                  <c:v>9.3070000000000004</c:v>
                </c:pt>
                <c:pt idx="9">
                  <c:v>8.9190000000000005</c:v>
                </c:pt>
                <c:pt idx="10">
                  <c:v>7.7050000000000001</c:v>
                </c:pt>
                <c:pt idx="11">
                  <c:v>9.15</c:v>
                </c:pt>
                <c:pt idx="12">
                  <c:v>9.1430000000000007</c:v>
                </c:pt>
                <c:pt idx="13">
                  <c:v>9.2110000000000003</c:v>
                </c:pt>
                <c:pt idx="17">
                  <c:v>8.2959999999999994</c:v>
                </c:pt>
                <c:pt idx="18">
                  <c:v>9.1440000000000001</c:v>
                </c:pt>
                <c:pt idx="19">
                  <c:v>9.1359999999999992</c:v>
                </c:pt>
                <c:pt idx="20">
                  <c:v>9.2319999999999993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6F6-46FF-91FB-7FB47AA2D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511935"/>
        <c:axId val="138512351"/>
      </c:scatterChart>
      <c:scatterChart>
        <c:scatterStyle val="lineMarker"/>
        <c:varyColors val="0"/>
        <c:ser>
          <c:idx val="1"/>
          <c:order val="1"/>
          <c:tx>
            <c:v>Ave Delta_Amb_TCockpit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All!$EJ$6:$EJ$30</c:f>
              <c:numCache>
                <c:formatCode>General</c:formatCode>
                <c:ptCount val="25"/>
                <c:pt idx="0">
                  <c:v>4.633</c:v>
                </c:pt>
                <c:pt idx="1">
                  <c:v>6.2919999999999998</c:v>
                </c:pt>
                <c:pt idx="2">
                  <c:v>6.2729999999999997</c:v>
                </c:pt>
                <c:pt idx="3">
                  <c:v>5.6109999999999998</c:v>
                </c:pt>
                <c:pt idx="4">
                  <c:v>6.3090000000000002</c:v>
                </c:pt>
                <c:pt idx="5">
                  <c:v>6.7530000000000001</c:v>
                </c:pt>
                <c:pt idx="9">
                  <c:v>6.5039999999999996</c:v>
                </c:pt>
                <c:pt idx="10">
                  <c:v>5.8460000000000001</c:v>
                </c:pt>
                <c:pt idx="11">
                  <c:v>6.7039999999999997</c:v>
                </c:pt>
                <c:pt idx="12">
                  <c:v>6.4850000000000003</c:v>
                </c:pt>
                <c:pt idx="13">
                  <c:v>6.9059999999999997</c:v>
                </c:pt>
                <c:pt idx="17">
                  <c:v>6.4669999999999996</c:v>
                </c:pt>
                <c:pt idx="18">
                  <c:v>6.7649999999999997</c:v>
                </c:pt>
                <c:pt idx="19">
                  <c:v>6.851</c:v>
                </c:pt>
                <c:pt idx="20">
                  <c:v>7.33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F6-46FF-91FB-7FB47AA2D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28175"/>
        <c:axId val="136329007"/>
      </c:scatterChart>
      <c:valAx>
        <c:axId val="1385119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8512351"/>
        <c:crosses val="autoZero"/>
        <c:crossBetween val="midCat"/>
      </c:valAx>
      <c:valAx>
        <c:axId val="138512351"/>
        <c:scaling>
          <c:orientation val="minMax"/>
          <c:max val="45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8511935"/>
        <c:crosses val="autoZero"/>
        <c:crossBetween val="midCat"/>
      </c:valAx>
      <c:valAx>
        <c:axId val="136329007"/>
        <c:scaling>
          <c:orientation val="minMax"/>
          <c:max val="15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6328175"/>
        <c:crosses val="max"/>
        <c:crossBetween val="midCat"/>
      </c:valAx>
      <c:valAx>
        <c:axId val="136328175"/>
        <c:scaling>
          <c:orientation val="minMax"/>
        </c:scaling>
        <c:delete val="1"/>
        <c:axPos val="b"/>
        <c:majorTickMark val="out"/>
        <c:minorTickMark val="none"/>
        <c:tickLblPos val="nextTo"/>
        <c:crossAx val="1363290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Alternator diagnostics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Alternator_Error_State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All!$HB$6:$HB$30</c:f>
              <c:numCache>
                <c:formatCode>General</c:formatCode>
                <c:ptCount val="2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EA-49FC-B95D-1D78A64C2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447455"/>
        <c:axId val="138459935"/>
      </c:scatterChart>
      <c:scatterChart>
        <c:scatterStyle val="lineMarker"/>
        <c:varyColors val="0"/>
        <c:ser>
          <c:idx val="1"/>
          <c:order val="1"/>
          <c:tx>
            <c:v>Ave altco_gb_DutyCycle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All!$HC$6:$HC$30</c:f>
              <c:numCache>
                <c:formatCode>General</c:formatCode>
                <c:ptCount val="25"/>
                <c:pt idx="0">
                  <c:v>22.268999999999998</c:v>
                </c:pt>
                <c:pt idx="1">
                  <c:v>25.294</c:v>
                </c:pt>
                <c:pt idx="2">
                  <c:v>22.62</c:v>
                </c:pt>
                <c:pt idx="3">
                  <c:v>23.47</c:v>
                </c:pt>
                <c:pt idx="4">
                  <c:v>23.201000000000001</c:v>
                </c:pt>
                <c:pt idx="5">
                  <c:v>22.85</c:v>
                </c:pt>
                <c:pt idx="9">
                  <c:v>14.71</c:v>
                </c:pt>
                <c:pt idx="10">
                  <c:v>21.991</c:v>
                </c:pt>
                <c:pt idx="11">
                  <c:v>23.164999999999999</c:v>
                </c:pt>
                <c:pt idx="12">
                  <c:v>23.216000000000001</c:v>
                </c:pt>
                <c:pt idx="13">
                  <c:v>23.672999999999998</c:v>
                </c:pt>
                <c:pt idx="17">
                  <c:v>26.664999999999999</c:v>
                </c:pt>
                <c:pt idx="18">
                  <c:v>23.393000000000001</c:v>
                </c:pt>
                <c:pt idx="19">
                  <c:v>23.425999999999998</c:v>
                </c:pt>
                <c:pt idx="20">
                  <c:v>23.404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EA-49FC-B95D-1D78A64C2CF2}"/>
            </c:ext>
          </c:extLst>
        </c:ser>
        <c:ser>
          <c:idx val="2"/>
          <c:order val="2"/>
          <c:tx>
            <c:v>Max altco_gb_TChip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All!$HD$6:$HD$30</c:f>
              <c:numCache>
                <c:formatCode>General</c:formatCode>
                <c:ptCount val="25"/>
                <c:pt idx="0">
                  <c:v>78</c:v>
                </c:pt>
                <c:pt idx="1">
                  <c:v>82</c:v>
                </c:pt>
                <c:pt idx="2">
                  <c:v>82</c:v>
                </c:pt>
                <c:pt idx="3">
                  <c:v>74</c:v>
                </c:pt>
                <c:pt idx="4">
                  <c:v>78</c:v>
                </c:pt>
                <c:pt idx="5">
                  <c:v>82</c:v>
                </c:pt>
                <c:pt idx="9">
                  <c:v>82</c:v>
                </c:pt>
                <c:pt idx="10">
                  <c:v>86</c:v>
                </c:pt>
                <c:pt idx="11">
                  <c:v>78</c:v>
                </c:pt>
                <c:pt idx="12">
                  <c:v>78</c:v>
                </c:pt>
                <c:pt idx="13">
                  <c:v>82</c:v>
                </c:pt>
                <c:pt idx="17">
                  <c:v>90</c:v>
                </c:pt>
                <c:pt idx="18">
                  <c:v>78</c:v>
                </c:pt>
                <c:pt idx="19">
                  <c:v>78</c:v>
                </c:pt>
                <c:pt idx="20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EA-49FC-B95D-1D78A64C2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22351"/>
        <c:axId val="136316111"/>
      </c:scatterChart>
      <c:valAx>
        <c:axId val="13844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8459935"/>
        <c:crosses val="autoZero"/>
        <c:crossBetween val="midCat"/>
      </c:valAx>
      <c:valAx>
        <c:axId val="138459935"/>
        <c:scaling>
          <c:orientation val="minMax"/>
          <c:max val="1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8447455"/>
        <c:crosses val="autoZero"/>
        <c:crossBetween val="midCat"/>
      </c:valAx>
      <c:valAx>
        <c:axId val="136316111"/>
        <c:scaling>
          <c:orientation val="minMax"/>
          <c:max val="12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6322351"/>
        <c:crosses val="max"/>
        <c:crossBetween val="midCat"/>
      </c:valAx>
      <c:valAx>
        <c:axId val="136322351"/>
        <c:scaling>
          <c:orientation val="minMax"/>
        </c:scaling>
        <c:delete val="1"/>
        <c:axPos val="b"/>
        <c:majorTickMark val="out"/>
        <c:minorTickMark val="none"/>
        <c:tickLblPos val="nextTo"/>
        <c:crossAx val="1363161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Diagnostics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eps_failsafe_1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All!$HE$6:$HE$30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B1-477D-931B-CFE4EBE58651}"/>
            </c:ext>
          </c:extLst>
        </c:ser>
        <c:ser>
          <c:idx val="1"/>
          <c:order val="1"/>
          <c:tx>
            <c:v>Max eps_failsafe_2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All!$HF$6:$HF$30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B1-477D-931B-CFE4EBE58651}"/>
            </c:ext>
          </c:extLst>
        </c:ser>
        <c:ser>
          <c:idx val="4"/>
          <c:order val="4"/>
          <c:tx>
            <c:v>Max mlo_egt_temp_error_state_can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All!$HI$6:$HI$30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7B1-477D-931B-CFE4EBE58651}"/>
            </c:ext>
          </c:extLst>
        </c:ser>
        <c:ser>
          <c:idx val="5"/>
          <c:order val="5"/>
          <c:tx>
            <c:v>Max DIAG_EPS_Assist_Stop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All!$HJ$6:$HJ$30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7B1-477D-931B-CFE4EBE58651}"/>
            </c:ext>
          </c:extLst>
        </c:ser>
        <c:ser>
          <c:idx val="6"/>
          <c:order val="6"/>
          <c:tx>
            <c:v>Max DIAG_EPS_Warning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All!$HK$6:$HK$30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7B1-477D-931B-CFE4EBE58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466175"/>
        <c:axId val="138453695"/>
      </c:scatterChart>
      <c:scatterChart>
        <c:scatterStyle val="lineMarker"/>
        <c:varyColors val="0"/>
        <c:ser>
          <c:idx val="2"/>
          <c:order val="2"/>
          <c:tx>
            <c:v>Max cpu_load_001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All!$HG$6:$HG$30</c:f>
              <c:numCache>
                <c:formatCode>General</c:formatCode>
                <c:ptCount val="25"/>
                <c:pt idx="0">
                  <c:v>87.95</c:v>
                </c:pt>
                <c:pt idx="1">
                  <c:v>72.75</c:v>
                </c:pt>
                <c:pt idx="2">
                  <c:v>72.47</c:v>
                </c:pt>
                <c:pt idx="3">
                  <c:v>87.8</c:v>
                </c:pt>
                <c:pt idx="4">
                  <c:v>74.14</c:v>
                </c:pt>
                <c:pt idx="5">
                  <c:v>75.319999999999993</c:v>
                </c:pt>
                <c:pt idx="9">
                  <c:v>82.63</c:v>
                </c:pt>
                <c:pt idx="10">
                  <c:v>90.1</c:v>
                </c:pt>
                <c:pt idx="11">
                  <c:v>69.239999999999995</c:v>
                </c:pt>
                <c:pt idx="12">
                  <c:v>70.36</c:v>
                </c:pt>
                <c:pt idx="13">
                  <c:v>69.66</c:v>
                </c:pt>
                <c:pt idx="17">
                  <c:v>74.400000000000006</c:v>
                </c:pt>
                <c:pt idx="18">
                  <c:v>71.650000000000006</c:v>
                </c:pt>
                <c:pt idx="19">
                  <c:v>71.08</c:v>
                </c:pt>
                <c:pt idx="20">
                  <c:v>71.2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B1-477D-931B-CFE4EBE58651}"/>
            </c:ext>
          </c:extLst>
        </c:ser>
        <c:ser>
          <c:idx val="3"/>
          <c:order val="3"/>
          <c:tx>
            <c:v>Max cpu_load_002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All!$HH$6:$HH$30</c:f>
              <c:numCache>
                <c:formatCode>General</c:formatCode>
                <c:ptCount val="25"/>
                <c:pt idx="0">
                  <c:v>82</c:v>
                </c:pt>
                <c:pt idx="1">
                  <c:v>81.66</c:v>
                </c:pt>
                <c:pt idx="2">
                  <c:v>81.81</c:v>
                </c:pt>
                <c:pt idx="3">
                  <c:v>82.88</c:v>
                </c:pt>
                <c:pt idx="4">
                  <c:v>82.5</c:v>
                </c:pt>
                <c:pt idx="5">
                  <c:v>82.5</c:v>
                </c:pt>
                <c:pt idx="9">
                  <c:v>58.79</c:v>
                </c:pt>
                <c:pt idx="10">
                  <c:v>81.39</c:v>
                </c:pt>
                <c:pt idx="11">
                  <c:v>81.59</c:v>
                </c:pt>
                <c:pt idx="12">
                  <c:v>81.180000000000007</c:v>
                </c:pt>
                <c:pt idx="13">
                  <c:v>81.459999999999994</c:v>
                </c:pt>
                <c:pt idx="17">
                  <c:v>83.61</c:v>
                </c:pt>
                <c:pt idx="18">
                  <c:v>83.81</c:v>
                </c:pt>
                <c:pt idx="19">
                  <c:v>83.5</c:v>
                </c:pt>
                <c:pt idx="20">
                  <c:v>83.39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B1-477D-931B-CFE4EBE58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07791"/>
        <c:axId val="136302799"/>
      </c:scatterChart>
      <c:valAx>
        <c:axId val="1384661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8453695"/>
        <c:crosses val="autoZero"/>
        <c:crossBetween val="midCat"/>
      </c:valAx>
      <c:valAx>
        <c:axId val="138453695"/>
        <c:scaling>
          <c:orientation val="minMax"/>
          <c:max val="1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8466175"/>
        <c:crosses val="autoZero"/>
        <c:crossBetween val="midCat"/>
      </c:valAx>
      <c:valAx>
        <c:axId val="136302799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6307791"/>
        <c:crosses val="max"/>
        <c:crossBetween val="midCat"/>
      </c:valAx>
      <c:valAx>
        <c:axId val="136307791"/>
        <c:scaling>
          <c:orientation val="minMax"/>
        </c:scaling>
        <c:delete val="1"/>
        <c:axPos val="b"/>
        <c:majorTickMark val="out"/>
        <c:minorTickMark val="none"/>
        <c:tickLblPos val="nextTo"/>
        <c:crossAx val="1363027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Electronic temperatures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mlo_egt_temp_power_section_can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All!$HL$6:$HL$30</c:f>
              <c:numCache>
                <c:formatCode>General</c:formatCode>
                <c:ptCount val="25"/>
                <c:pt idx="0">
                  <c:v>50</c:v>
                </c:pt>
                <c:pt idx="1">
                  <c:v>56</c:v>
                </c:pt>
                <c:pt idx="2">
                  <c:v>56</c:v>
                </c:pt>
                <c:pt idx="3">
                  <c:v>56</c:v>
                </c:pt>
                <c:pt idx="4">
                  <c:v>58</c:v>
                </c:pt>
                <c:pt idx="5">
                  <c:v>59</c:v>
                </c:pt>
                <c:pt idx="9">
                  <c:v>59</c:v>
                </c:pt>
                <c:pt idx="10">
                  <c:v>64</c:v>
                </c:pt>
                <c:pt idx="11">
                  <c:v>61</c:v>
                </c:pt>
                <c:pt idx="12">
                  <c:v>60</c:v>
                </c:pt>
                <c:pt idx="13">
                  <c:v>61</c:v>
                </c:pt>
                <c:pt idx="17">
                  <c:v>66</c:v>
                </c:pt>
                <c:pt idx="18">
                  <c:v>62</c:v>
                </c:pt>
                <c:pt idx="19">
                  <c:v>62</c:v>
                </c:pt>
                <c:pt idx="20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39-41F6-8A29-BA022E41A7E8}"/>
            </c:ext>
          </c:extLst>
        </c:ser>
        <c:ser>
          <c:idx val="1"/>
          <c:order val="1"/>
          <c:tx>
            <c:v>Max tecu_core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All!$HM$6:$HM$30</c:f>
              <c:numCache>
                <c:formatCode>General</c:formatCode>
                <c:ptCount val="25"/>
                <c:pt idx="0">
                  <c:v>51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51</c:v>
                </c:pt>
                <c:pt idx="9">
                  <c:v>51</c:v>
                </c:pt>
                <c:pt idx="10">
                  <c:v>51</c:v>
                </c:pt>
                <c:pt idx="11">
                  <c:v>51</c:v>
                </c:pt>
                <c:pt idx="12">
                  <c:v>51</c:v>
                </c:pt>
                <c:pt idx="13">
                  <c:v>51</c:v>
                </c:pt>
                <c:pt idx="17">
                  <c:v>53</c:v>
                </c:pt>
                <c:pt idx="18">
                  <c:v>52</c:v>
                </c:pt>
                <c:pt idx="19">
                  <c:v>52</c:v>
                </c:pt>
                <c:pt idx="20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39-41F6-8A29-BA022E41A7E8}"/>
            </c:ext>
          </c:extLst>
        </c:ser>
        <c:ser>
          <c:idx val="2"/>
          <c:order val="2"/>
          <c:tx>
            <c:v>Max tecu_cpu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All!$HN$6:$HN$30</c:f>
              <c:numCache>
                <c:formatCode>General</c:formatCode>
                <c:ptCount val="25"/>
                <c:pt idx="0">
                  <c:v>55</c:v>
                </c:pt>
                <c:pt idx="1">
                  <c:v>58</c:v>
                </c:pt>
                <c:pt idx="2">
                  <c:v>60</c:v>
                </c:pt>
                <c:pt idx="3">
                  <c:v>61</c:v>
                </c:pt>
                <c:pt idx="4">
                  <c:v>62</c:v>
                </c:pt>
                <c:pt idx="5">
                  <c:v>64</c:v>
                </c:pt>
                <c:pt idx="9">
                  <c:v>64</c:v>
                </c:pt>
                <c:pt idx="10">
                  <c:v>64</c:v>
                </c:pt>
                <c:pt idx="11">
                  <c:v>64</c:v>
                </c:pt>
                <c:pt idx="12">
                  <c:v>65</c:v>
                </c:pt>
                <c:pt idx="13">
                  <c:v>65</c:v>
                </c:pt>
                <c:pt idx="17">
                  <c:v>66</c:v>
                </c:pt>
                <c:pt idx="18">
                  <c:v>65</c:v>
                </c:pt>
                <c:pt idx="19">
                  <c:v>65</c:v>
                </c:pt>
                <c:pt idx="20">
                  <c:v>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B39-41F6-8A29-BA022E41A7E8}"/>
            </c:ext>
          </c:extLst>
        </c:ser>
        <c:ser>
          <c:idx val="3"/>
          <c:order val="3"/>
          <c:tx>
            <c:v>Max tecu_hpi1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All!$HO$6:$HO$30</c:f>
              <c:numCache>
                <c:formatCode>General</c:formatCode>
                <c:ptCount val="25"/>
                <c:pt idx="0">
                  <c:v>49</c:v>
                </c:pt>
                <c:pt idx="1">
                  <c:v>51</c:v>
                </c:pt>
                <c:pt idx="2">
                  <c:v>53</c:v>
                </c:pt>
                <c:pt idx="3">
                  <c:v>56</c:v>
                </c:pt>
                <c:pt idx="4">
                  <c:v>56</c:v>
                </c:pt>
                <c:pt idx="5">
                  <c:v>57</c:v>
                </c:pt>
                <c:pt idx="9">
                  <c:v>56</c:v>
                </c:pt>
                <c:pt idx="10">
                  <c:v>57</c:v>
                </c:pt>
                <c:pt idx="11">
                  <c:v>58</c:v>
                </c:pt>
                <c:pt idx="12">
                  <c:v>58</c:v>
                </c:pt>
                <c:pt idx="13">
                  <c:v>59</c:v>
                </c:pt>
                <c:pt idx="17">
                  <c:v>58</c:v>
                </c:pt>
                <c:pt idx="18">
                  <c:v>59</c:v>
                </c:pt>
                <c:pt idx="19">
                  <c:v>59</c:v>
                </c:pt>
                <c:pt idx="20">
                  <c:v>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B39-41F6-8A29-BA022E41A7E8}"/>
            </c:ext>
          </c:extLst>
        </c:ser>
        <c:ser>
          <c:idx val="4"/>
          <c:order val="4"/>
          <c:tx>
            <c:v>Max tecu_hpi2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All!$HP$6:$HP$30</c:f>
              <c:numCache>
                <c:formatCode>General</c:formatCode>
                <c:ptCount val="25"/>
                <c:pt idx="0">
                  <c:v>51</c:v>
                </c:pt>
                <c:pt idx="1">
                  <c:v>54</c:v>
                </c:pt>
                <c:pt idx="2">
                  <c:v>56</c:v>
                </c:pt>
                <c:pt idx="3">
                  <c:v>58</c:v>
                </c:pt>
                <c:pt idx="4">
                  <c:v>59</c:v>
                </c:pt>
                <c:pt idx="5">
                  <c:v>60</c:v>
                </c:pt>
                <c:pt idx="9">
                  <c:v>57</c:v>
                </c:pt>
                <c:pt idx="10">
                  <c:v>59</c:v>
                </c:pt>
                <c:pt idx="11">
                  <c:v>60</c:v>
                </c:pt>
                <c:pt idx="12">
                  <c:v>61</c:v>
                </c:pt>
                <c:pt idx="13">
                  <c:v>62</c:v>
                </c:pt>
                <c:pt idx="17">
                  <c:v>61</c:v>
                </c:pt>
                <c:pt idx="18">
                  <c:v>61</c:v>
                </c:pt>
                <c:pt idx="19">
                  <c:v>62</c:v>
                </c:pt>
                <c:pt idx="20">
                  <c:v>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B39-41F6-8A29-BA022E41A7E8}"/>
            </c:ext>
          </c:extLst>
        </c:ser>
        <c:ser>
          <c:idx val="5"/>
          <c:order val="5"/>
          <c:tx>
            <c:v>Max tecu_ign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All!$HQ$6:$HQ$30</c:f>
              <c:numCache>
                <c:formatCode>General</c:formatCode>
                <c:ptCount val="25"/>
                <c:pt idx="0">
                  <c:v>50</c:v>
                </c:pt>
                <c:pt idx="1">
                  <c:v>52</c:v>
                </c:pt>
                <c:pt idx="2">
                  <c:v>54</c:v>
                </c:pt>
                <c:pt idx="3">
                  <c:v>56</c:v>
                </c:pt>
                <c:pt idx="4">
                  <c:v>57</c:v>
                </c:pt>
                <c:pt idx="5">
                  <c:v>58</c:v>
                </c:pt>
                <c:pt idx="9">
                  <c:v>56</c:v>
                </c:pt>
                <c:pt idx="10">
                  <c:v>57</c:v>
                </c:pt>
                <c:pt idx="11">
                  <c:v>59</c:v>
                </c:pt>
                <c:pt idx="12">
                  <c:v>59</c:v>
                </c:pt>
                <c:pt idx="13">
                  <c:v>60</c:v>
                </c:pt>
                <c:pt idx="17">
                  <c:v>59</c:v>
                </c:pt>
                <c:pt idx="18">
                  <c:v>59</c:v>
                </c:pt>
                <c:pt idx="19">
                  <c:v>60</c:v>
                </c:pt>
                <c:pt idx="2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B39-41F6-8A29-BA022E41A7E8}"/>
            </c:ext>
          </c:extLst>
        </c:ser>
        <c:ser>
          <c:idx val="6"/>
          <c:order val="6"/>
          <c:tx>
            <c:v>Max DeviceInfo_DeviceTemperature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All!$HR$6:$HR$30</c:f>
              <c:numCache>
                <c:formatCode>General</c:formatCode>
                <c:ptCount val="25"/>
                <c:pt idx="0">
                  <c:v>47</c:v>
                </c:pt>
                <c:pt idx="1">
                  <c:v>47</c:v>
                </c:pt>
                <c:pt idx="2">
                  <c:v>48</c:v>
                </c:pt>
                <c:pt idx="3">
                  <c:v>49</c:v>
                </c:pt>
                <c:pt idx="4">
                  <c:v>49</c:v>
                </c:pt>
                <c:pt idx="5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51</c:v>
                </c:pt>
                <c:pt idx="17">
                  <c:v>52</c:v>
                </c:pt>
                <c:pt idx="18">
                  <c:v>52</c:v>
                </c:pt>
                <c:pt idx="19">
                  <c:v>51</c:v>
                </c:pt>
                <c:pt idx="20">
                  <c:v>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B39-41F6-8A29-BA022E41A7E8}"/>
            </c:ext>
          </c:extLst>
        </c:ser>
        <c:ser>
          <c:idx val="7"/>
          <c:order val="7"/>
          <c:tx>
            <c:v>Max eps_motor_tmp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All!$HS$6:$HS$30</c:f>
              <c:numCache>
                <c:formatCode>General</c:formatCode>
                <c:ptCount val="25"/>
                <c:pt idx="0">
                  <c:v>62</c:v>
                </c:pt>
                <c:pt idx="1">
                  <c:v>62</c:v>
                </c:pt>
                <c:pt idx="2">
                  <c:v>70</c:v>
                </c:pt>
                <c:pt idx="3">
                  <c:v>62</c:v>
                </c:pt>
                <c:pt idx="4">
                  <c:v>70</c:v>
                </c:pt>
                <c:pt idx="5">
                  <c:v>62</c:v>
                </c:pt>
                <c:pt idx="9">
                  <c:v>54</c:v>
                </c:pt>
                <c:pt idx="10">
                  <c:v>70</c:v>
                </c:pt>
                <c:pt idx="11">
                  <c:v>62</c:v>
                </c:pt>
                <c:pt idx="12">
                  <c:v>64</c:v>
                </c:pt>
                <c:pt idx="13">
                  <c:v>70</c:v>
                </c:pt>
                <c:pt idx="17">
                  <c:v>62</c:v>
                </c:pt>
                <c:pt idx="18">
                  <c:v>66</c:v>
                </c:pt>
                <c:pt idx="19">
                  <c:v>70</c:v>
                </c:pt>
                <c:pt idx="20">
                  <c:v>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B39-41F6-8A29-BA022E41A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46895"/>
        <c:axId val="136344815"/>
      </c:scatterChart>
      <c:valAx>
        <c:axId val="1363468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6344815"/>
        <c:crosses val="autoZero"/>
        <c:crossBetween val="midCat"/>
      </c:valAx>
      <c:valAx>
        <c:axId val="136344815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63468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Clutch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sclutch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All!$HT$6:$HT$30</c:f>
              <c:numCache>
                <c:formatCode>General</c:formatCode>
                <c:ptCount val="25"/>
                <c:pt idx="0">
                  <c:v>-1.3140000000000001</c:v>
                </c:pt>
                <c:pt idx="1">
                  <c:v>-1.33</c:v>
                </c:pt>
                <c:pt idx="2">
                  <c:v>-1.3405</c:v>
                </c:pt>
                <c:pt idx="3">
                  <c:v>-1.3360000000000001</c:v>
                </c:pt>
                <c:pt idx="4">
                  <c:v>-1.3474999999999999</c:v>
                </c:pt>
                <c:pt idx="5">
                  <c:v>-1.3465</c:v>
                </c:pt>
                <c:pt idx="9">
                  <c:v>-0.995</c:v>
                </c:pt>
                <c:pt idx="10">
                  <c:v>-1.3660000000000001</c:v>
                </c:pt>
                <c:pt idx="11">
                  <c:v>-1.4015</c:v>
                </c:pt>
                <c:pt idx="12">
                  <c:v>-1.3859999999999999</c:v>
                </c:pt>
                <c:pt idx="13">
                  <c:v>-1.373</c:v>
                </c:pt>
                <c:pt idx="17">
                  <c:v>-1.3955</c:v>
                </c:pt>
                <c:pt idx="18">
                  <c:v>-1.4319999999999999</c:v>
                </c:pt>
                <c:pt idx="19">
                  <c:v>-1.4105000000000001</c:v>
                </c:pt>
                <c:pt idx="20">
                  <c:v>-1.3955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17-4408-A37F-65A0EA366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66031"/>
        <c:axId val="136362287"/>
      </c:scatterChart>
      <c:scatterChart>
        <c:scatterStyle val="lineMarker"/>
        <c:varyColors val="0"/>
        <c:ser>
          <c:idx val="1"/>
          <c:order val="1"/>
          <c:tx>
            <c:v>Lap-Begin Ave_Clutch_Slip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All!$HU$6:$HU$30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17-4408-A37F-65A0EA366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23183"/>
        <c:axId val="136310287"/>
      </c:scatterChart>
      <c:valAx>
        <c:axId val="1363660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6362287"/>
        <c:crosses val="autoZero"/>
        <c:crossBetween val="midCat"/>
      </c:valAx>
      <c:valAx>
        <c:axId val="136362287"/>
        <c:scaling>
          <c:orientation val="minMax"/>
          <c:max val="2"/>
          <c:min val="-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6366031"/>
        <c:crosses val="autoZero"/>
        <c:crossBetween val="midCat"/>
      </c:valAx>
      <c:valAx>
        <c:axId val="136310287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6323183"/>
        <c:crosses val="max"/>
        <c:crossBetween val="midCat"/>
      </c:valAx>
      <c:valAx>
        <c:axId val="136323183"/>
        <c:scaling>
          <c:orientation val="minMax"/>
        </c:scaling>
        <c:delete val="1"/>
        <c:axPos val="b"/>
        <c:majorTickMark val="out"/>
        <c:minorTickMark val="none"/>
        <c:tickLblPos val="nextTo"/>
        <c:crossAx val="1363102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FuelConsumption_vs_Laptime  [kg/lap vs 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CTRL!$O$50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1'!$B$2:$B$6</c:f>
              <c:numCache>
                <c:formatCode>General</c:formatCode>
                <c:ptCount val="5"/>
                <c:pt idx="0">
                  <c:v>379.05599999999998</c:v>
                </c:pt>
                <c:pt idx="1">
                  <c:v>211.1</c:v>
                </c:pt>
                <c:pt idx="2">
                  <c:v>209.39</c:v>
                </c:pt>
                <c:pt idx="3">
                  <c:v>247.16300000000001</c:v>
                </c:pt>
              </c:numCache>
            </c:numRef>
          </c:xVal>
          <c:yVal>
            <c:numRef>
              <c:f>'Driver 1'!$C$2:$C$6</c:f>
              <c:numCache>
                <c:formatCode>General</c:formatCode>
                <c:ptCount val="5"/>
                <c:pt idx="0">
                  <c:v>5.91</c:v>
                </c:pt>
                <c:pt idx="1">
                  <c:v>6.16</c:v>
                </c:pt>
                <c:pt idx="2">
                  <c:v>6.18</c:v>
                </c:pt>
                <c:pt idx="3">
                  <c:v>5.98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99-40F4-9A2A-D4757693D9D4}"/>
            </c:ext>
          </c:extLst>
        </c:ser>
        <c:ser>
          <c:idx val="1"/>
          <c:order val="1"/>
          <c:tx>
            <c:strRef>
              <c:f>CTRL!$O$51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2'!$B$2:$B$8</c:f>
              <c:numCache>
                <c:formatCode>General</c:formatCode>
                <c:ptCount val="7"/>
                <c:pt idx="0">
                  <c:v>1301.5999999999999</c:v>
                </c:pt>
                <c:pt idx="1">
                  <c:v>309.52</c:v>
                </c:pt>
                <c:pt idx="2">
                  <c:v>380.99</c:v>
                </c:pt>
                <c:pt idx="3">
                  <c:v>210.3</c:v>
                </c:pt>
                <c:pt idx="4">
                  <c:v>209.71</c:v>
                </c:pt>
                <c:pt idx="5">
                  <c:v>279.577</c:v>
                </c:pt>
              </c:numCache>
            </c:numRef>
          </c:xVal>
          <c:yVal>
            <c:numRef>
              <c:f>'Driver 2'!$C$2:$C$8</c:f>
              <c:numCache>
                <c:formatCode>General</c:formatCode>
                <c:ptCount val="7"/>
                <c:pt idx="0">
                  <c:v>5.53</c:v>
                </c:pt>
                <c:pt idx="1">
                  <c:v>5.0199999999999996</c:v>
                </c:pt>
                <c:pt idx="2">
                  <c:v>4.4000000000000004</c:v>
                </c:pt>
                <c:pt idx="3">
                  <c:v>5.98</c:v>
                </c:pt>
                <c:pt idx="4">
                  <c:v>6.04</c:v>
                </c:pt>
                <c:pt idx="5">
                  <c:v>-26.97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99-40F4-9A2A-D4757693D9D4}"/>
            </c:ext>
          </c:extLst>
        </c:ser>
        <c:ser>
          <c:idx val="2"/>
          <c:order val="2"/>
          <c:tx>
            <c:strRef>
              <c:f>CTRL!$O$52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3'!$B$2:$B$7</c:f>
              <c:numCache>
                <c:formatCode>General</c:formatCode>
                <c:ptCount val="6"/>
                <c:pt idx="0">
                  <c:v>29.062000000000001</c:v>
                </c:pt>
                <c:pt idx="1">
                  <c:v>310.892</c:v>
                </c:pt>
                <c:pt idx="2">
                  <c:v>212.33</c:v>
                </c:pt>
                <c:pt idx="3">
                  <c:v>210.76</c:v>
                </c:pt>
                <c:pt idx="4">
                  <c:v>242.15100000000001</c:v>
                </c:pt>
              </c:numCache>
            </c:numRef>
          </c:xVal>
          <c:yVal>
            <c:numRef>
              <c:f>'Driver 3'!$C$2:$C$7</c:f>
              <c:numCache>
                <c:formatCode>General</c:formatCode>
                <c:ptCount val="6"/>
                <c:pt idx="0">
                  <c:v>0</c:v>
                </c:pt>
                <c:pt idx="1">
                  <c:v>5.57</c:v>
                </c:pt>
                <c:pt idx="2">
                  <c:v>6.07</c:v>
                </c:pt>
                <c:pt idx="3">
                  <c:v>6.07</c:v>
                </c:pt>
                <c:pt idx="4">
                  <c:v>5.94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99-40F4-9A2A-D4757693D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19439"/>
        <c:axId val="136303631"/>
      </c:scatterChart>
      <c:valAx>
        <c:axId val="136319439"/>
        <c:scaling>
          <c:orientation val="minMax"/>
          <c:max val="222.99999999999997"/>
          <c:min val="202.9999999999999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Laptime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6303631"/>
        <c:crosses val="autoZero"/>
        <c:crossBetween val="midCat"/>
      </c:valAx>
      <c:valAx>
        <c:axId val="136303631"/>
        <c:scaling>
          <c:orientation val="minMax"/>
          <c:max val="7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63194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Sw Smoothness vs Laptime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CTRL!$O$50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1'!$B$2:$B$6</c:f>
              <c:numCache>
                <c:formatCode>General</c:formatCode>
                <c:ptCount val="5"/>
                <c:pt idx="0">
                  <c:v>379.05599999999998</c:v>
                </c:pt>
                <c:pt idx="1">
                  <c:v>211.1</c:v>
                </c:pt>
                <c:pt idx="2">
                  <c:v>209.39</c:v>
                </c:pt>
                <c:pt idx="3">
                  <c:v>247.16300000000001</c:v>
                </c:pt>
              </c:numCache>
            </c:numRef>
          </c:xVal>
          <c:yVal>
            <c:numRef>
              <c:f>'Driver 1'!$D$2:$D$6</c:f>
              <c:numCache>
                <c:formatCode>General</c:formatCode>
                <c:ptCount val="5"/>
                <c:pt idx="0">
                  <c:v>1.4079999999999999</c:v>
                </c:pt>
                <c:pt idx="1">
                  <c:v>1.6479999999999999</c:v>
                </c:pt>
                <c:pt idx="2">
                  <c:v>1.456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21-4F7E-A831-8C3699BE042D}"/>
            </c:ext>
          </c:extLst>
        </c:ser>
        <c:ser>
          <c:idx val="1"/>
          <c:order val="1"/>
          <c:tx>
            <c:strRef>
              <c:f>CTRL!$O$51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2'!$B$2:$B$8</c:f>
              <c:numCache>
                <c:formatCode>General</c:formatCode>
                <c:ptCount val="7"/>
                <c:pt idx="0">
                  <c:v>1301.5999999999999</c:v>
                </c:pt>
                <c:pt idx="1">
                  <c:v>309.52</c:v>
                </c:pt>
                <c:pt idx="2">
                  <c:v>380.99</c:v>
                </c:pt>
                <c:pt idx="3">
                  <c:v>210.3</c:v>
                </c:pt>
                <c:pt idx="4">
                  <c:v>209.71</c:v>
                </c:pt>
                <c:pt idx="5">
                  <c:v>279.577</c:v>
                </c:pt>
              </c:numCache>
            </c:numRef>
          </c:xVal>
          <c:yVal>
            <c:numRef>
              <c:f>'Driver 2'!$D$2:$D$8</c:f>
              <c:numCache>
                <c:formatCode>General</c:formatCode>
                <c:ptCount val="7"/>
                <c:pt idx="0">
                  <c:v>1.0649999999999999</c:v>
                </c:pt>
                <c:pt idx="1">
                  <c:v>0.89200000000000002</c:v>
                </c:pt>
                <c:pt idx="2">
                  <c:v>1.31</c:v>
                </c:pt>
                <c:pt idx="3">
                  <c:v>1.702</c:v>
                </c:pt>
                <c:pt idx="4">
                  <c:v>1.3440000000000001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21-4F7E-A831-8C3699BE042D}"/>
            </c:ext>
          </c:extLst>
        </c:ser>
        <c:ser>
          <c:idx val="2"/>
          <c:order val="2"/>
          <c:tx>
            <c:strRef>
              <c:f>CTRL!$O$52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3'!$B$2:$B$7</c:f>
              <c:numCache>
                <c:formatCode>General</c:formatCode>
                <c:ptCount val="6"/>
                <c:pt idx="0">
                  <c:v>29.062000000000001</c:v>
                </c:pt>
                <c:pt idx="1">
                  <c:v>310.892</c:v>
                </c:pt>
                <c:pt idx="2">
                  <c:v>212.33</c:v>
                </c:pt>
                <c:pt idx="3">
                  <c:v>210.76</c:v>
                </c:pt>
                <c:pt idx="4">
                  <c:v>242.15100000000001</c:v>
                </c:pt>
              </c:numCache>
            </c:numRef>
          </c:xVal>
          <c:yVal>
            <c:numRef>
              <c:f>'Driver 3'!$D$2:$D$7</c:f>
              <c:numCache>
                <c:formatCode>General</c:formatCode>
                <c:ptCount val="6"/>
                <c:pt idx="1">
                  <c:v>1.4039999999999999</c:v>
                </c:pt>
                <c:pt idx="2">
                  <c:v>1.7509999999999999</c:v>
                </c:pt>
                <c:pt idx="3">
                  <c:v>1.7110000000000001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821-4F7E-A831-8C3699BE04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93551"/>
        <c:axId val="99198127"/>
      </c:scatterChart>
      <c:valAx>
        <c:axId val="99193551"/>
        <c:scaling>
          <c:orientation val="minMax"/>
          <c:max val="222.99999999999997"/>
          <c:min val="202.9999999999999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Laptime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9198127"/>
        <c:crosses val="autoZero"/>
        <c:crossBetween val="midCat"/>
      </c:valAx>
      <c:valAx>
        <c:axId val="99198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91935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Throttle Smoothness vs Laptime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CTRL!$O$50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1'!$B$2:$B$6</c:f>
              <c:numCache>
                <c:formatCode>General</c:formatCode>
                <c:ptCount val="5"/>
                <c:pt idx="0">
                  <c:v>379.05599999999998</c:v>
                </c:pt>
                <c:pt idx="1">
                  <c:v>211.1</c:v>
                </c:pt>
                <c:pt idx="2">
                  <c:v>209.39</c:v>
                </c:pt>
                <c:pt idx="3">
                  <c:v>247.16300000000001</c:v>
                </c:pt>
              </c:numCache>
            </c:numRef>
          </c:xVal>
          <c:yVal>
            <c:numRef>
              <c:f>'Driver 1'!$E$2:$E$6</c:f>
              <c:numCache>
                <c:formatCode>General</c:formatCode>
                <c:ptCount val="5"/>
                <c:pt idx="0">
                  <c:v>4.508</c:v>
                </c:pt>
                <c:pt idx="1">
                  <c:v>5.0519999999999996</c:v>
                </c:pt>
                <c:pt idx="2">
                  <c:v>4.782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61-43F3-99AC-ED24CBEA9D4F}"/>
            </c:ext>
          </c:extLst>
        </c:ser>
        <c:ser>
          <c:idx val="1"/>
          <c:order val="1"/>
          <c:tx>
            <c:strRef>
              <c:f>CTRL!$O$51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2'!$B$2:$B$8</c:f>
              <c:numCache>
                <c:formatCode>General</c:formatCode>
                <c:ptCount val="7"/>
                <c:pt idx="0">
                  <c:v>1301.5999999999999</c:v>
                </c:pt>
                <c:pt idx="1">
                  <c:v>309.52</c:v>
                </c:pt>
                <c:pt idx="2">
                  <c:v>380.99</c:v>
                </c:pt>
                <c:pt idx="3">
                  <c:v>210.3</c:v>
                </c:pt>
                <c:pt idx="4">
                  <c:v>209.71</c:v>
                </c:pt>
                <c:pt idx="5">
                  <c:v>279.577</c:v>
                </c:pt>
              </c:numCache>
            </c:numRef>
          </c:xVal>
          <c:yVal>
            <c:numRef>
              <c:f>'Driver 2'!$E$2:$E$8</c:f>
              <c:numCache>
                <c:formatCode>General</c:formatCode>
                <c:ptCount val="7"/>
                <c:pt idx="0">
                  <c:v>4.5979999999999999</c:v>
                </c:pt>
                <c:pt idx="1">
                  <c:v>5.016</c:v>
                </c:pt>
                <c:pt idx="2">
                  <c:v>4.391</c:v>
                </c:pt>
                <c:pt idx="3">
                  <c:v>4.7679999999999998</c:v>
                </c:pt>
                <c:pt idx="4">
                  <c:v>4.2830000000000004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61-43F3-99AC-ED24CBEA9D4F}"/>
            </c:ext>
          </c:extLst>
        </c:ser>
        <c:ser>
          <c:idx val="2"/>
          <c:order val="2"/>
          <c:tx>
            <c:strRef>
              <c:f>CTRL!$O$52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3'!$B$2:$B$7</c:f>
              <c:numCache>
                <c:formatCode>General</c:formatCode>
                <c:ptCount val="6"/>
                <c:pt idx="0">
                  <c:v>29.062000000000001</c:v>
                </c:pt>
                <c:pt idx="1">
                  <c:v>310.892</c:v>
                </c:pt>
                <c:pt idx="2">
                  <c:v>212.33</c:v>
                </c:pt>
                <c:pt idx="3">
                  <c:v>210.76</c:v>
                </c:pt>
                <c:pt idx="4">
                  <c:v>242.15100000000001</c:v>
                </c:pt>
              </c:numCache>
            </c:numRef>
          </c:xVal>
          <c:yVal>
            <c:numRef>
              <c:f>'Driver 3'!$E$2:$E$7</c:f>
              <c:numCache>
                <c:formatCode>General</c:formatCode>
                <c:ptCount val="6"/>
                <c:pt idx="1">
                  <c:v>4.0919999999999996</c:v>
                </c:pt>
                <c:pt idx="2">
                  <c:v>3.9449999999999998</c:v>
                </c:pt>
                <c:pt idx="3">
                  <c:v>3.4740000000000002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61-43F3-99AC-ED24CBEA9D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1871"/>
        <c:axId val="99187311"/>
      </c:scatterChart>
      <c:valAx>
        <c:axId val="99201871"/>
        <c:scaling>
          <c:orientation val="minMax"/>
          <c:max val="222.99999999999997"/>
          <c:min val="202.9999999999999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Laptime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9187311"/>
        <c:crosses val="autoZero"/>
        <c:crossBetween val="midCat"/>
      </c:valAx>
      <c:valAx>
        <c:axId val="99187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92018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Brake release smoothness vs Laptime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CTRL!$O$50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1'!$B$2:$B$6</c:f>
              <c:numCache>
                <c:formatCode>General</c:formatCode>
                <c:ptCount val="5"/>
                <c:pt idx="0">
                  <c:v>379.05599999999998</c:v>
                </c:pt>
                <c:pt idx="1">
                  <c:v>211.1</c:v>
                </c:pt>
                <c:pt idx="2">
                  <c:v>209.39</c:v>
                </c:pt>
                <c:pt idx="3">
                  <c:v>247.16300000000001</c:v>
                </c:pt>
              </c:numCache>
            </c:numRef>
          </c:xVal>
          <c:yVal>
            <c:numRef>
              <c:f>'Driver 1'!$F$2:$F$6</c:f>
              <c:numCache>
                <c:formatCode>General</c:formatCode>
                <c:ptCount val="5"/>
                <c:pt idx="0">
                  <c:v>3.5339999999999998</c:v>
                </c:pt>
                <c:pt idx="1">
                  <c:v>3.6680000000000001</c:v>
                </c:pt>
                <c:pt idx="2">
                  <c:v>3.4980000000000002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64-4BD3-B5DA-3A6C83C2366F}"/>
            </c:ext>
          </c:extLst>
        </c:ser>
        <c:ser>
          <c:idx val="1"/>
          <c:order val="1"/>
          <c:tx>
            <c:strRef>
              <c:f>CTRL!$O$51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2'!$B$2:$B$8</c:f>
              <c:numCache>
                <c:formatCode>General</c:formatCode>
                <c:ptCount val="7"/>
                <c:pt idx="0">
                  <c:v>1301.5999999999999</c:v>
                </c:pt>
                <c:pt idx="1">
                  <c:v>309.52</c:v>
                </c:pt>
                <c:pt idx="2">
                  <c:v>380.99</c:v>
                </c:pt>
                <c:pt idx="3">
                  <c:v>210.3</c:v>
                </c:pt>
                <c:pt idx="4">
                  <c:v>209.71</c:v>
                </c:pt>
                <c:pt idx="5">
                  <c:v>279.577</c:v>
                </c:pt>
              </c:numCache>
            </c:numRef>
          </c:xVal>
          <c:yVal>
            <c:numRef>
              <c:f>'Driver 2'!$F$2:$F$8</c:f>
              <c:numCache>
                <c:formatCode>General</c:formatCode>
                <c:ptCount val="7"/>
                <c:pt idx="0">
                  <c:v>-930411.30900000001</c:v>
                </c:pt>
                <c:pt idx="1">
                  <c:v>-116.81699999999999</c:v>
                </c:pt>
                <c:pt idx="2">
                  <c:v>-92.903999999999996</c:v>
                </c:pt>
                <c:pt idx="3">
                  <c:v>-73.218999999999994</c:v>
                </c:pt>
                <c:pt idx="4">
                  <c:v>-90.393000000000001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964-4BD3-B5DA-3A6C83C2366F}"/>
            </c:ext>
          </c:extLst>
        </c:ser>
        <c:ser>
          <c:idx val="2"/>
          <c:order val="2"/>
          <c:tx>
            <c:strRef>
              <c:f>CTRL!$O$52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3'!$B$2:$B$7</c:f>
              <c:numCache>
                <c:formatCode>General</c:formatCode>
                <c:ptCount val="6"/>
                <c:pt idx="0">
                  <c:v>29.062000000000001</c:v>
                </c:pt>
                <c:pt idx="1">
                  <c:v>310.892</c:v>
                </c:pt>
                <c:pt idx="2">
                  <c:v>212.33</c:v>
                </c:pt>
                <c:pt idx="3">
                  <c:v>210.76</c:v>
                </c:pt>
                <c:pt idx="4">
                  <c:v>242.15100000000001</c:v>
                </c:pt>
              </c:numCache>
            </c:numRef>
          </c:xVal>
          <c:yVal>
            <c:numRef>
              <c:f>'Driver 3'!$F$2:$F$7</c:f>
              <c:numCache>
                <c:formatCode>General</c:formatCode>
                <c:ptCount val="6"/>
                <c:pt idx="0">
                  <c:v>1.895</c:v>
                </c:pt>
                <c:pt idx="1">
                  <c:v>3.5169999999999999</c:v>
                </c:pt>
                <c:pt idx="2">
                  <c:v>3.7210000000000001</c:v>
                </c:pt>
                <c:pt idx="3">
                  <c:v>3.774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64-4BD3-B5DA-3A6C83C23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3119"/>
        <c:axId val="99188559"/>
      </c:scatterChart>
      <c:valAx>
        <c:axId val="99203119"/>
        <c:scaling>
          <c:orientation val="minMax"/>
          <c:max val="222.99999999999997"/>
          <c:min val="202.9999999999999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Laptime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9188559"/>
        <c:crosses val="autoZero"/>
        <c:crossBetween val="midCat"/>
      </c:valAx>
      <c:valAx>
        <c:axId val="99188559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9203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Throttle smoothness vs Fuel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CTRL!$O$50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1'!$E$2:$E$6</c:f>
              <c:numCache>
                <c:formatCode>General</c:formatCode>
                <c:ptCount val="5"/>
                <c:pt idx="0">
                  <c:v>4.508</c:v>
                </c:pt>
                <c:pt idx="1">
                  <c:v>5.0519999999999996</c:v>
                </c:pt>
                <c:pt idx="2">
                  <c:v>4.782</c:v>
                </c:pt>
              </c:numCache>
            </c:numRef>
          </c:xVal>
          <c:yVal>
            <c:numRef>
              <c:f>'Driver 1'!$C$2:$C$6</c:f>
              <c:numCache>
                <c:formatCode>General</c:formatCode>
                <c:ptCount val="5"/>
                <c:pt idx="0">
                  <c:v>5.91</c:v>
                </c:pt>
                <c:pt idx="1">
                  <c:v>6.16</c:v>
                </c:pt>
                <c:pt idx="2">
                  <c:v>6.18</c:v>
                </c:pt>
                <c:pt idx="3">
                  <c:v>5.98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AA-4D93-8A48-CAE81861181D}"/>
            </c:ext>
          </c:extLst>
        </c:ser>
        <c:ser>
          <c:idx val="1"/>
          <c:order val="1"/>
          <c:tx>
            <c:strRef>
              <c:f>CTRL!$O$51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2'!$E$2:$E$8</c:f>
              <c:numCache>
                <c:formatCode>General</c:formatCode>
                <c:ptCount val="7"/>
                <c:pt idx="0">
                  <c:v>4.5979999999999999</c:v>
                </c:pt>
                <c:pt idx="1">
                  <c:v>5.016</c:v>
                </c:pt>
                <c:pt idx="2">
                  <c:v>4.391</c:v>
                </c:pt>
                <c:pt idx="3">
                  <c:v>4.7679999999999998</c:v>
                </c:pt>
                <c:pt idx="4">
                  <c:v>4.2830000000000004</c:v>
                </c:pt>
              </c:numCache>
            </c:numRef>
          </c:xVal>
          <c:yVal>
            <c:numRef>
              <c:f>'Driver 2'!$C$2:$C$8</c:f>
              <c:numCache>
                <c:formatCode>General</c:formatCode>
                <c:ptCount val="7"/>
                <c:pt idx="0">
                  <c:v>5.53</c:v>
                </c:pt>
                <c:pt idx="1">
                  <c:v>5.0199999999999996</c:v>
                </c:pt>
                <c:pt idx="2">
                  <c:v>4.4000000000000004</c:v>
                </c:pt>
                <c:pt idx="3">
                  <c:v>5.98</c:v>
                </c:pt>
                <c:pt idx="4">
                  <c:v>6.04</c:v>
                </c:pt>
                <c:pt idx="5">
                  <c:v>-26.97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AA-4D93-8A48-CAE81861181D}"/>
            </c:ext>
          </c:extLst>
        </c:ser>
        <c:ser>
          <c:idx val="2"/>
          <c:order val="2"/>
          <c:tx>
            <c:strRef>
              <c:f>CTRL!$O$52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3'!$E$2:$E$7</c:f>
              <c:numCache>
                <c:formatCode>General</c:formatCode>
                <c:ptCount val="6"/>
                <c:pt idx="1">
                  <c:v>4.0919999999999996</c:v>
                </c:pt>
                <c:pt idx="2">
                  <c:v>3.9449999999999998</c:v>
                </c:pt>
                <c:pt idx="3">
                  <c:v>3.4740000000000002</c:v>
                </c:pt>
              </c:numCache>
            </c:numRef>
          </c:xVal>
          <c:yVal>
            <c:numRef>
              <c:f>'Driver 3'!$C$2:$C$7</c:f>
              <c:numCache>
                <c:formatCode>General</c:formatCode>
                <c:ptCount val="6"/>
                <c:pt idx="0">
                  <c:v>0</c:v>
                </c:pt>
                <c:pt idx="1">
                  <c:v>5.57</c:v>
                </c:pt>
                <c:pt idx="2">
                  <c:v>6.07</c:v>
                </c:pt>
                <c:pt idx="3">
                  <c:v>6.07</c:v>
                </c:pt>
                <c:pt idx="4">
                  <c:v>5.94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AA-4D93-8A48-CAE8186118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91887"/>
        <c:axId val="99183151"/>
      </c:scatterChart>
      <c:valAx>
        <c:axId val="99191887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Throttle smoothness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9183151"/>
        <c:crosses val="autoZero"/>
        <c:crossBetween val="midCat"/>
      </c:valAx>
      <c:valAx>
        <c:axId val="99183151"/>
        <c:scaling>
          <c:orientation val="minMax"/>
          <c:max val="7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91918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Throttle smoothess vs Energy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CTRL!$O$50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1'!$E$2:$E$6</c:f>
              <c:numCache>
                <c:formatCode>General</c:formatCode>
                <c:ptCount val="5"/>
                <c:pt idx="0">
                  <c:v>4.508</c:v>
                </c:pt>
                <c:pt idx="1">
                  <c:v>5.0519999999999996</c:v>
                </c:pt>
                <c:pt idx="2">
                  <c:v>4.782</c:v>
                </c:pt>
              </c:numCache>
            </c:numRef>
          </c:xVal>
          <c:yVal>
            <c:numRef>
              <c:f>'Driver 1'!$G$2:$G$6</c:f>
              <c:numCache>
                <c:formatCode>General</c:formatCode>
                <c:ptCount val="5"/>
                <c:pt idx="0">
                  <c:v>71.55</c:v>
                </c:pt>
                <c:pt idx="1">
                  <c:v>76.66</c:v>
                </c:pt>
                <c:pt idx="2">
                  <c:v>76.84</c:v>
                </c:pt>
                <c:pt idx="3">
                  <c:v>71.25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B8-464C-AF28-CAC141BCA1C3}"/>
            </c:ext>
          </c:extLst>
        </c:ser>
        <c:ser>
          <c:idx val="1"/>
          <c:order val="1"/>
          <c:tx>
            <c:strRef>
              <c:f>CTRL!$O$51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2'!$E$2:$E$8</c:f>
              <c:numCache>
                <c:formatCode>General</c:formatCode>
                <c:ptCount val="7"/>
                <c:pt idx="0">
                  <c:v>4.5979999999999999</c:v>
                </c:pt>
                <c:pt idx="1">
                  <c:v>5.016</c:v>
                </c:pt>
                <c:pt idx="2">
                  <c:v>4.391</c:v>
                </c:pt>
                <c:pt idx="3">
                  <c:v>4.7679999999999998</c:v>
                </c:pt>
                <c:pt idx="4">
                  <c:v>4.2830000000000004</c:v>
                </c:pt>
              </c:numCache>
            </c:numRef>
          </c:xVal>
          <c:yVal>
            <c:numRef>
              <c:f>'Driver 2'!$G$2:$G$8</c:f>
              <c:numCache>
                <c:formatCode>General</c:formatCode>
                <c:ptCount val="7"/>
                <c:pt idx="0">
                  <c:v>-258.95999999999998</c:v>
                </c:pt>
                <c:pt idx="1">
                  <c:v>58.04</c:v>
                </c:pt>
                <c:pt idx="2">
                  <c:v>45.22</c:v>
                </c:pt>
                <c:pt idx="3">
                  <c:v>74.22</c:v>
                </c:pt>
                <c:pt idx="4">
                  <c:v>75.319999999999993</c:v>
                </c:pt>
                <c:pt idx="5">
                  <c:v>64.400000000000006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B8-464C-AF28-CAC141BCA1C3}"/>
            </c:ext>
          </c:extLst>
        </c:ser>
        <c:ser>
          <c:idx val="2"/>
          <c:order val="2"/>
          <c:tx>
            <c:strRef>
              <c:f>CTRL!$O$52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3'!$E$2:$E$7</c:f>
              <c:numCache>
                <c:formatCode>General</c:formatCode>
                <c:ptCount val="6"/>
                <c:pt idx="1">
                  <c:v>4.0919999999999996</c:v>
                </c:pt>
                <c:pt idx="2">
                  <c:v>3.9449999999999998</c:v>
                </c:pt>
                <c:pt idx="3">
                  <c:v>3.4740000000000002</c:v>
                </c:pt>
              </c:numCache>
            </c:numRef>
          </c:xVal>
          <c:yVal>
            <c:numRef>
              <c:f>'Driver 3'!$G$2:$G$7</c:f>
              <c:numCache>
                <c:formatCode>General</c:formatCode>
                <c:ptCount val="6"/>
                <c:pt idx="0">
                  <c:v>0</c:v>
                </c:pt>
                <c:pt idx="1">
                  <c:v>-315.3</c:v>
                </c:pt>
                <c:pt idx="2">
                  <c:v>75</c:v>
                </c:pt>
                <c:pt idx="3">
                  <c:v>75.010000000000005</c:v>
                </c:pt>
                <c:pt idx="4">
                  <c:v>72.53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EB8-464C-AF28-CAC141BCA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1039"/>
        <c:axId val="99180655"/>
      </c:scatterChart>
      <c:valAx>
        <c:axId val="99201039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Throttle smoothness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9180655"/>
        <c:crosses val="autoZero"/>
        <c:crossBetween val="midCat"/>
      </c:valAx>
      <c:valAx>
        <c:axId val="99180655"/>
        <c:scaling>
          <c:orientation val="minMax"/>
          <c:max val="8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92010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 paperSize="9" orientation="landscape"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All!$BE$5</c:f>
              <c:strCache>
                <c:ptCount val="1"/>
                <c:pt idx="0">
                  <c:v>Max Load_FL_Ch1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All!$BE$6:$BE$186</c:f>
              <c:numCache>
                <c:formatCode>General</c:formatCode>
                <c:ptCount val="181"/>
                <c:pt idx="0">
                  <c:v>15.955</c:v>
                </c:pt>
                <c:pt idx="1">
                  <c:v>16.84</c:v>
                </c:pt>
                <c:pt idx="2">
                  <c:v>14.04</c:v>
                </c:pt>
                <c:pt idx="3">
                  <c:v>16.75</c:v>
                </c:pt>
                <c:pt idx="4">
                  <c:v>15.955</c:v>
                </c:pt>
                <c:pt idx="5">
                  <c:v>15.914999999999999</c:v>
                </c:pt>
                <c:pt idx="9">
                  <c:v>3.98</c:v>
                </c:pt>
                <c:pt idx="10">
                  <c:v>15.07</c:v>
                </c:pt>
                <c:pt idx="11">
                  <c:v>16.254999999999999</c:v>
                </c:pt>
                <c:pt idx="12">
                  <c:v>18.454999999999998</c:v>
                </c:pt>
                <c:pt idx="13">
                  <c:v>16.635000000000002</c:v>
                </c:pt>
                <c:pt idx="17">
                  <c:v>15.78</c:v>
                </c:pt>
                <c:pt idx="18">
                  <c:v>17.670000000000002</c:v>
                </c:pt>
                <c:pt idx="19">
                  <c:v>17.405000000000001</c:v>
                </c:pt>
                <c:pt idx="20">
                  <c:v>17.04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2A-4C1B-BA6A-35253FFFEE55}"/>
            </c:ext>
          </c:extLst>
        </c:ser>
        <c:ser>
          <c:idx val="1"/>
          <c:order val="1"/>
          <c:tx>
            <c:strRef>
              <c:f>All!$BF$5</c:f>
              <c:strCache>
                <c:ptCount val="1"/>
                <c:pt idx="0">
                  <c:v>Max Load_FR_Ch1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All!$BF$6:$BF$186</c:f>
              <c:numCache>
                <c:formatCode>General</c:formatCode>
                <c:ptCount val="181"/>
                <c:pt idx="0">
                  <c:v>13.71</c:v>
                </c:pt>
                <c:pt idx="1">
                  <c:v>11.775</c:v>
                </c:pt>
                <c:pt idx="2">
                  <c:v>12.43</c:v>
                </c:pt>
                <c:pt idx="3">
                  <c:v>15.025</c:v>
                </c:pt>
                <c:pt idx="4">
                  <c:v>15.305</c:v>
                </c:pt>
                <c:pt idx="5">
                  <c:v>13.08</c:v>
                </c:pt>
                <c:pt idx="9">
                  <c:v>3.06</c:v>
                </c:pt>
                <c:pt idx="10">
                  <c:v>12.74</c:v>
                </c:pt>
                <c:pt idx="11">
                  <c:v>14.335000000000001</c:v>
                </c:pt>
                <c:pt idx="12">
                  <c:v>15.645</c:v>
                </c:pt>
                <c:pt idx="13">
                  <c:v>14.76</c:v>
                </c:pt>
                <c:pt idx="17">
                  <c:v>13.23</c:v>
                </c:pt>
                <c:pt idx="18">
                  <c:v>15.14</c:v>
                </c:pt>
                <c:pt idx="19">
                  <c:v>15.34</c:v>
                </c:pt>
                <c:pt idx="20">
                  <c:v>12.97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2A-4C1B-BA6A-35253FFFEE55}"/>
            </c:ext>
          </c:extLst>
        </c:ser>
        <c:ser>
          <c:idx val="2"/>
          <c:order val="2"/>
          <c:tx>
            <c:strRef>
              <c:f>All!$BG$5</c:f>
              <c:strCache>
                <c:ptCount val="1"/>
                <c:pt idx="0">
                  <c:v>Max Load_RL_Ch1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All!$BG$6:$BG$186</c:f>
              <c:numCache>
                <c:formatCode>General</c:formatCode>
                <c:ptCount val="181"/>
                <c:pt idx="0">
                  <c:v>28.69</c:v>
                </c:pt>
                <c:pt idx="1">
                  <c:v>29.39</c:v>
                </c:pt>
                <c:pt idx="2">
                  <c:v>26.91</c:v>
                </c:pt>
                <c:pt idx="3">
                  <c:v>29.33</c:v>
                </c:pt>
                <c:pt idx="4">
                  <c:v>30.34</c:v>
                </c:pt>
                <c:pt idx="5">
                  <c:v>28.22</c:v>
                </c:pt>
                <c:pt idx="9">
                  <c:v>6.2</c:v>
                </c:pt>
                <c:pt idx="10">
                  <c:v>25.47</c:v>
                </c:pt>
                <c:pt idx="11">
                  <c:v>28.78</c:v>
                </c:pt>
                <c:pt idx="12">
                  <c:v>29.37</c:v>
                </c:pt>
                <c:pt idx="13">
                  <c:v>30.53</c:v>
                </c:pt>
                <c:pt idx="17">
                  <c:v>28.01</c:v>
                </c:pt>
                <c:pt idx="18">
                  <c:v>29.26</c:v>
                </c:pt>
                <c:pt idx="19">
                  <c:v>30.28</c:v>
                </c:pt>
                <c:pt idx="20">
                  <c:v>30.24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2A-4C1B-BA6A-35253FFFEE55}"/>
            </c:ext>
          </c:extLst>
        </c:ser>
        <c:ser>
          <c:idx val="3"/>
          <c:order val="3"/>
          <c:tx>
            <c:strRef>
              <c:f>All!$BH$5</c:f>
              <c:strCache>
                <c:ptCount val="1"/>
                <c:pt idx="0">
                  <c:v>Max Load_RR_Ch1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All!$BH$6:$BH$186</c:f>
              <c:numCache>
                <c:formatCode>General</c:formatCode>
                <c:ptCount val="181"/>
                <c:pt idx="0">
                  <c:v>27.55</c:v>
                </c:pt>
                <c:pt idx="1">
                  <c:v>27.91</c:v>
                </c:pt>
                <c:pt idx="2">
                  <c:v>26.09</c:v>
                </c:pt>
                <c:pt idx="3">
                  <c:v>27.61</c:v>
                </c:pt>
                <c:pt idx="4">
                  <c:v>28.1</c:v>
                </c:pt>
                <c:pt idx="5">
                  <c:v>27.12</c:v>
                </c:pt>
                <c:pt idx="9">
                  <c:v>6.5</c:v>
                </c:pt>
                <c:pt idx="10">
                  <c:v>26.06</c:v>
                </c:pt>
                <c:pt idx="11">
                  <c:v>27.44</c:v>
                </c:pt>
                <c:pt idx="12">
                  <c:v>27.89</c:v>
                </c:pt>
                <c:pt idx="13">
                  <c:v>28.35</c:v>
                </c:pt>
                <c:pt idx="17">
                  <c:v>27.51</c:v>
                </c:pt>
                <c:pt idx="18">
                  <c:v>28.01</c:v>
                </c:pt>
                <c:pt idx="19">
                  <c:v>29.58</c:v>
                </c:pt>
                <c:pt idx="20">
                  <c:v>26.21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92A-4C1B-BA6A-35253FFFE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3532799"/>
        <c:axId val="1423540703"/>
      </c:lineChart>
      <c:catAx>
        <c:axId val="14235327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3540703"/>
        <c:crosses val="autoZero"/>
        <c:auto val="1"/>
        <c:lblAlgn val="ctr"/>
        <c:lblOffset val="100"/>
        <c:noMultiLvlLbl val="0"/>
      </c:catAx>
      <c:valAx>
        <c:axId val="1423540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35327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All!$D$6:$D$217</c:f>
              <c:strCache>
                <c:ptCount val="212"/>
                <c:pt idx="0">
                  <c:v>21:41.6</c:v>
                </c:pt>
                <c:pt idx="1">
                  <c:v>05:09.5</c:v>
                </c:pt>
                <c:pt idx="2">
                  <c:v>06:21.1</c:v>
                </c:pt>
                <c:pt idx="3">
                  <c:v>03:30.3</c:v>
                </c:pt>
                <c:pt idx="4">
                  <c:v>03:29.7</c:v>
                </c:pt>
                <c:pt idx="5">
                  <c:v>04:39.6</c:v>
                </c:pt>
                <c:pt idx="9">
                  <c:v>00:29.1</c:v>
                </c:pt>
                <c:pt idx="10">
                  <c:v>05:10.9</c:v>
                </c:pt>
                <c:pt idx="11">
                  <c:v>03:32.3</c:v>
                </c:pt>
                <c:pt idx="12">
                  <c:v>03:30.8</c:v>
                </c:pt>
                <c:pt idx="13">
                  <c:v>04:02.1</c:v>
                </c:pt>
                <c:pt idx="17">
                  <c:v>06:19.1</c:v>
                </c:pt>
                <c:pt idx="18">
                  <c:v>03:31.1</c:v>
                </c:pt>
                <c:pt idx="19">
                  <c:v>03:29.4</c:v>
                </c:pt>
                <c:pt idx="20">
                  <c:v>04:07.2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All!$D$218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AE-4C44-AD77-5C6A943D0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3415632"/>
        <c:axId val="2063421040"/>
      </c:scatterChart>
      <c:valAx>
        <c:axId val="2063415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63421040"/>
        <c:crosses val="autoZero"/>
        <c:crossBetween val="midCat"/>
      </c:valAx>
      <c:valAx>
        <c:axId val="206342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63415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chart" Target="../charts/chart26.xml"/><Relationship Id="rId21" Type="http://schemas.openxmlformats.org/officeDocument/2006/relationships/chart" Target="../charts/chart21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63" Type="http://schemas.openxmlformats.org/officeDocument/2006/relationships/chart" Target="../charts/chart63.xml"/><Relationship Id="rId68" Type="http://schemas.openxmlformats.org/officeDocument/2006/relationships/chart" Target="../charts/chart68.xml"/><Relationship Id="rId7" Type="http://schemas.openxmlformats.org/officeDocument/2006/relationships/chart" Target="../charts/chart7.xml"/><Relationship Id="rId71" Type="http://schemas.openxmlformats.org/officeDocument/2006/relationships/chart" Target="../charts/chart71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3" Type="http://schemas.openxmlformats.org/officeDocument/2006/relationships/chart" Target="../charts/chart53.xml"/><Relationship Id="rId58" Type="http://schemas.openxmlformats.org/officeDocument/2006/relationships/chart" Target="../charts/chart58.xml"/><Relationship Id="rId66" Type="http://schemas.openxmlformats.org/officeDocument/2006/relationships/chart" Target="../charts/chart66.xml"/><Relationship Id="rId5" Type="http://schemas.openxmlformats.org/officeDocument/2006/relationships/chart" Target="../charts/chart5.xml"/><Relationship Id="rId61" Type="http://schemas.openxmlformats.org/officeDocument/2006/relationships/chart" Target="../charts/chart61.xml"/><Relationship Id="rId19" Type="http://schemas.openxmlformats.org/officeDocument/2006/relationships/chart" Target="../charts/chart1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56" Type="http://schemas.openxmlformats.org/officeDocument/2006/relationships/chart" Target="../charts/chart56.xml"/><Relationship Id="rId64" Type="http://schemas.openxmlformats.org/officeDocument/2006/relationships/chart" Target="../charts/chart64.xml"/><Relationship Id="rId69" Type="http://schemas.openxmlformats.org/officeDocument/2006/relationships/chart" Target="../charts/chart69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72" Type="http://schemas.openxmlformats.org/officeDocument/2006/relationships/chart" Target="../charts/chart72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59" Type="http://schemas.openxmlformats.org/officeDocument/2006/relationships/chart" Target="../charts/chart59.xml"/><Relationship Id="rId67" Type="http://schemas.openxmlformats.org/officeDocument/2006/relationships/chart" Target="../charts/chart67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62" Type="http://schemas.openxmlformats.org/officeDocument/2006/relationships/chart" Target="../charts/chart62.xml"/><Relationship Id="rId70" Type="http://schemas.openxmlformats.org/officeDocument/2006/relationships/chart" Target="../charts/chart7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Relationship Id="rId57" Type="http://schemas.openxmlformats.org/officeDocument/2006/relationships/chart" Target="../charts/chart57.xml"/><Relationship Id="rId10" Type="http://schemas.openxmlformats.org/officeDocument/2006/relationships/chart" Target="../charts/chart10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60" Type="http://schemas.openxmlformats.org/officeDocument/2006/relationships/chart" Target="../charts/chart60.xml"/><Relationship Id="rId65" Type="http://schemas.openxmlformats.org/officeDocument/2006/relationships/chart" Target="../charts/chart6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9" Type="http://schemas.openxmlformats.org/officeDocument/2006/relationships/chart" Target="../charts/chart39.xml"/><Relationship Id="rId34" Type="http://schemas.openxmlformats.org/officeDocument/2006/relationships/chart" Target="../charts/chart34.xml"/><Relationship Id="rId50" Type="http://schemas.openxmlformats.org/officeDocument/2006/relationships/chart" Target="../charts/chart50.xml"/><Relationship Id="rId55" Type="http://schemas.openxmlformats.org/officeDocument/2006/relationships/chart" Target="../charts/chart5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4</xdr:row>
      <xdr:rowOff>123825</xdr:rowOff>
    </xdr:from>
    <xdr:to>
      <xdr:col>3</xdr:col>
      <xdr:colOff>295275</xdr:colOff>
      <xdr:row>6</xdr:row>
      <xdr:rowOff>66675</xdr:rowOff>
    </xdr:to>
    <xdr:sp macro="[0]!Data_copy" textlink="">
      <xdr:nvSpPr>
        <xdr:cNvPr id="2" name="Rectangle 1">
          <a:extLst>
            <a:ext uri="{FF2B5EF4-FFF2-40B4-BE49-F238E27FC236}">
              <a16:creationId xmlns:a16="http://schemas.microsoft.com/office/drawing/2014/main" id="{531677E9-6C34-43CF-9C39-DFE57837B0F1}"/>
            </a:ext>
          </a:extLst>
        </xdr:cNvPr>
        <xdr:cNvSpPr/>
      </xdr:nvSpPr>
      <xdr:spPr>
        <a:xfrm>
          <a:off x="1285875" y="885825"/>
          <a:ext cx="838200" cy="323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100"/>
            <a:t>Data_Copy</a:t>
          </a:r>
        </a:p>
      </xdr:txBody>
    </xdr:sp>
    <xdr:clientData/>
  </xdr:twoCellAnchor>
  <xdr:twoCellAnchor>
    <xdr:from>
      <xdr:col>1</xdr:col>
      <xdr:colOff>428625</xdr:colOff>
      <xdr:row>7</xdr:row>
      <xdr:rowOff>0</xdr:rowOff>
    </xdr:from>
    <xdr:to>
      <xdr:col>3</xdr:col>
      <xdr:colOff>533400</xdr:colOff>
      <xdr:row>10</xdr:row>
      <xdr:rowOff>85725</xdr:rowOff>
    </xdr:to>
    <xdr:sp macro="[0]!Plot_Export" textlink="">
      <xdr:nvSpPr>
        <xdr:cNvPr id="3" name="Oval 2">
          <a:extLst>
            <a:ext uri="{FF2B5EF4-FFF2-40B4-BE49-F238E27FC236}">
              <a16:creationId xmlns:a16="http://schemas.microsoft.com/office/drawing/2014/main" id="{4FBB1FD2-A080-4466-B886-BCF4B0EBAE98}"/>
            </a:ext>
          </a:extLst>
        </xdr:cNvPr>
        <xdr:cNvSpPr/>
      </xdr:nvSpPr>
      <xdr:spPr>
        <a:xfrm>
          <a:off x="1400175" y="1333500"/>
          <a:ext cx="1323975" cy="657225"/>
        </a:xfrm>
        <a:prstGeom prst="ellipse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Export</a:t>
          </a:r>
          <a:r>
            <a:rPr lang="it-IT" sz="1100" baseline="0"/>
            <a:t> plots</a:t>
          </a:r>
          <a:endParaRPr lang="it-IT" sz="1100"/>
        </a:p>
      </xdr:txBody>
    </xdr:sp>
    <xdr:clientData/>
  </xdr:twoCellAnchor>
  <xdr:twoCellAnchor>
    <xdr:from>
      <xdr:col>1</xdr:col>
      <xdr:colOff>990599</xdr:colOff>
      <xdr:row>11</xdr:row>
      <xdr:rowOff>19050</xdr:rowOff>
    </xdr:from>
    <xdr:to>
      <xdr:col>1</xdr:col>
      <xdr:colOff>1981200</xdr:colOff>
      <xdr:row>12</xdr:row>
      <xdr:rowOff>180975</xdr:rowOff>
    </xdr:to>
    <xdr:sp macro="[0]!plot_clear" textlink="">
      <xdr:nvSpPr>
        <xdr:cNvPr id="4" name="Rectangle: Diagonal Corners Snipped 3">
          <a:extLst>
            <a:ext uri="{FF2B5EF4-FFF2-40B4-BE49-F238E27FC236}">
              <a16:creationId xmlns:a16="http://schemas.microsoft.com/office/drawing/2014/main" id="{117EB9CB-AA22-4D9B-AA31-AB7F5B126E9B}"/>
            </a:ext>
          </a:extLst>
        </xdr:cNvPr>
        <xdr:cNvSpPr/>
      </xdr:nvSpPr>
      <xdr:spPr>
        <a:xfrm>
          <a:off x="2400299" y="2114550"/>
          <a:ext cx="990601" cy="352425"/>
        </a:xfrm>
        <a:prstGeom prst="snip2Diag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100"/>
            <a:t>Plot cleanup</a:t>
          </a:r>
        </a:p>
      </xdr:txBody>
    </xdr:sp>
    <xdr:clientData/>
  </xdr:twoCellAnchor>
  <xdr:twoCellAnchor>
    <xdr:from>
      <xdr:col>6</xdr:col>
      <xdr:colOff>581024</xdr:colOff>
      <xdr:row>4</xdr:row>
      <xdr:rowOff>142875</xdr:rowOff>
    </xdr:from>
    <xdr:to>
      <xdr:col>10</xdr:col>
      <xdr:colOff>114299</xdr:colOff>
      <xdr:row>9</xdr:row>
      <xdr:rowOff>104775</xdr:rowOff>
    </xdr:to>
    <xdr:sp macro="[0]!Add_Titles" textlink="">
      <xdr:nvSpPr>
        <xdr:cNvPr id="5" name="Oval 4">
          <a:extLst>
            <a:ext uri="{FF2B5EF4-FFF2-40B4-BE49-F238E27FC236}">
              <a16:creationId xmlns:a16="http://schemas.microsoft.com/office/drawing/2014/main" id="{094A8ABA-77F5-45A0-9226-7ADFDAC50548}"/>
            </a:ext>
          </a:extLst>
        </xdr:cNvPr>
        <xdr:cNvSpPr/>
      </xdr:nvSpPr>
      <xdr:spPr>
        <a:xfrm>
          <a:off x="7019924" y="904875"/>
          <a:ext cx="1971675" cy="9144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Add titles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12700</xdr:colOff>
      <xdr:row>1</xdr:row>
      <xdr:rowOff>63500</xdr:rowOff>
    </xdr:from>
    <xdr:to>
      <xdr:col>26</xdr:col>
      <xdr:colOff>628650</xdr:colOff>
      <xdr:row>13</xdr:row>
      <xdr:rowOff>0</xdr:rowOff>
    </xdr:to>
    <xdr:graphicFrame macro="">
      <xdr:nvGraphicFramePr>
        <xdr:cNvPr id="10222" name="Chart 10221">
          <a:extLst>
            <a:ext uri="{FF2B5EF4-FFF2-40B4-BE49-F238E27FC236}">
              <a16:creationId xmlns:a16="http://schemas.microsoft.com/office/drawing/2014/main" id="{0411AF08-8FB8-4DDE-A403-BCD4AE71BF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12700</xdr:colOff>
      <xdr:row>13</xdr:row>
      <xdr:rowOff>63500</xdr:rowOff>
    </xdr:from>
    <xdr:to>
      <xdr:col>26</xdr:col>
      <xdr:colOff>628650</xdr:colOff>
      <xdr:row>25</xdr:row>
      <xdr:rowOff>0</xdr:rowOff>
    </xdr:to>
    <xdr:graphicFrame macro="">
      <xdr:nvGraphicFramePr>
        <xdr:cNvPr id="10223" name="Chart 10222">
          <a:extLst>
            <a:ext uri="{FF2B5EF4-FFF2-40B4-BE49-F238E27FC236}">
              <a16:creationId xmlns:a16="http://schemas.microsoft.com/office/drawing/2014/main" id="{FA98FA35-2EB1-486E-B1A4-05E9458C48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12700</xdr:colOff>
      <xdr:row>25</xdr:row>
      <xdr:rowOff>63500</xdr:rowOff>
    </xdr:from>
    <xdr:to>
      <xdr:col>26</xdr:col>
      <xdr:colOff>628650</xdr:colOff>
      <xdr:row>37</xdr:row>
      <xdr:rowOff>0</xdr:rowOff>
    </xdr:to>
    <xdr:graphicFrame macro="">
      <xdr:nvGraphicFramePr>
        <xdr:cNvPr id="10224" name="Chart 10223">
          <a:extLst>
            <a:ext uri="{FF2B5EF4-FFF2-40B4-BE49-F238E27FC236}">
              <a16:creationId xmlns:a16="http://schemas.microsoft.com/office/drawing/2014/main" id="{2515DC40-912E-400F-A713-B1CD12BC98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12700</xdr:colOff>
      <xdr:row>37</xdr:row>
      <xdr:rowOff>63500</xdr:rowOff>
    </xdr:from>
    <xdr:to>
      <xdr:col>26</xdr:col>
      <xdr:colOff>628650</xdr:colOff>
      <xdr:row>49</xdr:row>
      <xdr:rowOff>0</xdr:rowOff>
    </xdr:to>
    <xdr:graphicFrame macro="">
      <xdr:nvGraphicFramePr>
        <xdr:cNvPr id="10225" name="Chart 10224">
          <a:extLst>
            <a:ext uri="{FF2B5EF4-FFF2-40B4-BE49-F238E27FC236}">
              <a16:creationId xmlns:a16="http://schemas.microsoft.com/office/drawing/2014/main" id="{3E3B5B1D-DC9C-4CBF-837F-DE57EAAC84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12700</xdr:colOff>
      <xdr:row>1</xdr:row>
      <xdr:rowOff>63500</xdr:rowOff>
    </xdr:from>
    <xdr:to>
      <xdr:col>35</xdr:col>
      <xdr:colOff>628650</xdr:colOff>
      <xdr:row>13</xdr:row>
      <xdr:rowOff>0</xdr:rowOff>
    </xdr:to>
    <xdr:graphicFrame macro="">
      <xdr:nvGraphicFramePr>
        <xdr:cNvPr id="10226" name="Chart 10225">
          <a:extLst>
            <a:ext uri="{FF2B5EF4-FFF2-40B4-BE49-F238E27FC236}">
              <a16:creationId xmlns:a16="http://schemas.microsoft.com/office/drawing/2014/main" id="{85C989C6-2B6D-4BE6-AA91-5E1D97C181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12700</xdr:colOff>
      <xdr:row>13</xdr:row>
      <xdr:rowOff>63500</xdr:rowOff>
    </xdr:from>
    <xdr:to>
      <xdr:col>35</xdr:col>
      <xdr:colOff>628650</xdr:colOff>
      <xdr:row>25</xdr:row>
      <xdr:rowOff>0</xdr:rowOff>
    </xdr:to>
    <xdr:graphicFrame macro="">
      <xdr:nvGraphicFramePr>
        <xdr:cNvPr id="10227" name="Chart 10226">
          <a:extLst>
            <a:ext uri="{FF2B5EF4-FFF2-40B4-BE49-F238E27FC236}">
              <a16:creationId xmlns:a16="http://schemas.microsoft.com/office/drawing/2014/main" id="{9EEA6754-4FEE-476F-B838-BAD625CC09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12700</xdr:colOff>
      <xdr:row>25</xdr:row>
      <xdr:rowOff>63500</xdr:rowOff>
    </xdr:from>
    <xdr:to>
      <xdr:col>35</xdr:col>
      <xdr:colOff>628650</xdr:colOff>
      <xdr:row>37</xdr:row>
      <xdr:rowOff>0</xdr:rowOff>
    </xdr:to>
    <xdr:graphicFrame macro="">
      <xdr:nvGraphicFramePr>
        <xdr:cNvPr id="10228" name="Chart 10227">
          <a:extLst>
            <a:ext uri="{FF2B5EF4-FFF2-40B4-BE49-F238E27FC236}">
              <a16:creationId xmlns:a16="http://schemas.microsoft.com/office/drawing/2014/main" id="{88B5EF11-E771-4E0D-A6FD-3D74DACBDA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12700</xdr:colOff>
      <xdr:row>37</xdr:row>
      <xdr:rowOff>63500</xdr:rowOff>
    </xdr:from>
    <xdr:to>
      <xdr:col>35</xdr:col>
      <xdr:colOff>628650</xdr:colOff>
      <xdr:row>49</xdr:row>
      <xdr:rowOff>0</xdr:rowOff>
    </xdr:to>
    <xdr:graphicFrame macro="">
      <xdr:nvGraphicFramePr>
        <xdr:cNvPr id="10229" name="Chart 10228">
          <a:extLst>
            <a:ext uri="{FF2B5EF4-FFF2-40B4-BE49-F238E27FC236}">
              <a16:creationId xmlns:a16="http://schemas.microsoft.com/office/drawing/2014/main" id="{B735FD3B-5141-4DAB-9E99-D1270FD9C4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12700</xdr:colOff>
      <xdr:row>1</xdr:row>
      <xdr:rowOff>63500</xdr:rowOff>
    </xdr:from>
    <xdr:to>
      <xdr:col>44</xdr:col>
      <xdr:colOff>628650</xdr:colOff>
      <xdr:row>13</xdr:row>
      <xdr:rowOff>0</xdr:rowOff>
    </xdr:to>
    <xdr:graphicFrame macro="">
      <xdr:nvGraphicFramePr>
        <xdr:cNvPr id="10230" name="Chart 10229">
          <a:extLst>
            <a:ext uri="{FF2B5EF4-FFF2-40B4-BE49-F238E27FC236}">
              <a16:creationId xmlns:a16="http://schemas.microsoft.com/office/drawing/2014/main" id="{1661AE87-FC88-442F-AFA2-E760EE2068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36</xdr:col>
      <xdr:colOff>12700</xdr:colOff>
      <xdr:row>13</xdr:row>
      <xdr:rowOff>63500</xdr:rowOff>
    </xdr:from>
    <xdr:to>
      <xdr:col>44</xdr:col>
      <xdr:colOff>628650</xdr:colOff>
      <xdr:row>25</xdr:row>
      <xdr:rowOff>0</xdr:rowOff>
    </xdr:to>
    <xdr:graphicFrame macro="">
      <xdr:nvGraphicFramePr>
        <xdr:cNvPr id="10231" name="Chart 10230">
          <a:extLst>
            <a:ext uri="{FF2B5EF4-FFF2-40B4-BE49-F238E27FC236}">
              <a16:creationId xmlns:a16="http://schemas.microsoft.com/office/drawing/2014/main" id="{0DD7D552-5E19-466D-9A06-2835EB1D48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36</xdr:col>
      <xdr:colOff>12700</xdr:colOff>
      <xdr:row>25</xdr:row>
      <xdr:rowOff>63500</xdr:rowOff>
    </xdr:from>
    <xdr:to>
      <xdr:col>44</xdr:col>
      <xdr:colOff>628650</xdr:colOff>
      <xdr:row>37</xdr:row>
      <xdr:rowOff>0</xdr:rowOff>
    </xdr:to>
    <xdr:graphicFrame macro="">
      <xdr:nvGraphicFramePr>
        <xdr:cNvPr id="10232" name="Chart 10231">
          <a:extLst>
            <a:ext uri="{FF2B5EF4-FFF2-40B4-BE49-F238E27FC236}">
              <a16:creationId xmlns:a16="http://schemas.microsoft.com/office/drawing/2014/main" id="{6AEBEC47-ED31-4EFB-8686-ACF135D275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12700</xdr:colOff>
      <xdr:row>37</xdr:row>
      <xdr:rowOff>63500</xdr:rowOff>
    </xdr:from>
    <xdr:to>
      <xdr:col>44</xdr:col>
      <xdr:colOff>628650</xdr:colOff>
      <xdr:row>49</xdr:row>
      <xdr:rowOff>0</xdr:rowOff>
    </xdr:to>
    <xdr:graphicFrame macro="">
      <xdr:nvGraphicFramePr>
        <xdr:cNvPr id="10233" name="Chart 10232">
          <a:extLst>
            <a:ext uri="{FF2B5EF4-FFF2-40B4-BE49-F238E27FC236}">
              <a16:creationId xmlns:a16="http://schemas.microsoft.com/office/drawing/2014/main" id="{16580881-C912-43D0-AE77-5DD275A34B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45</xdr:col>
      <xdr:colOff>12700</xdr:colOff>
      <xdr:row>1</xdr:row>
      <xdr:rowOff>63500</xdr:rowOff>
    </xdr:from>
    <xdr:to>
      <xdr:col>53</xdr:col>
      <xdr:colOff>628650</xdr:colOff>
      <xdr:row>13</xdr:row>
      <xdr:rowOff>0</xdr:rowOff>
    </xdr:to>
    <xdr:graphicFrame macro="">
      <xdr:nvGraphicFramePr>
        <xdr:cNvPr id="10234" name="Chart 10233">
          <a:extLst>
            <a:ext uri="{FF2B5EF4-FFF2-40B4-BE49-F238E27FC236}">
              <a16:creationId xmlns:a16="http://schemas.microsoft.com/office/drawing/2014/main" id="{ABC79294-4BD2-43F8-B647-E3D8F1ED78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45</xdr:col>
      <xdr:colOff>12700</xdr:colOff>
      <xdr:row>13</xdr:row>
      <xdr:rowOff>63500</xdr:rowOff>
    </xdr:from>
    <xdr:to>
      <xdr:col>53</xdr:col>
      <xdr:colOff>628650</xdr:colOff>
      <xdr:row>25</xdr:row>
      <xdr:rowOff>0</xdr:rowOff>
    </xdr:to>
    <xdr:graphicFrame macro="">
      <xdr:nvGraphicFramePr>
        <xdr:cNvPr id="10235" name="Chart 10234">
          <a:extLst>
            <a:ext uri="{FF2B5EF4-FFF2-40B4-BE49-F238E27FC236}">
              <a16:creationId xmlns:a16="http://schemas.microsoft.com/office/drawing/2014/main" id="{E667FC6F-9792-4989-9506-2CC193D017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45</xdr:col>
      <xdr:colOff>12700</xdr:colOff>
      <xdr:row>25</xdr:row>
      <xdr:rowOff>63500</xdr:rowOff>
    </xdr:from>
    <xdr:to>
      <xdr:col>53</xdr:col>
      <xdr:colOff>628650</xdr:colOff>
      <xdr:row>37</xdr:row>
      <xdr:rowOff>0</xdr:rowOff>
    </xdr:to>
    <xdr:graphicFrame macro="">
      <xdr:nvGraphicFramePr>
        <xdr:cNvPr id="10236" name="Chart 10235">
          <a:extLst>
            <a:ext uri="{FF2B5EF4-FFF2-40B4-BE49-F238E27FC236}">
              <a16:creationId xmlns:a16="http://schemas.microsoft.com/office/drawing/2014/main" id="{424850C7-7973-4E41-B42F-0A4813FC2C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45</xdr:col>
      <xdr:colOff>12700</xdr:colOff>
      <xdr:row>37</xdr:row>
      <xdr:rowOff>63500</xdr:rowOff>
    </xdr:from>
    <xdr:to>
      <xdr:col>53</xdr:col>
      <xdr:colOff>628650</xdr:colOff>
      <xdr:row>49</xdr:row>
      <xdr:rowOff>0</xdr:rowOff>
    </xdr:to>
    <xdr:graphicFrame macro="">
      <xdr:nvGraphicFramePr>
        <xdr:cNvPr id="10237" name="Chart 10236">
          <a:extLst>
            <a:ext uri="{FF2B5EF4-FFF2-40B4-BE49-F238E27FC236}">
              <a16:creationId xmlns:a16="http://schemas.microsoft.com/office/drawing/2014/main" id="{D0133793-627C-4234-A18E-1E11B6FBE1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54</xdr:col>
      <xdr:colOff>12700</xdr:colOff>
      <xdr:row>1</xdr:row>
      <xdr:rowOff>63500</xdr:rowOff>
    </xdr:from>
    <xdr:to>
      <xdr:col>62</xdr:col>
      <xdr:colOff>628650</xdr:colOff>
      <xdr:row>13</xdr:row>
      <xdr:rowOff>0</xdr:rowOff>
    </xdr:to>
    <xdr:graphicFrame macro="">
      <xdr:nvGraphicFramePr>
        <xdr:cNvPr id="10238" name="Chart 10237">
          <a:extLst>
            <a:ext uri="{FF2B5EF4-FFF2-40B4-BE49-F238E27FC236}">
              <a16:creationId xmlns:a16="http://schemas.microsoft.com/office/drawing/2014/main" id="{78E357B9-E4FC-4EB4-815F-0E00428512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54</xdr:col>
      <xdr:colOff>12700</xdr:colOff>
      <xdr:row>13</xdr:row>
      <xdr:rowOff>63500</xdr:rowOff>
    </xdr:from>
    <xdr:to>
      <xdr:col>62</xdr:col>
      <xdr:colOff>628650</xdr:colOff>
      <xdr:row>25</xdr:row>
      <xdr:rowOff>0</xdr:rowOff>
    </xdr:to>
    <xdr:graphicFrame macro="">
      <xdr:nvGraphicFramePr>
        <xdr:cNvPr id="10239" name="Chart 10238">
          <a:extLst>
            <a:ext uri="{FF2B5EF4-FFF2-40B4-BE49-F238E27FC236}">
              <a16:creationId xmlns:a16="http://schemas.microsoft.com/office/drawing/2014/main" id="{AACD256E-BA4A-4D36-BD16-1C26B9EAA0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63</xdr:col>
      <xdr:colOff>12700</xdr:colOff>
      <xdr:row>1</xdr:row>
      <xdr:rowOff>63500</xdr:rowOff>
    </xdr:from>
    <xdr:to>
      <xdr:col>71</xdr:col>
      <xdr:colOff>628650</xdr:colOff>
      <xdr:row>13</xdr:row>
      <xdr:rowOff>0</xdr:rowOff>
    </xdr:to>
    <xdr:graphicFrame macro="">
      <xdr:nvGraphicFramePr>
        <xdr:cNvPr id="10240" name="Chart 10239">
          <a:extLst>
            <a:ext uri="{FF2B5EF4-FFF2-40B4-BE49-F238E27FC236}">
              <a16:creationId xmlns:a16="http://schemas.microsoft.com/office/drawing/2014/main" id="{EA259369-1257-4AED-BA76-2CE98D0F26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63</xdr:col>
      <xdr:colOff>12700</xdr:colOff>
      <xdr:row>13</xdr:row>
      <xdr:rowOff>63500</xdr:rowOff>
    </xdr:from>
    <xdr:to>
      <xdr:col>71</xdr:col>
      <xdr:colOff>628650</xdr:colOff>
      <xdr:row>25</xdr:row>
      <xdr:rowOff>0</xdr:rowOff>
    </xdr:to>
    <xdr:graphicFrame macro="">
      <xdr:nvGraphicFramePr>
        <xdr:cNvPr id="10241" name="Chart 10240">
          <a:extLst>
            <a:ext uri="{FF2B5EF4-FFF2-40B4-BE49-F238E27FC236}">
              <a16:creationId xmlns:a16="http://schemas.microsoft.com/office/drawing/2014/main" id="{CABD43A1-A4DC-455F-8913-0E1B2E7550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63</xdr:col>
      <xdr:colOff>12700</xdr:colOff>
      <xdr:row>25</xdr:row>
      <xdr:rowOff>63500</xdr:rowOff>
    </xdr:from>
    <xdr:to>
      <xdr:col>71</xdr:col>
      <xdr:colOff>628650</xdr:colOff>
      <xdr:row>37</xdr:row>
      <xdr:rowOff>0</xdr:rowOff>
    </xdr:to>
    <xdr:graphicFrame macro="">
      <xdr:nvGraphicFramePr>
        <xdr:cNvPr id="10242" name="Chart 10241">
          <a:extLst>
            <a:ext uri="{FF2B5EF4-FFF2-40B4-BE49-F238E27FC236}">
              <a16:creationId xmlns:a16="http://schemas.microsoft.com/office/drawing/2014/main" id="{578F6CDA-3909-4ABF-8AB6-1E1D463ECD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72</xdr:col>
      <xdr:colOff>12700</xdr:colOff>
      <xdr:row>1</xdr:row>
      <xdr:rowOff>63500</xdr:rowOff>
    </xdr:from>
    <xdr:to>
      <xdr:col>80</xdr:col>
      <xdr:colOff>628650</xdr:colOff>
      <xdr:row>13</xdr:row>
      <xdr:rowOff>0</xdr:rowOff>
    </xdr:to>
    <xdr:graphicFrame macro="">
      <xdr:nvGraphicFramePr>
        <xdr:cNvPr id="10243" name="Chart 10242">
          <a:extLst>
            <a:ext uri="{FF2B5EF4-FFF2-40B4-BE49-F238E27FC236}">
              <a16:creationId xmlns:a16="http://schemas.microsoft.com/office/drawing/2014/main" id="{EC6C0FA0-5E85-4387-A69D-F4C02AF5FF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72</xdr:col>
      <xdr:colOff>12700</xdr:colOff>
      <xdr:row>13</xdr:row>
      <xdr:rowOff>63500</xdr:rowOff>
    </xdr:from>
    <xdr:to>
      <xdr:col>80</xdr:col>
      <xdr:colOff>628650</xdr:colOff>
      <xdr:row>25</xdr:row>
      <xdr:rowOff>0</xdr:rowOff>
    </xdr:to>
    <xdr:graphicFrame macro="">
      <xdr:nvGraphicFramePr>
        <xdr:cNvPr id="10244" name="Chart 10243">
          <a:extLst>
            <a:ext uri="{FF2B5EF4-FFF2-40B4-BE49-F238E27FC236}">
              <a16:creationId xmlns:a16="http://schemas.microsoft.com/office/drawing/2014/main" id="{FB7A8999-554C-4F02-80D8-A458CCB66A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72</xdr:col>
      <xdr:colOff>12700</xdr:colOff>
      <xdr:row>25</xdr:row>
      <xdr:rowOff>63500</xdr:rowOff>
    </xdr:from>
    <xdr:to>
      <xdr:col>80</xdr:col>
      <xdr:colOff>628650</xdr:colOff>
      <xdr:row>37</xdr:row>
      <xdr:rowOff>0</xdr:rowOff>
    </xdr:to>
    <xdr:graphicFrame macro="">
      <xdr:nvGraphicFramePr>
        <xdr:cNvPr id="10245" name="Chart 10244">
          <a:extLst>
            <a:ext uri="{FF2B5EF4-FFF2-40B4-BE49-F238E27FC236}">
              <a16:creationId xmlns:a16="http://schemas.microsoft.com/office/drawing/2014/main" id="{4CCF6BD0-546E-4431-A609-D0E1196743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81</xdr:col>
      <xdr:colOff>12700</xdr:colOff>
      <xdr:row>1</xdr:row>
      <xdr:rowOff>63500</xdr:rowOff>
    </xdr:from>
    <xdr:to>
      <xdr:col>89</xdr:col>
      <xdr:colOff>628650</xdr:colOff>
      <xdr:row>13</xdr:row>
      <xdr:rowOff>0</xdr:rowOff>
    </xdr:to>
    <xdr:graphicFrame macro="">
      <xdr:nvGraphicFramePr>
        <xdr:cNvPr id="10246" name="Chart 10245">
          <a:extLst>
            <a:ext uri="{FF2B5EF4-FFF2-40B4-BE49-F238E27FC236}">
              <a16:creationId xmlns:a16="http://schemas.microsoft.com/office/drawing/2014/main" id="{A09FEDE4-F38B-432E-9CE2-95C0E2202B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81</xdr:col>
      <xdr:colOff>12700</xdr:colOff>
      <xdr:row>13</xdr:row>
      <xdr:rowOff>63500</xdr:rowOff>
    </xdr:from>
    <xdr:to>
      <xdr:col>89</xdr:col>
      <xdr:colOff>628650</xdr:colOff>
      <xdr:row>25</xdr:row>
      <xdr:rowOff>0</xdr:rowOff>
    </xdr:to>
    <xdr:graphicFrame macro="">
      <xdr:nvGraphicFramePr>
        <xdr:cNvPr id="10247" name="Chart 10246">
          <a:extLst>
            <a:ext uri="{FF2B5EF4-FFF2-40B4-BE49-F238E27FC236}">
              <a16:creationId xmlns:a16="http://schemas.microsoft.com/office/drawing/2014/main" id="{27DD3841-64E5-4542-9F69-8A03411936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81</xdr:col>
      <xdr:colOff>12700</xdr:colOff>
      <xdr:row>25</xdr:row>
      <xdr:rowOff>63500</xdr:rowOff>
    </xdr:from>
    <xdr:to>
      <xdr:col>89</xdr:col>
      <xdr:colOff>628650</xdr:colOff>
      <xdr:row>37</xdr:row>
      <xdr:rowOff>0</xdr:rowOff>
    </xdr:to>
    <xdr:graphicFrame macro="">
      <xdr:nvGraphicFramePr>
        <xdr:cNvPr id="10248" name="Chart 10247">
          <a:extLst>
            <a:ext uri="{FF2B5EF4-FFF2-40B4-BE49-F238E27FC236}">
              <a16:creationId xmlns:a16="http://schemas.microsoft.com/office/drawing/2014/main" id="{236EFC7F-430F-4CE4-8E52-B1EA45FC17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81</xdr:col>
      <xdr:colOff>12700</xdr:colOff>
      <xdr:row>37</xdr:row>
      <xdr:rowOff>63500</xdr:rowOff>
    </xdr:from>
    <xdr:to>
      <xdr:col>89</xdr:col>
      <xdr:colOff>628650</xdr:colOff>
      <xdr:row>49</xdr:row>
      <xdr:rowOff>0</xdr:rowOff>
    </xdr:to>
    <xdr:graphicFrame macro="">
      <xdr:nvGraphicFramePr>
        <xdr:cNvPr id="10249" name="Chart 10248">
          <a:extLst>
            <a:ext uri="{FF2B5EF4-FFF2-40B4-BE49-F238E27FC236}">
              <a16:creationId xmlns:a16="http://schemas.microsoft.com/office/drawing/2014/main" id="{4025A8B5-679D-40AC-B12E-FE5CA269A7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90</xdr:col>
      <xdr:colOff>12700</xdr:colOff>
      <xdr:row>1</xdr:row>
      <xdr:rowOff>63500</xdr:rowOff>
    </xdr:from>
    <xdr:to>
      <xdr:col>98</xdr:col>
      <xdr:colOff>628650</xdr:colOff>
      <xdr:row>13</xdr:row>
      <xdr:rowOff>0</xdr:rowOff>
    </xdr:to>
    <xdr:graphicFrame macro="">
      <xdr:nvGraphicFramePr>
        <xdr:cNvPr id="10250" name="Chart 10249">
          <a:extLst>
            <a:ext uri="{FF2B5EF4-FFF2-40B4-BE49-F238E27FC236}">
              <a16:creationId xmlns:a16="http://schemas.microsoft.com/office/drawing/2014/main" id="{B2A8D49A-C874-4D58-BCBA-D6FEADF5DE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90</xdr:col>
      <xdr:colOff>12700</xdr:colOff>
      <xdr:row>13</xdr:row>
      <xdr:rowOff>63500</xdr:rowOff>
    </xdr:from>
    <xdr:to>
      <xdr:col>98</xdr:col>
      <xdr:colOff>628650</xdr:colOff>
      <xdr:row>25</xdr:row>
      <xdr:rowOff>0</xdr:rowOff>
    </xdr:to>
    <xdr:graphicFrame macro="">
      <xdr:nvGraphicFramePr>
        <xdr:cNvPr id="10251" name="Chart 10250">
          <a:extLst>
            <a:ext uri="{FF2B5EF4-FFF2-40B4-BE49-F238E27FC236}">
              <a16:creationId xmlns:a16="http://schemas.microsoft.com/office/drawing/2014/main" id="{46D6526E-76F5-4CC8-B744-68D6BF7AFA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90</xdr:col>
      <xdr:colOff>12700</xdr:colOff>
      <xdr:row>25</xdr:row>
      <xdr:rowOff>63500</xdr:rowOff>
    </xdr:from>
    <xdr:to>
      <xdr:col>98</xdr:col>
      <xdr:colOff>628650</xdr:colOff>
      <xdr:row>37</xdr:row>
      <xdr:rowOff>0</xdr:rowOff>
    </xdr:to>
    <xdr:graphicFrame macro="">
      <xdr:nvGraphicFramePr>
        <xdr:cNvPr id="10252" name="Chart 10251">
          <a:extLst>
            <a:ext uri="{FF2B5EF4-FFF2-40B4-BE49-F238E27FC236}">
              <a16:creationId xmlns:a16="http://schemas.microsoft.com/office/drawing/2014/main" id="{772270F5-74C5-42C5-B064-BB0A4D521D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90</xdr:col>
      <xdr:colOff>12700</xdr:colOff>
      <xdr:row>37</xdr:row>
      <xdr:rowOff>63500</xdr:rowOff>
    </xdr:from>
    <xdr:to>
      <xdr:col>98</xdr:col>
      <xdr:colOff>628650</xdr:colOff>
      <xdr:row>49</xdr:row>
      <xdr:rowOff>0</xdr:rowOff>
    </xdr:to>
    <xdr:graphicFrame macro="">
      <xdr:nvGraphicFramePr>
        <xdr:cNvPr id="10253" name="Chart 10252">
          <a:extLst>
            <a:ext uri="{FF2B5EF4-FFF2-40B4-BE49-F238E27FC236}">
              <a16:creationId xmlns:a16="http://schemas.microsoft.com/office/drawing/2014/main" id="{C0232ACF-5881-4AF9-9ADE-3DF90B77BA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99</xdr:col>
      <xdr:colOff>12700</xdr:colOff>
      <xdr:row>1</xdr:row>
      <xdr:rowOff>63500</xdr:rowOff>
    </xdr:from>
    <xdr:to>
      <xdr:col>107</xdr:col>
      <xdr:colOff>628650</xdr:colOff>
      <xdr:row>13</xdr:row>
      <xdr:rowOff>0</xdr:rowOff>
    </xdr:to>
    <xdr:graphicFrame macro="">
      <xdr:nvGraphicFramePr>
        <xdr:cNvPr id="10254" name="Chart 10253">
          <a:extLst>
            <a:ext uri="{FF2B5EF4-FFF2-40B4-BE49-F238E27FC236}">
              <a16:creationId xmlns:a16="http://schemas.microsoft.com/office/drawing/2014/main" id="{ECA9C6E0-15BE-4C15-9858-0B8C69DFF1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99</xdr:col>
      <xdr:colOff>12700</xdr:colOff>
      <xdr:row>13</xdr:row>
      <xdr:rowOff>63500</xdr:rowOff>
    </xdr:from>
    <xdr:to>
      <xdr:col>107</xdr:col>
      <xdr:colOff>628650</xdr:colOff>
      <xdr:row>25</xdr:row>
      <xdr:rowOff>0</xdr:rowOff>
    </xdr:to>
    <xdr:graphicFrame macro="">
      <xdr:nvGraphicFramePr>
        <xdr:cNvPr id="10255" name="Chart 10254">
          <a:extLst>
            <a:ext uri="{FF2B5EF4-FFF2-40B4-BE49-F238E27FC236}">
              <a16:creationId xmlns:a16="http://schemas.microsoft.com/office/drawing/2014/main" id="{EE1D7CAC-BD35-4439-BA81-461E5829B1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99</xdr:col>
      <xdr:colOff>12700</xdr:colOff>
      <xdr:row>25</xdr:row>
      <xdr:rowOff>63500</xdr:rowOff>
    </xdr:from>
    <xdr:to>
      <xdr:col>107</xdr:col>
      <xdr:colOff>628650</xdr:colOff>
      <xdr:row>37</xdr:row>
      <xdr:rowOff>0</xdr:rowOff>
    </xdr:to>
    <xdr:graphicFrame macro="">
      <xdr:nvGraphicFramePr>
        <xdr:cNvPr id="10256" name="Chart 10255">
          <a:extLst>
            <a:ext uri="{FF2B5EF4-FFF2-40B4-BE49-F238E27FC236}">
              <a16:creationId xmlns:a16="http://schemas.microsoft.com/office/drawing/2014/main" id="{A57943E9-5C29-4022-9A3E-A37A3EB368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99</xdr:col>
      <xdr:colOff>12700</xdr:colOff>
      <xdr:row>37</xdr:row>
      <xdr:rowOff>63500</xdr:rowOff>
    </xdr:from>
    <xdr:to>
      <xdr:col>107</xdr:col>
      <xdr:colOff>628650</xdr:colOff>
      <xdr:row>49</xdr:row>
      <xdr:rowOff>0</xdr:rowOff>
    </xdr:to>
    <xdr:graphicFrame macro="">
      <xdr:nvGraphicFramePr>
        <xdr:cNvPr id="10257" name="Chart 10256">
          <a:extLst>
            <a:ext uri="{FF2B5EF4-FFF2-40B4-BE49-F238E27FC236}">
              <a16:creationId xmlns:a16="http://schemas.microsoft.com/office/drawing/2014/main" id="{F579AA73-C947-439A-AAE3-77240F2F0A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108</xdr:col>
      <xdr:colOff>12700</xdr:colOff>
      <xdr:row>1</xdr:row>
      <xdr:rowOff>63500</xdr:rowOff>
    </xdr:from>
    <xdr:to>
      <xdr:col>116</xdr:col>
      <xdr:colOff>628650</xdr:colOff>
      <xdr:row>13</xdr:row>
      <xdr:rowOff>0</xdr:rowOff>
    </xdr:to>
    <xdr:graphicFrame macro="">
      <xdr:nvGraphicFramePr>
        <xdr:cNvPr id="10258" name="Chart 10257">
          <a:extLst>
            <a:ext uri="{FF2B5EF4-FFF2-40B4-BE49-F238E27FC236}">
              <a16:creationId xmlns:a16="http://schemas.microsoft.com/office/drawing/2014/main" id="{C327218F-EB1C-4B8B-B385-B9187D72DF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108</xdr:col>
      <xdr:colOff>12700</xdr:colOff>
      <xdr:row>13</xdr:row>
      <xdr:rowOff>63500</xdr:rowOff>
    </xdr:from>
    <xdr:to>
      <xdr:col>116</xdr:col>
      <xdr:colOff>628650</xdr:colOff>
      <xdr:row>25</xdr:row>
      <xdr:rowOff>0</xdr:rowOff>
    </xdr:to>
    <xdr:graphicFrame macro="">
      <xdr:nvGraphicFramePr>
        <xdr:cNvPr id="10259" name="Chart 10258">
          <a:extLst>
            <a:ext uri="{FF2B5EF4-FFF2-40B4-BE49-F238E27FC236}">
              <a16:creationId xmlns:a16="http://schemas.microsoft.com/office/drawing/2014/main" id="{038A391B-7D65-4FB4-9CAB-CDCD637863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117</xdr:col>
      <xdr:colOff>12700</xdr:colOff>
      <xdr:row>1</xdr:row>
      <xdr:rowOff>63500</xdr:rowOff>
    </xdr:from>
    <xdr:to>
      <xdr:col>125</xdr:col>
      <xdr:colOff>628650</xdr:colOff>
      <xdr:row>13</xdr:row>
      <xdr:rowOff>0</xdr:rowOff>
    </xdr:to>
    <xdr:graphicFrame macro="">
      <xdr:nvGraphicFramePr>
        <xdr:cNvPr id="10260" name="Chart 10259">
          <a:extLst>
            <a:ext uri="{FF2B5EF4-FFF2-40B4-BE49-F238E27FC236}">
              <a16:creationId xmlns:a16="http://schemas.microsoft.com/office/drawing/2014/main" id="{C083B7CB-0E27-4F09-A56C-EF32FBF6AC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117</xdr:col>
      <xdr:colOff>12700</xdr:colOff>
      <xdr:row>13</xdr:row>
      <xdr:rowOff>63500</xdr:rowOff>
    </xdr:from>
    <xdr:to>
      <xdr:col>125</xdr:col>
      <xdr:colOff>628650</xdr:colOff>
      <xdr:row>25</xdr:row>
      <xdr:rowOff>0</xdr:rowOff>
    </xdr:to>
    <xdr:graphicFrame macro="">
      <xdr:nvGraphicFramePr>
        <xdr:cNvPr id="10261" name="Chart 10260">
          <a:extLst>
            <a:ext uri="{FF2B5EF4-FFF2-40B4-BE49-F238E27FC236}">
              <a16:creationId xmlns:a16="http://schemas.microsoft.com/office/drawing/2014/main" id="{0E66C1A3-AC66-4C10-ABE1-A84579650D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117</xdr:col>
      <xdr:colOff>12700</xdr:colOff>
      <xdr:row>25</xdr:row>
      <xdr:rowOff>63500</xdr:rowOff>
    </xdr:from>
    <xdr:to>
      <xdr:col>125</xdr:col>
      <xdr:colOff>628650</xdr:colOff>
      <xdr:row>37</xdr:row>
      <xdr:rowOff>0</xdr:rowOff>
    </xdr:to>
    <xdr:graphicFrame macro="">
      <xdr:nvGraphicFramePr>
        <xdr:cNvPr id="10262" name="Chart 10261">
          <a:extLst>
            <a:ext uri="{FF2B5EF4-FFF2-40B4-BE49-F238E27FC236}">
              <a16:creationId xmlns:a16="http://schemas.microsoft.com/office/drawing/2014/main" id="{507CA59F-98BE-4129-8478-0658A65DB6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117</xdr:col>
      <xdr:colOff>12700</xdr:colOff>
      <xdr:row>37</xdr:row>
      <xdr:rowOff>63500</xdr:rowOff>
    </xdr:from>
    <xdr:to>
      <xdr:col>125</xdr:col>
      <xdr:colOff>628650</xdr:colOff>
      <xdr:row>49</xdr:row>
      <xdr:rowOff>0</xdr:rowOff>
    </xdr:to>
    <xdr:graphicFrame macro="">
      <xdr:nvGraphicFramePr>
        <xdr:cNvPr id="10263" name="Chart 10262">
          <a:extLst>
            <a:ext uri="{FF2B5EF4-FFF2-40B4-BE49-F238E27FC236}">
              <a16:creationId xmlns:a16="http://schemas.microsoft.com/office/drawing/2014/main" id="{18888ECE-F71E-4810-A732-563BC46DFE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126</xdr:col>
      <xdr:colOff>12700</xdr:colOff>
      <xdr:row>1</xdr:row>
      <xdr:rowOff>63500</xdr:rowOff>
    </xdr:from>
    <xdr:to>
      <xdr:col>134</xdr:col>
      <xdr:colOff>628650</xdr:colOff>
      <xdr:row>13</xdr:row>
      <xdr:rowOff>0</xdr:rowOff>
    </xdr:to>
    <xdr:graphicFrame macro="">
      <xdr:nvGraphicFramePr>
        <xdr:cNvPr id="10264" name="Chart 10263">
          <a:extLst>
            <a:ext uri="{FF2B5EF4-FFF2-40B4-BE49-F238E27FC236}">
              <a16:creationId xmlns:a16="http://schemas.microsoft.com/office/drawing/2014/main" id="{823EA42C-A93A-443F-AEB3-8FD197CEC3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126</xdr:col>
      <xdr:colOff>12700</xdr:colOff>
      <xdr:row>13</xdr:row>
      <xdr:rowOff>63500</xdr:rowOff>
    </xdr:from>
    <xdr:to>
      <xdr:col>134</xdr:col>
      <xdr:colOff>628650</xdr:colOff>
      <xdr:row>25</xdr:row>
      <xdr:rowOff>0</xdr:rowOff>
    </xdr:to>
    <xdr:graphicFrame macro="">
      <xdr:nvGraphicFramePr>
        <xdr:cNvPr id="10265" name="Chart 10264">
          <a:extLst>
            <a:ext uri="{FF2B5EF4-FFF2-40B4-BE49-F238E27FC236}">
              <a16:creationId xmlns:a16="http://schemas.microsoft.com/office/drawing/2014/main" id="{4EA1B0F7-5F32-483F-8702-2455AD3F7F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126</xdr:col>
      <xdr:colOff>12700</xdr:colOff>
      <xdr:row>25</xdr:row>
      <xdr:rowOff>63500</xdr:rowOff>
    </xdr:from>
    <xdr:to>
      <xdr:col>134</xdr:col>
      <xdr:colOff>628650</xdr:colOff>
      <xdr:row>37</xdr:row>
      <xdr:rowOff>0</xdr:rowOff>
    </xdr:to>
    <xdr:graphicFrame macro="">
      <xdr:nvGraphicFramePr>
        <xdr:cNvPr id="10266" name="Chart 10265">
          <a:extLst>
            <a:ext uri="{FF2B5EF4-FFF2-40B4-BE49-F238E27FC236}">
              <a16:creationId xmlns:a16="http://schemas.microsoft.com/office/drawing/2014/main" id="{8F1D951C-E1FB-4622-9638-8C1E1DB300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126</xdr:col>
      <xdr:colOff>12700</xdr:colOff>
      <xdr:row>37</xdr:row>
      <xdr:rowOff>63500</xdr:rowOff>
    </xdr:from>
    <xdr:to>
      <xdr:col>134</xdr:col>
      <xdr:colOff>628650</xdr:colOff>
      <xdr:row>49</xdr:row>
      <xdr:rowOff>0</xdr:rowOff>
    </xdr:to>
    <xdr:graphicFrame macro="">
      <xdr:nvGraphicFramePr>
        <xdr:cNvPr id="10267" name="Chart 10266">
          <a:extLst>
            <a:ext uri="{FF2B5EF4-FFF2-40B4-BE49-F238E27FC236}">
              <a16:creationId xmlns:a16="http://schemas.microsoft.com/office/drawing/2014/main" id="{6C008783-E85E-4DCD-A4AB-C7C7091454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135</xdr:col>
      <xdr:colOff>12700</xdr:colOff>
      <xdr:row>1</xdr:row>
      <xdr:rowOff>63500</xdr:rowOff>
    </xdr:from>
    <xdr:to>
      <xdr:col>143</xdr:col>
      <xdr:colOff>628650</xdr:colOff>
      <xdr:row>13</xdr:row>
      <xdr:rowOff>0</xdr:rowOff>
    </xdr:to>
    <xdr:graphicFrame macro="">
      <xdr:nvGraphicFramePr>
        <xdr:cNvPr id="10268" name="Chart 10267">
          <a:extLst>
            <a:ext uri="{FF2B5EF4-FFF2-40B4-BE49-F238E27FC236}">
              <a16:creationId xmlns:a16="http://schemas.microsoft.com/office/drawing/2014/main" id="{726B804D-335F-4F52-843F-8C9A4AE80E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135</xdr:col>
      <xdr:colOff>12700</xdr:colOff>
      <xdr:row>13</xdr:row>
      <xdr:rowOff>63500</xdr:rowOff>
    </xdr:from>
    <xdr:to>
      <xdr:col>143</xdr:col>
      <xdr:colOff>628650</xdr:colOff>
      <xdr:row>25</xdr:row>
      <xdr:rowOff>0</xdr:rowOff>
    </xdr:to>
    <xdr:graphicFrame macro="">
      <xdr:nvGraphicFramePr>
        <xdr:cNvPr id="10269" name="Chart 10268">
          <a:extLst>
            <a:ext uri="{FF2B5EF4-FFF2-40B4-BE49-F238E27FC236}">
              <a16:creationId xmlns:a16="http://schemas.microsoft.com/office/drawing/2014/main" id="{57A1DF02-D0FA-4CD4-93B4-65D654C301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135</xdr:col>
      <xdr:colOff>12700</xdr:colOff>
      <xdr:row>25</xdr:row>
      <xdr:rowOff>63500</xdr:rowOff>
    </xdr:from>
    <xdr:to>
      <xdr:col>143</xdr:col>
      <xdr:colOff>628650</xdr:colOff>
      <xdr:row>37</xdr:row>
      <xdr:rowOff>0</xdr:rowOff>
    </xdr:to>
    <xdr:graphicFrame macro="">
      <xdr:nvGraphicFramePr>
        <xdr:cNvPr id="10270" name="Chart 10269">
          <a:extLst>
            <a:ext uri="{FF2B5EF4-FFF2-40B4-BE49-F238E27FC236}">
              <a16:creationId xmlns:a16="http://schemas.microsoft.com/office/drawing/2014/main" id="{0A3E3335-036D-4966-94D9-2A9F33E056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135</xdr:col>
      <xdr:colOff>12700</xdr:colOff>
      <xdr:row>37</xdr:row>
      <xdr:rowOff>63500</xdr:rowOff>
    </xdr:from>
    <xdr:to>
      <xdr:col>143</xdr:col>
      <xdr:colOff>628650</xdr:colOff>
      <xdr:row>49</xdr:row>
      <xdr:rowOff>0</xdr:rowOff>
    </xdr:to>
    <xdr:graphicFrame macro="">
      <xdr:nvGraphicFramePr>
        <xdr:cNvPr id="10271" name="Chart 10270">
          <a:extLst>
            <a:ext uri="{FF2B5EF4-FFF2-40B4-BE49-F238E27FC236}">
              <a16:creationId xmlns:a16="http://schemas.microsoft.com/office/drawing/2014/main" id="{61ABC92C-821D-4D00-9402-62F0F515AF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144</xdr:col>
      <xdr:colOff>12700</xdr:colOff>
      <xdr:row>1</xdr:row>
      <xdr:rowOff>63500</xdr:rowOff>
    </xdr:from>
    <xdr:to>
      <xdr:col>152</xdr:col>
      <xdr:colOff>628650</xdr:colOff>
      <xdr:row>13</xdr:row>
      <xdr:rowOff>0</xdr:rowOff>
    </xdr:to>
    <xdr:graphicFrame macro="">
      <xdr:nvGraphicFramePr>
        <xdr:cNvPr id="10272" name="Chart 10271">
          <a:extLst>
            <a:ext uri="{FF2B5EF4-FFF2-40B4-BE49-F238E27FC236}">
              <a16:creationId xmlns:a16="http://schemas.microsoft.com/office/drawing/2014/main" id="{F0BE761E-A7A5-457A-A645-C43AD74E01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144</xdr:col>
      <xdr:colOff>12700</xdr:colOff>
      <xdr:row>13</xdr:row>
      <xdr:rowOff>63500</xdr:rowOff>
    </xdr:from>
    <xdr:to>
      <xdr:col>152</xdr:col>
      <xdr:colOff>628650</xdr:colOff>
      <xdr:row>25</xdr:row>
      <xdr:rowOff>0</xdr:rowOff>
    </xdr:to>
    <xdr:graphicFrame macro="">
      <xdr:nvGraphicFramePr>
        <xdr:cNvPr id="10273" name="Chart 10272">
          <a:extLst>
            <a:ext uri="{FF2B5EF4-FFF2-40B4-BE49-F238E27FC236}">
              <a16:creationId xmlns:a16="http://schemas.microsoft.com/office/drawing/2014/main" id="{EB49D9F0-C1C8-4F61-90D8-30CE0BD983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144</xdr:col>
      <xdr:colOff>12700</xdr:colOff>
      <xdr:row>25</xdr:row>
      <xdr:rowOff>63500</xdr:rowOff>
    </xdr:from>
    <xdr:to>
      <xdr:col>152</xdr:col>
      <xdr:colOff>628650</xdr:colOff>
      <xdr:row>37</xdr:row>
      <xdr:rowOff>0</xdr:rowOff>
    </xdr:to>
    <xdr:graphicFrame macro="">
      <xdr:nvGraphicFramePr>
        <xdr:cNvPr id="10274" name="Chart 10273">
          <a:extLst>
            <a:ext uri="{FF2B5EF4-FFF2-40B4-BE49-F238E27FC236}">
              <a16:creationId xmlns:a16="http://schemas.microsoft.com/office/drawing/2014/main" id="{0A883524-E8E4-43CF-861F-CEC532727C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153</xdr:col>
      <xdr:colOff>12700</xdr:colOff>
      <xdr:row>1</xdr:row>
      <xdr:rowOff>63500</xdr:rowOff>
    </xdr:from>
    <xdr:to>
      <xdr:col>161</xdr:col>
      <xdr:colOff>628650</xdr:colOff>
      <xdr:row>13</xdr:row>
      <xdr:rowOff>0</xdr:rowOff>
    </xdr:to>
    <xdr:graphicFrame macro="">
      <xdr:nvGraphicFramePr>
        <xdr:cNvPr id="10275" name="Chart 10274">
          <a:extLst>
            <a:ext uri="{FF2B5EF4-FFF2-40B4-BE49-F238E27FC236}">
              <a16:creationId xmlns:a16="http://schemas.microsoft.com/office/drawing/2014/main" id="{51BCD8C7-85D6-4794-93B2-96EEE252A5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153</xdr:col>
      <xdr:colOff>12700</xdr:colOff>
      <xdr:row>13</xdr:row>
      <xdr:rowOff>63500</xdr:rowOff>
    </xdr:from>
    <xdr:to>
      <xdr:col>161</xdr:col>
      <xdr:colOff>628650</xdr:colOff>
      <xdr:row>25</xdr:row>
      <xdr:rowOff>0</xdr:rowOff>
    </xdr:to>
    <xdr:graphicFrame macro="">
      <xdr:nvGraphicFramePr>
        <xdr:cNvPr id="10276" name="Chart 10275">
          <a:extLst>
            <a:ext uri="{FF2B5EF4-FFF2-40B4-BE49-F238E27FC236}">
              <a16:creationId xmlns:a16="http://schemas.microsoft.com/office/drawing/2014/main" id="{1D2B9D5A-C417-4AA8-BB46-07146E1D18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153</xdr:col>
      <xdr:colOff>12700</xdr:colOff>
      <xdr:row>25</xdr:row>
      <xdr:rowOff>63500</xdr:rowOff>
    </xdr:from>
    <xdr:to>
      <xdr:col>161</xdr:col>
      <xdr:colOff>628650</xdr:colOff>
      <xdr:row>37</xdr:row>
      <xdr:rowOff>0</xdr:rowOff>
    </xdr:to>
    <xdr:graphicFrame macro="">
      <xdr:nvGraphicFramePr>
        <xdr:cNvPr id="10277" name="Chart 10276">
          <a:extLst>
            <a:ext uri="{FF2B5EF4-FFF2-40B4-BE49-F238E27FC236}">
              <a16:creationId xmlns:a16="http://schemas.microsoft.com/office/drawing/2014/main" id="{DD8BEFE2-1BA6-4A01-BB89-AFAA6B7B24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153</xdr:col>
      <xdr:colOff>12700</xdr:colOff>
      <xdr:row>37</xdr:row>
      <xdr:rowOff>63500</xdr:rowOff>
    </xdr:from>
    <xdr:to>
      <xdr:col>161</xdr:col>
      <xdr:colOff>628650</xdr:colOff>
      <xdr:row>49</xdr:row>
      <xdr:rowOff>0</xdr:rowOff>
    </xdr:to>
    <xdr:graphicFrame macro="">
      <xdr:nvGraphicFramePr>
        <xdr:cNvPr id="10278" name="Chart 10277">
          <a:extLst>
            <a:ext uri="{FF2B5EF4-FFF2-40B4-BE49-F238E27FC236}">
              <a16:creationId xmlns:a16="http://schemas.microsoft.com/office/drawing/2014/main" id="{FB22839A-6056-4702-BBC8-0C69C59A24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162</xdr:col>
      <xdr:colOff>12700</xdr:colOff>
      <xdr:row>1</xdr:row>
      <xdr:rowOff>63500</xdr:rowOff>
    </xdr:from>
    <xdr:to>
      <xdr:col>170</xdr:col>
      <xdr:colOff>628650</xdr:colOff>
      <xdr:row>13</xdr:row>
      <xdr:rowOff>0</xdr:rowOff>
    </xdr:to>
    <xdr:graphicFrame macro="">
      <xdr:nvGraphicFramePr>
        <xdr:cNvPr id="10279" name="Chart 10278">
          <a:extLst>
            <a:ext uri="{FF2B5EF4-FFF2-40B4-BE49-F238E27FC236}">
              <a16:creationId xmlns:a16="http://schemas.microsoft.com/office/drawing/2014/main" id="{3CDB15E0-15DD-43B9-8B91-A540047B63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162</xdr:col>
      <xdr:colOff>12700</xdr:colOff>
      <xdr:row>13</xdr:row>
      <xdr:rowOff>63500</xdr:rowOff>
    </xdr:from>
    <xdr:to>
      <xdr:col>170</xdr:col>
      <xdr:colOff>628650</xdr:colOff>
      <xdr:row>25</xdr:row>
      <xdr:rowOff>0</xdr:rowOff>
    </xdr:to>
    <xdr:graphicFrame macro="">
      <xdr:nvGraphicFramePr>
        <xdr:cNvPr id="10280" name="Chart 10279">
          <a:extLst>
            <a:ext uri="{FF2B5EF4-FFF2-40B4-BE49-F238E27FC236}">
              <a16:creationId xmlns:a16="http://schemas.microsoft.com/office/drawing/2014/main" id="{CAF4067C-996B-4D41-9DC0-D2DB302FD3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162</xdr:col>
      <xdr:colOff>12700</xdr:colOff>
      <xdr:row>25</xdr:row>
      <xdr:rowOff>63500</xdr:rowOff>
    </xdr:from>
    <xdr:to>
      <xdr:col>170</xdr:col>
      <xdr:colOff>628650</xdr:colOff>
      <xdr:row>37</xdr:row>
      <xdr:rowOff>0</xdr:rowOff>
    </xdr:to>
    <xdr:graphicFrame macro="">
      <xdr:nvGraphicFramePr>
        <xdr:cNvPr id="10281" name="Chart 10280">
          <a:extLst>
            <a:ext uri="{FF2B5EF4-FFF2-40B4-BE49-F238E27FC236}">
              <a16:creationId xmlns:a16="http://schemas.microsoft.com/office/drawing/2014/main" id="{74128139-00F9-48F9-AB8B-5923CCDB46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162</xdr:col>
      <xdr:colOff>12700</xdr:colOff>
      <xdr:row>37</xdr:row>
      <xdr:rowOff>63500</xdr:rowOff>
    </xdr:from>
    <xdr:to>
      <xdr:col>170</xdr:col>
      <xdr:colOff>628650</xdr:colOff>
      <xdr:row>49</xdr:row>
      <xdr:rowOff>0</xdr:rowOff>
    </xdr:to>
    <xdr:graphicFrame macro="">
      <xdr:nvGraphicFramePr>
        <xdr:cNvPr id="10282" name="Chart 10281">
          <a:extLst>
            <a:ext uri="{FF2B5EF4-FFF2-40B4-BE49-F238E27FC236}">
              <a16:creationId xmlns:a16="http://schemas.microsoft.com/office/drawing/2014/main" id="{0FED7813-DC74-4AC4-8EF3-A988D61A93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171</xdr:col>
      <xdr:colOff>12700</xdr:colOff>
      <xdr:row>1</xdr:row>
      <xdr:rowOff>63500</xdr:rowOff>
    </xdr:from>
    <xdr:to>
      <xdr:col>179</xdr:col>
      <xdr:colOff>628650</xdr:colOff>
      <xdr:row>13</xdr:row>
      <xdr:rowOff>0</xdr:rowOff>
    </xdr:to>
    <xdr:graphicFrame macro="">
      <xdr:nvGraphicFramePr>
        <xdr:cNvPr id="10283" name="Chart 10282">
          <a:extLst>
            <a:ext uri="{FF2B5EF4-FFF2-40B4-BE49-F238E27FC236}">
              <a16:creationId xmlns:a16="http://schemas.microsoft.com/office/drawing/2014/main" id="{F886943B-043F-4301-8A13-E320B49813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171</xdr:col>
      <xdr:colOff>12700</xdr:colOff>
      <xdr:row>13</xdr:row>
      <xdr:rowOff>63500</xdr:rowOff>
    </xdr:from>
    <xdr:to>
      <xdr:col>179</xdr:col>
      <xdr:colOff>628650</xdr:colOff>
      <xdr:row>25</xdr:row>
      <xdr:rowOff>0</xdr:rowOff>
    </xdr:to>
    <xdr:graphicFrame macro="">
      <xdr:nvGraphicFramePr>
        <xdr:cNvPr id="10284" name="Chart 10283">
          <a:extLst>
            <a:ext uri="{FF2B5EF4-FFF2-40B4-BE49-F238E27FC236}">
              <a16:creationId xmlns:a16="http://schemas.microsoft.com/office/drawing/2014/main" id="{552D2903-3318-4F8D-8285-9380052499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171</xdr:col>
      <xdr:colOff>12700</xdr:colOff>
      <xdr:row>25</xdr:row>
      <xdr:rowOff>63500</xdr:rowOff>
    </xdr:from>
    <xdr:to>
      <xdr:col>179</xdr:col>
      <xdr:colOff>628650</xdr:colOff>
      <xdr:row>37</xdr:row>
      <xdr:rowOff>0</xdr:rowOff>
    </xdr:to>
    <xdr:graphicFrame macro="">
      <xdr:nvGraphicFramePr>
        <xdr:cNvPr id="10285" name="Chart 10284">
          <a:extLst>
            <a:ext uri="{FF2B5EF4-FFF2-40B4-BE49-F238E27FC236}">
              <a16:creationId xmlns:a16="http://schemas.microsoft.com/office/drawing/2014/main" id="{9501EAB6-DB27-4AF4-B5FE-FB3ED41829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171</xdr:col>
      <xdr:colOff>12700</xdr:colOff>
      <xdr:row>37</xdr:row>
      <xdr:rowOff>63500</xdr:rowOff>
    </xdr:from>
    <xdr:to>
      <xdr:col>179</xdr:col>
      <xdr:colOff>628650</xdr:colOff>
      <xdr:row>49</xdr:row>
      <xdr:rowOff>0</xdr:rowOff>
    </xdr:to>
    <xdr:graphicFrame macro="">
      <xdr:nvGraphicFramePr>
        <xdr:cNvPr id="10286" name="Chart 10285">
          <a:extLst>
            <a:ext uri="{FF2B5EF4-FFF2-40B4-BE49-F238E27FC236}">
              <a16:creationId xmlns:a16="http://schemas.microsoft.com/office/drawing/2014/main" id="{EC56A2BA-C4E2-4426-A205-282CB21BFA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180</xdr:col>
      <xdr:colOff>12700</xdr:colOff>
      <xdr:row>1</xdr:row>
      <xdr:rowOff>63500</xdr:rowOff>
    </xdr:from>
    <xdr:to>
      <xdr:col>188</xdr:col>
      <xdr:colOff>628650</xdr:colOff>
      <xdr:row>13</xdr:row>
      <xdr:rowOff>0</xdr:rowOff>
    </xdr:to>
    <xdr:graphicFrame macro="">
      <xdr:nvGraphicFramePr>
        <xdr:cNvPr id="10287" name="Chart 10286">
          <a:extLst>
            <a:ext uri="{FF2B5EF4-FFF2-40B4-BE49-F238E27FC236}">
              <a16:creationId xmlns:a16="http://schemas.microsoft.com/office/drawing/2014/main" id="{19C07B6A-92B9-4143-A16D-39961A0F16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18</xdr:col>
      <xdr:colOff>647700</xdr:colOff>
      <xdr:row>0</xdr:row>
      <xdr:rowOff>0</xdr:rowOff>
    </xdr:from>
    <xdr:to>
      <xdr:col>25</xdr:col>
      <xdr:colOff>492125</xdr:colOff>
      <xdr:row>1</xdr:row>
      <xdr:rowOff>0</xdr:rowOff>
    </xdr:to>
    <xdr:sp macro="" textlink="">
      <xdr:nvSpPr>
        <xdr:cNvPr id="10288" name="Rectangle 10287">
          <a:extLst>
            <a:ext uri="{FF2B5EF4-FFF2-40B4-BE49-F238E27FC236}">
              <a16:creationId xmlns:a16="http://schemas.microsoft.com/office/drawing/2014/main" id="{1D5C9560-A502-47F1-8981-EF2DCAFD2969}"/>
            </a:ext>
          </a:extLst>
        </xdr:cNvPr>
        <xdr:cNvSpPr/>
      </xdr:nvSpPr>
      <xdr:spPr>
        <a:xfrm>
          <a:off x="124777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Driver</a:t>
          </a:r>
        </a:p>
      </xdr:txBody>
    </xdr:sp>
    <xdr:clientData/>
  </xdr:twoCellAnchor>
  <xdr:twoCellAnchor>
    <xdr:from>
      <xdr:col>27</xdr:col>
      <xdr:colOff>650875</xdr:colOff>
      <xdr:row>0</xdr:row>
      <xdr:rowOff>0</xdr:rowOff>
    </xdr:from>
    <xdr:to>
      <xdr:col>34</xdr:col>
      <xdr:colOff>495300</xdr:colOff>
      <xdr:row>1</xdr:row>
      <xdr:rowOff>0</xdr:rowOff>
    </xdr:to>
    <xdr:sp macro="" textlink="">
      <xdr:nvSpPr>
        <xdr:cNvPr id="10289" name="Rectangle 10288">
          <a:extLst>
            <a:ext uri="{FF2B5EF4-FFF2-40B4-BE49-F238E27FC236}">
              <a16:creationId xmlns:a16="http://schemas.microsoft.com/office/drawing/2014/main" id="{3C4E4357-D2F7-42EC-8E83-60A584E2914A}"/>
            </a:ext>
          </a:extLst>
        </xdr:cNvPr>
        <xdr:cNvSpPr/>
      </xdr:nvSpPr>
      <xdr:spPr>
        <a:xfrm>
          <a:off x="183959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Driver 2</a:t>
          </a:r>
        </a:p>
      </xdr:txBody>
    </xdr:sp>
    <xdr:clientData/>
  </xdr:twoCellAnchor>
  <xdr:twoCellAnchor>
    <xdr:from>
      <xdr:col>36</xdr:col>
      <xdr:colOff>654050</xdr:colOff>
      <xdr:row>0</xdr:row>
      <xdr:rowOff>0</xdr:rowOff>
    </xdr:from>
    <xdr:to>
      <xdr:col>43</xdr:col>
      <xdr:colOff>498475</xdr:colOff>
      <xdr:row>1</xdr:row>
      <xdr:rowOff>0</xdr:rowOff>
    </xdr:to>
    <xdr:sp macro="" textlink="">
      <xdr:nvSpPr>
        <xdr:cNvPr id="10290" name="Rectangle 10289">
          <a:extLst>
            <a:ext uri="{FF2B5EF4-FFF2-40B4-BE49-F238E27FC236}">
              <a16:creationId xmlns:a16="http://schemas.microsoft.com/office/drawing/2014/main" id="{4A6AFF46-D9FC-4B04-B720-4B85C5C74882}"/>
            </a:ext>
          </a:extLst>
        </xdr:cNvPr>
        <xdr:cNvSpPr/>
      </xdr:nvSpPr>
      <xdr:spPr>
        <a:xfrm>
          <a:off x="243141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Aerodynamics 1</a:t>
          </a:r>
        </a:p>
      </xdr:txBody>
    </xdr:sp>
    <xdr:clientData/>
  </xdr:twoCellAnchor>
  <xdr:twoCellAnchor>
    <xdr:from>
      <xdr:col>46</xdr:col>
      <xdr:colOff>0</xdr:colOff>
      <xdr:row>0</xdr:row>
      <xdr:rowOff>0</xdr:rowOff>
    </xdr:from>
    <xdr:to>
      <xdr:col>52</xdr:col>
      <xdr:colOff>501650</xdr:colOff>
      <xdr:row>1</xdr:row>
      <xdr:rowOff>0</xdr:rowOff>
    </xdr:to>
    <xdr:sp macro="" textlink="">
      <xdr:nvSpPr>
        <xdr:cNvPr id="10291" name="Rectangle 10290">
          <a:extLst>
            <a:ext uri="{FF2B5EF4-FFF2-40B4-BE49-F238E27FC236}">
              <a16:creationId xmlns:a16="http://schemas.microsoft.com/office/drawing/2014/main" id="{04691202-DC75-4483-BA69-BF05DEA43838}"/>
            </a:ext>
          </a:extLst>
        </xdr:cNvPr>
        <xdr:cNvSpPr/>
      </xdr:nvSpPr>
      <xdr:spPr>
        <a:xfrm>
          <a:off x="302323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Aerodynamics 2</a:t>
          </a:r>
        </a:p>
      </xdr:txBody>
    </xdr:sp>
    <xdr:clientData/>
  </xdr:twoCellAnchor>
  <xdr:twoCellAnchor>
    <xdr:from>
      <xdr:col>55</xdr:col>
      <xdr:colOff>3175</xdr:colOff>
      <xdr:row>0</xdr:row>
      <xdr:rowOff>0</xdr:rowOff>
    </xdr:from>
    <xdr:to>
      <xdr:col>61</xdr:col>
      <xdr:colOff>504825</xdr:colOff>
      <xdr:row>1</xdr:row>
      <xdr:rowOff>0</xdr:rowOff>
    </xdr:to>
    <xdr:sp macro="" textlink="">
      <xdr:nvSpPr>
        <xdr:cNvPr id="10292" name="Rectangle 10291">
          <a:extLst>
            <a:ext uri="{FF2B5EF4-FFF2-40B4-BE49-F238E27FC236}">
              <a16:creationId xmlns:a16="http://schemas.microsoft.com/office/drawing/2014/main" id="{46D1CB43-198D-4170-8D82-971C3C6A5809}"/>
            </a:ext>
          </a:extLst>
        </xdr:cNvPr>
        <xdr:cNvSpPr/>
      </xdr:nvSpPr>
      <xdr:spPr>
        <a:xfrm>
          <a:off x="361505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Aerodynamics 3 (Track specific)</a:t>
          </a:r>
        </a:p>
      </xdr:txBody>
    </xdr:sp>
    <xdr:clientData/>
  </xdr:twoCellAnchor>
  <xdr:twoCellAnchor>
    <xdr:from>
      <xdr:col>64</xdr:col>
      <xdr:colOff>6350</xdr:colOff>
      <xdr:row>0</xdr:row>
      <xdr:rowOff>0</xdr:rowOff>
    </xdr:from>
    <xdr:to>
      <xdr:col>70</xdr:col>
      <xdr:colOff>508000</xdr:colOff>
      <xdr:row>1</xdr:row>
      <xdr:rowOff>0</xdr:rowOff>
    </xdr:to>
    <xdr:sp macro="" textlink="">
      <xdr:nvSpPr>
        <xdr:cNvPr id="10293" name="Rectangle 10292">
          <a:extLst>
            <a:ext uri="{FF2B5EF4-FFF2-40B4-BE49-F238E27FC236}">
              <a16:creationId xmlns:a16="http://schemas.microsoft.com/office/drawing/2014/main" id="{ACF93E8C-5981-4766-86E9-22CC70DD60E0}"/>
            </a:ext>
          </a:extLst>
        </xdr:cNvPr>
        <xdr:cNvSpPr/>
      </xdr:nvSpPr>
      <xdr:spPr>
        <a:xfrm>
          <a:off x="420687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Setup 1</a:t>
          </a:r>
        </a:p>
      </xdr:txBody>
    </xdr:sp>
    <xdr:clientData/>
  </xdr:twoCellAnchor>
  <xdr:twoCellAnchor>
    <xdr:from>
      <xdr:col>73</xdr:col>
      <xdr:colOff>9525</xdr:colOff>
      <xdr:row>0</xdr:row>
      <xdr:rowOff>0</xdr:rowOff>
    </xdr:from>
    <xdr:to>
      <xdr:col>79</xdr:col>
      <xdr:colOff>511175</xdr:colOff>
      <xdr:row>1</xdr:row>
      <xdr:rowOff>0</xdr:rowOff>
    </xdr:to>
    <xdr:sp macro="" textlink="">
      <xdr:nvSpPr>
        <xdr:cNvPr id="10294" name="Rectangle 10293">
          <a:extLst>
            <a:ext uri="{FF2B5EF4-FFF2-40B4-BE49-F238E27FC236}">
              <a16:creationId xmlns:a16="http://schemas.microsoft.com/office/drawing/2014/main" id="{EB448ABC-413F-491E-AFB8-F77984E30AAD}"/>
            </a:ext>
          </a:extLst>
        </xdr:cNvPr>
        <xdr:cNvSpPr/>
      </xdr:nvSpPr>
      <xdr:spPr>
        <a:xfrm>
          <a:off x="479869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Setup 2</a:t>
          </a:r>
        </a:p>
      </xdr:txBody>
    </xdr:sp>
    <xdr:clientData/>
  </xdr:twoCellAnchor>
  <xdr:twoCellAnchor>
    <xdr:from>
      <xdr:col>82</xdr:col>
      <xdr:colOff>12700</xdr:colOff>
      <xdr:row>0</xdr:row>
      <xdr:rowOff>0</xdr:rowOff>
    </xdr:from>
    <xdr:to>
      <xdr:col>88</xdr:col>
      <xdr:colOff>514350</xdr:colOff>
      <xdr:row>1</xdr:row>
      <xdr:rowOff>0</xdr:rowOff>
    </xdr:to>
    <xdr:sp macro="" textlink="">
      <xdr:nvSpPr>
        <xdr:cNvPr id="10295" name="Rectangle 10294">
          <a:extLst>
            <a:ext uri="{FF2B5EF4-FFF2-40B4-BE49-F238E27FC236}">
              <a16:creationId xmlns:a16="http://schemas.microsoft.com/office/drawing/2014/main" id="{EBEBCEDB-A96E-4EC7-A7B0-73D1E7EADE3B}"/>
            </a:ext>
          </a:extLst>
        </xdr:cNvPr>
        <xdr:cNvSpPr/>
      </xdr:nvSpPr>
      <xdr:spPr>
        <a:xfrm>
          <a:off x="539051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Damper</a:t>
          </a:r>
        </a:p>
      </xdr:txBody>
    </xdr:sp>
    <xdr:clientData/>
  </xdr:twoCellAnchor>
  <xdr:twoCellAnchor>
    <xdr:from>
      <xdr:col>91</xdr:col>
      <xdr:colOff>15875</xdr:colOff>
      <xdr:row>0</xdr:row>
      <xdr:rowOff>0</xdr:rowOff>
    </xdr:from>
    <xdr:to>
      <xdr:col>97</xdr:col>
      <xdr:colOff>517525</xdr:colOff>
      <xdr:row>1</xdr:row>
      <xdr:rowOff>0</xdr:rowOff>
    </xdr:to>
    <xdr:sp macro="" textlink="">
      <xdr:nvSpPr>
        <xdr:cNvPr id="10296" name="Rectangle 10295">
          <a:extLst>
            <a:ext uri="{FF2B5EF4-FFF2-40B4-BE49-F238E27FC236}">
              <a16:creationId xmlns:a16="http://schemas.microsoft.com/office/drawing/2014/main" id="{B6CE4443-DD60-4AEE-8001-0F493FEFE6FD}"/>
            </a:ext>
          </a:extLst>
        </xdr:cNvPr>
        <xdr:cNvSpPr/>
      </xdr:nvSpPr>
      <xdr:spPr>
        <a:xfrm>
          <a:off x="598233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Tyres</a:t>
          </a:r>
        </a:p>
      </xdr:txBody>
    </xdr:sp>
    <xdr:clientData/>
  </xdr:twoCellAnchor>
  <xdr:twoCellAnchor>
    <xdr:from>
      <xdr:col>100</xdr:col>
      <xdr:colOff>19050</xdr:colOff>
      <xdr:row>0</xdr:row>
      <xdr:rowOff>0</xdr:rowOff>
    </xdr:from>
    <xdr:to>
      <xdr:col>106</xdr:col>
      <xdr:colOff>520700</xdr:colOff>
      <xdr:row>1</xdr:row>
      <xdr:rowOff>0</xdr:rowOff>
    </xdr:to>
    <xdr:sp macro="" textlink="">
      <xdr:nvSpPr>
        <xdr:cNvPr id="10297" name="Rectangle 10296">
          <a:extLst>
            <a:ext uri="{FF2B5EF4-FFF2-40B4-BE49-F238E27FC236}">
              <a16:creationId xmlns:a16="http://schemas.microsoft.com/office/drawing/2014/main" id="{96B54C9B-9D5D-45C9-B891-475CA8391340}"/>
            </a:ext>
          </a:extLst>
        </xdr:cNvPr>
        <xdr:cNvSpPr/>
      </xdr:nvSpPr>
      <xdr:spPr>
        <a:xfrm>
          <a:off x="657415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Brakes</a:t>
          </a:r>
        </a:p>
      </xdr:txBody>
    </xdr:sp>
    <xdr:clientData/>
  </xdr:twoCellAnchor>
  <xdr:twoCellAnchor>
    <xdr:from>
      <xdr:col>109</xdr:col>
      <xdr:colOff>22225</xdr:colOff>
      <xdr:row>0</xdr:row>
      <xdr:rowOff>0</xdr:rowOff>
    </xdr:from>
    <xdr:to>
      <xdr:col>115</xdr:col>
      <xdr:colOff>523875</xdr:colOff>
      <xdr:row>1</xdr:row>
      <xdr:rowOff>0</xdr:rowOff>
    </xdr:to>
    <xdr:sp macro="" textlink="">
      <xdr:nvSpPr>
        <xdr:cNvPr id="10298" name="Rectangle 10297">
          <a:extLst>
            <a:ext uri="{FF2B5EF4-FFF2-40B4-BE49-F238E27FC236}">
              <a16:creationId xmlns:a16="http://schemas.microsoft.com/office/drawing/2014/main" id="{F33D7287-C44E-47DD-BA69-55CAED0D0063}"/>
            </a:ext>
          </a:extLst>
        </xdr:cNvPr>
        <xdr:cNvSpPr/>
      </xdr:nvSpPr>
      <xdr:spPr>
        <a:xfrm>
          <a:off x="716597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Brake wear</a:t>
          </a:r>
        </a:p>
      </xdr:txBody>
    </xdr:sp>
    <xdr:clientData/>
  </xdr:twoCellAnchor>
  <xdr:twoCellAnchor>
    <xdr:from>
      <xdr:col>118</xdr:col>
      <xdr:colOff>25400</xdr:colOff>
      <xdr:row>0</xdr:row>
      <xdr:rowOff>0</xdr:rowOff>
    </xdr:from>
    <xdr:to>
      <xdr:col>124</xdr:col>
      <xdr:colOff>527050</xdr:colOff>
      <xdr:row>1</xdr:row>
      <xdr:rowOff>0</xdr:rowOff>
    </xdr:to>
    <xdr:sp macro="" textlink="">
      <xdr:nvSpPr>
        <xdr:cNvPr id="10299" name="Rectangle 10298">
          <a:extLst>
            <a:ext uri="{FF2B5EF4-FFF2-40B4-BE49-F238E27FC236}">
              <a16:creationId xmlns:a16="http://schemas.microsoft.com/office/drawing/2014/main" id="{ED78FFB8-7E89-4D1F-A44B-1972E6F36B67}"/>
            </a:ext>
          </a:extLst>
        </xdr:cNvPr>
        <xdr:cNvSpPr/>
      </xdr:nvSpPr>
      <xdr:spPr>
        <a:xfrm>
          <a:off x="775779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Engine</a:t>
          </a:r>
        </a:p>
      </xdr:txBody>
    </xdr:sp>
    <xdr:clientData/>
  </xdr:twoCellAnchor>
  <xdr:twoCellAnchor>
    <xdr:from>
      <xdr:col>127</xdr:col>
      <xdr:colOff>28575</xdr:colOff>
      <xdr:row>0</xdr:row>
      <xdr:rowOff>0</xdr:rowOff>
    </xdr:from>
    <xdr:to>
      <xdr:col>133</xdr:col>
      <xdr:colOff>530225</xdr:colOff>
      <xdr:row>1</xdr:row>
      <xdr:rowOff>0</xdr:rowOff>
    </xdr:to>
    <xdr:sp macro="" textlink="">
      <xdr:nvSpPr>
        <xdr:cNvPr id="10300" name="Rectangle 10299">
          <a:extLst>
            <a:ext uri="{FF2B5EF4-FFF2-40B4-BE49-F238E27FC236}">
              <a16:creationId xmlns:a16="http://schemas.microsoft.com/office/drawing/2014/main" id="{F9C241B7-E3F6-49FB-B272-D1E67E51C920}"/>
            </a:ext>
          </a:extLst>
        </xdr:cNvPr>
        <xdr:cNvSpPr/>
      </xdr:nvSpPr>
      <xdr:spPr>
        <a:xfrm>
          <a:off x="834961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Engine 2</a:t>
          </a:r>
        </a:p>
      </xdr:txBody>
    </xdr:sp>
    <xdr:clientData/>
  </xdr:twoCellAnchor>
  <xdr:twoCellAnchor>
    <xdr:from>
      <xdr:col>136</xdr:col>
      <xdr:colOff>31750</xdr:colOff>
      <xdr:row>0</xdr:row>
      <xdr:rowOff>0</xdr:rowOff>
    </xdr:from>
    <xdr:to>
      <xdr:col>142</xdr:col>
      <xdr:colOff>533400</xdr:colOff>
      <xdr:row>1</xdr:row>
      <xdr:rowOff>0</xdr:rowOff>
    </xdr:to>
    <xdr:sp macro="" textlink="">
      <xdr:nvSpPr>
        <xdr:cNvPr id="10301" name="Rectangle 10300">
          <a:extLst>
            <a:ext uri="{FF2B5EF4-FFF2-40B4-BE49-F238E27FC236}">
              <a16:creationId xmlns:a16="http://schemas.microsoft.com/office/drawing/2014/main" id="{5FF6DB16-EF84-4EC0-B206-FF87AA5B48E5}"/>
            </a:ext>
          </a:extLst>
        </xdr:cNvPr>
        <xdr:cNvSpPr/>
      </xdr:nvSpPr>
      <xdr:spPr>
        <a:xfrm>
          <a:off x="894143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Engine 3</a:t>
          </a:r>
        </a:p>
      </xdr:txBody>
    </xdr:sp>
    <xdr:clientData/>
  </xdr:twoCellAnchor>
  <xdr:twoCellAnchor>
    <xdr:from>
      <xdr:col>145</xdr:col>
      <xdr:colOff>34925</xdr:colOff>
      <xdr:row>0</xdr:row>
      <xdr:rowOff>0</xdr:rowOff>
    </xdr:from>
    <xdr:to>
      <xdr:col>151</xdr:col>
      <xdr:colOff>536575</xdr:colOff>
      <xdr:row>1</xdr:row>
      <xdr:rowOff>0</xdr:rowOff>
    </xdr:to>
    <xdr:sp macro="" textlink="">
      <xdr:nvSpPr>
        <xdr:cNvPr id="10302" name="Rectangle 10301">
          <a:extLst>
            <a:ext uri="{FF2B5EF4-FFF2-40B4-BE49-F238E27FC236}">
              <a16:creationId xmlns:a16="http://schemas.microsoft.com/office/drawing/2014/main" id="{15E743BA-44CB-4952-BBBA-9523E8F67D54}"/>
            </a:ext>
          </a:extLst>
        </xdr:cNvPr>
        <xdr:cNvSpPr/>
      </xdr:nvSpPr>
      <xdr:spPr>
        <a:xfrm>
          <a:off x="953325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Engine 4</a:t>
          </a:r>
        </a:p>
      </xdr:txBody>
    </xdr:sp>
    <xdr:clientData/>
  </xdr:twoCellAnchor>
  <xdr:twoCellAnchor>
    <xdr:from>
      <xdr:col>154</xdr:col>
      <xdr:colOff>38100</xdr:colOff>
      <xdr:row>0</xdr:row>
      <xdr:rowOff>0</xdr:rowOff>
    </xdr:from>
    <xdr:to>
      <xdr:col>160</xdr:col>
      <xdr:colOff>539750</xdr:colOff>
      <xdr:row>1</xdr:row>
      <xdr:rowOff>0</xdr:rowOff>
    </xdr:to>
    <xdr:sp macro="" textlink="">
      <xdr:nvSpPr>
        <xdr:cNvPr id="10303" name="Rectangle 10302">
          <a:extLst>
            <a:ext uri="{FF2B5EF4-FFF2-40B4-BE49-F238E27FC236}">
              <a16:creationId xmlns:a16="http://schemas.microsoft.com/office/drawing/2014/main" id="{85FB7795-1B7E-4512-AD94-D02E93DA4FF9}"/>
            </a:ext>
          </a:extLst>
        </xdr:cNvPr>
        <xdr:cNvSpPr/>
      </xdr:nvSpPr>
      <xdr:spPr>
        <a:xfrm>
          <a:off x="1012507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System</a:t>
          </a:r>
        </a:p>
      </xdr:txBody>
    </xdr:sp>
    <xdr:clientData/>
  </xdr:twoCellAnchor>
  <xdr:twoCellAnchor>
    <xdr:from>
      <xdr:col>163</xdr:col>
      <xdr:colOff>41275</xdr:colOff>
      <xdr:row>0</xdr:row>
      <xdr:rowOff>0</xdr:rowOff>
    </xdr:from>
    <xdr:to>
      <xdr:col>169</xdr:col>
      <xdr:colOff>542925</xdr:colOff>
      <xdr:row>1</xdr:row>
      <xdr:rowOff>0</xdr:rowOff>
    </xdr:to>
    <xdr:sp macro="" textlink="">
      <xdr:nvSpPr>
        <xdr:cNvPr id="10304" name="Rectangle 10303">
          <a:extLst>
            <a:ext uri="{FF2B5EF4-FFF2-40B4-BE49-F238E27FC236}">
              <a16:creationId xmlns:a16="http://schemas.microsoft.com/office/drawing/2014/main" id="{E7EA6AB5-90A4-4A4B-886F-A9A9FBE99F32}"/>
            </a:ext>
          </a:extLst>
        </xdr:cNvPr>
        <xdr:cNvSpPr/>
      </xdr:nvSpPr>
      <xdr:spPr>
        <a:xfrm>
          <a:off x="1071689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System 2</a:t>
          </a:r>
        </a:p>
      </xdr:txBody>
    </xdr:sp>
    <xdr:clientData/>
  </xdr:twoCellAnchor>
  <xdr:twoCellAnchor>
    <xdr:from>
      <xdr:col>172</xdr:col>
      <xdr:colOff>44450</xdr:colOff>
      <xdr:row>0</xdr:row>
      <xdr:rowOff>0</xdr:rowOff>
    </xdr:from>
    <xdr:to>
      <xdr:col>178</xdr:col>
      <xdr:colOff>546100</xdr:colOff>
      <xdr:row>1</xdr:row>
      <xdr:rowOff>0</xdr:rowOff>
    </xdr:to>
    <xdr:sp macro="" textlink="">
      <xdr:nvSpPr>
        <xdr:cNvPr id="10305" name="Rectangle 10304">
          <a:extLst>
            <a:ext uri="{FF2B5EF4-FFF2-40B4-BE49-F238E27FC236}">
              <a16:creationId xmlns:a16="http://schemas.microsoft.com/office/drawing/2014/main" id="{96BB1E08-67CE-4C36-84A8-A215F436F2CD}"/>
            </a:ext>
          </a:extLst>
        </xdr:cNvPr>
        <xdr:cNvSpPr/>
      </xdr:nvSpPr>
      <xdr:spPr>
        <a:xfrm>
          <a:off x="1130871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System 3</a:t>
          </a:r>
        </a:p>
      </xdr:txBody>
    </xdr:sp>
    <xdr:clientData/>
  </xdr:twoCellAnchor>
  <xdr:twoCellAnchor>
    <xdr:from>
      <xdr:col>181</xdr:col>
      <xdr:colOff>47625</xdr:colOff>
      <xdr:row>0</xdr:row>
      <xdr:rowOff>0</xdr:rowOff>
    </xdr:from>
    <xdr:to>
      <xdr:col>187</xdr:col>
      <xdr:colOff>549275</xdr:colOff>
      <xdr:row>1</xdr:row>
      <xdr:rowOff>0</xdr:rowOff>
    </xdr:to>
    <xdr:sp macro="" textlink="">
      <xdr:nvSpPr>
        <xdr:cNvPr id="10306" name="Rectangle 10305">
          <a:extLst>
            <a:ext uri="{FF2B5EF4-FFF2-40B4-BE49-F238E27FC236}">
              <a16:creationId xmlns:a16="http://schemas.microsoft.com/office/drawing/2014/main" id="{0517A2F4-1F1A-4024-9871-0EE094FE6D37}"/>
            </a:ext>
          </a:extLst>
        </xdr:cNvPr>
        <xdr:cNvSpPr/>
      </xdr:nvSpPr>
      <xdr:spPr>
        <a:xfrm>
          <a:off x="1190053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System 4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615950</xdr:colOff>
      <xdr:row>16</xdr:row>
      <xdr:rowOff>0</xdr:rowOff>
    </xdr:to>
    <xdr:graphicFrame macro="">
      <xdr:nvGraphicFramePr>
        <xdr:cNvPr id="10307" name="Chart 10306">
          <a:extLst>
            <a:ext uri="{FF2B5EF4-FFF2-40B4-BE49-F238E27FC236}">
              <a16:creationId xmlns:a16="http://schemas.microsoft.com/office/drawing/2014/main" id="{9D9EB12C-CE37-4327-924F-D32E12FE6B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615950</xdr:colOff>
      <xdr:row>32</xdr:row>
      <xdr:rowOff>0</xdr:rowOff>
    </xdr:to>
    <xdr:graphicFrame macro="">
      <xdr:nvGraphicFramePr>
        <xdr:cNvPr id="10308" name="Chart 10307">
          <a:extLst>
            <a:ext uri="{FF2B5EF4-FFF2-40B4-BE49-F238E27FC236}">
              <a16:creationId xmlns:a16="http://schemas.microsoft.com/office/drawing/2014/main" id="{45239173-6E42-40AC-8A16-83481CEBE1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0</xdr:colOff>
      <xdr:row>32</xdr:row>
      <xdr:rowOff>0</xdr:rowOff>
    </xdr:from>
    <xdr:to>
      <xdr:col>8</xdr:col>
      <xdr:colOff>615950</xdr:colOff>
      <xdr:row>48</xdr:row>
      <xdr:rowOff>0</xdr:rowOff>
    </xdr:to>
    <xdr:graphicFrame macro="">
      <xdr:nvGraphicFramePr>
        <xdr:cNvPr id="10309" name="Chart 10308">
          <a:extLst>
            <a:ext uri="{FF2B5EF4-FFF2-40B4-BE49-F238E27FC236}">
              <a16:creationId xmlns:a16="http://schemas.microsoft.com/office/drawing/2014/main" id="{5BC52D5D-78FA-4396-8E13-B8AA5B0160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9</xdr:col>
      <xdr:colOff>6350</xdr:colOff>
      <xdr:row>0</xdr:row>
      <xdr:rowOff>0</xdr:rowOff>
    </xdr:from>
    <xdr:to>
      <xdr:col>17</xdr:col>
      <xdr:colOff>622300</xdr:colOff>
      <xdr:row>16</xdr:row>
      <xdr:rowOff>0</xdr:rowOff>
    </xdr:to>
    <xdr:graphicFrame macro="">
      <xdr:nvGraphicFramePr>
        <xdr:cNvPr id="10310" name="Chart 10309">
          <a:extLst>
            <a:ext uri="{FF2B5EF4-FFF2-40B4-BE49-F238E27FC236}">
              <a16:creationId xmlns:a16="http://schemas.microsoft.com/office/drawing/2014/main" id="{299B374B-A77F-4F69-9ADA-8FCB7250F1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9</xdr:col>
      <xdr:colOff>6350</xdr:colOff>
      <xdr:row>16</xdr:row>
      <xdr:rowOff>0</xdr:rowOff>
    </xdr:from>
    <xdr:to>
      <xdr:col>17</xdr:col>
      <xdr:colOff>622300</xdr:colOff>
      <xdr:row>32</xdr:row>
      <xdr:rowOff>0</xdr:rowOff>
    </xdr:to>
    <xdr:graphicFrame macro="">
      <xdr:nvGraphicFramePr>
        <xdr:cNvPr id="10311" name="Chart 10310">
          <a:extLst>
            <a:ext uri="{FF2B5EF4-FFF2-40B4-BE49-F238E27FC236}">
              <a16:creationId xmlns:a16="http://schemas.microsoft.com/office/drawing/2014/main" id="{DCCF3343-A716-4BB2-B8C8-30595B39D8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9</xdr:col>
      <xdr:colOff>6350</xdr:colOff>
      <xdr:row>32</xdr:row>
      <xdr:rowOff>0</xdr:rowOff>
    </xdr:from>
    <xdr:to>
      <xdr:col>17</xdr:col>
      <xdr:colOff>622300</xdr:colOff>
      <xdr:row>48</xdr:row>
      <xdr:rowOff>0</xdr:rowOff>
    </xdr:to>
    <xdr:graphicFrame macro="">
      <xdr:nvGraphicFramePr>
        <xdr:cNvPr id="10312" name="Chart 10311">
          <a:extLst>
            <a:ext uri="{FF2B5EF4-FFF2-40B4-BE49-F238E27FC236}">
              <a16:creationId xmlns:a16="http://schemas.microsoft.com/office/drawing/2014/main" id="{6F967D5A-201B-4B96-875C-02229F0A07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366432</xdr:colOff>
      <xdr:row>176</xdr:row>
      <xdr:rowOff>99452</xdr:rowOff>
    </xdr:from>
    <xdr:to>
      <xdr:col>59</xdr:col>
      <xdr:colOff>1160370</xdr:colOff>
      <xdr:row>190</xdr:row>
      <xdr:rowOff>175652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864AF25-30F9-4C71-B1B7-D528726A33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319767</xdr:colOff>
      <xdr:row>234</xdr:row>
      <xdr:rowOff>159203</xdr:rowOff>
    </xdr:from>
    <xdr:to>
      <xdr:col>18</xdr:col>
      <xdr:colOff>700767</xdr:colOff>
      <xdr:row>249</xdr:row>
      <xdr:rowOff>44903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FF686D-5063-4A8B-B14B-507ABC860C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498A18-2103-4C11-A46F-A2F26CD31C28}" name="Table1" displayName="Table1" ref="B5:BM186" totalsRowShown="0" headerRowDxfId="2" headerRowBorderDxfId="1" tableBorderDxfId="0">
  <autoFilter ref="B5:BM186" xr:uid="{21498A18-2103-4C11-A46F-A2F26CD31C28}"/>
  <tableColumns count="64">
    <tableColumn id="1" xr3:uid="{B224B905-02ED-4D17-9016-A79F8A83CB62}" name="Evaluate"/>
    <tableColumn id="2" xr3:uid="{6A9C05F4-367F-4CCC-A473-934BB3D8C462}" name="Lap"/>
    <tableColumn id="3" xr3:uid="{4EADEFB1-DA57-40CF-92E8-F0EB3B7FF18F}" name="Laptime"/>
    <tableColumn id="4" xr3:uid="{9F95A4E5-48A6-41A8-8942-8F73BCEEF438}" name="Max laptime"/>
    <tableColumn id="5" xr3:uid="{85057596-2776-4EB6-9423-26383ADFAD5B}" name="Max speed"/>
    <tableColumn id="6" xr3:uid="{477043DF-DDC0-41EB-B56F-A4076A56D176}" name="Lap-Diff fuelcons_kg"/>
    <tableColumn id="7" xr3:uid="{4E64040B-6535-40F0-879D-E7781FE9E13E}" name="Max FIA_TCockpit"/>
    <tableColumn id="8" xr3:uid="{5B75B9D4-7846-4E6C-AAA8-6F7C2D442D1C}" name="Max CrossTimeLap"/>
    <tableColumn id="9" xr3:uid="{7788350A-0B9E-4895-9265-76DBF9EE0753}" name="Max CoastTimeLap"/>
    <tableColumn id="10" xr3:uid="{213483C5-7299-4FB8-BF72-B12EF8123B86}" name="Max TC_gain"/>
    <tableColumn id="11" xr3:uid="{07D33E29-D6D0-406C-A1E2-4ED0362A64DC}" name="Max TC_slip"/>
    <tableColumn id="12" xr3:uid="{69715355-4B52-4933-A42B-4EA66E45D409}" name="Max EngineMap"/>
    <tableColumn id="13" xr3:uid="{25B72174-B785-454E-990B-B493C116E5A0}" name="Max PedalMap"/>
    <tableColumn id="14" xr3:uid="{55C5476C-6A3B-4CEC-B55B-77BC3B760F1B}" name="Max SteerMap"/>
    <tableColumn id="15" xr3:uid="{B288BECD-E084-47AF-A5FD-7E86094B60DE}" name="Ave understeer"/>
    <tableColumn id="16" xr3:uid="{A20000E3-F5CC-434A-9CDB-9CE9231928EE}" name="Ave understeer_LS"/>
    <tableColumn id="17" xr3:uid="{F2EA34B5-6180-4123-8FB0-A59F389CDE5C}" name="Ave understeer_MS"/>
    <tableColumn id="18" xr3:uid="{9F5B7754-41EA-4047-A052-98D212EDAC81}" name="Ave understeer_HS"/>
    <tableColumn id="19" xr3:uid="{05847547-089B-4647-9B5D-85ED3D969A87}" name="Max pbrake_f"/>
    <tableColumn id="20" xr3:uid="{DBB5C32B-0D97-4BD0-8C91-F1AD97B8A294}" name="Ave Brake_bal %"/>
    <tableColumn id="21" xr3:uid="{18A87A73-9C3E-4289-ACC9-4A73473EC354}" name="Min tdisk_fl"/>
    <tableColumn id="22" xr3:uid="{EAC55DB7-1DC2-446F-88C2-71C6D87BB4AD}" name="Min tdisk_fr"/>
    <tableColumn id="23" xr3:uid="{8B6A774F-BBC7-4D1E-BBDE-A8A384B37BB5}" name="Min tdisk_rl"/>
    <tableColumn id="24" xr3:uid="{97BC91FD-1D38-4BFA-A2E9-70FE6452F595}" name="Min tdisk_rr"/>
    <tableColumn id="25" xr3:uid="{79E81673-7836-463E-A3B5-45A98E43FAEF}" name="Ave tdisk_fl"/>
    <tableColumn id="26" xr3:uid="{F8F93C17-0E31-494F-9285-D591A988479B}" name="Ave tdisk_fr"/>
    <tableColumn id="27" xr3:uid="{B07EB6BD-35B2-4B38-9F5C-E7557F32CED1}" name="Ave tdisk_rl"/>
    <tableColumn id="28" xr3:uid="{AC4E0CCB-A5BE-400A-BD33-11F0907EC70D}" name="Ave tdisk_rr"/>
    <tableColumn id="29" xr3:uid="{D87F28BE-C747-4BAA-AD78-5F6EEE060AA9}" name="Ave Pres_Rel_FL"/>
    <tableColumn id="30" xr3:uid="{D4A1509F-2C40-48BD-9C8F-6AB02F23A68D}" name="Ave Pres_Rel_FR"/>
    <tableColumn id="31" xr3:uid="{486F6A4B-6F6C-4C65-976D-5B39119F05A5}" name="Ave Pres_Rel_RL"/>
    <tableColumn id="32" xr3:uid="{EFB3A2EB-8BE1-4915-9377-1763504380BB}" name="Ave Pres_Rel_RR"/>
    <tableColumn id="33" xr3:uid="{C8E930C3-2FF1-475F-A1E6-1DFAEAB01E5A}" name="Ave FL_IR_Temp_Ch2"/>
    <tableColumn id="34" xr3:uid="{5A0D7EEE-A57E-499A-BA4E-54437C30260D}" name="Ave FR_IR_Temp_Ch2"/>
    <tableColumn id="35" xr3:uid="{C93FA4FF-9204-4B2F-9320-8748C41C8E9B}" name="Ave RL_IR_Temp_Ch2"/>
    <tableColumn id="36" xr3:uid="{3C00B400-62AD-4AB3-8C3C-4A267ED52B67}" name="Ave RR_IR_Temp_Ch2"/>
    <tableColumn id="37" xr3:uid="{DBC6A21A-40EA-45B9-8AC7-2A79AA7B877E}" name="Ave CPL_FL"/>
    <tableColumn id="38" xr3:uid="{A8CB5576-F10C-4333-8BD5-3CFD1FB0769C}" name="Ave CPL_FR"/>
    <tableColumn id="39" xr3:uid="{25C8E1D2-0257-4383-B1EC-E09B089DB394}" name="Ave CPL_RL"/>
    <tableColumn id="40" xr3:uid="{E804C4F0-9302-4D58-A427-42242AF575D9}" name="Ave CPL_RR"/>
    <tableColumn id="41" xr3:uid="{34ACE460-CBAA-4E01-B614-32ED27C3DB1A}" name="CzF_TS"/>
    <tableColumn id="42" xr3:uid="{E9E1C2D7-153D-44EB-AA4A-2198E55B29C0}" name="CzR_TS"/>
    <tableColumn id="43" xr3:uid="{C9CF65E4-9CDF-4610-81C0-32C263232B45}" name="Ave Ride_AxleFront_TS"/>
    <tableColumn id="44" xr3:uid="{EA8D65BA-624C-4CF2-8EA4-40DBDE4D4791}" name="Ave Ride_AxleRear_TS"/>
    <tableColumn id="45" xr3:uid="{EA4CC72D-4AAB-4EAD-B909-572E7A8F7E23}" name="Max tmot"/>
    <tableColumn id="46" xr3:uid="{4155252B-2C2A-4383-B508-5C10320E9E4E}" name="Max tgear"/>
    <tableColumn id="47" xr3:uid="{F0EFD019-BF74-4ED3-870F-FBD5BDB951B3}" name="Min Oil_level"/>
    <tableColumn id="48" xr3:uid="{8FD7296E-C1DE-413D-BF74-E113BA1EBD90}" name="Ave Oil_level"/>
    <tableColumn id="49" xr3:uid="{CE4FF0DA-9BC3-4F7F-9707-A7B5F3C560F7}" name="Ave pcrank"/>
    <tableColumn id="50" xr3:uid="{B8147BF2-29C2-448D-85C3-946CA7525FF1}" name="Max pwat_pod"/>
    <tableColumn id="51" xr3:uid="{2C2ADFBB-0C4B-4BC1-A6CC-EA3FE7440609}" name="Min pfuel"/>
    <tableColumn id="52" xr3:uid="{83C4E837-03F4-4279-AC23-F2EB80E2FDAB}" name="Min PRail_80"/>
    <tableColumn id="53" xr3:uid="{AE03A655-DC96-4FD9-9385-1F6EBDA90734}" name="Min PRail2_80"/>
    <tableColumn id="54" xr3:uid="{96FDCC47-E18A-4B79-A7B4-557B5BB8AEE4}" name="Max nmot"/>
    <tableColumn id="55" xr3:uid="{0839D66D-8DF0-4AC6-8551-D4C3BA5063AA}" name="Max mlo_egt_present_current_can"/>
    <tableColumn id="56" xr3:uid="{DB655C94-7D06-47E6-9FCA-31531933858D}" name="Max Load_FL_Ch1"/>
    <tableColumn id="57" xr3:uid="{EE751ECF-B211-4C7B-A7C9-30CCEE860A60}" name="Max Load_FR_Ch1"/>
    <tableColumn id="58" xr3:uid="{E138A204-AF1B-4C81-9B78-F376FF6F7E76}" name="Max Load_RL_Ch1"/>
    <tableColumn id="59" xr3:uid="{BE390017-BC01-42C5-81BD-1B45FDB89616}" name="Max Load_RR_Ch1"/>
    <tableColumn id="60" xr3:uid="{3CB2AB2D-E424-45D2-8EDF-075E652919A5}" name="Ave frh_pitlane"/>
    <tableColumn id="61" xr3:uid="{84FA8333-A2AE-484A-8764-5A193561CB2F}" name="Ave rrh_pitlane"/>
    <tableColumn id="62" xr3:uid="{A56EE3EE-A310-41E3-AF1F-62BF3EA9DB8F}" name="Ave Ride_F_pit"/>
    <tableColumn id="63" xr3:uid="{2D0C594A-BC42-4444-8E7D-6827C609F10C}" name="Ave Ride_RL_pit"/>
    <tableColumn id="64" xr3:uid="{F0F467D1-F119-4078-8B81-0521AF0C3322}" name="Ave Ride_RR_pi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Podium_Report_Theme">
  <a:themeElements>
    <a:clrScheme name="Podium_Report_Theme">
      <a:dk1>
        <a:sysClr val="windowText" lastClr="000000"/>
      </a:dk1>
      <a:lt1>
        <a:sysClr val="window" lastClr="FFFFFF"/>
      </a:lt1>
      <a:dk2>
        <a:srgbClr val="44546A"/>
      </a:dk2>
      <a:lt2>
        <a:srgbClr val="F2F2F2"/>
      </a:lt2>
      <a:accent1>
        <a:srgbClr val="FF0000"/>
      </a:accent1>
      <a:accent2>
        <a:srgbClr val="39E500"/>
      </a:accent2>
      <a:accent3>
        <a:srgbClr val="0678EB"/>
      </a:accent3>
      <a:accent4>
        <a:srgbClr val="FFC000"/>
      </a:accent4>
      <a:accent5>
        <a:srgbClr val="DE0000"/>
      </a:accent5>
      <a:accent6>
        <a:srgbClr val="00B050"/>
      </a:accent6>
      <a:hlink>
        <a:srgbClr val="7030A0"/>
      </a:hlink>
      <a:folHlink>
        <a:srgbClr val="48A1FA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A86DC-C125-45A7-8946-4257C3CDFB2E}">
  <sheetPr codeName="Sheet11"/>
  <dimension ref="A2:X84"/>
  <sheetViews>
    <sheetView zoomScale="70" zoomScaleNormal="70" workbookViewId="0">
      <selection activeCell="B4" sqref="B4"/>
    </sheetView>
  </sheetViews>
  <sheetFormatPr defaultRowHeight="15" x14ac:dyDescent="0.25"/>
  <cols>
    <col min="1" max="1" width="21.140625" bestFit="1" customWidth="1"/>
    <col min="2" max="2" width="38.85546875" bestFit="1" customWidth="1"/>
    <col min="15" max="15" width="44.42578125" bestFit="1" customWidth="1"/>
    <col min="16" max="16" width="29.140625" bestFit="1" customWidth="1"/>
    <col min="17" max="17" width="33" bestFit="1" customWidth="1"/>
    <col min="20" max="20" width="13.5703125" bestFit="1" customWidth="1"/>
  </cols>
  <sheetData>
    <row r="2" spans="1:20" x14ac:dyDescent="0.25">
      <c r="B2" s="8"/>
    </row>
    <row r="3" spans="1:20" ht="15.75" thickBot="1" x14ac:dyDescent="0.3">
      <c r="A3" s="28" t="s">
        <v>273</v>
      </c>
      <c r="B3" s="28">
        <v>3</v>
      </c>
    </row>
    <row r="4" spans="1:20" ht="15.75" thickBot="1" x14ac:dyDescent="0.3">
      <c r="A4" s="27" t="s">
        <v>274</v>
      </c>
      <c r="B4" s="27">
        <v>30</v>
      </c>
      <c r="O4" s="38" t="s">
        <v>374</v>
      </c>
      <c r="P4" s="39" t="s">
        <v>373</v>
      </c>
      <c r="Q4" s="40" t="s">
        <v>375</v>
      </c>
    </row>
    <row r="5" spans="1:20" x14ac:dyDescent="0.25">
      <c r="A5" s="27" t="s">
        <v>368</v>
      </c>
      <c r="B5" s="27">
        <v>6</v>
      </c>
      <c r="O5" s="35">
        <f>P5/86400</f>
        <v>2.3495370370370367E-3</v>
      </c>
      <c r="P5" s="36">
        <f>P6-10</f>
        <v>202.99999999999997</v>
      </c>
      <c r="Q5" s="37">
        <f>P5/86400</f>
        <v>2.3495370370370367E-3</v>
      </c>
    </row>
    <row r="6" spans="1:20" x14ac:dyDescent="0.25">
      <c r="A6" s="27" t="s">
        <v>369</v>
      </c>
      <c r="B6" s="27">
        <v>8</v>
      </c>
      <c r="O6" s="31">
        <v>2.4652777777777776E-3</v>
      </c>
      <c r="P6" s="29">
        <f>+O6*86400</f>
        <v>212.99999999999997</v>
      </c>
      <c r="Q6" s="30">
        <f t="shared" ref="Q6:Q7" si="0">P6/86400</f>
        <v>2.4652777777777776E-3</v>
      </c>
    </row>
    <row r="7" spans="1:20" ht="15.75" thickBot="1" x14ac:dyDescent="0.3">
      <c r="A7" s="27" t="s">
        <v>370</v>
      </c>
      <c r="B7" s="27">
        <v>7</v>
      </c>
      <c r="O7" s="32">
        <f>P7/86400</f>
        <v>2.5810185185185181E-3</v>
      </c>
      <c r="P7" s="33">
        <f>P6+10</f>
        <v>222.99999999999997</v>
      </c>
      <c r="Q7" s="34">
        <f t="shared" si="0"/>
        <v>2.5810185185185181E-3</v>
      </c>
    </row>
    <row r="8" spans="1:20" ht="15.75" thickBot="1" x14ac:dyDescent="0.3">
      <c r="O8" s="38" t="s">
        <v>376</v>
      </c>
      <c r="P8" s="39" t="s">
        <v>378</v>
      </c>
      <c r="Q8" s="40" t="s">
        <v>379</v>
      </c>
    </row>
    <row r="9" spans="1:20" ht="15.75" thickBot="1" x14ac:dyDescent="0.3">
      <c r="O9" s="41">
        <v>6</v>
      </c>
      <c r="P9" s="42">
        <f>O9+1</f>
        <v>7</v>
      </c>
      <c r="Q9" s="43">
        <f>O9-1</f>
        <v>5</v>
      </c>
    </row>
    <row r="10" spans="1:20" ht="15.75" thickBot="1" x14ac:dyDescent="0.3">
      <c r="O10" s="38" t="s">
        <v>377</v>
      </c>
      <c r="P10" s="39" t="s">
        <v>380</v>
      </c>
      <c r="Q10" s="40" t="s">
        <v>381</v>
      </c>
    </row>
    <row r="11" spans="1:20" ht="15.75" thickBot="1" x14ac:dyDescent="0.3">
      <c r="O11" s="44">
        <v>70</v>
      </c>
      <c r="P11" s="45">
        <f>O11+10</f>
        <v>80</v>
      </c>
      <c r="Q11" s="46">
        <f>+O11-10</f>
        <v>60</v>
      </c>
    </row>
    <row r="13" spans="1:20" x14ac:dyDescent="0.25">
      <c r="T13">
        <f>COLUMN(FA2)</f>
        <v>157</v>
      </c>
    </row>
    <row r="16" spans="1:20" ht="15.75" thickBot="1" x14ac:dyDescent="0.3"/>
    <row r="17" spans="1:24" x14ac:dyDescent="0.25">
      <c r="A17" s="9" t="s">
        <v>275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1"/>
      <c r="N17" s="9" t="s">
        <v>348</v>
      </c>
      <c r="O17" s="10"/>
      <c r="P17" s="10"/>
      <c r="Q17" s="10"/>
      <c r="R17" s="11"/>
    </row>
    <row r="18" spans="1:24" ht="15.75" thickBot="1" x14ac:dyDescent="0.3">
      <c r="A18" s="17" t="s">
        <v>276</v>
      </c>
      <c r="B18" s="18" t="s">
        <v>277</v>
      </c>
      <c r="C18" s="18" t="s">
        <v>278</v>
      </c>
      <c r="D18" s="18" t="s">
        <v>279</v>
      </c>
      <c r="E18" s="18" t="s">
        <v>340</v>
      </c>
      <c r="F18" s="18" t="s">
        <v>341</v>
      </c>
      <c r="G18" s="18" t="s">
        <v>342</v>
      </c>
      <c r="H18" s="18" t="s">
        <v>343</v>
      </c>
      <c r="I18" s="18" t="s">
        <v>344</v>
      </c>
      <c r="J18" s="18" t="s">
        <v>345</v>
      </c>
      <c r="K18" s="18" t="s">
        <v>346</v>
      </c>
      <c r="L18" s="19" t="s">
        <v>347</v>
      </c>
      <c r="N18" s="17" t="s">
        <v>276</v>
      </c>
      <c r="O18" s="18" t="s">
        <v>349</v>
      </c>
      <c r="P18" s="18" t="s">
        <v>277</v>
      </c>
      <c r="Q18" s="18" t="s">
        <v>353</v>
      </c>
      <c r="R18" s="19" t="s">
        <v>279</v>
      </c>
    </row>
    <row r="19" spans="1:24" x14ac:dyDescent="0.25">
      <c r="A19" s="15">
        <v>1</v>
      </c>
      <c r="B19" s="16" t="s">
        <v>280</v>
      </c>
      <c r="C19" s="16">
        <v>932.5</v>
      </c>
      <c r="D19" s="16">
        <v>20</v>
      </c>
      <c r="E19" s="16">
        <v>4</v>
      </c>
      <c r="F19" s="16"/>
      <c r="G19" s="13"/>
      <c r="H19" s="13"/>
      <c r="I19" s="13"/>
      <c r="J19" s="13"/>
      <c r="K19" s="13"/>
      <c r="L19" s="14"/>
      <c r="N19" s="9">
        <v>1</v>
      </c>
      <c r="O19" s="10">
        <v>3</v>
      </c>
      <c r="P19" s="10" t="s">
        <v>67</v>
      </c>
      <c r="Q19" s="10">
        <v>982.5</v>
      </c>
      <c r="R19" s="11">
        <v>80</v>
      </c>
      <c r="X19">
        <v>932.5</v>
      </c>
    </row>
    <row r="20" spans="1:24" x14ac:dyDescent="0.25">
      <c r="A20" s="15">
        <v>2</v>
      </c>
      <c r="B20" s="16" t="s">
        <v>281</v>
      </c>
      <c r="C20" s="16">
        <v>932.5</v>
      </c>
      <c r="D20" s="16">
        <f>D19+180</f>
        <v>200</v>
      </c>
      <c r="E20" s="13">
        <f>COLUMN(G1)</f>
        <v>7</v>
      </c>
      <c r="F20" s="13">
        <f>COLUMN(EX1)</f>
        <v>154</v>
      </c>
      <c r="G20" s="13"/>
      <c r="H20" s="13"/>
      <c r="I20" s="13"/>
      <c r="J20" s="13"/>
      <c r="K20" s="13"/>
      <c r="L20" s="14"/>
      <c r="N20" s="12">
        <v>2</v>
      </c>
      <c r="O20" s="13">
        <v>4</v>
      </c>
      <c r="P20" s="13" t="s">
        <v>94</v>
      </c>
      <c r="Q20" s="13">
        <f>+Q19+466</f>
        <v>1448.5</v>
      </c>
      <c r="R20" s="14">
        <v>80</v>
      </c>
      <c r="X20">
        <f>+X19+465.75</f>
        <v>1398.25</v>
      </c>
    </row>
    <row r="21" spans="1:24" x14ac:dyDescent="0.25">
      <c r="A21" s="15">
        <v>3</v>
      </c>
      <c r="B21" s="16" t="s">
        <v>282</v>
      </c>
      <c r="C21" s="16">
        <v>932.5</v>
      </c>
      <c r="D21" s="16">
        <f>D20+180</f>
        <v>380</v>
      </c>
      <c r="E21" s="13">
        <f>COLUMN(BR1)</f>
        <v>70</v>
      </c>
      <c r="F21" s="13"/>
      <c r="G21" s="13"/>
      <c r="H21" s="13"/>
      <c r="I21" s="13"/>
      <c r="J21" s="13"/>
      <c r="K21" s="13"/>
      <c r="L21" s="14"/>
      <c r="N21" s="12">
        <v>3</v>
      </c>
      <c r="O21" s="13">
        <v>5</v>
      </c>
      <c r="P21" s="13" t="s">
        <v>262</v>
      </c>
      <c r="Q21" s="13">
        <f t="shared" ref="Q21:Q37" si="1">+Q20+466</f>
        <v>1914.5</v>
      </c>
      <c r="R21" s="14">
        <v>80</v>
      </c>
      <c r="X21">
        <f t="shared" ref="X21:X37" si="2">+X20+465.75</f>
        <v>1864</v>
      </c>
    </row>
    <row r="22" spans="1:24" x14ac:dyDescent="0.25">
      <c r="A22" s="15">
        <v>4</v>
      </c>
      <c r="B22" s="16" t="s">
        <v>283</v>
      </c>
      <c r="C22" s="16">
        <v>932.5</v>
      </c>
      <c r="D22" s="16">
        <f>D21+180</f>
        <v>560</v>
      </c>
      <c r="E22" s="13">
        <f>COLUMN(K1)</f>
        <v>11</v>
      </c>
      <c r="F22" s="13">
        <f>COLUMN(L1)</f>
        <v>12</v>
      </c>
      <c r="G22" s="13">
        <f>COLUMN(M1)</f>
        <v>13</v>
      </c>
      <c r="H22" s="13">
        <f>COLUMN(N1)</f>
        <v>14</v>
      </c>
      <c r="I22" s="13">
        <f>COLUMN(O1)</f>
        <v>15</v>
      </c>
      <c r="J22" s="13"/>
      <c r="K22" s="13"/>
      <c r="L22" s="14"/>
      <c r="N22" s="12">
        <v>4</v>
      </c>
      <c r="O22" s="13">
        <v>6</v>
      </c>
      <c r="P22" s="13" t="s">
        <v>93</v>
      </c>
      <c r="Q22" s="13">
        <f t="shared" si="1"/>
        <v>2380.5</v>
      </c>
      <c r="R22" s="14">
        <v>80</v>
      </c>
      <c r="X22">
        <f t="shared" si="2"/>
        <v>2329.75</v>
      </c>
    </row>
    <row r="23" spans="1:24" x14ac:dyDescent="0.25">
      <c r="A23" s="12">
        <v>5</v>
      </c>
      <c r="B23" s="13" t="s">
        <v>284</v>
      </c>
      <c r="C23" s="13">
        <f>$X$20</f>
        <v>1398.25</v>
      </c>
      <c r="D23" s="16">
        <v>20</v>
      </c>
      <c r="E23" s="13">
        <f>COLUMN(CI1)</f>
        <v>87</v>
      </c>
      <c r="F23" s="13">
        <f>COLUMN(CJ1)</f>
        <v>88</v>
      </c>
      <c r="G23" s="13">
        <f>COLUMN(CK1)</f>
        <v>89</v>
      </c>
      <c r="H23" s="13"/>
      <c r="I23" s="13"/>
      <c r="J23" s="13"/>
      <c r="K23" s="13"/>
      <c r="L23" s="14"/>
      <c r="N23" s="12">
        <v>5</v>
      </c>
      <c r="O23" s="13">
        <v>7</v>
      </c>
      <c r="P23" s="13" t="s">
        <v>350</v>
      </c>
      <c r="Q23" s="13">
        <f t="shared" si="1"/>
        <v>2846.5</v>
      </c>
      <c r="R23" s="14">
        <v>80</v>
      </c>
      <c r="X23">
        <f t="shared" si="2"/>
        <v>2795.5</v>
      </c>
    </row>
    <row r="24" spans="1:24" x14ac:dyDescent="0.25">
      <c r="A24" s="12">
        <v>6</v>
      </c>
      <c r="B24" s="13" t="s">
        <v>285</v>
      </c>
      <c r="C24" s="13">
        <f>$X$20</f>
        <v>1398.25</v>
      </c>
      <c r="D24" s="16">
        <f>D23+180</f>
        <v>200</v>
      </c>
      <c r="E24" s="13">
        <f>COLUMN(I1)</f>
        <v>9</v>
      </c>
      <c r="F24" s="13">
        <f>COLUMN(J1)</f>
        <v>10</v>
      </c>
      <c r="G24" s="13">
        <f>COLUMN(EY1)</f>
        <v>155</v>
      </c>
      <c r="H24" s="13"/>
      <c r="I24" s="13"/>
      <c r="J24" s="13"/>
      <c r="K24" s="13"/>
      <c r="L24" s="14"/>
      <c r="N24" s="12">
        <v>6</v>
      </c>
      <c r="O24" s="13">
        <v>8</v>
      </c>
      <c r="P24" s="13" t="s">
        <v>140</v>
      </c>
      <c r="Q24" s="13">
        <f t="shared" si="1"/>
        <v>3312.5</v>
      </c>
      <c r="R24" s="14">
        <v>80</v>
      </c>
      <c r="X24">
        <f t="shared" si="2"/>
        <v>3261.25</v>
      </c>
    </row>
    <row r="25" spans="1:24" x14ac:dyDescent="0.25">
      <c r="A25" s="12">
        <v>7</v>
      </c>
      <c r="B25" s="13" t="s">
        <v>286</v>
      </c>
      <c r="C25" s="13">
        <f>$X$20</f>
        <v>1398.25</v>
      </c>
      <c r="D25" s="16">
        <f>D24+180</f>
        <v>380</v>
      </c>
      <c r="E25" s="13">
        <f>COLUMN(BT1)</f>
        <v>72</v>
      </c>
      <c r="F25" s="13">
        <f>COLUMN(EZ1)</f>
        <v>156</v>
      </c>
      <c r="G25" s="13">
        <f>COLUMN(FA1)</f>
        <v>157</v>
      </c>
      <c r="H25" s="13"/>
      <c r="I25" s="13"/>
      <c r="J25" s="13"/>
      <c r="K25" s="13"/>
      <c r="L25" s="14"/>
      <c r="N25" s="12">
        <v>7</v>
      </c>
      <c r="O25" s="13">
        <v>9</v>
      </c>
      <c r="P25" s="13" t="s">
        <v>351</v>
      </c>
      <c r="Q25" s="13">
        <f t="shared" si="1"/>
        <v>3778.5</v>
      </c>
      <c r="R25" s="14">
        <v>80</v>
      </c>
      <c r="X25">
        <f t="shared" si="2"/>
        <v>3727</v>
      </c>
    </row>
    <row r="26" spans="1:24" x14ac:dyDescent="0.25">
      <c r="A26" s="12">
        <v>8</v>
      </c>
      <c r="B26" s="13" t="s">
        <v>287</v>
      </c>
      <c r="C26" s="13">
        <f>$X$20</f>
        <v>1398.25</v>
      </c>
      <c r="D26" s="16">
        <f>D25+180</f>
        <v>560</v>
      </c>
      <c r="E26" s="13">
        <f>COLUMN(BY1)</f>
        <v>77</v>
      </c>
      <c r="F26" s="13">
        <f>COLUMN(BZ1)</f>
        <v>78</v>
      </c>
      <c r="G26" s="13"/>
      <c r="H26" s="13"/>
      <c r="I26" s="13"/>
      <c r="J26" s="13"/>
      <c r="K26" s="13"/>
      <c r="L26" s="14"/>
      <c r="N26" s="12">
        <v>8</v>
      </c>
      <c r="O26" s="13">
        <v>10</v>
      </c>
      <c r="P26" s="13" t="s">
        <v>352</v>
      </c>
      <c r="Q26" s="13">
        <f t="shared" si="1"/>
        <v>4244.5</v>
      </c>
      <c r="R26" s="14">
        <v>80</v>
      </c>
      <c r="X26">
        <f t="shared" si="2"/>
        <v>4192.75</v>
      </c>
    </row>
    <row r="27" spans="1:24" x14ac:dyDescent="0.25">
      <c r="A27" s="15">
        <v>9</v>
      </c>
      <c r="B27" s="16" t="s">
        <v>288</v>
      </c>
      <c r="C27" s="16">
        <f>$X$21</f>
        <v>1864</v>
      </c>
      <c r="D27" s="16">
        <v>20</v>
      </c>
      <c r="E27" s="13">
        <f>COLUMN(BI2)</f>
        <v>61</v>
      </c>
      <c r="F27" s="13">
        <f>COLUMN(BJ2)</f>
        <v>62</v>
      </c>
      <c r="G27" s="13"/>
      <c r="H27" s="13"/>
      <c r="I27" s="13"/>
      <c r="J27" s="13"/>
      <c r="K27" s="13"/>
      <c r="L27" s="14"/>
      <c r="N27" s="12">
        <v>9</v>
      </c>
      <c r="O27" s="13">
        <v>11</v>
      </c>
      <c r="P27" s="13" t="s">
        <v>59</v>
      </c>
      <c r="Q27" s="13">
        <f t="shared" si="1"/>
        <v>4710.5</v>
      </c>
      <c r="R27" s="14">
        <v>80</v>
      </c>
      <c r="X27">
        <f t="shared" si="2"/>
        <v>4658.5</v>
      </c>
    </row>
    <row r="28" spans="1:24" x14ac:dyDescent="0.25">
      <c r="A28" s="15">
        <v>10</v>
      </c>
      <c r="B28" s="16" t="s">
        <v>289</v>
      </c>
      <c r="C28" s="16">
        <f>$X$21</f>
        <v>1864</v>
      </c>
      <c r="D28" s="16">
        <f>D27+180</f>
        <v>200</v>
      </c>
      <c r="E28" s="13">
        <f>COLUMN(AR3)</f>
        <v>44</v>
      </c>
      <c r="F28" s="13">
        <f>COLUMN(AS3)</f>
        <v>45</v>
      </c>
      <c r="G28" s="13"/>
      <c r="H28" s="13"/>
      <c r="I28" s="13"/>
      <c r="J28" s="13"/>
      <c r="K28" s="13"/>
      <c r="L28" s="14"/>
      <c r="N28" s="12">
        <v>10</v>
      </c>
      <c r="O28" s="13">
        <v>12</v>
      </c>
      <c r="P28" s="13" t="s">
        <v>60</v>
      </c>
      <c r="Q28" s="13">
        <f t="shared" si="1"/>
        <v>5176.5</v>
      </c>
      <c r="R28" s="14">
        <v>80</v>
      </c>
      <c r="X28">
        <f t="shared" si="2"/>
        <v>5124.25</v>
      </c>
    </row>
    <row r="29" spans="1:24" x14ac:dyDescent="0.25">
      <c r="A29" s="15">
        <v>11</v>
      </c>
      <c r="B29" s="16" t="s">
        <v>290</v>
      </c>
      <c r="C29" s="16">
        <f>$X$21</f>
        <v>1864</v>
      </c>
      <c r="D29" s="16">
        <f>D28+180</f>
        <v>380</v>
      </c>
      <c r="E29" s="13">
        <f>COLUMN(F4)</f>
        <v>6</v>
      </c>
      <c r="F29" s="13">
        <f>COLUMN(IA4)</f>
        <v>235</v>
      </c>
      <c r="G29" s="13"/>
      <c r="H29" s="13"/>
      <c r="I29" s="13"/>
      <c r="J29" s="13"/>
      <c r="K29" s="13"/>
      <c r="L29" s="14"/>
      <c r="N29" s="12">
        <v>11</v>
      </c>
      <c r="O29" s="13">
        <v>13</v>
      </c>
      <c r="P29" s="23" t="s">
        <v>407</v>
      </c>
      <c r="Q29" s="13">
        <f t="shared" si="1"/>
        <v>5642.5</v>
      </c>
      <c r="R29" s="24">
        <v>80</v>
      </c>
      <c r="X29">
        <f t="shared" si="2"/>
        <v>5590</v>
      </c>
    </row>
    <row r="30" spans="1:24" x14ac:dyDescent="0.25">
      <c r="A30" s="15">
        <v>12</v>
      </c>
      <c r="B30" s="16" t="s">
        <v>291</v>
      </c>
      <c r="C30" s="16">
        <f>$X$21</f>
        <v>1864</v>
      </c>
      <c r="D30" s="16">
        <f>D29+180</f>
        <v>560</v>
      </c>
      <c r="E30" s="13">
        <f>COLUMN(AP5)</f>
        <v>42</v>
      </c>
      <c r="F30" s="13">
        <f>COLUMN(AQ5)</f>
        <v>43</v>
      </c>
      <c r="G30" s="13"/>
      <c r="H30" s="13"/>
      <c r="I30" s="13"/>
      <c r="J30" s="13"/>
      <c r="K30" s="13"/>
      <c r="L30" s="14"/>
      <c r="N30" s="12">
        <v>12</v>
      </c>
      <c r="O30" s="13">
        <v>14</v>
      </c>
      <c r="P30" s="13" t="s">
        <v>61</v>
      </c>
      <c r="Q30" s="13">
        <f t="shared" si="1"/>
        <v>6108.5</v>
      </c>
      <c r="R30" s="14">
        <v>80</v>
      </c>
      <c r="X30">
        <f t="shared" si="2"/>
        <v>6055.75</v>
      </c>
    </row>
    <row r="31" spans="1:24" x14ac:dyDescent="0.25">
      <c r="A31" s="12">
        <v>13</v>
      </c>
      <c r="B31" s="13" t="s">
        <v>293</v>
      </c>
      <c r="C31" s="13">
        <f>$X$22</f>
        <v>2329.75</v>
      </c>
      <c r="D31" s="16">
        <v>20</v>
      </c>
      <c r="E31" s="13">
        <f>COLUMN(CC6)</f>
        <v>81</v>
      </c>
      <c r="F31" s="13">
        <f>COLUMN(CD6)</f>
        <v>82</v>
      </c>
      <c r="G31" s="13"/>
      <c r="H31" s="13"/>
      <c r="I31" s="13"/>
      <c r="J31" s="13"/>
      <c r="K31" s="13"/>
      <c r="L31" s="14"/>
      <c r="N31" s="12">
        <v>13</v>
      </c>
      <c r="O31" s="13">
        <v>15</v>
      </c>
      <c r="P31" s="13" t="s">
        <v>138</v>
      </c>
      <c r="Q31" s="13">
        <f t="shared" si="1"/>
        <v>6574.5</v>
      </c>
      <c r="R31" s="14">
        <v>80</v>
      </c>
      <c r="X31">
        <f t="shared" si="2"/>
        <v>6521.5</v>
      </c>
    </row>
    <row r="32" spans="1:24" x14ac:dyDescent="0.25">
      <c r="A32" s="12">
        <v>14</v>
      </c>
      <c r="B32" s="13" t="s">
        <v>294</v>
      </c>
      <c r="C32" s="13">
        <f>$X$22</f>
        <v>2329.75</v>
      </c>
      <c r="D32" s="16">
        <f>D31+180</f>
        <v>200</v>
      </c>
      <c r="E32" s="13">
        <f>COLUMN(CE7)</f>
        <v>83</v>
      </c>
      <c r="F32" s="13">
        <f>COLUMN(CF7)</f>
        <v>84</v>
      </c>
      <c r="G32" s="13"/>
      <c r="H32" s="13"/>
      <c r="I32" s="13"/>
      <c r="J32" s="13"/>
      <c r="K32" s="13"/>
      <c r="L32" s="14"/>
      <c r="N32" s="12">
        <v>14</v>
      </c>
      <c r="O32" s="13">
        <v>16</v>
      </c>
      <c r="P32" s="13" t="s">
        <v>268</v>
      </c>
      <c r="Q32" s="13">
        <f t="shared" si="1"/>
        <v>7040.5</v>
      </c>
      <c r="R32" s="14">
        <v>80</v>
      </c>
      <c r="X32">
        <f t="shared" si="2"/>
        <v>6987.25</v>
      </c>
    </row>
    <row r="33" spans="1:24" x14ac:dyDescent="0.25">
      <c r="A33" s="12">
        <v>15</v>
      </c>
      <c r="B33" s="13" t="s">
        <v>292</v>
      </c>
      <c r="C33" s="13">
        <f>$X$22</f>
        <v>2329.75</v>
      </c>
      <c r="D33" s="16">
        <f>D32+180</f>
        <v>380</v>
      </c>
      <c r="E33" s="13">
        <f>COLUMN(DP8)</f>
        <v>120</v>
      </c>
      <c r="F33" s="13">
        <f>COLUMN(DQ8)</f>
        <v>121</v>
      </c>
      <c r="G33" s="13">
        <f>COLUMN(DR8)</f>
        <v>122</v>
      </c>
      <c r="H33" s="13">
        <f>COLUMN(DS8)</f>
        <v>123</v>
      </c>
      <c r="I33" s="13"/>
      <c r="J33" s="13"/>
      <c r="K33" s="13"/>
      <c r="L33" s="14"/>
      <c r="N33" s="12">
        <v>15</v>
      </c>
      <c r="O33" s="13">
        <v>17</v>
      </c>
      <c r="P33" s="23" t="s">
        <v>398</v>
      </c>
      <c r="Q33" s="13">
        <f t="shared" si="1"/>
        <v>7506.5</v>
      </c>
      <c r="R33" s="24">
        <v>80</v>
      </c>
      <c r="X33">
        <f t="shared" si="2"/>
        <v>7453</v>
      </c>
    </row>
    <row r="34" spans="1:24" x14ac:dyDescent="0.25">
      <c r="A34" s="12">
        <v>16</v>
      </c>
      <c r="B34" s="13" t="s">
        <v>295</v>
      </c>
      <c r="C34" s="13">
        <f>$X$22</f>
        <v>2329.75</v>
      </c>
      <c r="D34" s="16">
        <f>D33+180</f>
        <v>560</v>
      </c>
      <c r="E34" s="13">
        <f>COLUMN(DL9)</f>
        <v>116</v>
      </c>
      <c r="F34" s="13">
        <f>COLUMN(DM9)</f>
        <v>117</v>
      </c>
      <c r="G34" s="13">
        <f>COLUMN(DN9)</f>
        <v>118</v>
      </c>
      <c r="H34" s="13">
        <f>COLUMN(DO9)</f>
        <v>119</v>
      </c>
      <c r="I34" s="13"/>
      <c r="J34" s="13"/>
      <c r="K34" s="13"/>
      <c r="L34" s="14"/>
      <c r="N34" s="12">
        <v>16</v>
      </c>
      <c r="O34" s="13">
        <v>18</v>
      </c>
      <c r="P34" s="13" t="s">
        <v>95</v>
      </c>
      <c r="Q34" s="13">
        <f t="shared" si="1"/>
        <v>7972.5</v>
      </c>
      <c r="R34" s="14">
        <v>80</v>
      </c>
      <c r="X34">
        <f t="shared" si="2"/>
        <v>7918.75</v>
      </c>
    </row>
    <row r="35" spans="1:24" x14ac:dyDescent="0.25">
      <c r="A35" s="15">
        <v>17</v>
      </c>
      <c r="B35" s="16" t="s">
        <v>296</v>
      </c>
      <c r="C35" s="16">
        <f>$X$23</f>
        <v>2795.5</v>
      </c>
      <c r="D35" s="16">
        <v>20</v>
      </c>
      <c r="E35" s="13">
        <f>COLUMN(HW10)</f>
        <v>231</v>
      </c>
      <c r="F35" s="13">
        <f>COLUMN(HX10)</f>
        <v>232</v>
      </c>
      <c r="G35" s="13"/>
      <c r="H35" s="13"/>
      <c r="I35" s="13"/>
      <c r="J35" s="13"/>
      <c r="K35" s="13"/>
      <c r="L35" s="14"/>
      <c r="N35" s="12">
        <v>17</v>
      </c>
      <c r="O35" s="13">
        <v>19</v>
      </c>
      <c r="P35" s="13" t="s">
        <v>139</v>
      </c>
      <c r="Q35" s="13">
        <f t="shared" si="1"/>
        <v>8438.5</v>
      </c>
      <c r="R35" s="14">
        <v>80</v>
      </c>
      <c r="X35">
        <f t="shared" si="2"/>
        <v>8384.5</v>
      </c>
    </row>
    <row r="36" spans="1:24" x14ac:dyDescent="0.25">
      <c r="A36" s="15">
        <v>18</v>
      </c>
      <c r="B36" s="16" t="s">
        <v>297</v>
      </c>
      <c r="C36" s="16">
        <f>$X$23</f>
        <v>2795.5</v>
      </c>
      <c r="D36" s="16">
        <v>200</v>
      </c>
      <c r="E36" s="13">
        <f>COLUMN(HY11)</f>
        <v>233</v>
      </c>
      <c r="F36" s="13">
        <f>COLUMN(HZ11)</f>
        <v>234</v>
      </c>
      <c r="G36" s="13"/>
      <c r="H36" s="13"/>
      <c r="I36" s="13"/>
      <c r="J36" s="13"/>
      <c r="K36" s="13"/>
      <c r="L36" s="14"/>
      <c r="N36" s="12">
        <v>18</v>
      </c>
      <c r="O36" s="13">
        <v>20</v>
      </c>
      <c r="P36" s="13" t="s">
        <v>269</v>
      </c>
      <c r="Q36" s="13">
        <f t="shared" si="1"/>
        <v>8904.5</v>
      </c>
      <c r="R36" s="14">
        <v>80</v>
      </c>
      <c r="X36">
        <f t="shared" si="2"/>
        <v>8850.25</v>
      </c>
    </row>
    <row r="37" spans="1:24" ht="15.75" thickBot="1" x14ac:dyDescent="0.3">
      <c r="A37" s="12">
        <v>19</v>
      </c>
      <c r="B37" s="13" t="s">
        <v>298</v>
      </c>
      <c r="C37" s="20">
        <f>$X$24</f>
        <v>3261.25</v>
      </c>
      <c r="D37" s="16">
        <v>20</v>
      </c>
      <c r="E37" s="13">
        <f>COLUMN(AL12)</f>
        <v>38</v>
      </c>
      <c r="F37" s="13">
        <f>COLUMN(AM12)</f>
        <v>39</v>
      </c>
      <c r="G37" s="13">
        <f>COLUMN(AN12)</f>
        <v>40</v>
      </c>
      <c r="H37" s="13">
        <f>COLUMN(AO12)</f>
        <v>41</v>
      </c>
      <c r="I37" s="13"/>
      <c r="J37" s="13"/>
      <c r="K37" s="13"/>
      <c r="L37" s="14"/>
      <c r="N37" s="17">
        <v>19</v>
      </c>
      <c r="O37" s="18">
        <v>21</v>
      </c>
      <c r="P37" s="18" t="s">
        <v>270</v>
      </c>
      <c r="Q37" s="18">
        <f t="shared" si="1"/>
        <v>9370.5</v>
      </c>
      <c r="R37" s="19">
        <v>80</v>
      </c>
      <c r="X37">
        <f t="shared" si="2"/>
        <v>9316</v>
      </c>
    </row>
    <row r="38" spans="1:24" ht="15.75" thickBot="1" x14ac:dyDescent="0.3">
      <c r="A38" s="12">
        <v>20</v>
      </c>
      <c r="B38" s="13" t="s">
        <v>299</v>
      </c>
      <c r="C38" s="20">
        <f>$X$24</f>
        <v>3261.25</v>
      </c>
      <c r="D38" s="16">
        <f>D37+180</f>
        <v>200</v>
      </c>
      <c r="E38" s="13">
        <f>COLUMN(BU13)</f>
        <v>73</v>
      </c>
      <c r="F38" s="13">
        <f>COLUMN(BV13)</f>
        <v>74</v>
      </c>
      <c r="G38" s="13">
        <f>COLUMN(BW13)</f>
        <v>75</v>
      </c>
      <c r="H38" s="13">
        <f>COLUMN(BX13)</f>
        <v>76</v>
      </c>
      <c r="I38" s="13"/>
      <c r="J38" s="13"/>
      <c r="K38" s="13"/>
      <c r="L38" s="14"/>
      <c r="T38" s="23"/>
      <c r="U38" s="23"/>
    </row>
    <row r="39" spans="1:24" x14ac:dyDescent="0.25">
      <c r="A39" s="12">
        <v>21</v>
      </c>
      <c r="B39" s="13" t="s">
        <v>300</v>
      </c>
      <c r="C39" s="20">
        <f>$X$24</f>
        <v>3261.25</v>
      </c>
      <c r="D39" s="16">
        <f>D38+180</f>
        <v>380</v>
      </c>
      <c r="E39" s="13">
        <f>COLUMN(CA14)</f>
        <v>79</v>
      </c>
      <c r="F39" s="13">
        <f>COLUMN(CB14)</f>
        <v>80</v>
      </c>
      <c r="G39" s="13"/>
      <c r="H39" s="13"/>
      <c r="I39" s="13"/>
      <c r="J39" s="13"/>
      <c r="K39" s="13"/>
      <c r="L39" s="14"/>
      <c r="N39" s="9" t="s">
        <v>354</v>
      </c>
      <c r="O39" s="10"/>
      <c r="P39" s="10"/>
      <c r="Q39" s="10"/>
      <c r="R39" s="10"/>
      <c r="S39" s="11"/>
    </row>
    <row r="40" spans="1:24" ht="15.75" thickBot="1" x14ac:dyDescent="0.3">
      <c r="A40" s="15">
        <v>22</v>
      </c>
      <c r="B40" s="16" t="s">
        <v>301</v>
      </c>
      <c r="C40" s="21">
        <f>$X$25</f>
        <v>3727</v>
      </c>
      <c r="D40" s="16">
        <v>20</v>
      </c>
      <c r="E40" s="13">
        <f>COLUMN(DF15)</f>
        <v>110</v>
      </c>
      <c r="F40" s="13"/>
      <c r="G40" s="13"/>
      <c r="H40" s="13"/>
      <c r="I40" s="13"/>
      <c r="J40" s="13"/>
      <c r="K40" s="13"/>
      <c r="L40" s="14"/>
      <c r="N40" s="17" t="s">
        <v>276</v>
      </c>
      <c r="O40" s="18" t="s">
        <v>277</v>
      </c>
      <c r="P40" s="18" t="s">
        <v>353</v>
      </c>
      <c r="Q40" s="18" t="s">
        <v>279</v>
      </c>
      <c r="R40" s="25" t="s">
        <v>366</v>
      </c>
      <c r="S40" s="26" t="s">
        <v>367</v>
      </c>
    </row>
    <row r="41" spans="1:24" x14ac:dyDescent="0.25">
      <c r="A41" s="15">
        <v>23</v>
      </c>
      <c r="B41" s="16" t="s">
        <v>302</v>
      </c>
      <c r="C41" s="21">
        <f>$X$25</f>
        <v>3727</v>
      </c>
      <c r="D41" s="16">
        <f>D40+180</f>
        <v>200</v>
      </c>
      <c r="E41" s="13">
        <f>COLUMN(DG16)</f>
        <v>111</v>
      </c>
      <c r="F41" s="13">
        <f>COLUMN(DH16)</f>
        <v>112</v>
      </c>
      <c r="G41" s="13">
        <f>COLUMN(DI16)</f>
        <v>113</v>
      </c>
      <c r="H41" s="13"/>
      <c r="I41" s="13"/>
      <c r="J41" s="13"/>
      <c r="K41" s="13"/>
      <c r="L41" s="14"/>
      <c r="N41" s="12">
        <v>1</v>
      </c>
      <c r="O41" s="13" t="s">
        <v>355</v>
      </c>
      <c r="P41" s="13">
        <v>0</v>
      </c>
      <c r="Q41" s="13">
        <v>0</v>
      </c>
      <c r="R41" s="23">
        <v>2</v>
      </c>
      <c r="S41" s="24">
        <v>3</v>
      </c>
    </row>
    <row r="42" spans="1:24" x14ac:dyDescent="0.25">
      <c r="A42" s="15">
        <v>24</v>
      </c>
      <c r="B42" s="16" t="s">
        <v>303</v>
      </c>
      <c r="C42" s="21">
        <f>$X$25</f>
        <v>3727</v>
      </c>
      <c r="D42" s="16">
        <f>D41+180</f>
        <v>380</v>
      </c>
      <c r="E42" s="13">
        <f>COLUMN(DJ17)</f>
        <v>114</v>
      </c>
      <c r="F42" s="13">
        <f>COLUMN(DK17)</f>
        <v>115</v>
      </c>
      <c r="G42" s="13"/>
      <c r="H42" s="13"/>
      <c r="I42" s="13"/>
      <c r="J42" s="13"/>
      <c r="K42" s="13"/>
      <c r="L42" s="14"/>
      <c r="N42" s="12">
        <v>2</v>
      </c>
      <c r="O42" s="13" t="s">
        <v>356</v>
      </c>
      <c r="P42" s="13">
        <v>0</v>
      </c>
      <c r="Q42" s="13">
        <v>240</v>
      </c>
      <c r="R42" s="23">
        <v>2</v>
      </c>
      <c r="S42" s="24">
        <v>4</v>
      </c>
    </row>
    <row r="43" spans="1:24" x14ac:dyDescent="0.25">
      <c r="A43" s="12">
        <v>25</v>
      </c>
      <c r="B43" s="13" t="s">
        <v>304</v>
      </c>
      <c r="C43" s="20">
        <f>$X$26</f>
        <v>4192.75</v>
      </c>
      <c r="D43" s="16">
        <v>20</v>
      </c>
      <c r="E43" s="13">
        <f>COLUMN(DT18)</f>
        <v>124</v>
      </c>
      <c r="F43" s="13">
        <f>COLUMN(DU18)</f>
        <v>125</v>
      </c>
      <c r="G43" s="13">
        <f>COLUMN(DV18)</f>
        <v>126</v>
      </c>
      <c r="H43" s="13">
        <f>COLUMN(DW18)</f>
        <v>127</v>
      </c>
      <c r="I43" s="13"/>
      <c r="J43" s="13"/>
      <c r="K43" s="13"/>
      <c r="L43" s="14"/>
      <c r="N43" s="12">
        <v>3</v>
      </c>
      <c r="O43" s="13" t="s">
        <v>357</v>
      </c>
      <c r="P43" s="13">
        <v>0</v>
      </c>
      <c r="Q43" s="13">
        <v>480</v>
      </c>
      <c r="R43" s="23">
        <v>2</v>
      </c>
      <c r="S43" s="24">
        <v>5</v>
      </c>
    </row>
    <row r="44" spans="1:24" x14ac:dyDescent="0.25">
      <c r="A44" s="12">
        <v>26</v>
      </c>
      <c r="B44" s="13" t="s">
        <v>305</v>
      </c>
      <c r="C44" s="20">
        <f>$X$26</f>
        <v>4192.75</v>
      </c>
      <c r="D44" s="16">
        <f>D43+180</f>
        <v>200</v>
      </c>
      <c r="E44" s="13">
        <f>COLUMN(DX19)</f>
        <v>128</v>
      </c>
      <c r="F44" s="13">
        <f>COLUMN(DY19)</f>
        <v>129</v>
      </c>
      <c r="G44" s="13">
        <f>COLUMN(DZ19)</f>
        <v>130</v>
      </c>
      <c r="H44" s="13">
        <f>COLUMN(EA19)</f>
        <v>131</v>
      </c>
      <c r="I44" s="13"/>
      <c r="J44" s="13"/>
      <c r="K44" s="13"/>
      <c r="L44" s="14"/>
      <c r="N44" s="12">
        <v>4</v>
      </c>
      <c r="O44" s="13" t="s">
        <v>371</v>
      </c>
      <c r="P44" s="13">
        <v>466.25</v>
      </c>
      <c r="Q44" s="13">
        <v>0</v>
      </c>
      <c r="R44" s="23">
        <v>2</v>
      </c>
      <c r="S44" s="24">
        <v>6</v>
      </c>
    </row>
    <row r="45" spans="1:24" x14ac:dyDescent="0.25">
      <c r="A45" s="12">
        <v>27</v>
      </c>
      <c r="B45" s="13" t="s">
        <v>306</v>
      </c>
      <c r="C45" s="20">
        <f>$X$26</f>
        <v>4192.75</v>
      </c>
      <c r="D45" s="16">
        <f>D44+180</f>
        <v>380</v>
      </c>
      <c r="E45" s="13">
        <f>COLUMN(EB20)</f>
        <v>132</v>
      </c>
      <c r="F45" s="13">
        <f>COLUMN(EC20)</f>
        <v>133</v>
      </c>
      <c r="G45" s="13">
        <f>COLUMN(ED20)</f>
        <v>134</v>
      </c>
      <c r="H45" s="13">
        <f>COLUMN(EE20)</f>
        <v>135</v>
      </c>
      <c r="I45" s="13"/>
      <c r="J45" s="13"/>
      <c r="K45" s="13"/>
      <c r="L45" s="14"/>
      <c r="N45" s="12">
        <v>5</v>
      </c>
      <c r="O45" s="13" t="s">
        <v>372</v>
      </c>
      <c r="P45" s="13">
        <v>466.25</v>
      </c>
      <c r="Q45" s="13">
        <v>240</v>
      </c>
      <c r="R45" s="23">
        <v>5</v>
      </c>
      <c r="S45" s="24">
        <v>3</v>
      </c>
    </row>
    <row r="46" spans="1:24" ht="15.75" thickBot="1" x14ac:dyDescent="0.3">
      <c r="A46" s="12">
        <v>28</v>
      </c>
      <c r="B46" s="13" t="s">
        <v>307</v>
      </c>
      <c r="C46" s="20">
        <f>$X$26</f>
        <v>4192.75</v>
      </c>
      <c r="D46" s="16">
        <f>D45+180</f>
        <v>560</v>
      </c>
      <c r="E46" s="13">
        <f>COLUMN(EF21)</f>
        <v>136</v>
      </c>
      <c r="F46" s="13">
        <f>COLUMN(EG21)</f>
        <v>137</v>
      </c>
      <c r="G46" s="13">
        <f>COLUMN(EH21)</f>
        <v>138</v>
      </c>
      <c r="H46" s="13">
        <f>COLUMN(EI21)</f>
        <v>139</v>
      </c>
      <c r="I46" s="13"/>
      <c r="J46" s="13"/>
      <c r="K46" s="13"/>
      <c r="L46" s="14"/>
      <c r="N46" s="17">
        <v>6</v>
      </c>
      <c r="O46" s="18" t="s">
        <v>358</v>
      </c>
      <c r="P46" s="18">
        <v>466.25</v>
      </c>
      <c r="Q46" s="18">
        <v>480</v>
      </c>
      <c r="R46" s="25">
        <v>5</v>
      </c>
      <c r="S46" s="26">
        <v>7</v>
      </c>
    </row>
    <row r="47" spans="1:24" ht="15.75" thickBot="1" x14ac:dyDescent="0.3">
      <c r="A47" s="15">
        <v>29</v>
      </c>
      <c r="B47" s="16" t="s">
        <v>308</v>
      </c>
      <c r="C47" s="16">
        <f>$X$27</f>
        <v>4658.5</v>
      </c>
      <c r="D47" s="16">
        <v>20</v>
      </c>
      <c r="E47" s="13">
        <f>COLUMN(AD22)</f>
        <v>30</v>
      </c>
      <c r="F47" s="13">
        <f>COLUMN(AE22)</f>
        <v>31</v>
      </c>
      <c r="G47" s="13">
        <f>COLUMN(AF22)</f>
        <v>32</v>
      </c>
      <c r="H47" s="13">
        <f>COLUMN(AG22)</f>
        <v>33</v>
      </c>
      <c r="I47" s="13"/>
      <c r="J47" s="13"/>
      <c r="K47" s="13"/>
      <c r="L47" s="14"/>
    </row>
    <row r="48" spans="1:24" x14ac:dyDescent="0.25">
      <c r="A48" s="15">
        <v>30</v>
      </c>
      <c r="B48" s="16" t="s">
        <v>312</v>
      </c>
      <c r="C48" s="16">
        <f>$X$27</f>
        <v>4658.5</v>
      </c>
      <c r="D48" s="16">
        <f>D47+180</f>
        <v>200</v>
      </c>
      <c r="E48" s="13">
        <f>COLUMN(AH23)</f>
        <v>34</v>
      </c>
      <c r="F48" s="13">
        <f>COLUMN(AI23)</f>
        <v>35</v>
      </c>
      <c r="G48" s="13">
        <f>COLUMN(AJ23)</f>
        <v>36</v>
      </c>
      <c r="H48" s="13">
        <f>COLUMN(AK23)</f>
        <v>37</v>
      </c>
      <c r="I48" s="13"/>
      <c r="J48" s="13"/>
      <c r="K48" s="13"/>
      <c r="L48" s="14"/>
      <c r="N48" s="9" t="s">
        <v>360</v>
      </c>
      <c r="O48" s="11"/>
    </row>
    <row r="49" spans="1:15" ht="15.75" thickBot="1" x14ac:dyDescent="0.3">
      <c r="A49" s="15">
        <v>31</v>
      </c>
      <c r="B49" s="16" t="s">
        <v>311</v>
      </c>
      <c r="C49" s="16">
        <f>$X$27</f>
        <v>4658.5</v>
      </c>
      <c r="D49" s="16">
        <f>D48+180</f>
        <v>380</v>
      </c>
      <c r="E49" s="13">
        <f>COLUMN(FC24)</f>
        <v>159</v>
      </c>
      <c r="F49" s="13">
        <f>COLUMN(FD24)</f>
        <v>160</v>
      </c>
      <c r="G49" s="13">
        <f>COLUMN(FE24)</f>
        <v>161</v>
      </c>
      <c r="H49" s="13">
        <f>COLUMN(FF24)</f>
        <v>162</v>
      </c>
      <c r="I49" s="13"/>
      <c r="J49" s="13"/>
      <c r="K49" s="13"/>
      <c r="L49" s="14"/>
      <c r="N49" s="17" t="s">
        <v>276</v>
      </c>
      <c r="O49" s="19"/>
    </row>
    <row r="50" spans="1:15" x14ac:dyDescent="0.25">
      <c r="A50" s="15">
        <v>32</v>
      </c>
      <c r="B50" s="16" t="s">
        <v>309</v>
      </c>
      <c r="C50" s="16">
        <f>$X$27</f>
        <v>4658.5</v>
      </c>
      <c r="D50" s="16">
        <f>D49+180</f>
        <v>560</v>
      </c>
      <c r="E50" s="13">
        <f>COLUMN(CL25)</f>
        <v>90</v>
      </c>
      <c r="F50" s="13">
        <f>COLUMN(CM25)</f>
        <v>91</v>
      </c>
      <c r="G50" s="13">
        <f>COLUMN(CN25)</f>
        <v>92</v>
      </c>
      <c r="H50" s="13">
        <f>COLUMN(CO25)</f>
        <v>93</v>
      </c>
      <c r="I50" s="13"/>
      <c r="J50" s="13"/>
      <c r="K50" s="13"/>
      <c r="L50" s="14"/>
      <c r="N50" s="12">
        <v>1</v>
      </c>
      <c r="O50" s="14" t="s">
        <v>411</v>
      </c>
    </row>
    <row r="51" spans="1:15" x14ac:dyDescent="0.25">
      <c r="A51" s="12">
        <v>33</v>
      </c>
      <c r="B51" s="13" t="s">
        <v>310</v>
      </c>
      <c r="C51" s="20">
        <f>$X$28</f>
        <v>5124.25</v>
      </c>
      <c r="D51" s="16">
        <v>20</v>
      </c>
      <c r="E51" s="13">
        <f>COLUMN(V26)</f>
        <v>22</v>
      </c>
      <c r="F51" s="13">
        <f>COLUMN(W26)</f>
        <v>23</v>
      </c>
      <c r="G51" s="13">
        <f>COLUMN(X26)</f>
        <v>24</v>
      </c>
      <c r="H51" s="13">
        <f>COLUMN(Y26)</f>
        <v>25</v>
      </c>
      <c r="I51" s="13"/>
      <c r="J51" s="13"/>
      <c r="K51" s="13"/>
      <c r="L51" s="14"/>
      <c r="N51" s="12">
        <v>2</v>
      </c>
      <c r="O51" s="14" t="s">
        <v>412</v>
      </c>
    </row>
    <row r="52" spans="1:15" ht="15.75" thickBot="1" x14ac:dyDescent="0.3">
      <c r="A52" s="12">
        <v>34</v>
      </c>
      <c r="B52" s="13" t="s">
        <v>313</v>
      </c>
      <c r="C52" s="20">
        <f>$X$28</f>
        <v>5124.25</v>
      </c>
      <c r="D52" s="16">
        <f>D51+180</f>
        <v>200</v>
      </c>
      <c r="E52" s="13">
        <f>COLUMN(Z27)</f>
        <v>26</v>
      </c>
      <c r="F52" s="13">
        <f>COLUMN(AA27)</f>
        <v>27</v>
      </c>
      <c r="G52" s="13">
        <f>COLUMN(AB27)</f>
        <v>28</v>
      </c>
      <c r="H52" s="13">
        <f>COLUMN(AC27)</f>
        <v>29</v>
      </c>
      <c r="I52" s="13"/>
      <c r="J52" s="13"/>
      <c r="K52" s="13"/>
      <c r="L52" s="14"/>
      <c r="N52" s="17">
        <v>3</v>
      </c>
      <c r="O52" s="19" t="s">
        <v>413</v>
      </c>
    </row>
    <row r="53" spans="1:15" x14ac:dyDescent="0.25">
      <c r="A53" s="12">
        <v>35</v>
      </c>
      <c r="B53" s="13" t="s">
        <v>314</v>
      </c>
      <c r="C53" s="20">
        <f>$X$28</f>
        <v>5124.25</v>
      </c>
      <c r="D53" s="16">
        <f>D52+180</f>
        <v>380</v>
      </c>
      <c r="E53" s="13">
        <f>COLUMN(T28)</f>
        <v>20</v>
      </c>
      <c r="F53" s="13">
        <f>COLUMN(U28)</f>
        <v>21</v>
      </c>
      <c r="G53" s="13"/>
      <c r="H53" s="13"/>
      <c r="I53" s="13"/>
      <c r="J53" s="13"/>
      <c r="K53" s="13"/>
      <c r="L53" s="14"/>
    </row>
    <row r="54" spans="1:15" x14ac:dyDescent="0.25">
      <c r="A54" s="12">
        <v>36</v>
      </c>
      <c r="B54" s="13" t="s">
        <v>315</v>
      </c>
      <c r="C54" s="20">
        <f>$X$28</f>
        <v>5124.25</v>
      </c>
      <c r="D54" s="16">
        <f>D53+180</f>
        <v>560</v>
      </c>
      <c r="E54" s="13">
        <f>COLUMN(BN29)</f>
        <v>66</v>
      </c>
      <c r="F54" s="13">
        <f>COLUMN(BO29)</f>
        <v>67</v>
      </c>
      <c r="G54" s="13">
        <f>COLUMN(BP29)</f>
        <v>68</v>
      </c>
      <c r="H54" s="13">
        <f>COLUMN(BQ29)</f>
        <v>69</v>
      </c>
      <c r="I54" s="13">
        <f>COLUMN(CP29)</f>
        <v>94</v>
      </c>
      <c r="J54" s="13">
        <f>COLUMN(CQ29)</f>
        <v>95</v>
      </c>
      <c r="K54" s="13">
        <f>COLUMN(CR29)</f>
        <v>96</v>
      </c>
      <c r="L54" s="14">
        <f>COLUMN(CS29)</f>
        <v>97</v>
      </c>
    </row>
    <row r="55" spans="1:15" x14ac:dyDescent="0.25">
      <c r="A55" s="15">
        <v>37</v>
      </c>
      <c r="B55" s="51" t="s">
        <v>401</v>
      </c>
      <c r="C55" s="16">
        <f>$X$29</f>
        <v>5590</v>
      </c>
      <c r="D55" s="16">
        <v>20</v>
      </c>
      <c r="E55" s="13">
        <v>251</v>
      </c>
      <c r="F55" s="51">
        <v>252</v>
      </c>
      <c r="G55" s="13"/>
      <c r="H55" s="13"/>
      <c r="I55" s="13"/>
      <c r="J55" s="13"/>
      <c r="K55" s="13"/>
      <c r="L55" s="14"/>
    </row>
    <row r="56" spans="1:15" x14ac:dyDescent="0.25">
      <c r="A56" s="15">
        <v>38</v>
      </c>
      <c r="B56" s="51" t="s">
        <v>402</v>
      </c>
      <c r="C56" s="16">
        <f>$X$29</f>
        <v>5590</v>
      </c>
      <c r="D56" s="16">
        <f>D55+180</f>
        <v>200</v>
      </c>
      <c r="E56" s="13">
        <v>253</v>
      </c>
      <c r="F56" s="13">
        <v>254</v>
      </c>
      <c r="G56" s="13"/>
      <c r="H56" s="13"/>
      <c r="I56" s="13"/>
      <c r="J56" s="13"/>
      <c r="K56" s="13"/>
      <c r="L56" s="14"/>
    </row>
    <row r="57" spans="1:15" x14ac:dyDescent="0.25">
      <c r="A57" s="12">
        <v>39</v>
      </c>
      <c r="B57" s="47" t="s">
        <v>316</v>
      </c>
      <c r="C57" s="48">
        <f>$X$30</f>
        <v>6055.75</v>
      </c>
      <c r="D57" s="47">
        <v>20</v>
      </c>
      <c r="E57" s="47">
        <f>COLUMN(AV30)</f>
        <v>48</v>
      </c>
      <c r="F57" s="13">
        <f>COLUMN(AW30)</f>
        <v>49</v>
      </c>
      <c r="G57" s="13">
        <f>COLUMN(FS30)</f>
        <v>175</v>
      </c>
      <c r="H57" s="13">
        <f>COLUMN(FT30)</f>
        <v>176</v>
      </c>
      <c r="I57" s="13"/>
      <c r="J57" s="13"/>
      <c r="K57" s="13"/>
      <c r="L57" s="14"/>
    </row>
    <row r="58" spans="1:15" x14ac:dyDescent="0.25">
      <c r="A58" s="12">
        <v>40</v>
      </c>
      <c r="B58" s="47" t="s">
        <v>317</v>
      </c>
      <c r="C58" s="48">
        <f>$X$30</f>
        <v>6055.75</v>
      </c>
      <c r="D58" s="47">
        <f>D57+180</f>
        <v>200</v>
      </c>
      <c r="E58" s="47">
        <f>COLUMN(AT31)</f>
        <v>46</v>
      </c>
      <c r="F58" s="13">
        <f>COLUMN(FL31)</f>
        <v>168</v>
      </c>
      <c r="G58" s="13">
        <f>COLUMN(AU31)</f>
        <v>47</v>
      </c>
      <c r="H58" s="13">
        <f>COLUMN(EK31)</f>
        <v>141</v>
      </c>
      <c r="I58" s="13">
        <v>237</v>
      </c>
      <c r="J58" s="13">
        <v>237</v>
      </c>
      <c r="K58" s="13"/>
      <c r="L58" s="14"/>
    </row>
    <row r="59" spans="1:15" x14ac:dyDescent="0.25">
      <c r="A59" s="12">
        <v>41</v>
      </c>
      <c r="B59" s="47" t="s">
        <v>318</v>
      </c>
      <c r="C59" s="48">
        <f>$X$30</f>
        <v>6055.75</v>
      </c>
      <c r="D59" s="47">
        <f>D58+180</f>
        <v>380</v>
      </c>
      <c r="E59" s="47">
        <f>COLUMN(CU32)</f>
        <v>99</v>
      </c>
      <c r="F59" s="13">
        <f t="shared" ref="F59:L59" si="3">COLUMN(CV32)</f>
        <v>100</v>
      </c>
      <c r="G59" s="13">
        <f t="shared" si="3"/>
        <v>101</v>
      </c>
      <c r="H59" s="13">
        <f t="shared" si="3"/>
        <v>102</v>
      </c>
      <c r="I59" s="13">
        <f t="shared" si="3"/>
        <v>103</v>
      </c>
      <c r="J59" s="13">
        <f t="shared" si="3"/>
        <v>104</v>
      </c>
      <c r="K59" s="13">
        <f t="shared" si="3"/>
        <v>105</v>
      </c>
      <c r="L59" s="14">
        <f t="shared" si="3"/>
        <v>106</v>
      </c>
    </row>
    <row r="60" spans="1:15" x14ac:dyDescent="0.25">
      <c r="A60" s="12">
        <v>42</v>
      </c>
      <c r="B60" s="47" t="s">
        <v>319</v>
      </c>
      <c r="C60" s="48">
        <f>$X$30</f>
        <v>6055.75</v>
      </c>
      <c r="D60" s="47">
        <f>D59+180</f>
        <v>560</v>
      </c>
      <c r="E60" s="47">
        <f>COLUMN(AZ33)</f>
        <v>52</v>
      </c>
      <c r="F60" s="13">
        <f>COLUMN(FO33)</f>
        <v>171</v>
      </c>
      <c r="G60" s="13">
        <f>COLUMN(BA33)</f>
        <v>53</v>
      </c>
      <c r="H60" s="13">
        <f>COLUMN(BB33)</f>
        <v>54</v>
      </c>
      <c r="I60" s="13">
        <v>238</v>
      </c>
      <c r="J60" s="13">
        <v>239</v>
      </c>
      <c r="K60" s="13"/>
      <c r="L60" s="14"/>
    </row>
    <row r="61" spans="1:15" x14ac:dyDescent="0.25">
      <c r="A61" s="15">
        <v>43</v>
      </c>
      <c r="B61" s="16" t="s">
        <v>320</v>
      </c>
      <c r="C61" s="22">
        <f>$X$31</f>
        <v>6521.5</v>
      </c>
      <c r="D61" s="16">
        <v>20</v>
      </c>
      <c r="E61" s="13">
        <f>COLUMN(EL34)</f>
        <v>142</v>
      </c>
      <c r="F61" s="13">
        <f>COLUMN(EM34)</f>
        <v>143</v>
      </c>
      <c r="G61" s="13">
        <f>COLUMN(FM34)</f>
        <v>169</v>
      </c>
      <c r="H61" s="13">
        <f>COLUMN(FN34)</f>
        <v>170</v>
      </c>
      <c r="I61" s="13">
        <f>COLUMN(HV34)</f>
        <v>230</v>
      </c>
      <c r="J61" s="13"/>
      <c r="K61" s="13"/>
      <c r="L61" s="14"/>
    </row>
    <row r="62" spans="1:15" x14ac:dyDescent="0.25">
      <c r="A62" s="15">
        <v>44</v>
      </c>
      <c r="B62" s="16" t="s">
        <v>321</v>
      </c>
      <c r="C62" s="22">
        <f>$X$31</f>
        <v>6521.5</v>
      </c>
      <c r="D62" s="16">
        <f>D61+180</f>
        <v>200</v>
      </c>
      <c r="E62" s="13">
        <f>COLUMN(FG35)</f>
        <v>163</v>
      </c>
      <c r="F62" s="13">
        <f>COLUMN(FH35)</f>
        <v>164</v>
      </c>
      <c r="G62" s="13">
        <f>COLUMN(FI35)</f>
        <v>165</v>
      </c>
      <c r="H62" s="13">
        <f>COLUMN(FJ35)</f>
        <v>166</v>
      </c>
      <c r="I62" s="13">
        <v>246</v>
      </c>
      <c r="J62" s="13">
        <v>247</v>
      </c>
      <c r="K62" s="13"/>
      <c r="L62" s="14"/>
    </row>
    <row r="63" spans="1:15" x14ac:dyDescent="0.25">
      <c r="A63" s="15">
        <v>45</v>
      </c>
      <c r="B63" s="16" t="s">
        <v>322</v>
      </c>
      <c r="C63" s="22">
        <f>$X$31</f>
        <v>6521.5</v>
      </c>
      <c r="D63" s="16">
        <f>D62+180</f>
        <v>380</v>
      </c>
      <c r="E63" s="13">
        <f>COLUMN(FK36)</f>
        <v>167</v>
      </c>
      <c r="F63" s="13">
        <f>COLUMN(FP36)</f>
        <v>172</v>
      </c>
      <c r="G63" s="13">
        <f>COLUMN(FQ36)</f>
        <v>173</v>
      </c>
      <c r="H63" s="13">
        <f>COLUMN(FR36)</f>
        <v>174</v>
      </c>
      <c r="I63" s="13"/>
      <c r="J63" s="13"/>
      <c r="K63" s="13"/>
      <c r="L63" s="14"/>
    </row>
    <row r="64" spans="1:15" x14ac:dyDescent="0.25">
      <c r="A64" s="15">
        <v>46</v>
      </c>
      <c r="B64" s="16" t="s">
        <v>323</v>
      </c>
      <c r="C64" s="22">
        <f>$X$31</f>
        <v>6521.5</v>
      </c>
      <c r="D64" s="16">
        <f>D63+180</f>
        <v>560</v>
      </c>
      <c r="E64" s="13">
        <f>COLUMN(FU37)</f>
        <v>177</v>
      </c>
      <c r="F64" s="13">
        <f>COLUMN(GF37)</f>
        <v>188</v>
      </c>
      <c r="G64" s="13"/>
      <c r="H64" s="13"/>
      <c r="I64" s="13"/>
      <c r="J64" s="13"/>
      <c r="K64" s="13"/>
      <c r="L64" s="14"/>
    </row>
    <row r="65" spans="1:12" x14ac:dyDescent="0.25">
      <c r="A65" s="12">
        <v>47</v>
      </c>
      <c r="B65" s="47" t="s">
        <v>324</v>
      </c>
      <c r="C65" s="48">
        <f>$X$32</f>
        <v>6987.25</v>
      </c>
      <c r="D65" s="47">
        <v>20</v>
      </c>
      <c r="E65" s="13">
        <f>COLUMN(FV38)</f>
        <v>178</v>
      </c>
      <c r="F65" s="13">
        <f>COLUMN(FW38)</f>
        <v>179</v>
      </c>
      <c r="G65" s="13"/>
      <c r="H65" s="13"/>
      <c r="I65" s="13"/>
      <c r="J65" s="13"/>
      <c r="K65" s="13"/>
      <c r="L65" s="14"/>
    </row>
    <row r="66" spans="1:12" x14ac:dyDescent="0.25">
      <c r="A66" s="12">
        <v>48</v>
      </c>
      <c r="B66" s="47" t="s">
        <v>325</v>
      </c>
      <c r="C66" s="48">
        <f>$X$32</f>
        <v>6987.25</v>
      </c>
      <c r="D66" s="47">
        <f>D65+180</f>
        <v>200</v>
      </c>
      <c r="E66" s="13">
        <f>COLUMN(FX39)</f>
        <v>180</v>
      </c>
      <c r="F66" s="13">
        <f>COLUMN(FY39)</f>
        <v>181</v>
      </c>
      <c r="G66" s="13">
        <f>COLUMN(FZ39)</f>
        <v>182</v>
      </c>
      <c r="H66" s="13">
        <f>COLUMN(GA39)</f>
        <v>183</v>
      </c>
      <c r="I66" s="13"/>
      <c r="J66" s="13"/>
      <c r="K66" s="13"/>
      <c r="L66" s="14"/>
    </row>
    <row r="67" spans="1:12" x14ac:dyDescent="0.25">
      <c r="A67" s="12">
        <v>49</v>
      </c>
      <c r="B67" s="47" t="s">
        <v>326</v>
      </c>
      <c r="C67" s="48">
        <f>$X$32</f>
        <v>6987.25</v>
      </c>
      <c r="D67" s="47">
        <f>D66+180</f>
        <v>380</v>
      </c>
      <c r="E67" s="13">
        <f>COLUMN(GB40)</f>
        <v>184</v>
      </c>
      <c r="F67" s="13">
        <f>COLUMN(GC40)</f>
        <v>185</v>
      </c>
      <c r="G67" s="13">
        <f>COLUMN(GD40)</f>
        <v>186</v>
      </c>
      <c r="H67" s="13">
        <f>COLUMN(GE40)</f>
        <v>187</v>
      </c>
      <c r="I67" s="13"/>
      <c r="J67" s="13"/>
      <c r="K67" s="13"/>
      <c r="L67" s="14"/>
    </row>
    <row r="68" spans="1:12" x14ac:dyDescent="0.25">
      <c r="A68" s="12">
        <v>50</v>
      </c>
      <c r="B68" s="47" t="s">
        <v>406</v>
      </c>
      <c r="C68" s="48">
        <f>$X$32</f>
        <v>6987.25</v>
      </c>
      <c r="D68" s="47">
        <f>D67+180</f>
        <v>560</v>
      </c>
      <c r="E68" s="13">
        <f>COLUMN(GG41)</f>
        <v>189</v>
      </c>
      <c r="F68" s="13">
        <f>COLUMN(GH41)</f>
        <v>190</v>
      </c>
      <c r="G68" s="13">
        <f>COLUMN(GI41)</f>
        <v>191</v>
      </c>
      <c r="H68" s="13">
        <f>COLUMN(GJ41)</f>
        <v>192</v>
      </c>
      <c r="I68" s="13"/>
      <c r="J68" s="13"/>
      <c r="K68" s="13"/>
      <c r="L68" s="14"/>
    </row>
    <row r="69" spans="1:12" x14ac:dyDescent="0.25">
      <c r="A69" s="15">
        <v>51</v>
      </c>
      <c r="B69" s="16" t="s">
        <v>396</v>
      </c>
      <c r="C69" s="16">
        <f>$X$33</f>
        <v>7453</v>
      </c>
      <c r="D69" s="16">
        <v>20</v>
      </c>
      <c r="E69" s="47">
        <v>238</v>
      </c>
      <c r="F69" s="52">
        <v>239</v>
      </c>
      <c r="G69" s="52">
        <v>244</v>
      </c>
      <c r="H69" s="52">
        <v>245</v>
      </c>
      <c r="I69" s="52">
        <v>249</v>
      </c>
      <c r="J69" s="47"/>
      <c r="K69" s="47"/>
      <c r="L69" s="53"/>
    </row>
    <row r="70" spans="1:12" x14ac:dyDescent="0.25">
      <c r="A70" s="15">
        <v>52</v>
      </c>
      <c r="B70" s="16" t="s">
        <v>397</v>
      </c>
      <c r="C70" s="16">
        <f>$X$33</f>
        <v>7453</v>
      </c>
      <c r="D70" s="16">
        <f>D69+180</f>
        <v>200</v>
      </c>
      <c r="E70" s="47">
        <v>240</v>
      </c>
      <c r="F70" s="47">
        <v>241</v>
      </c>
      <c r="G70" s="47">
        <v>242</v>
      </c>
      <c r="H70" s="52">
        <v>243</v>
      </c>
      <c r="I70" s="52">
        <v>248</v>
      </c>
      <c r="J70" s="47"/>
      <c r="K70" s="47"/>
      <c r="L70" s="53"/>
    </row>
    <row r="71" spans="1:12" x14ac:dyDescent="0.25">
      <c r="A71" s="15">
        <v>53</v>
      </c>
      <c r="B71" s="51" t="s">
        <v>400</v>
      </c>
      <c r="C71" s="16">
        <f>$X$33</f>
        <v>7453</v>
      </c>
      <c r="D71" s="4">
        <v>380</v>
      </c>
      <c r="E71" s="54">
        <v>250</v>
      </c>
      <c r="F71" s="54"/>
      <c r="G71" s="54"/>
      <c r="H71" s="54"/>
      <c r="I71" s="54"/>
      <c r="J71" s="54"/>
      <c r="K71" s="54"/>
      <c r="L71" s="54"/>
    </row>
    <row r="72" spans="1:12" x14ac:dyDescent="0.25">
      <c r="A72" s="12">
        <v>54</v>
      </c>
      <c r="B72" s="47" t="s">
        <v>327</v>
      </c>
      <c r="C72" s="48">
        <f>$X$34</f>
        <v>7918.75</v>
      </c>
      <c r="D72" s="47">
        <v>20</v>
      </c>
      <c r="E72" s="13">
        <f>COLUMN(CG42)</f>
        <v>85</v>
      </c>
      <c r="F72" s="13">
        <f>COLUMN(CH42)</f>
        <v>86</v>
      </c>
      <c r="G72" s="13">
        <f>COLUMN(GK42)</f>
        <v>193</v>
      </c>
      <c r="H72" s="13">
        <f>COLUMN(GL42)</f>
        <v>194</v>
      </c>
      <c r="I72" s="13">
        <f>COLUMN(GM42)</f>
        <v>195</v>
      </c>
      <c r="J72" s="13"/>
      <c r="K72" s="13"/>
      <c r="L72" s="14"/>
    </row>
    <row r="73" spans="1:12" x14ac:dyDescent="0.25">
      <c r="A73" s="12">
        <v>55</v>
      </c>
      <c r="B73" s="47" t="s">
        <v>328</v>
      </c>
      <c r="C73" s="48">
        <f>$X$34</f>
        <v>7918.75</v>
      </c>
      <c r="D73" s="47">
        <f>D72+180</f>
        <v>200</v>
      </c>
      <c r="E73" s="13">
        <f>COLUMN(GN43)</f>
        <v>196</v>
      </c>
      <c r="F73" s="13"/>
      <c r="G73" s="13"/>
      <c r="H73" s="13"/>
      <c r="I73" s="13"/>
      <c r="J73" s="13"/>
      <c r="K73" s="13"/>
      <c r="L73" s="14"/>
    </row>
    <row r="74" spans="1:12" x14ac:dyDescent="0.25">
      <c r="A74" s="12">
        <v>56</v>
      </c>
      <c r="B74" s="47" t="s">
        <v>329</v>
      </c>
      <c r="C74" s="48">
        <f>$X$34</f>
        <v>7918.75</v>
      </c>
      <c r="D74" s="47">
        <f>D73+180</f>
        <v>380</v>
      </c>
      <c r="E74" s="13">
        <f>COLUMN(CT44)</f>
        <v>98</v>
      </c>
      <c r="F74" s="13"/>
      <c r="G74" s="13"/>
      <c r="H74" s="13"/>
      <c r="I74" s="13"/>
      <c r="J74" s="13"/>
      <c r="K74" s="13"/>
      <c r="L74" s="14"/>
    </row>
    <row r="75" spans="1:12" x14ac:dyDescent="0.25">
      <c r="A75" s="12">
        <v>57</v>
      </c>
      <c r="B75" s="47" t="s">
        <v>330</v>
      </c>
      <c r="C75" s="48">
        <f>$X$34</f>
        <v>7918.75</v>
      </c>
      <c r="D75" s="47">
        <f>D74+180</f>
        <v>560</v>
      </c>
      <c r="E75" s="13">
        <f>COLUMN(ER45)</f>
        <v>148</v>
      </c>
      <c r="F75" s="13">
        <f>COLUMN(EQ45)</f>
        <v>147</v>
      </c>
      <c r="G75" s="13">
        <f>COLUMN(EP45)</f>
        <v>146</v>
      </c>
      <c r="H75" s="13">
        <f>COLUMN(GO45)</f>
        <v>197</v>
      </c>
      <c r="I75" s="13"/>
      <c r="J75" s="13"/>
      <c r="K75" s="13"/>
      <c r="L75" s="14"/>
    </row>
    <row r="76" spans="1:12" x14ac:dyDescent="0.25">
      <c r="A76" s="15">
        <v>58</v>
      </c>
      <c r="B76" s="16" t="s">
        <v>332</v>
      </c>
      <c r="C76" s="22">
        <f>$X$35</f>
        <v>8384.5</v>
      </c>
      <c r="D76" s="16">
        <v>20</v>
      </c>
      <c r="E76" s="13">
        <f>COLUMN(GQ46)</f>
        <v>199</v>
      </c>
      <c r="F76" s="13">
        <f>COLUMN(ES46)</f>
        <v>149</v>
      </c>
      <c r="G76" s="13">
        <f>COLUMN(GP46)</f>
        <v>198</v>
      </c>
      <c r="H76" s="13"/>
      <c r="I76" s="13"/>
      <c r="J76" s="13"/>
      <c r="K76" s="13"/>
      <c r="L76" s="14"/>
    </row>
    <row r="77" spans="1:12" x14ac:dyDescent="0.25">
      <c r="A77" s="15">
        <v>59</v>
      </c>
      <c r="B77" s="16" t="s">
        <v>333</v>
      </c>
      <c r="C77" s="22">
        <f t="shared" ref="C77:C79" si="4">$X$35</f>
        <v>8384.5</v>
      </c>
      <c r="D77" s="16">
        <f>D76+180</f>
        <v>200</v>
      </c>
      <c r="E77" s="13">
        <f>COLUMN(GS47)</f>
        <v>201</v>
      </c>
      <c r="F77" s="13">
        <f>COLUMN(ET47)</f>
        <v>150</v>
      </c>
      <c r="G77" s="13">
        <f>COLUMN(GR47)</f>
        <v>200</v>
      </c>
      <c r="H77" s="13"/>
      <c r="I77" s="13"/>
      <c r="J77" s="13"/>
      <c r="K77" s="13"/>
      <c r="L77" s="14"/>
    </row>
    <row r="78" spans="1:12" x14ac:dyDescent="0.25">
      <c r="A78" s="15">
        <v>60</v>
      </c>
      <c r="B78" s="16" t="s">
        <v>334</v>
      </c>
      <c r="C78" s="22">
        <f t="shared" si="4"/>
        <v>8384.5</v>
      </c>
      <c r="D78" s="16">
        <f>D77+180</f>
        <v>380</v>
      </c>
      <c r="E78" s="13">
        <f>COLUMN(GU48)</f>
        <v>203</v>
      </c>
      <c r="F78" s="13">
        <f>COLUMN(EU48)</f>
        <v>151</v>
      </c>
      <c r="G78" s="13">
        <f>COLUMN(GT48)</f>
        <v>202</v>
      </c>
      <c r="H78" s="13"/>
      <c r="I78" s="13"/>
      <c r="J78" s="13"/>
      <c r="K78" s="13"/>
      <c r="L78" s="14"/>
    </row>
    <row r="79" spans="1:12" x14ac:dyDescent="0.25">
      <c r="A79" s="15">
        <v>61</v>
      </c>
      <c r="B79" s="16" t="s">
        <v>331</v>
      </c>
      <c r="C79" s="22">
        <f t="shared" si="4"/>
        <v>8384.5</v>
      </c>
      <c r="D79" s="16">
        <f>D78+180</f>
        <v>560</v>
      </c>
      <c r="E79" s="13">
        <f t="shared" ref="E79:J79" si="5">COLUMN(GV49)</f>
        <v>204</v>
      </c>
      <c r="F79" s="13">
        <f t="shared" si="5"/>
        <v>205</v>
      </c>
      <c r="G79" s="13">
        <f t="shared" si="5"/>
        <v>206</v>
      </c>
      <c r="H79" s="13">
        <f t="shared" si="5"/>
        <v>207</v>
      </c>
      <c r="I79" s="13">
        <f t="shared" si="5"/>
        <v>208</v>
      </c>
      <c r="J79" s="13">
        <f t="shared" si="5"/>
        <v>209</v>
      </c>
      <c r="K79" s="13"/>
      <c r="L79" s="14"/>
    </row>
    <row r="80" spans="1:12" x14ac:dyDescent="0.25">
      <c r="A80" s="12">
        <v>62</v>
      </c>
      <c r="B80" s="47" t="s">
        <v>335</v>
      </c>
      <c r="C80" s="55">
        <f>$X$36</f>
        <v>8850.25</v>
      </c>
      <c r="D80" s="54">
        <v>20</v>
      </c>
      <c r="E80" s="13">
        <f>COLUMN(BS1)</f>
        <v>71</v>
      </c>
      <c r="F80" s="13">
        <f>COLUMN(EJ1)</f>
        <v>140</v>
      </c>
      <c r="G80" s="13">
        <f>COLUMN(FB1)</f>
        <v>158</v>
      </c>
      <c r="H80" s="13"/>
      <c r="I80" s="13"/>
      <c r="J80" s="13"/>
      <c r="K80" s="13"/>
      <c r="L80" s="14"/>
    </row>
    <row r="81" spans="1:12" x14ac:dyDescent="0.25">
      <c r="A81" s="12">
        <v>63</v>
      </c>
      <c r="B81" s="47" t="s">
        <v>336</v>
      </c>
      <c r="C81" s="55">
        <f t="shared" ref="C81:C83" si="6">$X$36</f>
        <v>8850.25</v>
      </c>
      <c r="D81" s="47">
        <f>D80+180</f>
        <v>200</v>
      </c>
      <c r="E81" s="13">
        <f>COLUMN(HB51)</f>
        <v>210</v>
      </c>
      <c r="F81" s="13">
        <f>COLUMN(HC51)</f>
        <v>211</v>
      </c>
      <c r="G81" s="13">
        <f>COLUMN(HD51)</f>
        <v>212</v>
      </c>
      <c r="H81" s="13"/>
      <c r="I81" s="13"/>
      <c r="J81" s="13"/>
      <c r="K81" s="13"/>
      <c r="L81" s="14"/>
    </row>
    <row r="82" spans="1:12" x14ac:dyDescent="0.25">
      <c r="A82" s="12">
        <v>64</v>
      </c>
      <c r="B82" s="47" t="s">
        <v>337</v>
      </c>
      <c r="C82" s="55">
        <f t="shared" si="6"/>
        <v>8850.25</v>
      </c>
      <c r="D82" s="47">
        <f>D81+180</f>
        <v>380</v>
      </c>
      <c r="E82" s="13">
        <f t="shared" ref="E82:K82" si="7">COLUMN(HE52)</f>
        <v>213</v>
      </c>
      <c r="F82" s="13">
        <f t="shared" si="7"/>
        <v>214</v>
      </c>
      <c r="G82" s="13">
        <f t="shared" si="7"/>
        <v>215</v>
      </c>
      <c r="H82" s="13">
        <f t="shared" si="7"/>
        <v>216</v>
      </c>
      <c r="I82" s="13">
        <f t="shared" si="7"/>
        <v>217</v>
      </c>
      <c r="J82" s="13">
        <f t="shared" si="7"/>
        <v>218</v>
      </c>
      <c r="K82" s="13">
        <f t="shared" si="7"/>
        <v>219</v>
      </c>
      <c r="L82" s="14"/>
    </row>
    <row r="83" spans="1:12" ht="15.75" thickBot="1" x14ac:dyDescent="0.3">
      <c r="A83" s="12">
        <v>65</v>
      </c>
      <c r="B83" s="56" t="s">
        <v>338</v>
      </c>
      <c r="C83" s="55">
        <f t="shared" si="6"/>
        <v>8850.25</v>
      </c>
      <c r="D83" s="47">
        <f>D82+180</f>
        <v>560</v>
      </c>
      <c r="E83" s="18">
        <f t="shared" ref="E83:L83" si="8">COLUMN(HL53)</f>
        <v>220</v>
      </c>
      <c r="F83" s="18">
        <f t="shared" si="8"/>
        <v>221</v>
      </c>
      <c r="G83" s="18">
        <f t="shared" si="8"/>
        <v>222</v>
      </c>
      <c r="H83" s="18">
        <f t="shared" si="8"/>
        <v>223</v>
      </c>
      <c r="I83" s="18">
        <f t="shared" si="8"/>
        <v>224</v>
      </c>
      <c r="J83" s="18">
        <f t="shared" si="8"/>
        <v>225</v>
      </c>
      <c r="K83" s="18">
        <f t="shared" si="8"/>
        <v>226</v>
      </c>
      <c r="L83" s="19">
        <f t="shared" si="8"/>
        <v>227</v>
      </c>
    </row>
    <row r="84" spans="1:12" x14ac:dyDescent="0.25">
      <c r="A84" s="15">
        <v>66</v>
      </c>
      <c r="B84" s="4" t="s">
        <v>339</v>
      </c>
      <c r="C84" s="4">
        <f>$X$37</f>
        <v>9316</v>
      </c>
      <c r="D84" s="4">
        <v>20</v>
      </c>
      <c r="E84">
        <f>COLUMN(HT54)</f>
        <v>228</v>
      </c>
      <c r="F84">
        <f>COLUMN(HU54)</f>
        <v>229</v>
      </c>
    </row>
  </sheetData>
  <phoneticPr fontId="4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94C3B-CF72-4EAA-9680-EA62CAEF07B0}">
  <sheetPr codeName="Sheet12"/>
  <dimension ref="A1"/>
  <sheetViews>
    <sheetView view="pageLayout" zoomScale="85" zoomScaleNormal="50" zoomScaleSheetLayoutView="90" zoomScalePageLayoutView="85" workbookViewId="0">
      <selection activeCell="E49" sqref="E49"/>
    </sheetView>
  </sheetViews>
  <sheetFormatPr defaultRowHeight="15" x14ac:dyDescent="0.25"/>
  <sheetData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&amp;LSCG 007 LMH&amp;CKsiKpi_Track report&amp;R&amp;G</oddHeader>
    <oddFooter>&amp;L&amp;G&amp;C&amp;D&amp;R&amp;P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32841-EACD-47B5-84EC-94E235021666}">
  <sheetPr codeName="Sheet2"/>
  <dimension ref="A2:IT147"/>
  <sheetViews>
    <sheetView zoomScale="70" zoomScaleNormal="70" workbookViewId="0">
      <pane xSplit="1" topLeftCell="HJ1" activePane="topRight" state="frozen"/>
      <selection pane="topRight" activeCell="HL50" sqref="HL50"/>
    </sheetView>
  </sheetViews>
  <sheetFormatPr defaultRowHeight="15" x14ac:dyDescent="0.25"/>
  <cols>
    <col min="1" max="1" width="3.5703125" bestFit="1" customWidth="1"/>
    <col min="2" max="151" width="15.7109375" customWidth="1"/>
    <col min="152" max="152" width="20.140625" customWidth="1"/>
    <col min="153" max="153" width="22.140625" customWidth="1"/>
    <col min="154" max="154" width="16.140625" customWidth="1"/>
    <col min="155" max="155" width="17.85546875" customWidth="1"/>
    <col min="156" max="156" width="21" customWidth="1"/>
    <col min="157" max="157" width="23.28515625" customWidth="1"/>
    <col min="158" max="158" width="19.28515625" customWidth="1"/>
    <col min="159" max="159" width="12.140625" customWidth="1"/>
    <col min="160" max="160" width="12.42578125" bestFit="1" customWidth="1"/>
    <col min="161" max="162" width="10.7109375" bestFit="1" customWidth="1"/>
    <col min="204" max="204" width="8.7109375" bestFit="1" customWidth="1"/>
    <col min="211" max="211" width="25.140625" customWidth="1"/>
    <col min="212" max="212" width="18" customWidth="1"/>
    <col min="231" max="231" width="13.28515625" customWidth="1"/>
    <col min="232" max="232" width="14" customWidth="1"/>
  </cols>
  <sheetData>
    <row r="2" spans="1:254" x14ac:dyDescent="0.25">
      <c r="B2" s="4" t="s">
        <v>47</v>
      </c>
      <c r="C2">
        <f>MAX(C8:C108)</f>
        <v>0</v>
      </c>
      <c r="D2" s="5">
        <f>MAX(D8:D108)*3600*24</f>
        <v>381.05</v>
      </c>
      <c r="E2">
        <f t="shared" ref="E2:BP2" si="0">MAX(E8:E108)</f>
        <v>380.99</v>
      </c>
      <c r="F2">
        <f t="shared" si="0"/>
        <v>331.19</v>
      </c>
      <c r="G2">
        <f t="shared" si="0"/>
        <v>6.18</v>
      </c>
      <c r="H2">
        <f t="shared" si="0"/>
        <v>27.4</v>
      </c>
      <c r="I2">
        <f t="shared" si="0"/>
        <v>1.64</v>
      </c>
      <c r="J2">
        <f t="shared" si="0"/>
        <v>33.799999999999997</v>
      </c>
      <c r="K2">
        <f t="shared" si="0"/>
        <v>6</v>
      </c>
      <c r="L2">
        <f t="shared" si="0"/>
        <v>4</v>
      </c>
      <c r="M2">
        <f t="shared" si="0"/>
        <v>7</v>
      </c>
      <c r="N2">
        <f t="shared" si="0"/>
        <v>3</v>
      </c>
      <c r="O2">
        <f t="shared" si="0"/>
        <v>3</v>
      </c>
      <c r="P2">
        <f t="shared" si="0"/>
        <v>0.64900000000000002</v>
      </c>
      <c r="Q2">
        <f t="shared" si="0"/>
        <v>1.417</v>
      </c>
      <c r="R2">
        <f t="shared" si="0"/>
        <v>0.66400000000000003</v>
      </c>
      <c r="S2">
        <f t="shared" si="0"/>
        <v>0.45300000000000001</v>
      </c>
      <c r="T2">
        <f t="shared" si="0"/>
        <v>93.72</v>
      </c>
      <c r="U2">
        <f t="shared" si="0"/>
        <v>63.636000000000003</v>
      </c>
      <c r="V2">
        <f t="shared" si="0"/>
        <v>306</v>
      </c>
      <c r="W2">
        <f t="shared" si="0"/>
        <v>320</v>
      </c>
      <c r="X2">
        <f t="shared" si="0"/>
        <v>215</v>
      </c>
      <c r="Y2">
        <f t="shared" si="0"/>
        <v>271.66000000000003</v>
      </c>
      <c r="Z2">
        <f t="shared" si="0"/>
        <v>413.46</v>
      </c>
      <c r="AA2">
        <f t="shared" si="0"/>
        <v>436.52</v>
      </c>
      <c r="AB2">
        <f t="shared" si="0"/>
        <v>328.96</v>
      </c>
      <c r="AC2">
        <f t="shared" si="0"/>
        <v>402.65</v>
      </c>
      <c r="AD2">
        <f t="shared" si="0"/>
        <v>1.8169999999999999</v>
      </c>
      <c r="AE2">
        <f t="shared" si="0"/>
        <v>1.8939999999999999</v>
      </c>
      <c r="AF2">
        <f t="shared" si="0"/>
        <v>1.8740000000000001</v>
      </c>
      <c r="AG2">
        <f t="shared" si="0"/>
        <v>1.919</v>
      </c>
      <c r="AH2">
        <f t="shared" si="0"/>
        <v>83.15</v>
      </c>
      <c r="AI2">
        <f t="shared" si="0"/>
        <v>81.599999999999994</v>
      </c>
      <c r="AJ2">
        <f t="shared" si="0"/>
        <v>120.81</v>
      </c>
      <c r="AK2">
        <f t="shared" si="0"/>
        <v>110.92</v>
      </c>
      <c r="AL2">
        <f t="shared" si="0"/>
        <v>778.29700000000003</v>
      </c>
      <c r="AM2">
        <f t="shared" si="0"/>
        <v>999.16800000000001</v>
      </c>
      <c r="AN2">
        <f t="shared" si="0"/>
        <v>904.452</v>
      </c>
      <c r="AO2">
        <f t="shared" si="0"/>
        <v>835.83799999999997</v>
      </c>
      <c r="AP2">
        <f t="shared" si="0"/>
        <v>1.4710000000000001</v>
      </c>
      <c r="AQ2">
        <f t="shared" si="0"/>
        <v>1.986</v>
      </c>
      <c r="AR2">
        <f t="shared" si="0"/>
        <v>42.524999999999999</v>
      </c>
      <c r="AS2">
        <f t="shared" si="0"/>
        <v>40.807000000000002</v>
      </c>
      <c r="AT2">
        <f t="shared" si="0"/>
        <v>86</v>
      </c>
      <c r="AU2">
        <f t="shared" si="0"/>
        <v>122</v>
      </c>
      <c r="AV2">
        <f t="shared" si="0"/>
        <v>3.8805000000000001</v>
      </c>
      <c r="AW2">
        <f t="shared" si="0"/>
        <v>5.2525000000000004</v>
      </c>
      <c r="AX2">
        <f t="shared" si="0"/>
        <v>1030</v>
      </c>
      <c r="AY2">
        <f t="shared" si="0"/>
        <v>2.93</v>
      </c>
      <c r="AZ2">
        <f t="shared" si="0"/>
        <v>6.15</v>
      </c>
      <c r="BA2">
        <f t="shared" si="0"/>
        <v>140.92400000000001</v>
      </c>
      <c r="BB2">
        <f t="shared" si="0"/>
        <v>140.38499999999999</v>
      </c>
      <c r="BC2">
        <f t="shared" si="0"/>
        <v>8054</v>
      </c>
      <c r="BD2">
        <f t="shared" si="0"/>
        <v>89.75</v>
      </c>
      <c r="BE2">
        <f t="shared" si="0"/>
        <v>18.454999999999998</v>
      </c>
      <c r="BF2">
        <f t="shared" si="0"/>
        <v>15.645</v>
      </c>
      <c r="BG2">
        <f t="shared" si="0"/>
        <v>30.53</v>
      </c>
      <c r="BH2">
        <f t="shared" si="0"/>
        <v>29.58</v>
      </c>
      <c r="BI2">
        <f t="shared" si="0"/>
        <v>66.48</v>
      </c>
      <c r="BJ2">
        <f t="shared" si="0"/>
        <v>82.186000000000007</v>
      </c>
      <c r="BK2">
        <f t="shared" si="0"/>
        <v>64.914000000000001</v>
      </c>
      <c r="BL2">
        <f t="shared" si="0"/>
        <v>79.932000000000002</v>
      </c>
      <c r="BM2">
        <f t="shared" si="0"/>
        <v>80.856999999999999</v>
      </c>
      <c r="BN2">
        <f t="shared" si="0"/>
        <v>151.352</v>
      </c>
      <c r="BO2">
        <f t="shared" si="0"/>
        <v>152.16800000000001</v>
      </c>
      <c r="BP2">
        <f t="shared" si="0"/>
        <v>140.376</v>
      </c>
      <c r="BQ2">
        <f t="shared" ref="BQ2:EB2" si="1">MAX(BQ8:BQ108)</f>
        <v>144.61600000000001</v>
      </c>
      <c r="BR2">
        <f t="shared" si="1"/>
        <v>60.174999999999997</v>
      </c>
      <c r="BS2">
        <f t="shared" si="1"/>
        <v>27.1</v>
      </c>
      <c r="BT2">
        <f t="shared" si="1"/>
        <v>7488.7359999999999</v>
      </c>
      <c r="BU2">
        <f t="shared" si="1"/>
        <v>71.588999999999999</v>
      </c>
      <c r="BV2">
        <f t="shared" si="1"/>
        <v>54.813000000000002</v>
      </c>
      <c r="BW2">
        <f t="shared" si="1"/>
        <v>55.881999999999998</v>
      </c>
      <c r="BX2">
        <f t="shared" si="1"/>
        <v>56.250999999999998</v>
      </c>
      <c r="BY2">
        <f t="shared" si="1"/>
        <v>1.879</v>
      </c>
      <c r="BZ2">
        <f t="shared" si="1"/>
        <v>3.2509999999999999</v>
      </c>
      <c r="CA2">
        <f t="shared" si="1"/>
        <v>3.976</v>
      </c>
      <c r="CB2">
        <f t="shared" si="1"/>
        <v>4.1769999999999996</v>
      </c>
      <c r="CC2">
        <f t="shared" si="1"/>
        <v>1.4610000000000001</v>
      </c>
      <c r="CD2">
        <f t="shared" si="1"/>
        <v>2.5510000000000002</v>
      </c>
      <c r="CE2">
        <f t="shared" si="1"/>
        <v>1.5129999999999999</v>
      </c>
      <c r="CF2">
        <f t="shared" si="1"/>
        <v>2.2559999999999998</v>
      </c>
      <c r="CG2">
        <f t="shared" si="1"/>
        <v>14.005000000000001</v>
      </c>
      <c r="CH2">
        <f t="shared" si="1"/>
        <v>13.826000000000001</v>
      </c>
      <c r="CI2">
        <f t="shared" si="1"/>
        <v>5.0519999999999996</v>
      </c>
      <c r="CJ2">
        <f t="shared" si="1"/>
        <v>3.774</v>
      </c>
      <c r="CK2">
        <f t="shared" si="1"/>
        <v>1.7509999999999999</v>
      </c>
      <c r="CL2">
        <f t="shared" si="1"/>
        <v>2.1</v>
      </c>
      <c r="CM2">
        <f t="shared" si="1"/>
        <v>5.0999999999999996</v>
      </c>
      <c r="CN2">
        <f t="shared" si="1"/>
        <v>0.1</v>
      </c>
      <c r="CO2">
        <f t="shared" si="1"/>
        <v>0.1</v>
      </c>
      <c r="CP2">
        <f t="shared" si="1"/>
        <v>121.321</v>
      </c>
      <c r="CQ2">
        <f t="shared" si="1"/>
        <v>123.9</v>
      </c>
      <c r="CR2">
        <f t="shared" si="1"/>
        <v>130.71799999999999</v>
      </c>
      <c r="CS2">
        <f t="shared" si="1"/>
        <v>136.501</v>
      </c>
      <c r="CT2">
        <f t="shared" si="1"/>
        <v>0.52</v>
      </c>
      <c r="CU2">
        <f t="shared" si="1"/>
        <v>3.3380000000000001</v>
      </c>
      <c r="CV2">
        <f t="shared" si="1"/>
        <v>4.1369999999999996</v>
      </c>
      <c r="CW2">
        <f t="shared" si="1"/>
        <v>3.44</v>
      </c>
      <c r="CX2">
        <f t="shared" si="1"/>
        <v>3.7389999999999999</v>
      </c>
      <c r="CY2">
        <f t="shared" si="1"/>
        <v>3.2370000000000001</v>
      </c>
      <c r="CZ2">
        <f t="shared" si="1"/>
        <v>3.04</v>
      </c>
      <c r="DA2">
        <f t="shared" si="1"/>
        <v>3.04</v>
      </c>
      <c r="DB2">
        <f t="shared" si="1"/>
        <v>3.8370000000000002</v>
      </c>
      <c r="DC2">
        <f t="shared" si="1"/>
        <v>0</v>
      </c>
      <c r="DD2">
        <f t="shared" si="1"/>
        <v>0</v>
      </c>
      <c r="DE2">
        <f t="shared" si="1"/>
        <v>0.22900000000000001</v>
      </c>
      <c r="DF2">
        <f t="shared" si="1"/>
        <v>0.11799999999999999</v>
      </c>
      <c r="DG2">
        <f t="shared" si="1"/>
        <v>1.3049999999999999</v>
      </c>
      <c r="DH2">
        <f t="shared" si="1"/>
        <v>3.5819999999999999</v>
      </c>
      <c r="DI2">
        <f t="shared" si="1"/>
        <v>1.2589999999999999</v>
      </c>
      <c r="DJ2">
        <f t="shared" si="1"/>
        <v>0.192</v>
      </c>
      <c r="DK2">
        <f t="shared" si="1"/>
        <v>0.72199999999999998</v>
      </c>
      <c r="DL2">
        <f t="shared" si="1"/>
        <v>0.42099999999999999</v>
      </c>
      <c r="DM2">
        <f t="shared" si="1"/>
        <v>0.52900000000000003</v>
      </c>
      <c r="DN2">
        <f t="shared" si="1"/>
        <v>0.46800000000000003</v>
      </c>
      <c r="DO2">
        <f t="shared" si="1"/>
        <v>0.40400000000000003</v>
      </c>
      <c r="DP2">
        <f t="shared" si="1"/>
        <v>68.171000000000006</v>
      </c>
      <c r="DQ2">
        <f t="shared" si="1"/>
        <v>61.500999999999998</v>
      </c>
      <c r="DR2">
        <f t="shared" si="1"/>
        <v>55.179000000000002</v>
      </c>
      <c r="DS2">
        <f t="shared" si="1"/>
        <v>52.686</v>
      </c>
      <c r="DT2">
        <f t="shared" si="1"/>
        <v>10.02</v>
      </c>
      <c r="DU2">
        <f t="shared" si="1"/>
        <v>19.77</v>
      </c>
      <c r="DV2">
        <f t="shared" si="1"/>
        <v>16.02</v>
      </c>
      <c r="DW2">
        <f t="shared" si="1"/>
        <v>12.16</v>
      </c>
      <c r="DX2">
        <f t="shared" si="1"/>
        <v>10.18</v>
      </c>
      <c r="DY2">
        <f t="shared" si="1"/>
        <v>20.04</v>
      </c>
      <c r="DZ2">
        <f t="shared" si="1"/>
        <v>15.49</v>
      </c>
      <c r="EA2">
        <f t="shared" si="1"/>
        <v>11.82</v>
      </c>
      <c r="EB2">
        <f t="shared" si="1"/>
        <v>43.84</v>
      </c>
      <c r="EC2">
        <f t="shared" ref="EC2:GN2" si="2">MAX(EC8:EC108)</f>
        <v>42.65</v>
      </c>
      <c r="ED2">
        <f t="shared" si="2"/>
        <v>35.409999999999997</v>
      </c>
      <c r="EE2">
        <f t="shared" si="2"/>
        <v>35.42</v>
      </c>
      <c r="EF2">
        <f t="shared" si="2"/>
        <v>83.42</v>
      </c>
      <c r="EG2">
        <f t="shared" si="2"/>
        <v>87.57</v>
      </c>
      <c r="EH2">
        <f t="shared" si="2"/>
        <v>95.3</v>
      </c>
      <c r="EI2">
        <f t="shared" si="2"/>
        <v>87.76</v>
      </c>
      <c r="EJ2">
        <f t="shared" si="2"/>
        <v>7.33</v>
      </c>
      <c r="EK2">
        <f t="shared" si="2"/>
        <v>61.683999999999997</v>
      </c>
      <c r="EL2">
        <f t="shared" si="2"/>
        <v>2.6</v>
      </c>
      <c r="EM2">
        <f t="shared" si="2"/>
        <v>2.2000000000000002</v>
      </c>
      <c r="EN2">
        <f t="shared" si="2"/>
        <v>1.58</v>
      </c>
      <c r="EO2">
        <f t="shared" si="2"/>
        <v>1.58</v>
      </c>
      <c r="EP2">
        <f t="shared" si="2"/>
        <v>-0.81</v>
      </c>
      <c r="EQ2">
        <f t="shared" si="2"/>
        <v>-6.8000000000000005E-2</v>
      </c>
      <c r="ER2">
        <f t="shared" si="2"/>
        <v>130.006</v>
      </c>
      <c r="ES2">
        <f t="shared" si="2"/>
        <v>1.605</v>
      </c>
      <c r="ET2">
        <f t="shared" si="2"/>
        <v>1.6859999999999999</v>
      </c>
      <c r="EU2">
        <f t="shared" si="2"/>
        <v>1.5660000000000001</v>
      </c>
      <c r="EV2">
        <f t="shared" si="2"/>
        <v>8.0860000000000003</v>
      </c>
      <c r="EW2">
        <f t="shared" si="2"/>
        <v>3.0739999999999998</v>
      </c>
      <c r="EX2">
        <f t="shared" si="2"/>
        <v>76.84</v>
      </c>
      <c r="EY2">
        <f t="shared" si="2"/>
        <v>3.0609999999999999</v>
      </c>
      <c r="EZ2">
        <f t="shared" si="2"/>
        <v>96.682000000000002</v>
      </c>
      <c r="FA2">
        <f t="shared" si="2"/>
        <v>0</v>
      </c>
      <c r="FB2">
        <f t="shared" si="2"/>
        <v>9.4169999999999998</v>
      </c>
      <c r="FC2">
        <f t="shared" si="2"/>
        <v>74.525999999999996</v>
      </c>
      <c r="FD2">
        <f t="shared" si="2"/>
        <v>69.869</v>
      </c>
      <c r="FE2">
        <f t="shared" si="2"/>
        <v>88.808000000000007</v>
      </c>
      <c r="FF2">
        <f t="shared" si="2"/>
        <v>86.067999999999998</v>
      </c>
      <c r="FG2">
        <f t="shared" si="2"/>
        <v>1.206</v>
      </c>
      <c r="FH2">
        <f t="shared" si="2"/>
        <v>1.24</v>
      </c>
      <c r="FI2">
        <f t="shared" si="2"/>
        <v>1.0029999999999999</v>
      </c>
      <c r="FJ2">
        <f t="shared" si="2"/>
        <v>1.0049999999999999</v>
      </c>
      <c r="FK2">
        <f t="shared" si="2"/>
        <v>0.30199999999999999</v>
      </c>
      <c r="FL2">
        <f t="shared" si="2"/>
        <v>87</v>
      </c>
      <c r="FM2">
        <f t="shared" si="2"/>
        <v>3.83</v>
      </c>
      <c r="FN2">
        <f t="shared" si="2"/>
        <v>2.4300000000000002</v>
      </c>
      <c r="FO2">
        <f t="shared" si="2"/>
        <v>6.14</v>
      </c>
      <c r="FP2">
        <f t="shared" si="2"/>
        <v>5.3</v>
      </c>
      <c r="FQ2">
        <f t="shared" si="2"/>
        <v>4.9000000000000004</v>
      </c>
      <c r="FR2">
        <f t="shared" si="2"/>
        <v>5.6</v>
      </c>
      <c r="FS2">
        <f t="shared" si="2"/>
        <v>6.8070000000000004</v>
      </c>
      <c r="FT2">
        <f t="shared" si="2"/>
        <v>1086.8</v>
      </c>
      <c r="FU2">
        <f t="shared" si="2"/>
        <v>7.42</v>
      </c>
      <c r="FV2">
        <f t="shared" si="2"/>
        <v>47.88</v>
      </c>
      <c r="FW2">
        <f t="shared" si="2"/>
        <v>3227.5</v>
      </c>
      <c r="FX2">
        <f t="shared" si="2"/>
        <v>172800</v>
      </c>
      <c r="FY2">
        <f t="shared" si="2"/>
        <v>175000</v>
      </c>
      <c r="FZ2">
        <f t="shared" si="2"/>
        <v>54.341000000000001</v>
      </c>
      <c r="GA2">
        <f t="shared" si="2"/>
        <v>53.667999999999999</v>
      </c>
      <c r="GB2">
        <f t="shared" si="2"/>
        <v>2253.1</v>
      </c>
      <c r="GC2">
        <f t="shared" si="2"/>
        <v>2278</v>
      </c>
      <c r="GD2">
        <f t="shared" si="2"/>
        <v>2390.8000000000002</v>
      </c>
      <c r="GE2">
        <f t="shared" si="2"/>
        <v>2487.4</v>
      </c>
      <c r="GF2">
        <f t="shared" si="2"/>
        <v>1461.1719000000001</v>
      </c>
      <c r="GG2">
        <f t="shared" si="2"/>
        <v>33</v>
      </c>
      <c r="GH2">
        <f t="shared" si="2"/>
        <v>33.299999999999997</v>
      </c>
      <c r="GI2">
        <f t="shared" si="2"/>
        <v>55.7</v>
      </c>
      <c r="GJ2">
        <f t="shared" si="2"/>
        <v>59.9</v>
      </c>
      <c r="GK2">
        <f t="shared" si="2"/>
        <v>99.5</v>
      </c>
      <c r="GL2">
        <f t="shared" si="2"/>
        <v>100.5</v>
      </c>
      <c r="GM2">
        <f t="shared" si="2"/>
        <v>0</v>
      </c>
      <c r="GN2">
        <f t="shared" si="2"/>
        <v>28.731000000000002</v>
      </c>
      <c r="GO2">
        <f t="shared" ref="GO2:IA2" si="3">MAX(GO8:GO108)</f>
        <v>130.006</v>
      </c>
      <c r="GP2">
        <f t="shared" si="3"/>
        <v>0.94399999999999995</v>
      </c>
      <c r="GQ2">
        <f t="shared" si="3"/>
        <v>5.133</v>
      </c>
      <c r="GR2">
        <f t="shared" si="3"/>
        <v>1.357</v>
      </c>
      <c r="GS2">
        <f t="shared" si="3"/>
        <v>5.1920000000000002</v>
      </c>
      <c r="GT2">
        <f t="shared" si="3"/>
        <v>0.82599999999999996</v>
      </c>
      <c r="GU2">
        <f t="shared" si="3"/>
        <v>5.4279999999999999</v>
      </c>
      <c r="GV2">
        <f t="shared" si="3"/>
        <v>12.936</v>
      </c>
      <c r="GW2">
        <f t="shared" si="3"/>
        <v>14.137</v>
      </c>
      <c r="GX2">
        <f t="shared" si="3"/>
        <v>24.99</v>
      </c>
      <c r="GY2">
        <f t="shared" si="3"/>
        <v>12.544</v>
      </c>
      <c r="GZ2">
        <f t="shared" si="3"/>
        <v>13.901999999999999</v>
      </c>
      <c r="HA2">
        <f t="shared" si="3"/>
        <v>21.853999999999999</v>
      </c>
      <c r="HB2">
        <f t="shared" si="3"/>
        <v>1</v>
      </c>
      <c r="HC2">
        <f t="shared" si="3"/>
        <v>26.664999999999999</v>
      </c>
      <c r="HD2">
        <f t="shared" si="3"/>
        <v>90</v>
      </c>
      <c r="HE2">
        <f t="shared" si="3"/>
        <v>0</v>
      </c>
      <c r="HF2">
        <f t="shared" si="3"/>
        <v>0</v>
      </c>
      <c r="HG2">
        <f t="shared" si="3"/>
        <v>90.1</v>
      </c>
      <c r="HH2">
        <f t="shared" si="3"/>
        <v>83.81</v>
      </c>
      <c r="HI2">
        <f t="shared" si="3"/>
        <v>0</v>
      </c>
      <c r="HJ2">
        <f t="shared" si="3"/>
        <v>0</v>
      </c>
      <c r="HK2">
        <f t="shared" si="3"/>
        <v>0</v>
      </c>
      <c r="HL2">
        <f t="shared" si="3"/>
        <v>66</v>
      </c>
      <c r="HM2">
        <f t="shared" si="3"/>
        <v>53</v>
      </c>
      <c r="HN2">
        <f t="shared" si="3"/>
        <v>66</v>
      </c>
      <c r="HO2">
        <f t="shared" si="3"/>
        <v>59</v>
      </c>
      <c r="HP2">
        <f t="shared" si="3"/>
        <v>62</v>
      </c>
      <c r="HQ2">
        <f t="shared" si="3"/>
        <v>60</v>
      </c>
      <c r="HR2">
        <f t="shared" si="3"/>
        <v>52</v>
      </c>
      <c r="HS2">
        <f t="shared" si="3"/>
        <v>70</v>
      </c>
      <c r="HT2">
        <f t="shared" si="3"/>
        <v>-0.995</v>
      </c>
      <c r="HU2">
        <f t="shared" si="3"/>
        <v>0</v>
      </c>
      <c r="HV2">
        <f t="shared" si="3"/>
        <v>1.3540000000000001</v>
      </c>
      <c r="HW2">
        <f t="shared" si="3"/>
        <v>52.98</v>
      </c>
      <c r="HX2">
        <f t="shared" si="3"/>
        <v>74.959999999999994</v>
      </c>
      <c r="HY2">
        <f t="shared" si="3"/>
        <v>51.13</v>
      </c>
      <c r="HZ2">
        <f t="shared" si="3"/>
        <v>62.44</v>
      </c>
      <c r="IA2">
        <f t="shared" si="3"/>
        <v>3.1110000000000002</v>
      </c>
    </row>
    <row r="3" spans="1:254" x14ac:dyDescent="0.25">
      <c r="B3" s="4" t="s">
        <v>48</v>
      </c>
      <c r="C3">
        <f>MIN(C8:C108)</f>
        <v>0</v>
      </c>
      <c r="D3" s="5">
        <f>MIN(D8:D108)*3600*24</f>
        <v>29.059999999999995</v>
      </c>
      <c r="E3">
        <f t="shared" ref="E3:BP3" si="4">MIN(E8:E108)</f>
        <v>29.062000000000001</v>
      </c>
      <c r="F3">
        <f t="shared" si="4"/>
        <v>0.01</v>
      </c>
      <c r="G3">
        <f t="shared" si="4"/>
        <v>-26.97</v>
      </c>
      <c r="H3">
        <f t="shared" si="4"/>
        <v>26.3</v>
      </c>
      <c r="I3">
        <f t="shared" si="4"/>
        <v>0</v>
      </c>
      <c r="J3">
        <f t="shared" si="4"/>
        <v>8.3000000000000007</v>
      </c>
      <c r="K3">
        <f t="shared" si="4"/>
        <v>6</v>
      </c>
      <c r="L3">
        <f t="shared" si="4"/>
        <v>4</v>
      </c>
      <c r="M3">
        <f t="shared" si="4"/>
        <v>6</v>
      </c>
      <c r="N3">
        <f t="shared" si="4"/>
        <v>3</v>
      </c>
      <c r="O3">
        <f t="shared" si="4"/>
        <v>3</v>
      </c>
      <c r="P3">
        <f t="shared" si="4"/>
        <v>0.23599999999999999</v>
      </c>
      <c r="Q3">
        <f t="shared" si="4"/>
        <v>0.72299999999999998</v>
      </c>
      <c r="R3">
        <f t="shared" si="4"/>
        <v>9.6000000000000002E-2</v>
      </c>
      <c r="S3">
        <f t="shared" si="4"/>
        <v>8.8999999999999996E-2</v>
      </c>
      <c r="T3">
        <f t="shared" si="4"/>
        <v>20.65</v>
      </c>
      <c r="U3">
        <f t="shared" si="4"/>
        <v>60.125</v>
      </c>
      <c r="V3">
        <f t="shared" si="4"/>
        <v>60</v>
      </c>
      <c r="W3">
        <f t="shared" si="4"/>
        <v>40</v>
      </c>
      <c r="X3">
        <f t="shared" si="4"/>
        <v>80</v>
      </c>
      <c r="Y3">
        <f t="shared" si="4"/>
        <v>80</v>
      </c>
      <c r="Z3">
        <f t="shared" si="4"/>
        <v>148.72999999999999</v>
      </c>
      <c r="AA3">
        <f t="shared" si="4"/>
        <v>150.22</v>
      </c>
      <c r="AB3">
        <f t="shared" si="4"/>
        <v>113.01</v>
      </c>
      <c r="AC3">
        <f t="shared" si="4"/>
        <v>125.68</v>
      </c>
      <c r="AD3">
        <f t="shared" si="4"/>
        <v>1.5629999999999999</v>
      </c>
      <c r="AE3">
        <f t="shared" si="4"/>
        <v>1.6120000000000001</v>
      </c>
      <c r="AF3">
        <f t="shared" si="4"/>
        <v>1.5069999999999999</v>
      </c>
      <c r="AG3">
        <f t="shared" si="4"/>
        <v>1.5760000000000001</v>
      </c>
      <c r="AH3">
        <f t="shared" si="4"/>
        <v>48.57</v>
      </c>
      <c r="AI3">
        <f t="shared" si="4"/>
        <v>46.02</v>
      </c>
      <c r="AJ3">
        <f t="shared" si="4"/>
        <v>62.37</v>
      </c>
      <c r="AK3">
        <f t="shared" si="4"/>
        <v>58.64</v>
      </c>
      <c r="AL3">
        <f t="shared" si="4"/>
        <v>571.01</v>
      </c>
      <c r="AM3">
        <f t="shared" si="4"/>
        <v>586.26099999999997</v>
      </c>
      <c r="AN3">
        <f t="shared" si="4"/>
        <v>712.40599999999995</v>
      </c>
      <c r="AO3">
        <f t="shared" si="4"/>
        <v>725.91099999999994</v>
      </c>
      <c r="AP3">
        <f t="shared" si="4"/>
        <v>1.411</v>
      </c>
      <c r="AQ3">
        <f t="shared" si="4"/>
        <v>1.913</v>
      </c>
      <c r="AR3">
        <f t="shared" si="4"/>
        <v>37.927999999999997</v>
      </c>
      <c r="AS3">
        <f t="shared" si="4"/>
        <v>35.54</v>
      </c>
      <c r="AT3">
        <f t="shared" si="4"/>
        <v>82</v>
      </c>
      <c r="AU3">
        <f t="shared" si="4"/>
        <v>93</v>
      </c>
      <c r="AV3">
        <f t="shared" si="4"/>
        <v>1.482</v>
      </c>
      <c r="AW3">
        <f t="shared" si="4"/>
        <v>3.9009999999999998</v>
      </c>
      <c r="AX3">
        <f t="shared" si="4"/>
        <v>1006</v>
      </c>
      <c r="AY3">
        <f t="shared" si="4"/>
        <v>2.2400000000000002</v>
      </c>
      <c r="AZ3">
        <f t="shared" si="4"/>
        <v>4.74</v>
      </c>
      <c r="BA3">
        <f t="shared" si="4"/>
        <v>68.900000000000006</v>
      </c>
      <c r="BB3">
        <f t="shared" si="4"/>
        <v>69.099999999999994</v>
      </c>
      <c r="BC3">
        <f t="shared" si="4"/>
        <v>0</v>
      </c>
      <c r="BD3">
        <f t="shared" si="4"/>
        <v>0</v>
      </c>
      <c r="BE3">
        <f t="shared" si="4"/>
        <v>3.98</v>
      </c>
      <c r="BF3">
        <f t="shared" si="4"/>
        <v>3.06</v>
      </c>
      <c r="BG3">
        <f t="shared" si="4"/>
        <v>6.2</v>
      </c>
      <c r="BH3">
        <f t="shared" si="4"/>
        <v>6.5</v>
      </c>
      <c r="BI3">
        <f t="shared" si="4"/>
        <v>64.974999999999994</v>
      </c>
      <c r="BJ3">
        <f t="shared" si="4"/>
        <v>80.082999999999998</v>
      </c>
      <c r="BK3">
        <f t="shared" si="4"/>
        <v>63.292999999999999</v>
      </c>
      <c r="BL3">
        <f t="shared" si="4"/>
        <v>75.617999999999995</v>
      </c>
      <c r="BM3">
        <f t="shared" si="4"/>
        <v>78.06</v>
      </c>
      <c r="BN3">
        <f t="shared" si="4"/>
        <v>94.52</v>
      </c>
      <c r="BO3">
        <f t="shared" si="4"/>
        <v>92.52</v>
      </c>
      <c r="BP3">
        <f t="shared" si="4"/>
        <v>106.80800000000001</v>
      </c>
      <c r="BQ3">
        <f t="shared" ref="BQ3:EB3" si="5">MIN(BQ8:BQ108)</f>
        <v>111.91200000000001</v>
      </c>
      <c r="BR3">
        <f t="shared" si="5"/>
        <v>57.834000000000003</v>
      </c>
      <c r="BS3">
        <f t="shared" si="5"/>
        <v>25.9</v>
      </c>
      <c r="BT3">
        <f t="shared" si="5"/>
        <v>7092.7250000000004</v>
      </c>
      <c r="BU3">
        <f t="shared" si="5"/>
        <v>38.898000000000003</v>
      </c>
      <c r="BV3">
        <f t="shared" si="5"/>
        <v>51.704999999999998</v>
      </c>
      <c r="BW3">
        <f t="shared" si="5"/>
        <v>52.448999999999998</v>
      </c>
      <c r="BX3">
        <f t="shared" si="5"/>
        <v>52.25</v>
      </c>
      <c r="BY3">
        <f t="shared" si="5"/>
        <v>2.1999999999999999E-2</v>
      </c>
      <c r="BZ3">
        <f t="shared" si="5"/>
        <v>5.0000000000000001E-3</v>
      </c>
      <c r="CA3">
        <f t="shared" si="5"/>
        <v>2.4E-2</v>
      </c>
      <c r="CB3">
        <f t="shared" si="5"/>
        <v>2.1000000000000001E-2</v>
      </c>
      <c r="CC3">
        <f t="shared" si="5"/>
        <v>0.80100000000000005</v>
      </c>
      <c r="CD3">
        <f t="shared" si="5"/>
        <v>2.274</v>
      </c>
      <c r="CE3">
        <f t="shared" si="5"/>
        <v>1.2829999999999999</v>
      </c>
      <c r="CF3">
        <f t="shared" si="5"/>
        <v>2.0859999999999999</v>
      </c>
      <c r="CG3">
        <f t="shared" si="5"/>
        <v>13.206</v>
      </c>
      <c r="CH3">
        <f t="shared" si="5"/>
        <v>10.012</v>
      </c>
      <c r="CI3">
        <f t="shared" si="5"/>
        <v>3.4740000000000002</v>
      </c>
      <c r="CJ3">
        <f t="shared" si="5"/>
        <v>-92.903999999999996</v>
      </c>
      <c r="CK3">
        <f t="shared" si="5"/>
        <v>1.31</v>
      </c>
      <c r="CL3">
        <f t="shared" si="5"/>
        <v>0</v>
      </c>
      <c r="CM3">
        <f t="shared" si="5"/>
        <v>0</v>
      </c>
      <c r="CN3">
        <f t="shared" si="5"/>
        <v>0</v>
      </c>
      <c r="CO3">
        <f t="shared" si="5"/>
        <v>0</v>
      </c>
      <c r="CP3">
        <f t="shared" si="5"/>
        <v>68.572999999999993</v>
      </c>
      <c r="CQ3">
        <f t="shared" si="5"/>
        <v>67.778000000000006</v>
      </c>
      <c r="CR3">
        <f t="shared" si="5"/>
        <v>78.307000000000002</v>
      </c>
      <c r="CS3">
        <f t="shared" si="5"/>
        <v>79.286000000000001</v>
      </c>
      <c r="CT3">
        <f t="shared" si="5"/>
        <v>0</v>
      </c>
      <c r="CU3">
        <f t="shared" si="5"/>
        <v>0</v>
      </c>
      <c r="CV3">
        <f t="shared" si="5"/>
        <v>0</v>
      </c>
      <c r="CW3">
        <f t="shared" si="5"/>
        <v>0</v>
      </c>
      <c r="CX3">
        <f t="shared" si="5"/>
        <v>0</v>
      </c>
      <c r="CY3">
        <f t="shared" si="5"/>
        <v>0</v>
      </c>
      <c r="CZ3">
        <f t="shared" si="5"/>
        <v>0</v>
      </c>
      <c r="DA3">
        <f t="shared" si="5"/>
        <v>0</v>
      </c>
      <c r="DB3">
        <f t="shared" si="5"/>
        <v>0</v>
      </c>
      <c r="DC3">
        <f t="shared" si="5"/>
        <v>0</v>
      </c>
      <c r="DD3">
        <f t="shared" si="5"/>
        <v>0</v>
      </c>
      <c r="DE3">
        <f t="shared" si="5"/>
        <v>0</v>
      </c>
      <c r="DF3">
        <f t="shared" si="5"/>
        <v>-6.0000000000000001E-3</v>
      </c>
      <c r="DG3">
        <f t="shared" si="5"/>
        <v>0</v>
      </c>
      <c r="DH3">
        <f t="shared" si="5"/>
        <v>0.99099999999999999</v>
      </c>
      <c r="DI3">
        <f t="shared" si="5"/>
        <v>0.66500000000000004</v>
      </c>
      <c r="DJ3">
        <f t="shared" si="5"/>
        <v>-4.2999999999999997E-2</v>
      </c>
      <c r="DK3">
        <f t="shared" si="5"/>
        <v>0.45800000000000002</v>
      </c>
      <c r="DL3">
        <f t="shared" si="5"/>
        <v>0.34899999999999998</v>
      </c>
      <c r="DM3">
        <f t="shared" si="5"/>
        <v>-0.95099999999999996</v>
      </c>
      <c r="DN3">
        <f t="shared" si="5"/>
        <v>-6.69</v>
      </c>
      <c r="DO3">
        <f t="shared" si="5"/>
        <v>0.183</v>
      </c>
      <c r="DP3">
        <f t="shared" si="5"/>
        <v>59.966000000000001</v>
      </c>
      <c r="DQ3">
        <f t="shared" si="5"/>
        <v>56.326999999999998</v>
      </c>
      <c r="DR3">
        <f t="shared" si="5"/>
        <v>49.289000000000001</v>
      </c>
      <c r="DS3">
        <f t="shared" si="5"/>
        <v>49.445999999999998</v>
      </c>
      <c r="DT3">
        <f t="shared" si="5"/>
        <v>0</v>
      </c>
      <c r="DU3">
        <f t="shared" si="5"/>
        <v>0</v>
      </c>
      <c r="DV3">
        <f t="shared" si="5"/>
        <v>0</v>
      </c>
      <c r="DW3">
        <f t="shared" si="5"/>
        <v>0</v>
      </c>
      <c r="DX3">
        <f t="shared" si="5"/>
        <v>0</v>
      </c>
      <c r="DY3">
        <f t="shared" si="5"/>
        <v>0</v>
      </c>
      <c r="DZ3">
        <f t="shared" si="5"/>
        <v>0</v>
      </c>
      <c r="EA3">
        <f t="shared" si="5"/>
        <v>0</v>
      </c>
      <c r="EB3">
        <f t="shared" si="5"/>
        <v>16.579999999999998</v>
      </c>
      <c r="EC3">
        <f t="shared" ref="EC3:GN3" si="6">MIN(EC8:EC108)</f>
        <v>12.42</v>
      </c>
      <c r="ED3">
        <f t="shared" si="6"/>
        <v>4.7</v>
      </c>
      <c r="EE3">
        <f t="shared" si="6"/>
        <v>12.24</v>
      </c>
      <c r="EF3">
        <f t="shared" si="6"/>
        <v>41.32</v>
      </c>
      <c r="EG3">
        <f t="shared" si="6"/>
        <v>31.63</v>
      </c>
      <c r="EH3">
        <f t="shared" si="6"/>
        <v>37.56</v>
      </c>
      <c r="EI3">
        <f t="shared" si="6"/>
        <v>41.81</v>
      </c>
      <c r="EJ3">
        <f t="shared" si="6"/>
        <v>5.6109999999999998</v>
      </c>
      <c r="EK3">
        <f t="shared" si="6"/>
        <v>59.247999999999998</v>
      </c>
      <c r="EL3">
        <f t="shared" si="6"/>
        <v>2.1</v>
      </c>
      <c r="EM3">
        <f t="shared" si="6"/>
        <v>1.7</v>
      </c>
      <c r="EN3">
        <f t="shared" si="6"/>
        <v>1.1599999999999999</v>
      </c>
      <c r="EO3">
        <f t="shared" si="6"/>
        <v>1.17</v>
      </c>
      <c r="EP3">
        <f t="shared" si="6"/>
        <v>-122.282</v>
      </c>
      <c r="EQ3">
        <f t="shared" si="6"/>
        <v>-2.7149999999999999</v>
      </c>
      <c r="ER3">
        <f t="shared" si="6"/>
        <v>0.65</v>
      </c>
      <c r="ES3">
        <f t="shared" si="6"/>
        <v>0.77600000000000002</v>
      </c>
      <c r="ET3">
        <f t="shared" si="6"/>
        <v>0.8</v>
      </c>
      <c r="EU3">
        <f t="shared" si="6"/>
        <v>0.76400000000000001</v>
      </c>
      <c r="EV3">
        <f t="shared" si="6"/>
        <v>7.6769999999999996</v>
      </c>
      <c r="EW3">
        <f t="shared" si="6"/>
        <v>2.5099999999999998</v>
      </c>
      <c r="EX3">
        <f t="shared" si="6"/>
        <v>-315.3</v>
      </c>
      <c r="EY3">
        <f t="shared" si="6"/>
        <v>0</v>
      </c>
      <c r="EZ3">
        <f t="shared" si="6"/>
        <v>0</v>
      </c>
      <c r="FA3">
        <f t="shared" si="6"/>
        <v>0</v>
      </c>
      <c r="FB3">
        <f t="shared" si="6"/>
        <v>7.7050000000000001</v>
      </c>
      <c r="FC3">
        <f t="shared" si="6"/>
        <v>57.158999999999999</v>
      </c>
      <c r="FD3">
        <f t="shared" si="6"/>
        <v>52.984000000000002</v>
      </c>
      <c r="FE3">
        <f t="shared" si="6"/>
        <v>54.686999999999998</v>
      </c>
      <c r="FF3">
        <f t="shared" si="6"/>
        <v>56.301000000000002</v>
      </c>
      <c r="FG3">
        <f t="shared" si="6"/>
        <v>0.91200000000000003</v>
      </c>
      <c r="FH3">
        <f t="shared" si="6"/>
        <v>0.91300000000000003</v>
      </c>
      <c r="FI3">
        <f t="shared" si="6"/>
        <v>0.99299999999999999</v>
      </c>
      <c r="FJ3">
        <f t="shared" si="6"/>
        <v>0.997</v>
      </c>
      <c r="FK3">
        <f t="shared" si="6"/>
        <v>0</v>
      </c>
      <c r="FL3">
        <f t="shared" si="6"/>
        <v>81</v>
      </c>
      <c r="FM3">
        <f t="shared" si="6"/>
        <v>2.1800000000000002</v>
      </c>
      <c r="FN3">
        <f t="shared" si="6"/>
        <v>-0.47</v>
      </c>
      <c r="FO3">
        <f t="shared" si="6"/>
        <v>4.7300000000000004</v>
      </c>
      <c r="FP3">
        <f t="shared" si="6"/>
        <v>0.4</v>
      </c>
      <c r="FQ3">
        <f t="shared" si="6"/>
        <v>0.55000000000000004</v>
      </c>
      <c r="FR3">
        <f t="shared" si="6"/>
        <v>4.9000000000000004</v>
      </c>
      <c r="FS3">
        <f t="shared" si="6"/>
        <v>3.9180000000000001</v>
      </c>
      <c r="FT3">
        <f t="shared" si="6"/>
        <v>1030.2</v>
      </c>
      <c r="FU3">
        <f t="shared" si="6"/>
        <v>0</v>
      </c>
      <c r="FV3">
        <f t="shared" si="6"/>
        <v>0</v>
      </c>
      <c r="FW3">
        <f t="shared" si="6"/>
        <v>3.5</v>
      </c>
      <c r="FX3">
        <f t="shared" si="6"/>
        <v>0</v>
      </c>
      <c r="FY3">
        <f t="shared" si="6"/>
        <v>0</v>
      </c>
      <c r="FZ3">
        <f t="shared" si="6"/>
        <v>47.253999999999998</v>
      </c>
      <c r="GA3">
        <f t="shared" si="6"/>
        <v>47.255000000000003</v>
      </c>
      <c r="GB3">
        <f t="shared" si="6"/>
        <v>2116.1</v>
      </c>
      <c r="GC3">
        <f t="shared" si="6"/>
        <v>2116.6999999999998</v>
      </c>
      <c r="GD3">
        <f t="shared" si="6"/>
        <v>1014.3</v>
      </c>
      <c r="GE3">
        <f t="shared" si="6"/>
        <v>1014.8</v>
      </c>
      <c r="GF3">
        <f t="shared" si="6"/>
        <v>29.578099999999999</v>
      </c>
      <c r="GG3">
        <f t="shared" si="6"/>
        <v>28</v>
      </c>
      <c r="GH3">
        <f t="shared" si="6"/>
        <v>28.1</v>
      </c>
      <c r="GI3">
        <f t="shared" si="6"/>
        <v>46.6</v>
      </c>
      <c r="GJ3">
        <f t="shared" si="6"/>
        <v>51.5</v>
      </c>
      <c r="GK3">
        <f t="shared" si="6"/>
        <v>89</v>
      </c>
      <c r="GL3">
        <f t="shared" si="6"/>
        <v>24</v>
      </c>
      <c r="GM3">
        <f t="shared" si="6"/>
        <v>0</v>
      </c>
      <c r="GN3">
        <f t="shared" si="6"/>
        <v>26.353000000000002</v>
      </c>
      <c r="GO3">
        <f t="shared" ref="GO3:HM3" si="7">MIN(GO8:GO108)</f>
        <v>0.81</v>
      </c>
      <c r="GP3">
        <f t="shared" si="7"/>
        <v>0</v>
      </c>
      <c r="GQ3">
        <f t="shared" si="7"/>
        <v>1.77</v>
      </c>
      <c r="GR3">
        <f t="shared" si="7"/>
        <v>0</v>
      </c>
      <c r="GS3">
        <f t="shared" si="7"/>
        <v>1.77</v>
      </c>
      <c r="GT3">
        <f t="shared" si="7"/>
        <v>0</v>
      </c>
      <c r="GU3">
        <f t="shared" si="7"/>
        <v>1.7110000000000001</v>
      </c>
      <c r="GV3">
        <f t="shared" si="7"/>
        <v>0</v>
      </c>
      <c r="GW3">
        <f t="shared" si="7"/>
        <v>0</v>
      </c>
      <c r="GX3">
        <f t="shared" si="7"/>
        <v>0</v>
      </c>
      <c r="GY3">
        <f t="shared" si="7"/>
        <v>0</v>
      </c>
      <c r="GZ3">
        <f t="shared" si="7"/>
        <v>0</v>
      </c>
      <c r="HA3">
        <f t="shared" si="7"/>
        <v>0</v>
      </c>
      <c r="HB3">
        <f t="shared" si="7"/>
        <v>0</v>
      </c>
      <c r="HC3">
        <f t="shared" si="7"/>
        <v>14.71</v>
      </c>
      <c r="HD3">
        <f t="shared" si="7"/>
        <v>74</v>
      </c>
      <c r="HE3">
        <f t="shared" si="7"/>
        <v>0</v>
      </c>
      <c r="HF3">
        <f t="shared" si="7"/>
        <v>0</v>
      </c>
      <c r="HG3">
        <f t="shared" si="7"/>
        <v>69.239999999999995</v>
      </c>
      <c r="HH3">
        <f t="shared" si="7"/>
        <v>58.79</v>
      </c>
      <c r="HI3">
        <f t="shared" si="7"/>
        <v>0</v>
      </c>
      <c r="HJ3">
        <f t="shared" si="7"/>
        <v>0</v>
      </c>
      <c r="HK3">
        <f t="shared" si="7"/>
        <v>0</v>
      </c>
      <c r="HL3">
        <f t="shared" si="7"/>
        <v>56</v>
      </c>
      <c r="HM3">
        <f t="shared" si="7"/>
        <v>50</v>
      </c>
      <c r="HN3">
        <f t="shared" ref="HN3:HZ3" si="8">MIN(HN8:HN108)</f>
        <v>60</v>
      </c>
      <c r="HO3">
        <f t="shared" si="8"/>
        <v>53</v>
      </c>
      <c r="HP3">
        <f t="shared" si="8"/>
        <v>56</v>
      </c>
      <c r="HQ3">
        <f t="shared" si="8"/>
        <v>54</v>
      </c>
      <c r="HR3">
        <f t="shared" si="8"/>
        <v>48</v>
      </c>
      <c r="HS3">
        <f t="shared" si="8"/>
        <v>54</v>
      </c>
      <c r="HT3">
        <f t="shared" si="8"/>
        <v>-1.4319999999999999</v>
      </c>
      <c r="HU3">
        <f t="shared" si="8"/>
        <v>0</v>
      </c>
      <c r="HV3">
        <f t="shared" si="8"/>
        <v>-8.1000000000000003E-2</v>
      </c>
      <c r="HW3">
        <f t="shared" si="8"/>
        <v>36.65</v>
      </c>
      <c r="HX3">
        <f t="shared" si="8"/>
        <v>37.46</v>
      </c>
      <c r="HY3">
        <f t="shared" si="8"/>
        <v>47.43</v>
      </c>
      <c r="HZ3">
        <f t="shared" si="8"/>
        <v>57.52</v>
      </c>
      <c r="IA3">
        <f>MIN(IA8:IA108)</f>
        <v>4.0000000000000001E-3</v>
      </c>
    </row>
    <row r="4" spans="1:254" x14ac:dyDescent="0.25">
      <c r="B4">
        <f>COLUMN(B1)</f>
        <v>2</v>
      </c>
      <c r="C4">
        <f t="shared" ref="C4:BN4" si="9">COLUMN(C1)</f>
        <v>3</v>
      </c>
      <c r="D4">
        <f t="shared" si="9"/>
        <v>4</v>
      </c>
      <c r="E4">
        <f t="shared" si="9"/>
        <v>5</v>
      </c>
      <c r="F4">
        <f t="shared" si="9"/>
        <v>6</v>
      </c>
      <c r="G4">
        <f t="shared" si="9"/>
        <v>7</v>
      </c>
      <c r="H4">
        <f t="shared" si="9"/>
        <v>8</v>
      </c>
      <c r="I4">
        <f t="shared" si="9"/>
        <v>9</v>
      </c>
      <c r="J4">
        <f t="shared" si="9"/>
        <v>10</v>
      </c>
      <c r="K4">
        <f t="shared" si="9"/>
        <v>11</v>
      </c>
      <c r="L4">
        <f t="shared" si="9"/>
        <v>12</v>
      </c>
      <c r="M4">
        <f t="shared" si="9"/>
        <v>13</v>
      </c>
      <c r="N4">
        <f t="shared" si="9"/>
        <v>14</v>
      </c>
      <c r="O4">
        <f t="shared" si="9"/>
        <v>15</v>
      </c>
      <c r="P4">
        <f t="shared" si="9"/>
        <v>16</v>
      </c>
      <c r="Q4">
        <f t="shared" si="9"/>
        <v>17</v>
      </c>
      <c r="R4">
        <f t="shared" si="9"/>
        <v>18</v>
      </c>
      <c r="S4">
        <f t="shared" si="9"/>
        <v>19</v>
      </c>
      <c r="T4">
        <f t="shared" si="9"/>
        <v>20</v>
      </c>
      <c r="U4">
        <f t="shared" si="9"/>
        <v>21</v>
      </c>
      <c r="V4">
        <f t="shared" si="9"/>
        <v>22</v>
      </c>
      <c r="W4">
        <f t="shared" si="9"/>
        <v>23</v>
      </c>
      <c r="X4">
        <f t="shared" si="9"/>
        <v>24</v>
      </c>
      <c r="Y4">
        <f t="shared" si="9"/>
        <v>25</v>
      </c>
      <c r="Z4">
        <f t="shared" si="9"/>
        <v>26</v>
      </c>
      <c r="AA4">
        <f t="shared" si="9"/>
        <v>27</v>
      </c>
      <c r="AB4">
        <f t="shared" si="9"/>
        <v>28</v>
      </c>
      <c r="AC4">
        <f t="shared" si="9"/>
        <v>29</v>
      </c>
      <c r="AD4">
        <f t="shared" si="9"/>
        <v>30</v>
      </c>
      <c r="AE4">
        <f t="shared" si="9"/>
        <v>31</v>
      </c>
      <c r="AF4">
        <f t="shared" si="9"/>
        <v>32</v>
      </c>
      <c r="AG4">
        <f t="shared" si="9"/>
        <v>33</v>
      </c>
      <c r="AH4">
        <f t="shared" si="9"/>
        <v>34</v>
      </c>
      <c r="AI4">
        <f t="shared" si="9"/>
        <v>35</v>
      </c>
      <c r="AJ4">
        <f t="shared" si="9"/>
        <v>36</v>
      </c>
      <c r="AK4">
        <f t="shared" si="9"/>
        <v>37</v>
      </c>
      <c r="AL4">
        <f t="shared" si="9"/>
        <v>38</v>
      </c>
      <c r="AM4">
        <f t="shared" si="9"/>
        <v>39</v>
      </c>
      <c r="AN4">
        <f t="shared" si="9"/>
        <v>40</v>
      </c>
      <c r="AO4">
        <f t="shared" si="9"/>
        <v>41</v>
      </c>
      <c r="AP4">
        <f t="shared" si="9"/>
        <v>42</v>
      </c>
      <c r="AQ4">
        <f t="shared" si="9"/>
        <v>43</v>
      </c>
      <c r="AR4">
        <f t="shared" si="9"/>
        <v>44</v>
      </c>
      <c r="AS4">
        <f t="shared" si="9"/>
        <v>45</v>
      </c>
      <c r="AT4">
        <f t="shared" si="9"/>
        <v>46</v>
      </c>
      <c r="AU4">
        <f t="shared" si="9"/>
        <v>47</v>
      </c>
      <c r="AV4">
        <f t="shared" si="9"/>
        <v>48</v>
      </c>
      <c r="AW4">
        <f t="shared" si="9"/>
        <v>49</v>
      </c>
      <c r="AX4">
        <f t="shared" si="9"/>
        <v>50</v>
      </c>
      <c r="AY4">
        <f t="shared" si="9"/>
        <v>51</v>
      </c>
      <c r="AZ4">
        <f t="shared" si="9"/>
        <v>52</v>
      </c>
      <c r="BA4">
        <f t="shared" si="9"/>
        <v>53</v>
      </c>
      <c r="BB4">
        <f t="shared" si="9"/>
        <v>54</v>
      </c>
      <c r="BC4">
        <f t="shared" si="9"/>
        <v>55</v>
      </c>
      <c r="BD4">
        <f t="shared" si="9"/>
        <v>56</v>
      </c>
      <c r="BE4">
        <f t="shared" si="9"/>
        <v>57</v>
      </c>
      <c r="BF4">
        <f t="shared" si="9"/>
        <v>58</v>
      </c>
      <c r="BG4">
        <f t="shared" si="9"/>
        <v>59</v>
      </c>
      <c r="BH4">
        <f t="shared" si="9"/>
        <v>60</v>
      </c>
      <c r="BI4">
        <f t="shared" si="9"/>
        <v>61</v>
      </c>
      <c r="BJ4">
        <f t="shared" si="9"/>
        <v>62</v>
      </c>
      <c r="BK4">
        <f t="shared" si="9"/>
        <v>63</v>
      </c>
      <c r="BL4">
        <f t="shared" si="9"/>
        <v>64</v>
      </c>
      <c r="BM4">
        <f t="shared" si="9"/>
        <v>65</v>
      </c>
      <c r="BN4">
        <f t="shared" si="9"/>
        <v>66</v>
      </c>
      <c r="BO4">
        <f t="shared" ref="BO4:DZ4" si="10">COLUMN(BO1)</f>
        <v>67</v>
      </c>
      <c r="BP4">
        <f t="shared" si="10"/>
        <v>68</v>
      </c>
      <c r="BQ4">
        <f t="shared" si="10"/>
        <v>69</v>
      </c>
      <c r="BR4">
        <f t="shared" si="10"/>
        <v>70</v>
      </c>
      <c r="BS4">
        <f t="shared" si="10"/>
        <v>71</v>
      </c>
      <c r="BT4">
        <f t="shared" si="10"/>
        <v>72</v>
      </c>
      <c r="BU4">
        <f t="shared" si="10"/>
        <v>73</v>
      </c>
      <c r="BV4">
        <f t="shared" si="10"/>
        <v>74</v>
      </c>
      <c r="BW4">
        <f t="shared" si="10"/>
        <v>75</v>
      </c>
      <c r="BX4">
        <f t="shared" si="10"/>
        <v>76</v>
      </c>
      <c r="BY4">
        <f t="shared" si="10"/>
        <v>77</v>
      </c>
      <c r="BZ4">
        <f t="shared" si="10"/>
        <v>78</v>
      </c>
      <c r="CA4">
        <f t="shared" si="10"/>
        <v>79</v>
      </c>
      <c r="CB4">
        <f t="shared" si="10"/>
        <v>80</v>
      </c>
      <c r="CC4">
        <f t="shared" si="10"/>
        <v>81</v>
      </c>
      <c r="CD4">
        <f t="shared" si="10"/>
        <v>82</v>
      </c>
      <c r="CE4">
        <f t="shared" si="10"/>
        <v>83</v>
      </c>
      <c r="CF4">
        <f t="shared" si="10"/>
        <v>84</v>
      </c>
      <c r="CG4">
        <f t="shared" si="10"/>
        <v>85</v>
      </c>
      <c r="CH4">
        <f t="shared" si="10"/>
        <v>86</v>
      </c>
      <c r="CI4">
        <f t="shared" si="10"/>
        <v>87</v>
      </c>
      <c r="CJ4">
        <f t="shared" si="10"/>
        <v>88</v>
      </c>
      <c r="CK4">
        <f t="shared" si="10"/>
        <v>89</v>
      </c>
      <c r="CL4">
        <f t="shared" si="10"/>
        <v>90</v>
      </c>
      <c r="CM4">
        <f t="shared" si="10"/>
        <v>91</v>
      </c>
      <c r="CN4">
        <f t="shared" si="10"/>
        <v>92</v>
      </c>
      <c r="CO4">
        <f t="shared" si="10"/>
        <v>93</v>
      </c>
      <c r="CP4">
        <f t="shared" si="10"/>
        <v>94</v>
      </c>
      <c r="CQ4">
        <f t="shared" si="10"/>
        <v>95</v>
      </c>
      <c r="CR4">
        <f t="shared" si="10"/>
        <v>96</v>
      </c>
      <c r="CS4">
        <f t="shared" si="10"/>
        <v>97</v>
      </c>
      <c r="CT4">
        <f t="shared" si="10"/>
        <v>98</v>
      </c>
      <c r="CU4">
        <f t="shared" si="10"/>
        <v>99</v>
      </c>
      <c r="CV4">
        <f t="shared" si="10"/>
        <v>100</v>
      </c>
      <c r="CW4">
        <f t="shared" si="10"/>
        <v>101</v>
      </c>
      <c r="CX4">
        <f t="shared" si="10"/>
        <v>102</v>
      </c>
      <c r="CY4">
        <f t="shared" si="10"/>
        <v>103</v>
      </c>
      <c r="CZ4">
        <f t="shared" si="10"/>
        <v>104</v>
      </c>
      <c r="DA4">
        <f t="shared" si="10"/>
        <v>105</v>
      </c>
      <c r="DB4">
        <f t="shared" si="10"/>
        <v>106</v>
      </c>
      <c r="DC4">
        <f t="shared" si="10"/>
        <v>107</v>
      </c>
      <c r="DD4">
        <f t="shared" si="10"/>
        <v>108</v>
      </c>
      <c r="DE4">
        <f t="shared" si="10"/>
        <v>109</v>
      </c>
      <c r="DF4">
        <f t="shared" si="10"/>
        <v>110</v>
      </c>
      <c r="DG4">
        <f t="shared" si="10"/>
        <v>111</v>
      </c>
      <c r="DH4">
        <f t="shared" si="10"/>
        <v>112</v>
      </c>
      <c r="DI4">
        <f t="shared" si="10"/>
        <v>113</v>
      </c>
      <c r="DJ4">
        <f t="shared" si="10"/>
        <v>114</v>
      </c>
      <c r="DK4">
        <f t="shared" si="10"/>
        <v>115</v>
      </c>
      <c r="DL4">
        <f t="shared" si="10"/>
        <v>116</v>
      </c>
      <c r="DM4">
        <f t="shared" si="10"/>
        <v>117</v>
      </c>
      <c r="DN4">
        <f t="shared" si="10"/>
        <v>118</v>
      </c>
      <c r="DO4">
        <f t="shared" si="10"/>
        <v>119</v>
      </c>
      <c r="DP4">
        <f t="shared" si="10"/>
        <v>120</v>
      </c>
      <c r="DQ4">
        <f t="shared" si="10"/>
        <v>121</v>
      </c>
      <c r="DR4">
        <f t="shared" si="10"/>
        <v>122</v>
      </c>
      <c r="DS4">
        <f t="shared" si="10"/>
        <v>123</v>
      </c>
      <c r="DT4">
        <f t="shared" si="10"/>
        <v>124</v>
      </c>
      <c r="DU4">
        <f t="shared" si="10"/>
        <v>125</v>
      </c>
      <c r="DV4">
        <f t="shared" si="10"/>
        <v>126</v>
      </c>
      <c r="DW4">
        <f t="shared" si="10"/>
        <v>127</v>
      </c>
      <c r="DX4">
        <f t="shared" si="10"/>
        <v>128</v>
      </c>
      <c r="DY4">
        <f t="shared" si="10"/>
        <v>129</v>
      </c>
      <c r="DZ4">
        <f t="shared" si="10"/>
        <v>130</v>
      </c>
      <c r="EA4">
        <f t="shared" ref="EA4:GL4" si="11">COLUMN(EA1)</f>
        <v>131</v>
      </c>
      <c r="EB4">
        <f t="shared" si="11"/>
        <v>132</v>
      </c>
      <c r="EC4">
        <f t="shared" si="11"/>
        <v>133</v>
      </c>
      <c r="ED4">
        <f t="shared" si="11"/>
        <v>134</v>
      </c>
      <c r="EE4">
        <f t="shared" si="11"/>
        <v>135</v>
      </c>
      <c r="EF4">
        <f t="shared" si="11"/>
        <v>136</v>
      </c>
      <c r="EG4">
        <f t="shared" si="11"/>
        <v>137</v>
      </c>
      <c r="EH4">
        <f t="shared" si="11"/>
        <v>138</v>
      </c>
      <c r="EI4">
        <f t="shared" si="11"/>
        <v>139</v>
      </c>
      <c r="EJ4">
        <f t="shared" si="11"/>
        <v>140</v>
      </c>
      <c r="EK4">
        <f t="shared" si="11"/>
        <v>141</v>
      </c>
      <c r="EL4">
        <f t="shared" si="11"/>
        <v>142</v>
      </c>
      <c r="EM4">
        <f t="shared" si="11"/>
        <v>143</v>
      </c>
      <c r="EN4">
        <f t="shared" si="11"/>
        <v>144</v>
      </c>
      <c r="EO4">
        <f t="shared" si="11"/>
        <v>145</v>
      </c>
      <c r="EP4">
        <f t="shared" si="11"/>
        <v>146</v>
      </c>
      <c r="EQ4">
        <f t="shared" si="11"/>
        <v>147</v>
      </c>
      <c r="ER4">
        <f t="shared" si="11"/>
        <v>148</v>
      </c>
      <c r="ES4">
        <f t="shared" si="11"/>
        <v>149</v>
      </c>
      <c r="ET4">
        <f t="shared" si="11"/>
        <v>150</v>
      </c>
      <c r="EU4">
        <f t="shared" si="11"/>
        <v>151</v>
      </c>
      <c r="EV4">
        <f t="shared" si="11"/>
        <v>152</v>
      </c>
      <c r="EW4">
        <f t="shared" si="11"/>
        <v>153</v>
      </c>
      <c r="EX4">
        <f t="shared" si="11"/>
        <v>154</v>
      </c>
      <c r="EY4">
        <f t="shared" si="11"/>
        <v>155</v>
      </c>
      <c r="EZ4">
        <f t="shared" si="11"/>
        <v>156</v>
      </c>
      <c r="FA4">
        <f t="shared" si="11"/>
        <v>157</v>
      </c>
      <c r="FB4">
        <f t="shared" si="11"/>
        <v>158</v>
      </c>
      <c r="FC4">
        <f t="shared" si="11"/>
        <v>159</v>
      </c>
      <c r="FD4">
        <f t="shared" si="11"/>
        <v>160</v>
      </c>
      <c r="FE4">
        <f t="shared" si="11"/>
        <v>161</v>
      </c>
      <c r="FF4">
        <f t="shared" si="11"/>
        <v>162</v>
      </c>
      <c r="FG4">
        <f t="shared" si="11"/>
        <v>163</v>
      </c>
      <c r="FH4">
        <f t="shared" si="11"/>
        <v>164</v>
      </c>
      <c r="FI4">
        <f t="shared" si="11"/>
        <v>165</v>
      </c>
      <c r="FJ4">
        <f t="shared" si="11"/>
        <v>166</v>
      </c>
      <c r="FK4">
        <f t="shared" si="11"/>
        <v>167</v>
      </c>
      <c r="FL4">
        <f t="shared" si="11"/>
        <v>168</v>
      </c>
      <c r="FM4">
        <f t="shared" si="11"/>
        <v>169</v>
      </c>
      <c r="FN4">
        <f t="shared" si="11"/>
        <v>170</v>
      </c>
      <c r="FO4">
        <f t="shared" si="11"/>
        <v>171</v>
      </c>
      <c r="FP4">
        <f t="shared" si="11"/>
        <v>172</v>
      </c>
      <c r="FQ4">
        <f t="shared" si="11"/>
        <v>173</v>
      </c>
      <c r="FR4">
        <f t="shared" si="11"/>
        <v>174</v>
      </c>
      <c r="FS4">
        <f t="shared" si="11"/>
        <v>175</v>
      </c>
      <c r="FT4">
        <f t="shared" si="11"/>
        <v>176</v>
      </c>
      <c r="FU4">
        <f t="shared" si="11"/>
        <v>177</v>
      </c>
      <c r="FV4">
        <f t="shared" si="11"/>
        <v>178</v>
      </c>
      <c r="FW4">
        <f t="shared" si="11"/>
        <v>179</v>
      </c>
      <c r="FX4">
        <f t="shared" si="11"/>
        <v>180</v>
      </c>
      <c r="FY4">
        <f t="shared" si="11"/>
        <v>181</v>
      </c>
      <c r="FZ4">
        <f t="shared" si="11"/>
        <v>182</v>
      </c>
      <c r="GA4">
        <f t="shared" si="11"/>
        <v>183</v>
      </c>
      <c r="GB4">
        <f t="shared" si="11"/>
        <v>184</v>
      </c>
      <c r="GC4">
        <f t="shared" si="11"/>
        <v>185</v>
      </c>
      <c r="GD4">
        <f t="shared" si="11"/>
        <v>186</v>
      </c>
      <c r="GE4">
        <f t="shared" si="11"/>
        <v>187</v>
      </c>
      <c r="GF4">
        <f t="shared" si="11"/>
        <v>188</v>
      </c>
      <c r="GG4">
        <f t="shared" si="11"/>
        <v>189</v>
      </c>
      <c r="GH4">
        <f t="shared" si="11"/>
        <v>190</v>
      </c>
      <c r="GI4">
        <f t="shared" si="11"/>
        <v>191</v>
      </c>
      <c r="GJ4">
        <f t="shared" si="11"/>
        <v>192</v>
      </c>
      <c r="GK4">
        <f t="shared" si="11"/>
        <v>193</v>
      </c>
      <c r="GL4">
        <f t="shared" si="11"/>
        <v>194</v>
      </c>
      <c r="GM4">
        <f t="shared" ref="GM4:IT4" si="12">COLUMN(GM1)</f>
        <v>195</v>
      </c>
      <c r="GN4">
        <f t="shared" si="12"/>
        <v>196</v>
      </c>
      <c r="GO4">
        <f t="shared" si="12"/>
        <v>197</v>
      </c>
      <c r="GP4">
        <f t="shared" si="12"/>
        <v>198</v>
      </c>
      <c r="GQ4">
        <f t="shared" si="12"/>
        <v>199</v>
      </c>
      <c r="GR4">
        <f t="shared" si="12"/>
        <v>200</v>
      </c>
      <c r="GS4">
        <f t="shared" si="12"/>
        <v>201</v>
      </c>
      <c r="GT4">
        <f t="shared" si="12"/>
        <v>202</v>
      </c>
      <c r="GU4">
        <f t="shared" si="12"/>
        <v>203</v>
      </c>
      <c r="GV4">
        <f t="shared" si="12"/>
        <v>204</v>
      </c>
      <c r="GW4">
        <f t="shared" si="12"/>
        <v>205</v>
      </c>
      <c r="GX4">
        <f t="shared" si="12"/>
        <v>206</v>
      </c>
      <c r="GY4">
        <f t="shared" si="12"/>
        <v>207</v>
      </c>
      <c r="GZ4">
        <f t="shared" si="12"/>
        <v>208</v>
      </c>
      <c r="HA4">
        <f t="shared" si="12"/>
        <v>209</v>
      </c>
      <c r="HB4">
        <f t="shared" si="12"/>
        <v>210</v>
      </c>
      <c r="HC4">
        <f t="shared" si="12"/>
        <v>211</v>
      </c>
      <c r="HD4">
        <f t="shared" si="12"/>
        <v>212</v>
      </c>
      <c r="HE4">
        <f t="shared" si="12"/>
        <v>213</v>
      </c>
      <c r="HF4">
        <f t="shared" si="12"/>
        <v>214</v>
      </c>
      <c r="HG4">
        <f t="shared" si="12"/>
        <v>215</v>
      </c>
      <c r="HH4">
        <f t="shared" si="12"/>
        <v>216</v>
      </c>
      <c r="HI4">
        <f t="shared" si="12"/>
        <v>217</v>
      </c>
      <c r="HJ4">
        <f t="shared" si="12"/>
        <v>218</v>
      </c>
      <c r="HK4">
        <f t="shared" si="12"/>
        <v>219</v>
      </c>
      <c r="HL4">
        <f t="shared" si="12"/>
        <v>220</v>
      </c>
      <c r="HM4">
        <f t="shared" si="12"/>
        <v>221</v>
      </c>
      <c r="HN4">
        <f t="shared" si="12"/>
        <v>222</v>
      </c>
      <c r="HO4">
        <f t="shared" si="12"/>
        <v>223</v>
      </c>
      <c r="HP4">
        <f t="shared" si="12"/>
        <v>224</v>
      </c>
      <c r="HQ4">
        <f t="shared" si="12"/>
        <v>225</v>
      </c>
      <c r="HR4">
        <f t="shared" si="12"/>
        <v>226</v>
      </c>
      <c r="HS4">
        <f t="shared" si="12"/>
        <v>227</v>
      </c>
      <c r="HT4">
        <f t="shared" si="12"/>
        <v>228</v>
      </c>
      <c r="HU4">
        <f t="shared" si="12"/>
        <v>229</v>
      </c>
      <c r="HV4">
        <f t="shared" si="12"/>
        <v>230</v>
      </c>
      <c r="HW4">
        <f t="shared" si="12"/>
        <v>231</v>
      </c>
      <c r="HX4">
        <f t="shared" si="12"/>
        <v>232</v>
      </c>
      <c r="HY4">
        <f t="shared" si="12"/>
        <v>233</v>
      </c>
      <c r="HZ4">
        <f t="shared" si="12"/>
        <v>234</v>
      </c>
      <c r="IA4">
        <f t="shared" si="12"/>
        <v>235</v>
      </c>
      <c r="IB4">
        <f t="shared" si="12"/>
        <v>236</v>
      </c>
      <c r="IC4">
        <f t="shared" si="12"/>
        <v>237</v>
      </c>
      <c r="ID4">
        <f t="shared" si="12"/>
        <v>238</v>
      </c>
      <c r="IE4">
        <f t="shared" si="12"/>
        <v>239</v>
      </c>
      <c r="IF4">
        <f t="shared" si="12"/>
        <v>240</v>
      </c>
      <c r="IG4">
        <f t="shared" si="12"/>
        <v>241</v>
      </c>
      <c r="IH4">
        <f t="shared" si="12"/>
        <v>242</v>
      </c>
      <c r="II4">
        <f t="shared" si="12"/>
        <v>243</v>
      </c>
      <c r="IJ4">
        <f t="shared" si="12"/>
        <v>244</v>
      </c>
      <c r="IK4">
        <f t="shared" si="12"/>
        <v>245</v>
      </c>
      <c r="IL4">
        <f t="shared" si="12"/>
        <v>246</v>
      </c>
      <c r="IM4">
        <f t="shared" si="12"/>
        <v>247</v>
      </c>
      <c r="IN4">
        <f t="shared" si="12"/>
        <v>248</v>
      </c>
      <c r="IO4">
        <f t="shared" si="12"/>
        <v>249</v>
      </c>
      <c r="IP4">
        <f t="shared" si="12"/>
        <v>250</v>
      </c>
      <c r="IQ4">
        <f t="shared" si="12"/>
        <v>251</v>
      </c>
      <c r="IR4">
        <f t="shared" si="12"/>
        <v>252</v>
      </c>
      <c r="IS4">
        <f t="shared" si="12"/>
        <v>253</v>
      </c>
      <c r="IT4">
        <f t="shared" si="12"/>
        <v>254</v>
      </c>
    </row>
    <row r="5" spans="1:254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259</v>
      </c>
      <c r="AQ5" s="1" t="s">
        <v>260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249</v>
      </c>
      <c r="BW5" s="1" t="s">
        <v>250</v>
      </c>
      <c r="BX5" s="1" t="s">
        <v>251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252</v>
      </c>
      <c r="DF5" s="1" t="s">
        <v>253</v>
      </c>
      <c r="DG5" s="1" t="s">
        <v>254</v>
      </c>
      <c r="DH5" s="1" t="s">
        <v>255</v>
      </c>
      <c r="DI5" s="1" t="s">
        <v>256</v>
      </c>
      <c r="DJ5" s="1" t="s">
        <v>257</v>
      </c>
      <c r="DK5" s="1" t="s">
        <v>258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399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403</v>
      </c>
      <c r="IQ5" s="1" t="s">
        <v>404</v>
      </c>
      <c r="IR5" s="1" t="s">
        <v>405</v>
      </c>
      <c r="IS5" s="57" t="s">
        <v>408</v>
      </c>
      <c r="IT5" s="57" t="s">
        <v>409</v>
      </c>
    </row>
    <row r="6" spans="1:254" x14ac:dyDescent="0.25">
      <c r="A6" s="6" t="s">
        <v>137</v>
      </c>
      <c r="B6" s="2" t="s">
        <v>410</v>
      </c>
      <c r="C6" s="2" t="s">
        <v>41</v>
      </c>
      <c r="D6" s="58">
        <v>1.5064814814814816E-2</v>
      </c>
      <c r="E6" s="50">
        <v>1301.5999999999999</v>
      </c>
      <c r="F6" s="49">
        <v>324.63</v>
      </c>
      <c r="G6" s="49">
        <v>5.53</v>
      </c>
      <c r="H6" s="50">
        <v>27.8</v>
      </c>
      <c r="I6" s="50">
        <v>0</v>
      </c>
      <c r="J6" s="50">
        <v>1064.3</v>
      </c>
      <c r="K6" s="50">
        <v>6</v>
      </c>
      <c r="L6" s="50">
        <v>4</v>
      </c>
      <c r="M6" s="50">
        <v>6</v>
      </c>
      <c r="N6" s="50">
        <v>3</v>
      </c>
      <c r="O6" s="50">
        <v>3</v>
      </c>
      <c r="P6" s="49">
        <v>0.67800000000000005</v>
      </c>
      <c r="Q6" s="49">
        <v>1.0649999999999999</v>
      </c>
      <c r="R6" s="49">
        <v>0.61399999999999999</v>
      </c>
      <c r="S6" s="50">
        <v>0.45800000000000002</v>
      </c>
      <c r="T6" s="49">
        <v>60.56</v>
      </c>
      <c r="U6" s="49">
        <v>61.243000000000002</v>
      </c>
      <c r="V6" s="50">
        <v>60</v>
      </c>
      <c r="W6" s="50">
        <v>40</v>
      </c>
      <c r="X6" s="50">
        <v>80</v>
      </c>
      <c r="Y6" s="50">
        <v>80</v>
      </c>
      <c r="Z6" s="49">
        <v>126.88</v>
      </c>
      <c r="AA6" s="49">
        <v>108.21</v>
      </c>
      <c r="AB6" s="49">
        <v>105.39</v>
      </c>
      <c r="AC6" s="49">
        <v>111.77</v>
      </c>
      <c r="AD6" s="49">
        <v>1.542</v>
      </c>
      <c r="AE6" s="49">
        <v>1.165</v>
      </c>
      <c r="AF6" s="49">
        <v>1.577</v>
      </c>
      <c r="AG6" s="49">
        <v>1.6</v>
      </c>
      <c r="AH6" s="49">
        <v>-15.46</v>
      </c>
      <c r="AI6" s="49">
        <v>31.72</v>
      </c>
      <c r="AJ6" s="49">
        <v>-17.03</v>
      </c>
      <c r="AK6" s="49">
        <v>-19.12</v>
      </c>
      <c r="AL6" s="49">
        <v>552.471</v>
      </c>
      <c r="AM6" s="49">
        <v>590.82500000000005</v>
      </c>
      <c r="AN6" s="49">
        <v>701.22</v>
      </c>
      <c r="AO6" s="49">
        <v>748.75599999999997</v>
      </c>
      <c r="AP6" s="50">
        <v>1.4830000000000001</v>
      </c>
      <c r="AQ6" s="50">
        <v>1.9990000000000001</v>
      </c>
      <c r="AR6" s="49">
        <v>41.505000000000003</v>
      </c>
      <c r="AS6" s="49">
        <v>36.948</v>
      </c>
      <c r="AT6" s="49">
        <v>82</v>
      </c>
      <c r="AU6" s="49">
        <v>88</v>
      </c>
      <c r="AV6" s="49">
        <v>2.0575000000000001</v>
      </c>
      <c r="AW6" s="50">
        <v>5.5628000000000002</v>
      </c>
      <c r="AX6" s="50">
        <v>1023.9</v>
      </c>
      <c r="AY6" s="49">
        <v>2.37</v>
      </c>
      <c r="AZ6" s="50">
        <v>0.23</v>
      </c>
      <c r="BA6" s="50">
        <v>66.207999999999998</v>
      </c>
      <c r="BB6" s="50">
        <v>66.5</v>
      </c>
      <c r="BC6" s="49">
        <v>7786</v>
      </c>
      <c r="BD6" s="49">
        <v>89.25</v>
      </c>
      <c r="BE6" s="49">
        <v>15.955</v>
      </c>
      <c r="BF6" s="49">
        <v>13.71</v>
      </c>
      <c r="BG6" s="49">
        <v>28.69</v>
      </c>
      <c r="BH6" s="49">
        <v>27.55</v>
      </c>
      <c r="BI6" s="49">
        <v>64.66</v>
      </c>
      <c r="BJ6" s="49">
        <v>80.679000000000002</v>
      </c>
      <c r="BK6" s="49">
        <v>62.966000000000001</v>
      </c>
      <c r="BL6" s="50">
        <v>78.025000000000006</v>
      </c>
      <c r="BM6" s="49">
        <v>78.210999999999999</v>
      </c>
      <c r="BN6" s="49">
        <v>81.831999999999994</v>
      </c>
      <c r="BO6" s="49">
        <v>78.456000000000003</v>
      </c>
      <c r="BP6" s="49">
        <v>91.703999999999994</v>
      </c>
      <c r="BQ6" s="49">
        <v>90.584000000000003</v>
      </c>
      <c r="BR6" s="49">
        <v>57.31</v>
      </c>
      <c r="BS6" s="49">
        <v>26</v>
      </c>
      <c r="BT6" s="49">
        <v>6804.4669999999996</v>
      </c>
      <c r="BU6" s="50">
        <v>51.375</v>
      </c>
      <c r="BV6" s="49">
        <v>52.164000000000001</v>
      </c>
      <c r="BW6" s="49">
        <v>54.872</v>
      </c>
      <c r="BX6" s="49">
        <v>54.857999999999997</v>
      </c>
      <c r="BY6" s="49">
        <v>1.5189999999999999</v>
      </c>
      <c r="BZ6" s="49">
        <v>2.2549999999999999</v>
      </c>
      <c r="CA6" s="49">
        <v>2.8620000000000001</v>
      </c>
      <c r="CB6" s="49">
        <v>3.0990000000000002</v>
      </c>
      <c r="CC6" s="49">
        <v>1.319</v>
      </c>
      <c r="CD6" s="49">
        <v>2.5409999999999999</v>
      </c>
      <c r="CE6" s="49">
        <v>1.4119999999999999</v>
      </c>
      <c r="CF6" s="50">
        <v>2.2400000000000002</v>
      </c>
      <c r="CG6" s="49">
        <v>13.036</v>
      </c>
      <c r="CH6" s="50">
        <v>9.7460000000000004</v>
      </c>
      <c r="CI6" s="49">
        <v>4.5979999999999999</v>
      </c>
      <c r="CJ6" s="49">
        <v>-930411.30900000001</v>
      </c>
      <c r="CK6" s="49">
        <v>1.0649999999999999</v>
      </c>
      <c r="CL6" s="49">
        <v>0.2</v>
      </c>
      <c r="CM6" s="49">
        <v>0.2</v>
      </c>
      <c r="CN6" s="49">
        <v>0</v>
      </c>
      <c r="CO6" s="49">
        <v>0</v>
      </c>
      <c r="CP6" s="49">
        <v>36.561</v>
      </c>
      <c r="CQ6" s="49">
        <v>35.218000000000004</v>
      </c>
      <c r="CR6" s="49">
        <v>37.722999999999999</v>
      </c>
      <c r="CS6" s="49">
        <v>35.43</v>
      </c>
      <c r="CT6" s="49">
        <v>0.24299999999999999</v>
      </c>
      <c r="CU6" s="50">
        <v>1.3</v>
      </c>
      <c r="CV6" s="49">
        <v>0.9</v>
      </c>
      <c r="CW6" s="49">
        <v>1.3939999999999999</v>
      </c>
      <c r="CX6" s="49">
        <v>1.502</v>
      </c>
      <c r="CY6" s="49">
        <v>0.7</v>
      </c>
      <c r="CZ6" s="50">
        <v>1.296</v>
      </c>
      <c r="DA6" s="49">
        <v>0.7</v>
      </c>
      <c r="DB6" s="49">
        <v>1.4970000000000001</v>
      </c>
      <c r="DC6" s="50">
        <v>0</v>
      </c>
      <c r="DD6" s="50">
        <v>0</v>
      </c>
      <c r="DE6" s="49">
        <v>5.8999999999999997E-2</v>
      </c>
      <c r="DF6" s="49">
        <v>3.9E-2</v>
      </c>
      <c r="DG6" s="49">
        <v>0.193</v>
      </c>
      <c r="DH6" s="49">
        <v>1.252</v>
      </c>
      <c r="DI6" s="49">
        <v>1.2430000000000001</v>
      </c>
      <c r="DJ6" s="50">
        <v>0.17799999999999999</v>
      </c>
      <c r="DK6" s="50">
        <v>0.81299999999999994</v>
      </c>
      <c r="DL6" s="49">
        <v>0.41599999999999998</v>
      </c>
      <c r="DM6" s="49">
        <v>0.49199999999999999</v>
      </c>
      <c r="DN6" s="50">
        <v>0.49199999999999999</v>
      </c>
      <c r="DO6" s="49">
        <v>0.35699999999999998</v>
      </c>
      <c r="DP6" s="49">
        <v>64.88</v>
      </c>
      <c r="DQ6" s="49">
        <v>60.57</v>
      </c>
      <c r="DR6" s="49">
        <v>53.213999999999999</v>
      </c>
      <c r="DS6" s="49">
        <v>48.881</v>
      </c>
      <c r="DT6" s="49">
        <v>0.76</v>
      </c>
      <c r="DU6" s="49">
        <v>0.77</v>
      </c>
      <c r="DV6" s="49">
        <v>1.59</v>
      </c>
      <c r="DW6" s="49">
        <v>1.33</v>
      </c>
      <c r="DX6" s="49">
        <v>0.79</v>
      </c>
      <c r="DY6" s="49">
        <v>0.75</v>
      </c>
      <c r="DZ6" s="49">
        <v>1.45</v>
      </c>
      <c r="EA6" s="49">
        <v>1.23</v>
      </c>
      <c r="EB6" s="49">
        <v>9.67</v>
      </c>
      <c r="EC6" s="49">
        <v>9.41</v>
      </c>
      <c r="ED6" s="49">
        <v>7.8</v>
      </c>
      <c r="EE6" s="49">
        <v>7.65</v>
      </c>
      <c r="EF6" s="50">
        <v>88.78</v>
      </c>
      <c r="EG6" s="50">
        <v>89.07</v>
      </c>
      <c r="EH6" s="50">
        <v>89.17</v>
      </c>
      <c r="EI6" s="50">
        <v>89.79</v>
      </c>
      <c r="EJ6" s="49">
        <v>4.633</v>
      </c>
      <c r="EK6" s="49">
        <v>49.033999999999999</v>
      </c>
      <c r="EL6" s="50">
        <v>2.2999999999999998</v>
      </c>
      <c r="EM6" s="50">
        <v>1.65</v>
      </c>
      <c r="EN6" s="49">
        <v>1.08</v>
      </c>
      <c r="EO6" s="49">
        <v>1.08</v>
      </c>
      <c r="EP6" s="49">
        <v>-97.462000000000003</v>
      </c>
      <c r="EQ6" s="49">
        <v>-0.25700000000000001</v>
      </c>
      <c r="ER6" s="49">
        <v>101.098</v>
      </c>
      <c r="ES6" s="49">
        <v>0.48799999999999999</v>
      </c>
      <c r="ET6" s="49">
        <v>0.50700000000000001</v>
      </c>
      <c r="EU6" s="49">
        <v>0.47599999999999998</v>
      </c>
      <c r="EV6" s="50">
        <v>8.1470000000000002</v>
      </c>
      <c r="EW6" s="49">
        <v>2.87</v>
      </c>
      <c r="EX6" s="49">
        <v>-258.95999999999998</v>
      </c>
      <c r="EY6" s="49">
        <v>0</v>
      </c>
      <c r="EZ6" s="50">
        <v>182.06700000000001</v>
      </c>
      <c r="FA6" s="50">
        <v>0</v>
      </c>
      <c r="FB6" s="49">
        <v>5.0410000000000004</v>
      </c>
      <c r="FC6" s="49">
        <v>15.601000000000001</v>
      </c>
      <c r="FD6" s="49">
        <v>57.045000000000002</v>
      </c>
      <c r="FE6" s="49">
        <v>12.644</v>
      </c>
      <c r="FF6" s="49">
        <v>11.505000000000001</v>
      </c>
      <c r="FG6" s="50">
        <v>1.0109999999999999</v>
      </c>
      <c r="FH6" s="50">
        <v>1.01</v>
      </c>
      <c r="FI6" s="49">
        <v>1.002</v>
      </c>
      <c r="FJ6" s="49">
        <v>1.0029999999999999</v>
      </c>
      <c r="FK6" s="50">
        <v>0.20200000000000001</v>
      </c>
      <c r="FL6" s="49">
        <v>82</v>
      </c>
      <c r="FM6" s="49">
        <v>3.69</v>
      </c>
      <c r="FN6" s="50">
        <v>1.91</v>
      </c>
      <c r="FO6" s="50">
        <v>0.23</v>
      </c>
      <c r="FP6" s="50">
        <v>0.6</v>
      </c>
      <c r="FQ6" s="50">
        <v>1.55</v>
      </c>
      <c r="FR6" s="49">
        <v>5.2</v>
      </c>
      <c r="FS6" s="50">
        <v>6.7424999999999997</v>
      </c>
      <c r="FT6" s="49">
        <v>1069.2</v>
      </c>
      <c r="FU6" s="49">
        <v>5.88</v>
      </c>
      <c r="FV6" s="49">
        <v>5.53</v>
      </c>
      <c r="FW6" s="50">
        <v>16383.5</v>
      </c>
      <c r="FX6" s="49">
        <v>165200</v>
      </c>
      <c r="FY6" s="49">
        <v>165600</v>
      </c>
      <c r="FZ6" s="49">
        <v>48.514000000000003</v>
      </c>
      <c r="GA6" s="49">
        <v>47.607999999999997</v>
      </c>
      <c r="GB6" s="49">
        <v>2166.3000000000002</v>
      </c>
      <c r="GC6" s="49">
        <v>2167.3000000000002</v>
      </c>
      <c r="GD6" s="49">
        <v>2205.6999999999998</v>
      </c>
      <c r="GE6" s="49">
        <v>2204.5</v>
      </c>
      <c r="GF6" s="50">
        <v>1457.375</v>
      </c>
      <c r="GG6" s="50">
        <v>40</v>
      </c>
      <c r="GH6" s="50">
        <v>40.299999999999997</v>
      </c>
      <c r="GI6" s="50">
        <v>77.2</v>
      </c>
      <c r="GJ6" s="50">
        <v>77.5</v>
      </c>
      <c r="GK6" s="50">
        <v>63</v>
      </c>
      <c r="GL6" s="49">
        <v>80</v>
      </c>
      <c r="GM6" s="50">
        <v>0</v>
      </c>
      <c r="GN6" s="49">
        <v>24.276</v>
      </c>
      <c r="GO6" s="49">
        <v>101.098</v>
      </c>
      <c r="GP6" s="50">
        <v>0</v>
      </c>
      <c r="GQ6" s="50">
        <v>5.31</v>
      </c>
      <c r="GR6" s="50">
        <v>0</v>
      </c>
      <c r="GS6" s="50">
        <v>5.782</v>
      </c>
      <c r="GT6" s="50">
        <v>0</v>
      </c>
      <c r="GU6" s="50">
        <v>5.4870000000000001</v>
      </c>
      <c r="GV6" s="50">
        <v>0</v>
      </c>
      <c r="GW6" s="49">
        <v>4.0609999999999999</v>
      </c>
      <c r="GX6" s="50">
        <v>24.99</v>
      </c>
      <c r="GY6" s="50">
        <v>0</v>
      </c>
      <c r="GZ6" s="50">
        <v>0</v>
      </c>
      <c r="HA6" s="50">
        <v>0</v>
      </c>
      <c r="HB6" s="50">
        <v>1</v>
      </c>
      <c r="HC6" s="49">
        <v>22.268999999999998</v>
      </c>
      <c r="HD6" s="49">
        <v>78</v>
      </c>
      <c r="HE6" s="50">
        <v>0</v>
      </c>
      <c r="HF6" s="50">
        <v>0</v>
      </c>
      <c r="HG6" s="50">
        <v>87.95</v>
      </c>
      <c r="HH6" s="49">
        <v>82</v>
      </c>
      <c r="HI6" s="50">
        <v>0</v>
      </c>
      <c r="HJ6" s="50">
        <v>0</v>
      </c>
      <c r="HK6" s="50">
        <v>0</v>
      </c>
      <c r="HL6" s="49">
        <v>50</v>
      </c>
      <c r="HM6" s="50">
        <v>51</v>
      </c>
      <c r="HN6" s="49">
        <v>55</v>
      </c>
      <c r="HO6" s="49">
        <v>49</v>
      </c>
      <c r="HP6" s="49">
        <v>51</v>
      </c>
      <c r="HQ6" s="49">
        <v>50</v>
      </c>
      <c r="HR6" s="49">
        <v>47</v>
      </c>
      <c r="HS6" s="49">
        <v>62</v>
      </c>
      <c r="HT6" s="49">
        <v>-1.3140000000000001</v>
      </c>
      <c r="HU6" s="50">
        <v>0</v>
      </c>
      <c r="HV6" s="49">
        <v>0.216</v>
      </c>
      <c r="HW6" s="50">
        <v>35.64</v>
      </c>
      <c r="HX6" s="50">
        <v>44.28</v>
      </c>
      <c r="HY6" s="3"/>
      <c r="HZ6" s="3"/>
      <c r="IA6" s="49">
        <v>2.7010000000000001</v>
      </c>
      <c r="IB6" s="49">
        <v>77</v>
      </c>
      <c r="IC6" s="49">
        <v>6.867</v>
      </c>
      <c r="ID6" s="50">
        <v>-5.8999999999999997E-2</v>
      </c>
      <c r="IE6" s="50">
        <v>-3.6999999999999998E-2</v>
      </c>
      <c r="IF6" s="50">
        <v>837.2</v>
      </c>
      <c r="IG6" s="49">
        <v>236</v>
      </c>
      <c r="IH6" s="50">
        <v>819.7</v>
      </c>
      <c r="II6" s="49">
        <v>243.8</v>
      </c>
      <c r="IJ6" s="49">
        <v>7.0000000000000001E-3</v>
      </c>
      <c r="IK6" s="49">
        <v>-0.01</v>
      </c>
      <c r="IL6" s="50">
        <v>1149.307</v>
      </c>
      <c r="IM6" s="50">
        <v>1149.1079999999999</v>
      </c>
      <c r="IN6" s="49">
        <v>8.1180000000000003</v>
      </c>
      <c r="IO6" s="49">
        <v>9.2999999999999999E-2</v>
      </c>
      <c r="IP6" s="50">
        <v>10.119999999999999</v>
      </c>
      <c r="IQ6" s="49">
        <v>0.01</v>
      </c>
      <c r="IR6" s="49">
        <v>-0.01</v>
      </c>
      <c r="IS6" s="49">
        <v>0.01</v>
      </c>
      <c r="IT6" s="49">
        <v>-0.01</v>
      </c>
    </row>
    <row r="7" spans="1:254" x14ac:dyDescent="0.25">
      <c r="B7" s="2" t="s">
        <v>410</v>
      </c>
      <c r="C7" s="2" t="s">
        <v>42</v>
      </c>
      <c r="D7" s="58">
        <v>3.5822916666666664E-3</v>
      </c>
      <c r="E7" s="49">
        <v>309.52</v>
      </c>
      <c r="F7" s="49">
        <v>330.3</v>
      </c>
      <c r="G7" s="49">
        <v>5.0199999999999996</v>
      </c>
      <c r="H7" s="49">
        <v>26.7</v>
      </c>
      <c r="I7" s="50">
        <v>0</v>
      </c>
      <c r="J7" s="49">
        <v>9.9</v>
      </c>
      <c r="K7" s="50">
        <v>6</v>
      </c>
      <c r="L7" s="50">
        <v>4</v>
      </c>
      <c r="M7" s="50">
        <v>6</v>
      </c>
      <c r="N7" s="50">
        <v>3</v>
      </c>
      <c r="O7" s="50">
        <v>3</v>
      </c>
      <c r="P7" s="50">
        <v>0.75700000000000001</v>
      </c>
      <c r="Q7" s="49">
        <v>1.08</v>
      </c>
      <c r="R7" s="50">
        <v>0.80600000000000005</v>
      </c>
      <c r="S7" s="3"/>
      <c r="T7" s="49">
        <v>75.22</v>
      </c>
      <c r="U7" s="49">
        <v>61.012</v>
      </c>
      <c r="V7" s="49">
        <v>132.5</v>
      </c>
      <c r="W7" s="49">
        <v>140</v>
      </c>
      <c r="X7" s="49">
        <v>130</v>
      </c>
      <c r="Y7" s="49">
        <v>147.5</v>
      </c>
      <c r="Z7" s="49">
        <v>302.83</v>
      </c>
      <c r="AA7" s="49">
        <v>324.01</v>
      </c>
      <c r="AB7" s="49">
        <v>239.85</v>
      </c>
      <c r="AC7" s="49">
        <v>291.89999999999998</v>
      </c>
      <c r="AD7" s="49">
        <v>1.74</v>
      </c>
      <c r="AE7" s="49">
        <v>1.782</v>
      </c>
      <c r="AF7" s="49">
        <v>1.7190000000000001</v>
      </c>
      <c r="AG7" s="49">
        <v>1.772</v>
      </c>
      <c r="AH7" s="49">
        <v>73.98</v>
      </c>
      <c r="AI7" s="49">
        <v>69.91</v>
      </c>
      <c r="AJ7" s="49">
        <v>98.88</v>
      </c>
      <c r="AK7" s="49">
        <v>90.92</v>
      </c>
      <c r="AL7" s="50">
        <v>685.97400000000005</v>
      </c>
      <c r="AM7" s="49">
        <v>678.48900000000003</v>
      </c>
      <c r="AN7" s="49">
        <v>834.00900000000001</v>
      </c>
      <c r="AO7" s="49">
        <v>756.93600000000004</v>
      </c>
      <c r="AP7" s="49">
        <v>1.478</v>
      </c>
      <c r="AQ7" s="49">
        <v>1.982</v>
      </c>
      <c r="AR7" s="49">
        <v>39.679000000000002</v>
      </c>
      <c r="AS7" s="49">
        <v>36.271999999999998</v>
      </c>
      <c r="AT7" s="49">
        <v>82</v>
      </c>
      <c r="AU7" s="49">
        <v>102</v>
      </c>
      <c r="AV7" s="49">
        <v>2.5710000000000002</v>
      </c>
      <c r="AW7" s="49">
        <v>4.9010999999999996</v>
      </c>
      <c r="AX7" s="49">
        <v>1012.9</v>
      </c>
      <c r="AY7" s="49">
        <v>2.29</v>
      </c>
      <c r="AZ7" s="49">
        <v>5.68</v>
      </c>
      <c r="BA7" s="49">
        <v>70.798000000000002</v>
      </c>
      <c r="BB7" s="49">
        <v>71.915999999999997</v>
      </c>
      <c r="BC7" s="49">
        <v>7723</v>
      </c>
      <c r="BD7" s="49">
        <v>89.5</v>
      </c>
      <c r="BE7" s="50">
        <v>16.84</v>
      </c>
      <c r="BF7" s="49">
        <v>11.775</v>
      </c>
      <c r="BG7" s="49">
        <v>29.39</v>
      </c>
      <c r="BH7" s="49">
        <v>27.91</v>
      </c>
      <c r="BI7" s="3"/>
      <c r="BJ7" s="3"/>
      <c r="BK7" s="3"/>
      <c r="BL7" s="3"/>
      <c r="BM7" s="3"/>
      <c r="BN7" s="49">
        <v>110.488</v>
      </c>
      <c r="BO7" s="49">
        <v>106.80800000000001</v>
      </c>
      <c r="BP7" s="49">
        <v>126.80800000000001</v>
      </c>
      <c r="BQ7" s="49">
        <v>129.17599999999999</v>
      </c>
      <c r="BR7" s="3"/>
      <c r="BS7" s="49">
        <v>26.4</v>
      </c>
      <c r="BT7" s="49">
        <v>7246.7640000000001</v>
      </c>
      <c r="BU7" s="49">
        <v>42.058999999999997</v>
      </c>
      <c r="BV7" s="50">
        <v>53.497</v>
      </c>
      <c r="BW7" s="49">
        <v>53.832999999999998</v>
      </c>
      <c r="BX7" s="49">
        <v>53.945999999999998</v>
      </c>
      <c r="BY7" s="49">
        <v>1.387</v>
      </c>
      <c r="BZ7" s="49">
        <v>2.7010000000000001</v>
      </c>
      <c r="CA7" s="49">
        <v>3.3639999999999999</v>
      </c>
      <c r="CB7" s="49">
        <v>3.26</v>
      </c>
      <c r="CC7" s="50">
        <v>1.474</v>
      </c>
      <c r="CD7" s="50">
        <v>2.6120000000000001</v>
      </c>
      <c r="CE7" s="49">
        <v>1.33</v>
      </c>
      <c r="CF7" s="49">
        <v>2.2120000000000002</v>
      </c>
      <c r="CG7" s="49">
        <v>13.962</v>
      </c>
      <c r="CH7" s="49">
        <v>13.56</v>
      </c>
      <c r="CI7" s="50">
        <v>5.016</v>
      </c>
      <c r="CJ7" s="49">
        <v>-116.81699999999999</v>
      </c>
      <c r="CK7" s="49">
        <v>0.89200000000000002</v>
      </c>
      <c r="CL7" s="49">
        <v>0.2</v>
      </c>
      <c r="CM7" s="49">
        <v>0.5</v>
      </c>
      <c r="CN7" s="49">
        <v>0</v>
      </c>
      <c r="CO7" s="49">
        <v>0</v>
      </c>
      <c r="CP7" s="49">
        <v>94.4</v>
      </c>
      <c r="CQ7" s="49">
        <v>92.433999999999997</v>
      </c>
      <c r="CR7" s="49">
        <v>107.482</v>
      </c>
      <c r="CS7" s="49">
        <v>110.176</v>
      </c>
      <c r="CT7" s="49">
        <v>0.185</v>
      </c>
      <c r="CU7" s="49">
        <v>0.29799999999999999</v>
      </c>
      <c r="CV7" s="49">
        <v>0.80200000000000005</v>
      </c>
      <c r="CW7" s="49">
        <v>0.6</v>
      </c>
      <c r="CX7" s="50">
        <v>1.6020000000000001</v>
      </c>
      <c r="CY7" s="49">
        <v>0.1</v>
      </c>
      <c r="CZ7" s="49">
        <v>0.79900000000000004</v>
      </c>
      <c r="DA7" s="49">
        <v>0.60299999999999998</v>
      </c>
      <c r="DB7" s="49">
        <v>0.9</v>
      </c>
      <c r="DC7" s="50">
        <v>0</v>
      </c>
      <c r="DD7" s="50">
        <v>0</v>
      </c>
      <c r="DE7" s="49">
        <v>0.151</v>
      </c>
      <c r="DF7" s="49">
        <v>0.03</v>
      </c>
      <c r="DG7" s="49">
        <v>0.35299999999999998</v>
      </c>
      <c r="DH7" s="49">
        <v>1.7450000000000001</v>
      </c>
      <c r="DI7" s="49">
        <v>1.0629999999999999</v>
      </c>
      <c r="DJ7" s="49">
        <v>0.14599999999999999</v>
      </c>
      <c r="DK7" s="49">
        <v>0.65200000000000002</v>
      </c>
      <c r="DL7" s="49">
        <v>0.41399999999999998</v>
      </c>
      <c r="DM7" s="49">
        <v>0.46800000000000003</v>
      </c>
      <c r="DN7" s="49">
        <v>0.41199999999999998</v>
      </c>
      <c r="DO7" s="49">
        <v>0.28100000000000003</v>
      </c>
      <c r="DP7" s="49">
        <v>62.795999999999999</v>
      </c>
      <c r="DQ7" s="49">
        <v>59.116</v>
      </c>
      <c r="DR7" s="50">
        <v>54.393000000000001</v>
      </c>
      <c r="DS7" s="49">
        <v>50.670999999999999</v>
      </c>
      <c r="DT7" s="49">
        <v>3.1</v>
      </c>
      <c r="DU7" s="49">
        <v>2.98</v>
      </c>
      <c r="DV7" s="49">
        <v>6.35</v>
      </c>
      <c r="DW7" s="49">
        <v>4.74</v>
      </c>
      <c r="DX7" s="49">
        <v>3.22</v>
      </c>
      <c r="DY7" s="49">
        <v>3.23</v>
      </c>
      <c r="DZ7" s="49">
        <v>6.09</v>
      </c>
      <c r="EA7" s="49">
        <v>4.66</v>
      </c>
      <c r="EB7" s="49">
        <v>42.97</v>
      </c>
      <c r="EC7" s="50">
        <v>42.78</v>
      </c>
      <c r="ED7" s="49">
        <v>34.92</v>
      </c>
      <c r="EE7" s="50">
        <v>35.869999999999997</v>
      </c>
      <c r="EF7" s="49">
        <v>50.71</v>
      </c>
      <c r="EG7" s="49">
        <v>51.01</v>
      </c>
      <c r="EH7" s="49">
        <v>52.64</v>
      </c>
      <c r="EI7" s="49">
        <v>54.73</v>
      </c>
      <c r="EJ7" s="49">
        <v>6.2919999999999998</v>
      </c>
      <c r="EK7" s="49">
        <v>59.865000000000002</v>
      </c>
      <c r="EL7" s="49">
        <v>2.1</v>
      </c>
      <c r="EM7" s="49">
        <v>1.75</v>
      </c>
      <c r="EN7" s="49">
        <v>1.5</v>
      </c>
      <c r="EO7" s="49">
        <v>1.5</v>
      </c>
      <c r="EP7" s="49">
        <v>-103.886</v>
      </c>
      <c r="EQ7" s="49">
        <v>-1.63</v>
      </c>
      <c r="ER7" s="49">
        <v>103.434</v>
      </c>
      <c r="ES7" s="49">
        <v>1.5820000000000001</v>
      </c>
      <c r="ET7" s="49">
        <v>1.649</v>
      </c>
      <c r="EU7" s="49">
        <v>1.5489999999999999</v>
      </c>
      <c r="EV7" s="49">
        <v>8.0969999999999995</v>
      </c>
      <c r="EW7" s="50">
        <v>2.9529999999999998</v>
      </c>
      <c r="EX7" s="49">
        <v>58.04</v>
      </c>
      <c r="EY7" s="49">
        <v>0</v>
      </c>
      <c r="EZ7" s="49">
        <v>14.718999999999999</v>
      </c>
      <c r="FA7" s="50">
        <v>0</v>
      </c>
      <c r="FB7" s="49">
        <v>9.2799999999999994</v>
      </c>
      <c r="FC7" s="49">
        <v>70.492000000000004</v>
      </c>
      <c r="FD7" s="50">
        <v>66.242000000000004</v>
      </c>
      <c r="FE7" s="49">
        <v>76.894999999999996</v>
      </c>
      <c r="FF7" s="49">
        <v>73.474999999999994</v>
      </c>
      <c r="FG7" s="49">
        <v>0.91600000000000004</v>
      </c>
      <c r="FH7" s="49">
        <v>0.91600000000000004</v>
      </c>
      <c r="FI7" s="49">
        <v>0.995</v>
      </c>
      <c r="FJ7" s="49">
        <v>0.998</v>
      </c>
      <c r="FK7" s="49">
        <v>0</v>
      </c>
      <c r="FL7" s="50">
        <v>83</v>
      </c>
      <c r="FM7" s="49">
        <v>3.74</v>
      </c>
      <c r="FN7" s="49">
        <v>2.21</v>
      </c>
      <c r="FO7" s="49">
        <v>5.5</v>
      </c>
      <c r="FP7" s="49">
        <v>4.2</v>
      </c>
      <c r="FQ7" s="49">
        <v>4.45</v>
      </c>
      <c r="FR7" s="49">
        <v>5.15</v>
      </c>
      <c r="FS7" s="49">
        <v>6.7060000000000004</v>
      </c>
      <c r="FT7" s="49">
        <v>1073.9000000000001</v>
      </c>
      <c r="FU7" s="49">
        <v>6.97</v>
      </c>
      <c r="FV7" s="49">
        <v>10.55</v>
      </c>
      <c r="FW7" s="49">
        <v>3158</v>
      </c>
      <c r="FX7" s="49">
        <v>166900</v>
      </c>
      <c r="FY7" s="49">
        <v>167000</v>
      </c>
      <c r="FZ7" s="49">
        <v>47.436</v>
      </c>
      <c r="GA7" s="49">
        <v>47.216000000000001</v>
      </c>
      <c r="GB7" s="50">
        <v>2233</v>
      </c>
      <c r="GC7" s="49">
        <v>2157.8000000000002</v>
      </c>
      <c r="GD7" s="49">
        <v>2233</v>
      </c>
      <c r="GE7" s="49">
        <v>2209.1</v>
      </c>
      <c r="GF7" s="49">
        <v>1385.9375</v>
      </c>
      <c r="GG7" s="49">
        <v>28</v>
      </c>
      <c r="GH7" s="49">
        <v>27.5</v>
      </c>
      <c r="GI7" s="49">
        <v>50.1</v>
      </c>
      <c r="GJ7" s="49">
        <v>54.3</v>
      </c>
      <c r="GK7" s="49">
        <v>87</v>
      </c>
      <c r="GL7" s="49">
        <v>75.2</v>
      </c>
      <c r="GM7" s="50">
        <v>0</v>
      </c>
      <c r="GN7" s="49">
        <v>26.259</v>
      </c>
      <c r="GO7" s="49">
        <v>103.886</v>
      </c>
      <c r="GP7" s="49">
        <v>1.0620000000000001</v>
      </c>
      <c r="GQ7" s="49">
        <v>1.9470000000000001</v>
      </c>
      <c r="GR7" s="49">
        <v>1.298</v>
      </c>
      <c r="GS7" s="49">
        <v>2.0059999999999998</v>
      </c>
      <c r="GT7" s="49">
        <v>0.82599999999999996</v>
      </c>
      <c r="GU7" s="49">
        <v>1.829</v>
      </c>
      <c r="GV7" s="49">
        <v>12.837999999999999</v>
      </c>
      <c r="GW7" s="49">
        <v>14.1</v>
      </c>
      <c r="GX7" s="49">
        <v>15.68</v>
      </c>
      <c r="GY7" s="50">
        <v>0</v>
      </c>
      <c r="GZ7" s="50">
        <v>0</v>
      </c>
      <c r="HA7" s="50">
        <v>0</v>
      </c>
      <c r="HB7" s="49">
        <v>0</v>
      </c>
      <c r="HC7" s="50">
        <v>25.294</v>
      </c>
      <c r="HD7" s="50">
        <v>82</v>
      </c>
      <c r="HE7" s="50">
        <v>0</v>
      </c>
      <c r="HF7" s="50">
        <v>0</v>
      </c>
      <c r="HG7" s="49">
        <v>72.75</v>
      </c>
      <c r="HH7" s="49">
        <v>81.66</v>
      </c>
      <c r="HI7" s="50">
        <v>0</v>
      </c>
      <c r="HJ7" s="50">
        <v>0</v>
      </c>
      <c r="HK7" s="50">
        <v>0</v>
      </c>
      <c r="HL7" s="49">
        <v>56</v>
      </c>
      <c r="HM7" s="49">
        <v>50</v>
      </c>
      <c r="HN7" s="49">
        <v>58</v>
      </c>
      <c r="HO7" s="49">
        <v>51</v>
      </c>
      <c r="HP7" s="49">
        <v>54</v>
      </c>
      <c r="HQ7" s="49">
        <v>52</v>
      </c>
      <c r="HR7" s="49">
        <v>47</v>
      </c>
      <c r="HS7" s="49">
        <v>62</v>
      </c>
      <c r="HT7" s="49">
        <v>-1.33</v>
      </c>
      <c r="HU7" s="50">
        <v>0</v>
      </c>
      <c r="HV7" s="49">
        <v>0.91900000000000004</v>
      </c>
      <c r="HW7" s="50">
        <v>35.64</v>
      </c>
      <c r="HX7" s="50">
        <v>44.28</v>
      </c>
      <c r="HY7" s="3"/>
      <c r="HZ7" s="3"/>
      <c r="IA7" s="49">
        <v>2.9169999999999998</v>
      </c>
      <c r="IB7" s="49">
        <v>100</v>
      </c>
      <c r="IC7" s="49">
        <v>19.879000000000001</v>
      </c>
      <c r="ID7" s="49">
        <v>-0.19700000000000001</v>
      </c>
      <c r="IE7" s="49">
        <v>-0.111</v>
      </c>
      <c r="IF7" s="49">
        <v>801.7</v>
      </c>
      <c r="IG7" s="49">
        <v>662.4</v>
      </c>
      <c r="IH7" s="49">
        <v>811.3</v>
      </c>
      <c r="II7" s="49">
        <v>675.8</v>
      </c>
      <c r="IJ7" s="49">
        <v>8.9999999999999993E-3</v>
      </c>
      <c r="IK7" s="49">
        <v>-4.0000000000000001E-3</v>
      </c>
      <c r="IL7" s="49">
        <v>201.03</v>
      </c>
      <c r="IM7" s="49">
        <v>201.03</v>
      </c>
      <c r="IN7" s="49">
        <v>13.439</v>
      </c>
      <c r="IO7" s="49">
        <v>0.10100000000000001</v>
      </c>
      <c r="IP7" s="49">
        <v>9.01</v>
      </c>
      <c r="IQ7" s="50">
        <v>1.2E-2</v>
      </c>
      <c r="IR7" s="50">
        <v>1.4E-2</v>
      </c>
      <c r="IS7">
        <v>0.22500000000000001</v>
      </c>
      <c r="IT7">
        <v>9.9000000000000005E-2</v>
      </c>
    </row>
    <row r="8" spans="1:254" x14ac:dyDescent="0.25">
      <c r="B8" s="2" t="s">
        <v>410</v>
      </c>
      <c r="C8" s="2" t="s">
        <v>43</v>
      </c>
      <c r="D8" s="58">
        <v>4.410300925925926E-3</v>
      </c>
      <c r="E8" s="49">
        <v>380.99</v>
      </c>
      <c r="F8" s="49">
        <v>320.94</v>
      </c>
      <c r="G8" s="49">
        <v>4.4000000000000004</v>
      </c>
      <c r="H8" s="49">
        <v>26.3</v>
      </c>
      <c r="I8" s="50">
        <v>0</v>
      </c>
      <c r="J8" s="49">
        <v>15.1</v>
      </c>
      <c r="K8" s="50">
        <v>6</v>
      </c>
      <c r="L8" s="50">
        <v>4</v>
      </c>
      <c r="M8" s="50">
        <v>6</v>
      </c>
      <c r="N8" s="50">
        <v>3</v>
      </c>
      <c r="O8" s="50">
        <v>3</v>
      </c>
      <c r="P8" s="49">
        <v>0.59799999999999998</v>
      </c>
      <c r="Q8" s="49">
        <v>1.012</v>
      </c>
      <c r="R8" s="49">
        <v>0.57199999999999995</v>
      </c>
      <c r="S8" s="49">
        <v>0.45300000000000001</v>
      </c>
      <c r="T8" s="49">
        <v>58.52</v>
      </c>
      <c r="U8" s="50">
        <v>61.536999999999999</v>
      </c>
      <c r="V8" s="50">
        <v>60</v>
      </c>
      <c r="W8" s="50">
        <v>40</v>
      </c>
      <c r="X8" s="50">
        <v>80</v>
      </c>
      <c r="Y8" s="50">
        <v>80</v>
      </c>
      <c r="Z8" s="49">
        <v>148.72999999999999</v>
      </c>
      <c r="AA8" s="49">
        <v>150.22</v>
      </c>
      <c r="AB8" s="49">
        <v>113.01</v>
      </c>
      <c r="AC8" s="49">
        <v>125.68</v>
      </c>
      <c r="AD8" s="49">
        <v>1.5629999999999999</v>
      </c>
      <c r="AE8" s="49">
        <v>1.6120000000000001</v>
      </c>
      <c r="AF8" s="49">
        <v>1.5069999999999999</v>
      </c>
      <c r="AG8" s="49">
        <v>1.5760000000000001</v>
      </c>
      <c r="AH8" s="49">
        <v>48.57</v>
      </c>
      <c r="AI8" s="49">
        <v>46.02</v>
      </c>
      <c r="AJ8" s="49">
        <v>62.37</v>
      </c>
      <c r="AK8" s="49">
        <v>58.64</v>
      </c>
      <c r="AL8" s="49">
        <v>596.68700000000001</v>
      </c>
      <c r="AM8" s="49">
        <v>617.22799999999995</v>
      </c>
      <c r="AN8" s="49">
        <v>734.07600000000002</v>
      </c>
      <c r="AO8" s="49">
        <v>728.18700000000001</v>
      </c>
      <c r="AP8" s="49">
        <v>1.462</v>
      </c>
      <c r="AQ8" s="49">
        <v>1.9550000000000001</v>
      </c>
      <c r="AR8" s="49">
        <v>37.927999999999997</v>
      </c>
      <c r="AS8" s="49">
        <v>37.988</v>
      </c>
      <c r="AT8" s="49">
        <v>82</v>
      </c>
      <c r="AU8" s="49">
        <v>93</v>
      </c>
      <c r="AV8" s="49">
        <v>2.0910000000000002</v>
      </c>
      <c r="AW8" s="49">
        <v>5.2525000000000004</v>
      </c>
      <c r="AX8" s="49">
        <v>1006</v>
      </c>
      <c r="AY8" s="49">
        <v>2.29</v>
      </c>
      <c r="AZ8" s="49">
        <v>5.76</v>
      </c>
      <c r="BA8" s="49">
        <v>72.623000000000005</v>
      </c>
      <c r="BB8" s="49">
        <v>72.608999999999995</v>
      </c>
      <c r="BC8" s="50">
        <v>7815</v>
      </c>
      <c r="BD8" s="49">
        <v>89</v>
      </c>
      <c r="BE8" s="49">
        <v>14.04</v>
      </c>
      <c r="BF8" s="49">
        <v>12.43</v>
      </c>
      <c r="BG8" s="49">
        <v>26.91</v>
      </c>
      <c r="BH8" s="49">
        <v>26.09</v>
      </c>
      <c r="BI8" s="3"/>
      <c r="BJ8" s="3"/>
      <c r="BK8" s="3"/>
      <c r="BL8" s="3"/>
      <c r="BM8" s="3"/>
      <c r="BN8" s="49">
        <v>99.975999999999999</v>
      </c>
      <c r="BO8" s="49">
        <v>96.488</v>
      </c>
      <c r="BP8" s="49">
        <v>114.68</v>
      </c>
      <c r="BQ8" s="49">
        <v>116.92</v>
      </c>
      <c r="BR8" s="3"/>
      <c r="BS8" s="49">
        <v>25.9</v>
      </c>
      <c r="BT8" s="50">
        <v>7488.7359999999999</v>
      </c>
      <c r="BU8" s="49">
        <v>38.898000000000003</v>
      </c>
      <c r="BV8" s="49">
        <v>52.081000000000003</v>
      </c>
      <c r="BW8" s="49">
        <v>54.99</v>
      </c>
      <c r="BX8" s="50">
        <v>55.988999999999997</v>
      </c>
      <c r="BY8" s="50">
        <v>1.5549999999999999</v>
      </c>
      <c r="BZ8" s="49">
        <v>2.1030000000000002</v>
      </c>
      <c r="CA8" s="49">
        <v>3.4079999999999999</v>
      </c>
      <c r="CB8" s="49">
        <v>3.0870000000000002</v>
      </c>
      <c r="CC8" s="49">
        <v>1.1579999999999999</v>
      </c>
      <c r="CD8" s="49">
        <v>2.3610000000000002</v>
      </c>
      <c r="CE8" s="49">
        <v>1.51</v>
      </c>
      <c r="CF8" s="49">
        <v>2.1779999999999999</v>
      </c>
      <c r="CG8" s="50">
        <v>14.005000000000001</v>
      </c>
      <c r="CH8" s="49">
        <v>13.826000000000001</v>
      </c>
      <c r="CI8" s="49">
        <v>4.391</v>
      </c>
      <c r="CJ8" s="49">
        <v>-92.903999999999996</v>
      </c>
      <c r="CK8" s="49">
        <v>1.31</v>
      </c>
      <c r="CL8" s="49">
        <v>0</v>
      </c>
      <c r="CM8" s="49">
        <v>0.3</v>
      </c>
      <c r="CN8" s="50">
        <v>0.1</v>
      </c>
      <c r="CO8" s="50">
        <v>0.1</v>
      </c>
      <c r="CP8" s="49">
        <v>68.572999999999993</v>
      </c>
      <c r="CQ8" s="49">
        <v>67.778000000000006</v>
      </c>
      <c r="CR8" s="49">
        <v>78.307000000000002</v>
      </c>
      <c r="CS8" s="49">
        <v>79.286000000000001</v>
      </c>
      <c r="CT8" s="49">
        <v>0.25600000000000001</v>
      </c>
      <c r="CU8" s="49">
        <v>0.90100000000000002</v>
      </c>
      <c r="CV8" s="49">
        <v>0.79900000000000004</v>
      </c>
      <c r="CW8" s="50">
        <v>1.5980000000000001</v>
      </c>
      <c r="CX8" s="49">
        <v>1.403</v>
      </c>
      <c r="CY8" s="50">
        <v>1.097</v>
      </c>
      <c r="CZ8" s="49">
        <v>0.8</v>
      </c>
      <c r="DA8" s="50">
        <v>1.1000000000000001</v>
      </c>
      <c r="DB8" s="50">
        <v>1.6970000000000001</v>
      </c>
      <c r="DC8" s="50">
        <v>0</v>
      </c>
      <c r="DD8" s="50">
        <v>0</v>
      </c>
      <c r="DE8" s="49">
        <v>0.16700000000000001</v>
      </c>
      <c r="DF8" s="50">
        <v>8.6999999999999994E-2</v>
      </c>
      <c r="DG8" s="50">
        <v>1.256</v>
      </c>
      <c r="DH8" s="50">
        <v>3.5819999999999999</v>
      </c>
      <c r="DI8" s="49">
        <v>0.97</v>
      </c>
      <c r="DJ8" s="49">
        <v>0.13300000000000001</v>
      </c>
      <c r="DK8" s="49">
        <v>0.70399999999999996</v>
      </c>
      <c r="DL8" s="49">
        <v>0.42</v>
      </c>
      <c r="DM8" s="50">
        <v>0.52900000000000003</v>
      </c>
      <c r="DN8" s="49">
        <v>0.35699999999999998</v>
      </c>
      <c r="DO8" s="50">
        <v>0.40400000000000003</v>
      </c>
      <c r="DP8" s="49">
        <v>60.284999999999997</v>
      </c>
      <c r="DQ8" s="49">
        <v>59.768999999999998</v>
      </c>
      <c r="DR8" s="49">
        <v>49.289000000000001</v>
      </c>
      <c r="DS8" s="49">
        <v>49.445999999999998</v>
      </c>
      <c r="DT8" s="49">
        <v>1.8</v>
      </c>
      <c r="DU8" s="49">
        <v>1.91</v>
      </c>
      <c r="DV8" s="49">
        <v>4.37</v>
      </c>
      <c r="DW8" s="49">
        <v>3.58</v>
      </c>
      <c r="DX8" s="49">
        <v>2.0499999999999998</v>
      </c>
      <c r="DY8" s="49">
        <v>1.96</v>
      </c>
      <c r="DZ8" s="49">
        <v>4</v>
      </c>
      <c r="EA8" s="49">
        <v>3.32</v>
      </c>
      <c r="EB8" s="49">
        <v>42.69</v>
      </c>
      <c r="EC8" s="49">
        <v>42.03</v>
      </c>
      <c r="ED8" s="50">
        <v>35.409999999999997</v>
      </c>
      <c r="EE8" s="49">
        <v>33.81</v>
      </c>
      <c r="EF8" s="49">
        <v>53.46</v>
      </c>
      <c r="EG8" s="49">
        <v>54.11</v>
      </c>
      <c r="EH8" s="49">
        <v>56.22</v>
      </c>
      <c r="EI8" s="49">
        <v>59.28</v>
      </c>
      <c r="EJ8" s="49">
        <v>6.2729999999999997</v>
      </c>
      <c r="EK8" s="49">
        <v>59.247999999999998</v>
      </c>
      <c r="EL8" s="49">
        <v>2.1</v>
      </c>
      <c r="EM8" s="49">
        <v>1.7</v>
      </c>
      <c r="EN8" s="50">
        <v>1.58</v>
      </c>
      <c r="EO8" s="50">
        <v>1.58</v>
      </c>
      <c r="EP8" s="49">
        <v>-86.95</v>
      </c>
      <c r="EQ8" s="50">
        <v>-6.8000000000000005E-2</v>
      </c>
      <c r="ER8" s="50">
        <v>123.29</v>
      </c>
      <c r="ES8" s="50">
        <v>1.605</v>
      </c>
      <c r="ET8" s="50">
        <v>1.6859999999999999</v>
      </c>
      <c r="EU8" s="50">
        <v>1.5660000000000001</v>
      </c>
      <c r="EV8" s="49">
        <v>8.0289999999999999</v>
      </c>
      <c r="EW8" s="49">
        <v>2.5099999999999998</v>
      </c>
      <c r="EX8" s="49">
        <v>45.22</v>
      </c>
      <c r="EY8" s="50">
        <v>1.0409999999999999</v>
      </c>
      <c r="EZ8" s="49">
        <v>96.682000000000002</v>
      </c>
      <c r="FA8" s="50">
        <v>0</v>
      </c>
      <c r="FB8" s="50">
        <v>9.4169999999999998</v>
      </c>
      <c r="FC8" s="49">
        <v>59.021999999999998</v>
      </c>
      <c r="FD8" s="49">
        <v>54.848999999999997</v>
      </c>
      <c r="FE8" s="49">
        <v>63.283000000000001</v>
      </c>
      <c r="FF8" s="49">
        <v>61.44</v>
      </c>
      <c r="FG8" s="49">
        <v>0.92400000000000004</v>
      </c>
      <c r="FH8" s="49">
        <v>0.92400000000000004</v>
      </c>
      <c r="FI8" s="50">
        <v>1.0029999999999999</v>
      </c>
      <c r="FJ8" s="50">
        <v>1.0049999999999999</v>
      </c>
      <c r="FK8" s="49">
        <v>0</v>
      </c>
      <c r="FL8" s="49">
        <v>82</v>
      </c>
      <c r="FM8" s="49">
        <v>3.75</v>
      </c>
      <c r="FN8" s="49">
        <v>2.25</v>
      </c>
      <c r="FO8" s="49">
        <v>5.35</v>
      </c>
      <c r="FP8" s="3"/>
      <c r="FQ8" s="49">
        <v>4.9000000000000004</v>
      </c>
      <c r="FR8" s="49">
        <v>5.25</v>
      </c>
      <c r="FS8" s="49">
        <v>6.47</v>
      </c>
      <c r="FT8" s="50">
        <v>1077.3</v>
      </c>
      <c r="FU8" s="49">
        <v>7.11</v>
      </c>
      <c r="FV8" s="49">
        <v>14.95</v>
      </c>
      <c r="FW8" s="49">
        <v>3067.5</v>
      </c>
      <c r="FX8" s="50">
        <v>172800</v>
      </c>
      <c r="FY8" s="50">
        <v>175000</v>
      </c>
      <c r="FZ8" s="50">
        <v>54.341000000000001</v>
      </c>
      <c r="GA8" s="50">
        <v>53.667999999999999</v>
      </c>
      <c r="GB8" s="49">
        <v>2170.9</v>
      </c>
      <c r="GC8" s="49">
        <v>2171.8000000000002</v>
      </c>
      <c r="GD8" s="49">
        <v>2246.5</v>
      </c>
      <c r="GE8" s="50">
        <v>2247.8000000000002</v>
      </c>
      <c r="GF8" s="49">
        <v>1347.3438000000001</v>
      </c>
      <c r="GG8" s="49">
        <v>28</v>
      </c>
      <c r="GH8" s="49">
        <v>28.1</v>
      </c>
      <c r="GI8" s="49">
        <v>49.4</v>
      </c>
      <c r="GJ8" s="49">
        <v>56.1</v>
      </c>
      <c r="GK8" s="49">
        <v>90</v>
      </c>
      <c r="GL8" s="49">
        <v>94.6</v>
      </c>
      <c r="GM8" s="50">
        <v>0</v>
      </c>
      <c r="GN8" s="49">
        <v>26.568000000000001</v>
      </c>
      <c r="GO8" s="50">
        <v>123.29</v>
      </c>
      <c r="GP8" s="49">
        <v>0.94399999999999995</v>
      </c>
      <c r="GQ8" s="49">
        <v>1.9470000000000001</v>
      </c>
      <c r="GR8" s="49">
        <v>1.357</v>
      </c>
      <c r="GS8" s="49">
        <v>2.0059999999999998</v>
      </c>
      <c r="GT8" s="49">
        <v>0.82599999999999996</v>
      </c>
      <c r="GU8" s="49">
        <v>1.8879999999999999</v>
      </c>
      <c r="GV8" s="49">
        <v>12.837999999999999</v>
      </c>
      <c r="GW8" s="50">
        <v>14.137</v>
      </c>
      <c r="GX8" s="49">
        <v>16.170000000000002</v>
      </c>
      <c r="GY8" s="50">
        <v>0</v>
      </c>
      <c r="GZ8" s="50">
        <v>0</v>
      </c>
      <c r="HA8" s="50">
        <v>0</v>
      </c>
      <c r="HB8" s="49">
        <v>0</v>
      </c>
      <c r="HC8" s="49">
        <v>22.62</v>
      </c>
      <c r="HD8" s="50">
        <v>82</v>
      </c>
      <c r="HE8" s="50">
        <v>0</v>
      </c>
      <c r="HF8" s="50">
        <v>0</v>
      </c>
      <c r="HG8" s="49">
        <v>72.47</v>
      </c>
      <c r="HH8" s="49">
        <v>81.81</v>
      </c>
      <c r="HI8" s="50">
        <v>0</v>
      </c>
      <c r="HJ8" s="50">
        <v>0</v>
      </c>
      <c r="HK8" s="50">
        <v>0</v>
      </c>
      <c r="HL8" s="49">
        <v>56</v>
      </c>
      <c r="HM8" s="49">
        <v>50</v>
      </c>
      <c r="HN8" s="49">
        <v>60</v>
      </c>
      <c r="HO8" s="49">
        <v>53</v>
      </c>
      <c r="HP8" s="49">
        <v>56</v>
      </c>
      <c r="HQ8" s="49">
        <v>54</v>
      </c>
      <c r="HR8" s="49">
        <v>48</v>
      </c>
      <c r="HS8" s="50">
        <v>70</v>
      </c>
      <c r="HT8" s="49">
        <v>-1.3405</v>
      </c>
      <c r="HU8" s="50">
        <v>0</v>
      </c>
      <c r="HV8" s="49">
        <v>0.79600000000000004</v>
      </c>
      <c r="HW8" s="49">
        <v>38.01</v>
      </c>
      <c r="HX8" s="49">
        <v>48.21</v>
      </c>
      <c r="HY8" s="3"/>
      <c r="HZ8" s="3"/>
      <c r="IA8" s="49">
        <v>2.46</v>
      </c>
      <c r="IB8" s="49">
        <v>94</v>
      </c>
      <c r="IC8" s="49">
        <v>14.771000000000001</v>
      </c>
      <c r="ID8" s="49">
        <v>-0.11799999999999999</v>
      </c>
      <c r="IE8" s="49">
        <v>-5.6000000000000001E-2</v>
      </c>
      <c r="IF8" s="49">
        <v>789</v>
      </c>
      <c r="IG8" s="49">
        <v>604.5</v>
      </c>
      <c r="IH8" s="49">
        <v>799</v>
      </c>
      <c r="II8" s="49">
        <v>617.6</v>
      </c>
      <c r="IJ8" s="49">
        <v>7.0000000000000007E-2</v>
      </c>
      <c r="IK8" s="49">
        <v>0.04</v>
      </c>
      <c r="IL8" s="49">
        <v>299.63799999999998</v>
      </c>
      <c r="IM8" s="49">
        <v>299.63799999999998</v>
      </c>
      <c r="IN8" s="49">
        <v>13.276999999999999</v>
      </c>
      <c r="IO8" s="49">
        <v>0.106</v>
      </c>
      <c r="IP8" s="49">
        <v>9.32</v>
      </c>
      <c r="IQ8" s="49">
        <v>1E-3</v>
      </c>
      <c r="IR8" s="49">
        <v>-6.0000000000000001E-3</v>
      </c>
      <c r="IS8">
        <v>0.22600000000000001</v>
      </c>
      <c r="IT8">
        <v>9.2999999999999999E-2</v>
      </c>
    </row>
    <row r="9" spans="1:254" x14ac:dyDescent="0.25">
      <c r="B9" s="2" t="s">
        <v>410</v>
      </c>
      <c r="C9" s="2" t="s">
        <v>44</v>
      </c>
      <c r="D9" s="58">
        <v>2.4335648148148151E-3</v>
      </c>
      <c r="E9" s="49">
        <v>210.3</v>
      </c>
      <c r="F9" s="49">
        <v>330.88</v>
      </c>
      <c r="G9" s="49">
        <v>5.98</v>
      </c>
      <c r="H9" s="49">
        <v>26.9</v>
      </c>
      <c r="I9" s="50">
        <v>0</v>
      </c>
      <c r="J9" s="49">
        <v>16.2</v>
      </c>
      <c r="K9" s="50">
        <v>6</v>
      </c>
      <c r="L9" s="50">
        <v>4</v>
      </c>
      <c r="M9" s="50">
        <v>6</v>
      </c>
      <c r="N9" s="50">
        <v>3</v>
      </c>
      <c r="O9" s="50">
        <v>3</v>
      </c>
      <c r="P9" s="49">
        <v>0.64900000000000002</v>
      </c>
      <c r="Q9" s="50">
        <v>1.355</v>
      </c>
      <c r="R9" s="49">
        <v>0.66400000000000003</v>
      </c>
      <c r="S9" s="49">
        <v>0.33400000000000002</v>
      </c>
      <c r="T9" s="49">
        <v>71.42</v>
      </c>
      <c r="U9" s="49">
        <v>60.997</v>
      </c>
      <c r="V9" s="49">
        <v>218.34</v>
      </c>
      <c r="W9" s="49">
        <v>235</v>
      </c>
      <c r="X9" s="49">
        <v>127.5</v>
      </c>
      <c r="Y9" s="49">
        <v>175</v>
      </c>
      <c r="Z9" s="49">
        <v>372.94</v>
      </c>
      <c r="AA9" s="49">
        <v>389.56</v>
      </c>
      <c r="AB9" s="49">
        <v>263.47000000000003</v>
      </c>
      <c r="AC9" s="49">
        <v>332.78</v>
      </c>
      <c r="AD9" s="49">
        <v>1.6819999999999999</v>
      </c>
      <c r="AE9" s="49">
        <v>1.7210000000000001</v>
      </c>
      <c r="AF9" s="49">
        <v>1.6679999999999999</v>
      </c>
      <c r="AG9" s="49">
        <v>1.7150000000000001</v>
      </c>
      <c r="AH9" s="49">
        <v>72.849999999999994</v>
      </c>
      <c r="AI9" s="49">
        <v>68.599999999999994</v>
      </c>
      <c r="AJ9" s="49">
        <v>96.09</v>
      </c>
      <c r="AK9" s="49">
        <v>87.64</v>
      </c>
      <c r="AL9" s="49">
        <v>679.89300000000003</v>
      </c>
      <c r="AM9" s="49">
        <v>688.548</v>
      </c>
      <c r="AN9" s="50">
        <v>852.16700000000003</v>
      </c>
      <c r="AO9" s="50">
        <v>821.88800000000003</v>
      </c>
      <c r="AP9" s="49">
        <v>1.466</v>
      </c>
      <c r="AQ9" s="49">
        <v>1.9510000000000001</v>
      </c>
      <c r="AR9" s="49">
        <v>41.203000000000003</v>
      </c>
      <c r="AS9" s="49">
        <v>38.51</v>
      </c>
      <c r="AT9" s="50">
        <v>83</v>
      </c>
      <c r="AU9" s="49">
        <v>109</v>
      </c>
      <c r="AV9" s="49">
        <v>1.7805</v>
      </c>
      <c r="AW9" s="49">
        <v>5.13</v>
      </c>
      <c r="AX9" s="49">
        <v>1013.2</v>
      </c>
      <c r="AY9" s="50">
        <v>2.4</v>
      </c>
      <c r="AZ9" s="49">
        <v>5.6</v>
      </c>
      <c r="BA9" s="49">
        <v>132.15</v>
      </c>
      <c r="BB9" s="49">
        <v>133.667</v>
      </c>
      <c r="BC9" s="49">
        <v>7684</v>
      </c>
      <c r="BD9" s="49">
        <v>89.5</v>
      </c>
      <c r="BE9" s="49">
        <v>16.75</v>
      </c>
      <c r="BF9" s="49">
        <v>15.025</v>
      </c>
      <c r="BG9" s="49">
        <v>29.33</v>
      </c>
      <c r="BH9" s="49">
        <v>27.61</v>
      </c>
      <c r="BI9" s="3"/>
      <c r="BJ9" s="3"/>
      <c r="BK9" s="3"/>
      <c r="BL9" s="3"/>
      <c r="BM9" s="3"/>
      <c r="BN9" s="49">
        <v>94.52</v>
      </c>
      <c r="BO9" s="49">
        <v>92.52</v>
      </c>
      <c r="BP9" s="49">
        <v>108.80800000000001</v>
      </c>
      <c r="BQ9" s="49">
        <v>113.736</v>
      </c>
      <c r="BR9" s="3"/>
      <c r="BS9" s="49">
        <v>26.4</v>
      </c>
      <c r="BT9" s="49">
        <v>7457.0460000000003</v>
      </c>
      <c r="BU9" s="49">
        <v>50.22</v>
      </c>
      <c r="BV9" s="49">
        <v>51.921999999999997</v>
      </c>
      <c r="BW9" s="49">
        <v>53.066000000000003</v>
      </c>
      <c r="BX9" s="49">
        <v>54.954000000000001</v>
      </c>
      <c r="BY9" s="49">
        <v>1.546</v>
      </c>
      <c r="BZ9" s="49">
        <v>2.6110000000000002</v>
      </c>
      <c r="CA9" s="50">
        <v>3.7829999999999999</v>
      </c>
      <c r="CB9" s="49">
        <v>3.5710000000000002</v>
      </c>
      <c r="CC9" s="49">
        <v>1.383</v>
      </c>
      <c r="CD9" s="49">
        <v>2.528</v>
      </c>
      <c r="CE9" s="49">
        <v>1.4379999999999999</v>
      </c>
      <c r="CF9" s="49">
        <v>2.2080000000000002</v>
      </c>
      <c r="CG9" s="49">
        <v>13.938000000000001</v>
      </c>
      <c r="CH9" s="49">
        <v>13.775</v>
      </c>
      <c r="CI9" s="49">
        <v>4.7679999999999998</v>
      </c>
      <c r="CJ9" s="50">
        <v>-73.218999999999994</v>
      </c>
      <c r="CK9" s="50">
        <v>1.702</v>
      </c>
      <c r="CL9" s="49">
        <v>0</v>
      </c>
      <c r="CM9" s="49">
        <v>0.4</v>
      </c>
      <c r="CN9" s="49">
        <v>0</v>
      </c>
      <c r="CO9" s="49">
        <v>0</v>
      </c>
      <c r="CP9" s="49">
        <v>83.349000000000004</v>
      </c>
      <c r="CQ9" s="49">
        <v>83.066000000000003</v>
      </c>
      <c r="CR9" s="49">
        <v>86.635999999999996</v>
      </c>
      <c r="CS9" s="49">
        <v>93.518000000000001</v>
      </c>
      <c r="CT9" s="49">
        <v>0.313</v>
      </c>
      <c r="CU9" s="49">
        <v>1.1000000000000001</v>
      </c>
      <c r="CV9" s="49">
        <v>0.79800000000000004</v>
      </c>
      <c r="CW9" s="49">
        <v>0.7</v>
      </c>
      <c r="CX9" s="49">
        <v>1.2969999999999999</v>
      </c>
      <c r="CY9" s="49">
        <v>0.79700000000000004</v>
      </c>
      <c r="CZ9" s="49">
        <v>0.80100000000000005</v>
      </c>
      <c r="DA9" s="49">
        <v>0.70199999999999996</v>
      </c>
      <c r="DB9" s="49">
        <v>0.998</v>
      </c>
      <c r="DC9" s="50">
        <v>0</v>
      </c>
      <c r="DD9" s="50">
        <v>0</v>
      </c>
      <c r="DE9" s="50">
        <v>0.219</v>
      </c>
      <c r="DF9" s="49">
        <v>6.2E-2</v>
      </c>
      <c r="DG9" s="49">
        <v>0.83899999999999997</v>
      </c>
      <c r="DH9" s="49">
        <v>2.371</v>
      </c>
      <c r="DI9" s="50">
        <v>1.2589999999999999</v>
      </c>
      <c r="DJ9" s="49">
        <v>0.125</v>
      </c>
      <c r="DK9" s="49">
        <v>0.72099999999999997</v>
      </c>
      <c r="DL9" s="49">
        <v>0.41299999999999998</v>
      </c>
      <c r="DM9" s="49">
        <v>0.44600000000000001</v>
      </c>
      <c r="DN9" s="49">
        <v>0.46200000000000002</v>
      </c>
      <c r="DO9" s="49">
        <v>0.34599999999999997</v>
      </c>
      <c r="DP9" s="50">
        <v>66.602999999999994</v>
      </c>
      <c r="DQ9" s="50">
        <v>61.432000000000002</v>
      </c>
      <c r="DR9" s="49">
        <v>54.258000000000003</v>
      </c>
      <c r="DS9" s="49">
        <v>51.356000000000002</v>
      </c>
      <c r="DT9" s="50">
        <v>7.29</v>
      </c>
      <c r="DU9" s="49">
        <v>7.29</v>
      </c>
      <c r="DV9" s="49">
        <v>14.38</v>
      </c>
      <c r="DW9" s="50">
        <v>11.85</v>
      </c>
      <c r="DX9" s="49">
        <v>7.54</v>
      </c>
      <c r="DY9" s="49">
        <v>7.48</v>
      </c>
      <c r="DZ9" s="49">
        <v>13.92</v>
      </c>
      <c r="EA9" s="50">
        <v>11.51</v>
      </c>
      <c r="EB9" s="49">
        <v>41.14</v>
      </c>
      <c r="EC9" s="49">
        <v>40.659999999999997</v>
      </c>
      <c r="ED9" s="49">
        <v>31.66</v>
      </c>
      <c r="EE9" s="49">
        <v>33.92</v>
      </c>
      <c r="EF9" s="49">
        <v>44.03</v>
      </c>
      <c r="EG9" s="49">
        <v>44.57</v>
      </c>
      <c r="EH9" s="49">
        <v>40.03</v>
      </c>
      <c r="EI9" s="49">
        <v>42.73</v>
      </c>
      <c r="EJ9" s="49">
        <v>5.6109999999999998</v>
      </c>
      <c r="EK9" s="49">
        <v>60.378999999999998</v>
      </c>
      <c r="EL9" s="49">
        <v>2.2000000000000002</v>
      </c>
      <c r="EM9" s="49">
        <v>1.75</v>
      </c>
      <c r="EN9" s="49">
        <v>1.21</v>
      </c>
      <c r="EO9" s="49">
        <v>1.21</v>
      </c>
      <c r="EP9" s="50">
        <v>-122.282</v>
      </c>
      <c r="EQ9" s="49">
        <v>-2.2509999999999999</v>
      </c>
      <c r="ER9" s="49">
        <v>107.23</v>
      </c>
      <c r="ES9" s="49">
        <v>1.486</v>
      </c>
      <c r="ET9" s="49">
        <v>1.661</v>
      </c>
      <c r="EU9" s="49">
        <v>1.46</v>
      </c>
      <c r="EV9" s="49">
        <v>7.8620000000000001</v>
      </c>
      <c r="EW9" s="49">
        <v>2.6419999999999999</v>
      </c>
      <c r="EX9" s="49">
        <v>74.22</v>
      </c>
      <c r="EY9" s="49">
        <v>0</v>
      </c>
      <c r="EZ9" s="49">
        <v>6.9580000000000002</v>
      </c>
      <c r="FA9" s="50">
        <v>0</v>
      </c>
      <c r="FB9" s="49">
        <v>9.1620000000000008</v>
      </c>
      <c r="FC9" s="49">
        <v>57.164999999999999</v>
      </c>
      <c r="FD9" s="49">
        <v>52.984000000000002</v>
      </c>
      <c r="FE9" s="49">
        <v>62.212000000000003</v>
      </c>
      <c r="FF9" s="49">
        <v>59.801000000000002</v>
      </c>
      <c r="FG9" s="49">
        <v>0.91600000000000004</v>
      </c>
      <c r="FH9" s="49">
        <v>0.91700000000000004</v>
      </c>
      <c r="FI9" s="49">
        <v>0.995</v>
      </c>
      <c r="FJ9" s="49">
        <v>0.999</v>
      </c>
      <c r="FK9" s="49">
        <v>0</v>
      </c>
      <c r="FL9" s="50">
        <v>83</v>
      </c>
      <c r="FM9" s="50">
        <v>3.81</v>
      </c>
      <c r="FN9" s="49">
        <v>2.39</v>
      </c>
      <c r="FO9" s="49">
        <v>5.49</v>
      </c>
      <c r="FP9" s="3"/>
      <c r="FQ9" s="49">
        <v>4.75</v>
      </c>
      <c r="FR9" s="49">
        <v>5</v>
      </c>
      <c r="FS9" s="49">
        <v>6.649</v>
      </c>
      <c r="FT9" s="49">
        <v>1069.4000000000001</v>
      </c>
      <c r="FU9" s="49">
        <v>6.75</v>
      </c>
      <c r="FV9" s="49">
        <v>20.93</v>
      </c>
      <c r="FW9" s="49">
        <v>3129</v>
      </c>
      <c r="FX9" s="49">
        <v>167500</v>
      </c>
      <c r="FY9" s="49">
        <v>169300</v>
      </c>
      <c r="FZ9" s="49">
        <v>47.895000000000003</v>
      </c>
      <c r="GA9" s="49">
        <v>47.392000000000003</v>
      </c>
      <c r="GB9" s="49">
        <v>2168.8000000000002</v>
      </c>
      <c r="GC9" s="49">
        <v>2158.9</v>
      </c>
      <c r="GD9" s="49">
        <v>2212.6999999999998</v>
      </c>
      <c r="GE9" s="49">
        <v>2213.8000000000002</v>
      </c>
      <c r="GF9" s="49">
        <v>1356.4844000000001</v>
      </c>
      <c r="GG9" s="49">
        <v>29</v>
      </c>
      <c r="GH9" s="49">
        <v>28.5</v>
      </c>
      <c r="GI9" s="49">
        <v>46.6</v>
      </c>
      <c r="GJ9" s="49">
        <v>52.3</v>
      </c>
      <c r="GK9" s="49">
        <v>90</v>
      </c>
      <c r="GL9" s="50">
        <v>96.8</v>
      </c>
      <c r="GM9" s="50">
        <v>0</v>
      </c>
      <c r="GN9" s="49">
        <v>26.419</v>
      </c>
      <c r="GO9" s="49">
        <v>122.282</v>
      </c>
      <c r="GP9" s="49">
        <v>0.53100000000000003</v>
      </c>
      <c r="GQ9" s="49">
        <v>1.8879999999999999</v>
      </c>
      <c r="GR9" s="49">
        <v>1.298</v>
      </c>
      <c r="GS9" s="49">
        <v>2.0059999999999998</v>
      </c>
      <c r="GT9" s="49">
        <v>0.59</v>
      </c>
      <c r="GU9" s="49">
        <v>1.8879999999999999</v>
      </c>
      <c r="GV9" s="49">
        <v>12.74</v>
      </c>
      <c r="GW9" s="49">
        <v>13.913</v>
      </c>
      <c r="GX9" s="49">
        <v>16.170000000000002</v>
      </c>
      <c r="GY9" s="50">
        <v>0</v>
      </c>
      <c r="GZ9" s="50">
        <v>0</v>
      </c>
      <c r="HA9" s="50">
        <v>0</v>
      </c>
      <c r="HB9" s="49">
        <v>0</v>
      </c>
      <c r="HC9" s="49">
        <v>23.47</v>
      </c>
      <c r="HD9" s="49">
        <v>74</v>
      </c>
      <c r="HE9" s="50">
        <v>0</v>
      </c>
      <c r="HF9" s="50">
        <v>0</v>
      </c>
      <c r="HG9" s="49">
        <v>87.8</v>
      </c>
      <c r="HH9" s="50">
        <v>82.88</v>
      </c>
      <c r="HI9" s="50">
        <v>0</v>
      </c>
      <c r="HJ9" s="50">
        <v>0</v>
      </c>
      <c r="HK9" s="50">
        <v>0</v>
      </c>
      <c r="HL9" s="49">
        <v>56</v>
      </c>
      <c r="HM9" s="49">
        <v>50</v>
      </c>
      <c r="HN9" s="49">
        <v>61</v>
      </c>
      <c r="HO9" s="49">
        <v>56</v>
      </c>
      <c r="HP9" s="49">
        <v>58</v>
      </c>
      <c r="HQ9" s="49">
        <v>56</v>
      </c>
      <c r="HR9" s="49">
        <v>49</v>
      </c>
      <c r="HS9" s="49">
        <v>62</v>
      </c>
      <c r="HT9" s="49">
        <v>-1.3360000000000001</v>
      </c>
      <c r="HU9" s="50">
        <v>0</v>
      </c>
      <c r="HV9" s="50">
        <v>1.3540000000000001</v>
      </c>
      <c r="HW9" s="49">
        <v>36.65</v>
      </c>
      <c r="HX9" s="49">
        <v>47.31</v>
      </c>
      <c r="HY9" s="49">
        <v>47.43</v>
      </c>
      <c r="HZ9" s="49">
        <v>57.52</v>
      </c>
      <c r="IA9" s="49">
        <v>2.9169999999999998</v>
      </c>
      <c r="IB9" s="50">
        <v>104</v>
      </c>
      <c r="IC9" s="49">
        <v>22.341999999999999</v>
      </c>
      <c r="ID9" s="49">
        <v>-0.39300000000000002</v>
      </c>
      <c r="IE9" s="49">
        <v>-0.20100000000000001</v>
      </c>
      <c r="IF9" s="49">
        <v>802.7</v>
      </c>
      <c r="IG9" s="49">
        <v>748.9</v>
      </c>
      <c r="IH9" s="49">
        <v>812.9</v>
      </c>
      <c r="II9" s="49">
        <v>761.4</v>
      </c>
      <c r="IJ9" s="49">
        <v>3.2000000000000001E-2</v>
      </c>
      <c r="IK9" s="49">
        <v>-5.1999999999999998E-2</v>
      </c>
      <c r="IL9" s="49">
        <v>71.811000000000007</v>
      </c>
      <c r="IM9" s="49">
        <v>71.811000000000007</v>
      </c>
      <c r="IN9" s="49">
        <v>12.606</v>
      </c>
      <c r="IO9" s="50">
        <v>0.26200000000000001</v>
      </c>
      <c r="IP9" s="49">
        <v>9.59</v>
      </c>
      <c r="IQ9" s="49">
        <v>7.0000000000000001E-3</v>
      </c>
      <c r="IR9" s="49">
        <v>-5.0000000000000001E-3</v>
      </c>
      <c r="IS9">
        <v>0.23300000000000001</v>
      </c>
      <c r="IT9">
        <v>8.7999999999999995E-2</v>
      </c>
    </row>
    <row r="10" spans="1:254" x14ac:dyDescent="0.25">
      <c r="B10" s="2" t="s">
        <v>410</v>
      </c>
      <c r="C10" s="59" t="s">
        <v>45</v>
      </c>
      <c r="D10" s="62">
        <v>2.4267361111111108E-3</v>
      </c>
      <c r="E10" s="49">
        <v>209.71</v>
      </c>
      <c r="F10" s="50">
        <v>331.19</v>
      </c>
      <c r="G10" s="50">
        <v>6.04</v>
      </c>
      <c r="H10" s="49">
        <v>27.2</v>
      </c>
      <c r="I10" s="50">
        <v>0</v>
      </c>
      <c r="J10" s="49">
        <v>14.6</v>
      </c>
      <c r="K10" s="50">
        <v>6</v>
      </c>
      <c r="L10" s="50">
        <v>4</v>
      </c>
      <c r="M10" s="50">
        <v>6</v>
      </c>
      <c r="N10" s="50">
        <v>3</v>
      </c>
      <c r="O10" s="50">
        <v>3</v>
      </c>
      <c r="P10" s="49">
        <v>0.4</v>
      </c>
      <c r="Q10" s="49">
        <v>0.97199999999999998</v>
      </c>
      <c r="R10" s="49">
        <v>0.34</v>
      </c>
      <c r="S10" s="49">
        <v>0.25800000000000001</v>
      </c>
      <c r="T10" s="50">
        <v>78.14</v>
      </c>
      <c r="U10" s="49">
        <v>60.893000000000001</v>
      </c>
      <c r="V10" s="49">
        <v>243.34</v>
      </c>
      <c r="W10" s="49">
        <v>266.66000000000003</v>
      </c>
      <c r="X10" s="49">
        <v>190</v>
      </c>
      <c r="Y10" s="49">
        <v>228.34</v>
      </c>
      <c r="Z10" s="50">
        <v>388.67</v>
      </c>
      <c r="AA10" s="50">
        <v>407.18</v>
      </c>
      <c r="AB10" s="50">
        <v>310.77</v>
      </c>
      <c r="AC10" s="50">
        <v>375.82</v>
      </c>
      <c r="AD10" s="50">
        <v>1.7609999999999999</v>
      </c>
      <c r="AE10" s="50">
        <v>1.7889999999999999</v>
      </c>
      <c r="AF10" s="50">
        <v>1.7969999999999999</v>
      </c>
      <c r="AG10" s="50">
        <v>1.839</v>
      </c>
      <c r="AH10" s="50">
        <v>83.15</v>
      </c>
      <c r="AI10" s="50">
        <v>77.3</v>
      </c>
      <c r="AJ10" s="50">
        <v>116.53</v>
      </c>
      <c r="AK10" s="50">
        <v>105.68</v>
      </c>
      <c r="AL10" s="49">
        <v>666.37099999999998</v>
      </c>
      <c r="AM10" s="50">
        <v>699.51199999999994</v>
      </c>
      <c r="AN10" s="49">
        <v>839.928</v>
      </c>
      <c r="AO10" s="49">
        <v>820.65800000000002</v>
      </c>
      <c r="AP10" s="49">
        <v>1.4710000000000001</v>
      </c>
      <c r="AQ10" s="49">
        <v>1.927</v>
      </c>
      <c r="AR10" s="49">
        <v>41.335000000000001</v>
      </c>
      <c r="AS10" s="49">
        <v>38.026000000000003</v>
      </c>
      <c r="AT10" s="50">
        <v>83</v>
      </c>
      <c r="AU10" s="49">
        <v>115</v>
      </c>
      <c r="AV10" s="50">
        <v>1.72</v>
      </c>
      <c r="AW10" s="49">
        <v>5.1241000000000003</v>
      </c>
      <c r="AX10" s="49">
        <v>1013.6</v>
      </c>
      <c r="AY10" s="50">
        <v>2.4</v>
      </c>
      <c r="AZ10" s="49">
        <v>5.62</v>
      </c>
      <c r="BA10" s="49">
        <v>118.392</v>
      </c>
      <c r="BB10" s="49">
        <v>117.889</v>
      </c>
      <c r="BC10" s="49">
        <v>7667</v>
      </c>
      <c r="BD10" s="50">
        <v>89.75</v>
      </c>
      <c r="BE10" s="49">
        <v>15.955</v>
      </c>
      <c r="BF10" s="50">
        <v>15.305</v>
      </c>
      <c r="BG10" s="50">
        <v>30.34</v>
      </c>
      <c r="BH10" s="50">
        <v>28.1</v>
      </c>
      <c r="BI10" s="3"/>
      <c r="BJ10" s="3"/>
      <c r="BK10" s="3"/>
      <c r="BL10" s="3"/>
      <c r="BM10" s="3"/>
      <c r="BN10" s="49">
        <v>98.087999999999994</v>
      </c>
      <c r="BO10" s="49">
        <v>97.608000000000004</v>
      </c>
      <c r="BP10" s="49">
        <v>125.928</v>
      </c>
      <c r="BQ10" s="49">
        <v>129.08000000000001</v>
      </c>
      <c r="BR10" s="3"/>
      <c r="BS10" s="49">
        <v>26.9</v>
      </c>
      <c r="BT10" s="49">
        <v>7389.9539999999997</v>
      </c>
      <c r="BU10" s="49">
        <v>50.237000000000002</v>
      </c>
      <c r="BV10" s="49">
        <v>52.786000000000001</v>
      </c>
      <c r="BW10" s="49">
        <v>53.115000000000002</v>
      </c>
      <c r="BX10" s="49">
        <v>55.01</v>
      </c>
      <c r="BY10" s="49">
        <v>1.4219999999999999</v>
      </c>
      <c r="BZ10" s="50">
        <v>2.8050000000000002</v>
      </c>
      <c r="CA10" s="49">
        <v>3.661</v>
      </c>
      <c r="CB10" s="50">
        <v>3.7389999999999999</v>
      </c>
      <c r="CC10" s="49">
        <v>1.4610000000000001</v>
      </c>
      <c r="CD10" s="49">
        <v>2.431</v>
      </c>
      <c r="CE10" s="49">
        <v>1.403</v>
      </c>
      <c r="CF10" s="49">
        <v>2.17</v>
      </c>
      <c r="CG10" s="49">
        <v>13.943</v>
      </c>
      <c r="CH10" s="49">
        <v>13.795999999999999</v>
      </c>
      <c r="CI10" s="49">
        <v>4.2830000000000004</v>
      </c>
      <c r="CJ10" s="49">
        <v>-90.393000000000001</v>
      </c>
      <c r="CK10" s="49">
        <v>1.3440000000000001</v>
      </c>
      <c r="CL10" s="49">
        <v>0</v>
      </c>
      <c r="CM10" s="50">
        <v>1.1000000000000001</v>
      </c>
      <c r="CN10" s="49">
        <v>0</v>
      </c>
      <c r="CO10" s="49">
        <v>0</v>
      </c>
      <c r="CP10" s="49">
        <v>94.599000000000004</v>
      </c>
      <c r="CQ10" s="49">
        <v>94.27</v>
      </c>
      <c r="CR10" s="50">
        <v>115.511</v>
      </c>
      <c r="CS10" s="50">
        <v>121.003</v>
      </c>
      <c r="CT10" s="50">
        <v>0.42299999999999999</v>
      </c>
      <c r="CU10" s="49">
        <v>1.2969999999999999</v>
      </c>
      <c r="CV10" s="49">
        <v>1.5980000000000001</v>
      </c>
      <c r="CW10" s="49">
        <v>1.3</v>
      </c>
      <c r="CX10" s="49">
        <v>1.2949999999999999</v>
      </c>
      <c r="CY10" s="49">
        <v>0.499</v>
      </c>
      <c r="CZ10" s="49">
        <v>1.0009999999999999</v>
      </c>
      <c r="DA10" s="49">
        <v>0.995</v>
      </c>
      <c r="DB10" s="49">
        <v>1.298</v>
      </c>
      <c r="DC10" s="50">
        <v>0</v>
      </c>
      <c r="DD10" s="50">
        <v>0</v>
      </c>
      <c r="DE10" s="49">
        <v>0.13700000000000001</v>
      </c>
      <c r="DF10" s="49">
        <v>0.03</v>
      </c>
      <c r="DG10" s="49">
        <v>0.68100000000000005</v>
      </c>
      <c r="DH10" s="49">
        <v>1.645</v>
      </c>
      <c r="DI10" s="49">
        <v>1.0289999999999999</v>
      </c>
      <c r="DJ10" s="49">
        <v>1.0999999999999999E-2</v>
      </c>
      <c r="DK10" s="49">
        <v>0.61399999999999999</v>
      </c>
      <c r="DL10" s="49">
        <v>0.42</v>
      </c>
      <c r="DM10" s="49">
        <v>0.47499999999999998</v>
      </c>
      <c r="DN10" s="49">
        <v>0.17199999999999999</v>
      </c>
      <c r="DO10" s="49">
        <v>0.28399999999999997</v>
      </c>
      <c r="DP10" s="49">
        <v>65.650999999999996</v>
      </c>
      <c r="DQ10" s="49">
        <v>58.387</v>
      </c>
      <c r="DR10" s="49">
        <v>52.61</v>
      </c>
      <c r="DS10" s="49">
        <v>51.476999999999997</v>
      </c>
      <c r="DT10" s="49">
        <v>7.16</v>
      </c>
      <c r="DU10" s="50">
        <v>7.32</v>
      </c>
      <c r="DV10" s="50">
        <v>14.52</v>
      </c>
      <c r="DW10" s="49">
        <v>11.66</v>
      </c>
      <c r="DX10" s="50">
        <v>7.68</v>
      </c>
      <c r="DY10" s="50">
        <v>7.55</v>
      </c>
      <c r="DZ10" s="50">
        <v>14.1</v>
      </c>
      <c r="EA10" s="49">
        <v>11.36</v>
      </c>
      <c r="EB10" s="49">
        <v>42.15</v>
      </c>
      <c r="EC10" s="49">
        <v>40.49</v>
      </c>
      <c r="ED10" s="49">
        <v>31.7</v>
      </c>
      <c r="EE10" s="49">
        <v>34.28</v>
      </c>
      <c r="EF10" s="49">
        <v>43.01</v>
      </c>
      <c r="EG10" s="49">
        <v>44.65</v>
      </c>
      <c r="EH10" s="49">
        <v>39.67</v>
      </c>
      <c r="EI10" s="49">
        <v>42.7</v>
      </c>
      <c r="EJ10" s="49">
        <v>6.3090000000000002</v>
      </c>
      <c r="EK10" s="50">
        <v>60.732999999999997</v>
      </c>
      <c r="EL10" s="49">
        <v>2.15</v>
      </c>
      <c r="EM10" s="49">
        <v>1.8</v>
      </c>
      <c r="EN10" s="49">
        <v>1.19</v>
      </c>
      <c r="EO10" s="49">
        <v>1.19</v>
      </c>
      <c r="EP10" s="49">
        <v>-108.85</v>
      </c>
      <c r="EQ10" s="49">
        <v>-2.298</v>
      </c>
      <c r="ER10" s="49">
        <v>108.10599999999999</v>
      </c>
      <c r="ES10" s="49">
        <v>1.4510000000000001</v>
      </c>
      <c r="ET10" s="49">
        <v>1.657</v>
      </c>
      <c r="EU10" s="49">
        <v>1.4279999999999999</v>
      </c>
      <c r="EV10" s="49">
        <v>8.0440000000000005</v>
      </c>
      <c r="EW10" s="49">
        <v>2.8140000000000001</v>
      </c>
      <c r="EX10" s="50">
        <v>75.319999999999993</v>
      </c>
      <c r="EY10" s="49">
        <v>0</v>
      </c>
      <c r="EZ10" s="49">
        <v>2.1419999999999999</v>
      </c>
      <c r="FA10" s="50">
        <v>0</v>
      </c>
      <c r="FB10" s="49">
        <v>9.1660000000000004</v>
      </c>
      <c r="FC10" s="49">
        <v>69.658000000000001</v>
      </c>
      <c r="FD10" s="49">
        <v>63.798999999999999</v>
      </c>
      <c r="FE10" s="49">
        <v>79.893000000000001</v>
      </c>
      <c r="FF10" s="49">
        <v>75.688999999999993</v>
      </c>
      <c r="FG10" s="49">
        <v>0.91600000000000004</v>
      </c>
      <c r="FH10" s="49">
        <v>0.91700000000000004</v>
      </c>
      <c r="FI10" s="49">
        <v>0.99299999999999999</v>
      </c>
      <c r="FJ10" s="49">
        <v>0.997</v>
      </c>
      <c r="FK10" s="49">
        <v>0</v>
      </c>
      <c r="FL10" s="50">
        <v>83</v>
      </c>
      <c r="FM10" s="49">
        <v>3.79</v>
      </c>
      <c r="FN10" s="49">
        <v>2.4300000000000002</v>
      </c>
      <c r="FO10" s="49">
        <v>5.45</v>
      </c>
      <c r="FP10" s="3"/>
      <c r="FQ10" s="49">
        <v>4.55</v>
      </c>
      <c r="FR10" s="50">
        <v>4.9000000000000004</v>
      </c>
      <c r="FS10" s="49">
        <v>6.7115</v>
      </c>
      <c r="FT10" s="49">
        <v>1069.0999999999999</v>
      </c>
      <c r="FU10" s="50">
        <v>7.42</v>
      </c>
      <c r="FV10" s="49">
        <v>26.97</v>
      </c>
      <c r="FW10" s="49">
        <v>3169</v>
      </c>
      <c r="FX10" s="49">
        <v>164500</v>
      </c>
      <c r="FY10" s="49">
        <v>165100</v>
      </c>
      <c r="FZ10" s="49">
        <v>47.631</v>
      </c>
      <c r="GA10" s="49">
        <v>47.255000000000003</v>
      </c>
      <c r="GB10" s="49">
        <v>2205.1</v>
      </c>
      <c r="GC10" s="49">
        <v>2172.6</v>
      </c>
      <c r="GD10" s="50">
        <v>2284</v>
      </c>
      <c r="GE10" s="49">
        <v>2210.3000000000002</v>
      </c>
      <c r="GF10" s="49">
        <v>1443.375</v>
      </c>
      <c r="GG10" s="49">
        <v>29</v>
      </c>
      <c r="GH10" s="49">
        <v>29</v>
      </c>
      <c r="GI10" s="49">
        <v>46.8</v>
      </c>
      <c r="GJ10" s="49">
        <v>51.6</v>
      </c>
      <c r="GK10" s="49">
        <v>90</v>
      </c>
      <c r="GL10" s="49">
        <v>90.9</v>
      </c>
      <c r="GM10" s="50">
        <v>0</v>
      </c>
      <c r="GN10" s="50">
        <v>27.54</v>
      </c>
      <c r="GO10" s="49">
        <v>108.85</v>
      </c>
      <c r="GP10" s="49">
        <v>0.53100000000000003</v>
      </c>
      <c r="GQ10" s="49">
        <v>1.8879999999999999</v>
      </c>
      <c r="GR10" s="49">
        <v>1.121</v>
      </c>
      <c r="GS10" s="49">
        <v>2.0059999999999998</v>
      </c>
      <c r="GT10" s="49">
        <v>0.47199999999999998</v>
      </c>
      <c r="GU10" s="49">
        <v>1.8879999999999999</v>
      </c>
      <c r="GV10" s="49">
        <v>12.936</v>
      </c>
      <c r="GW10" s="49">
        <v>13.897</v>
      </c>
      <c r="GX10" s="49">
        <v>15.288</v>
      </c>
      <c r="GY10" s="50">
        <v>0</v>
      </c>
      <c r="GZ10" s="50">
        <v>0</v>
      </c>
      <c r="HA10" s="50">
        <v>0</v>
      </c>
      <c r="HB10" s="49">
        <v>0</v>
      </c>
      <c r="HC10" s="49">
        <v>23.201000000000001</v>
      </c>
      <c r="HD10" s="49">
        <v>78</v>
      </c>
      <c r="HE10" s="50">
        <v>0</v>
      </c>
      <c r="HF10" s="50">
        <v>0</v>
      </c>
      <c r="HG10" s="49">
        <v>74.14</v>
      </c>
      <c r="HH10" s="49">
        <v>82.5</v>
      </c>
      <c r="HI10" s="50">
        <v>0</v>
      </c>
      <c r="HJ10" s="50">
        <v>0</v>
      </c>
      <c r="HK10" s="50">
        <v>0</v>
      </c>
      <c r="HL10" s="49">
        <v>58</v>
      </c>
      <c r="HM10" s="49">
        <v>50</v>
      </c>
      <c r="HN10" s="49">
        <v>62</v>
      </c>
      <c r="HO10" s="49">
        <v>56</v>
      </c>
      <c r="HP10" s="49">
        <v>59</v>
      </c>
      <c r="HQ10" s="49">
        <v>57</v>
      </c>
      <c r="HR10" s="49">
        <v>49</v>
      </c>
      <c r="HS10" s="50">
        <v>70</v>
      </c>
      <c r="HT10" s="50">
        <v>-1.3474999999999999</v>
      </c>
      <c r="HU10" s="50">
        <v>0</v>
      </c>
      <c r="HV10" s="49">
        <v>1.345</v>
      </c>
      <c r="HW10" s="49">
        <v>36.65</v>
      </c>
      <c r="HX10" s="49">
        <v>47.31</v>
      </c>
      <c r="HY10" s="50">
        <v>48.98</v>
      </c>
      <c r="HZ10" s="50">
        <v>60.35</v>
      </c>
      <c r="IA10" s="50">
        <v>3.0939999999999999</v>
      </c>
      <c r="IB10" s="50">
        <v>104</v>
      </c>
      <c r="IC10" s="50">
        <v>23.01</v>
      </c>
      <c r="ID10" s="49">
        <v>-0.36399999999999999</v>
      </c>
      <c r="IE10" s="49">
        <v>-0.17799999999999999</v>
      </c>
      <c r="IF10" s="49">
        <v>816.9</v>
      </c>
      <c r="IG10" s="50">
        <v>755.3</v>
      </c>
      <c r="IH10" s="49">
        <v>814.6</v>
      </c>
      <c r="II10" s="50">
        <v>765.9</v>
      </c>
      <c r="IJ10" s="49">
        <v>-1.4999999999999999E-2</v>
      </c>
      <c r="IK10" s="49">
        <v>-7.0000000000000007E-2</v>
      </c>
      <c r="IL10" s="49">
        <v>68.850999999999999</v>
      </c>
      <c r="IM10" s="49">
        <v>68.850999999999999</v>
      </c>
      <c r="IN10" s="49">
        <v>10.904</v>
      </c>
      <c r="IO10" s="49">
        <v>0.22800000000000001</v>
      </c>
      <c r="IP10" s="49">
        <v>9.61</v>
      </c>
      <c r="IQ10" s="49">
        <v>8.9999999999999993E-3</v>
      </c>
      <c r="IR10" s="49">
        <v>8.0000000000000002E-3</v>
      </c>
      <c r="IS10">
        <v>0.24200000000000002</v>
      </c>
      <c r="IT10">
        <v>9.6000000000000002E-2</v>
      </c>
    </row>
    <row r="11" spans="1:254" x14ac:dyDescent="0.25">
      <c r="B11" s="2" t="s">
        <v>410</v>
      </c>
      <c r="C11" s="2" t="s">
        <v>46</v>
      </c>
      <c r="D11" s="58">
        <v>3.2358796296296298E-3</v>
      </c>
      <c r="E11" s="49">
        <v>279.577</v>
      </c>
      <c r="F11" s="49">
        <v>328.95</v>
      </c>
      <c r="G11" s="49">
        <v>-26.97</v>
      </c>
      <c r="H11" s="49">
        <v>27.2</v>
      </c>
      <c r="I11" s="50">
        <v>0</v>
      </c>
      <c r="J11" s="49">
        <v>21.7</v>
      </c>
      <c r="K11" s="50">
        <v>6</v>
      </c>
      <c r="L11" s="50">
        <v>4</v>
      </c>
      <c r="M11" s="50">
        <v>6</v>
      </c>
      <c r="N11" s="50">
        <v>3</v>
      </c>
      <c r="O11" s="50">
        <v>3</v>
      </c>
      <c r="P11" s="49">
        <v>0.59299999999999997</v>
      </c>
      <c r="Q11" s="49">
        <v>1.2</v>
      </c>
      <c r="R11" s="49">
        <v>0.30399999999999999</v>
      </c>
      <c r="S11" s="49">
        <v>0.254</v>
      </c>
      <c r="T11" s="49">
        <v>56</v>
      </c>
      <c r="U11" s="49">
        <v>61.481000000000002</v>
      </c>
      <c r="V11" s="49">
        <v>170</v>
      </c>
      <c r="W11" s="49">
        <v>195</v>
      </c>
      <c r="X11" s="49">
        <v>140</v>
      </c>
      <c r="Y11" s="49">
        <v>172.5</v>
      </c>
      <c r="Z11" s="49">
        <v>343.04</v>
      </c>
      <c r="AA11" s="49">
        <v>369.54</v>
      </c>
      <c r="AB11" s="49">
        <v>221.89</v>
      </c>
      <c r="AC11" s="49">
        <v>284.82</v>
      </c>
      <c r="AD11" s="49">
        <v>1.7430000000000001</v>
      </c>
      <c r="AE11" s="49">
        <v>1.78</v>
      </c>
      <c r="AF11" s="49">
        <v>1.7749999999999999</v>
      </c>
      <c r="AG11" s="49">
        <v>1.827</v>
      </c>
      <c r="AH11" s="49">
        <v>77.36</v>
      </c>
      <c r="AI11" s="49">
        <v>72.53</v>
      </c>
      <c r="AJ11" s="49">
        <v>106.85</v>
      </c>
      <c r="AK11" s="49">
        <v>99.01</v>
      </c>
      <c r="AL11" s="49">
        <v>571.01</v>
      </c>
      <c r="AM11" s="49">
        <v>597.09</v>
      </c>
      <c r="AN11" s="49">
        <v>712.40599999999995</v>
      </c>
      <c r="AO11" s="49">
        <v>755.59500000000003</v>
      </c>
      <c r="AP11" s="49">
        <v>1.462</v>
      </c>
      <c r="AQ11" s="49">
        <v>1.913</v>
      </c>
      <c r="AR11" s="50">
        <v>41.613</v>
      </c>
      <c r="AS11" s="50">
        <v>40.305</v>
      </c>
      <c r="AT11" s="49">
        <v>82</v>
      </c>
      <c r="AU11" s="50">
        <v>116</v>
      </c>
      <c r="AV11" s="49">
        <v>2.1154999999999999</v>
      </c>
      <c r="AW11" s="49">
        <v>4.7746000000000004</v>
      </c>
      <c r="AX11" s="49">
        <v>1014.7</v>
      </c>
      <c r="AY11" s="49">
        <v>2.35</v>
      </c>
      <c r="AZ11" s="49">
        <v>5.61</v>
      </c>
      <c r="BA11" s="49">
        <v>69.296999999999997</v>
      </c>
      <c r="BB11" s="49">
        <v>69.2</v>
      </c>
      <c r="BC11" s="49">
        <v>7655</v>
      </c>
      <c r="BD11" s="49">
        <v>88.5</v>
      </c>
      <c r="BE11" s="49">
        <v>15.914999999999999</v>
      </c>
      <c r="BF11" s="49">
        <v>13.08</v>
      </c>
      <c r="BG11" s="49">
        <v>28.22</v>
      </c>
      <c r="BH11" s="49">
        <v>27.12</v>
      </c>
      <c r="BI11" s="50">
        <v>65.335999999999999</v>
      </c>
      <c r="BJ11" s="50">
        <v>81.316000000000003</v>
      </c>
      <c r="BK11" s="50">
        <v>63.646000000000001</v>
      </c>
      <c r="BL11" s="49">
        <v>77.932000000000002</v>
      </c>
      <c r="BM11" s="50">
        <v>79.59</v>
      </c>
      <c r="BN11" s="50">
        <v>114.504</v>
      </c>
      <c r="BO11" s="50">
        <v>112.584</v>
      </c>
      <c r="BP11" s="50">
        <v>133.17599999999999</v>
      </c>
      <c r="BQ11" s="50">
        <v>136.952</v>
      </c>
      <c r="BR11" s="50">
        <v>60.174999999999997</v>
      </c>
      <c r="BS11" s="50">
        <v>27</v>
      </c>
      <c r="BT11" s="49">
        <v>7316.0469999999996</v>
      </c>
      <c r="BU11" s="49">
        <v>46.045999999999999</v>
      </c>
      <c r="BV11" s="49">
        <v>51.704999999999998</v>
      </c>
      <c r="BW11" s="50">
        <v>55.881999999999998</v>
      </c>
      <c r="BX11" s="49">
        <v>54.762</v>
      </c>
      <c r="BY11" s="49">
        <v>1.357</v>
      </c>
      <c r="BZ11" s="49">
        <v>2.2410000000000001</v>
      </c>
      <c r="CA11" s="49">
        <v>2.613</v>
      </c>
      <c r="CB11" s="49">
        <v>2.8</v>
      </c>
      <c r="CC11" s="49">
        <v>1.0369999999999999</v>
      </c>
      <c r="CD11" s="49">
        <v>2.3809999999999998</v>
      </c>
      <c r="CE11" s="50">
        <v>1.5129999999999999</v>
      </c>
      <c r="CF11" s="49">
        <v>2.23</v>
      </c>
      <c r="CG11" s="49">
        <v>13.962</v>
      </c>
      <c r="CH11" s="49">
        <v>10.569000000000001</v>
      </c>
      <c r="CI11" s="3"/>
      <c r="CJ11" s="3"/>
      <c r="CK11" s="3"/>
      <c r="CL11" s="50">
        <v>2.1</v>
      </c>
      <c r="CM11" s="49">
        <v>0.1</v>
      </c>
      <c r="CN11" s="49">
        <v>0</v>
      </c>
      <c r="CO11" s="49">
        <v>0</v>
      </c>
      <c r="CP11" s="50">
        <v>98.081999999999994</v>
      </c>
      <c r="CQ11" s="50">
        <v>97.679000000000002</v>
      </c>
      <c r="CR11" s="49">
        <v>111.26</v>
      </c>
      <c r="CS11" s="49">
        <v>117.74</v>
      </c>
      <c r="CT11" s="49">
        <v>0.28599999999999998</v>
      </c>
      <c r="CU11" s="49">
        <v>0.89900000000000002</v>
      </c>
      <c r="CV11" s="50">
        <v>1.6970000000000001</v>
      </c>
      <c r="CW11" s="49">
        <v>1.3029999999999999</v>
      </c>
      <c r="CX11" s="49">
        <v>1.0980000000000001</v>
      </c>
      <c r="CY11" s="49">
        <v>0.79900000000000004</v>
      </c>
      <c r="CZ11" s="49">
        <v>1</v>
      </c>
      <c r="DA11" s="49">
        <v>0.499</v>
      </c>
      <c r="DB11" s="49">
        <v>1.4990000000000001</v>
      </c>
      <c r="DC11" s="50">
        <v>0</v>
      </c>
      <c r="DD11" s="50">
        <v>0</v>
      </c>
      <c r="DE11" s="49">
        <v>0.14000000000000001</v>
      </c>
      <c r="DF11" s="49">
        <v>8.9999999999999993E-3</v>
      </c>
      <c r="DG11" s="49">
        <v>0.4</v>
      </c>
      <c r="DH11" s="49">
        <v>1.575</v>
      </c>
      <c r="DI11" s="49">
        <v>0.68100000000000005</v>
      </c>
      <c r="DJ11" s="49">
        <v>9.7000000000000003E-2</v>
      </c>
      <c r="DK11" s="49">
        <v>0.47499999999999998</v>
      </c>
      <c r="DL11" s="50">
        <v>0.42099999999999999</v>
      </c>
      <c r="DM11" s="49">
        <v>0.46600000000000003</v>
      </c>
      <c r="DN11" s="49">
        <v>0.39800000000000002</v>
      </c>
      <c r="DO11" s="49">
        <v>0.38400000000000001</v>
      </c>
      <c r="DP11" s="49">
        <v>59.966000000000001</v>
      </c>
      <c r="DQ11" s="49">
        <v>60.966999999999999</v>
      </c>
      <c r="DR11" s="49">
        <v>53.101999999999997</v>
      </c>
      <c r="DS11" s="50">
        <v>51.719000000000001</v>
      </c>
      <c r="DT11" s="49">
        <v>3.43</v>
      </c>
      <c r="DU11" s="49">
        <v>3.96</v>
      </c>
      <c r="DV11" s="49">
        <v>8.73</v>
      </c>
      <c r="DW11" s="49">
        <v>6.86</v>
      </c>
      <c r="DX11" s="49">
        <v>3.72</v>
      </c>
      <c r="DY11" s="49">
        <v>3.84</v>
      </c>
      <c r="DZ11" s="49">
        <v>8.07</v>
      </c>
      <c r="EA11" s="49">
        <v>6.42</v>
      </c>
      <c r="EB11" s="50">
        <v>43.84</v>
      </c>
      <c r="EC11" s="49">
        <v>42.65</v>
      </c>
      <c r="ED11" s="49">
        <v>34.21</v>
      </c>
      <c r="EE11" s="49">
        <v>35.24</v>
      </c>
      <c r="EF11" s="49">
        <v>49</v>
      </c>
      <c r="EG11" s="49">
        <v>49.53</v>
      </c>
      <c r="EH11" s="49">
        <v>48.98</v>
      </c>
      <c r="EI11" s="49">
        <v>51.47</v>
      </c>
      <c r="EJ11" s="50">
        <v>6.7530000000000001</v>
      </c>
      <c r="EK11" s="49">
        <v>60.374000000000002</v>
      </c>
      <c r="EL11" s="49">
        <v>2.2000000000000002</v>
      </c>
      <c r="EM11" s="49">
        <v>1.7</v>
      </c>
      <c r="EN11" s="49">
        <v>1.37</v>
      </c>
      <c r="EO11" s="49">
        <v>1.36</v>
      </c>
      <c r="EP11" s="49">
        <v>-100.96599999999999</v>
      </c>
      <c r="EQ11" s="49">
        <v>-0.86599999999999999</v>
      </c>
      <c r="ER11" s="49">
        <v>99.054000000000002</v>
      </c>
      <c r="ES11" s="49">
        <v>1.5049999999999999</v>
      </c>
      <c r="ET11" s="49">
        <v>1.627</v>
      </c>
      <c r="EU11" s="49">
        <v>1.5009999999999999</v>
      </c>
      <c r="EV11" s="49">
        <v>7.859</v>
      </c>
      <c r="EW11" s="49">
        <v>2.5649999999999999</v>
      </c>
      <c r="EX11" s="49">
        <v>64.400000000000006</v>
      </c>
      <c r="EY11" s="49">
        <v>8.1000000000000003E-2</v>
      </c>
      <c r="EZ11" s="49">
        <v>0.25600000000000001</v>
      </c>
      <c r="FA11" s="50">
        <v>0</v>
      </c>
      <c r="FB11" s="49">
        <v>9.3070000000000004</v>
      </c>
      <c r="FC11" s="50">
        <v>71.563999999999993</v>
      </c>
      <c r="FD11" s="49">
        <v>65.953000000000003</v>
      </c>
      <c r="FE11" s="50">
        <v>82.147999999999996</v>
      </c>
      <c r="FF11" s="50">
        <v>78.695999999999998</v>
      </c>
      <c r="FG11" s="49">
        <v>0.95899999999999996</v>
      </c>
      <c r="FH11" s="49">
        <v>0.94599999999999995</v>
      </c>
      <c r="FI11" s="49">
        <v>0.998</v>
      </c>
      <c r="FJ11" s="49">
        <v>1.0009999999999999</v>
      </c>
      <c r="FK11" s="49">
        <v>0</v>
      </c>
      <c r="FL11" s="50">
        <v>83</v>
      </c>
      <c r="FM11" s="49">
        <v>3.76</v>
      </c>
      <c r="FN11" s="49">
        <v>2.1</v>
      </c>
      <c r="FO11" s="49">
        <v>5.31</v>
      </c>
      <c r="FP11" s="49">
        <v>3.85</v>
      </c>
      <c r="FQ11" s="49">
        <v>4.45</v>
      </c>
      <c r="FR11" s="49">
        <v>5.0999999999999996</v>
      </c>
      <c r="FS11" s="49">
        <v>6.63</v>
      </c>
      <c r="FT11" s="49">
        <v>1076.8</v>
      </c>
      <c r="FU11" s="49">
        <v>6.86</v>
      </c>
      <c r="FV11" s="50">
        <v>32.340000000000003</v>
      </c>
      <c r="FW11" s="49">
        <v>3227.5</v>
      </c>
      <c r="FX11" s="49">
        <v>162700</v>
      </c>
      <c r="FY11" s="49">
        <v>163200</v>
      </c>
      <c r="FZ11" s="49">
        <v>48.689</v>
      </c>
      <c r="GA11" s="49">
        <v>48.383000000000003</v>
      </c>
      <c r="GB11" s="49">
        <v>2178.8000000000002</v>
      </c>
      <c r="GC11" s="50">
        <v>2180.6999999999998</v>
      </c>
      <c r="GD11" s="49">
        <v>2201.6999999999998</v>
      </c>
      <c r="GE11" s="49">
        <v>2206.8000000000002</v>
      </c>
      <c r="GF11" s="49">
        <v>1274.9530999999999</v>
      </c>
      <c r="GG11" s="49">
        <v>30</v>
      </c>
      <c r="GH11" s="49">
        <v>29.8</v>
      </c>
      <c r="GI11" s="49">
        <v>47.3</v>
      </c>
      <c r="GJ11" s="49">
        <v>52.7</v>
      </c>
      <c r="GK11" s="49">
        <v>90</v>
      </c>
      <c r="GL11" s="49">
        <v>75.099999999999994</v>
      </c>
      <c r="GM11" s="50">
        <v>0</v>
      </c>
      <c r="GN11" s="49">
        <v>26.741</v>
      </c>
      <c r="GO11" s="49">
        <v>100.96599999999999</v>
      </c>
      <c r="GP11" s="50">
        <v>0</v>
      </c>
      <c r="GQ11" s="49">
        <v>5.133</v>
      </c>
      <c r="GR11" s="50">
        <v>0</v>
      </c>
      <c r="GS11" s="49">
        <v>5.0739999999999998</v>
      </c>
      <c r="GT11" s="50">
        <v>0</v>
      </c>
      <c r="GU11" s="49">
        <v>5.4279999999999999</v>
      </c>
      <c r="GV11" s="50">
        <v>0</v>
      </c>
      <c r="GW11" s="49">
        <v>13.776999999999999</v>
      </c>
      <c r="GX11" s="50">
        <v>24.99</v>
      </c>
      <c r="GY11" s="50">
        <v>0</v>
      </c>
      <c r="GZ11" s="50">
        <v>0</v>
      </c>
      <c r="HA11" s="50">
        <v>0</v>
      </c>
      <c r="HB11" s="50">
        <v>1</v>
      </c>
      <c r="HC11" s="49">
        <v>22.85</v>
      </c>
      <c r="HD11" s="50">
        <v>82</v>
      </c>
      <c r="HE11" s="50">
        <v>0</v>
      </c>
      <c r="HF11" s="50">
        <v>0</v>
      </c>
      <c r="HG11" s="49">
        <v>75.319999999999993</v>
      </c>
      <c r="HH11" s="49">
        <v>82.5</v>
      </c>
      <c r="HI11" s="50">
        <v>0</v>
      </c>
      <c r="HJ11" s="50">
        <v>0</v>
      </c>
      <c r="HK11" s="50">
        <v>0</v>
      </c>
      <c r="HL11" s="50">
        <v>59</v>
      </c>
      <c r="HM11" s="50">
        <v>51</v>
      </c>
      <c r="HN11" s="50">
        <v>64</v>
      </c>
      <c r="HO11" s="50">
        <v>57</v>
      </c>
      <c r="HP11" s="50">
        <v>60</v>
      </c>
      <c r="HQ11" s="50">
        <v>58</v>
      </c>
      <c r="HR11" s="50">
        <v>50</v>
      </c>
      <c r="HS11" s="49">
        <v>62</v>
      </c>
      <c r="HT11" s="49">
        <v>-1.3465</v>
      </c>
      <c r="HU11" s="50">
        <v>0</v>
      </c>
      <c r="HV11" s="49">
        <v>1.006</v>
      </c>
      <c r="HW11" s="49">
        <v>37.64</v>
      </c>
      <c r="HX11" s="49">
        <v>54.13</v>
      </c>
      <c r="HY11" s="3"/>
      <c r="HZ11" s="3"/>
      <c r="IA11" s="49">
        <v>2.6059999999999999</v>
      </c>
      <c r="IB11" s="49">
        <v>102</v>
      </c>
      <c r="IC11" s="49">
        <v>21.337</v>
      </c>
      <c r="ID11" s="49">
        <v>-0.21099999999999999</v>
      </c>
      <c r="IE11" s="49">
        <v>-0.10199999999999999</v>
      </c>
      <c r="IF11" s="49">
        <v>795.2</v>
      </c>
      <c r="IG11" s="49">
        <v>705.2</v>
      </c>
      <c r="IH11" s="49">
        <v>804.9</v>
      </c>
      <c r="II11" s="49">
        <v>721.3</v>
      </c>
      <c r="IJ11" s="50">
        <v>7.4999999999999997E-2</v>
      </c>
      <c r="IK11" s="50">
        <v>4.9000000000000002E-2</v>
      </c>
      <c r="IL11" s="49">
        <v>126.509</v>
      </c>
      <c r="IM11" s="49">
        <v>126.509</v>
      </c>
      <c r="IN11" s="50">
        <v>16.076000000000001</v>
      </c>
      <c r="IO11" s="49">
        <v>0.14799999999999999</v>
      </c>
      <c r="IP11" s="49">
        <v>9.89</v>
      </c>
      <c r="IQ11" s="49">
        <v>0</v>
      </c>
      <c r="IR11" s="49">
        <v>0</v>
      </c>
      <c r="IS11">
        <v>0.24200000000000002</v>
      </c>
      <c r="IT11">
        <v>9.6000000000000002E-2</v>
      </c>
    </row>
    <row r="12" spans="1:254" x14ac:dyDescent="0.25">
      <c r="IS12">
        <v>0.24200000000000002</v>
      </c>
      <c r="IT12">
        <v>9.6000000000000002E-2</v>
      </c>
    </row>
    <row r="13" spans="1:254" x14ac:dyDescent="0.25">
      <c r="IS13">
        <v>0.24200000000000002</v>
      </c>
      <c r="IT13">
        <v>9.6000000000000002E-2</v>
      </c>
    </row>
    <row r="14" spans="1:254" x14ac:dyDescent="0.25">
      <c r="IS14">
        <v>0.24200000000000002</v>
      </c>
      <c r="IT14">
        <v>9.6000000000000002E-2</v>
      </c>
    </row>
    <row r="15" spans="1:254" x14ac:dyDescent="0.25">
      <c r="B15" s="2" t="s">
        <v>416</v>
      </c>
      <c r="C15" s="60" t="s">
        <v>41</v>
      </c>
      <c r="D15" s="61">
        <v>3.3634259259259256E-4</v>
      </c>
      <c r="E15" s="7">
        <v>29.062000000000001</v>
      </c>
      <c r="F15" s="7">
        <v>0.01</v>
      </c>
      <c r="G15" s="7">
        <v>0</v>
      </c>
      <c r="H15" s="7">
        <v>27</v>
      </c>
      <c r="I15" s="7">
        <v>0</v>
      </c>
      <c r="J15" s="7">
        <v>8.3000000000000007</v>
      </c>
      <c r="K15" s="7">
        <v>6</v>
      </c>
      <c r="L15" s="7">
        <v>4</v>
      </c>
      <c r="M15" s="7">
        <v>6</v>
      </c>
      <c r="N15" s="7">
        <v>3</v>
      </c>
      <c r="O15" s="7">
        <v>3</v>
      </c>
      <c r="P15" s="3"/>
      <c r="Q15" s="3"/>
      <c r="R15" s="3"/>
      <c r="S15" s="3"/>
      <c r="T15" s="7">
        <v>20.65</v>
      </c>
      <c r="U15" s="7">
        <v>63.636000000000003</v>
      </c>
      <c r="V15" s="7">
        <v>306</v>
      </c>
      <c r="W15" s="7">
        <v>320</v>
      </c>
      <c r="X15" s="7">
        <v>167.5</v>
      </c>
      <c r="Y15" s="7">
        <v>215</v>
      </c>
      <c r="Z15" s="7">
        <v>311.22000000000003</v>
      </c>
      <c r="AA15" s="7">
        <v>328.5</v>
      </c>
      <c r="AB15" s="7">
        <v>172</v>
      </c>
      <c r="AC15" s="7">
        <v>218.84</v>
      </c>
      <c r="AD15" s="7">
        <v>1.7390000000000001</v>
      </c>
      <c r="AE15" s="7">
        <v>1.7929999999999999</v>
      </c>
      <c r="AF15" s="7">
        <v>1.72</v>
      </c>
      <c r="AG15" s="7">
        <v>1.788</v>
      </c>
      <c r="AH15" s="7">
        <v>73.650000000000006</v>
      </c>
      <c r="AI15" s="7">
        <v>67.959999999999994</v>
      </c>
      <c r="AJ15" s="7">
        <v>96.1</v>
      </c>
      <c r="AK15" s="7">
        <v>88.9</v>
      </c>
      <c r="AL15" s="3"/>
      <c r="AM15" s="3"/>
      <c r="AN15" s="3"/>
      <c r="AO15" s="3"/>
      <c r="AP15" s="3"/>
      <c r="AQ15" s="3"/>
      <c r="AR15" s="3"/>
      <c r="AS15" s="3"/>
      <c r="AT15" s="7">
        <v>82</v>
      </c>
      <c r="AU15" s="7">
        <v>109</v>
      </c>
      <c r="AV15" s="7">
        <v>3.8805000000000001</v>
      </c>
      <c r="AW15" s="7">
        <v>3.9009999999999998</v>
      </c>
      <c r="AX15" s="7">
        <v>1030</v>
      </c>
      <c r="AY15" s="7">
        <v>2.2400000000000002</v>
      </c>
      <c r="AZ15" s="7">
        <v>6.15</v>
      </c>
      <c r="BA15" s="3"/>
      <c r="BB15" s="3"/>
      <c r="BC15" s="7">
        <v>0</v>
      </c>
      <c r="BD15" s="7">
        <v>0</v>
      </c>
      <c r="BE15" s="7">
        <v>3.98</v>
      </c>
      <c r="BF15" s="7">
        <v>3.06</v>
      </c>
      <c r="BG15" s="7">
        <v>6.2</v>
      </c>
      <c r="BH15" s="7">
        <v>6.5</v>
      </c>
      <c r="BI15" s="3"/>
      <c r="BJ15" s="3"/>
      <c r="BK15" s="3"/>
      <c r="BL15" s="3"/>
      <c r="BM15" s="3"/>
      <c r="BN15" s="7">
        <v>124.664</v>
      </c>
      <c r="BO15" s="7">
        <v>127.304</v>
      </c>
      <c r="BP15" s="7">
        <v>110.08799999999999</v>
      </c>
      <c r="BQ15" s="7">
        <v>117.96</v>
      </c>
      <c r="BR15" s="3"/>
      <c r="BS15" s="7">
        <v>26.7</v>
      </c>
      <c r="BT15" s="3"/>
      <c r="BU15" s="7">
        <v>71.588999999999999</v>
      </c>
      <c r="BV15" s="3"/>
      <c r="BW15" s="3"/>
      <c r="BX15" s="3"/>
      <c r="BY15" s="7">
        <v>2.1999999999999999E-2</v>
      </c>
      <c r="BZ15" s="7">
        <v>5.0000000000000001E-3</v>
      </c>
      <c r="CA15" s="7">
        <v>2.4E-2</v>
      </c>
      <c r="CB15" s="7">
        <v>2.1000000000000001E-2</v>
      </c>
      <c r="CC15" s="3"/>
      <c r="CD15" s="3"/>
      <c r="CE15" s="3"/>
      <c r="CF15" s="3"/>
      <c r="CG15" s="7">
        <v>13.206</v>
      </c>
      <c r="CH15" s="7">
        <v>12.936999999999999</v>
      </c>
      <c r="CI15" s="3"/>
      <c r="CJ15" s="7">
        <v>1.895</v>
      </c>
      <c r="CK15" s="3"/>
      <c r="CL15" s="7">
        <v>0</v>
      </c>
      <c r="CM15" s="7">
        <v>0</v>
      </c>
      <c r="CN15" s="7">
        <v>0</v>
      </c>
      <c r="CO15" s="7">
        <v>0</v>
      </c>
      <c r="CP15" s="7">
        <v>121.321</v>
      </c>
      <c r="CQ15" s="7">
        <v>123.9</v>
      </c>
      <c r="CR15" s="7">
        <v>109.804</v>
      </c>
      <c r="CS15" s="7">
        <v>116.13</v>
      </c>
      <c r="CT15" s="7">
        <v>0</v>
      </c>
      <c r="CU15" s="7">
        <v>0</v>
      </c>
      <c r="CV15" s="7">
        <v>0</v>
      </c>
      <c r="CW15" s="7">
        <v>0</v>
      </c>
      <c r="CX15" s="7">
        <v>0</v>
      </c>
      <c r="CY15" s="7">
        <v>0</v>
      </c>
      <c r="CZ15" s="7">
        <v>0</v>
      </c>
      <c r="DA15" s="7">
        <v>0</v>
      </c>
      <c r="DB15" s="7">
        <v>0</v>
      </c>
      <c r="DC15" s="7">
        <v>0</v>
      </c>
      <c r="DD15" s="7">
        <v>0</v>
      </c>
      <c r="DE15" s="7">
        <v>0</v>
      </c>
      <c r="DF15" s="3"/>
      <c r="DG15" s="7">
        <v>0</v>
      </c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7">
        <v>0</v>
      </c>
      <c r="DU15" s="7">
        <v>0</v>
      </c>
      <c r="DV15" s="7">
        <v>0</v>
      </c>
      <c r="DW15" s="7">
        <v>0</v>
      </c>
      <c r="DX15" s="7">
        <v>0</v>
      </c>
      <c r="DY15" s="7">
        <v>0</v>
      </c>
      <c r="DZ15" s="7">
        <v>0</v>
      </c>
      <c r="EA15" s="7">
        <v>0</v>
      </c>
      <c r="EB15" s="7">
        <v>16.579999999999998</v>
      </c>
      <c r="EC15" s="7">
        <v>12.42</v>
      </c>
      <c r="ED15" s="7">
        <v>4.7</v>
      </c>
      <c r="EE15" s="7">
        <v>12.24</v>
      </c>
      <c r="EF15" s="7">
        <v>83.42</v>
      </c>
      <c r="EG15" s="7">
        <v>87.57</v>
      </c>
      <c r="EH15" s="7">
        <v>95.3</v>
      </c>
      <c r="EI15" s="7">
        <v>87.76</v>
      </c>
      <c r="EJ15" s="7">
        <v>6.5039999999999996</v>
      </c>
      <c r="EK15" s="7">
        <v>61.334000000000003</v>
      </c>
      <c r="EL15" s="7">
        <v>2.25</v>
      </c>
      <c r="EM15" s="7">
        <v>2.2000000000000002</v>
      </c>
      <c r="EN15" s="7">
        <v>1.21</v>
      </c>
      <c r="EO15" s="7">
        <v>1.24</v>
      </c>
      <c r="EP15" s="7">
        <v>-0.81</v>
      </c>
      <c r="EQ15" s="7">
        <v>-0.14299999999999999</v>
      </c>
      <c r="ER15" s="7">
        <v>0.65</v>
      </c>
      <c r="ES15" s="7">
        <v>0.77600000000000002</v>
      </c>
      <c r="ET15" s="7">
        <v>0.8</v>
      </c>
      <c r="EU15" s="7">
        <v>0.76400000000000001</v>
      </c>
      <c r="EV15" s="3"/>
      <c r="EW15" s="3"/>
      <c r="EX15" s="7">
        <v>0</v>
      </c>
      <c r="EY15" s="7">
        <v>0</v>
      </c>
      <c r="EZ15" s="7">
        <v>0</v>
      </c>
      <c r="FA15" s="7">
        <v>0</v>
      </c>
      <c r="FB15" s="7">
        <v>8.9190000000000005</v>
      </c>
      <c r="FC15" s="7">
        <v>70.033000000000001</v>
      </c>
      <c r="FD15" s="7">
        <v>65.141000000000005</v>
      </c>
      <c r="FE15" s="7">
        <v>76.448999999999998</v>
      </c>
      <c r="FF15" s="7">
        <v>74.41</v>
      </c>
      <c r="FG15" s="7">
        <v>1.206</v>
      </c>
      <c r="FH15" s="7">
        <v>1.24</v>
      </c>
      <c r="FI15" s="7">
        <v>1</v>
      </c>
      <c r="FJ15" s="7">
        <v>1</v>
      </c>
      <c r="FK15" s="7">
        <v>0</v>
      </c>
      <c r="FL15" s="7">
        <v>81</v>
      </c>
      <c r="FM15" s="7">
        <v>2.1800000000000002</v>
      </c>
      <c r="FN15" s="7">
        <v>2.15</v>
      </c>
      <c r="FO15" s="7">
        <v>6.14</v>
      </c>
      <c r="FP15" s="7">
        <v>5.3</v>
      </c>
      <c r="FQ15" s="7">
        <v>0.55000000000000004</v>
      </c>
      <c r="FR15" s="7">
        <v>5.6</v>
      </c>
      <c r="FS15" s="7">
        <v>3.9180000000000001</v>
      </c>
      <c r="FT15" s="7">
        <v>1030.2</v>
      </c>
      <c r="FU15" s="7">
        <v>0</v>
      </c>
      <c r="FV15" s="7">
        <v>0</v>
      </c>
      <c r="FW15" s="7">
        <v>3.5</v>
      </c>
      <c r="FX15" s="7">
        <v>0</v>
      </c>
      <c r="FY15" s="7">
        <v>0</v>
      </c>
      <c r="FZ15" s="3"/>
      <c r="GA15" s="3"/>
      <c r="GB15" s="7">
        <v>2116.1</v>
      </c>
      <c r="GC15" s="7">
        <v>2116.6999999999998</v>
      </c>
      <c r="GD15" s="7">
        <v>1014.3</v>
      </c>
      <c r="GE15" s="7">
        <v>1014.8</v>
      </c>
      <c r="GF15" s="7">
        <v>29.578099999999999</v>
      </c>
      <c r="GG15" s="7">
        <v>30</v>
      </c>
      <c r="GH15" s="7">
        <v>30.3</v>
      </c>
      <c r="GI15" s="7">
        <v>48.1</v>
      </c>
      <c r="GJ15" s="7">
        <v>53.4</v>
      </c>
      <c r="GK15" s="7">
        <v>89</v>
      </c>
      <c r="GL15" s="7">
        <v>24</v>
      </c>
      <c r="GM15" s="7">
        <v>0</v>
      </c>
      <c r="GN15" s="3"/>
      <c r="GO15" s="7">
        <v>0.81</v>
      </c>
      <c r="GP15" s="7">
        <v>0</v>
      </c>
      <c r="GQ15" s="7">
        <v>1.77</v>
      </c>
      <c r="GR15" s="7">
        <v>0</v>
      </c>
      <c r="GS15" s="7">
        <v>1.77</v>
      </c>
      <c r="GT15" s="7">
        <v>0</v>
      </c>
      <c r="GU15" s="7">
        <v>1.7110000000000001</v>
      </c>
      <c r="GV15" s="7">
        <v>0</v>
      </c>
      <c r="GW15" s="7">
        <v>0</v>
      </c>
      <c r="GX15" s="7">
        <v>0</v>
      </c>
      <c r="GY15" s="7">
        <v>0</v>
      </c>
      <c r="GZ15" s="7">
        <v>0</v>
      </c>
      <c r="HA15" s="7">
        <v>0</v>
      </c>
      <c r="HB15" s="7">
        <v>0</v>
      </c>
      <c r="HC15" s="7">
        <v>14.71</v>
      </c>
      <c r="HD15" s="7">
        <v>82</v>
      </c>
      <c r="HE15" s="7">
        <v>0</v>
      </c>
      <c r="HF15" s="7">
        <v>0</v>
      </c>
      <c r="HG15" s="7">
        <v>82.63</v>
      </c>
      <c r="HH15" s="7">
        <v>58.79</v>
      </c>
      <c r="HI15" s="7">
        <v>0</v>
      </c>
      <c r="HJ15" s="7">
        <v>0</v>
      </c>
      <c r="HK15" s="7">
        <v>0</v>
      </c>
      <c r="HL15" s="7">
        <v>59</v>
      </c>
      <c r="HM15" s="7">
        <v>51</v>
      </c>
      <c r="HN15" s="7">
        <v>64</v>
      </c>
      <c r="HO15" s="7">
        <v>56</v>
      </c>
      <c r="HP15" s="7">
        <v>57</v>
      </c>
      <c r="HQ15" s="7">
        <v>56</v>
      </c>
      <c r="HR15" s="7">
        <v>50</v>
      </c>
      <c r="HS15" s="7">
        <v>54</v>
      </c>
      <c r="HT15" s="7">
        <v>-0.995</v>
      </c>
      <c r="HU15" s="7">
        <v>0</v>
      </c>
      <c r="HV15" s="7">
        <v>-5.8000000000000003E-2</v>
      </c>
      <c r="HW15" s="7">
        <v>52.98</v>
      </c>
      <c r="HX15" s="7">
        <v>74.959999999999994</v>
      </c>
      <c r="HY15" s="3"/>
      <c r="HZ15" s="3"/>
      <c r="IA15" s="7">
        <v>4.0000000000000001E-3</v>
      </c>
      <c r="IB15" s="7">
        <v>97</v>
      </c>
      <c r="IC15" s="7">
        <v>14.978999999999999</v>
      </c>
      <c r="ID15" s="7">
        <v>0</v>
      </c>
      <c r="IE15" s="7">
        <v>0</v>
      </c>
      <c r="IF15" s="7">
        <v>491.1</v>
      </c>
      <c r="IG15" s="7">
        <v>475.8</v>
      </c>
      <c r="IH15" s="7">
        <v>530.9</v>
      </c>
      <c r="II15" s="7">
        <v>513.1</v>
      </c>
      <c r="IJ15" s="7">
        <v>0</v>
      </c>
      <c r="IK15" s="7">
        <v>0</v>
      </c>
      <c r="IL15" s="7">
        <v>29.047000000000001</v>
      </c>
      <c r="IM15" s="7">
        <v>29.047000000000001</v>
      </c>
      <c r="IN15" s="7">
        <v>37.353000000000002</v>
      </c>
      <c r="IO15" s="7">
        <v>0</v>
      </c>
      <c r="IP15" s="7">
        <v>10.56</v>
      </c>
      <c r="IQ15" s="7">
        <v>1E-3</v>
      </c>
      <c r="IR15" s="7">
        <v>5.0000000000000001E-3</v>
      </c>
      <c r="IS15">
        <v>0.24200000000000002</v>
      </c>
      <c r="IT15">
        <v>9.6000000000000002E-2</v>
      </c>
    </row>
    <row r="16" spans="1:254" x14ac:dyDescent="0.25">
      <c r="B16" s="2" t="s">
        <v>410</v>
      </c>
      <c r="C16" s="2" t="s">
        <v>42</v>
      </c>
      <c r="D16" s="58">
        <v>3.5982638888888887E-3</v>
      </c>
      <c r="E16" s="50">
        <v>310.892</v>
      </c>
      <c r="F16" s="49">
        <v>327.01</v>
      </c>
      <c r="G16" s="49">
        <v>5.57</v>
      </c>
      <c r="H16" s="49">
        <v>27.1</v>
      </c>
      <c r="I16" s="50">
        <v>1.64</v>
      </c>
      <c r="J16" s="50">
        <v>33.799999999999997</v>
      </c>
      <c r="K16" s="50">
        <v>6</v>
      </c>
      <c r="L16" s="50">
        <v>4</v>
      </c>
      <c r="M16" s="49">
        <v>6</v>
      </c>
      <c r="N16" s="50">
        <v>3</v>
      </c>
      <c r="O16" s="50">
        <v>3</v>
      </c>
      <c r="P16" s="50">
        <v>0.60299999999999998</v>
      </c>
      <c r="Q16" s="50">
        <v>1.1000000000000001</v>
      </c>
      <c r="R16" s="50">
        <v>0.53800000000000003</v>
      </c>
      <c r="S16" s="50">
        <v>0.29599999999999999</v>
      </c>
      <c r="T16" s="49">
        <v>69.61</v>
      </c>
      <c r="U16" s="50">
        <v>61.570999999999998</v>
      </c>
      <c r="V16" s="50">
        <v>165</v>
      </c>
      <c r="W16" s="50">
        <v>187.5</v>
      </c>
      <c r="X16" s="50">
        <v>110</v>
      </c>
      <c r="Y16" s="50">
        <v>127.5</v>
      </c>
      <c r="Z16" s="49">
        <v>311.68</v>
      </c>
      <c r="AA16" s="49">
        <v>334.49</v>
      </c>
      <c r="AB16" s="49">
        <v>196.3</v>
      </c>
      <c r="AC16" s="49">
        <v>248.84</v>
      </c>
      <c r="AD16" s="49">
        <v>1.694</v>
      </c>
      <c r="AE16" s="49">
        <v>1.7490000000000001</v>
      </c>
      <c r="AF16" s="49">
        <v>1.6639999999999999</v>
      </c>
      <c r="AG16" s="49">
        <v>1.7250000000000001</v>
      </c>
      <c r="AH16" s="49">
        <v>66.099999999999994</v>
      </c>
      <c r="AI16" s="49">
        <v>62.14</v>
      </c>
      <c r="AJ16" s="49">
        <v>86.51</v>
      </c>
      <c r="AK16" s="49">
        <v>80.209999999999994</v>
      </c>
      <c r="AL16" s="49">
        <v>595.726</v>
      </c>
      <c r="AM16" s="49">
        <v>628.48299999999995</v>
      </c>
      <c r="AN16" s="49">
        <v>737.803</v>
      </c>
      <c r="AO16" s="49">
        <v>758.92600000000004</v>
      </c>
      <c r="AP16" s="49">
        <v>1.4670000000000001</v>
      </c>
      <c r="AQ16" s="50">
        <v>1.9350000000000001</v>
      </c>
      <c r="AR16" s="49">
        <v>39.905999999999999</v>
      </c>
      <c r="AS16" s="49">
        <v>37.164999999999999</v>
      </c>
      <c r="AT16" s="50">
        <v>84</v>
      </c>
      <c r="AU16" s="49">
        <v>111</v>
      </c>
      <c r="AV16" s="49">
        <v>2.0489999999999999</v>
      </c>
      <c r="AW16" s="49">
        <v>4.8841000000000001</v>
      </c>
      <c r="AX16" s="49">
        <v>1016.2</v>
      </c>
      <c r="AY16" s="50">
        <v>2.64</v>
      </c>
      <c r="AZ16" s="49">
        <v>5.57</v>
      </c>
      <c r="BA16" s="49">
        <v>69.8</v>
      </c>
      <c r="BB16" s="49">
        <v>69.7</v>
      </c>
      <c r="BC16" s="49">
        <v>7661</v>
      </c>
      <c r="BD16" s="50">
        <v>89.75</v>
      </c>
      <c r="BE16" s="49">
        <v>15.07</v>
      </c>
      <c r="BF16" s="49">
        <v>12.74</v>
      </c>
      <c r="BG16" s="49">
        <v>25.47</v>
      </c>
      <c r="BH16" s="49">
        <v>26.06</v>
      </c>
      <c r="BI16" s="49">
        <v>64.974999999999994</v>
      </c>
      <c r="BJ16" s="50">
        <v>80.885999999999996</v>
      </c>
      <c r="BK16" s="49">
        <v>63.292999999999999</v>
      </c>
      <c r="BL16" s="50">
        <v>78.625</v>
      </c>
      <c r="BM16" s="49">
        <v>78.06</v>
      </c>
      <c r="BN16" s="50">
        <v>139.24</v>
      </c>
      <c r="BO16" s="50">
        <v>141.19200000000001</v>
      </c>
      <c r="BP16" s="49">
        <v>106.80800000000001</v>
      </c>
      <c r="BQ16" s="49">
        <v>111.91200000000001</v>
      </c>
      <c r="BR16" s="49">
        <v>58.237000000000002</v>
      </c>
      <c r="BS16" s="49">
        <v>26.7</v>
      </c>
      <c r="BT16" s="49">
        <v>7092.7250000000004</v>
      </c>
      <c r="BU16" s="50">
        <v>53.56</v>
      </c>
      <c r="BV16" s="49">
        <v>53.73</v>
      </c>
      <c r="BW16" s="50">
        <v>55.026000000000003</v>
      </c>
      <c r="BX16" s="50">
        <v>56.250999999999998</v>
      </c>
      <c r="BY16" s="49">
        <v>1.4339999999999999</v>
      </c>
      <c r="BZ16" s="49">
        <v>2.6659999999999999</v>
      </c>
      <c r="CA16" s="49">
        <v>2.669</v>
      </c>
      <c r="CB16" s="49">
        <v>2.7090000000000001</v>
      </c>
      <c r="CC16" s="49">
        <v>1.2030000000000001</v>
      </c>
      <c r="CD16" s="49">
        <v>2.3260000000000001</v>
      </c>
      <c r="CE16" s="50">
        <v>1.5089999999999999</v>
      </c>
      <c r="CF16" s="50">
        <v>2.2559999999999998</v>
      </c>
      <c r="CG16" s="49">
        <v>13.855</v>
      </c>
      <c r="CH16" s="50">
        <v>10.446999999999999</v>
      </c>
      <c r="CI16" s="50">
        <v>4.0919999999999996</v>
      </c>
      <c r="CJ16" s="49">
        <v>3.5169999999999999</v>
      </c>
      <c r="CK16" s="49">
        <v>1.4039999999999999</v>
      </c>
      <c r="CL16" s="49">
        <v>0</v>
      </c>
      <c r="CM16" s="49">
        <v>1.6</v>
      </c>
      <c r="CN16" s="50">
        <v>0</v>
      </c>
      <c r="CO16" s="49">
        <v>0</v>
      </c>
      <c r="CP16" s="50">
        <v>104.815</v>
      </c>
      <c r="CQ16" s="50">
        <v>107.459</v>
      </c>
      <c r="CR16" s="49">
        <v>96.117999999999995</v>
      </c>
      <c r="CS16" s="49">
        <v>102</v>
      </c>
      <c r="CT16" s="49">
        <v>0.34799999999999998</v>
      </c>
      <c r="CU16" s="49">
        <v>1.1990000000000001</v>
      </c>
      <c r="CV16" s="49">
        <v>1.5</v>
      </c>
      <c r="CW16" s="49">
        <v>0.60099999999999998</v>
      </c>
      <c r="CX16" s="49">
        <v>1.399</v>
      </c>
      <c r="CY16" s="49">
        <v>1.304</v>
      </c>
      <c r="CZ16" s="49">
        <v>1.6950000000000001</v>
      </c>
      <c r="DA16" s="49">
        <v>0.80100000000000005</v>
      </c>
      <c r="DB16" s="49">
        <v>1.099</v>
      </c>
      <c r="DC16" s="50">
        <v>0</v>
      </c>
      <c r="DD16" s="50">
        <v>0</v>
      </c>
      <c r="DE16" s="50">
        <v>0.128</v>
      </c>
      <c r="DF16" s="49">
        <v>1.2999999999999999E-2</v>
      </c>
      <c r="DG16" s="49">
        <v>0.48399999999999999</v>
      </c>
      <c r="DH16" s="49">
        <v>1.1000000000000001</v>
      </c>
      <c r="DI16" s="50">
        <v>0.79500000000000004</v>
      </c>
      <c r="DJ16" s="50">
        <v>0.14099999999999999</v>
      </c>
      <c r="DK16" s="50">
        <v>0.71299999999999997</v>
      </c>
      <c r="DL16" s="50">
        <v>0.41899999999999998</v>
      </c>
      <c r="DM16" s="50">
        <v>0.51300000000000001</v>
      </c>
      <c r="DN16" s="49">
        <v>0.379</v>
      </c>
      <c r="DO16" s="50">
        <v>0.39400000000000002</v>
      </c>
      <c r="DP16" s="49">
        <v>62.936999999999998</v>
      </c>
      <c r="DQ16" s="49">
        <v>58.381</v>
      </c>
      <c r="DR16" s="49">
        <v>53.048000000000002</v>
      </c>
      <c r="DS16" s="49">
        <v>50.862000000000002</v>
      </c>
      <c r="DT16" s="49">
        <v>3.69</v>
      </c>
      <c r="DU16" s="49">
        <v>4.0599999999999996</v>
      </c>
      <c r="DV16" s="49">
        <v>8.2100000000000009</v>
      </c>
      <c r="DW16" s="49">
        <v>6.61</v>
      </c>
      <c r="DX16" s="49">
        <v>3.87</v>
      </c>
      <c r="DY16" s="49">
        <v>4.01</v>
      </c>
      <c r="DZ16" s="49">
        <v>7.38</v>
      </c>
      <c r="EA16" s="49">
        <v>6.13</v>
      </c>
      <c r="EB16" s="49">
        <v>33.520000000000003</v>
      </c>
      <c r="EC16" s="49">
        <v>33.4</v>
      </c>
      <c r="ED16" s="49">
        <v>26.82</v>
      </c>
      <c r="EE16" s="49">
        <v>27.88</v>
      </c>
      <c r="EF16" s="50">
        <v>58.92</v>
      </c>
      <c r="EG16" s="50">
        <v>58.53</v>
      </c>
      <c r="EH16" s="50">
        <v>57.59</v>
      </c>
      <c r="EI16" s="50">
        <v>59.38</v>
      </c>
      <c r="EJ16" s="49">
        <v>5.8460000000000001</v>
      </c>
      <c r="EK16" s="49">
        <v>59.765999999999998</v>
      </c>
      <c r="EL16" s="50">
        <v>2.5499999999999998</v>
      </c>
      <c r="EM16" s="50">
        <v>1.7</v>
      </c>
      <c r="EN16" s="50">
        <v>1.17</v>
      </c>
      <c r="EO16" s="49">
        <v>1.17</v>
      </c>
      <c r="EP16" s="49">
        <v>-84.76</v>
      </c>
      <c r="EQ16" s="50">
        <v>-1.0880000000000001</v>
      </c>
      <c r="ER16" s="49">
        <v>84.453999999999994</v>
      </c>
      <c r="ES16" s="49">
        <v>1.2070000000000001</v>
      </c>
      <c r="ET16" s="49">
        <v>1.242</v>
      </c>
      <c r="EU16" s="49">
        <v>1.175</v>
      </c>
      <c r="EV16" s="49">
        <v>7.8979999999999997</v>
      </c>
      <c r="EW16" s="49">
        <v>2.657</v>
      </c>
      <c r="EX16" s="49">
        <v>-315.3</v>
      </c>
      <c r="EY16" s="50">
        <v>2.0009999999999999</v>
      </c>
      <c r="EZ16" s="49">
        <v>0</v>
      </c>
      <c r="FA16" s="50">
        <v>0</v>
      </c>
      <c r="FB16" s="49">
        <v>7.7050000000000001</v>
      </c>
      <c r="FC16" s="49">
        <v>68.734999999999999</v>
      </c>
      <c r="FD16" s="49">
        <v>64.066999999999993</v>
      </c>
      <c r="FE16" s="49">
        <v>71.335999999999999</v>
      </c>
      <c r="FF16" s="49">
        <v>68.501999999999995</v>
      </c>
      <c r="FG16" s="50">
        <v>0.96</v>
      </c>
      <c r="FH16" s="50">
        <v>0.96199999999999997</v>
      </c>
      <c r="FI16" s="50">
        <v>1.002</v>
      </c>
      <c r="FJ16" s="50">
        <v>1.004</v>
      </c>
      <c r="FK16" s="50">
        <v>0.10100000000000001</v>
      </c>
      <c r="FL16" s="50">
        <v>85</v>
      </c>
      <c r="FM16" s="49">
        <v>3.77</v>
      </c>
      <c r="FN16" s="49">
        <v>2.2400000000000002</v>
      </c>
      <c r="FO16" s="49">
        <v>5.36</v>
      </c>
      <c r="FP16" s="49">
        <v>3.9</v>
      </c>
      <c r="FQ16" s="50">
        <v>0.55000000000000004</v>
      </c>
      <c r="FR16" s="49">
        <v>5.15</v>
      </c>
      <c r="FS16" s="49">
        <v>6.6890000000000001</v>
      </c>
      <c r="FT16" s="50">
        <v>1081.8</v>
      </c>
      <c r="FU16" s="49">
        <v>7.06</v>
      </c>
      <c r="FV16" s="49">
        <v>5.57</v>
      </c>
      <c r="FW16" s="49">
        <v>3072.5</v>
      </c>
      <c r="FX16" s="49">
        <v>166000</v>
      </c>
      <c r="FY16" s="49">
        <v>167300</v>
      </c>
      <c r="FZ16" s="50">
        <v>48.637999999999998</v>
      </c>
      <c r="GA16" s="50">
        <v>48.68</v>
      </c>
      <c r="GB16" s="49">
        <v>2146.1999999999998</v>
      </c>
      <c r="GC16" s="50">
        <v>2278</v>
      </c>
      <c r="GD16" s="49">
        <v>2190.6999999999998</v>
      </c>
      <c r="GE16" s="50">
        <v>2487.4</v>
      </c>
      <c r="GF16" s="49">
        <v>1387.2030999999999</v>
      </c>
      <c r="GG16" s="50">
        <v>31</v>
      </c>
      <c r="GH16" s="50">
        <v>30.9</v>
      </c>
      <c r="GI16" s="50">
        <v>53.2</v>
      </c>
      <c r="GJ16" s="50">
        <v>58.1</v>
      </c>
      <c r="GK16" s="50">
        <v>98.5</v>
      </c>
      <c r="GL16" s="50">
        <v>90.2</v>
      </c>
      <c r="GM16" s="50">
        <v>0</v>
      </c>
      <c r="GN16" s="49">
        <v>27.611000000000001</v>
      </c>
      <c r="GO16" s="49">
        <v>84.76</v>
      </c>
      <c r="GP16" s="50">
        <v>0</v>
      </c>
      <c r="GQ16" s="50">
        <v>4.2480000000000002</v>
      </c>
      <c r="GR16" s="50">
        <v>0</v>
      </c>
      <c r="GS16" s="50">
        <v>5.1920000000000002</v>
      </c>
      <c r="GT16" s="50">
        <v>0</v>
      </c>
      <c r="GU16" s="50">
        <v>4.3659999999999997</v>
      </c>
      <c r="GV16" s="50">
        <v>0</v>
      </c>
      <c r="GW16" s="49">
        <v>10.52</v>
      </c>
      <c r="GX16" s="50">
        <v>23.911999999999999</v>
      </c>
      <c r="GY16" s="50">
        <v>0</v>
      </c>
      <c r="GZ16" s="50">
        <v>0</v>
      </c>
      <c r="HA16" s="50">
        <v>0</v>
      </c>
      <c r="HB16" s="50">
        <v>1</v>
      </c>
      <c r="HC16" s="49">
        <v>21.991</v>
      </c>
      <c r="HD16" s="50">
        <v>86</v>
      </c>
      <c r="HE16" s="50">
        <v>0</v>
      </c>
      <c r="HF16" s="50">
        <v>0</v>
      </c>
      <c r="HG16" s="50">
        <v>90.1</v>
      </c>
      <c r="HH16" s="49">
        <v>81.39</v>
      </c>
      <c r="HI16" s="50">
        <v>0</v>
      </c>
      <c r="HJ16" s="50">
        <v>0</v>
      </c>
      <c r="HK16" s="50">
        <v>0</v>
      </c>
      <c r="HL16" s="50">
        <v>64</v>
      </c>
      <c r="HM16" s="50">
        <v>51</v>
      </c>
      <c r="HN16" s="49">
        <v>64</v>
      </c>
      <c r="HO16" s="49">
        <v>57</v>
      </c>
      <c r="HP16" s="49">
        <v>59</v>
      </c>
      <c r="HQ16" s="49">
        <v>57</v>
      </c>
      <c r="HR16" s="49">
        <v>50</v>
      </c>
      <c r="HS16" s="50">
        <v>70</v>
      </c>
      <c r="HT16" s="49">
        <v>-1.3660000000000001</v>
      </c>
      <c r="HU16" s="50">
        <v>0</v>
      </c>
      <c r="HV16" s="49">
        <v>1.0329999999999999</v>
      </c>
      <c r="HW16" s="50">
        <v>37.21</v>
      </c>
      <c r="HX16" s="49">
        <v>48.83</v>
      </c>
      <c r="HY16" s="3"/>
      <c r="HZ16" s="3"/>
      <c r="IA16" s="49">
        <v>2.2650000000000001</v>
      </c>
      <c r="IB16" s="49">
        <v>100</v>
      </c>
      <c r="IC16" s="49">
        <v>19.428999999999998</v>
      </c>
      <c r="ID16" s="50">
        <v>-0.18</v>
      </c>
      <c r="IE16" s="50">
        <v>-8.3000000000000004E-2</v>
      </c>
      <c r="IF16" s="50">
        <v>812.9</v>
      </c>
      <c r="IG16" s="49">
        <v>697</v>
      </c>
      <c r="IH16" s="50">
        <v>816.9</v>
      </c>
      <c r="II16" s="49">
        <v>710</v>
      </c>
      <c r="IJ16" s="49">
        <v>1.2E-2</v>
      </c>
      <c r="IK16" s="49">
        <v>2.8000000000000001E-2</v>
      </c>
      <c r="IL16" s="50">
        <v>164.12100000000001</v>
      </c>
      <c r="IM16" s="50">
        <v>163.98</v>
      </c>
      <c r="IN16" s="49">
        <v>13.13</v>
      </c>
      <c r="IO16" s="49">
        <v>0.13600000000000001</v>
      </c>
      <c r="IP16" s="50">
        <v>10.1</v>
      </c>
      <c r="IQ16" s="49">
        <v>8.9999999999999993E-3</v>
      </c>
      <c r="IR16" s="49">
        <v>5.0000000000000001E-3</v>
      </c>
      <c r="IS16">
        <v>0.251</v>
      </c>
      <c r="IT16">
        <v>0.10100000000000001</v>
      </c>
    </row>
    <row r="17" spans="1:254" x14ac:dyDescent="0.25">
      <c r="B17" s="2" t="s">
        <v>410</v>
      </c>
      <c r="C17" s="2" t="s">
        <v>43</v>
      </c>
      <c r="D17" s="58">
        <v>2.4575231481481483E-3</v>
      </c>
      <c r="E17" s="49">
        <v>212.33</v>
      </c>
      <c r="F17" s="49">
        <v>327.92</v>
      </c>
      <c r="G17" s="50">
        <v>6.07</v>
      </c>
      <c r="H17" s="49">
        <v>27.1</v>
      </c>
      <c r="I17" s="49">
        <v>0</v>
      </c>
      <c r="J17" s="49">
        <v>11.5</v>
      </c>
      <c r="K17" s="50">
        <v>6</v>
      </c>
      <c r="L17" s="50">
        <v>4</v>
      </c>
      <c r="M17" s="50">
        <v>7</v>
      </c>
      <c r="N17" s="50">
        <v>3</v>
      </c>
      <c r="O17" s="50">
        <v>3</v>
      </c>
      <c r="P17" s="49">
        <v>0.40100000000000002</v>
      </c>
      <c r="Q17" s="49">
        <v>1.034</v>
      </c>
      <c r="R17" s="49">
        <v>0.28999999999999998</v>
      </c>
      <c r="S17" s="49">
        <v>0.20899999999999999</v>
      </c>
      <c r="T17" s="49">
        <v>87.06</v>
      </c>
      <c r="U17" s="49">
        <v>61.19</v>
      </c>
      <c r="V17" s="49">
        <v>226.66</v>
      </c>
      <c r="W17" s="49">
        <v>258.33999999999997</v>
      </c>
      <c r="X17" s="49">
        <v>137.5</v>
      </c>
      <c r="Y17" s="49">
        <v>175</v>
      </c>
      <c r="Z17" s="49">
        <v>378.4</v>
      </c>
      <c r="AA17" s="49">
        <v>408.52</v>
      </c>
      <c r="AB17" s="49">
        <v>276.02</v>
      </c>
      <c r="AC17" s="49">
        <v>341.81</v>
      </c>
      <c r="AD17" s="49">
        <v>1.7170000000000001</v>
      </c>
      <c r="AE17" s="49">
        <v>1.756</v>
      </c>
      <c r="AF17" s="49">
        <v>1.7470000000000001</v>
      </c>
      <c r="AG17" s="49">
        <v>1.7929999999999999</v>
      </c>
      <c r="AH17" s="49">
        <v>75.7</v>
      </c>
      <c r="AI17" s="49">
        <v>71.92</v>
      </c>
      <c r="AJ17" s="49">
        <v>105</v>
      </c>
      <c r="AK17" s="49">
        <v>96.08</v>
      </c>
      <c r="AL17" s="49">
        <v>696.32399999999996</v>
      </c>
      <c r="AM17" s="49">
        <v>706.37099999999998</v>
      </c>
      <c r="AN17" s="49">
        <v>854.84900000000005</v>
      </c>
      <c r="AO17" s="49">
        <v>826.26599999999996</v>
      </c>
      <c r="AP17" s="50">
        <v>1.4690000000000001</v>
      </c>
      <c r="AQ17" s="49">
        <v>1.9330000000000001</v>
      </c>
      <c r="AR17" s="49">
        <v>40.15</v>
      </c>
      <c r="AS17" s="49">
        <v>35.54</v>
      </c>
      <c r="AT17" s="49">
        <v>83</v>
      </c>
      <c r="AU17" s="49">
        <v>116</v>
      </c>
      <c r="AV17" s="49">
        <v>1.7845</v>
      </c>
      <c r="AW17" s="50">
        <v>5.1044999999999998</v>
      </c>
      <c r="AX17" s="50">
        <v>1018.6</v>
      </c>
      <c r="AY17" s="49">
        <v>2.33</v>
      </c>
      <c r="AZ17" s="49">
        <v>5.6</v>
      </c>
      <c r="BA17" s="49">
        <v>139.24600000000001</v>
      </c>
      <c r="BB17" s="49">
        <v>140.38499999999999</v>
      </c>
      <c r="BC17" s="50">
        <v>7889</v>
      </c>
      <c r="BD17" s="49">
        <v>89</v>
      </c>
      <c r="BE17" s="49">
        <v>16.254999999999999</v>
      </c>
      <c r="BF17" s="49">
        <v>14.335000000000001</v>
      </c>
      <c r="BG17" s="49">
        <v>28.78</v>
      </c>
      <c r="BH17" s="49">
        <v>27.44</v>
      </c>
      <c r="BI17" s="3"/>
      <c r="BJ17" s="3"/>
      <c r="BK17" s="3"/>
      <c r="BL17" s="3"/>
      <c r="BM17" s="3"/>
      <c r="BN17" s="49">
        <v>97.975999999999999</v>
      </c>
      <c r="BO17" s="49">
        <v>98.488</v>
      </c>
      <c r="BP17" s="49">
        <v>117.36799999999999</v>
      </c>
      <c r="BQ17" s="49">
        <v>122.152</v>
      </c>
      <c r="BR17" s="3"/>
      <c r="BS17" s="49">
        <v>26.8</v>
      </c>
      <c r="BT17" s="49">
        <v>7376.94</v>
      </c>
      <c r="BU17" s="49">
        <v>49.427</v>
      </c>
      <c r="BV17" s="49">
        <v>52.652999999999999</v>
      </c>
      <c r="BW17" s="49">
        <v>53.585000000000001</v>
      </c>
      <c r="BX17" s="49">
        <v>54.463999999999999</v>
      </c>
      <c r="BY17" s="49">
        <v>1.615</v>
      </c>
      <c r="BZ17" s="49">
        <v>3.0590000000000002</v>
      </c>
      <c r="CA17" s="49">
        <v>3.5310000000000001</v>
      </c>
      <c r="CB17" s="49">
        <v>3.45</v>
      </c>
      <c r="CC17" s="49">
        <v>1.302</v>
      </c>
      <c r="CD17" s="50">
        <v>2.5510000000000002</v>
      </c>
      <c r="CE17" s="49">
        <v>1.375</v>
      </c>
      <c r="CF17" s="49">
        <v>2.1869999999999998</v>
      </c>
      <c r="CG17" s="49">
        <v>13.944000000000001</v>
      </c>
      <c r="CH17" s="49">
        <v>13.778</v>
      </c>
      <c r="CI17" s="49">
        <v>3.9449999999999998</v>
      </c>
      <c r="CJ17" s="49">
        <v>3.7210000000000001</v>
      </c>
      <c r="CK17" s="50">
        <v>1.7509999999999999</v>
      </c>
      <c r="CL17" s="50">
        <v>0.1</v>
      </c>
      <c r="CM17" s="49">
        <v>0.3</v>
      </c>
      <c r="CN17" s="50">
        <v>0</v>
      </c>
      <c r="CO17" s="49">
        <v>0</v>
      </c>
      <c r="CP17" s="49">
        <v>93.863</v>
      </c>
      <c r="CQ17" s="49">
        <v>95.319000000000003</v>
      </c>
      <c r="CR17" s="49">
        <v>103.673</v>
      </c>
      <c r="CS17" s="49">
        <v>109.34</v>
      </c>
      <c r="CT17" s="49">
        <v>0.311</v>
      </c>
      <c r="CU17" s="49">
        <v>1.2</v>
      </c>
      <c r="CV17" s="49">
        <v>0.995</v>
      </c>
      <c r="CW17" s="49">
        <v>1.099</v>
      </c>
      <c r="CX17" s="49">
        <v>0.997</v>
      </c>
      <c r="CY17" s="49">
        <v>0.89800000000000002</v>
      </c>
      <c r="CZ17" s="49">
        <v>0.59899999999999998</v>
      </c>
      <c r="DA17" s="49">
        <v>0.59899999999999998</v>
      </c>
      <c r="DB17" s="49">
        <v>1.496</v>
      </c>
      <c r="DC17" s="50">
        <v>0</v>
      </c>
      <c r="DD17" s="50">
        <v>0</v>
      </c>
      <c r="DE17" s="49">
        <v>0.115</v>
      </c>
      <c r="DF17" s="50">
        <v>2.5000000000000001E-2</v>
      </c>
      <c r="DG17" s="49">
        <v>0.34799999999999998</v>
      </c>
      <c r="DH17" s="49">
        <v>1.139</v>
      </c>
      <c r="DI17" s="49">
        <v>0.76100000000000001</v>
      </c>
      <c r="DJ17" s="49">
        <v>9.4E-2</v>
      </c>
      <c r="DK17" s="49">
        <v>0.64800000000000002</v>
      </c>
      <c r="DL17" s="49">
        <v>0.41699999999999998</v>
      </c>
      <c r="DM17" s="49">
        <v>0.46800000000000003</v>
      </c>
      <c r="DN17" s="49">
        <v>0.26700000000000002</v>
      </c>
      <c r="DO17" s="49">
        <v>0.308</v>
      </c>
      <c r="DP17" s="50">
        <v>68.171000000000006</v>
      </c>
      <c r="DQ17" s="49">
        <v>58.244999999999997</v>
      </c>
      <c r="DR17" s="49">
        <v>53.78</v>
      </c>
      <c r="DS17" s="49">
        <v>51.113</v>
      </c>
      <c r="DT17" s="49">
        <v>7.21</v>
      </c>
      <c r="DU17" s="49">
        <v>6.81</v>
      </c>
      <c r="DV17" s="49">
        <v>14.36</v>
      </c>
      <c r="DW17" s="49">
        <v>11.29</v>
      </c>
      <c r="DX17" s="49">
        <v>7.52</v>
      </c>
      <c r="DY17" s="49">
        <v>7.12</v>
      </c>
      <c r="DZ17" s="49">
        <v>13.71</v>
      </c>
      <c r="EA17" s="49">
        <v>10.89</v>
      </c>
      <c r="EB17" s="50">
        <v>41.8</v>
      </c>
      <c r="EC17" s="50">
        <v>40.94</v>
      </c>
      <c r="ED17" s="50">
        <v>31.7</v>
      </c>
      <c r="EE17" s="49">
        <v>34.22</v>
      </c>
      <c r="EF17" s="49">
        <v>43.48</v>
      </c>
      <c r="EG17" s="49">
        <v>45.13</v>
      </c>
      <c r="EH17" s="49">
        <v>40.229999999999997</v>
      </c>
      <c r="EI17" s="49">
        <v>43.6</v>
      </c>
      <c r="EJ17" s="49">
        <v>6.7039999999999997</v>
      </c>
      <c r="EK17" s="50">
        <v>61.185000000000002</v>
      </c>
      <c r="EL17" s="49">
        <v>2.15</v>
      </c>
      <c r="EM17" s="49">
        <v>1.75</v>
      </c>
      <c r="EN17" s="50">
        <v>1.17</v>
      </c>
      <c r="EO17" s="50">
        <v>1.18</v>
      </c>
      <c r="EP17" s="49">
        <v>-117.026</v>
      </c>
      <c r="EQ17" s="49">
        <v>-2.274</v>
      </c>
      <c r="ER17" s="49">
        <v>106.938</v>
      </c>
      <c r="ES17" s="50">
        <v>1.54</v>
      </c>
      <c r="ET17" s="50">
        <v>1.649</v>
      </c>
      <c r="EU17" s="50">
        <v>1.478</v>
      </c>
      <c r="EV17" s="50">
        <v>8.0860000000000003</v>
      </c>
      <c r="EW17" s="50">
        <v>2.9289999999999998</v>
      </c>
      <c r="EX17" s="49">
        <v>75</v>
      </c>
      <c r="EY17" s="49">
        <v>0</v>
      </c>
      <c r="EZ17" s="50">
        <v>0.432</v>
      </c>
      <c r="FA17" s="50">
        <v>0</v>
      </c>
      <c r="FB17" s="49">
        <v>9.15</v>
      </c>
      <c r="FC17" s="49">
        <v>68.11</v>
      </c>
      <c r="FD17" s="49">
        <v>63.695999999999998</v>
      </c>
      <c r="FE17" s="49">
        <v>74.03</v>
      </c>
      <c r="FF17" s="49">
        <v>71.072999999999993</v>
      </c>
      <c r="FG17" s="49">
        <v>0.91300000000000003</v>
      </c>
      <c r="FH17" s="49">
        <v>0.91400000000000003</v>
      </c>
      <c r="FI17" s="49">
        <v>0.997</v>
      </c>
      <c r="FJ17" s="49">
        <v>1</v>
      </c>
      <c r="FK17" s="49">
        <v>0</v>
      </c>
      <c r="FL17" s="49">
        <v>83</v>
      </c>
      <c r="FM17" s="50">
        <v>3.83</v>
      </c>
      <c r="FN17" s="49">
        <v>2.36</v>
      </c>
      <c r="FO17" s="49">
        <v>5.4</v>
      </c>
      <c r="FP17" s="3"/>
      <c r="FQ17" s="49">
        <v>4.75</v>
      </c>
      <c r="FR17" s="49">
        <v>5.15</v>
      </c>
      <c r="FS17" s="50">
        <v>6.8070000000000004</v>
      </c>
      <c r="FT17" s="49">
        <v>1077.4000000000001</v>
      </c>
      <c r="FU17" s="50">
        <v>7.17</v>
      </c>
      <c r="FV17" s="49">
        <v>11.64</v>
      </c>
      <c r="FW17" s="49">
        <v>3116</v>
      </c>
      <c r="FX17" s="50">
        <v>170100</v>
      </c>
      <c r="FY17" s="50">
        <v>172500</v>
      </c>
      <c r="FZ17" s="49">
        <v>47.570999999999998</v>
      </c>
      <c r="GA17" s="49">
        <v>47.698</v>
      </c>
      <c r="GB17" s="50">
        <v>2253.1</v>
      </c>
      <c r="GC17" s="49">
        <v>2205.9</v>
      </c>
      <c r="GD17" s="50">
        <v>2253.1</v>
      </c>
      <c r="GE17" s="49">
        <v>2205.9</v>
      </c>
      <c r="GF17" s="50">
        <v>1425.9375</v>
      </c>
      <c r="GG17" s="49">
        <v>29</v>
      </c>
      <c r="GH17" s="49">
        <v>28.9</v>
      </c>
      <c r="GI17" s="49">
        <v>47.8</v>
      </c>
      <c r="GJ17" s="49">
        <v>53.2</v>
      </c>
      <c r="GK17" s="49">
        <v>99.5</v>
      </c>
      <c r="GL17" s="49">
        <v>77.3</v>
      </c>
      <c r="GM17" s="50">
        <v>0</v>
      </c>
      <c r="GN17" s="49">
        <v>27.795999999999999</v>
      </c>
      <c r="GO17" s="49">
        <v>117.026</v>
      </c>
      <c r="GP17" s="49">
        <v>0.88500000000000001</v>
      </c>
      <c r="GQ17" s="49">
        <v>1.8879999999999999</v>
      </c>
      <c r="GR17" s="49">
        <v>1.298</v>
      </c>
      <c r="GS17" s="49">
        <v>2.0649999999999999</v>
      </c>
      <c r="GT17" s="49">
        <v>0.76700000000000002</v>
      </c>
      <c r="GU17" s="49">
        <v>1.8879999999999999</v>
      </c>
      <c r="GV17" s="49">
        <v>12.837999999999999</v>
      </c>
      <c r="GW17" s="49">
        <v>13.866</v>
      </c>
      <c r="GX17" s="49">
        <v>15.092000000000001</v>
      </c>
      <c r="GY17" s="50">
        <v>0</v>
      </c>
      <c r="GZ17" s="50">
        <v>0</v>
      </c>
      <c r="HA17" s="50">
        <v>0</v>
      </c>
      <c r="HB17" s="49">
        <v>0</v>
      </c>
      <c r="HC17" s="49">
        <v>23.164999999999999</v>
      </c>
      <c r="HD17" s="49">
        <v>78</v>
      </c>
      <c r="HE17" s="50">
        <v>0</v>
      </c>
      <c r="HF17" s="50">
        <v>0</v>
      </c>
      <c r="HG17" s="49">
        <v>69.239999999999995</v>
      </c>
      <c r="HH17" s="50">
        <v>81.59</v>
      </c>
      <c r="HI17" s="50">
        <v>0</v>
      </c>
      <c r="HJ17" s="50">
        <v>0</v>
      </c>
      <c r="HK17" s="50">
        <v>0</v>
      </c>
      <c r="HL17" s="49">
        <v>61</v>
      </c>
      <c r="HM17" s="50">
        <v>51</v>
      </c>
      <c r="HN17" s="49">
        <v>64</v>
      </c>
      <c r="HO17" s="49">
        <v>58</v>
      </c>
      <c r="HP17" s="49">
        <v>60</v>
      </c>
      <c r="HQ17" s="49">
        <v>59</v>
      </c>
      <c r="HR17" s="49">
        <v>50</v>
      </c>
      <c r="HS17" s="49">
        <v>62</v>
      </c>
      <c r="HT17" s="50">
        <v>-1.4015</v>
      </c>
      <c r="HU17" s="50">
        <v>0</v>
      </c>
      <c r="HV17" s="50">
        <v>1.2669999999999999</v>
      </c>
      <c r="HW17" s="50">
        <v>37.21</v>
      </c>
      <c r="HX17" s="49">
        <v>43.92</v>
      </c>
      <c r="HY17" s="49">
        <v>48.66</v>
      </c>
      <c r="HZ17" s="49">
        <v>60.22</v>
      </c>
      <c r="IA17" s="49">
        <v>2.585</v>
      </c>
      <c r="IB17" s="50">
        <v>104</v>
      </c>
      <c r="IC17" s="49">
        <v>22.228000000000002</v>
      </c>
      <c r="ID17" s="49">
        <v>-0.36799999999999999</v>
      </c>
      <c r="IE17" s="49">
        <v>-0.17799999999999999</v>
      </c>
      <c r="IF17" s="49">
        <v>805.5</v>
      </c>
      <c r="IG17" s="49">
        <v>759.6</v>
      </c>
      <c r="IH17" s="49">
        <v>814.8</v>
      </c>
      <c r="II17" s="49">
        <v>770.8</v>
      </c>
      <c r="IJ17" s="50">
        <v>1.6E-2</v>
      </c>
      <c r="IK17" s="49">
        <v>2.5000000000000001E-2</v>
      </c>
      <c r="IL17" s="49">
        <v>67.149000000000001</v>
      </c>
      <c r="IM17" s="49">
        <v>67.149000000000001</v>
      </c>
      <c r="IN17" s="49">
        <v>11.327</v>
      </c>
      <c r="IO17" s="49">
        <v>0.26300000000000001</v>
      </c>
      <c r="IP17" s="49">
        <v>9.8699999999999992</v>
      </c>
      <c r="IQ17" s="50">
        <v>1.2999999999999999E-2</v>
      </c>
      <c r="IR17" s="50">
        <v>6.0000000000000001E-3</v>
      </c>
      <c r="IS17">
        <v>0.26400000000000001</v>
      </c>
      <c r="IT17">
        <v>0.10700000000000001</v>
      </c>
    </row>
    <row r="18" spans="1:254" x14ac:dyDescent="0.25">
      <c r="B18" s="2" t="s">
        <v>410</v>
      </c>
      <c r="C18" s="2" t="s">
        <v>43</v>
      </c>
      <c r="D18" s="58">
        <v>2.4393518518518518E-3</v>
      </c>
      <c r="E18" s="49">
        <v>210.76</v>
      </c>
      <c r="F18" s="50">
        <v>330.56</v>
      </c>
      <c r="G18" s="50">
        <v>6.07</v>
      </c>
      <c r="H18" s="49">
        <v>27.2</v>
      </c>
      <c r="I18" s="49">
        <v>0</v>
      </c>
      <c r="J18" s="49">
        <v>13.7</v>
      </c>
      <c r="K18" s="50">
        <v>6</v>
      </c>
      <c r="L18" s="50">
        <v>4</v>
      </c>
      <c r="M18" s="50">
        <v>7</v>
      </c>
      <c r="N18" s="50">
        <v>3</v>
      </c>
      <c r="O18" s="50">
        <v>3</v>
      </c>
      <c r="P18" s="49">
        <v>0.42399999999999999</v>
      </c>
      <c r="Q18" s="49">
        <v>0.93100000000000005</v>
      </c>
      <c r="R18" s="49">
        <v>0.24</v>
      </c>
      <c r="S18" s="49">
        <v>0.27100000000000002</v>
      </c>
      <c r="T18" s="50">
        <v>93.72</v>
      </c>
      <c r="U18" s="49">
        <v>60.965000000000003</v>
      </c>
      <c r="V18" s="49">
        <v>238.34</v>
      </c>
      <c r="W18" s="49">
        <v>235</v>
      </c>
      <c r="X18" s="49">
        <v>187.5</v>
      </c>
      <c r="Y18" s="49">
        <v>225</v>
      </c>
      <c r="Z18" s="49">
        <v>388.7</v>
      </c>
      <c r="AA18" s="49">
        <v>390.52</v>
      </c>
      <c r="AB18" s="50">
        <v>316.60000000000002</v>
      </c>
      <c r="AC18" s="50">
        <v>380.46</v>
      </c>
      <c r="AD18" s="49">
        <v>1.7529999999999999</v>
      </c>
      <c r="AE18" s="49">
        <v>1.7949999999999999</v>
      </c>
      <c r="AF18" s="49">
        <v>1.827</v>
      </c>
      <c r="AG18" s="49">
        <v>1.867</v>
      </c>
      <c r="AH18" s="49">
        <v>81.41</v>
      </c>
      <c r="AI18" s="49">
        <v>80.010000000000005</v>
      </c>
      <c r="AJ18" s="49">
        <v>117.79</v>
      </c>
      <c r="AK18" s="49">
        <v>107.42</v>
      </c>
      <c r="AL18" s="50">
        <v>778.29700000000003</v>
      </c>
      <c r="AM18" s="49">
        <v>894.88800000000003</v>
      </c>
      <c r="AN18" s="50">
        <v>904.452</v>
      </c>
      <c r="AO18" s="50">
        <v>835.83799999999997</v>
      </c>
      <c r="AP18" s="49">
        <v>1.464</v>
      </c>
      <c r="AQ18" s="49">
        <v>1.9279999999999999</v>
      </c>
      <c r="AR18" s="50">
        <v>40.545999999999999</v>
      </c>
      <c r="AS18" s="50">
        <v>38.348999999999997</v>
      </c>
      <c r="AT18" s="49">
        <v>83</v>
      </c>
      <c r="AU18" s="49">
        <v>119</v>
      </c>
      <c r="AV18" s="50">
        <v>1.569</v>
      </c>
      <c r="AW18" s="49">
        <v>5.0918000000000001</v>
      </c>
      <c r="AX18" s="49">
        <v>1017.9</v>
      </c>
      <c r="AY18" s="49">
        <v>2.35</v>
      </c>
      <c r="AZ18" s="50">
        <v>5.55</v>
      </c>
      <c r="BA18" s="49">
        <v>140.92400000000001</v>
      </c>
      <c r="BB18" s="49">
        <v>139.68799999999999</v>
      </c>
      <c r="BC18" s="49">
        <v>7835</v>
      </c>
      <c r="BD18" s="49">
        <v>88.5</v>
      </c>
      <c r="BE18" s="50">
        <v>18.454999999999998</v>
      </c>
      <c r="BF18" s="50">
        <v>15.645</v>
      </c>
      <c r="BG18" s="49">
        <v>29.37</v>
      </c>
      <c r="BH18" s="49">
        <v>27.89</v>
      </c>
      <c r="BI18" s="3"/>
      <c r="BJ18" s="3"/>
      <c r="BK18" s="3"/>
      <c r="BL18" s="3"/>
      <c r="BM18" s="3"/>
      <c r="BN18" s="49">
        <v>99.64</v>
      </c>
      <c r="BO18" s="49">
        <v>101.48</v>
      </c>
      <c r="BP18" s="49">
        <v>129.72</v>
      </c>
      <c r="BQ18" s="49">
        <v>133.36799999999999</v>
      </c>
      <c r="BR18" s="3"/>
      <c r="BS18" s="49">
        <v>26.9</v>
      </c>
      <c r="BT18" s="50">
        <v>7396.0940000000001</v>
      </c>
      <c r="BU18" s="49">
        <v>51.7</v>
      </c>
      <c r="BV18" s="50">
        <v>54.813000000000002</v>
      </c>
      <c r="BW18" s="49">
        <v>52.448999999999998</v>
      </c>
      <c r="BX18" s="49">
        <v>54.222999999999999</v>
      </c>
      <c r="BY18" s="49">
        <v>1.417</v>
      </c>
      <c r="BZ18" s="50">
        <v>3.2509999999999999</v>
      </c>
      <c r="CA18" s="50">
        <v>3.8610000000000002</v>
      </c>
      <c r="CB18" s="50">
        <v>3.835</v>
      </c>
      <c r="CC18" s="50">
        <v>1.417</v>
      </c>
      <c r="CD18" s="49">
        <v>2.4239999999999999</v>
      </c>
      <c r="CE18" s="49">
        <v>1.345</v>
      </c>
      <c r="CF18" s="49">
        <v>2.1989999999999998</v>
      </c>
      <c r="CG18" s="49">
        <v>13.943</v>
      </c>
      <c r="CH18" s="49">
        <v>13.759</v>
      </c>
      <c r="CI18" s="49">
        <v>3.4740000000000002</v>
      </c>
      <c r="CJ18" s="50">
        <v>3.774</v>
      </c>
      <c r="CK18" s="49">
        <v>1.7110000000000001</v>
      </c>
      <c r="CL18" s="49">
        <v>0</v>
      </c>
      <c r="CM18" s="50">
        <v>5.0999999999999996</v>
      </c>
      <c r="CN18" s="50">
        <v>0</v>
      </c>
      <c r="CO18" s="50">
        <v>0.1</v>
      </c>
      <c r="CP18" s="49">
        <v>95.903000000000006</v>
      </c>
      <c r="CQ18" s="49">
        <v>96.100999999999999</v>
      </c>
      <c r="CR18" s="49">
        <v>119.596</v>
      </c>
      <c r="CS18" s="49">
        <v>125.05200000000001</v>
      </c>
      <c r="CT18" s="49">
        <v>0.29099999999999998</v>
      </c>
      <c r="CU18" s="49">
        <v>0.499</v>
      </c>
      <c r="CV18" s="49">
        <v>0.7</v>
      </c>
      <c r="CW18" s="49">
        <v>0.90200000000000002</v>
      </c>
      <c r="CX18" s="49">
        <v>1.4</v>
      </c>
      <c r="CY18" s="49">
        <v>0.9</v>
      </c>
      <c r="CZ18" s="49">
        <v>1</v>
      </c>
      <c r="DA18" s="49">
        <v>0.90100000000000002</v>
      </c>
      <c r="DB18" s="49">
        <v>1.3</v>
      </c>
      <c r="DC18" s="50">
        <v>0</v>
      </c>
      <c r="DD18" s="50">
        <v>0</v>
      </c>
      <c r="DE18" s="49">
        <v>0.106</v>
      </c>
      <c r="DF18" s="49">
        <v>1.7000000000000001E-2</v>
      </c>
      <c r="DG18" s="50">
        <v>0.98199999999999998</v>
      </c>
      <c r="DH18" s="50">
        <v>1.2410000000000001</v>
      </c>
      <c r="DI18" s="49">
        <v>0.76900000000000002</v>
      </c>
      <c r="DJ18" s="49">
        <v>2.7E-2</v>
      </c>
      <c r="DK18" s="49">
        <v>0.45800000000000002</v>
      </c>
      <c r="DL18" s="49">
        <v>0.39800000000000002</v>
      </c>
      <c r="DM18" s="49">
        <v>0.44700000000000001</v>
      </c>
      <c r="DN18" s="50">
        <v>0.46800000000000003</v>
      </c>
      <c r="DO18" s="49">
        <v>0.38300000000000001</v>
      </c>
      <c r="DP18" s="49">
        <v>64.066000000000003</v>
      </c>
      <c r="DQ18" s="50">
        <v>59.536999999999999</v>
      </c>
      <c r="DR18" s="50">
        <v>54.149000000000001</v>
      </c>
      <c r="DS18" s="49">
        <v>51.962000000000003</v>
      </c>
      <c r="DT18" s="49">
        <v>9.51</v>
      </c>
      <c r="DU18" s="49">
        <v>13.83</v>
      </c>
      <c r="DV18" s="50">
        <v>16.02</v>
      </c>
      <c r="DW18" s="50">
        <v>12.16</v>
      </c>
      <c r="DX18" s="49">
        <v>9.77</v>
      </c>
      <c r="DY18" s="49">
        <v>14.09</v>
      </c>
      <c r="DZ18" s="50">
        <v>15.49</v>
      </c>
      <c r="EA18" s="50">
        <v>11.82</v>
      </c>
      <c r="EB18" s="49">
        <v>39.4</v>
      </c>
      <c r="EC18" s="49">
        <v>34.64</v>
      </c>
      <c r="ED18" s="49">
        <v>30.93</v>
      </c>
      <c r="EE18" s="49">
        <v>34.22</v>
      </c>
      <c r="EF18" s="49">
        <v>41.32</v>
      </c>
      <c r="EG18" s="49">
        <v>37.44</v>
      </c>
      <c r="EH18" s="49">
        <v>37.56</v>
      </c>
      <c r="EI18" s="49">
        <v>41.81</v>
      </c>
      <c r="EJ18" s="49">
        <v>6.4850000000000003</v>
      </c>
      <c r="EK18" s="49">
        <v>60.924999999999997</v>
      </c>
      <c r="EL18" s="49">
        <v>2.2000000000000002</v>
      </c>
      <c r="EM18" s="49">
        <v>1.8</v>
      </c>
      <c r="EN18" s="49">
        <v>1.1599999999999999</v>
      </c>
      <c r="EO18" s="49">
        <v>1.17</v>
      </c>
      <c r="EP18" s="50">
        <v>-118.77800000000001</v>
      </c>
      <c r="EQ18" s="49">
        <v>-2.57</v>
      </c>
      <c r="ER18" s="49">
        <v>116.282</v>
      </c>
      <c r="ES18" s="49">
        <v>1.494</v>
      </c>
      <c r="ET18" s="49">
        <v>1.6459999999999999</v>
      </c>
      <c r="EU18" s="49">
        <v>1.4470000000000001</v>
      </c>
      <c r="EV18" s="49">
        <v>7.8780000000000001</v>
      </c>
      <c r="EW18" s="49">
        <v>2.7210000000000001</v>
      </c>
      <c r="EX18" s="50">
        <v>75.010000000000005</v>
      </c>
      <c r="EY18" s="49">
        <v>0</v>
      </c>
      <c r="EZ18" s="49">
        <v>0</v>
      </c>
      <c r="FA18" s="50">
        <v>0</v>
      </c>
      <c r="FB18" s="49">
        <v>9.1430000000000007</v>
      </c>
      <c r="FC18" s="49">
        <v>72.049000000000007</v>
      </c>
      <c r="FD18" s="49">
        <v>67.191999999999993</v>
      </c>
      <c r="FE18" s="49">
        <v>83.266000000000005</v>
      </c>
      <c r="FF18" s="49">
        <v>79.281999999999996</v>
      </c>
      <c r="FG18" s="49">
        <v>0.91200000000000003</v>
      </c>
      <c r="FH18" s="49">
        <v>0.91300000000000003</v>
      </c>
      <c r="FI18" s="49">
        <v>0.996</v>
      </c>
      <c r="FJ18" s="49">
        <v>1</v>
      </c>
      <c r="FK18" s="49">
        <v>0</v>
      </c>
      <c r="FL18" s="49">
        <v>83</v>
      </c>
      <c r="FM18" s="49">
        <v>3.7</v>
      </c>
      <c r="FN18" s="49">
        <v>1.8</v>
      </c>
      <c r="FO18" s="50">
        <v>5.35</v>
      </c>
      <c r="FP18" s="3"/>
      <c r="FQ18" s="49">
        <v>4.6500000000000004</v>
      </c>
      <c r="FR18" s="49">
        <v>5.0999999999999996</v>
      </c>
      <c r="FS18" s="49">
        <v>6.7619999999999996</v>
      </c>
      <c r="FT18" s="49">
        <v>1069.3</v>
      </c>
      <c r="FU18" s="49">
        <v>6.36</v>
      </c>
      <c r="FV18" s="49">
        <v>17.71</v>
      </c>
      <c r="FW18" s="50">
        <v>3125.5</v>
      </c>
      <c r="FX18" s="49">
        <v>166500</v>
      </c>
      <c r="FY18" s="49">
        <v>168000</v>
      </c>
      <c r="FZ18" s="49">
        <v>47.305</v>
      </c>
      <c r="GA18" s="49">
        <v>47.585000000000001</v>
      </c>
      <c r="GB18" s="49">
        <v>2146.1</v>
      </c>
      <c r="GC18" s="49">
        <v>2147.8000000000002</v>
      </c>
      <c r="GD18" s="49">
        <v>2221</v>
      </c>
      <c r="GE18" s="49">
        <v>2174.8000000000002</v>
      </c>
      <c r="GF18" s="49">
        <v>1396.2344000000001</v>
      </c>
      <c r="GG18" s="49">
        <v>29</v>
      </c>
      <c r="GH18" s="49">
        <v>29.4</v>
      </c>
      <c r="GI18" s="49">
        <v>46.8</v>
      </c>
      <c r="GJ18" s="49">
        <v>51.5</v>
      </c>
      <c r="GK18" s="49">
        <v>99.5</v>
      </c>
      <c r="GL18" s="49">
        <v>77.099999999999994</v>
      </c>
      <c r="GM18" s="50">
        <v>0</v>
      </c>
      <c r="GN18" s="49">
        <v>26.353000000000002</v>
      </c>
      <c r="GO18" s="49">
        <v>118.77800000000001</v>
      </c>
      <c r="GP18" s="49">
        <v>0.53100000000000003</v>
      </c>
      <c r="GQ18" s="49">
        <v>1.9470000000000001</v>
      </c>
      <c r="GR18" s="49">
        <v>1.298</v>
      </c>
      <c r="GS18" s="49">
        <v>2.0059999999999998</v>
      </c>
      <c r="GT18" s="49">
        <v>0.70799999999999996</v>
      </c>
      <c r="GU18" s="49">
        <v>1.829</v>
      </c>
      <c r="GV18" s="49">
        <v>12.74</v>
      </c>
      <c r="GW18" s="50">
        <v>13.87</v>
      </c>
      <c r="GX18" s="49">
        <v>15.288</v>
      </c>
      <c r="GY18" s="50">
        <v>0</v>
      </c>
      <c r="GZ18" s="50">
        <v>0</v>
      </c>
      <c r="HA18" s="50">
        <v>0</v>
      </c>
      <c r="HB18" s="49">
        <v>0</v>
      </c>
      <c r="HC18" s="49">
        <v>23.216000000000001</v>
      </c>
      <c r="HD18" s="49">
        <v>78</v>
      </c>
      <c r="HE18" s="50">
        <v>0</v>
      </c>
      <c r="HF18" s="50">
        <v>0</v>
      </c>
      <c r="HG18" s="49">
        <v>70.36</v>
      </c>
      <c r="HH18" s="49">
        <v>81.180000000000007</v>
      </c>
      <c r="HI18" s="50">
        <v>0</v>
      </c>
      <c r="HJ18" s="50">
        <v>0</v>
      </c>
      <c r="HK18" s="50">
        <v>0</v>
      </c>
      <c r="HL18" s="49">
        <v>60</v>
      </c>
      <c r="HM18" s="50">
        <v>51</v>
      </c>
      <c r="HN18" s="50">
        <v>65</v>
      </c>
      <c r="HO18" s="49">
        <v>58</v>
      </c>
      <c r="HP18" s="49">
        <v>61</v>
      </c>
      <c r="HQ18" s="49">
        <v>59</v>
      </c>
      <c r="HR18" s="49">
        <v>50</v>
      </c>
      <c r="HS18" s="49">
        <v>64</v>
      </c>
      <c r="HT18" s="49">
        <v>-1.3859999999999999</v>
      </c>
      <c r="HU18" s="50">
        <v>0</v>
      </c>
      <c r="HV18" s="49">
        <v>1.0429999999999999</v>
      </c>
      <c r="HW18" s="49">
        <v>40.299999999999997</v>
      </c>
      <c r="HX18" s="50">
        <v>43.82</v>
      </c>
      <c r="HY18" s="50">
        <v>50.93</v>
      </c>
      <c r="HZ18" s="50">
        <v>62.44</v>
      </c>
      <c r="IA18" s="50">
        <v>2.8719999999999999</v>
      </c>
      <c r="IB18" s="50">
        <v>104</v>
      </c>
      <c r="IC18" s="50">
        <v>22.783999999999999</v>
      </c>
      <c r="ID18" s="49">
        <v>-0.40600000000000003</v>
      </c>
      <c r="IE18" s="49">
        <v>-0.19800000000000001</v>
      </c>
      <c r="IF18" s="49">
        <v>803.2</v>
      </c>
      <c r="IG18" s="50">
        <v>761.4</v>
      </c>
      <c r="IH18" s="49">
        <v>816</v>
      </c>
      <c r="II18" s="50">
        <v>772.6</v>
      </c>
      <c r="IJ18" s="49">
        <v>-0.01</v>
      </c>
      <c r="IK18" s="50">
        <v>3.9E-2</v>
      </c>
      <c r="IL18" s="49">
        <v>66.528999999999996</v>
      </c>
      <c r="IM18" s="49">
        <v>66.528999999999996</v>
      </c>
      <c r="IN18" s="49">
        <v>11.247</v>
      </c>
      <c r="IO18" s="50">
        <v>0.27300000000000002</v>
      </c>
      <c r="IP18" s="49">
        <v>9.77</v>
      </c>
      <c r="IQ18" s="49">
        <v>0.01</v>
      </c>
      <c r="IR18" s="49">
        <v>4.0000000000000001E-3</v>
      </c>
      <c r="IS18">
        <v>0.27400000000000002</v>
      </c>
      <c r="IT18">
        <v>0.11100000000000002</v>
      </c>
    </row>
    <row r="19" spans="1:254" x14ac:dyDescent="0.25">
      <c r="B19" s="2" t="s">
        <v>410</v>
      </c>
      <c r="C19" s="2" t="s">
        <v>44</v>
      </c>
      <c r="D19" s="58">
        <v>2.8026620370370371E-3</v>
      </c>
      <c r="E19" s="49">
        <v>242.15100000000001</v>
      </c>
      <c r="F19" s="49">
        <v>330.47</v>
      </c>
      <c r="G19" s="49">
        <v>5.94</v>
      </c>
      <c r="H19" s="50">
        <v>27.4</v>
      </c>
      <c r="I19" s="49">
        <v>0</v>
      </c>
      <c r="J19" s="49">
        <v>16.8</v>
      </c>
      <c r="K19" s="50">
        <v>6</v>
      </c>
      <c r="L19" s="50">
        <v>4</v>
      </c>
      <c r="M19" s="50">
        <v>7</v>
      </c>
      <c r="N19" s="50">
        <v>3</v>
      </c>
      <c r="O19" s="50">
        <v>3</v>
      </c>
      <c r="P19" s="49">
        <v>0.34899999999999998</v>
      </c>
      <c r="Q19" s="49">
        <v>0.81200000000000006</v>
      </c>
      <c r="R19" s="49">
        <v>0.23699999999999999</v>
      </c>
      <c r="S19" s="49">
        <v>0.19700000000000001</v>
      </c>
      <c r="T19" s="49">
        <v>88.02</v>
      </c>
      <c r="U19" s="49">
        <v>60.674999999999997</v>
      </c>
      <c r="V19" s="49">
        <v>248.34</v>
      </c>
      <c r="W19" s="49">
        <v>268.33999999999997</v>
      </c>
      <c r="X19" s="49">
        <v>205</v>
      </c>
      <c r="Y19" s="49">
        <v>248.34</v>
      </c>
      <c r="Z19" s="50">
        <v>390.09</v>
      </c>
      <c r="AA19" s="50">
        <v>416.13</v>
      </c>
      <c r="AB19" s="49">
        <v>312.35000000000002</v>
      </c>
      <c r="AC19" s="49">
        <v>380.22</v>
      </c>
      <c r="AD19" s="50">
        <v>1.768</v>
      </c>
      <c r="AE19" s="50">
        <v>1.821</v>
      </c>
      <c r="AF19" s="50">
        <v>1.865</v>
      </c>
      <c r="AG19" s="50">
        <v>1.9039999999999999</v>
      </c>
      <c r="AH19" s="50">
        <v>82.79</v>
      </c>
      <c r="AI19" s="50">
        <v>81.599999999999994</v>
      </c>
      <c r="AJ19" s="50">
        <v>120.81</v>
      </c>
      <c r="AK19" s="50">
        <v>110.92</v>
      </c>
      <c r="AL19" s="49">
        <v>729.89800000000002</v>
      </c>
      <c r="AM19" s="50">
        <v>999.16800000000001</v>
      </c>
      <c r="AN19" s="49">
        <v>853.976</v>
      </c>
      <c r="AO19" s="49">
        <v>783.29899999999998</v>
      </c>
      <c r="AP19" s="50">
        <v>1.4690000000000001</v>
      </c>
      <c r="AQ19" s="49">
        <v>1.9179999999999999</v>
      </c>
      <c r="AR19" s="49">
        <v>39.704000000000001</v>
      </c>
      <c r="AS19" s="49">
        <v>37.844999999999999</v>
      </c>
      <c r="AT19" s="49">
        <v>83</v>
      </c>
      <c r="AU19" s="50">
        <v>120</v>
      </c>
      <c r="AV19" s="49">
        <v>2.0225</v>
      </c>
      <c r="AW19" s="49">
        <v>4.9574999999999996</v>
      </c>
      <c r="AX19" s="49">
        <v>1017.9</v>
      </c>
      <c r="AY19" s="49">
        <v>2.39</v>
      </c>
      <c r="AZ19" s="49">
        <v>5.58</v>
      </c>
      <c r="BA19" s="50">
        <v>69.203000000000003</v>
      </c>
      <c r="BB19" s="50">
        <v>69.599999999999994</v>
      </c>
      <c r="BC19" s="49">
        <v>7769</v>
      </c>
      <c r="BD19" s="49">
        <v>89.5</v>
      </c>
      <c r="BE19" s="49">
        <v>16.635000000000002</v>
      </c>
      <c r="BF19" s="49">
        <v>14.76</v>
      </c>
      <c r="BG19" s="50">
        <v>30.53</v>
      </c>
      <c r="BH19" s="50">
        <v>28.35</v>
      </c>
      <c r="BI19" s="50">
        <v>65.491</v>
      </c>
      <c r="BJ19" s="49">
        <v>80.082999999999998</v>
      </c>
      <c r="BK19" s="50">
        <v>63.948</v>
      </c>
      <c r="BL19" s="49">
        <v>75.617999999999995</v>
      </c>
      <c r="BM19" s="50">
        <v>79.882999999999996</v>
      </c>
      <c r="BN19" s="49">
        <v>117.24</v>
      </c>
      <c r="BO19" s="49">
        <v>116.184</v>
      </c>
      <c r="BP19" s="50">
        <v>140.28</v>
      </c>
      <c r="BQ19" s="50">
        <v>144.61600000000001</v>
      </c>
      <c r="BR19" s="50">
        <v>59.651000000000003</v>
      </c>
      <c r="BS19" s="50">
        <v>27.1</v>
      </c>
      <c r="BT19" s="49">
        <v>7289.3069999999998</v>
      </c>
      <c r="BU19" s="49">
        <v>51.408999999999999</v>
      </c>
      <c r="BV19" s="49">
        <v>53.343000000000004</v>
      </c>
      <c r="BW19" s="49">
        <v>54.003</v>
      </c>
      <c r="BX19" s="49">
        <v>52.25</v>
      </c>
      <c r="BY19" s="50">
        <v>1.879</v>
      </c>
      <c r="BZ19" s="49">
        <v>3.1389999999999998</v>
      </c>
      <c r="CA19" s="49">
        <v>3.2090000000000001</v>
      </c>
      <c r="CB19" s="49">
        <v>3.7069999999999999</v>
      </c>
      <c r="CC19" s="49">
        <v>1.3620000000000001</v>
      </c>
      <c r="CD19" s="49">
        <v>2.411</v>
      </c>
      <c r="CE19" s="50">
        <v>1.5089999999999999</v>
      </c>
      <c r="CF19" s="49">
        <v>2.2330000000000001</v>
      </c>
      <c r="CG19" s="50">
        <v>13.958</v>
      </c>
      <c r="CH19" s="49">
        <v>13.746</v>
      </c>
      <c r="CI19" s="3"/>
      <c r="CJ19" s="3"/>
      <c r="CK19" s="3"/>
      <c r="CL19" s="49">
        <v>0</v>
      </c>
      <c r="CM19" s="49">
        <v>0.2</v>
      </c>
      <c r="CN19" s="50">
        <v>0</v>
      </c>
      <c r="CO19" s="49">
        <v>0</v>
      </c>
      <c r="CP19" s="49">
        <v>98.706999999999994</v>
      </c>
      <c r="CQ19" s="49">
        <v>96.540999999999997</v>
      </c>
      <c r="CR19" s="50">
        <v>128.125</v>
      </c>
      <c r="CS19" s="50">
        <v>133.369</v>
      </c>
      <c r="CT19" s="50">
        <v>0.40600000000000003</v>
      </c>
      <c r="CU19" s="50">
        <v>3.3380000000000001</v>
      </c>
      <c r="CV19" s="50">
        <v>4.1369999999999996</v>
      </c>
      <c r="CW19" s="50">
        <v>3.44</v>
      </c>
      <c r="CX19" s="50">
        <v>3.7389999999999999</v>
      </c>
      <c r="CY19" s="50">
        <v>3.2370000000000001</v>
      </c>
      <c r="CZ19" s="50">
        <v>3.04</v>
      </c>
      <c r="DA19" s="50">
        <v>3.04</v>
      </c>
      <c r="DB19" s="50">
        <v>3.8370000000000002</v>
      </c>
      <c r="DC19" s="50">
        <v>0</v>
      </c>
      <c r="DD19" s="50">
        <v>0</v>
      </c>
      <c r="DE19" s="49">
        <v>7.5999999999999998E-2</v>
      </c>
      <c r="DF19" s="49">
        <v>-6.0000000000000001E-3</v>
      </c>
      <c r="DG19" s="49">
        <v>9.5000000000000001E-2</v>
      </c>
      <c r="DH19" s="49">
        <v>0.99099999999999999</v>
      </c>
      <c r="DI19" s="49">
        <v>0.70799999999999996</v>
      </c>
      <c r="DJ19" s="49">
        <v>-2.5999999999999999E-2</v>
      </c>
      <c r="DK19" s="49">
        <v>0.63200000000000001</v>
      </c>
      <c r="DL19" s="49">
        <v>0.34899999999999998</v>
      </c>
      <c r="DM19" s="49">
        <v>0.21</v>
      </c>
      <c r="DN19" s="49">
        <v>0.42599999999999999</v>
      </c>
      <c r="DO19" s="49">
        <v>0.183</v>
      </c>
      <c r="DP19" s="49">
        <v>67.884</v>
      </c>
      <c r="DQ19" s="49">
        <v>56.326999999999998</v>
      </c>
      <c r="DR19" s="49">
        <v>53.588000000000001</v>
      </c>
      <c r="DS19" s="50">
        <v>52.481000000000002</v>
      </c>
      <c r="DT19" s="50">
        <v>10.02</v>
      </c>
      <c r="DU19" s="50">
        <v>19.77</v>
      </c>
      <c r="DV19" s="49">
        <v>15.78</v>
      </c>
      <c r="DW19" s="49">
        <v>10.88</v>
      </c>
      <c r="DX19" s="50">
        <v>10.18</v>
      </c>
      <c r="DY19" s="50">
        <v>20.04</v>
      </c>
      <c r="DZ19" s="49">
        <v>15.36</v>
      </c>
      <c r="EA19" s="49">
        <v>10.68</v>
      </c>
      <c r="EB19" s="49">
        <v>38.22</v>
      </c>
      <c r="EC19" s="49">
        <v>28.55</v>
      </c>
      <c r="ED19" s="49">
        <v>29.85</v>
      </c>
      <c r="EE19" s="50">
        <v>35.049999999999997</v>
      </c>
      <c r="EF19" s="49">
        <v>41.58</v>
      </c>
      <c r="EG19" s="49">
        <v>31.63</v>
      </c>
      <c r="EH19" s="49">
        <v>39.01</v>
      </c>
      <c r="EI19" s="49">
        <v>43.38</v>
      </c>
      <c r="EJ19" s="50">
        <v>6.9059999999999997</v>
      </c>
      <c r="EK19" s="49">
        <v>61</v>
      </c>
      <c r="EL19" s="49">
        <v>2.2000000000000002</v>
      </c>
      <c r="EM19" s="49">
        <v>1.75</v>
      </c>
      <c r="EN19" s="50">
        <v>1.17</v>
      </c>
      <c r="EO19" s="49">
        <v>1.17</v>
      </c>
      <c r="EP19" s="49">
        <v>-111.47799999999999</v>
      </c>
      <c r="EQ19" s="49">
        <v>-2.3730000000000002</v>
      </c>
      <c r="ER19" s="50">
        <v>130.006</v>
      </c>
      <c r="ES19" s="49">
        <v>1.4990000000000001</v>
      </c>
      <c r="ET19" s="49">
        <v>1.63</v>
      </c>
      <c r="EU19" s="49">
        <v>1.4419999999999999</v>
      </c>
      <c r="EV19" s="49">
        <v>7.891</v>
      </c>
      <c r="EW19" s="49">
        <v>2.766</v>
      </c>
      <c r="EX19" s="49">
        <v>72.53</v>
      </c>
      <c r="EY19" s="49">
        <v>0.10100000000000001</v>
      </c>
      <c r="EZ19" s="49">
        <v>6.8000000000000005E-2</v>
      </c>
      <c r="FA19" s="50">
        <v>0</v>
      </c>
      <c r="FB19" s="50">
        <v>9.2110000000000003</v>
      </c>
      <c r="FC19" s="50">
        <v>74.525999999999996</v>
      </c>
      <c r="FD19" s="50">
        <v>69.869</v>
      </c>
      <c r="FE19" s="50">
        <v>88.808000000000007</v>
      </c>
      <c r="FF19" s="50">
        <v>84.352000000000004</v>
      </c>
      <c r="FG19" s="49">
        <v>0.91900000000000004</v>
      </c>
      <c r="FH19" s="49">
        <v>0.91800000000000004</v>
      </c>
      <c r="FI19" s="49">
        <v>0.996</v>
      </c>
      <c r="FJ19" s="49">
        <v>1</v>
      </c>
      <c r="FK19" s="49">
        <v>0</v>
      </c>
      <c r="FL19" s="49">
        <v>83</v>
      </c>
      <c r="FM19" s="49">
        <v>3.68</v>
      </c>
      <c r="FN19" s="50">
        <v>-0.05</v>
      </c>
      <c r="FO19" s="49">
        <v>5.47</v>
      </c>
      <c r="FP19" s="50">
        <v>3.8</v>
      </c>
      <c r="FQ19" s="49">
        <v>4.3499999999999996</v>
      </c>
      <c r="FR19" s="50">
        <v>5</v>
      </c>
      <c r="FS19" s="49">
        <v>6.7030000000000003</v>
      </c>
      <c r="FT19" s="49">
        <v>1069.9000000000001</v>
      </c>
      <c r="FU19" s="49">
        <v>6.39</v>
      </c>
      <c r="FV19" s="50">
        <v>23.65</v>
      </c>
      <c r="FW19" s="49">
        <v>3083.5</v>
      </c>
      <c r="FX19" s="49">
        <v>168900</v>
      </c>
      <c r="FY19" s="49">
        <v>170600</v>
      </c>
      <c r="FZ19" s="49">
        <v>47.597000000000001</v>
      </c>
      <c r="GA19" s="49">
        <v>47.69</v>
      </c>
      <c r="GB19" s="49">
        <v>2142.1999999999998</v>
      </c>
      <c r="GC19" s="49">
        <v>2212.1</v>
      </c>
      <c r="GD19" s="49">
        <v>2188.4</v>
      </c>
      <c r="GE19" s="49">
        <v>2212.1</v>
      </c>
      <c r="GF19" s="49">
        <v>1359.5938000000001</v>
      </c>
      <c r="GG19" s="49">
        <v>30</v>
      </c>
      <c r="GH19" s="49">
        <v>30</v>
      </c>
      <c r="GI19" s="49">
        <v>47.1</v>
      </c>
      <c r="GJ19" s="49">
        <v>51.9</v>
      </c>
      <c r="GK19" s="49">
        <v>99.5</v>
      </c>
      <c r="GL19" s="49">
        <v>74.2</v>
      </c>
      <c r="GM19" s="50">
        <v>0</v>
      </c>
      <c r="GN19" s="50">
        <v>28.184000000000001</v>
      </c>
      <c r="GO19" s="50">
        <v>130.006</v>
      </c>
      <c r="GP19" s="50">
        <v>0</v>
      </c>
      <c r="GQ19" s="49">
        <v>1.8879999999999999</v>
      </c>
      <c r="GR19" s="50">
        <v>0</v>
      </c>
      <c r="GS19" s="49">
        <v>2.0059999999999998</v>
      </c>
      <c r="GT19" s="50">
        <v>0</v>
      </c>
      <c r="GU19" s="49">
        <v>1.8879999999999999</v>
      </c>
      <c r="GV19" s="50">
        <v>0</v>
      </c>
      <c r="GW19" s="49">
        <v>13.788</v>
      </c>
      <c r="GX19" s="49">
        <v>15.288</v>
      </c>
      <c r="GY19" s="50">
        <v>0</v>
      </c>
      <c r="GZ19" s="50">
        <v>0</v>
      </c>
      <c r="HA19" s="50">
        <v>0</v>
      </c>
      <c r="HB19" s="49">
        <v>0</v>
      </c>
      <c r="HC19" s="50">
        <v>23.672999999999998</v>
      </c>
      <c r="HD19" s="49">
        <v>82</v>
      </c>
      <c r="HE19" s="50">
        <v>0</v>
      </c>
      <c r="HF19" s="50">
        <v>0</v>
      </c>
      <c r="HG19" s="49">
        <v>69.66</v>
      </c>
      <c r="HH19" s="49">
        <v>81.459999999999994</v>
      </c>
      <c r="HI19" s="50">
        <v>0</v>
      </c>
      <c r="HJ19" s="50">
        <v>0</v>
      </c>
      <c r="HK19" s="50">
        <v>0</v>
      </c>
      <c r="HL19" s="49">
        <v>61</v>
      </c>
      <c r="HM19" s="50">
        <v>51</v>
      </c>
      <c r="HN19" s="50">
        <v>65</v>
      </c>
      <c r="HO19" s="50">
        <v>59</v>
      </c>
      <c r="HP19" s="50">
        <v>62</v>
      </c>
      <c r="HQ19" s="50">
        <v>60</v>
      </c>
      <c r="HR19" s="50">
        <v>51</v>
      </c>
      <c r="HS19" s="50">
        <v>70</v>
      </c>
      <c r="HT19" s="49">
        <v>-1.373</v>
      </c>
      <c r="HU19" s="50">
        <v>0</v>
      </c>
      <c r="HV19" s="49">
        <v>0.37</v>
      </c>
      <c r="HW19" s="49">
        <v>41.08</v>
      </c>
      <c r="HX19" s="50">
        <v>43.82</v>
      </c>
      <c r="HY19" s="3"/>
      <c r="HZ19" s="3"/>
      <c r="IA19" s="49">
        <v>2.75</v>
      </c>
      <c r="IB19" s="50">
        <v>104</v>
      </c>
      <c r="IC19" s="49">
        <v>22.675000000000001</v>
      </c>
      <c r="ID19" s="49">
        <v>-0.31900000000000001</v>
      </c>
      <c r="IE19" s="49">
        <v>-0.151</v>
      </c>
      <c r="IF19" s="49">
        <v>803.2</v>
      </c>
      <c r="IG19" s="49">
        <v>748</v>
      </c>
      <c r="IH19" s="49">
        <v>815</v>
      </c>
      <c r="II19" s="49">
        <v>763.1</v>
      </c>
      <c r="IJ19" s="49">
        <v>-4.0000000000000001E-3</v>
      </c>
      <c r="IK19" s="49">
        <v>1.9E-2</v>
      </c>
      <c r="IL19" s="49">
        <v>80.989999999999995</v>
      </c>
      <c r="IM19" s="49">
        <v>80.989999999999995</v>
      </c>
      <c r="IN19" s="50">
        <v>15.064</v>
      </c>
      <c r="IO19" s="49">
        <v>0.23300000000000001</v>
      </c>
      <c r="IP19" s="49">
        <v>9.73</v>
      </c>
      <c r="IQ19" s="49">
        <v>0</v>
      </c>
      <c r="IR19" s="49">
        <v>0</v>
      </c>
      <c r="IS19">
        <v>0.27400000000000002</v>
      </c>
      <c r="IT19">
        <v>0.11100000000000002</v>
      </c>
    </row>
    <row r="20" spans="1:254" x14ac:dyDescent="0.25">
      <c r="IS20">
        <v>0.27400000000000002</v>
      </c>
      <c r="IT20">
        <v>0.11100000000000002</v>
      </c>
    </row>
    <row r="21" spans="1:254" x14ac:dyDescent="0.25">
      <c r="IS21">
        <v>0.27400000000000002</v>
      </c>
      <c r="IT21">
        <v>0.11100000000000002</v>
      </c>
    </row>
    <row r="22" spans="1:254" x14ac:dyDescent="0.25">
      <c r="IS22">
        <v>0.27400000000000002</v>
      </c>
      <c r="IT22">
        <v>0.11100000000000002</v>
      </c>
    </row>
    <row r="23" spans="1:254" x14ac:dyDescent="0.25">
      <c r="B23" s="2" t="s">
        <v>410</v>
      </c>
      <c r="C23" s="2" t="s">
        <v>41</v>
      </c>
      <c r="D23" s="58">
        <v>4.3872685185185186E-3</v>
      </c>
      <c r="E23" s="50">
        <v>379.05599999999998</v>
      </c>
      <c r="F23" s="49">
        <v>325.39</v>
      </c>
      <c r="G23" s="49">
        <v>5.91</v>
      </c>
      <c r="H23" s="49">
        <v>27.2</v>
      </c>
      <c r="I23" s="50">
        <v>1.43</v>
      </c>
      <c r="J23" s="50">
        <v>21.8</v>
      </c>
      <c r="K23" s="50">
        <v>6</v>
      </c>
      <c r="L23" s="50">
        <v>4</v>
      </c>
      <c r="M23" s="50">
        <v>7</v>
      </c>
      <c r="N23" s="50">
        <v>3</v>
      </c>
      <c r="O23" s="50">
        <v>3</v>
      </c>
      <c r="P23" s="50">
        <v>0.64300000000000002</v>
      </c>
      <c r="Q23" s="50">
        <v>1.417</v>
      </c>
      <c r="R23" s="50">
        <v>0.63200000000000001</v>
      </c>
      <c r="S23" s="50">
        <v>0.39300000000000002</v>
      </c>
      <c r="T23" s="49">
        <v>58.38</v>
      </c>
      <c r="U23" s="50">
        <v>62.188000000000002</v>
      </c>
      <c r="V23" s="50">
        <v>197.5</v>
      </c>
      <c r="W23" s="50">
        <v>216.66</v>
      </c>
      <c r="X23" s="50">
        <v>130</v>
      </c>
      <c r="Y23" s="50">
        <v>160</v>
      </c>
      <c r="Z23" s="49">
        <v>340.89</v>
      </c>
      <c r="AA23" s="49">
        <v>358.53</v>
      </c>
      <c r="AB23" s="49">
        <v>225.07</v>
      </c>
      <c r="AC23" s="49">
        <v>281.06</v>
      </c>
      <c r="AD23" s="49">
        <v>1.6850000000000001</v>
      </c>
      <c r="AE23" s="49">
        <v>1.78</v>
      </c>
      <c r="AF23" s="49">
        <v>1.5680000000000001</v>
      </c>
      <c r="AG23" s="49">
        <v>1.641</v>
      </c>
      <c r="AH23" s="49">
        <v>59.98</v>
      </c>
      <c r="AI23" s="49">
        <v>55.8</v>
      </c>
      <c r="AJ23" s="49">
        <v>67.06</v>
      </c>
      <c r="AK23" s="49">
        <v>65.75</v>
      </c>
      <c r="AL23" s="49">
        <v>574.09500000000003</v>
      </c>
      <c r="AM23" s="49">
        <v>586.26099999999997</v>
      </c>
      <c r="AN23" s="49">
        <v>720.16899999999998</v>
      </c>
      <c r="AO23" s="49">
        <v>725.91099999999994</v>
      </c>
      <c r="AP23" s="49">
        <v>1.42</v>
      </c>
      <c r="AQ23" s="49">
        <v>1.972</v>
      </c>
      <c r="AR23" s="50">
        <v>42.524999999999999</v>
      </c>
      <c r="AS23" s="49">
        <v>38.954999999999998</v>
      </c>
      <c r="AT23" s="50">
        <v>86</v>
      </c>
      <c r="AU23" s="49">
        <v>115</v>
      </c>
      <c r="AV23" s="49">
        <v>1.9770000000000001</v>
      </c>
      <c r="AW23" s="49">
        <v>4.7946999999999997</v>
      </c>
      <c r="AX23" s="49">
        <v>1019.5</v>
      </c>
      <c r="AY23" s="50">
        <v>2.93</v>
      </c>
      <c r="AZ23" s="49">
        <v>4.9000000000000004</v>
      </c>
      <c r="BA23" s="49">
        <v>69.7</v>
      </c>
      <c r="BB23" s="49">
        <v>69.8</v>
      </c>
      <c r="BC23" s="49">
        <v>7831</v>
      </c>
      <c r="BD23" s="49">
        <v>88.5</v>
      </c>
      <c r="BE23" s="49">
        <v>15.78</v>
      </c>
      <c r="BF23" s="49">
        <v>13.23</v>
      </c>
      <c r="BG23" s="49">
        <v>28.01</v>
      </c>
      <c r="BH23" s="49">
        <v>27.51</v>
      </c>
      <c r="BI23" s="49">
        <v>65.168000000000006</v>
      </c>
      <c r="BJ23" s="50">
        <v>82.186000000000007</v>
      </c>
      <c r="BK23" s="49">
        <v>63.368000000000002</v>
      </c>
      <c r="BL23" s="50">
        <v>79.932000000000002</v>
      </c>
      <c r="BM23" s="49">
        <v>78.998000000000005</v>
      </c>
      <c r="BN23" s="50">
        <v>151.352</v>
      </c>
      <c r="BO23" s="50">
        <v>152.16800000000001</v>
      </c>
      <c r="BP23" s="49">
        <v>128.66399999999999</v>
      </c>
      <c r="BQ23" s="49">
        <v>133.816</v>
      </c>
      <c r="BR23" s="49">
        <v>57.834000000000003</v>
      </c>
      <c r="BS23" s="49">
        <v>26.9</v>
      </c>
      <c r="BT23" s="49">
        <v>7401.9380000000001</v>
      </c>
      <c r="BU23" s="50">
        <v>50.814999999999998</v>
      </c>
      <c r="BV23" s="49">
        <v>54.093000000000004</v>
      </c>
      <c r="BW23" s="50">
        <v>55.018000000000001</v>
      </c>
      <c r="BX23" s="49">
        <v>55.360999999999997</v>
      </c>
      <c r="BY23" s="50">
        <v>1.599</v>
      </c>
      <c r="BZ23" s="49">
        <v>2.3319999999999999</v>
      </c>
      <c r="CA23" s="49">
        <v>3.1909999999999998</v>
      </c>
      <c r="CB23" s="49">
        <v>2.9670000000000001</v>
      </c>
      <c r="CC23" s="49">
        <v>1.0009999999999999</v>
      </c>
      <c r="CD23" s="49">
        <v>2.274</v>
      </c>
      <c r="CE23" s="49">
        <v>1.341</v>
      </c>
      <c r="CF23" s="50">
        <v>2.1840000000000002</v>
      </c>
      <c r="CG23" s="49">
        <v>13.696999999999999</v>
      </c>
      <c r="CH23" s="50">
        <v>10.012</v>
      </c>
      <c r="CI23" s="49">
        <v>4.508</v>
      </c>
      <c r="CJ23" s="49">
        <v>3.5339999999999998</v>
      </c>
      <c r="CK23" s="49">
        <v>1.4079999999999999</v>
      </c>
      <c r="CL23" s="49">
        <v>0</v>
      </c>
      <c r="CM23" s="49">
        <v>0.2</v>
      </c>
      <c r="CN23" s="50">
        <v>0</v>
      </c>
      <c r="CO23" s="50">
        <v>0</v>
      </c>
      <c r="CP23" s="50">
        <v>113.97199999999999</v>
      </c>
      <c r="CQ23" s="50">
        <v>115.31399999999999</v>
      </c>
      <c r="CR23" s="49">
        <v>112.361</v>
      </c>
      <c r="CS23" s="49">
        <v>118.261</v>
      </c>
      <c r="CT23" s="49">
        <v>0.44900000000000001</v>
      </c>
      <c r="CU23" s="50">
        <v>1.6970000000000001</v>
      </c>
      <c r="CV23" s="50">
        <v>2.5</v>
      </c>
      <c r="CW23" s="50">
        <v>1.7010000000000001</v>
      </c>
      <c r="CX23" s="49">
        <v>1.597</v>
      </c>
      <c r="CY23" s="50">
        <v>0.998</v>
      </c>
      <c r="CZ23" s="50">
        <v>1.3</v>
      </c>
      <c r="DA23" s="49">
        <v>0.59899999999999998</v>
      </c>
      <c r="DB23" s="50">
        <v>2.5950000000000002</v>
      </c>
      <c r="DC23" s="50">
        <v>0</v>
      </c>
      <c r="DD23" s="50">
        <v>0</v>
      </c>
      <c r="DE23" s="49">
        <v>0.216</v>
      </c>
      <c r="DF23" s="50">
        <v>0.11799999999999999</v>
      </c>
      <c r="DG23" s="49">
        <v>0.161</v>
      </c>
      <c r="DH23" s="50">
        <v>2.7490000000000001</v>
      </c>
      <c r="DI23" s="49">
        <v>0.73599999999999999</v>
      </c>
      <c r="DJ23" s="50">
        <v>0.192</v>
      </c>
      <c r="DK23" s="50">
        <v>0.72199999999999998</v>
      </c>
      <c r="DL23" s="50">
        <v>0.40799999999999997</v>
      </c>
      <c r="DM23" s="50">
        <v>0.47399999999999998</v>
      </c>
      <c r="DN23" s="49">
        <v>0.08</v>
      </c>
      <c r="DO23" s="50">
        <v>0.33900000000000002</v>
      </c>
      <c r="DP23" s="49">
        <v>63.279000000000003</v>
      </c>
      <c r="DQ23" s="49">
        <v>60.139000000000003</v>
      </c>
      <c r="DR23" s="49">
        <v>50.951999999999998</v>
      </c>
      <c r="DS23" s="49">
        <v>49.823</v>
      </c>
      <c r="DT23" s="49">
        <v>3.12</v>
      </c>
      <c r="DU23" s="49">
        <v>3.43</v>
      </c>
      <c r="DV23" s="49">
        <v>6.34</v>
      </c>
      <c r="DW23" s="49">
        <v>5.16</v>
      </c>
      <c r="DX23" s="49">
        <v>3.24</v>
      </c>
      <c r="DY23" s="49">
        <v>3.36</v>
      </c>
      <c r="DZ23" s="49">
        <v>5.7</v>
      </c>
      <c r="EA23" s="49">
        <v>4.75</v>
      </c>
      <c r="EB23" s="49">
        <v>27.51</v>
      </c>
      <c r="EC23" s="49">
        <v>26.79</v>
      </c>
      <c r="ED23" s="49">
        <v>22.64</v>
      </c>
      <c r="EE23" s="49">
        <v>23.7</v>
      </c>
      <c r="EF23" s="50">
        <v>66.13</v>
      </c>
      <c r="EG23" s="50">
        <v>66.42</v>
      </c>
      <c r="EH23" s="50">
        <v>65.319999999999993</v>
      </c>
      <c r="EI23" s="50">
        <v>66.39</v>
      </c>
      <c r="EJ23" s="49">
        <v>6.4669999999999996</v>
      </c>
      <c r="EK23" s="49">
        <v>60.603000000000002</v>
      </c>
      <c r="EL23" s="50">
        <v>2.6</v>
      </c>
      <c r="EM23" s="50">
        <v>1.75</v>
      </c>
      <c r="EN23" s="50">
        <v>1.21</v>
      </c>
      <c r="EO23" s="50">
        <v>1.2</v>
      </c>
      <c r="EP23" s="49">
        <v>-108.26600000000001</v>
      </c>
      <c r="EQ23" s="50">
        <v>-1.6910000000000001</v>
      </c>
      <c r="ER23" s="49">
        <v>97.593999999999994</v>
      </c>
      <c r="ES23" s="49">
        <v>1.3029999999999999</v>
      </c>
      <c r="ET23" s="49">
        <v>1.4219999999999999</v>
      </c>
      <c r="EU23" s="49">
        <v>1.266</v>
      </c>
      <c r="EV23" s="49">
        <v>7.6769999999999996</v>
      </c>
      <c r="EW23" s="49">
        <v>2.9289999999999998</v>
      </c>
      <c r="EX23" s="49">
        <v>71.55</v>
      </c>
      <c r="EY23" s="50">
        <v>3.0609999999999999</v>
      </c>
      <c r="EZ23" s="49">
        <v>0</v>
      </c>
      <c r="FA23" s="50">
        <v>0</v>
      </c>
      <c r="FB23" s="49">
        <v>8.2959999999999994</v>
      </c>
      <c r="FC23" s="49">
        <v>57.158999999999999</v>
      </c>
      <c r="FD23" s="49">
        <v>54.116</v>
      </c>
      <c r="FE23" s="49">
        <v>54.686999999999998</v>
      </c>
      <c r="FF23" s="49">
        <v>56.301000000000002</v>
      </c>
      <c r="FG23" s="50">
        <v>0.98799999999999999</v>
      </c>
      <c r="FH23" s="50">
        <v>0.96599999999999997</v>
      </c>
      <c r="FI23" s="50">
        <v>1.0009999999999999</v>
      </c>
      <c r="FJ23" s="50">
        <v>1.004</v>
      </c>
      <c r="FK23" s="50">
        <v>0.30199999999999999</v>
      </c>
      <c r="FL23" s="50">
        <v>87</v>
      </c>
      <c r="FM23" s="49">
        <v>3.66</v>
      </c>
      <c r="FN23" s="50">
        <v>-0.47</v>
      </c>
      <c r="FO23" s="49">
        <v>4.83</v>
      </c>
      <c r="FP23" s="50">
        <v>0.4</v>
      </c>
      <c r="FQ23" s="50">
        <v>1.85</v>
      </c>
      <c r="FR23" s="49">
        <v>5.05</v>
      </c>
      <c r="FS23" s="49">
        <v>6.6074999999999999</v>
      </c>
      <c r="FT23" s="49">
        <v>1078.2</v>
      </c>
      <c r="FU23" s="49">
        <v>5.98</v>
      </c>
      <c r="FV23" s="49">
        <v>29.56</v>
      </c>
      <c r="FW23" s="49">
        <v>2952</v>
      </c>
      <c r="FX23" s="49">
        <v>165100</v>
      </c>
      <c r="FY23" s="49">
        <v>165700</v>
      </c>
      <c r="FZ23" s="50">
        <v>48.505000000000003</v>
      </c>
      <c r="GA23" s="50">
        <v>48.457999999999998</v>
      </c>
      <c r="GB23" s="49">
        <v>2142.6999999999998</v>
      </c>
      <c r="GC23" s="50">
        <v>2197</v>
      </c>
      <c r="GD23" s="49">
        <v>2179.1</v>
      </c>
      <c r="GE23" s="49">
        <v>2197</v>
      </c>
      <c r="GF23" s="50">
        <v>1461.1719000000001</v>
      </c>
      <c r="GG23" s="49">
        <v>31</v>
      </c>
      <c r="GH23" s="49">
        <v>31.4</v>
      </c>
      <c r="GI23" s="50">
        <v>55.7</v>
      </c>
      <c r="GJ23" s="50">
        <v>59.9</v>
      </c>
      <c r="GK23" s="50">
        <v>95.5</v>
      </c>
      <c r="GL23" s="50">
        <v>100.5</v>
      </c>
      <c r="GM23" s="50">
        <v>0</v>
      </c>
      <c r="GN23" s="49">
        <v>27.949000000000002</v>
      </c>
      <c r="GO23" s="49">
        <v>108.26600000000001</v>
      </c>
      <c r="GP23" s="50">
        <v>0</v>
      </c>
      <c r="GQ23" s="50">
        <v>4.13</v>
      </c>
      <c r="GR23" s="50">
        <v>0</v>
      </c>
      <c r="GS23" s="50">
        <v>4.13</v>
      </c>
      <c r="GT23" s="50">
        <v>0</v>
      </c>
      <c r="GU23" s="50">
        <v>3.9529999999999998</v>
      </c>
      <c r="GV23" s="50">
        <v>0</v>
      </c>
      <c r="GW23" s="50">
        <v>2.1000000000000001E-2</v>
      </c>
      <c r="GX23" s="50">
        <v>22.245999999999999</v>
      </c>
      <c r="GY23" s="50">
        <v>0</v>
      </c>
      <c r="GZ23" s="49">
        <v>12.233000000000001</v>
      </c>
      <c r="HA23" s="50">
        <v>21.853999999999999</v>
      </c>
      <c r="HB23" s="50">
        <v>1</v>
      </c>
      <c r="HC23" s="50">
        <v>26.664999999999999</v>
      </c>
      <c r="HD23" s="50">
        <v>90</v>
      </c>
      <c r="HE23" s="50">
        <v>0</v>
      </c>
      <c r="HF23" s="50">
        <v>0</v>
      </c>
      <c r="HG23" s="50">
        <v>74.400000000000006</v>
      </c>
      <c r="HH23" s="49">
        <v>83.61</v>
      </c>
      <c r="HI23" s="50">
        <v>0</v>
      </c>
      <c r="HJ23" s="50">
        <v>0</v>
      </c>
      <c r="HK23" s="50">
        <v>0</v>
      </c>
      <c r="HL23" s="50">
        <v>66</v>
      </c>
      <c r="HM23" s="50">
        <v>53</v>
      </c>
      <c r="HN23" s="50">
        <v>66</v>
      </c>
      <c r="HO23" s="49">
        <v>58</v>
      </c>
      <c r="HP23" s="49">
        <v>61</v>
      </c>
      <c r="HQ23" s="49">
        <v>59</v>
      </c>
      <c r="HR23" s="50">
        <v>52</v>
      </c>
      <c r="HS23" s="49">
        <v>62</v>
      </c>
      <c r="HT23" s="49">
        <v>-1.3955</v>
      </c>
      <c r="HU23" s="50">
        <v>0</v>
      </c>
      <c r="HV23" s="49">
        <v>-8.1000000000000003E-2</v>
      </c>
      <c r="HW23" s="50">
        <v>39.229999999999997</v>
      </c>
      <c r="HX23" s="49">
        <v>40.36</v>
      </c>
      <c r="HY23" s="3"/>
      <c r="HZ23" s="3"/>
      <c r="IA23" s="49">
        <v>2.6779999999999999</v>
      </c>
      <c r="IB23" s="49">
        <v>100</v>
      </c>
      <c r="IC23" s="49">
        <v>19.253</v>
      </c>
      <c r="ID23" s="50">
        <v>-0.19</v>
      </c>
      <c r="IE23" s="50">
        <v>-7.6999999999999999E-2</v>
      </c>
      <c r="IF23" s="49">
        <v>794.4</v>
      </c>
      <c r="IG23" s="49">
        <v>672.3</v>
      </c>
      <c r="IH23" s="49">
        <v>806</v>
      </c>
      <c r="II23" s="49">
        <v>688.1</v>
      </c>
      <c r="IJ23" s="50">
        <v>2.8000000000000001E-2</v>
      </c>
      <c r="IK23" s="50">
        <v>2.7E-2</v>
      </c>
      <c r="IL23" s="50">
        <v>229.57400000000001</v>
      </c>
      <c r="IM23" s="50">
        <v>229.57400000000001</v>
      </c>
      <c r="IN23" s="50">
        <v>15.933</v>
      </c>
      <c r="IO23" s="49">
        <v>0.16300000000000001</v>
      </c>
      <c r="IP23" s="50">
        <v>9.83</v>
      </c>
      <c r="IQ23" s="49">
        <v>1E-3</v>
      </c>
      <c r="IR23" s="50">
        <v>0.01</v>
      </c>
      <c r="IS23">
        <v>0.27400000000000002</v>
      </c>
      <c r="IT23">
        <v>0.11100000000000002</v>
      </c>
    </row>
    <row r="24" spans="1:254" x14ac:dyDescent="0.25">
      <c r="B24" s="2" t="s">
        <v>410</v>
      </c>
      <c r="C24" s="2" t="s">
        <v>42</v>
      </c>
      <c r="D24" s="58">
        <v>2.4428240740740738E-3</v>
      </c>
      <c r="E24" s="49">
        <v>211.1</v>
      </c>
      <c r="F24" s="49">
        <v>328.27</v>
      </c>
      <c r="G24" s="49">
        <v>6.16</v>
      </c>
      <c r="H24" s="49">
        <v>27.2</v>
      </c>
      <c r="I24" s="49">
        <v>0</v>
      </c>
      <c r="J24" s="49">
        <v>12.1</v>
      </c>
      <c r="K24" s="50">
        <v>6</v>
      </c>
      <c r="L24" s="50">
        <v>4</v>
      </c>
      <c r="M24" s="50">
        <v>7</v>
      </c>
      <c r="N24" s="50">
        <v>3</v>
      </c>
      <c r="O24" s="50">
        <v>3</v>
      </c>
      <c r="P24" s="49">
        <v>0.54200000000000004</v>
      </c>
      <c r="Q24" s="49">
        <v>1.296</v>
      </c>
      <c r="R24" s="49">
        <v>0.51800000000000002</v>
      </c>
      <c r="S24" s="49">
        <v>0.253</v>
      </c>
      <c r="T24" s="49">
        <v>73.55</v>
      </c>
      <c r="U24" s="49">
        <v>60.529000000000003</v>
      </c>
      <c r="V24" s="49">
        <v>280</v>
      </c>
      <c r="W24" s="49">
        <v>307</v>
      </c>
      <c r="X24" s="49">
        <v>195</v>
      </c>
      <c r="Y24" s="49">
        <v>236.66</v>
      </c>
      <c r="Z24" s="50">
        <v>413.46</v>
      </c>
      <c r="AA24" s="50">
        <v>436.52</v>
      </c>
      <c r="AB24" s="49">
        <v>317.49</v>
      </c>
      <c r="AC24" s="49">
        <v>387.57</v>
      </c>
      <c r="AD24" s="49">
        <v>1.7689999999999999</v>
      </c>
      <c r="AE24" s="49">
        <v>1.85</v>
      </c>
      <c r="AF24" s="49">
        <v>1.744</v>
      </c>
      <c r="AG24" s="49">
        <v>1.796</v>
      </c>
      <c r="AH24" s="49">
        <v>77.069999999999993</v>
      </c>
      <c r="AI24" s="49">
        <v>68.63</v>
      </c>
      <c r="AJ24" s="49">
        <v>100.53</v>
      </c>
      <c r="AK24" s="49">
        <v>96.77</v>
      </c>
      <c r="AL24" s="50">
        <v>694.56399999999996</v>
      </c>
      <c r="AM24" s="49">
        <v>673.09</v>
      </c>
      <c r="AN24" s="49">
        <v>849.65800000000002</v>
      </c>
      <c r="AO24" s="50">
        <v>814.98400000000004</v>
      </c>
      <c r="AP24" s="50">
        <v>1.427</v>
      </c>
      <c r="AQ24" s="50">
        <v>1.986</v>
      </c>
      <c r="AR24" s="49">
        <v>42.209000000000003</v>
      </c>
      <c r="AS24" s="49">
        <v>39.088000000000001</v>
      </c>
      <c r="AT24" s="49">
        <v>83</v>
      </c>
      <c r="AU24" s="49">
        <v>119</v>
      </c>
      <c r="AV24" s="49">
        <v>1.5765</v>
      </c>
      <c r="AW24" s="49">
        <v>4.9851000000000001</v>
      </c>
      <c r="AX24" s="50">
        <v>1022.7</v>
      </c>
      <c r="AY24" s="49">
        <v>2.39</v>
      </c>
      <c r="AZ24" s="50">
        <v>4.74</v>
      </c>
      <c r="BA24" s="49">
        <v>118.717</v>
      </c>
      <c r="BB24" s="49">
        <v>118.003</v>
      </c>
      <c r="BC24" s="49">
        <v>7957</v>
      </c>
      <c r="BD24" s="50">
        <v>89.75</v>
      </c>
      <c r="BE24" s="50">
        <v>17.670000000000002</v>
      </c>
      <c r="BF24" s="49">
        <v>15.14</v>
      </c>
      <c r="BG24" s="49">
        <v>29.26</v>
      </c>
      <c r="BH24" s="49">
        <v>28.01</v>
      </c>
      <c r="BI24" s="3"/>
      <c r="BJ24" s="3"/>
      <c r="BK24" s="3"/>
      <c r="BL24" s="3"/>
      <c r="BM24" s="3"/>
      <c r="BN24" s="49">
        <v>107.72</v>
      </c>
      <c r="BO24" s="49">
        <v>107.352</v>
      </c>
      <c r="BP24" s="49">
        <v>130.71199999999999</v>
      </c>
      <c r="BQ24" s="49">
        <v>134.68</v>
      </c>
      <c r="BR24" s="3"/>
      <c r="BS24" s="49">
        <v>26.9</v>
      </c>
      <c r="BT24" s="49">
        <v>7431.1239999999998</v>
      </c>
      <c r="BU24" s="49">
        <v>49.871000000000002</v>
      </c>
      <c r="BV24" s="49">
        <v>53.268000000000001</v>
      </c>
      <c r="BW24" s="49">
        <v>54.265000000000001</v>
      </c>
      <c r="BX24" s="49">
        <v>55.268000000000001</v>
      </c>
      <c r="BY24" s="49">
        <v>1.3149999999999999</v>
      </c>
      <c r="BZ24" s="49">
        <v>3.0529999999999999</v>
      </c>
      <c r="CA24" s="49">
        <v>3.4540000000000002</v>
      </c>
      <c r="CB24" s="50">
        <v>4.1769999999999996</v>
      </c>
      <c r="CC24" s="49">
        <v>1.08</v>
      </c>
      <c r="CD24" s="49">
        <v>2.3290000000000002</v>
      </c>
      <c r="CE24" s="50">
        <v>1.373</v>
      </c>
      <c r="CF24" s="49">
        <v>2.1779999999999999</v>
      </c>
      <c r="CG24" s="49">
        <v>13.942</v>
      </c>
      <c r="CH24" s="49">
        <v>13.8</v>
      </c>
      <c r="CI24" s="50">
        <v>5.0519999999999996</v>
      </c>
      <c r="CJ24" s="50">
        <v>3.6680000000000001</v>
      </c>
      <c r="CK24" s="50">
        <v>1.6479999999999999</v>
      </c>
      <c r="CL24" s="49">
        <v>0</v>
      </c>
      <c r="CM24" s="50">
        <v>2</v>
      </c>
      <c r="CN24" s="50">
        <v>0</v>
      </c>
      <c r="CO24" s="50">
        <v>0</v>
      </c>
      <c r="CP24" s="49">
        <v>102.34</v>
      </c>
      <c r="CQ24" s="49">
        <v>102.949</v>
      </c>
      <c r="CR24" s="49">
        <v>118.357</v>
      </c>
      <c r="CS24" s="49">
        <v>124.435</v>
      </c>
      <c r="CT24" s="49">
        <v>0.379</v>
      </c>
      <c r="CU24" s="49">
        <v>1</v>
      </c>
      <c r="CV24" s="49">
        <v>1.4</v>
      </c>
      <c r="CW24" s="49">
        <v>0.79800000000000004</v>
      </c>
      <c r="CX24" s="49">
        <v>1.097</v>
      </c>
      <c r="CY24" s="49">
        <v>0.79600000000000004</v>
      </c>
      <c r="CZ24" s="49">
        <v>1.2989999999999999</v>
      </c>
      <c r="DA24" s="50">
        <v>1.3009999999999999</v>
      </c>
      <c r="DB24" s="49">
        <v>1.296</v>
      </c>
      <c r="DC24" s="50">
        <v>0</v>
      </c>
      <c r="DD24" s="50">
        <v>0</v>
      </c>
      <c r="DE24" s="50">
        <v>0.22900000000000001</v>
      </c>
      <c r="DF24" s="49">
        <v>7.1999999999999995E-2</v>
      </c>
      <c r="DG24" s="50">
        <v>1.3049999999999999</v>
      </c>
      <c r="DH24" s="49">
        <v>2.5870000000000002</v>
      </c>
      <c r="DI24" s="50">
        <v>0.98899999999999999</v>
      </c>
      <c r="DJ24" s="49">
        <v>0.11799999999999999</v>
      </c>
      <c r="DK24" s="49">
        <v>0.65800000000000003</v>
      </c>
      <c r="DL24" s="49">
        <v>0.40300000000000002</v>
      </c>
      <c r="DM24" s="49">
        <v>0.442</v>
      </c>
      <c r="DN24" s="49">
        <v>0.28599999999999998</v>
      </c>
      <c r="DO24" s="49">
        <v>0.309</v>
      </c>
      <c r="DP24" s="49">
        <v>64.42</v>
      </c>
      <c r="DQ24" s="49">
        <v>60.731000000000002</v>
      </c>
      <c r="DR24" s="49">
        <v>54.09</v>
      </c>
      <c r="DS24" s="49">
        <v>52.039000000000001</v>
      </c>
      <c r="DT24" s="49">
        <v>7.04</v>
      </c>
      <c r="DU24" s="49">
        <v>6.87</v>
      </c>
      <c r="DV24" s="49">
        <v>14.04</v>
      </c>
      <c r="DW24" s="49">
        <v>10.77</v>
      </c>
      <c r="DX24" s="49">
        <v>7.22</v>
      </c>
      <c r="DY24" s="49">
        <v>7.16</v>
      </c>
      <c r="DZ24" s="49">
        <v>13.17</v>
      </c>
      <c r="EA24" s="49">
        <v>10.48</v>
      </c>
      <c r="EB24" s="49">
        <v>41.48</v>
      </c>
      <c r="EC24" s="49">
        <v>40.89</v>
      </c>
      <c r="ED24" s="49">
        <v>31.87</v>
      </c>
      <c r="EE24" s="49">
        <v>35.21</v>
      </c>
      <c r="EF24" s="49">
        <v>44.26</v>
      </c>
      <c r="EG24" s="49">
        <v>45.08</v>
      </c>
      <c r="EH24" s="49">
        <v>40.92</v>
      </c>
      <c r="EI24" s="49">
        <v>43.54</v>
      </c>
      <c r="EJ24" s="49">
        <v>6.7649999999999997</v>
      </c>
      <c r="EK24" s="49">
        <v>61.347999999999999</v>
      </c>
      <c r="EL24" s="49">
        <v>2.15</v>
      </c>
      <c r="EM24" s="50">
        <v>1.75</v>
      </c>
      <c r="EN24" s="49">
        <v>1.18</v>
      </c>
      <c r="EO24" s="49">
        <v>1.18</v>
      </c>
      <c r="EP24" s="49">
        <v>-109.142</v>
      </c>
      <c r="EQ24" s="49">
        <v>-2.7149999999999999</v>
      </c>
      <c r="ER24" s="49">
        <v>99.346000000000004</v>
      </c>
      <c r="ES24" s="50">
        <v>1.4279999999999999</v>
      </c>
      <c r="ET24" s="50">
        <v>1.6259999999999999</v>
      </c>
      <c r="EU24" s="49">
        <v>1.4159999999999999</v>
      </c>
      <c r="EV24" s="49">
        <v>7.6980000000000004</v>
      </c>
      <c r="EW24" s="49">
        <v>2.9180000000000001</v>
      </c>
      <c r="EX24" s="49">
        <v>76.66</v>
      </c>
      <c r="EY24" s="49">
        <v>0</v>
      </c>
      <c r="EZ24" s="49">
        <v>5.0999999999999997E-2</v>
      </c>
      <c r="FA24" s="50">
        <v>0</v>
      </c>
      <c r="FB24" s="49">
        <v>9.1440000000000001</v>
      </c>
      <c r="FC24" s="49">
        <v>67.635000000000005</v>
      </c>
      <c r="FD24" s="49">
        <v>62.040999999999997</v>
      </c>
      <c r="FE24" s="49">
        <v>72.290999999999997</v>
      </c>
      <c r="FF24" s="49">
        <v>71.165999999999997</v>
      </c>
      <c r="FG24" s="49">
        <v>0.91800000000000004</v>
      </c>
      <c r="FH24" s="49">
        <v>0.91800000000000004</v>
      </c>
      <c r="FI24" s="49">
        <v>0.996</v>
      </c>
      <c r="FJ24" s="49">
        <v>1.002</v>
      </c>
      <c r="FK24" s="49">
        <v>0</v>
      </c>
      <c r="FL24" s="49">
        <v>83</v>
      </c>
      <c r="FM24" s="49">
        <v>3.67</v>
      </c>
      <c r="FN24" s="49">
        <v>-0.35</v>
      </c>
      <c r="FO24" s="50">
        <v>4.7300000000000004</v>
      </c>
      <c r="FP24" s="3"/>
      <c r="FQ24" s="49">
        <v>4.9000000000000004</v>
      </c>
      <c r="FR24" s="49">
        <v>5.15</v>
      </c>
      <c r="FS24" s="49">
        <v>6.5415000000000001</v>
      </c>
      <c r="FT24" s="50">
        <v>1086.8</v>
      </c>
      <c r="FU24" s="49">
        <v>6.12</v>
      </c>
      <c r="FV24" s="49">
        <v>35.72</v>
      </c>
      <c r="FW24" s="49">
        <v>2909.5</v>
      </c>
      <c r="FX24" s="50">
        <v>166000</v>
      </c>
      <c r="FY24" s="50">
        <v>166100</v>
      </c>
      <c r="FZ24" s="49">
        <v>47.570999999999998</v>
      </c>
      <c r="GA24" s="49">
        <v>47.747</v>
      </c>
      <c r="GB24" s="49">
        <v>2149</v>
      </c>
      <c r="GC24" s="49">
        <v>2158.1999999999998</v>
      </c>
      <c r="GD24" s="49">
        <v>2202</v>
      </c>
      <c r="GE24" s="50">
        <v>2201.8000000000002</v>
      </c>
      <c r="GF24" s="49">
        <v>1395.1094000000001</v>
      </c>
      <c r="GG24" s="49">
        <v>32</v>
      </c>
      <c r="GH24" s="49">
        <v>31.8</v>
      </c>
      <c r="GI24" s="49">
        <v>48.8</v>
      </c>
      <c r="GJ24" s="49">
        <v>54.2</v>
      </c>
      <c r="GK24" s="49">
        <v>99.5</v>
      </c>
      <c r="GL24" s="49">
        <v>89.7</v>
      </c>
      <c r="GM24" s="50">
        <v>0</v>
      </c>
      <c r="GN24" s="49">
        <v>27.423999999999999</v>
      </c>
      <c r="GO24" s="49">
        <v>109.142</v>
      </c>
      <c r="GP24" s="49">
        <v>0.53100000000000003</v>
      </c>
      <c r="GQ24" s="49">
        <v>1.8879999999999999</v>
      </c>
      <c r="GR24" s="49">
        <v>0.82599999999999996</v>
      </c>
      <c r="GS24" s="49">
        <v>2.0059999999999998</v>
      </c>
      <c r="GT24" s="49">
        <v>0.59</v>
      </c>
      <c r="GU24" s="49">
        <v>1.8879999999999999</v>
      </c>
      <c r="GV24" s="50">
        <v>0</v>
      </c>
      <c r="GW24" s="49">
        <v>0</v>
      </c>
      <c r="GX24" s="49">
        <v>0</v>
      </c>
      <c r="GY24" s="49">
        <v>12.054</v>
      </c>
      <c r="GZ24" s="50">
        <v>13.901999999999999</v>
      </c>
      <c r="HA24" s="49">
        <v>15.875999999999999</v>
      </c>
      <c r="HB24" s="49">
        <v>0</v>
      </c>
      <c r="HC24" s="49">
        <v>23.393000000000001</v>
      </c>
      <c r="HD24" s="49">
        <v>78</v>
      </c>
      <c r="HE24" s="50">
        <v>0</v>
      </c>
      <c r="HF24" s="50">
        <v>0</v>
      </c>
      <c r="HG24" s="49">
        <v>71.650000000000006</v>
      </c>
      <c r="HH24" s="50">
        <v>83.81</v>
      </c>
      <c r="HI24" s="50">
        <v>0</v>
      </c>
      <c r="HJ24" s="50">
        <v>0</v>
      </c>
      <c r="HK24" s="50">
        <v>0</v>
      </c>
      <c r="HL24" s="49">
        <v>62</v>
      </c>
      <c r="HM24" s="49">
        <v>52</v>
      </c>
      <c r="HN24" s="49">
        <v>65</v>
      </c>
      <c r="HO24" s="50">
        <v>59</v>
      </c>
      <c r="HP24" s="49">
        <v>61</v>
      </c>
      <c r="HQ24" s="49">
        <v>59</v>
      </c>
      <c r="HR24" s="50">
        <v>52</v>
      </c>
      <c r="HS24" s="49">
        <v>66</v>
      </c>
      <c r="HT24" s="50">
        <v>-1.4319999999999999</v>
      </c>
      <c r="HU24" s="50">
        <v>0</v>
      </c>
      <c r="HV24" s="49">
        <v>0.30199999999999999</v>
      </c>
      <c r="HW24" s="50">
        <v>39.229999999999997</v>
      </c>
      <c r="HX24" s="50">
        <v>37.46</v>
      </c>
      <c r="HY24" s="49">
        <v>50.51</v>
      </c>
      <c r="HZ24" s="49">
        <v>61.19</v>
      </c>
      <c r="IA24" s="49">
        <v>2.9460000000000002</v>
      </c>
      <c r="IB24" s="49">
        <v>104</v>
      </c>
      <c r="IC24" s="49">
        <v>22.715</v>
      </c>
      <c r="ID24" s="49">
        <v>-0.33500000000000002</v>
      </c>
      <c r="IE24" s="49">
        <v>-0.13600000000000001</v>
      </c>
      <c r="IF24" s="49">
        <v>802</v>
      </c>
      <c r="IG24" s="49">
        <v>756.7</v>
      </c>
      <c r="IH24" s="49">
        <v>809.1</v>
      </c>
      <c r="II24" s="50">
        <v>769.1</v>
      </c>
      <c r="IJ24" s="49">
        <v>-2.1000000000000001E-2</v>
      </c>
      <c r="IK24" s="49">
        <v>1.6E-2</v>
      </c>
      <c r="IL24" s="49">
        <v>66.849999999999994</v>
      </c>
      <c r="IM24" s="49">
        <v>66.849999999999994</v>
      </c>
      <c r="IN24" s="49">
        <v>12.394</v>
      </c>
      <c r="IO24" s="49">
        <v>0.23100000000000001</v>
      </c>
      <c r="IP24" s="49">
        <v>9.5</v>
      </c>
      <c r="IQ24" s="49">
        <v>8.9999999999999993E-3</v>
      </c>
      <c r="IR24" s="49">
        <v>4.0000000000000001E-3</v>
      </c>
      <c r="IS24">
        <v>0.28300000000000003</v>
      </c>
      <c r="IT24">
        <v>0.11500000000000002</v>
      </c>
    </row>
    <row r="25" spans="1:254" x14ac:dyDescent="0.25">
      <c r="B25" s="2" t="s">
        <v>410</v>
      </c>
      <c r="C25" s="59" t="s">
        <v>43</v>
      </c>
      <c r="D25" s="62">
        <v>2.4230324074074076E-3</v>
      </c>
      <c r="E25" s="49">
        <v>209.39</v>
      </c>
      <c r="F25" s="50">
        <v>328.49</v>
      </c>
      <c r="G25" s="50">
        <v>6.18</v>
      </c>
      <c r="H25" s="50">
        <v>27.4</v>
      </c>
      <c r="I25" s="49">
        <v>0</v>
      </c>
      <c r="J25" s="49">
        <v>10.4</v>
      </c>
      <c r="K25" s="50">
        <v>6</v>
      </c>
      <c r="L25" s="50">
        <v>4</v>
      </c>
      <c r="M25" s="50">
        <v>7</v>
      </c>
      <c r="N25" s="50">
        <v>3</v>
      </c>
      <c r="O25" s="50">
        <v>3</v>
      </c>
      <c r="P25" s="49">
        <v>0.28599999999999998</v>
      </c>
      <c r="Q25" s="49">
        <v>0.92100000000000004</v>
      </c>
      <c r="R25" s="49">
        <v>9.6000000000000002E-2</v>
      </c>
      <c r="S25" s="49">
        <v>0.17499999999999999</v>
      </c>
      <c r="T25" s="50">
        <v>82.72</v>
      </c>
      <c r="U25" s="49">
        <v>60.125</v>
      </c>
      <c r="V25" s="49">
        <v>251.66</v>
      </c>
      <c r="W25" s="49">
        <v>288.33999999999997</v>
      </c>
      <c r="X25" s="49">
        <v>211.66</v>
      </c>
      <c r="Y25" s="49">
        <v>258.33999999999997</v>
      </c>
      <c r="Z25" s="49">
        <v>391.44</v>
      </c>
      <c r="AA25" s="49">
        <v>424.06</v>
      </c>
      <c r="AB25" s="50">
        <v>328.96</v>
      </c>
      <c r="AC25" s="50">
        <v>402.65</v>
      </c>
      <c r="AD25" s="49">
        <v>1.8069999999999999</v>
      </c>
      <c r="AE25" s="49">
        <v>1.881</v>
      </c>
      <c r="AF25" s="49">
        <v>1.8380000000000001</v>
      </c>
      <c r="AG25" s="49">
        <v>1.883</v>
      </c>
      <c r="AH25" s="50">
        <v>82.91</v>
      </c>
      <c r="AI25" s="50">
        <v>73.16</v>
      </c>
      <c r="AJ25" s="49">
        <v>113.31</v>
      </c>
      <c r="AK25" s="49">
        <v>108.98</v>
      </c>
      <c r="AL25" s="49">
        <v>689.09</v>
      </c>
      <c r="AM25" s="50">
        <v>685.53499999999997</v>
      </c>
      <c r="AN25" s="50">
        <v>887.22299999999996</v>
      </c>
      <c r="AO25" s="49">
        <v>803.75099999999998</v>
      </c>
      <c r="AP25" s="49">
        <v>1.411</v>
      </c>
      <c r="AQ25" s="49">
        <v>1.95</v>
      </c>
      <c r="AR25" s="49">
        <v>41.917999999999999</v>
      </c>
      <c r="AS25" s="49">
        <v>38.238</v>
      </c>
      <c r="AT25" s="49">
        <v>83</v>
      </c>
      <c r="AU25" s="49">
        <v>121</v>
      </c>
      <c r="AV25" s="50">
        <v>1.482</v>
      </c>
      <c r="AW25" s="50">
        <v>5.0186000000000002</v>
      </c>
      <c r="AX25" s="49">
        <v>1018.2</v>
      </c>
      <c r="AY25" s="49">
        <v>2.39</v>
      </c>
      <c r="AZ25" s="49">
        <v>4.9400000000000004</v>
      </c>
      <c r="BA25" s="49">
        <v>106.441</v>
      </c>
      <c r="BB25" s="49">
        <v>107.447</v>
      </c>
      <c r="BC25" s="50">
        <v>8054</v>
      </c>
      <c r="BD25" s="49">
        <v>89</v>
      </c>
      <c r="BE25" s="49">
        <v>17.405000000000001</v>
      </c>
      <c r="BF25" s="50">
        <v>15.34</v>
      </c>
      <c r="BG25" s="50">
        <v>30.28</v>
      </c>
      <c r="BH25" s="50">
        <v>29.58</v>
      </c>
      <c r="BI25" s="3"/>
      <c r="BJ25" s="3"/>
      <c r="BK25" s="3"/>
      <c r="BL25" s="3"/>
      <c r="BM25" s="3"/>
      <c r="BN25" s="49">
        <v>105.896</v>
      </c>
      <c r="BO25" s="49">
        <v>106.392</v>
      </c>
      <c r="BP25" s="49">
        <v>135.91200000000001</v>
      </c>
      <c r="BQ25" s="49">
        <v>141.06399999999999</v>
      </c>
      <c r="BR25" s="3"/>
      <c r="BS25" s="50">
        <v>27.1</v>
      </c>
      <c r="BT25" s="50">
        <v>7442.5240000000003</v>
      </c>
      <c r="BU25" s="49">
        <v>50.131</v>
      </c>
      <c r="BV25" s="50">
        <v>54.164999999999999</v>
      </c>
      <c r="BW25" s="49">
        <v>54.113</v>
      </c>
      <c r="BX25" s="49">
        <v>55.043999999999997</v>
      </c>
      <c r="BY25" s="49">
        <v>1.4550000000000001</v>
      </c>
      <c r="BZ25" s="50">
        <v>3.11</v>
      </c>
      <c r="CA25" s="50">
        <v>3.976</v>
      </c>
      <c r="CB25" s="49">
        <v>3.669</v>
      </c>
      <c r="CC25" s="50">
        <v>1.2</v>
      </c>
      <c r="CD25" s="50">
        <v>2.335</v>
      </c>
      <c r="CE25" s="49">
        <v>1.369</v>
      </c>
      <c r="CF25" s="49">
        <v>2.149</v>
      </c>
      <c r="CG25" s="49">
        <v>13.939</v>
      </c>
      <c r="CH25" s="49">
        <v>13.781000000000001</v>
      </c>
      <c r="CI25" s="49">
        <v>4.782</v>
      </c>
      <c r="CJ25" s="49">
        <v>3.4980000000000002</v>
      </c>
      <c r="CK25" s="49">
        <v>1.456</v>
      </c>
      <c r="CL25" s="50">
        <v>0.1</v>
      </c>
      <c r="CM25" s="49">
        <v>0.3</v>
      </c>
      <c r="CN25" s="50">
        <v>0</v>
      </c>
      <c r="CO25" s="50">
        <v>0</v>
      </c>
      <c r="CP25" s="49">
        <v>98.921999999999997</v>
      </c>
      <c r="CQ25" s="49">
        <v>101.74299999999999</v>
      </c>
      <c r="CR25" s="49">
        <v>128.85499999999999</v>
      </c>
      <c r="CS25" s="49">
        <v>134.90199999999999</v>
      </c>
      <c r="CT25" s="49">
        <v>0.39100000000000001</v>
      </c>
      <c r="CU25" s="49">
        <v>0.79900000000000004</v>
      </c>
      <c r="CV25" s="49">
        <v>1.103</v>
      </c>
      <c r="CW25" s="49">
        <v>1.202</v>
      </c>
      <c r="CX25" s="49">
        <v>1.6990000000000001</v>
      </c>
      <c r="CY25" s="50">
        <v>0.998</v>
      </c>
      <c r="CZ25" s="49">
        <v>1.198</v>
      </c>
      <c r="DA25" s="49">
        <v>0.79900000000000004</v>
      </c>
      <c r="DB25" s="49">
        <v>1.8</v>
      </c>
      <c r="DC25" s="50">
        <v>0</v>
      </c>
      <c r="DD25" s="50">
        <v>0</v>
      </c>
      <c r="DE25" s="49">
        <v>0.13700000000000001</v>
      </c>
      <c r="DF25" s="49">
        <v>5.3999999999999999E-2</v>
      </c>
      <c r="DG25" s="49">
        <v>0.68300000000000005</v>
      </c>
      <c r="DH25" s="49">
        <v>1.9159999999999999</v>
      </c>
      <c r="DI25" s="49">
        <v>0.66500000000000004</v>
      </c>
      <c r="DJ25" s="49">
        <v>-4.2999999999999997E-2</v>
      </c>
      <c r="DK25" s="49">
        <v>0.48199999999999998</v>
      </c>
      <c r="DL25" s="49">
        <v>0.40100000000000002</v>
      </c>
      <c r="DM25" s="49">
        <v>-0.95099999999999996</v>
      </c>
      <c r="DN25" s="49">
        <v>-6.69</v>
      </c>
      <c r="DO25" s="49">
        <v>0.23100000000000001</v>
      </c>
      <c r="DP25" s="49">
        <v>65.481999999999999</v>
      </c>
      <c r="DQ25" s="50">
        <v>61.500999999999998</v>
      </c>
      <c r="DR25" s="50">
        <v>55.179000000000002</v>
      </c>
      <c r="DS25" s="50">
        <v>52.686</v>
      </c>
      <c r="DT25" s="50">
        <v>7.16</v>
      </c>
      <c r="DU25" s="50">
        <v>6.98</v>
      </c>
      <c r="DV25" s="50">
        <v>14.26</v>
      </c>
      <c r="DW25" s="50">
        <v>10.95</v>
      </c>
      <c r="DX25" s="50">
        <v>7.24</v>
      </c>
      <c r="DY25" s="50">
        <v>7.25</v>
      </c>
      <c r="DZ25" s="50">
        <v>13.54</v>
      </c>
      <c r="EA25" s="50">
        <v>11</v>
      </c>
      <c r="EB25" s="49">
        <v>41.33</v>
      </c>
      <c r="EC25" s="49">
        <v>41.21</v>
      </c>
      <c r="ED25" s="49">
        <v>31.54</v>
      </c>
      <c r="EE25" s="50">
        <v>35.42</v>
      </c>
      <c r="EF25" s="49">
        <v>44.27</v>
      </c>
      <c r="EG25" s="49">
        <v>44.56</v>
      </c>
      <c r="EH25" s="49">
        <v>40.65</v>
      </c>
      <c r="EI25" s="49">
        <v>42.63</v>
      </c>
      <c r="EJ25" s="49">
        <v>6.851</v>
      </c>
      <c r="EK25" s="49">
        <v>61.427999999999997</v>
      </c>
      <c r="EL25" s="49">
        <v>2.25</v>
      </c>
      <c r="EM25" s="50">
        <v>1.75</v>
      </c>
      <c r="EN25" s="49">
        <v>1.17</v>
      </c>
      <c r="EO25" s="49">
        <v>1.17</v>
      </c>
      <c r="EP25" s="50">
        <v>-113.52200000000001</v>
      </c>
      <c r="EQ25" s="49">
        <v>-2.621</v>
      </c>
      <c r="ER25" s="50">
        <v>105.47799999999999</v>
      </c>
      <c r="ES25" s="49">
        <v>1.3979999999999999</v>
      </c>
      <c r="ET25" s="49">
        <v>1.6020000000000001</v>
      </c>
      <c r="EU25" s="49">
        <v>1.391</v>
      </c>
      <c r="EV25" s="49">
        <v>7.7290000000000001</v>
      </c>
      <c r="EW25" s="49">
        <v>2.919</v>
      </c>
      <c r="EX25" s="50">
        <v>76.84</v>
      </c>
      <c r="EY25" s="49">
        <v>0</v>
      </c>
      <c r="EZ25" s="49">
        <v>0</v>
      </c>
      <c r="FA25" s="50">
        <v>0</v>
      </c>
      <c r="FB25" s="49">
        <v>9.1359999999999992</v>
      </c>
      <c r="FC25" s="49">
        <v>73.069000000000003</v>
      </c>
      <c r="FD25" s="49">
        <v>66.691999999999993</v>
      </c>
      <c r="FE25" s="49">
        <v>84.167000000000002</v>
      </c>
      <c r="FF25" s="49">
        <v>81.843999999999994</v>
      </c>
      <c r="FG25" s="49">
        <v>0.91800000000000004</v>
      </c>
      <c r="FH25" s="49">
        <v>0.91800000000000004</v>
      </c>
      <c r="FI25" s="49">
        <v>0.996</v>
      </c>
      <c r="FJ25" s="49">
        <v>1.0009999999999999</v>
      </c>
      <c r="FK25" s="49">
        <v>0</v>
      </c>
      <c r="FL25" s="49">
        <v>83</v>
      </c>
      <c r="FM25" s="50">
        <v>3.69</v>
      </c>
      <c r="FN25" s="49">
        <v>0</v>
      </c>
      <c r="FO25" s="49">
        <v>4.92</v>
      </c>
      <c r="FP25" s="3"/>
      <c r="FQ25" s="49">
        <v>4.9000000000000004</v>
      </c>
      <c r="FR25" s="50">
        <v>4.95</v>
      </c>
      <c r="FS25" s="50">
        <v>6.6315</v>
      </c>
      <c r="FT25" s="49">
        <v>1071.0999999999999</v>
      </c>
      <c r="FU25" s="49">
        <v>6.22</v>
      </c>
      <c r="FV25" s="49">
        <v>41.89</v>
      </c>
      <c r="FW25" s="49">
        <v>2902.5</v>
      </c>
      <c r="FX25" s="49">
        <v>162700</v>
      </c>
      <c r="FY25" s="49">
        <v>164300</v>
      </c>
      <c r="FZ25" s="49">
        <v>47.253999999999998</v>
      </c>
      <c r="GA25" s="49">
        <v>47.280999999999999</v>
      </c>
      <c r="GB25" s="49">
        <v>2143.6</v>
      </c>
      <c r="GC25" s="49">
        <v>2147.6</v>
      </c>
      <c r="GD25" s="50">
        <v>2390.8000000000002</v>
      </c>
      <c r="GE25" s="49">
        <v>2179.1999999999998</v>
      </c>
      <c r="GF25" s="49">
        <v>1327.3905999999999</v>
      </c>
      <c r="GG25" s="50">
        <v>33</v>
      </c>
      <c r="GH25" s="49">
        <v>32.5</v>
      </c>
      <c r="GI25" s="49">
        <v>47.6</v>
      </c>
      <c r="GJ25" s="49">
        <v>52.5</v>
      </c>
      <c r="GK25" s="49">
        <v>99.5</v>
      </c>
      <c r="GL25" s="49">
        <v>90.3</v>
      </c>
      <c r="GM25" s="50">
        <v>0</v>
      </c>
      <c r="GN25" s="49">
        <v>27.596</v>
      </c>
      <c r="GO25" s="50">
        <v>113.52200000000001</v>
      </c>
      <c r="GP25" s="49">
        <v>0.41299999999999998</v>
      </c>
      <c r="GQ25" s="49">
        <v>1.8879999999999999</v>
      </c>
      <c r="GR25" s="49">
        <v>0.70799999999999996</v>
      </c>
      <c r="GS25" s="49">
        <v>2.0059999999999998</v>
      </c>
      <c r="GT25" s="49">
        <v>0.53100000000000003</v>
      </c>
      <c r="GU25" s="49">
        <v>1.8879999999999999</v>
      </c>
      <c r="GV25" s="50">
        <v>0</v>
      </c>
      <c r="GW25" s="49">
        <v>0</v>
      </c>
      <c r="GX25" s="49">
        <v>0</v>
      </c>
      <c r="GY25" s="49">
        <v>12.544</v>
      </c>
      <c r="GZ25" s="49">
        <v>13.866</v>
      </c>
      <c r="HA25" s="49">
        <v>16.170000000000002</v>
      </c>
      <c r="HB25" s="49">
        <v>0</v>
      </c>
      <c r="HC25" s="49">
        <v>23.425999999999998</v>
      </c>
      <c r="HD25" s="49">
        <v>78</v>
      </c>
      <c r="HE25" s="50">
        <v>0</v>
      </c>
      <c r="HF25" s="50">
        <v>0</v>
      </c>
      <c r="HG25" s="49">
        <v>71.08</v>
      </c>
      <c r="HH25" s="49">
        <v>83.5</v>
      </c>
      <c r="HI25" s="50">
        <v>0</v>
      </c>
      <c r="HJ25" s="50">
        <v>0</v>
      </c>
      <c r="HK25" s="50">
        <v>0</v>
      </c>
      <c r="HL25" s="49">
        <v>62</v>
      </c>
      <c r="HM25" s="49">
        <v>52</v>
      </c>
      <c r="HN25" s="49">
        <v>65</v>
      </c>
      <c r="HO25" s="50">
        <v>59</v>
      </c>
      <c r="HP25" s="50">
        <v>62</v>
      </c>
      <c r="HQ25" s="50">
        <v>60</v>
      </c>
      <c r="HR25" s="49">
        <v>51</v>
      </c>
      <c r="HS25" s="50">
        <v>70</v>
      </c>
      <c r="HT25" s="49">
        <v>-1.4105000000000001</v>
      </c>
      <c r="HU25" s="50">
        <v>0</v>
      </c>
      <c r="HV25" s="50">
        <v>0.42</v>
      </c>
      <c r="HW25" s="49">
        <v>40.5</v>
      </c>
      <c r="HX25" s="50">
        <v>37.46</v>
      </c>
      <c r="HY25" s="50">
        <v>51.13</v>
      </c>
      <c r="HZ25" s="50">
        <v>61.89</v>
      </c>
      <c r="IA25" s="50">
        <v>3.1110000000000002</v>
      </c>
      <c r="IB25" s="50">
        <v>105</v>
      </c>
      <c r="IC25" s="50">
        <v>22.952999999999999</v>
      </c>
      <c r="ID25" s="49">
        <v>-0.39900000000000002</v>
      </c>
      <c r="IE25" s="49">
        <v>-0.159</v>
      </c>
      <c r="IF25" s="49">
        <v>804.4</v>
      </c>
      <c r="IG25" s="50">
        <v>756.8</v>
      </c>
      <c r="IH25" s="49">
        <v>802.6</v>
      </c>
      <c r="II25" s="49">
        <v>767.8</v>
      </c>
      <c r="IJ25" s="49">
        <v>-0.02</v>
      </c>
      <c r="IK25" s="49">
        <v>0</v>
      </c>
      <c r="IL25" s="49">
        <v>64.703999999999994</v>
      </c>
      <c r="IM25" s="49">
        <v>64.703999999999994</v>
      </c>
      <c r="IN25" s="49">
        <v>11.096</v>
      </c>
      <c r="IO25" s="50">
        <v>0.24399999999999999</v>
      </c>
      <c r="IP25" s="49">
        <v>9.48</v>
      </c>
      <c r="IQ25" s="50">
        <v>1.0999999999999999E-2</v>
      </c>
      <c r="IR25" s="49">
        <v>6.0000000000000001E-3</v>
      </c>
      <c r="IS25">
        <v>0.29400000000000004</v>
      </c>
      <c r="IT25">
        <v>0.12100000000000002</v>
      </c>
    </row>
    <row r="26" spans="1:254" x14ac:dyDescent="0.25">
      <c r="B26" s="2" t="s">
        <v>410</v>
      </c>
      <c r="C26" s="2" t="s">
        <v>44</v>
      </c>
      <c r="D26" s="58">
        <v>2.8606481481481482E-3</v>
      </c>
      <c r="E26" s="49">
        <v>247.16300000000001</v>
      </c>
      <c r="F26" s="49">
        <v>326.7</v>
      </c>
      <c r="G26" s="49">
        <v>5.98</v>
      </c>
      <c r="H26" s="49">
        <v>27.3</v>
      </c>
      <c r="I26" s="49">
        <v>0</v>
      </c>
      <c r="J26" s="49">
        <v>13.9</v>
      </c>
      <c r="K26" s="50">
        <v>6</v>
      </c>
      <c r="L26" s="50">
        <v>4</v>
      </c>
      <c r="M26" s="50">
        <v>7</v>
      </c>
      <c r="N26" s="50">
        <v>3</v>
      </c>
      <c r="O26" s="50">
        <v>3</v>
      </c>
      <c r="P26" s="49">
        <v>0.23599999999999999</v>
      </c>
      <c r="Q26" s="49">
        <v>0.72299999999999998</v>
      </c>
      <c r="R26" s="49">
        <v>0.12</v>
      </c>
      <c r="S26" s="49">
        <v>8.8999999999999996E-2</v>
      </c>
      <c r="T26" s="49">
        <v>75.09</v>
      </c>
      <c r="U26" s="49">
        <v>60.125</v>
      </c>
      <c r="V26" s="49">
        <v>260</v>
      </c>
      <c r="W26" s="49">
        <v>301</v>
      </c>
      <c r="X26" s="49">
        <v>215</v>
      </c>
      <c r="Y26" s="49">
        <v>271.66000000000003</v>
      </c>
      <c r="Z26" s="49">
        <v>391.68</v>
      </c>
      <c r="AA26" s="49">
        <v>419.65</v>
      </c>
      <c r="AB26" s="49">
        <v>305.27999999999997</v>
      </c>
      <c r="AC26" s="49">
        <v>375.97</v>
      </c>
      <c r="AD26" s="50">
        <v>1.8169999999999999</v>
      </c>
      <c r="AE26" s="50">
        <v>1.8939999999999999</v>
      </c>
      <c r="AF26" s="50">
        <v>1.8740000000000001</v>
      </c>
      <c r="AG26" s="50">
        <v>1.919</v>
      </c>
      <c r="AH26" s="49">
        <v>82.69</v>
      </c>
      <c r="AI26" s="49">
        <v>72.8</v>
      </c>
      <c r="AJ26" s="50">
        <v>113.91</v>
      </c>
      <c r="AK26" s="50">
        <v>110.59</v>
      </c>
      <c r="AL26" s="49">
        <v>636.36099999999999</v>
      </c>
      <c r="AM26" s="49">
        <v>633.74599999999998</v>
      </c>
      <c r="AN26" s="49">
        <v>780.56299999999999</v>
      </c>
      <c r="AO26" s="49">
        <v>778.40499999999997</v>
      </c>
      <c r="AP26" s="49">
        <v>1.4259999999999999</v>
      </c>
      <c r="AQ26" s="49">
        <v>1.9419999999999999</v>
      </c>
      <c r="AR26" s="49">
        <v>42.170999999999999</v>
      </c>
      <c r="AS26" s="50">
        <v>40.807000000000002</v>
      </c>
      <c r="AT26" s="49">
        <v>83</v>
      </c>
      <c r="AU26" s="50">
        <v>122</v>
      </c>
      <c r="AV26" s="49">
        <v>1.6635</v>
      </c>
      <c r="AW26" s="49">
        <v>4.8334000000000001</v>
      </c>
      <c r="AX26" s="49">
        <v>1014</v>
      </c>
      <c r="AY26" s="49">
        <v>2.39</v>
      </c>
      <c r="AZ26" s="49">
        <v>5.05</v>
      </c>
      <c r="BA26" s="50">
        <v>68.900000000000006</v>
      </c>
      <c r="BB26" s="50">
        <v>69.099999999999994</v>
      </c>
      <c r="BC26" s="49">
        <v>7750</v>
      </c>
      <c r="BD26" s="49">
        <v>89.25</v>
      </c>
      <c r="BE26" s="49">
        <v>17.04</v>
      </c>
      <c r="BF26" s="49">
        <v>12.97</v>
      </c>
      <c r="BG26" s="49">
        <v>30.24</v>
      </c>
      <c r="BH26" s="49">
        <v>26.21</v>
      </c>
      <c r="BI26" s="50">
        <v>66.48</v>
      </c>
      <c r="BJ26" s="49">
        <v>81.293999999999997</v>
      </c>
      <c r="BK26" s="50">
        <v>64.914000000000001</v>
      </c>
      <c r="BL26" s="49">
        <v>76.994</v>
      </c>
      <c r="BM26" s="50">
        <v>80.856999999999999</v>
      </c>
      <c r="BN26" s="49">
        <v>117.83199999999999</v>
      </c>
      <c r="BO26" s="49">
        <v>120.648</v>
      </c>
      <c r="BP26" s="50">
        <v>140.376</v>
      </c>
      <c r="BQ26" s="50">
        <v>144.15199999999999</v>
      </c>
      <c r="BR26" s="50">
        <v>60.170999999999999</v>
      </c>
      <c r="BS26" s="50">
        <v>27.1</v>
      </c>
      <c r="BT26" s="49">
        <v>7393.9979999999996</v>
      </c>
      <c r="BU26" s="49">
        <v>48.463999999999999</v>
      </c>
      <c r="BV26" s="49">
        <v>53.73</v>
      </c>
      <c r="BW26" s="49">
        <v>54.46</v>
      </c>
      <c r="BX26" s="50">
        <v>55.427</v>
      </c>
      <c r="BY26" s="49">
        <v>1.379</v>
      </c>
      <c r="BZ26" s="49">
        <v>3.0510000000000002</v>
      </c>
      <c r="CA26" s="49">
        <v>3.0920000000000001</v>
      </c>
      <c r="CB26" s="49">
        <v>3.3359999999999999</v>
      </c>
      <c r="CC26" s="49">
        <v>0.80100000000000005</v>
      </c>
      <c r="CD26" s="49">
        <v>2.2930000000000001</v>
      </c>
      <c r="CE26" s="49">
        <v>1.2829999999999999</v>
      </c>
      <c r="CF26" s="49">
        <v>2.0859999999999999</v>
      </c>
      <c r="CG26" s="50">
        <v>13.95</v>
      </c>
      <c r="CH26" s="49">
        <v>13.507999999999999</v>
      </c>
      <c r="CI26" s="3"/>
      <c r="CJ26" s="3"/>
      <c r="CK26" s="3"/>
      <c r="CL26" s="49">
        <v>0</v>
      </c>
      <c r="CM26" s="49">
        <v>0.2</v>
      </c>
      <c r="CN26" s="50">
        <v>0</v>
      </c>
      <c r="CO26" s="50">
        <v>0</v>
      </c>
      <c r="CP26" s="49">
        <v>100.038</v>
      </c>
      <c r="CQ26" s="49">
        <v>103.22799999999999</v>
      </c>
      <c r="CR26" s="50">
        <v>130.71799999999999</v>
      </c>
      <c r="CS26" s="50">
        <v>136.501</v>
      </c>
      <c r="CT26" s="50">
        <v>0.52</v>
      </c>
      <c r="CU26" s="49">
        <v>0.79800000000000004</v>
      </c>
      <c r="CV26" s="49">
        <v>0.90100000000000002</v>
      </c>
      <c r="CW26" s="50">
        <v>1.7010000000000001</v>
      </c>
      <c r="CX26" s="50">
        <v>1.7989999999999999</v>
      </c>
      <c r="CY26" s="49">
        <v>0.89900000000000002</v>
      </c>
      <c r="CZ26" s="49">
        <v>1.0009999999999999</v>
      </c>
      <c r="DA26" s="49">
        <v>0.3</v>
      </c>
      <c r="DB26" s="49">
        <v>2.4009999999999998</v>
      </c>
      <c r="DC26" s="50">
        <v>0</v>
      </c>
      <c r="DD26" s="50">
        <v>0</v>
      </c>
      <c r="DE26" s="49">
        <v>0.108</v>
      </c>
      <c r="DF26" s="49">
        <v>2.5000000000000001E-2</v>
      </c>
      <c r="DG26" s="49">
        <v>0.23100000000000001</v>
      </c>
      <c r="DH26" s="49">
        <v>1.2929999999999999</v>
      </c>
      <c r="DI26" s="49">
        <v>0.746</v>
      </c>
      <c r="DJ26" s="49">
        <v>-3.1E-2</v>
      </c>
      <c r="DK26" s="49">
        <v>0.51200000000000001</v>
      </c>
      <c r="DL26" s="50">
        <v>0.40799999999999997</v>
      </c>
      <c r="DM26" s="49">
        <v>0.46200000000000002</v>
      </c>
      <c r="DN26" s="50">
        <v>0.42599999999999999</v>
      </c>
      <c r="DO26" s="49">
        <v>0.26400000000000001</v>
      </c>
      <c r="DP26" s="50">
        <v>66.048000000000002</v>
      </c>
      <c r="DQ26" s="49">
        <v>61.183999999999997</v>
      </c>
      <c r="DR26" s="49">
        <v>54.466000000000001</v>
      </c>
      <c r="DS26" s="49">
        <v>52.421999999999997</v>
      </c>
      <c r="DT26" s="49">
        <v>5.2</v>
      </c>
      <c r="DU26" s="49">
        <v>5.51</v>
      </c>
      <c r="DV26" s="49">
        <v>11.81</v>
      </c>
      <c r="DW26" s="49">
        <v>9.3000000000000007</v>
      </c>
      <c r="DX26" s="49">
        <v>5.61</v>
      </c>
      <c r="DY26" s="49">
        <v>5.66</v>
      </c>
      <c r="DZ26" s="49">
        <v>11.06</v>
      </c>
      <c r="EA26" s="49">
        <v>8.7899999999999991</v>
      </c>
      <c r="EB26" s="50">
        <v>42.86</v>
      </c>
      <c r="EC26" s="50">
        <v>41.51</v>
      </c>
      <c r="ED26" s="50">
        <v>32.22</v>
      </c>
      <c r="EE26" s="49">
        <v>34.79</v>
      </c>
      <c r="EF26" s="49">
        <v>46.33</v>
      </c>
      <c r="EG26" s="49">
        <v>47.31</v>
      </c>
      <c r="EH26" s="49">
        <v>44.9</v>
      </c>
      <c r="EI26" s="49">
        <v>47.12</v>
      </c>
      <c r="EJ26" s="50">
        <v>7.33</v>
      </c>
      <c r="EK26" s="50">
        <v>61.683999999999997</v>
      </c>
      <c r="EL26" s="49">
        <v>2.2000000000000002</v>
      </c>
      <c r="EM26" s="50">
        <v>1.75</v>
      </c>
      <c r="EN26" s="49">
        <v>1.17</v>
      </c>
      <c r="EO26" s="49">
        <v>1.19</v>
      </c>
      <c r="EP26" s="49">
        <v>-105.346</v>
      </c>
      <c r="EQ26" s="49">
        <v>-2.4129999999999998</v>
      </c>
      <c r="ER26" s="49">
        <v>82.41</v>
      </c>
      <c r="ES26" s="49">
        <v>1.42</v>
      </c>
      <c r="ET26" s="49">
        <v>1.5960000000000001</v>
      </c>
      <c r="EU26" s="50">
        <v>1.417</v>
      </c>
      <c r="EV26" s="50">
        <v>7.8680000000000003</v>
      </c>
      <c r="EW26" s="50">
        <v>3.0739999999999998</v>
      </c>
      <c r="EX26" s="49">
        <v>71.25</v>
      </c>
      <c r="EY26" s="49">
        <v>8.1000000000000003E-2</v>
      </c>
      <c r="EZ26" s="50">
        <v>5.3999999999999999E-2</v>
      </c>
      <c r="FA26" s="50">
        <v>0</v>
      </c>
      <c r="FB26" s="50">
        <v>9.2319999999999993</v>
      </c>
      <c r="FC26" s="50">
        <v>74.343999999999994</v>
      </c>
      <c r="FD26" s="50">
        <v>68.003</v>
      </c>
      <c r="FE26" s="50">
        <v>88.382000000000005</v>
      </c>
      <c r="FF26" s="50">
        <v>86.067999999999998</v>
      </c>
      <c r="FG26" s="49">
        <v>0.92400000000000004</v>
      </c>
      <c r="FH26" s="49">
        <v>0.94299999999999995</v>
      </c>
      <c r="FI26" s="49">
        <v>0.997</v>
      </c>
      <c r="FJ26" s="49">
        <v>1</v>
      </c>
      <c r="FK26" s="49">
        <v>0</v>
      </c>
      <c r="FL26" s="49">
        <v>83</v>
      </c>
      <c r="FM26" s="50">
        <v>3.69</v>
      </c>
      <c r="FN26" s="49">
        <v>-0.43</v>
      </c>
      <c r="FO26" s="49">
        <v>4.97</v>
      </c>
      <c r="FP26" s="49">
        <v>2.95</v>
      </c>
      <c r="FQ26" s="49">
        <v>4.55</v>
      </c>
      <c r="FR26" s="50">
        <v>4.95</v>
      </c>
      <c r="FS26" s="49">
        <v>6.5549999999999997</v>
      </c>
      <c r="FT26" s="49">
        <v>1075.5</v>
      </c>
      <c r="FU26" s="50">
        <v>6.32</v>
      </c>
      <c r="FV26" s="50">
        <v>47.88</v>
      </c>
      <c r="FW26" s="50">
        <v>3005</v>
      </c>
      <c r="FX26" s="49">
        <v>161900</v>
      </c>
      <c r="FY26" s="49">
        <v>163100</v>
      </c>
      <c r="FZ26" s="49">
        <v>47.307000000000002</v>
      </c>
      <c r="GA26" s="49">
        <v>47.378999999999998</v>
      </c>
      <c r="GB26" s="50">
        <v>2156.8000000000002</v>
      </c>
      <c r="GC26" s="49">
        <v>2157.8000000000002</v>
      </c>
      <c r="GD26" s="49">
        <v>2270</v>
      </c>
      <c r="GE26" s="49">
        <v>2173.4</v>
      </c>
      <c r="GF26" s="49">
        <v>1373.9844000000001</v>
      </c>
      <c r="GG26" s="50">
        <v>33</v>
      </c>
      <c r="GH26" s="50">
        <v>33.299999999999997</v>
      </c>
      <c r="GI26" s="49">
        <v>47.8</v>
      </c>
      <c r="GJ26" s="49">
        <v>52.7</v>
      </c>
      <c r="GK26" s="49">
        <v>99.5</v>
      </c>
      <c r="GL26" s="49">
        <v>77.2</v>
      </c>
      <c r="GM26" s="50">
        <v>0</v>
      </c>
      <c r="GN26" s="50">
        <v>28.731000000000002</v>
      </c>
      <c r="GO26" s="49">
        <v>105.346</v>
      </c>
      <c r="GP26" s="50">
        <v>0</v>
      </c>
      <c r="GQ26" s="49">
        <v>1.9470000000000001</v>
      </c>
      <c r="GR26" s="50">
        <v>0</v>
      </c>
      <c r="GS26" s="49">
        <v>2.0059999999999998</v>
      </c>
      <c r="GT26" s="50">
        <v>0</v>
      </c>
      <c r="GU26" s="49">
        <v>1.8879999999999999</v>
      </c>
      <c r="GV26" s="50">
        <v>0</v>
      </c>
      <c r="GW26" s="49">
        <v>0</v>
      </c>
      <c r="GX26" s="49">
        <v>0</v>
      </c>
      <c r="GY26" s="50">
        <v>0</v>
      </c>
      <c r="GZ26" s="49">
        <v>13.804</v>
      </c>
      <c r="HA26" s="49">
        <v>15.385999999999999</v>
      </c>
      <c r="HB26" s="50">
        <v>1</v>
      </c>
      <c r="HC26" s="49">
        <v>23.404</v>
      </c>
      <c r="HD26" s="49">
        <v>82</v>
      </c>
      <c r="HE26" s="50">
        <v>0</v>
      </c>
      <c r="HF26" s="50">
        <v>0</v>
      </c>
      <c r="HG26" s="49">
        <v>71.2</v>
      </c>
      <c r="HH26" s="49">
        <v>83.39</v>
      </c>
      <c r="HI26" s="50">
        <v>0</v>
      </c>
      <c r="HJ26" s="50">
        <v>0</v>
      </c>
      <c r="HK26" s="50">
        <v>0</v>
      </c>
      <c r="HL26" s="49">
        <v>61</v>
      </c>
      <c r="HM26" s="49">
        <v>52</v>
      </c>
      <c r="HN26" s="49">
        <v>65</v>
      </c>
      <c r="HO26" s="50">
        <v>59</v>
      </c>
      <c r="HP26" s="50">
        <v>62</v>
      </c>
      <c r="HQ26" s="50">
        <v>60</v>
      </c>
      <c r="HR26" s="49">
        <v>51</v>
      </c>
      <c r="HS26" s="49">
        <v>66</v>
      </c>
      <c r="HT26" s="49">
        <v>-1.3955</v>
      </c>
      <c r="HU26" s="50">
        <v>0</v>
      </c>
      <c r="HV26" s="49">
        <v>0.3</v>
      </c>
      <c r="HW26" s="49">
        <v>40.5</v>
      </c>
      <c r="HX26" s="49">
        <v>43.43</v>
      </c>
      <c r="HY26" s="3"/>
      <c r="HZ26" s="3"/>
      <c r="IA26" s="49">
        <v>2.7970000000000002</v>
      </c>
      <c r="IB26" s="49">
        <v>104</v>
      </c>
      <c r="IC26" s="49">
        <v>22.678999999999998</v>
      </c>
      <c r="ID26" s="49">
        <v>-0.249</v>
      </c>
      <c r="IE26" s="49">
        <v>-0.11</v>
      </c>
      <c r="IF26" s="50">
        <v>805.2</v>
      </c>
      <c r="IG26" s="49">
        <v>740.2</v>
      </c>
      <c r="IH26" s="50">
        <v>815.9</v>
      </c>
      <c r="II26" s="49">
        <v>753.8</v>
      </c>
      <c r="IJ26" s="49">
        <v>2E-3</v>
      </c>
      <c r="IK26" s="49">
        <v>0</v>
      </c>
      <c r="IL26" s="49">
        <v>78.893000000000001</v>
      </c>
      <c r="IM26" s="49">
        <v>78.893000000000001</v>
      </c>
      <c r="IN26" s="49">
        <v>13.632</v>
      </c>
      <c r="IO26" s="49">
        <v>0.17299999999999999</v>
      </c>
      <c r="IP26" s="49">
        <v>9.4700000000000006</v>
      </c>
      <c r="IQ26" s="49">
        <v>0</v>
      </c>
      <c r="IR26" s="49">
        <v>0</v>
      </c>
      <c r="IS26">
        <v>0.29400000000000004</v>
      </c>
      <c r="IT26">
        <v>0.12100000000000002</v>
      </c>
    </row>
    <row r="27" spans="1:254" x14ac:dyDescent="0.25">
      <c r="A27" s="6" t="s">
        <v>49</v>
      </c>
      <c r="IS27">
        <v>0.29400000000000004</v>
      </c>
      <c r="IT27">
        <v>0.12100000000000002</v>
      </c>
    </row>
    <row r="28" spans="1:254" x14ac:dyDescent="0.25">
      <c r="IS28">
        <v>0.29400000000000004</v>
      </c>
      <c r="IT28">
        <v>0.12100000000000002</v>
      </c>
    </row>
    <row r="29" spans="1:254" x14ac:dyDescent="0.25">
      <c r="IS29">
        <v>0.29400000000000004</v>
      </c>
      <c r="IT29">
        <v>0.12100000000000002</v>
      </c>
    </row>
    <row r="30" spans="1:254" x14ac:dyDescent="0.25">
      <c r="IS30">
        <v>0.29400000000000004</v>
      </c>
      <c r="IT30">
        <v>0.12100000000000002</v>
      </c>
    </row>
    <row r="31" spans="1:254" x14ac:dyDescent="0.25">
      <c r="IS31">
        <v>0.31900000000000006</v>
      </c>
      <c r="IT31">
        <v>0.18500000000000005</v>
      </c>
    </row>
    <row r="32" spans="1:254" x14ac:dyDescent="0.25">
      <c r="IS32">
        <v>0.31900000000000006</v>
      </c>
      <c r="IT32">
        <v>0.18500000000000005</v>
      </c>
    </row>
    <row r="33" spans="253:254" x14ac:dyDescent="0.25">
      <c r="IS33">
        <v>0.33000000000000007</v>
      </c>
      <c r="IT33">
        <v>0.19500000000000006</v>
      </c>
    </row>
    <row r="34" spans="253:254" x14ac:dyDescent="0.25">
      <c r="IS34">
        <v>0.34100000000000008</v>
      </c>
      <c r="IT34">
        <v>0.20300000000000007</v>
      </c>
    </row>
    <row r="35" spans="253:254" x14ac:dyDescent="0.25">
      <c r="IS35">
        <v>0.35100000000000009</v>
      </c>
      <c r="IT35">
        <v>0.21100000000000008</v>
      </c>
    </row>
    <row r="36" spans="253:254" x14ac:dyDescent="0.25">
      <c r="IS36">
        <v>0.3640000000000001</v>
      </c>
      <c r="IT36">
        <v>0.21900000000000008</v>
      </c>
    </row>
    <row r="37" spans="253:254" x14ac:dyDescent="0.25">
      <c r="IS37">
        <v>0.3640000000000001</v>
      </c>
      <c r="IT37">
        <v>0.21900000000000008</v>
      </c>
    </row>
    <row r="38" spans="253:254" x14ac:dyDescent="0.25">
      <c r="IS38">
        <v>0.3640000000000001</v>
      </c>
      <c r="IT38">
        <v>0.21900000000000008</v>
      </c>
    </row>
    <row r="39" spans="253:254" x14ac:dyDescent="0.25">
      <c r="IS39">
        <v>0.3640000000000001</v>
      </c>
      <c r="IT39">
        <v>0.21900000000000008</v>
      </c>
    </row>
    <row r="40" spans="253:254" x14ac:dyDescent="0.25">
      <c r="IS40">
        <v>0.3640000000000001</v>
      </c>
      <c r="IT40">
        <v>0.21900000000000008</v>
      </c>
    </row>
    <row r="41" spans="253:254" x14ac:dyDescent="0.25">
      <c r="IS41">
        <v>0.3640000000000001</v>
      </c>
      <c r="IT41">
        <v>0.21900000000000008</v>
      </c>
    </row>
    <row r="42" spans="253:254" x14ac:dyDescent="0.25">
      <c r="IS42">
        <v>0.37600000000000011</v>
      </c>
      <c r="IT42">
        <v>0.22800000000000009</v>
      </c>
    </row>
    <row r="43" spans="253:254" x14ac:dyDescent="0.25">
      <c r="IS43">
        <v>0.38700000000000012</v>
      </c>
      <c r="IT43">
        <v>0.24500000000000011</v>
      </c>
    </row>
    <row r="44" spans="253:254" x14ac:dyDescent="0.25">
      <c r="IS44">
        <v>0.38700000000000012</v>
      </c>
      <c r="IT44">
        <v>0.24500000000000011</v>
      </c>
    </row>
    <row r="45" spans="253:254" x14ac:dyDescent="0.25">
      <c r="IS45">
        <v>0.38700000000000012</v>
      </c>
      <c r="IT45">
        <v>0.24500000000000011</v>
      </c>
    </row>
    <row r="46" spans="253:254" x14ac:dyDescent="0.25">
      <c r="IS46">
        <v>0.38700000000000012</v>
      </c>
      <c r="IT46">
        <v>0.24500000000000011</v>
      </c>
    </row>
    <row r="47" spans="253:254" x14ac:dyDescent="0.25">
      <c r="IS47">
        <v>0.38700000000000012</v>
      </c>
      <c r="IT47">
        <v>0.24500000000000011</v>
      </c>
    </row>
    <row r="48" spans="253:254" x14ac:dyDescent="0.25">
      <c r="IS48">
        <v>0.38700000000000012</v>
      </c>
      <c r="IT48">
        <v>0.24500000000000011</v>
      </c>
    </row>
    <row r="49" spans="1:254" x14ac:dyDescent="0.25">
      <c r="IS49">
        <v>0.39100000000000013</v>
      </c>
      <c r="IT49">
        <v>0.25000000000000011</v>
      </c>
    </row>
    <row r="50" spans="1:254" x14ac:dyDescent="0.25">
      <c r="IS50">
        <v>0.40800000000000014</v>
      </c>
      <c r="IT50">
        <v>0.25700000000000012</v>
      </c>
    </row>
    <row r="51" spans="1:254" x14ac:dyDescent="0.25">
      <c r="IS51">
        <v>0.42000000000000015</v>
      </c>
      <c r="IT51">
        <v>0.25700000000000012</v>
      </c>
    </row>
    <row r="52" spans="1:254" x14ac:dyDescent="0.25">
      <c r="IS52">
        <v>0.42000000000000015</v>
      </c>
      <c r="IT52">
        <v>0.25700000000000012</v>
      </c>
    </row>
    <row r="53" spans="1:254" x14ac:dyDescent="0.25">
      <c r="IS53">
        <v>0.42000000000000015</v>
      </c>
      <c r="IT53">
        <v>0.25700000000000012</v>
      </c>
    </row>
    <row r="54" spans="1:254" x14ac:dyDescent="0.25">
      <c r="IS54">
        <v>0.42000000000000015</v>
      </c>
      <c r="IT54">
        <v>0.25700000000000012</v>
      </c>
    </row>
    <row r="55" spans="1:254" x14ac:dyDescent="0.25">
      <c r="IS55">
        <v>0.42000000000000015</v>
      </c>
      <c r="IT55">
        <v>0.25700000000000012</v>
      </c>
    </row>
    <row r="56" spans="1:254" x14ac:dyDescent="0.25">
      <c r="IS56">
        <v>0.42000000000000015</v>
      </c>
      <c r="IT56">
        <v>0.25700000000000012</v>
      </c>
    </row>
    <row r="57" spans="1:254" x14ac:dyDescent="0.25">
      <c r="A57" s="6" t="s">
        <v>50</v>
      </c>
    </row>
    <row r="89" spans="1:1" x14ac:dyDescent="0.25">
      <c r="A89" s="6" t="s">
        <v>51</v>
      </c>
    </row>
    <row r="118" spans="1:1" x14ac:dyDescent="0.25">
      <c r="A118" s="6" t="s">
        <v>52</v>
      </c>
    </row>
    <row r="147" spans="1:1" x14ac:dyDescent="0.25">
      <c r="A147" s="6" t="s">
        <v>58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835E5-CDC9-404B-98AE-57FBF63AF014}">
  <sheetPr codeName="Sheet1"/>
  <dimension ref="B1:IR12"/>
  <sheetViews>
    <sheetView tabSelected="1" topLeftCell="A4" zoomScale="70" zoomScaleNormal="70" workbookViewId="0">
      <selection activeCell="BD5" sqref="BD5"/>
    </sheetView>
  </sheetViews>
  <sheetFormatPr defaultRowHeight="15" x14ac:dyDescent="0.25"/>
  <cols>
    <col min="3" max="3" width="5.85546875" bestFit="1" customWidth="1"/>
    <col min="4" max="4" width="10.7109375" bestFit="1" customWidth="1"/>
  </cols>
  <sheetData>
    <row r="1" spans="2:252" x14ac:dyDescent="0.25">
      <c r="B1" t="s">
        <v>359</v>
      </c>
      <c r="C1" t="s">
        <v>412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399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403</v>
      </c>
      <c r="IQ5" s="1" t="s">
        <v>404</v>
      </c>
      <c r="IR5" s="1" t="s">
        <v>405</v>
      </c>
    </row>
    <row r="6" spans="2:252" ht="15" customHeight="1" x14ac:dyDescent="0.25">
      <c r="B6" s="63" t="s">
        <v>414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5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5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5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5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5"/>
    </row>
    <row r="7" spans="2:252" x14ac:dyDescent="0.25">
      <c r="B7" s="2" t="s">
        <v>410</v>
      </c>
      <c r="C7" s="2" t="s">
        <v>41</v>
      </c>
      <c r="D7" s="58">
        <v>1.5064814814814816E-2</v>
      </c>
      <c r="E7" s="50">
        <v>1301.5999999999999</v>
      </c>
      <c r="F7" s="49">
        <v>324.63</v>
      </c>
      <c r="G7" s="49">
        <v>5.53</v>
      </c>
      <c r="H7" s="50">
        <v>27.8</v>
      </c>
      <c r="I7" s="50">
        <v>0</v>
      </c>
      <c r="J7" s="50">
        <v>1064.3</v>
      </c>
      <c r="K7" s="50">
        <v>6</v>
      </c>
      <c r="L7" s="50">
        <v>4</v>
      </c>
      <c r="M7" s="50">
        <v>6</v>
      </c>
      <c r="N7" s="50">
        <v>3</v>
      </c>
      <c r="O7" s="50">
        <v>3</v>
      </c>
      <c r="P7" s="49">
        <v>0.67800000000000005</v>
      </c>
      <c r="Q7" s="49">
        <v>1.0649999999999999</v>
      </c>
      <c r="R7" s="49">
        <v>0.61399999999999999</v>
      </c>
      <c r="S7" s="50">
        <v>0.45800000000000002</v>
      </c>
      <c r="T7" s="49">
        <v>60.56</v>
      </c>
      <c r="U7" s="49">
        <v>61.243000000000002</v>
      </c>
      <c r="V7" s="50">
        <v>60</v>
      </c>
      <c r="W7" s="50">
        <v>40</v>
      </c>
      <c r="X7" s="50">
        <v>80</v>
      </c>
      <c r="Y7" s="50">
        <v>80</v>
      </c>
      <c r="Z7" s="49">
        <v>126.88</v>
      </c>
      <c r="AA7" s="49">
        <v>108.21</v>
      </c>
      <c r="AB7" s="49">
        <v>105.39</v>
      </c>
      <c r="AC7" s="49">
        <v>111.77</v>
      </c>
      <c r="AD7" s="49">
        <v>1.542</v>
      </c>
      <c r="AE7" s="49">
        <v>1.165</v>
      </c>
      <c r="AF7" s="49">
        <v>1.577</v>
      </c>
      <c r="AG7" s="49">
        <v>1.6</v>
      </c>
      <c r="AH7" s="49">
        <v>-15.46</v>
      </c>
      <c r="AI7" s="49">
        <v>31.72</v>
      </c>
      <c r="AJ7" s="49">
        <v>-17.03</v>
      </c>
      <c r="AK7" s="49">
        <v>-19.12</v>
      </c>
      <c r="AL7" s="49">
        <v>552.471</v>
      </c>
      <c r="AM7" s="49">
        <v>590.82500000000005</v>
      </c>
      <c r="AN7" s="49">
        <v>701.22</v>
      </c>
      <c r="AO7" s="49">
        <v>748.75599999999997</v>
      </c>
      <c r="AP7" s="50">
        <v>1.4830000000000001</v>
      </c>
      <c r="AQ7" s="50">
        <v>1.9990000000000001</v>
      </c>
      <c r="AR7" s="49">
        <v>41.505000000000003</v>
      </c>
      <c r="AS7" s="49">
        <v>36.948</v>
      </c>
      <c r="AT7" s="49">
        <v>82</v>
      </c>
      <c r="AU7" s="49">
        <v>88</v>
      </c>
      <c r="AV7" s="49">
        <v>2.0575000000000001</v>
      </c>
      <c r="AW7" s="50">
        <v>5.5628000000000002</v>
      </c>
      <c r="AX7" s="50">
        <v>1023.9</v>
      </c>
      <c r="AY7" s="49">
        <v>2.37</v>
      </c>
      <c r="AZ7" s="50">
        <v>0.23</v>
      </c>
      <c r="BA7" s="50">
        <v>66.207999999999998</v>
      </c>
      <c r="BB7" s="50">
        <v>66.5</v>
      </c>
      <c r="BC7" s="49">
        <v>7786</v>
      </c>
      <c r="BD7" s="49">
        <v>89.25</v>
      </c>
      <c r="BE7" s="49">
        <v>15.955</v>
      </c>
      <c r="BF7" s="49">
        <v>13.71</v>
      </c>
      <c r="BG7" s="49">
        <v>28.69</v>
      </c>
      <c r="BH7" s="49">
        <v>27.55</v>
      </c>
      <c r="BI7" s="49">
        <v>64.66</v>
      </c>
      <c r="BJ7" s="49">
        <v>80.679000000000002</v>
      </c>
      <c r="BK7" s="49">
        <v>62.966000000000001</v>
      </c>
      <c r="BL7" s="50">
        <v>78.025000000000006</v>
      </c>
      <c r="BM7" s="49">
        <v>78.210999999999999</v>
      </c>
      <c r="BN7" s="49">
        <v>81.831999999999994</v>
      </c>
      <c r="BO7" s="49">
        <v>78.456000000000003</v>
      </c>
      <c r="BP7" s="49">
        <v>91.703999999999994</v>
      </c>
      <c r="BQ7" s="49">
        <v>90.584000000000003</v>
      </c>
      <c r="BR7" s="49">
        <v>57.31</v>
      </c>
      <c r="BS7" s="49">
        <v>26</v>
      </c>
      <c r="BT7" s="49">
        <v>6804.4669999999996</v>
      </c>
      <c r="BU7" s="50">
        <v>51.375</v>
      </c>
      <c r="BV7" s="49">
        <v>52.164000000000001</v>
      </c>
      <c r="BW7" s="49">
        <v>54.872</v>
      </c>
      <c r="BX7" s="49">
        <v>54.857999999999997</v>
      </c>
      <c r="BY7" s="49">
        <v>1.5189999999999999</v>
      </c>
      <c r="BZ7" s="49">
        <v>2.2549999999999999</v>
      </c>
      <c r="CA7" s="49">
        <v>2.8620000000000001</v>
      </c>
      <c r="CB7" s="49">
        <v>3.0990000000000002</v>
      </c>
      <c r="CC7" s="49">
        <v>1.319</v>
      </c>
      <c r="CD7" s="49">
        <v>2.5409999999999999</v>
      </c>
      <c r="CE7" s="49">
        <v>1.4119999999999999</v>
      </c>
      <c r="CF7" s="50">
        <v>2.2400000000000002</v>
      </c>
      <c r="CG7" s="49">
        <v>13.036</v>
      </c>
      <c r="CH7" s="50">
        <v>9.7460000000000004</v>
      </c>
      <c r="CI7" s="49">
        <v>4.5979999999999999</v>
      </c>
      <c r="CJ7" s="49">
        <v>-930411.30900000001</v>
      </c>
      <c r="CK7" s="49">
        <v>1.0649999999999999</v>
      </c>
      <c r="CL7" s="49">
        <v>0.2</v>
      </c>
      <c r="CM7" s="49">
        <v>0.2</v>
      </c>
      <c r="CN7" s="49">
        <v>0</v>
      </c>
      <c r="CO7" s="49">
        <v>0</v>
      </c>
      <c r="CP7" s="49">
        <v>36.561</v>
      </c>
      <c r="CQ7" s="49">
        <v>35.218000000000004</v>
      </c>
      <c r="CR7" s="49">
        <v>37.722999999999999</v>
      </c>
      <c r="CS7" s="49">
        <v>35.43</v>
      </c>
      <c r="CT7" s="49">
        <v>0.24299999999999999</v>
      </c>
      <c r="CU7" s="50">
        <v>1.3</v>
      </c>
      <c r="CV7" s="49">
        <v>0.9</v>
      </c>
      <c r="CW7" s="49">
        <v>1.3939999999999999</v>
      </c>
      <c r="CX7" s="49">
        <v>1.502</v>
      </c>
      <c r="CY7" s="49">
        <v>0.7</v>
      </c>
      <c r="CZ7" s="50">
        <v>1.296</v>
      </c>
      <c r="DA7" s="49">
        <v>0.7</v>
      </c>
      <c r="DB7" s="49">
        <v>1.4970000000000001</v>
      </c>
      <c r="DC7" s="50">
        <v>0</v>
      </c>
      <c r="DD7" s="50">
        <v>0</v>
      </c>
      <c r="DE7" s="49">
        <v>5.8999999999999997E-2</v>
      </c>
      <c r="DF7" s="49">
        <v>3.9E-2</v>
      </c>
      <c r="DG7" s="49">
        <v>0.193</v>
      </c>
      <c r="DH7" s="49">
        <v>1.252</v>
      </c>
      <c r="DI7" s="49">
        <v>1.2430000000000001</v>
      </c>
      <c r="DJ7" s="50">
        <v>0.17799999999999999</v>
      </c>
      <c r="DK7" s="50">
        <v>0.81299999999999994</v>
      </c>
      <c r="DL7" s="49">
        <v>0.41599999999999998</v>
      </c>
      <c r="DM7" s="49">
        <v>0.49199999999999999</v>
      </c>
      <c r="DN7" s="50">
        <v>0.49199999999999999</v>
      </c>
      <c r="DO7" s="49">
        <v>0.35699999999999998</v>
      </c>
      <c r="DP7" s="49">
        <v>64.88</v>
      </c>
      <c r="DQ7" s="49">
        <v>60.57</v>
      </c>
      <c r="DR7" s="49">
        <v>53.213999999999999</v>
      </c>
      <c r="DS7" s="49">
        <v>48.881</v>
      </c>
      <c r="DT7" s="49">
        <v>0.76</v>
      </c>
      <c r="DU7" s="49">
        <v>0.77</v>
      </c>
      <c r="DV7" s="49">
        <v>1.59</v>
      </c>
      <c r="DW7" s="49">
        <v>1.33</v>
      </c>
      <c r="DX7" s="49">
        <v>0.79</v>
      </c>
      <c r="DY7" s="49">
        <v>0.75</v>
      </c>
      <c r="DZ7" s="49">
        <v>1.45</v>
      </c>
      <c r="EA7" s="49">
        <v>1.23</v>
      </c>
      <c r="EB7" s="49">
        <v>9.67</v>
      </c>
      <c r="EC7" s="49">
        <v>9.41</v>
      </c>
      <c r="ED7" s="49">
        <v>7.8</v>
      </c>
      <c r="EE7" s="49">
        <v>7.65</v>
      </c>
      <c r="EF7" s="50">
        <v>88.78</v>
      </c>
      <c r="EG7" s="50">
        <v>89.07</v>
      </c>
      <c r="EH7" s="50">
        <v>89.17</v>
      </c>
      <c r="EI7" s="50">
        <v>89.79</v>
      </c>
      <c r="EJ7" s="49">
        <v>4.633</v>
      </c>
      <c r="EK7" s="49">
        <v>49.033999999999999</v>
      </c>
      <c r="EL7" s="50">
        <v>2.2999999999999998</v>
      </c>
      <c r="EM7" s="50">
        <v>1.65</v>
      </c>
      <c r="EN7" s="49">
        <v>1.08</v>
      </c>
      <c r="EO7" s="49">
        <v>1.08</v>
      </c>
      <c r="EP7" s="49">
        <v>-97.462000000000003</v>
      </c>
      <c r="EQ7" s="49">
        <v>-0.25700000000000001</v>
      </c>
      <c r="ER7" s="49">
        <v>101.098</v>
      </c>
      <c r="ES7" s="49">
        <v>0.48799999999999999</v>
      </c>
      <c r="ET7" s="49">
        <v>0.50700000000000001</v>
      </c>
      <c r="EU7" s="49">
        <v>0.47599999999999998</v>
      </c>
      <c r="EV7" s="50">
        <v>8.1470000000000002</v>
      </c>
      <c r="EW7" s="49">
        <v>2.87</v>
      </c>
      <c r="EX7" s="49">
        <v>-258.95999999999998</v>
      </c>
      <c r="EY7" s="49">
        <v>0</v>
      </c>
      <c r="EZ7" s="50">
        <v>182.06700000000001</v>
      </c>
      <c r="FA7" s="50">
        <v>0</v>
      </c>
      <c r="FB7" s="49">
        <v>5.0410000000000004</v>
      </c>
      <c r="FC7" s="49">
        <v>15.601000000000001</v>
      </c>
      <c r="FD7" s="49">
        <v>57.045000000000002</v>
      </c>
      <c r="FE7" s="49">
        <v>12.644</v>
      </c>
      <c r="FF7" s="49">
        <v>11.505000000000001</v>
      </c>
      <c r="FG7" s="50">
        <v>1.0109999999999999</v>
      </c>
      <c r="FH7" s="50">
        <v>1.01</v>
      </c>
      <c r="FI7" s="49">
        <v>1.002</v>
      </c>
      <c r="FJ7" s="49">
        <v>1.0029999999999999</v>
      </c>
      <c r="FK7" s="50">
        <v>0.20200000000000001</v>
      </c>
      <c r="FL7" s="49">
        <v>82</v>
      </c>
      <c r="FM7" s="49">
        <v>3.69</v>
      </c>
      <c r="FN7" s="50">
        <v>1.91</v>
      </c>
      <c r="FO7" s="50">
        <v>0.23</v>
      </c>
      <c r="FP7" s="50">
        <v>0.6</v>
      </c>
      <c r="FQ7" s="50">
        <v>1.55</v>
      </c>
      <c r="FR7" s="49">
        <v>5.2</v>
      </c>
      <c r="FS7" s="50">
        <v>6.7424999999999997</v>
      </c>
      <c r="FT7" s="49">
        <v>1069.2</v>
      </c>
      <c r="FU7" s="49">
        <v>5.88</v>
      </c>
      <c r="FV7" s="49">
        <v>5.53</v>
      </c>
      <c r="FW7" s="50">
        <v>16383.5</v>
      </c>
      <c r="FX7" s="49">
        <v>165200</v>
      </c>
      <c r="FY7" s="49">
        <v>165600</v>
      </c>
      <c r="FZ7" s="49">
        <v>48.514000000000003</v>
      </c>
      <c r="GA7" s="49">
        <v>47.607999999999997</v>
      </c>
      <c r="GB7" s="49">
        <v>2166.3000000000002</v>
      </c>
      <c r="GC7" s="49">
        <v>2167.3000000000002</v>
      </c>
      <c r="GD7" s="49">
        <v>2205.6999999999998</v>
      </c>
      <c r="GE7" s="49">
        <v>2204.5</v>
      </c>
      <c r="GF7" s="50">
        <v>1457.375</v>
      </c>
      <c r="GG7" s="50">
        <v>40</v>
      </c>
      <c r="GH7" s="50">
        <v>40.299999999999997</v>
      </c>
      <c r="GI7" s="50">
        <v>77.2</v>
      </c>
      <c r="GJ7" s="50">
        <v>77.5</v>
      </c>
      <c r="GK7" s="50">
        <v>63</v>
      </c>
      <c r="GL7" s="49">
        <v>80</v>
      </c>
      <c r="GM7" s="50">
        <v>0</v>
      </c>
      <c r="GN7" s="49">
        <v>24.276</v>
      </c>
      <c r="GO7" s="49">
        <v>101.098</v>
      </c>
      <c r="GP7" s="50">
        <v>0</v>
      </c>
      <c r="GQ7" s="50">
        <v>5.31</v>
      </c>
      <c r="GR7" s="50">
        <v>0</v>
      </c>
      <c r="GS7" s="50">
        <v>5.782</v>
      </c>
      <c r="GT7" s="50">
        <v>0</v>
      </c>
      <c r="GU7" s="50">
        <v>5.4870000000000001</v>
      </c>
      <c r="GV7" s="50">
        <v>0</v>
      </c>
      <c r="GW7" s="49">
        <v>4.0609999999999999</v>
      </c>
      <c r="GX7" s="50">
        <v>24.99</v>
      </c>
      <c r="GY7" s="50">
        <v>0</v>
      </c>
      <c r="GZ7" s="50">
        <v>0</v>
      </c>
      <c r="HA7" s="50">
        <v>0</v>
      </c>
      <c r="HB7" s="50">
        <v>1</v>
      </c>
      <c r="HC7" s="49">
        <v>22.268999999999998</v>
      </c>
      <c r="HD7" s="49">
        <v>78</v>
      </c>
      <c r="HE7" s="50">
        <v>0</v>
      </c>
      <c r="HF7" s="50">
        <v>0</v>
      </c>
      <c r="HG7" s="50">
        <v>87.95</v>
      </c>
      <c r="HH7" s="49">
        <v>82</v>
      </c>
      <c r="HI7" s="50">
        <v>0</v>
      </c>
      <c r="HJ7" s="50">
        <v>0</v>
      </c>
      <c r="HK7" s="50">
        <v>0</v>
      </c>
      <c r="HL7" s="49">
        <v>50</v>
      </c>
      <c r="HM7" s="50">
        <v>51</v>
      </c>
      <c r="HN7" s="49">
        <v>55</v>
      </c>
      <c r="HO7" s="49">
        <v>49</v>
      </c>
      <c r="HP7" s="49">
        <v>51</v>
      </c>
      <c r="HQ7" s="49">
        <v>50</v>
      </c>
      <c r="HR7" s="49">
        <v>47</v>
      </c>
      <c r="HS7" s="49">
        <v>62</v>
      </c>
      <c r="HT7" s="49">
        <v>-1.3140000000000001</v>
      </c>
      <c r="HU7" s="50">
        <v>0</v>
      </c>
      <c r="HV7" s="49">
        <v>0.216</v>
      </c>
      <c r="HW7" s="50">
        <v>35.64</v>
      </c>
      <c r="HX7" s="50">
        <v>44.28</v>
      </c>
      <c r="HY7" s="3"/>
      <c r="HZ7" s="3"/>
      <c r="IA7" s="49">
        <v>2.7010000000000001</v>
      </c>
      <c r="IB7" s="49">
        <v>77</v>
      </c>
      <c r="IC7" s="49">
        <v>6.867</v>
      </c>
      <c r="ID7" s="50">
        <v>-5.8999999999999997E-2</v>
      </c>
      <c r="IE7" s="50">
        <v>-3.6999999999999998E-2</v>
      </c>
      <c r="IF7" s="50">
        <v>837.2</v>
      </c>
      <c r="IG7" s="49">
        <v>236</v>
      </c>
      <c r="IH7" s="50">
        <v>819.7</v>
      </c>
      <c r="II7" s="49">
        <v>243.8</v>
      </c>
      <c r="IJ7" s="49">
        <v>7.0000000000000001E-3</v>
      </c>
      <c r="IK7" s="49">
        <v>-0.01</v>
      </c>
      <c r="IL7" s="50">
        <v>1149.307</v>
      </c>
      <c r="IM7" s="50">
        <v>1149.1079999999999</v>
      </c>
      <c r="IN7" s="49">
        <v>8.1180000000000003</v>
      </c>
      <c r="IO7" s="49">
        <v>9.2999999999999999E-2</v>
      </c>
      <c r="IP7" s="50">
        <v>10.119999999999999</v>
      </c>
      <c r="IQ7" s="49">
        <v>0.01</v>
      </c>
      <c r="IR7" s="49">
        <v>-0.01</v>
      </c>
    </row>
    <row r="8" spans="2:252" x14ac:dyDescent="0.25">
      <c r="B8" s="2" t="s">
        <v>410</v>
      </c>
      <c r="C8" s="2" t="s">
        <v>42</v>
      </c>
      <c r="D8" s="58">
        <v>3.5822916666666664E-3</v>
      </c>
      <c r="E8" s="49">
        <v>309.52</v>
      </c>
      <c r="F8" s="49">
        <v>330.3</v>
      </c>
      <c r="G8" s="49">
        <v>5.0199999999999996</v>
      </c>
      <c r="H8" s="49">
        <v>26.7</v>
      </c>
      <c r="I8" s="50">
        <v>0</v>
      </c>
      <c r="J8" s="49">
        <v>9.9</v>
      </c>
      <c r="K8" s="50">
        <v>6</v>
      </c>
      <c r="L8" s="50">
        <v>4</v>
      </c>
      <c r="M8" s="50">
        <v>6</v>
      </c>
      <c r="N8" s="50">
        <v>3</v>
      </c>
      <c r="O8" s="50">
        <v>3</v>
      </c>
      <c r="P8" s="50">
        <v>0.75700000000000001</v>
      </c>
      <c r="Q8" s="49">
        <v>1.08</v>
      </c>
      <c r="R8" s="50">
        <v>0.80600000000000005</v>
      </c>
      <c r="S8" s="3"/>
      <c r="T8" s="49">
        <v>75.22</v>
      </c>
      <c r="U8" s="49">
        <v>61.012</v>
      </c>
      <c r="V8" s="49">
        <v>132.5</v>
      </c>
      <c r="W8" s="49">
        <v>140</v>
      </c>
      <c r="X8" s="49">
        <v>130</v>
      </c>
      <c r="Y8" s="49">
        <v>147.5</v>
      </c>
      <c r="Z8" s="49">
        <v>302.83</v>
      </c>
      <c r="AA8" s="49">
        <v>324.01</v>
      </c>
      <c r="AB8" s="49">
        <v>239.85</v>
      </c>
      <c r="AC8" s="49">
        <v>291.89999999999998</v>
      </c>
      <c r="AD8" s="49">
        <v>1.74</v>
      </c>
      <c r="AE8" s="49">
        <v>1.782</v>
      </c>
      <c r="AF8" s="49">
        <v>1.7190000000000001</v>
      </c>
      <c r="AG8" s="49">
        <v>1.772</v>
      </c>
      <c r="AH8" s="49">
        <v>73.98</v>
      </c>
      <c r="AI8" s="49">
        <v>69.91</v>
      </c>
      <c r="AJ8" s="49">
        <v>98.88</v>
      </c>
      <c r="AK8" s="49">
        <v>90.92</v>
      </c>
      <c r="AL8" s="50">
        <v>685.97400000000005</v>
      </c>
      <c r="AM8" s="49">
        <v>678.48900000000003</v>
      </c>
      <c r="AN8" s="49">
        <v>834.00900000000001</v>
      </c>
      <c r="AO8" s="49">
        <v>756.93600000000004</v>
      </c>
      <c r="AP8" s="49">
        <v>1.478</v>
      </c>
      <c r="AQ8" s="49">
        <v>1.982</v>
      </c>
      <c r="AR8" s="49">
        <v>39.679000000000002</v>
      </c>
      <c r="AS8" s="49">
        <v>36.271999999999998</v>
      </c>
      <c r="AT8" s="49">
        <v>82</v>
      </c>
      <c r="AU8" s="49">
        <v>102</v>
      </c>
      <c r="AV8" s="49">
        <v>2.5710000000000002</v>
      </c>
      <c r="AW8" s="49">
        <v>4.9010999999999996</v>
      </c>
      <c r="AX8" s="49">
        <v>1012.9</v>
      </c>
      <c r="AY8" s="49">
        <v>2.29</v>
      </c>
      <c r="AZ8" s="49">
        <v>5.68</v>
      </c>
      <c r="BA8" s="49">
        <v>70.798000000000002</v>
      </c>
      <c r="BB8" s="49">
        <v>71.915999999999997</v>
      </c>
      <c r="BC8" s="49">
        <v>7723</v>
      </c>
      <c r="BD8" s="49">
        <v>89.5</v>
      </c>
      <c r="BE8" s="50">
        <v>16.84</v>
      </c>
      <c r="BF8" s="49">
        <v>11.775</v>
      </c>
      <c r="BG8" s="49">
        <v>29.39</v>
      </c>
      <c r="BH8" s="49">
        <v>27.91</v>
      </c>
      <c r="BI8" s="3"/>
      <c r="BJ8" s="3"/>
      <c r="BK8" s="3"/>
      <c r="BL8" s="3"/>
      <c r="BM8" s="3"/>
      <c r="BN8" s="49">
        <v>110.488</v>
      </c>
      <c r="BO8" s="49">
        <v>106.80800000000001</v>
      </c>
      <c r="BP8" s="49">
        <v>126.80800000000001</v>
      </c>
      <c r="BQ8" s="49">
        <v>129.17599999999999</v>
      </c>
      <c r="BR8" s="3"/>
      <c r="BS8" s="49">
        <v>26.4</v>
      </c>
      <c r="BT8" s="49">
        <v>7246.7640000000001</v>
      </c>
      <c r="BU8" s="49">
        <v>42.058999999999997</v>
      </c>
      <c r="BV8" s="50">
        <v>53.497</v>
      </c>
      <c r="BW8" s="49">
        <v>53.832999999999998</v>
      </c>
      <c r="BX8" s="49">
        <v>53.945999999999998</v>
      </c>
      <c r="BY8" s="49">
        <v>1.387</v>
      </c>
      <c r="BZ8" s="49">
        <v>2.7010000000000001</v>
      </c>
      <c r="CA8" s="49">
        <v>3.3639999999999999</v>
      </c>
      <c r="CB8" s="49">
        <v>3.26</v>
      </c>
      <c r="CC8" s="50">
        <v>1.474</v>
      </c>
      <c r="CD8" s="50">
        <v>2.6120000000000001</v>
      </c>
      <c r="CE8" s="49">
        <v>1.33</v>
      </c>
      <c r="CF8" s="49">
        <v>2.2120000000000002</v>
      </c>
      <c r="CG8" s="49">
        <v>13.962</v>
      </c>
      <c r="CH8" s="49">
        <v>13.56</v>
      </c>
      <c r="CI8" s="50">
        <v>5.016</v>
      </c>
      <c r="CJ8" s="49">
        <v>-116.81699999999999</v>
      </c>
      <c r="CK8" s="49">
        <v>0.89200000000000002</v>
      </c>
      <c r="CL8" s="49">
        <v>0.2</v>
      </c>
      <c r="CM8" s="49">
        <v>0.5</v>
      </c>
      <c r="CN8" s="49">
        <v>0</v>
      </c>
      <c r="CO8" s="49">
        <v>0</v>
      </c>
      <c r="CP8" s="49">
        <v>94.4</v>
      </c>
      <c r="CQ8" s="49">
        <v>92.433999999999997</v>
      </c>
      <c r="CR8" s="49">
        <v>107.482</v>
      </c>
      <c r="CS8" s="49">
        <v>110.176</v>
      </c>
      <c r="CT8" s="49">
        <v>0.185</v>
      </c>
      <c r="CU8" s="49">
        <v>0.29799999999999999</v>
      </c>
      <c r="CV8" s="49">
        <v>0.80200000000000005</v>
      </c>
      <c r="CW8" s="49">
        <v>0.6</v>
      </c>
      <c r="CX8" s="50">
        <v>1.6020000000000001</v>
      </c>
      <c r="CY8" s="49">
        <v>0.1</v>
      </c>
      <c r="CZ8" s="49">
        <v>0.79900000000000004</v>
      </c>
      <c r="DA8" s="49">
        <v>0.60299999999999998</v>
      </c>
      <c r="DB8" s="49">
        <v>0.9</v>
      </c>
      <c r="DC8" s="50">
        <v>0</v>
      </c>
      <c r="DD8" s="50">
        <v>0</v>
      </c>
      <c r="DE8" s="49">
        <v>0.151</v>
      </c>
      <c r="DF8" s="49">
        <v>0.03</v>
      </c>
      <c r="DG8" s="49">
        <v>0.35299999999999998</v>
      </c>
      <c r="DH8" s="49">
        <v>1.7450000000000001</v>
      </c>
      <c r="DI8" s="49">
        <v>1.0629999999999999</v>
      </c>
      <c r="DJ8" s="49">
        <v>0.14599999999999999</v>
      </c>
      <c r="DK8" s="49">
        <v>0.65200000000000002</v>
      </c>
      <c r="DL8" s="49">
        <v>0.41399999999999998</v>
      </c>
      <c r="DM8" s="49">
        <v>0.46800000000000003</v>
      </c>
      <c r="DN8" s="49">
        <v>0.41199999999999998</v>
      </c>
      <c r="DO8" s="49">
        <v>0.28100000000000003</v>
      </c>
      <c r="DP8" s="49">
        <v>62.795999999999999</v>
      </c>
      <c r="DQ8" s="49">
        <v>59.116</v>
      </c>
      <c r="DR8" s="50">
        <v>54.393000000000001</v>
      </c>
      <c r="DS8" s="49">
        <v>50.670999999999999</v>
      </c>
      <c r="DT8" s="49">
        <v>3.1</v>
      </c>
      <c r="DU8" s="49">
        <v>2.98</v>
      </c>
      <c r="DV8" s="49">
        <v>6.35</v>
      </c>
      <c r="DW8" s="49">
        <v>4.74</v>
      </c>
      <c r="DX8" s="49">
        <v>3.22</v>
      </c>
      <c r="DY8" s="49">
        <v>3.23</v>
      </c>
      <c r="DZ8" s="49">
        <v>6.09</v>
      </c>
      <c r="EA8" s="49">
        <v>4.66</v>
      </c>
      <c r="EB8" s="49">
        <v>42.97</v>
      </c>
      <c r="EC8" s="50">
        <v>42.78</v>
      </c>
      <c r="ED8" s="49">
        <v>34.92</v>
      </c>
      <c r="EE8" s="50">
        <v>35.869999999999997</v>
      </c>
      <c r="EF8" s="49">
        <v>50.71</v>
      </c>
      <c r="EG8" s="49">
        <v>51.01</v>
      </c>
      <c r="EH8" s="49">
        <v>52.64</v>
      </c>
      <c r="EI8" s="49">
        <v>54.73</v>
      </c>
      <c r="EJ8" s="49">
        <v>6.2919999999999998</v>
      </c>
      <c r="EK8" s="49">
        <v>59.865000000000002</v>
      </c>
      <c r="EL8" s="49">
        <v>2.1</v>
      </c>
      <c r="EM8" s="49">
        <v>1.75</v>
      </c>
      <c r="EN8" s="49">
        <v>1.5</v>
      </c>
      <c r="EO8" s="49">
        <v>1.5</v>
      </c>
      <c r="EP8" s="49">
        <v>-103.886</v>
      </c>
      <c r="EQ8" s="49">
        <v>-1.63</v>
      </c>
      <c r="ER8" s="49">
        <v>103.434</v>
      </c>
      <c r="ES8" s="49">
        <v>1.5820000000000001</v>
      </c>
      <c r="ET8" s="49">
        <v>1.649</v>
      </c>
      <c r="EU8" s="49">
        <v>1.5489999999999999</v>
      </c>
      <c r="EV8" s="49">
        <v>8.0969999999999995</v>
      </c>
      <c r="EW8" s="50">
        <v>2.9529999999999998</v>
      </c>
      <c r="EX8" s="49">
        <v>58.04</v>
      </c>
      <c r="EY8" s="49">
        <v>0</v>
      </c>
      <c r="EZ8" s="49">
        <v>14.718999999999999</v>
      </c>
      <c r="FA8" s="50">
        <v>0</v>
      </c>
      <c r="FB8" s="49">
        <v>9.2799999999999994</v>
      </c>
      <c r="FC8" s="49">
        <v>70.492000000000004</v>
      </c>
      <c r="FD8" s="50">
        <v>66.242000000000004</v>
      </c>
      <c r="FE8" s="49">
        <v>76.894999999999996</v>
      </c>
      <c r="FF8" s="49">
        <v>73.474999999999994</v>
      </c>
      <c r="FG8" s="49">
        <v>0.91600000000000004</v>
      </c>
      <c r="FH8" s="49">
        <v>0.91600000000000004</v>
      </c>
      <c r="FI8" s="49">
        <v>0.995</v>
      </c>
      <c r="FJ8" s="49">
        <v>0.998</v>
      </c>
      <c r="FK8" s="49">
        <v>0</v>
      </c>
      <c r="FL8" s="50">
        <v>83</v>
      </c>
      <c r="FM8" s="49">
        <v>3.74</v>
      </c>
      <c r="FN8" s="49">
        <v>2.21</v>
      </c>
      <c r="FO8" s="49">
        <v>5.5</v>
      </c>
      <c r="FP8" s="49">
        <v>4.2</v>
      </c>
      <c r="FQ8" s="49">
        <v>4.45</v>
      </c>
      <c r="FR8" s="49">
        <v>5.15</v>
      </c>
      <c r="FS8" s="49">
        <v>6.7060000000000004</v>
      </c>
      <c r="FT8" s="49">
        <v>1073.9000000000001</v>
      </c>
      <c r="FU8" s="49">
        <v>6.97</v>
      </c>
      <c r="FV8" s="49">
        <v>10.55</v>
      </c>
      <c r="FW8" s="49">
        <v>3158</v>
      </c>
      <c r="FX8" s="49">
        <v>166900</v>
      </c>
      <c r="FY8" s="49">
        <v>167000</v>
      </c>
      <c r="FZ8" s="49">
        <v>47.436</v>
      </c>
      <c r="GA8" s="49">
        <v>47.216000000000001</v>
      </c>
      <c r="GB8" s="50">
        <v>2233</v>
      </c>
      <c r="GC8" s="49">
        <v>2157.8000000000002</v>
      </c>
      <c r="GD8" s="49">
        <v>2233</v>
      </c>
      <c r="GE8" s="49">
        <v>2209.1</v>
      </c>
      <c r="GF8" s="49">
        <v>1385.9375</v>
      </c>
      <c r="GG8" s="49">
        <v>28</v>
      </c>
      <c r="GH8" s="49">
        <v>27.5</v>
      </c>
      <c r="GI8" s="49">
        <v>50.1</v>
      </c>
      <c r="GJ8" s="49">
        <v>54.3</v>
      </c>
      <c r="GK8" s="49">
        <v>87</v>
      </c>
      <c r="GL8" s="49">
        <v>75.2</v>
      </c>
      <c r="GM8" s="50">
        <v>0</v>
      </c>
      <c r="GN8" s="49">
        <v>26.259</v>
      </c>
      <c r="GO8" s="49">
        <v>103.886</v>
      </c>
      <c r="GP8" s="49">
        <v>1.0620000000000001</v>
      </c>
      <c r="GQ8" s="49">
        <v>1.9470000000000001</v>
      </c>
      <c r="GR8" s="49">
        <v>1.298</v>
      </c>
      <c r="GS8" s="49">
        <v>2.0059999999999998</v>
      </c>
      <c r="GT8" s="49">
        <v>0.82599999999999996</v>
      </c>
      <c r="GU8" s="49">
        <v>1.829</v>
      </c>
      <c r="GV8" s="49">
        <v>12.837999999999999</v>
      </c>
      <c r="GW8" s="49">
        <v>14.1</v>
      </c>
      <c r="GX8" s="49">
        <v>15.68</v>
      </c>
      <c r="GY8" s="50">
        <v>0</v>
      </c>
      <c r="GZ8" s="50">
        <v>0</v>
      </c>
      <c r="HA8" s="50">
        <v>0</v>
      </c>
      <c r="HB8" s="49">
        <v>0</v>
      </c>
      <c r="HC8" s="50">
        <v>25.294</v>
      </c>
      <c r="HD8" s="50">
        <v>82</v>
      </c>
      <c r="HE8" s="50">
        <v>0</v>
      </c>
      <c r="HF8" s="50">
        <v>0</v>
      </c>
      <c r="HG8" s="49">
        <v>72.75</v>
      </c>
      <c r="HH8" s="49">
        <v>81.66</v>
      </c>
      <c r="HI8" s="50">
        <v>0</v>
      </c>
      <c r="HJ8" s="50">
        <v>0</v>
      </c>
      <c r="HK8" s="50">
        <v>0</v>
      </c>
      <c r="HL8" s="49">
        <v>56</v>
      </c>
      <c r="HM8" s="49">
        <v>50</v>
      </c>
      <c r="HN8" s="49">
        <v>58</v>
      </c>
      <c r="HO8" s="49">
        <v>51</v>
      </c>
      <c r="HP8" s="49">
        <v>54</v>
      </c>
      <c r="HQ8" s="49">
        <v>52</v>
      </c>
      <c r="HR8" s="49">
        <v>47</v>
      </c>
      <c r="HS8" s="49">
        <v>62</v>
      </c>
      <c r="HT8" s="49">
        <v>-1.33</v>
      </c>
      <c r="HU8" s="50">
        <v>0</v>
      </c>
      <c r="HV8" s="49">
        <v>0.91900000000000004</v>
      </c>
      <c r="HW8" s="50">
        <v>35.64</v>
      </c>
      <c r="HX8" s="50">
        <v>44.28</v>
      </c>
      <c r="HY8" s="3"/>
      <c r="HZ8" s="3"/>
      <c r="IA8" s="49">
        <v>2.9169999999999998</v>
      </c>
      <c r="IB8" s="49">
        <v>100</v>
      </c>
      <c r="IC8" s="49">
        <v>19.879000000000001</v>
      </c>
      <c r="ID8" s="49">
        <v>-0.19700000000000001</v>
      </c>
      <c r="IE8" s="49">
        <v>-0.111</v>
      </c>
      <c r="IF8" s="49">
        <v>801.7</v>
      </c>
      <c r="IG8" s="49">
        <v>662.4</v>
      </c>
      <c r="IH8" s="49">
        <v>811.3</v>
      </c>
      <c r="II8" s="49">
        <v>675.8</v>
      </c>
      <c r="IJ8" s="49">
        <v>8.9999999999999993E-3</v>
      </c>
      <c r="IK8" s="49">
        <v>-4.0000000000000001E-3</v>
      </c>
      <c r="IL8" s="49">
        <v>201.03</v>
      </c>
      <c r="IM8" s="49">
        <v>201.03</v>
      </c>
      <c r="IN8" s="49">
        <v>13.439</v>
      </c>
      <c r="IO8" s="49">
        <v>0.10100000000000001</v>
      </c>
      <c r="IP8" s="49">
        <v>9.01</v>
      </c>
      <c r="IQ8" s="50">
        <v>1.2E-2</v>
      </c>
      <c r="IR8" s="50">
        <v>1.4E-2</v>
      </c>
    </row>
    <row r="9" spans="2:252" x14ac:dyDescent="0.25">
      <c r="B9" s="2" t="s">
        <v>410</v>
      </c>
      <c r="C9" s="2" t="s">
        <v>43</v>
      </c>
      <c r="D9" s="58">
        <v>4.410300925925926E-3</v>
      </c>
      <c r="E9" s="49">
        <v>380.99</v>
      </c>
      <c r="F9" s="49">
        <v>320.94</v>
      </c>
      <c r="G9" s="49">
        <v>4.4000000000000004</v>
      </c>
      <c r="H9" s="49">
        <v>26.3</v>
      </c>
      <c r="I9" s="50">
        <v>0</v>
      </c>
      <c r="J9" s="49">
        <v>15.1</v>
      </c>
      <c r="K9" s="50">
        <v>6</v>
      </c>
      <c r="L9" s="50">
        <v>4</v>
      </c>
      <c r="M9" s="50">
        <v>6</v>
      </c>
      <c r="N9" s="50">
        <v>3</v>
      </c>
      <c r="O9" s="50">
        <v>3</v>
      </c>
      <c r="P9" s="49">
        <v>0.59799999999999998</v>
      </c>
      <c r="Q9" s="49">
        <v>1.012</v>
      </c>
      <c r="R9" s="49">
        <v>0.57199999999999995</v>
      </c>
      <c r="S9" s="49">
        <v>0.45300000000000001</v>
      </c>
      <c r="T9" s="49">
        <v>58.52</v>
      </c>
      <c r="U9" s="50">
        <v>61.536999999999999</v>
      </c>
      <c r="V9" s="50">
        <v>60</v>
      </c>
      <c r="W9" s="50">
        <v>40</v>
      </c>
      <c r="X9" s="50">
        <v>80</v>
      </c>
      <c r="Y9" s="50">
        <v>80</v>
      </c>
      <c r="Z9" s="49">
        <v>148.72999999999999</v>
      </c>
      <c r="AA9" s="49">
        <v>150.22</v>
      </c>
      <c r="AB9" s="49">
        <v>113.01</v>
      </c>
      <c r="AC9" s="49">
        <v>125.68</v>
      </c>
      <c r="AD9" s="49">
        <v>1.5629999999999999</v>
      </c>
      <c r="AE9" s="49">
        <v>1.6120000000000001</v>
      </c>
      <c r="AF9" s="49">
        <v>1.5069999999999999</v>
      </c>
      <c r="AG9" s="49">
        <v>1.5760000000000001</v>
      </c>
      <c r="AH9" s="49">
        <v>48.57</v>
      </c>
      <c r="AI9" s="49">
        <v>46.02</v>
      </c>
      <c r="AJ9" s="49">
        <v>62.37</v>
      </c>
      <c r="AK9" s="49">
        <v>58.64</v>
      </c>
      <c r="AL9" s="49">
        <v>596.68700000000001</v>
      </c>
      <c r="AM9" s="49">
        <v>617.22799999999995</v>
      </c>
      <c r="AN9" s="49">
        <v>734.07600000000002</v>
      </c>
      <c r="AO9" s="49">
        <v>728.18700000000001</v>
      </c>
      <c r="AP9" s="49">
        <v>1.462</v>
      </c>
      <c r="AQ9" s="49">
        <v>1.9550000000000001</v>
      </c>
      <c r="AR9" s="49">
        <v>37.927999999999997</v>
      </c>
      <c r="AS9" s="49">
        <v>37.988</v>
      </c>
      <c r="AT9" s="49">
        <v>82</v>
      </c>
      <c r="AU9" s="49">
        <v>93</v>
      </c>
      <c r="AV9" s="49">
        <v>2.0910000000000002</v>
      </c>
      <c r="AW9" s="49">
        <v>5.2525000000000004</v>
      </c>
      <c r="AX9" s="49">
        <v>1006</v>
      </c>
      <c r="AY9" s="49">
        <v>2.29</v>
      </c>
      <c r="AZ9" s="49">
        <v>5.76</v>
      </c>
      <c r="BA9" s="49">
        <v>72.623000000000005</v>
      </c>
      <c r="BB9" s="49">
        <v>72.608999999999995</v>
      </c>
      <c r="BC9" s="50">
        <v>7815</v>
      </c>
      <c r="BD9" s="49">
        <v>89</v>
      </c>
      <c r="BE9" s="49">
        <v>14.04</v>
      </c>
      <c r="BF9" s="49">
        <v>12.43</v>
      </c>
      <c r="BG9" s="49">
        <v>26.91</v>
      </c>
      <c r="BH9" s="49">
        <v>26.09</v>
      </c>
      <c r="BI9" s="3"/>
      <c r="BJ9" s="3"/>
      <c r="BK9" s="3"/>
      <c r="BL9" s="3"/>
      <c r="BM9" s="3"/>
      <c r="BN9" s="49">
        <v>99.975999999999999</v>
      </c>
      <c r="BO9" s="49">
        <v>96.488</v>
      </c>
      <c r="BP9" s="49">
        <v>114.68</v>
      </c>
      <c r="BQ9" s="49">
        <v>116.92</v>
      </c>
      <c r="BR9" s="3"/>
      <c r="BS9" s="49">
        <v>25.9</v>
      </c>
      <c r="BT9" s="50">
        <v>7488.7359999999999</v>
      </c>
      <c r="BU9" s="49">
        <v>38.898000000000003</v>
      </c>
      <c r="BV9" s="49">
        <v>52.081000000000003</v>
      </c>
      <c r="BW9" s="49">
        <v>54.99</v>
      </c>
      <c r="BX9" s="50">
        <v>55.988999999999997</v>
      </c>
      <c r="BY9" s="50">
        <v>1.5549999999999999</v>
      </c>
      <c r="BZ9" s="49">
        <v>2.1030000000000002</v>
      </c>
      <c r="CA9" s="49">
        <v>3.4079999999999999</v>
      </c>
      <c r="CB9" s="49">
        <v>3.0870000000000002</v>
      </c>
      <c r="CC9" s="49">
        <v>1.1579999999999999</v>
      </c>
      <c r="CD9" s="49">
        <v>2.3610000000000002</v>
      </c>
      <c r="CE9" s="49">
        <v>1.51</v>
      </c>
      <c r="CF9" s="49">
        <v>2.1779999999999999</v>
      </c>
      <c r="CG9" s="50">
        <v>14.005000000000001</v>
      </c>
      <c r="CH9" s="49">
        <v>13.826000000000001</v>
      </c>
      <c r="CI9" s="49">
        <v>4.391</v>
      </c>
      <c r="CJ9" s="49">
        <v>-92.903999999999996</v>
      </c>
      <c r="CK9" s="49">
        <v>1.31</v>
      </c>
      <c r="CL9" s="49">
        <v>0</v>
      </c>
      <c r="CM9" s="49">
        <v>0.3</v>
      </c>
      <c r="CN9" s="50">
        <v>0.1</v>
      </c>
      <c r="CO9" s="50">
        <v>0.1</v>
      </c>
      <c r="CP9" s="49">
        <v>68.572999999999993</v>
      </c>
      <c r="CQ9" s="49">
        <v>67.778000000000006</v>
      </c>
      <c r="CR9" s="49">
        <v>78.307000000000002</v>
      </c>
      <c r="CS9" s="49">
        <v>79.286000000000001</v>
      </c>
      <c r="CT9" s="49">
        <v>0.25600000000000001</v>
      </c>
      <c r="CU9" s="49">
        <v>0.90100000000000002</v>
      </c>
      <c r="CV9" s="49">
        <v>0.79900000000000004</v>
      </c>
      <c r="CW9" s="50">
        <v>1.5980000000000001</v>
      </c>
      <c r="CX9" s="49">
        <v>1.403</v>
      </c>
      <c r="CY9" s="50">
        <v>1.097</v>
      </c>
      <c r="CZ9" s="49">
        <v>0.8</v>
      </c>
      <c r="DA9" s="50">
        <v>1.1000000000000001</v>
      </c>
      <c r="DB9" s="50">
        <v>1.6970000000000001</v>
      </c>
      <c r="DC9" s="50">
        <v>0</v>
      </c>
      <c r="DD9" s="50">
        <v>0</v>
      </c>
      <c r="DE9" s="49">
        <v>0.16700000000000001</v>
      </c>
      <c r="DF9" s="50">
        <v>8.6999999999999994E-2</v>
      </c>
      <c r="DG9" s="50">
        <v>1.256</v>
      </c>
      <c r="DH9" s="50">
        <v>3.5819999999999999</v>
      </c>
      <c r="DI9" s="49">
        <v>0.97</v>
      </c>
      <c r="DJ9" s="49">
        <v>0.13300000000000001</v>
      </c>
      <c r="DK9" s="49">
        <v>0.70399999999999996</v>
      </c>
      <c r="DL9" s="49">
        <v>0.42</v>
      </c>
      <c r="DM9" s="50">
        <v>0.52900000000000003</v>
      </c>
      <c r="DN9" s="49">
        <v>0.35699999999999998</v>
      </c>
      <c r="DO9" s="50">
        <v>0.40400000000000003</v>
      </c>
      <c r="DP9" s="49">
        <v>60.284999999999997</v>
      </c>
      <c r="DQ9" s="49">
        <v>59.768999999999998</v>
      </c>
      <c r="DR9" s="49">
        <v>49.289000000000001</v>
      </c>
      <c r="DS9" s="49">
        <v>49.445999999999998</v>
      </c>
      <c r="DT9" s="49">
        <v>1.8</v>
      </c>
      <c r="DU9" s="49">
        <v>1.91</v>
      </c>
      <c r="DV9" s="49">
        <v>4.37</v>
      </c>
      <c r="DW9" s="49">
        <v>3.58</v>
      </c>
      <c r="DX9" s="49">
        <v>2.0499999999999998</v>
      </c>
      <c r="DY9" s="49">
        <v>1.96</v>
      </c>
      <c r="DZ9" s="49">
        <v>4</v>
      </c>
      <c r="EA9" s="49">
        <v>3.32</v>
      </c>
      <c r="EB9" s="49">
        <v>42.69</v>
      </c>
      <c r="EC9" s="49">
        <v>42.03</v>
      </c>
      <c r="ED9" s="50">
        <v>35.409999999999997</v>
      </c>
      <c r="EE9" s="49">
        <v>33.81</v>
      </c>
      <c r="EF9" s="49">
        <v>53.46</v>
      </c>
      <c r="EG9" s="49">
        <v>54.11</v>
      </c>
      <c r="EH9" s="49">
        <v>56.22</v>
      </c>
      <c r="EI9" s="49">
        <v>59.28</v>
      </c>
      <c r="EJ9" s="49">
        <v>6.2729999999999997</v>
      </c>
      <c r="EK9" s="49">
        <v>59.247999999999998</v>
      </c>
      <c r="EL9" s="49">
        <v>2.1</v>
      </c>
      <c r="EM9" s="49">
        <v>1.7</v>
      </c>
      <c r="EN9" s="50">
        <v>1.58</v>
      </c>
      <c r="EO9" s="50">
        <v>1.58</v>
      </c>
      <c r="EP9" s="49">
        <v>-86.95</v>
      </c>
      <c r="EQ9" s="50">
        <v>-6.8000000000000005E-2</v>
      </c>
      <c r="ER9" s="50">
        <v>123.29</v>
      </c>
      <c r="ES9" s="50">
        <v>1.605</v>
      </c>
      <c r="ET9" s="50">
        <v>1.6859999999999999</v>
      </c>
      <c r="EU9" s="50">
        <v>1.5660000000000001</v>
      </c>
      <c r="EV9" s="49">
        <v>8.0289999999999999</v>
      </c>
      <c r="EW9" s="49">
        <v>2.5099999999999998</v>
      </c>
      <c r="EX9" s="49">
        <v>45.22</v>
      </c>
      <c r="EY9" s="50">
        <v>1.0409999999999999</v>
      </c>
      <c r="EZ9" s="49">
        <v>96.682000000000002</v>
      </c>
      <c r="FA9" s="50">
        <v>0</v>
      </c>
      <c r="FB9" s="50">
        <v>9.4169999999999998</v>
      </c>
      <c r="FC9" s="49">
        <v>59.021999999999998</v>
      </c>
      <c r="FD9" s="49">
        <v>54.848999999999997</v>
      </c>
      <c r="FE9" s="49">
        <v>63.283000000000001</v>
      </c>
      <c r="FF9" s="49">
        <v>61.44</v>
      </c>
      <c r="FG9" s="49">
        <v>0.92400000000000004</v>
      </c>
      <c r="FH9" s="49">
        <v>0.92400000000000004</v>
      </c>
      <c r="FI9" s="50">
        <v>1.0029999999999999</v>
      </c>
      <c r="FJ9" s="50">
        <v>1.0049999999999999</v>
      </c>
      <c r="FK9" s="49">
        <v>0</v>
      </c>
      <c r="FL9" s="49">
        <v>82</v>
      </c>
      <c r="FM9" s="49">
        <v>3.75</v>
      </c>
      <c r="FN9" s="49">
        <v>2.25</v>
      </c>
      <c r="FO9" s="49">
        <v>5.35</v>
      </c>
      <c r="FP9" s="3"/>
      <c r="FQ9" s="49">
        <v>4.9000000000000004</v>
      </c>
      <c r="FR9" s="49">
        <v>5.25</v>
      </c>
      <c r="FS9" s="49">
        <v>6.47</v>
      </c>
      <c r="FT9" s="50">
        <v>1077.3</v>
      </c>
      <c r="FU9" s="49">
        <v>7.11</v>
      </c>
      <c r="FV9" s="49">
        <v>14.95</v>
      </c>
      <c r="FW9" s="49">
        <v>3067.5</v>
      </c>
      <c r="FX9" s="50">
        <v>172800</v>
      </c>
      <c r="FY9" s="50">
        <v>175000</v>
      </c>
      <c r="FZ9" s="50">
        <v>54.341000000000001</v>
      </c>
      <c r="GA9" s="50">
        <v>53.667999999999999</v>
      </c>
      <c r="GB9" s="49">
        <v>2170.9</v>
      </c>
      <c r="GC9" s="49">
        <v>2171.8000000000002</v>
      </c>
      <c r="GD9" s="49">
        <v>2246.5</v>
      </c>
      <c r="GE9" s="50">
        <v>2247.8000000000002</v>
      </c>
      <c r="GF9" s="49">
        <v>1347.3438000000001</v>
      </c>
      <c r="GG9" s="49">
        <v>28</v>
      </c>
      <c r="GH9" s="49">
        <v>28.1</v>
      </c>
      <c r="GI9" s="49">
        <v>49.4</v>
      </c>
      <c r="GJ9" s="49">
        <v>56.1</v>
      </c>
      <c r="GK9" s="49">
        <v>90</v>
      </c>
      <c r="GL9" s="49">
        <v>94.6</v>
      </c>
      <c r="GM9" s="50">
        <v>0</v>
      </c>
      <c r="GN9" s="49">
        <v>26.568000000000001</v>
      </c>
      <c r="GO9" s="50">
        <v>123.29</v>
      </c>
      <c r="GP9" s="49">
        <v>0.94399999999999995</v>
      </c>
      <c r="GQ9" s="49">
        <v>1.9470000000000001</v>
      </c>
      <c r="GR9" s="49">
        <v>1.357</v>
      </c>
      <c r="GS9" s="49">
        <v>2.0059999999999998</v>
      </c>
      <c r="GT9" s="49">
        <v>0.82599999999999996</v>
      </c>
      <c r="GU9" s="49">
        <v>1.8879999999999999</v>
      </c>
      <c r="GV9" s="49">
        <v>12.837999999999999</v>
      </c>
      <c r="GW9" s="50">
        <v>14.137</v>
      </c>
      <c r="GX9" s="49">
        <v>16.170000000000002</v>
      </c>
      <c r="GY9" s="50">
        <v>0</v>
      </c>
      <c r="GZ9" s="50">
        <v>0</v>
      </c>
      <c r="HA9" s="50">
        <v>0</v>
      </c>
      <c r="HB9" s="49">
        <v>0</v>
      </c>
      <c r="HC9" s="49">
        <v>22.62</v>
      </c>
      <c r="HD9" s="50">
        <v>82</v>
      </c>
      <c r="HE9" s="50">
        <v>0</v>
      </c>
      <c r="HF9" s="50">
        <v>0</v>
      </c>
      <c r="HG9" s="49">
        <v>72.47</v>
      </c>
      <c r="HH9" s="49">
        <v>81.81</v>
      </c>
      <c r="HI9" s="50">
        <v>0</v>
      </c>
      <c r="HJ9" s="50">
        <v>0</v>
      </c>
      <c r="HK9" s="50">
        <v>0</v>
      </c>
      <c r="HL9" s="49">
        <v>56</v>
      </c>
      <c r="HM9" s="49">
        <v>50</v>
      </c>
      <c r="HN9" s="49">
        <v>60</v>
      </c>
      <c r="HO9" s="49">
        <v>53</v>
      </c>
      <c r="HP9" s="49">
        <v>56</v>
      </c>
      <c r="HQ9" s="49">
        <v>54</v>
      </c>
      <c r="HR9" s="49">
        <v>48</v>
      </c>
      <c r="HS9" s="50">
        <v>70</v>
      </c>
      <c r="HT9" s="49">
        <v>-1.3405</v>
      </c>
      <c r="HU9" s="50">
        <v>0</v>
      </c>
      <c r="HV9" s="49">
        <v>0.79600000000000004</v>
      </c>
      <c r="HW9" s="49">
        <v>38.01</v>
      </c>
      <c r="HX9" s="49">
        <v>48.21</v>
      </c>
      <c r="HY9" s="3"/>
      <c r="HZ9" s="3"/>
      <c r="IA9" s="49">
        <v>2.46</v>
      </c>
      <c r="IB9" s="49">
        <v>94</v>
      </c>
      <c r="IC9" s="49">
        <v>14.771000000000001</v>
      </c>
      <c r="ID9" s="49">
        <v>-0.11799999999999999</v>
      </c>
      <c r="IE9" s="49">
        <v>-5.6000000000000001E-2</v>
      </c>
      <c r="IF9" s="49">
        <v>789</v>
      </c>
      <c r="IG9" s="49">
        <v>604.5</v>
      </c>
      <c r="IH9" s="49">
        <v>799</v>
      </c>
      <c r="II9" s="49">
        <v>617.6</v>
      </c>
      <c r="IJ9" s="49">
        <v>7.0000000000000007E-2</v>
      </c>
      <c r="IK9" s="49">
        <v>0.04</v>
      </c>
      <c r="IL9" s="49">
        <v>299.63799999999998</v>
      </c>
      <c r="IM9" s="49">
        <v>299.63799999999998</v>
      </c>
      <c r="IN9" s="49">
        <v>13.276999999999999</v>
      </c>
      <c r="IO9" s="49">
        <v>0.106</v>
      </c>
      <c r="IP9" s="49">
        <v>9.32</v>
      </c>
      <c r="IQ9" s="49">
        <v>1E-3</v>
      </c>
      <c r="IR9" s="49">
        <v>-6.0000000000000001E-3</v>
      </c>
    </row>
    <row r="10" spans="2:252" x14ac:dyDescent="0.25">
      <c r="B10" s="2" t="s">
        <v>410</v>
      </c>
      <c r="C10" s="2" t="s">
        <v>44</v>
      </c>
      <c r="D10" s="58">
        <v>2.4335648148148151E-3</v>
      </c>
      <c r="E10" s="49">
        <v>210.3</v>
      </c>
      <c r="F10" s="49">
        <v>330.88</v>
      </c>
      <c r="G10" s="49">
        <v>5.98</v>
      </c>
      <c r="H10" s="49">
        <v>26.9</v>
      </c>
      <c r="I10" s="50">
        <v>0</v>
      </c>
      <c r="J10" s="49">
        <v>16.2</v>
      </c>
      <c r="K10" s="50">
        <v>6</v>
      </c>
      <c r="L10" s="50">
        <v>4</v>
      </c>
      <c r="M10" s="50">
        <v>6</v>
      </c>
      <c r="N10" s="50">
        <v>3</v>
      </c>
      <c r="O10" s="50">
        <v>3</v>
      </c>
      <c r="P10" s="49">
        <v>0.64900000000000002</v>
      </c>
      <c r="Q10" s="50">
        <v>1.355</v>
      </c>
      <c r="R10" s="49">
        <v>0.66400000000000003</v>
      </c>
      <c r="S10" s="49">
        <v>0.33400000000000002</v>
      </c>
      <c r="T10" s="49">
        <v>71.42</v>
      </c>
      <c r="U10" s="49">
        <v>60.997</v>
      </c>
      <c r="V10" s="49">
        <v>218.34</v>
      </c>
      <c r="W10" s="49">
        <v>235</v>
      </c>
      <c r="X10" s="49">
        <v>127.5</v>
      </c>
      <c r="Y10" s="49">
        <v>175</v>
      </c>
      <c r="Z10" s="49">
        <v>372.94</v>
      </c>
      <c r="AA10" s="49">
        <v>389.56</v>
      </c>
      <c r="AB10" s="49">
        <v>263.47000000000003</v>
      </c>
      <c r="AC10" s="49">
        <v>332.78</v>
      </c>
      <c r="AD10" s="49">
        <v>1.6819999999999999</v>
      </c>
      <c r="AE10" s="49">
        <v>1.7210000000000001</v>
      </c>
      <c r="AF10" s="49">
        <v>1.6679999999999999</v>
      </c>
      <c r="AG10" s="49">
        <v>1.7150000000000001</v>
      </c>
      <c r="AH10" s="49">
        <v>72.849999999999994</v>
      </c>
      <c r="AI10" s="49">
        <v>68.599999999999994</v>
      </c>
      <c r="AJ10" s="49">
        <v>96.09</v>
      </c>
      <c r="AK10" s="49">
        <v>87.64</v>
      </c>
      <c r="AL10" s="49">
        <v>679.89300000000003</v>
      </c>
      <c r="AM10" s="49">
        <v>688.548</v>
      </c>
      <c r="AN10" s="50">
        <v>852.16700000000003</v>
      </c>
      <c r="AO10" s="50">
        <v>821.88800000000003</v>
      </c>
      <c r="AP10" s="49">
        <v>1.466</v>
      </c>
      <c r="AQ10" s="49">
        <v>1.9510000000000001</v>
      </c>
      <c r="AR10" s="49">
        <v>41.203000000000003</v>
      </c>
      <c r="AS10" s="49">
        <v>38.51</v>
      </c>
      <c r="AT10" s="50">
        <v>83</v>
      </c>
      <c r="AU10" s="49">
        <v>109</v>
      </c>
      <c r="AV10" s="49">
        <v>1.7805</v>
      </c>
      <c r="AW10" s="49">
        <v>5.13</v>
      </c>
      <c r="AX10" s="49">
        <v>1013.2</v>
      </c>
      <c r="AY10" s="50">
        <v>2.4</v>
      </c>
      <c r="AZ10" s="49">
        <v>5.6</v>
      </c>
      <c r="BA10" s="49">
        <v>132.15</v>
      </c>
      <c r="BB10" s="49">
        <v>133.667</v>
      </c>
      <c r="BC10" s="49">
        <v>7684</v>
      </c>
      <c r="BD10" s="49">
        <v>89.5</v>
      </c>
      <c r="BE10" s="49">
        <v>16.75</v>
      </c>
      <c r="BF10" s="49">
        <v>15.025</v>
      </c>
      <c r="BG10" s="49">
        <v>29.33</v>
      </c>
      <c r="BH10" s="49">
        <v>27.61</v>
      </c>
      <c r="BI10" s="3"/>
      <c r="BJ10" s="3"/>
      <c r="BK10" s="3"/>
      <c r="BL10" s="3"/>
      <c r="BM10" s="3"/>
      <c r="BN10" s="49">
        <v>94.52</v>
      </c>
      <c r="BO10" s="49">
        <v>92.52</v>
      </c>
      <c r="BP10" s="49">
        <v>108.80800000000001</v>
      </c>
      <c r="BQ10" s="49">
        <v>113.736</v>
      </c>
      <c r="BR10" s="3"/>
      <c r="BS10" s="49">
        <v>26.4</v>
      </c>
      <c r="BT10" s="49">
        <v>7457.0460000000003</v>
      </c>
      <c r="BU10" s="49">
        <v>50.22</v>
      </c>
      <c r="BV10" s="49">
        <v>51.921999999999997</v>
      </c>
      <c r="BW10" s="49">
        <v>53.066000000000003</v>
      </c>
      <c r="BX10" s="49">
        <v>54.954000000000001</v>
      </c>
      <c r="BY10" s="49">
        <v>1.546</v>
      </c>
      <c r="BZ10" s="49">
        <v>2.6110000000000002</v>
      </c>
      <c r="CA10" s="50">
        <v>3.7829999999999999</v>
      </c>
      <c r="CB10" s="49">
        <v>3.5710000000000002</v>
      </c>
      <c r="CC10" s="49">
        <v>1.383</v>
      </c>
      <c r="CD10" s="49">
        <v>2.528</v>
      </c>
      <c r="CE10" s="49">
        <v>1.4379999999999999</v>
      </c>
      <c r="CF10" s="49">
        <v>2.2080000000000002</v>
      </c>
      <c r="CG10" s="49">
        <v>13.938000000000001</v>
      </c>
      <c r="CH10" s="49">
        <v>13.775</v>
      </c>
      <c r="CI10" s="49">
        <v>4.7679999999999998</v>
      </c>
      <c r="CJ10" s="50">
        <v>-73.218999999999994</v>
      </c>
      <c r="CK10" s="50">
        <v>1.702</v>
      </c>
      <c r="CL10" s="49">
        <v>0</v>
      </c>
      <c r="CM10" s="49">
        <v>0.4</v>
      </c>
      <c r="CN10" s="49">
        <v>0</v>
      </c>
      <c r="CO10" s="49">
        <v>0</v>
      </c>
      <c r="CP10" s="49">
        <v>83.349000000000004</v>
      </c>
      <c r="CQ10" s="49">
        <v>83.066000000000003</v>
      </c>
      <c r="CR10" s="49">
        <v>86.635999999999996</v>
      </c>
      <c r="CS10" s="49">
        <v>93.518000000000001</v>
      </c>
      <c r="CT10" s="49">
        <v>0.313</v>
      </c>
      <c r="CU10" s="49">
        <v>1.1000000000000001</v>
      </c>
      <c r="CV10" s="49">
        <v>0.79800000000000004</v>
      </c>
      <c r="CW10" s="49">
        <v>0.7</v>
      </c>
      <c r="CX10" s="49">
        <v>1.2969999999999999</v>
      </c>
      <c r="CY10" s="49">
        <v>0.79700000000000004</v>
      </c>
      <c r="CZ10" s="49">
        <v>0.80100000000000005</v>
      </c>
      <c r="DA10" s="49">
        <v>0.70199999999999996</v>
      </c>
      <c r="DB10" s="49">
        <v>0.998</v>
      </c>
      <c r="DC10" s="50">
        <v>0</v>
      </c>
      <c r="DD10" s="50">
        <v>0</v>
      </c>
      <c r="DE10" s="50">
        <v>0.219</v>
      </c>
      <c r="DF10" s="49">
        <v>6.2E-2</v>
      </c>
      <c r="DG10" s="49">
        <v>0.83899999999999997</v>
      </c>
      <c r="DH10" s="49">
        <v>2.371</v>
      </c>
      <c r="DI10" s="50">
        <v>1.2589999999999999</v>
      </c>
      <c r="DJ10" s="49">
        <v>0.125</v>
      </c>
      <c r="DK10" s="49">
        <v>0.72099999999999997</v>
      </c>
      <c r="DL10" s="49">
        <v>0.41299999999999998</v>
      </c>
      <c r="DM10" s="49">
        <v>0.44600000000000001</v>
      </c>
      <c r="DN10" s="49">
        <v>0.46200000000000002</v>
      </c>
      <c r="DO10" s="49">
        <v>0.34599999999999997</v>
      </c>
      <c r="DP10" s="50">
        <v>66.602999999999994</v>
      </c>
      <c r="DQ10" s="50">
        <v>61.432000000000002</v>
      </c>
      <c r="DR10" s="49">
        <v>54.258000000000003</v>
      </c>
      <c r="DS10" s="49">
        <v>51.356000000000002</v>
      </c>
      <c r="DT10" s="50">
        <v>7.29</v>
      </c>
      <c r="DU10" s="49">
        <v>7.29</v>
      </c>
      <c r="DV10" s="49">
        <v>14.38</v>
      </c>
      <c r="DW10" s="50">
        <v>11.85</v>
      </c>
      <c r="DX10" s="49">
        <v>7.54</v>
      </c>
      <c r="DY10" s="49">
        <v>7.48</v>
      </c>
      <c r="DZ10" s="49">
        <v>13.92</v>
      </c>
      <c r="EA10" s="50">
        <v>11.51</v>
      </c>
      <c r="EB10" s="49">
        <v>41.14</v>
      </c>
      <c r="EC10" s="49">
        <v>40.659999999999997</v>
      </c>
      <c r="ED10" s="49">
        <v>31.66</v>
      </c>
      <c r="EE10" s="49">
        <v>33.92</v>
      </c>
      <c r="EF10" s="49">
        <v>44.03</v>
      </c>
      <c r="EG10" s="49">
        <v>44.57</v>
      </c>
      <c r="EH10" s="49">
        <v>40.03</v>
      </c>
      <c r="EI10" s="49">
        <v>42.73</v>
      </c>
      <c r="EJ10" s="49">
        <v>5.6109999999999998</v>
      </c>
      <c r="EK10" s="49">
        <v>60.378999999999998</v>
      </c>
      <c r="EL10" s="49">
        <v>2.2000000000000002</v>
      </c>
      <c r="EM10" s="49">
        <v>1.75</v>
      </c>
      <c r="EN10" s="49">
        <v>1.21</v>
      </c>
      <c r="EO10" s="49">
        <v>1.21</v>
      </c>
      <c r="EP10" s="50">
        <v>-122.282</v>
      </c>
      <c r="EQ10" s="49">
        <v>-2.2509999999999999</v>
      </c>
      <c r="ER10" s="49">
        <v>107.23</v>
      </c>
      <c r="ES10" s="49">
        <v>1.486</v>
      </c>
      <c r="ET10" s="49">
        <v>1.661</v>
      </c>
      <c r="EU10" s="49">
        <v>1.46</v>
      </c>
      <c r="EV10" s="49">
        <v>7.8620000000000001</v>
      </c>
      <c r="EW10" s="49">
        <v>2.6419999999999999</v>
      </c>
      <c r="EX10" s="49">
        <v>74.22</v>
      </c>
      <c r="EY10" s="49">
        <v>0</v>
      </c>
      <c r="EZ10" s="49">
        <v>6.9580000000000002</v>
      </c>
      <c r="FA10" s="50">
        <v>0</v>
      </c>
      <c r="FB10" s="49">
        <v>9.1620000000000008</v>
      </c>
      <c r="FC10" s="49">
        <v>57.164999999999999</v>
      </c>
      <c r="FD10" s="49">
        <v>52.984000000000002</v>
      </c>
      <c r="FE10" s="49">
        <v>62.212000000000003</v>
      </c>
      <c r="FF10" s="49">
        <v>59.801000000000002</v>
      </c>
      <c r="FG10" s="49">
        <v>0.91600000000000004</v>
      </c>
      <c r="FH10" s="49">
        <v>0.91700000000000004</v>
      </c>
      <c r="FI10" s="49">
        <v>0.995</v>
      </c>
      <c r="FJ10" s="49">
        <v>0.999</v>
      </c>
      <c r="FK10" s="49">
        <v>0</v>
      </c>
      <c r="FL10" s="50">
        <v>83</v>
      </c>
      <c r="FM10" s="50">
        <v>3.81</v>
      </c>
      <c r="FN10" s="49">
        <v>2.39</v>
      </c>
      <c r="FO10" s="49">
        <v>5.49</v>
      </c>
      <c r="FP10" s="3"/>
      <c r="FQ10" s="49">
        <v>4.75</v>
      </c>
      <c r="FR10" s="49">
        <v>5</v>
      </c>
      <c r="FS10" s="49">
        <v>6.649</v>
      </c>
      <c r="FT10" s="49">
        <v>1069.4000000000001</v>
      </c>
      <c r="FU10" s="49">
        <v>6.75</v>
      </c>
      <c r="FV10" s="49">
        <v>20.93</v>
      </c>
      <c r="FW10" s="49">
        <v>3129</v>
      </c>
      <c r="FX10" s="49">
        <v>167500</v>
      </c>
      <c r="FY10" s="49">
        <v>169300</v>
      </c>
      <c r="FZ10" s="49">
        <v>47.895000000000003</v>
      </c>
      <c r="GA10" s="49">
        <v>47.392000000000003</v>
      </c>
      <c r="GB10" s="49">
        <v>2168.8000000000002</v>
      </c>
      <c r="GC10" s="49">
        <v>2158.9</v>
      </c>
      <c r="GD10" s="49">
        <v>2212.6999999999998</v>
      </c>
      <c r="GE10" s="49">
        <v>2213.8000000000002</v>
      </c>
      <c r="GF10" s="49">
        <v>1356.4844000000001</v>
      </c>
      <c r="GG10" s="49">
        <v>29</v>
      </c>
      <c r="GH10" s="49">
        <v>28.5</v>
      </c>
      <c r="GI10" s="49">
        <v>46.6</v>
      </c>
      <c r="GJ10" s="49">
        <v>52.3</v>
      </c>
      <c r="GK10" s="49">
        <v>90</v>
      </c>
      <c r="GL10" s="50">
        <v>96.8</v>
      </c>
      <c r="GM10" s="50">
        <v>0</v>
      </c>
      <c r="GN10" s="49">
        <v>26.419</v>
      </c>
      <c r="GO10" s="49">
        <v>122.282</v>
      </c>
      <c r="GP10" s="49">
        <v>0.53100000000000003</v>
      </c>
      <c r="GQ10" s="49">
        <v>1.8879999999999999</v>
      </c>
      <c r="GR10" s="49">
        <v>1.298</v>
      </c>
      <c r="GS10" s="49">
        <v>2.0059999999999998</v>
      </c>
      <c r="GT10" s="49">
        <v>0.59</v>
      </c>
      <c r="GU10" s="49">
        <v>1.8879999999999999</v>
      </c>
      <c r="GV10" s="49">
        <v>12.74</v>
      </c>
      <c r="GW10" s="49">
        <v>13.913</v>
      </c>
      <c r="GX10" s="49">
        <v>16.170000000000002</v>
      </c>
      <c r="GY10" s="50">
        <v>0</v>
      </c>
      <c r="GZ10" s="50">
        <v>0</v>
      </c>
      <c r="HA10" s="50">
        <v>0</v>
      </c>
      <c r="HB10" s="49">
        <v>0</v>
      </c>
      <c r="HC10" s="49">
        <v>23.47</v>
      </c>
      <c r="HD10" s="49">
        <v>74</v>
      </c>
      <c r="HE10" s="50">
        <v>0</v>
      </c>
      <c r="HF10" s="50">
        <v>0</v>
      </c>
      <c r="HG10" s="49">
        <v>87.8</v>
      </c>
      <c r="HH10" s="50">
        <v>82.88</v>
      </c>
      <c r="HI10" s="50">
        <v>0</v>
      </c>
      <c r="HJ10" s="50">
        <v>0</v>
      </c>
      <c r="HK10" s="50">
        <v>0</v>
      </c>
      <c r="HL10" s="49">
        <v>56</v>
      </c>
      <c r="HM10" s="49">
        <v>50</v>
      </c>
      <c r="HN10" s="49">
        <v>61</v>
      </c>
      <c r="HO10" s="49">
        <v>56</v>
      </c>
      <c r="HP10" s="49">
        <v>58</v>
      </c>
      <c r="HQ10" s="49">
        <v>56</v>
      </c>
      <c r="HR10" s="49">
        <v>49</v>
      </c>
      <c r="HS10" s="49">
        <v>62</v>
      </c>
      <c r="HT10" s="49">
        <v>-1.3360000000000001</v>
      </c>
      <c r="HU10" s="50">
        <v>0</v>
      </c>
      <c r="HV10" s="50">
        <v>1.3540000000000001</v>
      </c>
      <c r="HW10" s="49">
        <v>36.65</v>
      </c>
      <c r="HX10" s="49">
        <v>47.31</v>
      </c>
      <c r="HY10" s="49">
        <v>47.43</v>
      </c>
      <c r="HZ10" s="49">
        <v>57.52</v>
      </c>
      <c r="IA10" s="49">
        <v>2.9169999999999998</v>
      </c>
      <c r="IB10" s="50">
        <v>104</v>
      </c>
      <c r="IC10" s="49">
        <v>22.341999999999999</v>
      </c>
      <c r="ID10" s="49">
        <v>-0.39300000000000002</v>
      </c>
      <c r="IE10" s="49">
        <v>-0.20100000000000001</v>
      </c>
      <c r="IF10" s="49">
        <v>802.7</v>
      </c>
      <c r="IG10" s="49">
        <v>748.9</v>
      </c>
      <c r="IH10" s="49">
        <v>812.9</v>
      </c>
      <c r="II10" s="49">
        <v>761.4</v>
      </c>
      <c r="IJ10" s="49">
        <v>3.2000000000000001E-2</v>
      </c>
      <c r="IK10" s="49">
        <v>-5.1999999999999998E-2</v>
      </c>
      <c r="IL10" s="49">
        <v>71.811000000000007</v>
      </c>
      <c r="IM10" s="49">
        <v>71.811000000000007</v>
      </c>
      <c r="IN10" s="49">
        <v>12.606</v>
      </c>
      <c r="IO10" s="50">
        <v>0.26200000000000001</v>
      </c>
      <c r="IP10" s="49">
        <v>9.59</v>
      </c>
      <c r="IQ10" s="49">
        <v>7.0000000000000001E-3</v>
      </c>
      <c r="IR10" s="49">
        <v>-5.0000000000000001E-3</v>
      </c>
    </row>
    <row r="11" spans="2:252" x14ac:dyDescent="0.25">
      <c r="B11" s="2" t="s">
        <v>410</v>
      </c>
      <c r="C11" s="59" t="s">
        <v>45</v>
      </c>
      <c r="D11" s="62">
        <v>2.4267361111111108E-3</v>
      </c>
      <c r="E11" s="49">
        <v>209.71</v>
      </c>
      <c r="F11" s="50">
        <v>331.19</v>
      </c>
      <c r="G11" s="50">
        <v>6.04</v>
      </c>
      <c r="H11" s="49">
        <v>27.2</v>
      </c>
      <c r="I11" s="50">
        <v>0</v>
      </c>
      <c r="J11" s="49">
        <v>14.6</v>
      </c>
      <c r="K11" s="50">
        <v>6</v>
      </c>
      <c r="L11" s="50">
        <v>4</v>
      </c>
      <c r="M11" s="50">
        <v>6</v>
      </c>
      <c r="N11" s="50">
        <v>3</v>
      </c>
      <c r="O11" s="50">
        <v>3</v>
      </c>
      <c r="P11" s="49">
        <v>0.4</v>
      </c>
      <c r="Q11" s="49">
        <v>0.97199999999999998</v>
      </c>
      <c r="R11" s="49">
        <v>0.34</v>
      </c>
      <c r="S11" s="49">
        <v>0.25800000000000001</v>
      </c>
      <c r="T11" s="50">
        <v>78.14</v>
      </c>
      <c r="U11" s="49">
        <v>60.893000000000001</v>
      </c>
      <c r="V11" s="49">
        <v>243.34</v>
      </c>
      <c r="W11" s="49">
        <v>266.66000000000003</v>
      </c>
      <c r="X11" s="49">
        <v>190</v>
      </c>
      <c r="Y11" s="49">
        <v>228.34</v>
      </c>
      <c r="Z11" s="50">
        <v>388.67</v>
      </c>
      <c r="AA11" s="50">
        <v>407.18</v>
      </c>
      <c r="AB11" s="50">
        <v>310.77</v>
      </c>
      <c r="AC11" s="50">
        <v>375.82</v>
      </c>
      <c r="AD11" s="50">
        <v>1.7609999999999999</v>
      </c>
      <c r="AE11" s="50">
        <v>1.7889999999999999</v>
      </c>
      <c r="AF11" s="50">
        <v>1.7969999999999999</v>
      </c>
      <c r="AG11" s="50">
        <v>1.839</v>
      </c>
      <c r="AH11" s="50">
        <v>83.15</v>
      </c>
      <c r="AI11" s="50">
        <v>77.3</v>
      </c>
      <c r="AJ11" s="50">
        <v>116.53</v>
      </c>
      <c r="AK11" s="50">
        <v>105.68</v>
      </c>
      <c r="AL11" s="49">
        <v>666.37099999999998</v>
      </c>
      <c r="AM11" s="50">
        <v>699.51199999999994</v>
      </c>
      <c r="AN11" s="49">
        <v>839.928</v>
      </c>
      <c r="AO11" s="49">
        <v>820.65800000000002</v>
      </c>
      <c r="AP11" s="49">
        <v>1.4710000000000001</v>
      </c>
      <c r="AQ11" s="49">
        <v>1.927</v>
      </c>
      <c r="AR11" s="49">
        <v>41.335000000000001</v>
      </c>
      <c r="AS11" s="49">
        <v>38.026000000000003</v>
      </c>
      <c r="AT11" s="50">
        <v>83</v>
      </c>
      <c r="AU11" s="49">
        <v>115</v>
      </c>
      <c r="AV11" s="50">
        <v>1.72</v>
      </c>
      <c r="AW11" s="49">
        <v>5.1241000000000003</v>
      </c>
      <c r="AX11" s="49">
        <v>1013.6</v>
      </c>
      <c r="AY11" s="50">
        <v>2.4</v>
      </c>
      <c r="AZ11" s="49">
        <v>5.62</v>
      </c>
      <c r="BA11" s="49">
        <v>118.392</v>
      </c>
      <c r="BB11" s="49">
        <v>117.889</v>
      </c>
      <c r="BC11" s="49">
        <v>7667</v>
      </c>
      <c r="BD11" s="50">
        <v>89.75</v>
      </c>
      <c r="BE11" s="49">
        <v>15.955</v>
      </c>
      <c r="BF11" s="50">
        <v>15.305</v>
      </c>
      <c r="BG11" s="50">
        <v>30.34</v>
      </c>
      <c r="BH11" s="50">
        <v>28.1</v>
      </c>
      <c r="BI11" s="3"/>
      <c r="BJ11" s="3"/>
      <c r="BK11" s="3"/>
      <c r="BL11" s="3"/>
      <c r="BM11" s="3"/>
      <c r="BN11" s="49">
        <v>98.087999999999994</v>
      </c>
      <c r="BO11" s="49">
        <v>97.608000000000004</v>
      </c>
      <c r="BP11" s="49">
        <v>125.928</v>
      </c>
      <c r="BQ11" s="49">
        <v>129.08000000000001</v>
      </c>
      <c r="BR11" s="3"/>
      <c r="BS11" s="49">
        <v>26.9</v>
      </c>
      <c r="BT11" s="49">
        <v>7389.9539999999997</v>
      </c>
      <c r="BU11" s="49">
        <v>50.237000000000002</v>
      </c>
      <c r="BV11" s="49">
        <v>52.786000000000001</v>
      </c>
      <c r="BW11" s="49">
        <v>53.115000000000002</v>
      </c>
      <c r="BX11" s="49">
        <v>55.01</v>
      </c>
      <c r="BY11" s="49">
        <v>1.4219999999999999</v>
      </c>
      <c r="BZ11" s="50">
        <v>2.8050000000000002</v>
      </c>
      <c r="CA11" s="49">
        <v>3.661</v>
      </c>
      <c r="CB11" s="50">
        <v>3.7389999999999999</v>
      </c>
      <c r="CC11" s="49">
        <v>1.4610000000000001</v>
      </c>
      <c r="CD11" s="49">
        <v>2.431</v>
      </c>
      <c r="CE11" s="49">
        <v>1.403</v>
      </c>
      <c r="CF11" s="49">
        <v>2.17</v>
      </c>
      <c r="CG11" s="49">
        <v>13.943</v>
      </c>
      <c r="CH11" s="49">
        <v>13.795999999999999</v>
      </c>
      <c r="CI11" s="49">
        <v>4.2830000000000004</v>
      </c>
      <c r="CJ11" s="49">
        <v>-90.393000000000001</v>
      </c>
      <c r="CK11" s="49">
        <v>1.3440000000000001</v>
      </c>
      <c r="CL11" s="49">
        <v>0</v>
      </c>
      <c r="CM11" s="50">
        <v>1.1000000000000001</v>
      </c>
      <c r="CN11" s="49">
        <v>0</v>
      </c>
      <c r="CO11" s="49">
        <v>0</v>
      </c>
      <c r="CP11" s="49">
        <v>94.599000000000004</v>
      </c>
      <c r="CQ11" s="49">
        <v>94.27</v>
      </c>
      <c r="CR11" s="50">
        <v>115.511</v>
      </c>
      <c r="CS11" s="50">
        <v>121.003</v>
      </c>
      <c r="CT11" s="50">
        <v>0.42299999999999999</v>
      </c>
      <c r="CU11" s="49">
        <v>1.2969999999999999</v>
      </c>
      <c r="CV11" s="49">
        <v>1.5980000000000001</v>
      </c>
      <c r="CW11" s="49">
        <v>1.3</v>
      </c>
      <c r="CX11" s="49">
        <v>1.2949999999999999</v>
      </c>
      <c r="CY11" s="49">
        <v>0.499</v>
      </c>
      <c r="CZ11" s="49">
        <v>1.0009999999999999</v>
      </c>
      <c r="DA11" s="49">
        <v>0.995</v>
      </c>
      <c r="DB11" s="49">
        <v>1.298</v>
      </c>
      <c r="DC11" s="50">
        <v>0</v>
      </c>
      <c r="DD11" s="50">
        <v>0</v>
      </c>
      <c r="DE11" s="49">
        <v>0.13700000000000001</v>
      </c>
      <c r="DF11" s="49">
        <v>0.03</v>
      </c>
      <c r="DG11" s="49">
        <v>0.68100000000000005</v>
      </c>
      <c r="DH11" s="49">
        <v>1.645</v>
      </c>
      <c r="DI11" s="49">
        <v>1.0289999999999999</v>
      </c>
      <c r="DJ11" s="49">
        <v>1.0999999999999999E-2</v>
      </c>
      <c r="DK11" s="49">
        <v>0.61399999999999999</v>
      </c>
      <c r="DL11" s="49">
        <v>0.42</v>
      </c>
      <c r="DM11" s="49">
        <v>0.47499999999999998</v>
      </c>
      <c r="DN11" s="49">
        <v>0.17199999999999999</v>
      </c>
      <c r="DO11" s="49">
        <v>0.28399999999999997</v>
      </c>
      <c r="DP11" s="49">
        <v>65.650999999999996</v>
      </c>
      <c r="DQ11" s="49">
        <v>58.387</v>
      </c>
      <c r="DR11" s="49">
        <v>52.61</v>
      </c>
      <c r="DS11" s="49">
        <v>51.476999999999997</v>
      </c>
      <c r="DT11" s="49">
        <v>7.16</v>
      </c>
      <c r="DU11" s="50">
        <v>7.32</v>
      </c>
      <c r="DV11" s="50">
        <v>14.52</v>
      </c>
      <c r="DW11" s="49">
        <v>11.66</v>
      </c>
      <c r="DX11" s="50">
        <v>7.68</v>
      </c>
      <c r="DY11" s="50">
        <v>7.55</v>
      </c>
      <c r="DZ11" s="50">
        <v>14.1</v>
      </c>
      <c r="EA11" s="49">
        <v>11.36</v>
      </c>
      <c r="EB11" s="49">
        <v>42.15</v>
      </c>
      <c r="EC11" s="49">
        <v>40.49</v>
      </c>
      <c r="ED11" s="49">
        <v>31.7</v>
      </c>
      <c r="EE11" s="49">
        <v>34.28</v>
      </c>
      <c r="EF11" s="49">
        <v>43.01</v>
      </c>
      <c r="EG11" s="49">
        <v>44.65</v>
      </c>
      <c r="EH11" s="49">
        <v>39.67</v>
      </c>
      <c r="EI11" s="49">
        <v>42.7</v>
      </c>
      <c r="EJ11" s="49">
        <v>6.3090000000000002</v>
      </c>
      <c r="EK11" s="50">
        <v>60.732999999999997</v>
      </c>
      <c r="EL11" s="49">
        <v>2.15</v>
      </c>
      <c r="EM11" s="49">
        <v>1.8</v>
      </c>
      <c r="EN11" s="49">
        <v>1.19</v>
      </c>
      <c r="EO11" s="49">
        <v>1.19</v>
      </c>
      <c r="EP11" s="49">
        <v>-108.85</v>
      </c>
      <c r="EQ11" s="49">
        <v>-2.298</v>
      </c>
      <c r="ER11" s="49">
        <v>108.10599999999999</v>
      </c>
      <c r="ES11" s="49">
        <v>1.4510000000000001</v>
      </c>
      <c r="ET11" s="49">
        <v>1.657</v>
      </c>
      <c r="EU11" s="49">
        <v>1.4279999999999999</v>
      </c>
      <c r="EV11" s="49">
        <v>8.0440000000000005</v>
      </c>
      <c r="EW11" s="49">
        <v>2.8140000000000001</v>
      </c>
      <c r="EX11" s="50">
        <v>75.319999999999993</v>
      </c>
      <c r="EY11" s="49">
        <v>0</v>
      </c>
      <c r="EZ11" s="49">
        <v>2.1419999999999999</v>
      </c>
      <c r="FA11" s="50">
        <v>0</v>
      </c>
      <c r="FB11" s="49">
        <v>9.1660000000000004</v>
      </c>
      <c r="FC11" s="49">
        <v>69.658000000000001</v>
      </c>
      <c r="FD11" s="49">
        <v>63.798999999999999</v>
      </c>
      <c r="FE11" s="49">
        <v>79.893000000000001</v>
      </c>
      <c r="FF11" s="49">
        <v>75.688999999999993</v>
      </c>
      <c r="FG11" s="49">
        <v>0.91600000000000004</v>
      </c>
      <c r="FH11" s="49">
        <v>0.91700000000000004</v>
      </c>
      <c r="FI11" s="49">
        <v>0.99299999999999999</v>
      </c>
      <c r="FJ11" s="49">
        <v>0.997</v>
      </c>
      <c r="FK11" s="49">
        <v>0</v>
      </c>
      <c r="FL11" s="50">
        <v>83</v>
      </c>
      <c r="FM11" s="49">
        <v>3.79</v>
      </c>
      <c r="FN11" s="49">
        <v>2.4300000000000002</v>
      </c>
      <c r="FO11" s="49">
        <v>5.45</v>
      </c>
      <c r="FP11" s="3"/>
      <c r="FQ11" s="49">
        <v>4.55</v>
      </c>
      <c r="FR11" s="50">
        <v>4.9000000000000004</v>
      </c>
      <c r="FS11" s="49">
        <v>6.7115</v>
      </c>
      <c r="FT11" s="49">
        <v>1069.0999999999999</v>
      </c>
      <c r="FU11" s="50">
        <v>7.42</v>
      </c>
      <c r="FV11" s="49">
        <v>26.97</v>
      </c>
      <c r="FW11" s="49">
        <v>3169</v>
      </c>
      <c r="FX11" s="49">
        <v>164500</v>
      </c>
      <c r="FY11" s="49">
        <v>165100</v>
      </c>
      <c r="FZ11" s="49">
        <v>47.631</v>
      </c>
      <c r="GA11" s="49">
        <v>47.255000000000003</v>
      </c>
      <c r="GB11" s="49">
        <v>2205.1</v>
      </c>
      <c r="GC11" s="49">
        <v>2172.6</v>
      </c>
      <c r="GD11" s="50">
        <v>2284</v>
      </c>
      <c r="GE11" s="49">
        <v>2210.3000000000002</v>
      </c>
      <c r="GF11" s="49">
        <v>1443.375</v>
      </c>
      <c r="GG11" s="49">
        <v>29</v>
      </c>
      <c r="GH11" s="49">
        <v>29</v>
      </c>
      <c r="GI11" s="49">
        <v>46.8</v>
      </c>
      <c r="GJ11" s="49">
        <v>51.6</v>
      </c>
      <c r="GK11" s="49">
        <v>90</v>
      </c>
      <c r="GL11" s="49">
        <v>90.9</v>
      </c>
      <c r="GM11" s="50">
        <v>0</v>
      </c>
      <c r="GN11" s="50">
        <v>27.54</v>
      </c>
      <c r="GO11" s="49">
        <v>108.85</v>
      </c>
      <c r="GP11" s="49">
        <v>0.53100000000000003</v>
      </c>
      <c r="GQ11" s="49">
        <v>1.8879999999999999</v>
      </c>
      <c r="GR11" s="49">
        <v>1.121</v>
      </c>
      <c r="GS11" s="49">
        <v>2.0059999999999998</v>
      </c>
      <c r="GT11" s="49">
        <v>0.47199999999999998</v>
      </c>
      <c r="GU11" s="49">
        <v>1.8879999999999999</v>
      </c>
      <c r="GV11" s="49">
        <v>12.936</v>
      </c>
      <c r="GW11" s="49">
        <v>13.897</v>
      </c>
      <c r="GX11" s="49">
        <v>15.288</v>
      </c>
      <c r="GY11" s="50">
        <v>0</v>
      </c>
      <c r="GZ11" s="50">
        <v>0</v>
      </c>
      <c r="HA11" s="50">
        <v>0</v>
      </c>
      <c r="HB11" s="49">
        <v>0</v>
      </c>
      <c r="HC11" s="49">
        <v>23.201000000000001</v>
      </c>
      <c r="HD11" s="49">
        <v>78</v>
      </c>
      <c r="HE11" s="50">
        <v>0</v>
      </c>
      <c r="HF11" s="50">
        <v>0</v>
      </c>
      <c r="HG11" s="49">
        <v>74.14</v>
      </c>
      <c r="HH11" s="49">
        <v>82.5</v>
      </c>
      <c r="HI11" s="50">
        <v>0</v>
      </c>
      <c r="HJ11" s="50">
        <v>0</v>
      </c>
      <c r="HK11" s="50">
        <v>0</v>
      </c>
      <c r="HL11" s="49">
        <v>58</v>
      </c>
      <c r="HM11" s="49">
        <v>50</v>
      </c>
      <c r="HN11" s="49">
        <v>62</v>
      </c>
      <c r="HO11" s="49">
        <v>56</v>
      </c>
      <c r="HP11" s="49">
        <v>59</v>
      </c>
      <c r="HQ11" s="49">
        <v>57</v>
      </c>
      <c r="HR11" s="49">
        <v>49</v>
      </c>
      <c r="HS11" s="50">
        <v>70</v>
      </c>
      <c r="HT11" s="50">
        <v>-1.3474999999999999</v>
      </c>
      <c r="HU11" s="50">
        <v>0</v>
      </c>
      <c r="HV11" s="49">
        <v>1.345</v>
      </c>
      <c r="HW11" s="49">
        <v>36.65</v>
      </c>
      <c r="HX11" s="49">
        <v>47.31</v>
      </c>
      <c r="HY11" s="50">
        <v>48.98</v>
      </c>
      <c r="HZ11" s="50">
        <v>60.35</v>
      </c>
      <c r="IA11" s="50">
        <v>3.0939999999999999</v>
      </c>
      <c r="IB11" s="50">
        <v>104</v>
      </c>
      <c r="IC11" s="50">
        <v>23.01</v>
      </c>
      <c r="ID11" s="49">
        <v>-0.36399999999999999</v>
      </c>
      <c r="IE11" s="49">
        <v>-0.17799999999999999</v>
      </c>
      <c r="IF11" s="49">
        <v>816.9</v>
      </c>
      <c r="IG11" s="50">
        <v>755.3</v>
      </c>
      <c r="IH11" s="49">
        <v>814.6</v>
      </c>
      <c r="II11" s="50">
        <v>765.9</v>
      </c>
      <c r="IJ11" s="49">
        <v>-1.4999999999999999E-2</v>
      </c>
      <c r="IK11" s="49">
        <v>-7.0000000000000007E-2</v>
      </c>
      <c r="IL11" s="49">
        <v>68.850999999999999</v>
      </c>
      <c r="IM11" s="49">
        <v>68.850999999999999</v>
      </c>
      <c r="IN11" s="49">
        <v>10.904</v>
      </c>
      <c r="IO11" s="49">
        <v>0.22800000000000001</v>
      </c>
      <c r="IP11" s="49">
        <v>9.61</v>
      </c>
      <c r="IQ11" s="49">
        <v>8.9999999999999993E-3</v>
      </c>
      <c r="IR11" s="49">
        <v>8.0000000000000002E-3</v>
      </c>
    </row>
    <row r="12" spans="2:252" x14ac:dyDescent="0.25">
      <c r="B12" s="2" t="s">
        <v>410</v>
      </c>
      <c r="C12" s="2" t="s">
        <v>46</v>
      </c>
      <c r="D12" s="58">
        <v>3.2358796296296298E-3</v>
      </c>
      <c r="E12" s="49">
        <v>279.577</v>
      </c>
      <c r="F12" s="49">
        <v>328.95</v>
      </c>
      <c r="G12" s="49">
        <v>-26.97</v>
      </c>
      <c r="H12" s="49">
        <v>27.2</v>
      </c>
      <c r="I12" s="50">
        <v>0</v>
      </c>
      <c r="J12" s="49">
        <v>21.7</v>
      </c>
      <c r="K12" s="50">
        <v>6</v>
      </c>
      <c r="L12" s="50">
        <v>4</v>
      </c>
      <c r="M12" s="50">
        <v>6</v>
      </c>
      <c r="N12" s="50">
        <v>3</v>
      </c>
      <c r="O12" s="50">
        <v>3</v>
      </c>
      <c r="P12" s="49">
        <v>0.59299999999999997</v>
      </c>
      <c r="Q12" s="49">
        <v>1.2</v>
      </c>
      <c r="R12" s="49">
        <v>0.30399999999999999</v>
      </c>
      <c r="S12" s="49">
        <v>0.254</v>
      </c>
      <c r="T12" s="49">
        <v>56</v>
      </c>
      <c r="U12" s="49">
        <v>61.481000000000002</v>
      </c>
      <c r="V12" s="49">
        <v>170</v>
      </c>
      <c r="W12" s="49">
        <v>195</v>
      </c>
      <c r="X12" s="49">
        <v>140</v>
      </c>
      <c r="Y12" s="49">
        <v>172.5</v>
      </c>
      <c r="Z12" s="49">
        <v>343.04</v>
      </c>
      <c r="AA12" s="49">
        <v>369.54</v>
      </c>
      <c r="AB12" s="49">
        <v>221.89</v>
      </c>
      <c r="AC12" s="49">
        <v>284.82</v>
      </c>
      <c r="AD12" s="49">
        <v>1.7430000000000001</v>
      </c>
      <c r="AE12" s="49">
        <v>1.78</v>
      </c>
      <c r="AF12" s="49">
        <v>1.7749999999999999</v>
      </c>
      <c r="AG12" s="49">
        <v>1.827</v>
      </c>
      <c r="AH12" s="49">
        <v>77.36</v>
      </c>
      <c r="AI12" s="49">
        <v>72.53</v>
      </c>
      <c r="AJ12" s="49">
        <v>106.85</v>
      </c>
      <c r="AK12" s="49">
        <v>99.01</v>
      </c>
      <c r="AL12" s="49">
        <v>571.01</v>
      </c>
      <c r="AM12" s="49">
        <v>597.09</v>
      </c>
      <c r="AN12" s="49">
        <v>712.40599999999995</v>
      </c>
      <c r="AO12" s="49">
        <v>755.59500000000003</v>
      </c>
      <c r="AP12" s="49">
        <v>1.462</v>
      </c>
      <c r="AQ12" s="49">
        <v>1.913</v>
      </c>
      <c r="AR12" s="50">
        <v>41.613</v>
      </c>
      <c r="AS12" s="50">
        <v>40.305</v>
      </c>
      <c r="AT12" s="49">
        <v>82</v>
      </c>
      <c r="AU12" s="50">
        <v>116</v>
      </c>
      <c r="AV12" s="49">
        <v>2.1154999999999999</v>
      </c>
      <c r="AW12" s="49">
        <v>4.7746000000000004</v>
      </c>
      <c r="AX12" s="49">
        <v>1014.7</v>
      </c>
      <c r="AY12" s="49">
        <v>2.35</v>
      </c>
      <c r="AZ12" s="49">
        <v>5.61</v>
      </c>
      <c r="BA12" s="49">
        <v>69.296999999999997</v>
      </c>
      <c r="BB12" s="49">
        <v>69.2</v>
      </c>
      <c r="BC12" s="49">
        <v>7655</v>
      </c>
      <c r="BD12" s="49">
        <v>88.5</v>
      </c>
      <c r="BE12" s="49">
        <v>15.914999999999999</v>
      </c>
      <c r="BF12" s="49">
        <v>13.08</v>
      </c>
      <c r="BG12" s="49">
        <v>28.22</v>
      </c>
      <c r="BH12" s="49">
        <v>27.12</v>
      </c>
      <c r="BI12" s="50">
        <v>65.335999999999999</v>
      </c>
      <c r="BJ12" s="50">
        <v>81.316000000000003</v>
      </c>
      <c r="BK12" s="50">
        <v>63.646000000000001</v>
      </c>
      <c r="BL12" s="49">
        <v>77.932000000000002</v>
      </c>
      <c r="BM12" s="50">
        <v>79.59</v>
      </c>
      <c r="BN12" s="50">
        <v>114.504</v>
      </c>
      <c r="BO12" s="50">
        <v>112.584</v>
      </c>
      <c r="BP12" s="50">
        <v>133.17599999999999</v>
      </c>
      <c r="BQ12" s="50">
        <v>136.952</v>
      </c>
      <c r="BR12" s="50">
        <v>60.174999999999997</v>
      </c>
      <c r="BS12" s="50">
        <v>27</v>
      </c>
      <c r="BT12" s="49">
        <v>7316.0469999999996</v>
      </c>
      <c r="BU12" s="49">
        <v>46.045999999999999</v>
      </c>
      <c r="BV12" s="49">
        <v>51.704999999999998</v>
      </c>
      <c r="BW12" s="50">
        <v>55.881999999999998</v>
      </c>
      <c r="BX12" s="49">
        <v>54.762</v>
      </c>
      <c r="BY12" s="49">
        <v>1.357</v>
      </c>
      <c r="BZ12" s="49">
        <v>2.2410000000000001</v>
      </c>
      <c r="CA12" s="49">
        <v>2.613</v>
      </c>
      <c r="CB12" s="49">
        <v>2.8</v>
      </c>
      <c r="CC12" s="49">
        <v>1.0369999999999999</v>
      </c>
      <c r="CD12" s="49">
        <v>2.3809999999999998</v>
      </c>
      <c r="CE12" s="50">
        <v>1.5129999999999999</v>
      </c>
      <c r="CF12" s="49">
        <v>2.23</v>
      </c>
      <c r="CG12" s="49">
        <v>13.962</v>
      </c>
      <c r="CH12" s="49">
        <v>10.569000000000001</v>
      </c>
      <c r="CI12" s="3"/>
      <c r="CJ12" s="3"/>
      <c r="CK12" s="3"/>
      <c r="CL12" s="50">
        <v>2.1</v>
      </c>
      <c r="CM12" s="49">
        <v>0.1</v>
      </c>
      <c r="CN12" s="49">
        <v>0</v>
      </c>
      <c r="CO12" s="49">
        <v>0</v>
      </c>
      <c r="CP12" s="50">
        <v>98.081999999999994</v>
      </c>
      <c r="CQ12" s="50">
        <v>97.679000000000002</v>
      </c>
      <c r="CR12" s="49">
        <v>111.26</v>
      </c>
      <c r="CS12" s="49">
        <v>117.74</v>
      </c>
      <c r="CT12" s="49">
        <v>0.28599999999999998</v>
      </c>
      <c r="CU12" s="49">
        <v>0.89900000000000002</v>
      </c>
      <c r="CV12" s="50">
        <v>1.6970000000000001</v>
      </c>
      <c r="CW12" s="49">
        <v>1.3029999999999999</v>
      </c>
      <c r="CX12" s="49">
        <v>1.0980000000000001</v>
      </c>
      <c r="CY12" s="49">
        <v>0.79900000000000004</v>
      </c>
      <c r="CZ12" s="49">
        <v>1</v>
      </c>
      <c r="DA12" s="49">
        <v>0.499</v>
      </c>
      <c r="DB12" s="49">
        <v>1.4990000000000001</v>
      </c>
      <c r="DC12" s="50">
        <v>0</v>
      </c>
      <c r="DD12" s="50">
        <v>0</v>
      </c>
      <c r="DE12" s="49">
        <v>0.14000000000000001</v>
      </c>
      <c r="DF12" s="49">
        <v>8.9999999999999993E-3</v>
      </c>
      <c r="DG12" s="49">
        <v>0.4</v>
      </c>
      <c r="DH12" s="49">
        <v>1.575</v>
      </c>
      <c r="DI12" s="49">
        <v>0.68100000000000005</v>
      </c>
      <c r="DJ12" s="49">
        <v>9.7000000000000003E-2</v>
      </c>
      <c r="DK12" s="49">
        <v>0.47499999999999998</v>
      </c>
      <c r="DL12" s="50">
        <v>0.42099999999999999</v>
      </c>
      <c r="DM12" s="49">
        <v>0.46600000000000003</v>
      </c>
      <c r="DN12" s="49">
        <v>0.39800000000000002</v>
      </c>
      <c r="DO12" s="49">
        <v>0.38400000000000001</v>
      </c>
      <c r="DP12" s="49">
        <v>59.966000000000001</v>
      </c>
      <c r="DQ12" s="49">
        <v>60.966999999999999</v>
      </c>
      <c r="DR12" s="49">
        <v>53.101999999999997</v>
      </c>
      <c r="DS12" s="50">
        <v>51.719000000000001</v>
      </c>
      <c r="DT12" s="49">
        <v>3.43</v>
      </c>
      <c r="DU12" s="49">
        <v>3.96</v>
      </c>
      <c r="DV12" s="49">
        <v>8.73</v>
      </c>
      <c r="DW12" s="49">
        <v>6.86</v>
      </c>
      <c r="DX12" s="49">
        <v>3.72</v>
      </c>
      <c r="DY12" s="49">
        <v>3.84</v>
      </c>
      <c r="DZ12" s="49">
        <v>8.07</v>
      </c>
      <c r="EA12" s="49">
        <v>6.42</v>
      </c>
      <c r="EB12" s="50">
        <v>43.84</v>
      </c>
      <c r="EC12" s="49">
        <v>42.65</v>
      </c>
      <c r="ED12" s="49">
        <v>34.21</v>
      </c>
      <c r="EE12" s="49">
        <v>35.24</v>
      </c>
      <c r="EF12" s="49">
        <v>49</v>
      </c>
      <c r="EG12" s="49">
        <v>49.53</v>
      </c>
      <c r="EH12" s="49">
        <v>48.98</v>
      </c>
      <c r="EI12" s="49">
        <v>51.47</v>
      </c>
      <c r="EJ12" s="50">
        <v>6.7530000000000001</v>
      </c>
      <c r="EK12" s="49">
        <v>60.374000000000002</v>
      </c>
      <c r="EL12" s="49">
        <v>2.2000000000000002</v>
      </c>
      <c r="EM12" s="49">
        <v>1.7</v>
      </c>
      <c r="EN12" s="49">
        <v>1.37</v>
      </c>
      <c r="EO12" s="49">
        <v>1.36</v>
      </c>
      <c r="EP12" s="49">
        <v>-100.96599999999999</v>
      </c>
      <c r="EQ12" s="49">
        <v>-0.86599999999999999</v>
      </c>
      <c r="ER12" s="49">
        <v>99.054000000000002</v>
      </c>
      <c r="ES12" s="49">
        <v>1.5049999999999999</v>
      </c>
      <c r="ET12" s="49">
        <v>1.627</v>
      </c>
      <c r="EU12" s="49">
        <v>1.5009999999999999</v>
      </c>
      <c r="EV12" s="49">
        <v>7.859</v>
      </c>
      <c r="EW12" s="49">
        <v>2.5649999999999999</v>
      </c>
      <c r="EX12" s="49">
        <v>64.400000000000006</v>
      </c>
      <c r="EY12" s="49">
        <v>8.1000000000000003E-2</v>
      </c>
      <c r="EZ12" s="49">
        <v>0.25600000000000001</v>
      </c>
      <c r="FA12" s="50">
        <v>0</v>
      </c>
      <c r="FB12" s="49">
        <v>9.3070000000000004</v>
      </c>
      <c r="FC12" s="50">
        <v>71.563999999999993</v>
      </c>
      <c r="FD12" s="49">
        <v>65.953000000000003</v>
      </c>
      <c r="FE12" s="50">
        <v>82.147999999999996</v>
      </c>
      <c r="FF12" s="50">
        <v>78.695999999999998</v>
      </c>
      <c r="FG12" s="49">
        <v>0.95899999999999996</v>
      </c>
      <c r="FH12" s="49">
        <v>0.94599999999999995</v>
      </c>
      <c r="FI12" s="49">
        <v>0.998</v>
      </c>
      <c r="FJ12" s="49">
        <v>1.0009999999999999</v>
      </c>
      <c r="FK12" s="49">
        <v>0</v>
      </c>
      <c r="FL12" s="50">
        <v>83</v>
      </c>
      <c r="FM12" s="49">
        <v>3.76</v>
      </c>
      <c r="FN12" s="49">
        <v>2.1</v>
      </c>
      <c r="FO12" s="49">
        <v>5.31</v>
      </c>
      <c r="FP12" s="49">
        <v>3.85</v>
      </c>
      <c r="FQ12" s="49">
        <v>4.45</v>
      </c>
      <c r="FR12" s="49">
        <v>5.0999999999999996</v>
      </c>
      <c r="FS12" s="49">
        <v>6.63</v>
      </c>
      <c r="FT12" s="49">
        <v>1076.8</v>
      </c>
      <c r="FU12" s="49">
        <v>6.86</v>
      </c>
      <c r="FV12" s="50">
        <v>32.340000000000003</v>
      </c>
      <c r="FW12" s="49">
        <v>3227.5</v>
      </c>
      <c r="FX12" s="49">
        <v>162700</v>
      </c>
      <c r="FY12" s="49">
        <v>163200</v>
      </c>
      <c r="FZ12" s="49">
        <v>48.689</v>
      </c>
      <c r="GA12" s="49">
        <v>48.383000000000003</v>
      </c>
      <c r="GB12" s="49">
        <v>2178.8000000000002</v>
      </c>
      <c r="GC12" s="50">
        <v>2180.6999999999998</v>
      </c>
      <c r="GD12" s="49">
        <v>2201.6999999999998</v>
      </c>
      <c r="GE12" s="49">
        <v>2206.8000000000002</v>
      </c>
      <c r="GF12" s="49">
        <v>1274.9530999999999</v>
      </c>
      <c r="GG12" s="49">
        <v>30</v>
      </c>
      <c r="GH12" s="49">
        <v>29.8</v>
      </c>
      <c r="GI12" s="49">
        <v>47.3</v>
      </c>
      <c r="GJ12" s="49">
        <v>52.7</v>
      </c>
      <c r="GK12" s="49">
        <v>90</v>
      </c>
      <c r="GL12" s="49">
        <v>75.099999999999994</v>
      </c>
      <c r="GM12" s="50">
        <v>0</v>
      </c>
      <c r="GN12" s="49">
        <v>26.741</v>
      </c>
      <c r="GO12" s="49">
        <v>100.96599999999999</v>
      </c>
      <c r="GP12" s="50">
        <v>0</v>
      </c>
      <c r="GQ12" s="49">
        <v>5.133</v>
      </c>
      <c r="GR12" s="50">
        <v>0</v>
      </c>
      <c r="GS12" s="49">
        <v>5.0739999999999998</v>
      </c>
      <c r="GT12" s="50">
        <v>0</v>
      </c>
      <c r="GU12" s="49">
        <v>5.4279999999999999</v>
      </c>
      <c r="GV12" s="50">
        <v>0</v>
      </c>
      <c r="GW12" s="49">
        <v>13.776999999999999</v>
      </c>
      <c r="GX12" s="50">
        <v>24.99</v>
      </c>
      <c r="GY12" s="50">
        <v>0</v>
      </c>
      <c r="GZ12" s="50">
        <v>0</v>
      </c>
      <c r="HA12" s="50">
        <v>0</v>
      </c>
      <c r="HB12" s="50">
        <v>1</v>
      </c>
      <c r="HC12" s="49">
        <v>22.85</v>
      </c>
      <c r="HD12" s="50">
        <v>82</v>
      </c>
      <c r="HE12" s="50">
        <v>0</v>
      </c>
      <c r="HF12" s="50">
        <v>0</v>
      </c>
      <c r="HG12" s="49">
        <v>75.319999999999993</v>
      </c>
      <c r="HH12" s="49">
        <v>82.5</v>
      </c>
      <c r="HI12" s="50">
        <v>0</v>
      </c>
      <c r="HJ12" s="50">
        <v>0</v>
      </c>
      <c r="HK12" s="50">
        <v>0</v>
      </c>
      <c r="HL12" s="50">
        <v>59</v>
      </c>
      <c r="HM12" s="50">
        <v>51</v>
      </c>
      <c r="HN12" s="50">
        <v>64</v>
      </c>
      <c r="HO12" s="50">
        <v>57</v>
      </c>
      <c r="HP12" s="50">
        <v>60</v>
      </c>
      <c r="HQ12" s="50">
        <v>58</v>
      </c>
      <c r="HR12" s="50">
        <v>50</v>
      </c>
      <c r="HS12" s="49">
        <v>62</v>
      </c>
      <c r="HT12" s="49">
        <v>-1.3465</v>
      </c>
      <c r="HU12" s="50">
        <v>0</v>
      </c>
      <c r="HV12" s="49">
        <v>1.006</v>
      </c>
      <c r="HW12" s="49">
        <v>37.64</v>
      </c>
      <c r="HX12" s="49">
        <v>54.13</v>
      </c>
      <c r="HY12" s="3"/>
      <c r="HZ12" s="3"/>
      <c r="IA12" s="49">
        <v>2.6059999999999999</v>
      </c>
      <c r="IB12" s="49">
        <v>102</v>
      </c>
      <c r="IC12" s="49">
        <v>21.337</v>
      </c>
      <c r="ID12" s="49">
        <v>-0.21099999999999999</v>
      </c>
      <c r="IE12" s="49">
        <v>-0.10199999999999999</v>
      </c>
      <c r="IF12" s="49">
        <v>795.2</v>
      </c>
      <c r="IG12" s="49">
        <v>705.2</v>
      </c>
      <c r="IH12" s="49">
        <v>804.9</v>
      </c>
      <c r="II12" s="49">
        <v>721.3</v>
      </c>
      <c r="IJ12" s="50">
        <v>7.4999999999999997E-2</v>
      </c>
      <c r="IK12" s="50">
        <v>4.9000000000000002E-2</v>
      </c>
      <c r="IL12" s="49">
        <v>126.509</v>
      </c>
      <c r="IM12" s="49">
        <v>126.509</v>
      </c>
      <c r="IN12" s="50">
        <v>16.076000000000001</v>
      </c>
      <c r="IO12" s="49">
        <v>0.14799999999999999</v>
      </c>
      <c r="IP12" s="49">
        <v>9.89</v>
      </c>
      <c r="IQ12" s="49">
        <v>0</v>
      </c>
      <c r="IR12" s="49">
        <v>0</v>
      </c>
    </row>
  </sheetData>
  <mergeCells count="5">
    <mergeCell ref="B6:BD6"/>
    <mergeCell ref="BE6:DE6"/>
    <mergeCell ref="DF6:FE6"/>
    <mergeCell ref="FF6:HD6"/>
    <mergeCell ref="HE6:IR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6DD3C-C62D-4B12-8AAD-D4C0AAEA97C7}">
  <sheetPr codeName="Sheet3"/>
  <dimension ref="B1:IR11"/>
  <sheetViews>
    <sheetView tabSelected="1" zoomScale="80" zoomScaleNormal="80" workbookViewId="0">
      <selection activeCell="BD5" sqref="BD5"/>
    </sheetView>
  </sheetViews>
  <sheetFormatPr defaultRowHeight="15" x14ac:dyDescent="0.25"/>
  <sheetData>
    <row r="1" spans="2:252" x14ac:dyDescent="0.25">
      <c r="B1" t="s">
        <v>359</v>
      </c>
      <c r="C1" t="s">
        <v>413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399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403</v>
      </c>
      <c r="IQ5" s="1" t="s">
        <v>404</v>
      </c>
      <c r="IR5" s="1" t="s">
        <v>405</v>
      </c>
    </row>
    <row r="6" spans="2:252" ht="15" customHeight="1" x14ac:dyDescent="0.25">
      <c r="B6" s="63" t="s">
        <v>415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5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5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5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5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5"/>
    </row>
    <row r="7" spans="2:252" x14ac:dyDescent="0.25">
      <c r="B7" s="2" t="s">
        <v>416</v>
      </c>
      <c r="C7" s="60" t="s">
        <v>41</v>
      </c>
      <c r="D7" s="61">
        <v>3.3634259259259256E-4</v>
      </c>
      <c r="E7" s="7">
        <v>29.062000000000001</v>
      </c>
      <c r="F7" s="7">
        <v>0.01</v>
      </c>
      <c r="G7" s="7">
        <v>0</v>
      </c>
      <c r="H7" s="7">
        <v>27</v>
      </c>
      <c r="I7" s="7">
        <v>0</v>
      </c>
      <c r="J7" s="7">
        <v>8.3000000000000007</v>
      </c>
      <c r="K7" s="7">
        <v>6</v>
      </c>
      <c r="L7" s="7">
        <v>4</v>
      </c>
      <c r="M7" s="7">
        <v>6</v>
      </c>
      <c r="N7" s="7">
        <v>3</v>
      </c>
      <c r="O7" s="7">
        <v>3</v>
      </c>
      <c r="P7" s="3"/>
      <c r="Q7" s="3"/>
      <c r="R7" s="3"/>
      <c r="S7" s="3"/>
      <c r="T7" s="7">
        <v>20.65</v>
      </c>
      <c r="U7" s="7">
        <v>63.636000000000003</v>
      </c>
      <c r="V7" s="7">
        <v>306</v>
      </c>
      <c r="W7" s="7">
        <v>320</v>
      </c>
      <c r="X7" s="7">
        <v>167.5</v>
      </c>
      <c r="Y7" s="7">
        <v>215</v>
      </c>
      <c r="Z7" s="7">
        <v>311.22000000000003</v>
      </c>
      <c r="AA7" s="7">
        <v>328.5</v>
      </c>
      <c r="AB7" s="7">
        <v>172</v>
      </c>
      <c r="AC7" s="7">
        <v>218.84</v>
      </c>
      <c r="AD7" s="7">
        <v>1.7390000000000001</v>
      </c>
      <c r="AE7" s="7">
        <v>1.7929999999999999</v>
      </c>
      <c r="AF7" s="7">
        <v>1.72</v>
      </c>
      <c r="AG7" s="7">
        <v>1.788</v>
      </c>
      <c r="AH7" s="7">
        <v>73.650000000000006</v>
      </c>
      <c r="AI7" s="7">
        <v>67.959999999999994</v>
      </c>
      <c r="AJ7" s="7">
        <v>96.1</v>
      </c>
      <c r="AK7" s="7">
        <v>88.9</v>
      </c>
      <c r="AL7" s="3"/>
      <c r="AM7" s="3"/>
      <c r="AN7" s="3"/>
      <c r="AO7" s="3"/>
      <c r="AP7" s="3"/>
      <c r="AQ7" s="3"/>
      <c r="AR7" s="3"/>
      <c r="AS7" s="3"/>
      <c r="AT7" s="7">
        <v>82</v>
      </c>
      <c r="AU7" s="7">
        <v>109</v>
      </c>
      <c r="AV7" s="7">
        <v>3.8805000000000001</v>
      </c>
      <c r="AW7" s="7">
        <v>3.9009999999999998</v>
      </c>
      <c r="AX7" s="7">
        <v>1030</v>
      </c>
      <c r="AY7" s="7">
        <v>2.2400000000000002</v>
      </c>
      <c r="AZ7" s="7">
        <v>6.15</v>
      </c>
      <c r="BA7" s="3"/>
      <c r="BB7" s="3"/>
      <c r="BC7" s="7">
        <v>0</v>
      </c>
      <c r="BD7" s="7">
        <v>0</v>
      </c>
      <c r="BE7" s="7">
        <v>3.98</v>
      </c>
      <c r="BF7" s="7">
        <v>3.06</v>
      </c>
      <c r="BG7" s="7">
        <v>6.2</v>
      </c>
      <c r="BH7" s="7">
        <v>6.5</v>
      </c>
      <c r="BI7" s="3"/>
      <c r="BJ7" s="3"/>
      <c r="BK7" s="3"/>
      <c r="BL7" s="3"/>
      <c r="BM7" s="3"/>
      <c r="BN7" s="7">
        <v>124.664</v>
      </c>
      <c r="BO7" s="7">
        <v>127.304</v>
      </c>
      <c r="BP7" s="7">
        <v>110.08799999999999</v>
      </c>
      <c r="BQ7" s="7">
        <v>117.96</v>
      </c>
      <c r="BR7" s="3"/>
      <c r="BS7" s="7">
        <v>26.7</v>
      </c>
      <c r="BT7" s="3"/>
      <c r="BU7" s="7">
        <v>71.588999999999999</v>
      </c>
      <c r="BV7" s="3"/>
      <c r="BW7" s="3"/>
      <c r="BX7" s="3"/>
      <c r="BY7" s="7">
        <v>2.1999999999999999E-2</v>
      </c>
      <c r="BZ7" s="7">
        <v>5.0000000000000001E-3</v>
      </c>
      <c r="CA7" s="7">
        <v>2.4E-2</v>
      </c>
      <c r="CB7" s="7">
        <v>2.1000000000000001E-2</v>
      </c>
      <c r="CC7" s="3"/>
      <c r="CD7" s="3"/>
      <c r="CE7" s="3"/>
      <c r="CF7" s="3"/>
      <c r="CG7" s="7">
        <v>13.206</v>
      </c>
      <c r="CH7" s="7">
        <v>12.936999999999999</v>
      </c>
      <c r="CI7" s="3"/>
      <c r="CJ7" s="7">
        <v>1.895</v>
      </c>
      <c r="CK7" s="3"/>
      <c r="CL7" s="7">
        <v>0</v>
      </c>
      <c r="CM7" s="7">
        <v>0</v>
      </c>
      <c r="CN7" s="7">
        <v>0</v>
      </c>
      <c r="CO7" s="7">
        <v>0</v>
      </c>
      <c r="CP7" s="7">
        <v>121.321</v>
      </c>
      <c r="CQ7" s="7">
        <v>123.9</v>
      </c>
      <c r="CR7" s="7">
        <v>109.804</v>
      </c>
      <c r="CS7" s="7">
        <v>116.13</v>
      </c>
      <c r="CT7" s="7">
        <v>0</v>
      </c>
      <c r="CU7" s="7">
        <v>0</v>
      </c>
      <c r="CV7" s="7">
        <v>0</v>
      </c>
      <c r="CW7" s="7">
        <v>0</v>
      </c>
      <c r="CX7" s="7">
        <v>0</v>
      </c>
      <c r="CY7" s="7">
        <v>0</v>
      </c>
      <c r="CZ7" s="7">
        <v>0</v>
      </c>
      <c r="DA7" s="7">
        <v>0</v>
      </c>
      <c r="DB7" s="7">
        <v>0</v>
      </c>
      <c r="DC7" s="7">
        <v>0</v>
      </c>
      <c r="DD7" s="7">
        <v>0</v>
      </c>
      <c r="DE7" s="7">
        <v>0</v>
      </c>
      <c r="DF7" s="3"/>
      <c r="DG7" s="7">
        <v>0</v>
      </c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7">
        <v>0</v>
      </c>
      <c r="DU7" s="7">
        <v>0</v>
      </c>
      <c r="DV7" s="7">
        <v>0</v>
      </c>
      <c r="DW7" s="7">
        <v>0</v>
      </c>
      <c r="DX7" s="7">
        <v>0</v>
      </c>
      <c r="DY7" s="7">
        <v>0</v>
      </c>
      <c r="DZ7" s="7">
        <v>0</v>
      </c>
      <c r="EA7" s="7">
        <v>0</v>
      </c>
      <c r="EB7" s="7">
        <v>16.579999999999998</v>
      </c>
      <c r="EC7" s="7">
        <v>12.42</v>
      </c>
      <c r="ED7" s="7">
        <v>4.7</v>
      </c>
      <c r="EE7" s="7">
        <v>12.24</v>
      </c>
      <c r="EF7" s="7">
        <v>83.42</v>
      </c>
      <c r="EG7" s="7">
        <v>87.57</v>
      </c>
      <c r="EH7" s="7">
        <v>95.3</v>
      </c>
      <c r="EI7" s="7">
        <v>87.76</v>
      </c>
      <c r="EJ7" s="7">
        <v>6.5039999999999996</v>
      </c>
      <c r="EK7" s="7">
        <v>61.334000000000003</v>
      </c>
      <c r="EL7" s="7">
        <v>2.25</v>
      </c>
      <c r="EM7" s="7">
        <v>2.2000000000000002</v>
      </c>
      <c r="EN7" s="7">
        <v>1.21</v>
      </c>
      <c r="EO7" s="7">
        <v>1.24</v>
      </c>
      <c r="EP7" s="7">
        <v>-0.81</v>
      </c>
      <c r="EQ7" s="7">
        <v>-0.14299999999999999</v>
      </c>
      <c r="ER7" s="7">
        <v>0.65</v>
      </c>
      <c r="ES7" s="7">
        <v>0.77600000000000002</v>
      </c>
      <c r="ET7" s="7">
        <v>0.8</v>
      </c>
      <c r="EU7" s="7">
        <v>0.76400000000000001</v>
      </c>
      <c r="EV7" s="3"/>
      <c r="EW7" s="3"/>
      <c r="EX7" s="7">
        <v>0</v>
      </c>
      <c r="EY7" s="7">
        <v>0</v>
      </c>
      <c r="EZ7" s="7">
        <v>0</v>
      </c>
      <c r="FA7" s="7">
        <v>0</v>
      </c>
      <c r="FB7" s="7">
        <v>8.9190000000000005</v>
      </c>
      <c r="FC7" s="7">
        <v>70.033000000000001</v>
      </c>
      <c r="FD7" s="7">
        <v>65.141000000000005</v>
      </c>
      <c r="FE7" s="7">
        <v>76.448999999999998</v>
      </c>
      <c r="FF7" s="7">
        <v>74.41</v>
      </c>
      <c r="FG7" s="7">
        <v>1.206</v>
      </c>
      <c r="FH7" s="7">
        <v>1.24</v>
      </c>
      <c r="FI7" s="7">
        <v>1</v>
      </c>
      <c r="FJ7" s="7">
        <v>1</v>
      </c>
      <c r="FK7" s="7">
        <v>0</v>
      </c>
      <c r="FL7" s="7">
        <v>81</v>
      </c>
      <c r="FM7" s="7">
        <v>2.1800000000000002</v>
      </c>
      <c r="FN7" s="7">
        <v>2.15</v>
      </c>
      <c r="FO7" s="7">
        <v>6.14</v>
      </c>
      <c r="FP7" s="7">
        <v>5.3</v>
      </c>
      <c r="FQ7" s="7">
        <v>0.55000000000000004</v>
      </c>
      <c r="FR7" s="7">
        <v>5.6</v>
      </c>
      <c r="FS7" s="7">
        <v>3.9180000000000001</v>
      </c>
      <c r="FT7" s="7">
        <v>1030.2</v>
      </c>
      <c r="FU7" s="7">
        <v>0</v>
      </c>
      <c r="FV7" s="7">
        <v>0</v>
      </c>
      <c r="FW7" s="7">
        <v>3.5</v>
      </c>
      <c r="FX7" s="7">
        <v>0</v>
      </c>
      <c r="FY7" s="7">
        <v>0</v>
      </c>
      <c r="FZ7" s="3"/>
      <c r="GA7" s="3"/>
      <c r="GB7" s="7">
        <v>2116.1</v>
      </c>
      <c r="GC7" s="7">
        <v>2116.6999999999998</v>
      </c>
      <c r="GD7" s="7">
        <v>1014.3</v>
      </c>
      <c r="GE7" s="7">
        <v>1014.8</v>
      </c>
      <c r="GF7" s="7">
        <v>29.578099999999999</v>
      </c>
      <c r="GG7" s="7">
        <v>30</v>
      </c>
      <c r="GH7" s="7">
        <v>30.3</v>
      </c>
      <c r="GI7" s="7">
        <v>48.1</v>
      </c>
      <c r="GJ7" s="7">
        <v>53.4</v>
      </c>
      <c r="GK7" s="7">
        <v>89</v>
      </c>
      <c r="GL7" s="7">
        <v>24</v>
      </c>
      <c r="GM7" s="7">
        <v>0</v>
      </c>
      <c r="GN7" s="3"/>
      <c r="GO7" s="7">
        <v>0.81</v>
      </c>
      <c r="GP7" s="7">
        <v>0</v>
      </c>
      <c r="GQ7" s="7">
        <v>1.77</v>
      </c>
      <c r="GR7" s="7">
        <v>0</v>
      </c>
      <c r="GS7" s="7">
        <v>1.77</v>
      </c>
      <c r="GT7" s="7">
        <v>0</v>
      </c>
      <c r="GU7" s="7">
        <v>1.7110000000000001</v>
      </c>
      <c r="GV7" s="7">
        <v>0</v>
      </c>
      <c r="GW7" s="7">
        <v>0</v>
      </c>
      <c r="GX7" s="7">
        <v>0</v>
      </c>
      <c r="GY7" s="7">
        <v>0</v>
      </c>
      <c r="GZ7" s="7">
        <v>0</v>
      </c>
      <c r="HA7" s="7">
        <v>0</v>
      </c>
      <c r="HB7" s="7">
        <v>0</v>
      </c>
      <c r="HC7" s="7">
        <v>14.71</v>
      </c>
      <c r="HD7" s="7">
        <v>82</v>
      </c>
      <c r="HE7" s="7">
        <v>0</v>
      </c>
      <c r="HF7" s="7">
        <v>0</v>
      </c>
      <c r="HG7" s="7">
        <v>82.63</v>
      </c>
      <c r="HH7" s="7">
        <v>58.79</v>
      </c>
      <c r="HI7" s="7">
        <v>0</v>
      </c>
      <c r="HJ7" s="7">
        <v>0</v>
      </c>
      <c r="HK7" s="7">
        <v>0</v>
      </c>
      <c r="HL7" s="7">
        <v>59</v>
      </c>
      <c r="HM7" s="7">
        <v>51</v>
      </c>
      <c r="HN7" s="7">
        <v>64</v>
      </c>
      <c r="HO7" s="7">
        <v>56</v>
      </c>
      <c r="HP7" s="7">
        <v>57</v>
      </c>
      <c r="HQ7" s="7">
        <v>56</v>
      </c>
      <c r="HR7" s="7">
        <v>50</v>
      </c>
      <c r="HS7" s="7">
        <v>54</v>
      </c>
      <c r="HT7" s="7">
        <v>-0.995</v>
      </c>
      <c r="HU7" s="7">
        <v>0</v>
      </c>
      <c r="HV7" s="7">
        <v>-5.8000000000000003E-2</v>
      </c>
      <c r="HW7" s="7">
        <v>52.98</v>
      </c>
      <c r="HX7" s="7">
        <v>74.959999999999994</v>
      </c>
      <c r="HY7" s="3"/>
      <c r="HZ7" s="3"/>
      <c r="IA7" s="7">
        <v>4.0000000000000001E-3</v>
      </c>
      <c r="IB7" s="7">
        <v>97</v>
      </c>
      <c r="IC7" s="7">
        <v>14.978999999999999</v>
      </c>
      <c r="ID7" s="7">
        <v>0</v>
      </c>
      <c r="IE7" s="7">
        <v>0</v>
      </c>
      <c r="IF7" s="7">
        <v>491.1</v>
      </c>
      <c r="IG7" s="7">
        <v>475.8</v>
      </c>
      <c r="IH7" s="7">
        <v>530.9</v>
      </c>
      <c r="II7" s="7">
        <v>513.1</v>
      </c>
      <c r="IJ7" s="7">
        <v>0</v>
      </c>
      <c r="IK7" s="7">
        <v>0</v>
      </c>
      <c r="IL7" s="7">
        <v>29.047000000000001</v>
      </c>
      <c r="IM7" s="7">
        <v>29.047000000000001</v>
      </c>
      <c r="IN7" s="7">
        <v>37.353000000000002</v>
      </c>
      <c r="IO7" s="7">
        <v>0</v>
      </c>
      <c r="IP7" s="7">
        <v>10.56</v>
      </c>
      <c r="IQ7" s="7">
        <v>1E-3</v>
      </c>
      <c r="IR7" s="7">
        <v>5.0000000000000001E-3</v>
      </c>
    </row>
    <row r="8" spans="2:252" x14ac:dyDescent="0.25">
      <c r="B8" s="2" t="s">
        <v>410</v>
      </c>
      <c r="C8" s="2" t="s">
        <v>42</v>
      </c>
      <c r="D8" s="58">
        <v>3.5982638888888887E-3</v>
      </c>
      <c r="E8" s="50">
        <v>310.892</v>
      </c>
      <c r="F8" s="49">
        <v>327.01</v>
      </c>
      <c r="G8" s="49">
        <v>5.57</v>
      </c>
      <c r="H8" s="49">
        <v>27.1</v>
      </c>
      <c r="I8" s="50">
        <v>1.64</v>
      </c>
      <c r="J8" s="50">
        <v>33.799999999999997</v>
      </c>
      <c r="K8" s="50">
        <v>6</v>
      </c>
      <c r="L8" s="50">
        <v>4</v>
      </c>
      <c r="M8" s="49">
        <v>6</v>
      </c>
      <c r="N8" s="50">
        <v>3</v>
      </c>
      <c r="O8" s="50">
        <v>3</v>
      </c>
      <c r="P8" s="50">
        <v>0.60299999999999998</v>
      </c>
      <c r="Q8" s="50">
        <v>1.1000000000000001</v>
      </c>
      <c r="R8" s="50">
        <v>0.53800000000000003</v>
      </c>
      <c r="S8" s="50">
        <v>0.29599999999999999</v>
      </c>
      <c r="T8" s="49">
        <v>69.61</v>
      </c>
      <c r="U8" s="50">
        <v>61.570999999999998</v>
      </c>
      <c r="V8" s="50">
        <v>165</v>
      </c>
      <c r="W8" s="50">
        <v>187.5</v>
      </c>
      <c r="X8" s="50">
        <v>110</v>
      </c>
      <c r="Y8" s="50">
        <v>127.5</v>
      </c>
      <c r="Z8" s="49">
        <v>311.68</v>
      </c>
      <c r="AA8" s="49">
        <v>334.49</v>
      </c>
      <c r="AB8" s="49">
        <v>196.3</v>
      </c>
      <c r="AC8" s="49">
        <v>248.84</v>
      </c>
      <c r="AD8" s="49">
        <v>1.694</v>
      </c>
      <c r="AE8" s="49">
        <v>1.7490000000000001</v>
      </c>
      <c r="AF8" s="49">
        <v>1.6639999999999999</v>
      </c>
      <c r="AG8" s="49">
        <v>1.7250000000000001</v>
      </c>
      <c r="AH8" s="49">
        <v>66.099999999999994</v>
      </c>
      <c r="AI8" s="49">
        <v>62.14</v>
      </c>
      <c r="AJ8" s="49">
        <v>86.51</v>
      </c>
      <c r="AK8" s="49">
        <v>80.209999999999994</v>
      </c>
      <c r="AL8" s="49">
        <v>595.726</v>
      </c>
      <c r="AM8" s="49">
        <v>628.48299999999995</v>
      </c>
      <c r="AN8" s="49">
        <v>737.803</v>
      </c>
      <c r="AO8" s="49">
        <v>758.92600000000004</v>
      </c>
      <c r="AP8" s="49">
        <v>1.4670000000000001</v>
      </c>
      <c r="AQ8" s="50">
        <v>1.9350000000000001</v>
      </c>
      <c r="AR8" s="49">
        <v>39.905999999999999</v>
      </c>
      <c r="AS8" s="49">
        <v>37.164999999999999</v>
      </c>
      <c r="AT8" s="50">
        <v>84</v>
      </c>
      <c r="AU8" s="49">
        <v>111</v>
      </c>
      <c r="AV8" s="49">
        <v>2.0489999999999999</v>
      </c>
      <c r="AW8" s="49">
        <v>4.8841000000000001</v>
      </c>
      <c r="AX8" s="49">
        <v>1016.2</v>
      </c>
      <c r="AY8" s="50">
        <v>2.64</v>
      </c>
      <c r="AZ8" s="49">
        <v>5.57</v>
      </c>
      <c r="BA8" s="49">
        <v>69.8</v>
      </c>
      <c r="BB8" s="49">
        <v>69.7</v>
      </c>
      <c r="BC8" s="49">
        <v>7661</v>
      </c>
      <c r="BD8" s="50">
        <v>89.75</v>
      </c>
      <c r="BE8" s="49">
        <v>15.07</v>
      </c>
      <c r="BF8" s="49">
        <v>12.74</v>
      </c>
      <c r="BG8" s="49">
        <v>25.47</v>
      </c>
      <c r="BH8" s="49">
        <v>26.06</v>
      </c>
      <c r="BI8" s="49">
        <v>64.974999999999994</v>
      </c>
      <c r="BJ8" s="50">
        <v>80.885999999999996</v>
      </c>
      <c r="BK8" s="49">
        <v>63.292999999999999</v>
      </c>
      <c r="BL8" s="50">
        <v>78.625</v>
      </c>
      <c r="BM8" s="49">
        <v>78.06</v>
      </c>
      <c r="BN8" s="50">
        <v>139.24</v>
      </c>
      <c r="BO8" s="50">
        <v>141.19200000000001</v>
      </c>
      <c r="BP8" s="49">
        <v>106.80800000000001</v>
      </c>
      <c r="BQ8" s="49">
        <v>111.91200000000001</v>
      </c>
      <c r="BR8" s="49">
        <v>58.237000000000002</v>
      </c>
      <c r="BS8" s="49">
        <v>26.7</v>
      </c>
      <c r="BT8" s="49">
        <v>7092.7250000000004</v>
      </c>
      <c r="BU8" s="50">
        <v>53.56</v>
      </c>
      <c r="BV8" s="49">
        <v>53.73</v>
      </c>
      <c r="BW8" s="50">
        <v>55.026000000000003</v>
      </c>
      <c r="BX8" s="50">
        <v>56.250999999999998</v>
      </c>
      <c r="BY8" s="49">
        <v>1.4339999999999999</v>
      </c>
      <c r="BZ8" s="49">
        <v>2.6659999999999999</v>
      </c>
      <c r="CA8" s="49">
        <v>2.669</v>
      </c>
      <c r="CB8" s="49">
        <v>2.7090000000000001</v>
      </c>
      <c r="CC8" s="49">
        <v>1.2030000000000001</v>
      </c>
      <c r="CD8" s="49">
        <v>2.3260000000000001</v>
      </c>
      <c r="CE8" s="50">
        <v>1.5089999999999999</v>
      </c>
      <c r="CF8" s="50">
        <v>2.2559999999999998</v>
      </c>
      <c r="CG8" s="49">
        <v>13.855</v>
      </c>
      <c r="CH8" s="50">
        <v>10.446999999999999</v>
      </c>
      <c r="CI8" s="50">
        <v>4.0919999999999996</v>
      </c>
      <c r="CJ8" s="49">
        <v>3.5169999999999999</v>
      </c>
      <c r="CK8" s="49">
        <v>1.4039999999999999</v>
      </c>
      <c r="CL8" s="49">
        <v>0</v>
      </c>
      <c r="CM8" s="49">
        <v>1.6</v>
      </c>
      <c r="CN8" s="50">
        <v>0</v>
      </c>
      <c r="CO8" s="49">
        <v>0</v>
      </c>
      <c r="CP8" s="50">
        <v>104.815</v>
      </c>
      <c r="CQ8" s="50">
        <v>107.459</v>
      </c>
      <c r="CR8" s="49">
        <v>96.117999999999995</v>
      </c>
      <c r="CS8" s="49">
        <v>102</v>
      </c>
      <c r="CT8" s="49">
        <v>0.34799999999999998</v>
      </c>
      <c r="CU8" s="49">
        <v>1.1990000000000001</v>
      </c>
      <c r="CV8" s="49">
        <v>1.5</v>
      </c>
      <c r="CW8" s="49">
        <v>0.60099999999999998</v>
      </c>
      <c r="CX8" s="49">
        <v>1.399</v>
      </c>
      <c r="CY8" s="49">
        <v>1.304</v>
      </c>
      <c r="CZ8" s="49">
        <v>1.6950000000000001</v>
      </c>
      <c r="DA8" s="49">
        <v>0.80100000000000005</v>
      </c>
      <c r="DB8" s="49">
        <v>1.099</v>
      </c>
      <c r="DC8" s="50">
        <v>0</v>
      </c>
      <c r="DD8" s="50">
        <v>0</v>
      </c>
      <c r="DE8" s="50">
        <v>0.128</v>
      </c>
      <c r="DF8" s="49">
        <v>1.2999999999999999E-2</v>
      </c>
      <c r="DG8" s="49">
        <v>0.48399999999999999</v>
      </c>
      <c r="DH8" s="49">
        <v>1.1000000000000001</v>
      </c>
      <c r="DI8" s="50">
        <v>0.79500000000000004</v>
      </c>
      <c r="DJ8" s="50">
        <v>0.14099999999999999</v>
      </c>
      <c r="DK8" s="50">
        <v>0.71299999999999997</v>
      </c>
      <c r="DL8" s="50">
        <v>0.41899999999999998</v>
      </c>
      <c r="DM8" s="50">
        <v>0.51300000000000001</v>
      </c>
      <c r="DN8" s="49">
        <v>0.379</v>
      </c>
      <c r="DO8" s="50">
        <v>0.39400000000000002</v>
      </c>
      <c r="DP8" s="49">
        <v>62.936999999999998</v>
      </c>
      <c r="DQ8" s="49">
        <v>58.381</v>
      </c>
      <c r="DR8" s="49">
        <v>53.048000000000002</v>
      </c>
      <c r="DS8" s="49">
        <v>50.862000000000002</v>
      </c>
      <c r="DT8" s="49">
        <v>3.69</v>
      </c>
      <c r="DU8" s="49">
        <v>4.0599999999999996</v>
      </c>
      <c r="DV8" s="49">
        <v>8.2100000000000009</v>
      </c>
      <c r="DW8" s="49">
        <v>6.61</v>
      </c>
      <c r="DX8" s="49">
        <v>3.87</v>
      </c>
      <c r="DY8" s="49">
        <v>4.01</v>
      </c>
      <c r="DZ8" s="49">
        <v>7.38</v>
      </c>
      <c r="EA8" s="49">
        <v>6.13</v>
      </c>
      <c r="EB8" s="49">
        <v>33.520000000000003</v>
      </c>
      <c r="EC8" s="49">
        <v>33.4</v>
      </c>
      <c r="ED8" s="49">
        <v>26.82</v>
      </c>
      <c r="EE8" s="49">
        <v>27.88</v>
      </c>
      <c r="EF8" s="50">
        <v>58.92</v>
      </c>
      <c r="EG8" s="50">
        <v>58.53</v>
      </c>
      <c r="EH8" s="50">
        <v>57.59</v>
      </c>
      <c r="EI8" s="50">
        <v>59.38</v>
      </c>
      <c r="EJ8" s="49">
        <v>5.8460000000000001</v>
      </c>
      <c r="EK8" s="49">
        <v>59.765999999999998</v>
      </c>
      <c r="EL8" s="50">
        <v>2.5499999999999998</v>
      </c>
      <c r="EM8" s="50">
        <v>1.7</v>
      </c>
      <c r="EN8" s="50">
        <v>1.17</v>
      </c>
      <c r="EO8" s="49">
        <v>1.17</v>
      </c>
      <c r="EP8" s="49">
        <v>-84.76</v>
      </c>
      <c r="EQ8" s="50">
        <v>-1.0880000000000001</v>
      </c>
      <c r="ER8" s="49">
        <v>84.453999999999994</v>
      </c>
      <c r="ES8" s="49">
        <v>1.2070000000000001</v>
      </c>
      <c r="ET8" s="49">
        <v>1.242</v>
      </c>
      <c r="EU8" s="49">
        <v>1.175</v>
      </c>
      <c r="EV8" s="49">
        <v>7.8979999999999997</v>
      </c>
      <c r="EW8" s="49">
        <v>2.657</v>
      </c>
      <c r="EX8" s="49">
        <v>-315.3</v>
      </c>
      <c r="EY8" s="50">
        <v>2.0009999999999999</v>
      </c>
      <c r="EZ8" s="49">
        <v>0</v>
      </c>
      <c r="FA8" s="50">
        <v>0</v>
      </c>
      <c r="FB8" s="49">
        <v>7.7050000000000001</v>
      </c>
      <c r="FC8" s="49">
        <v>68.734999999999999</v>
      </c>
      <c r="FD8" s="49">
        <v>64.066999999999993</v>
      </c>
      <c r="FE8" s="49">
        <v>71.335999999999999</v>
      </c>
      <c r="FF8" s="49">
        <v>68.501999999999995</v>
      </c>
      <c r="FG8" s="50">
        <v>0.96</v>
      </c>
      <c r="FH8" s="50">
        <v>0.96199999999999997</v>
      </c>
      <c r="FI8" s="50">
        <v>1.002</v>
      </c>
      <c r="FJ8" s="50">
        <v>1.004</v>
      </c>
      <c r="FK8" s="50">
        <v>0.10100000000000001</v>
      </c>
      <c r="FL8" s="50">
        <v>85</v>
      </c>
      <c r="FM8" s="49">
        <v>3.77</v>
      </c>
      <c r="FN8" s="49">
        <v>2.2400000000000002</v>
      </c>
      <c r="FO8" s="49">
        <v>5.36</v>
      </c>
      <c r="FP8" s="49">
        <v>3.9</v>
      </c>
      <c r="FQ8" s="50">
        <v>0.55000000000000004</v>
      </c>
      <c r="FR8" s="49">
        <v>5.15</v>
      </c>
      <c r="FS8" s="49">
        <v>6.6890000000000001</v>
      </c>
      <c r="FT8" s="50">
        <v>1081.8</v>
      </c>
      <c r="FU8" s="49">
        <v>7.06</v>
      </c>
      <c r="FV8" s="49">
        <v>5.57</v>
      </c>
      <c r="FW8" s="49">
        <v>3072.5</v>
      </c>
      <c r="FX8" s="49">
        <v>166000</v>
      </c>
      <c r="FY8" s="49">
        <v>167300</v>
      </c>
      <c r="FZ8" s="50">
        <v>48.637999999999998</v>
      </c>
      <c r="GA8" s="50">
        <v>48.68</v>
      </c>
      <c r="GB8" s="49">
        <v>2146.1999999999998</v>
      </c>
      <c r="GC8" s="50">
        <v>2278</v>
      </c>
      <c r="GD8" s="49">
        <v>2190.6999999999998</v>
      </c>
      <c r="GE8" s="50">
        <v>2487.4</v>
      </c>
      <c r="GF8" s="49">
        <v>1387.2030999999999</v>
      </c>
      <c r="GG8" s="50">
        <v>31</v>
      </c>
      <c r="GH8" s="50">
        <v>30.9</v>
      </c>
      <c r="GI8" s="50">
        <v>53.2</v>
      </c>
      <c r="GJ8" s="50">
        <v>58.1</v>
      </c>
      <c r="GK8" s="50">
        <v>98.5</v>
      </c>
      <c r="GL8" s="50">
        <v>90.2</v>
      </c>
      <c r="GM8" s="50">
        <v>0</v>
      </c>
      <c r="GN8" s="49">
        <v>27.611000000000001</v>
      </c>
      <c r="GO8" s="49">
        <v>84.76</v>
      </c>
      <c r="GP8" s="50">
        <v>0</v>
      </c>
      <c r="GQ8" s="50">
        <v>4.2480000000000002</v>
      </c>
      <c r="GR8" s="50">
        <v>0</v>
      </c>
      <c r="GS8" s="50">
        <v>5.1920000000000002</v>
      </c>
      <c r="GT8" s="50">
        <v>0</v>
      </c>
      <c r="GU8" s="50">
        <v>4.3659999999999997</v>
      </c>
      <c r="GV8" s="50">
        <v>0</v>
      </c>
      <c r="GW8" s="49">
        <v>10.52</v>
      </c>
      <c r="GX8" s="50">
        <v>23.911999999999999</v>
      </c>
      <c r="GY8" s="50">
        <v>0</v>
      </c>
      <c r="GZ8" s="50">
        <v>0</v>
      </c>
      <c r="HA8" s="50">
        <v>0</v>
      </c>
      <c r="HB8" s="50">
        <v>1</v>
      </c>
      <c r="HC8" s="49">
        <v>21.991</v>
      </c>
      <c r="HD8" s="50">
        <v>86</v>
      </c>
      <c r="HE8" s="50">
        <v>0</v>
      </c>
      <c r="HF8" s="50">
        <v>0</v>
      </c>
      <c r="HG8" s="50">
        <v>90.1</v>
      </c>
      <c r="HH8" s="49">
        <v>81.39</v>
      </c>
      <c r="HI8" s="50">
        <v>0</v>
      </c>
      <c r="HJ8" s="50">
        <v>0</v>
      </c>
      <c r="HK8" s="50">
        <v>0</v>
      </c>
      <c r="HL8" s="50">
        <v>64</v>
      </c>
      <c r="HM8" s="50">
        <v>51</v>
      </c>
      <c r="HN8" s="49">
        <v>64</v>
      </c>
      <c r="HO8" s="49">
        <v>57</v>
      </c>
      <c r="HP8" s="49">
        <v>59</v>
      </c>
      <c r="HQ8" s="49">
        <v>57</v>
      </c>
      <c r="HR8" s="49">
        <v>50</v>
      </c>
      <c r="HS8" s="50">
        <v>70</v>
      </c>
      <c r="HT8" s="49">
        <v>-1.3660000000000001</v>
      </c>
      <c r="HU8" s="50">
        <v>0</v>
      </c>
      <c r="HV8" s="49">
        <v>1.0329999999999999</v>
      </c>
      <c r="HW8" s="50">
        <v>37.21</v>
      </c>
      <c r="HX8" s="49">
        <v>48.83</v>
      </c>
      <c r="HY8" s="3"/>
      <c r="HZ8" s="3"/>
      <c r="IA8" s="49">
        <v>2.2650000000000001</v>
      </c>
      <c r="IB8" s="49">
        <v>100</v>
      </c>
      <c r="IC8" s="49">
        <v>19.428999999999998</v>
      </c>
      <c r="ID8" s="50">
        <v>-0.18</v>
      </c>
      <c r="IE8" s="50">
        <v>-8.3000000000000004E-2</v>
      </c>
      <c r="IF8" s="50">
        <v>812.9</v>
      </c>
      <c r="IG8" s="49">
        <v>697</v>
      </c>
      <c r="IH8" s="50">
        <v>816.9</v>
      </c>
      <c r="II8" s="49">
        <v>710</v>
      </c>
      <c r="IJ8" s="49">
        <v>1.2E-2</v>
      </c>
      <c r="IK8" s="49">
        <v>2.8000000000000001E-2</v>
      </c>
      <c r="IL8" s="50">
        <v>164.12100000000001</v>
      </c>
      <c r="IM8" s="50">
        <v>163.98</v>
      </c>
      <c r="IN8" s="49">
        <v>13.13</v>
      </c>
      <c r="IO8" s="49">
        <v>0.13600000000000001</v>
      </c>
      <c r="IP8" s="50">
        <v>10.1</v>
      </c>
      <c r="IQ8" s="49">
        <v>8.9999999999999993E-3</v>
      </c>
      <c r="IR8" s="49">
        <v>5.0000000000000001E-3</v>
      </c>
    </row>
    <row r="9" spans="2:252" x14ac:dyDescent="0.25">
      <c r="B9" s="2" t="s">
        <v>410</v>
      </c>
      <c r="C9" s="2" t="s">
        <v>43</v>
      </c>
      <c r="D9" s="58">
        <v>2.4575231481481483E-3</v>
      </c>
      <c r="E9" s="49">
        <v>212.33</v>
      </c>
      <c r="F9" s="49">
        <v>327.92</v>
      </c>
      <c r="G9" s="50">
        <v>6.07</v>
      </c>
      <c r="H9" s="49">
        <v>27.1</v>
      </c>
      <c r="I9" s="49">
        <v>0</v>
      </c>
      <c r="J9" s="49">
        <v>11.5</v>
      </c>
      <c r="K9" s="50">
        <v>6</v>
      </c>
      <c r="L9" s="50">
        <v>4</v>
      </c>
      <c r="M9" s="50">
        <v>7</v>
      </c>
      <c r="N9" s="50">
        <v>3</v>
      </c>
      <c r="O9" s="50">
        <v>3</v>
      </c>
      <c r="P9" s="49">
        <v>0.40100000000000002</v>
      </c>
      <c r="Q9" s="49">
        <v>1.034</v>
      </c>
      <c r="R9" s="49">
        <v>0.28999999999999998</v>
      </c>
      <c r="S9" s="49">
        <v>0.20899999999999999</v>
      </c>
      <c r="T9" s="49">
        <v>87.06</v>
      </c>
      <c r="U9" s="49">
        <v>61.19</v>
      </c>
      <c r="V9" s="49">
        <v>226.66</v>
      </c>
      <c r="W9" s="49">
        <v>258.33999999999997</v>
      </c>
      <c r="X9" s="49">
        <v>137.5</v>
      </c>
      <c r="Y9" s="49">
        <v>175</v>
      </c>
      <c r="Z9" s="49">
        <v>378.4</v>
      </c>
      <c r="AA9" s="49">
        <v>408.52</v>
      </c>
      <c r="AB9" s="49">
        <v>276.02</v>
      </c>
      <c r="AC9" s="49">
        <v>341.81</v>
      </c>
      <c r="AD9" s="49">
        <v>1.7170000000000001</v>
      </c>
      <c r="AE9" s="49">
        <v>1.756</v>
      </c>
      <c r="AF9" s="49">
        <v>1.7470000000000001</v>
      </c>
      <c r="AG9" s="49">
        <v>1.7929999999999999</v>
      </c>
      <c r="AH9" s="49">
        <v>75.7</v>
      </c>
      <c r="AI9" s="49">
        <v>71.92</v>
      </c>
      <c r="AJ9" s="49">
        <v>105</v>
      </c>
      <c r="AK9" s="49">
        <v>96.08</v>
      </c>
      <c r="AL9" s="49">
        <v>696.32399999999996</v>
      </c>
      <c r="AM9" s="49">
        <v>706.37099999999998</v>
      </c>
      <c r="AN9" s="49">
        <v>854.84900000000005</v>
      </c>
      <c r="AO9" s="49">
        <v>826.26599999999996</v>
      </c>
      <c r="AP9" s="50">
        <v>1.4690000000000001</v>
      </c>
      <c r="AQ9" s="49">
        <v>1.9330000000000001</v>
      </c>
      <c r="AR9" s="49">
        <v>40.15</v>
      </c>
      <c r="AS9" s="49">
        <v>35.54</v>
      </c>
      <c r="AT9" s="49">
        <v>83</v>
      </c>
      <c r="AU9" s="49">
        <v>116</v>
      </c>
      <c r="AV9" s="49">
        <v>1.7845</v>
      </c>
      <c r="AW9" s="50">
        <v>5.1044999999999998</v>
      </c>
      <c r="AX9" s="50">
        <v>1018.6</v>
      </c>
      <c r="AY9" s="49">
        <v>2.33</v>
      </c>
      <c r="AZ9" s="49">
        <v>5.6</v>
      </c>
      <c r="BA9" s="49">
        <v>139.24600000000001</v>
      </c>
      <c r="BB9" s="49">
        <v>140.38499999999999</v>
      </c>
      <c r="BC9" s="50">
        <v>7889</v>
      </c>
      <c r="BD9" s="49">
        <v>89</v>
      </c>
      <c r="BE9" s="49">
        <v>16.254999999999999</v>
      </c>
      <c r="BF9" s="49">
        <v>14.335000000000001</v>
      </c>
      <c r="BG9" s="49">
        <v>28.78</v>
      </c>
      <c r="BH9" s="49">
        <v>27.44</v>
      </c>
      <c r="BI9" s="3"/>
      <c r="BJ9" s="3"/>
      <c r="BK9" s="3"/>
      <c r="BL9" s="3"/>
      <c r="BM9" s="3"/>
      <c r="BN9" s="49">
        <v>97.975999999999999</v>
      </c>
      <c r="BO9" s="49">
        <v>98.488</v>
      </c>
      <c r="BP9" s="49">
        <v>117.36799999999999</v>
      </c>
      <c r="BQ9" s="49">
        <v>122.152</v>
      </c>
      <c r="BR9" s="3"/>
      <c r="BS9" s="49">
        <v>26.8</v>
      </c>
      <c r="BT9" s="49">
        <v>7376.94</v>
      </c>
      <c r="BU9" s="49">
        <v>49.427</v>
      </c>
      <c r="BV9" s="49">
        <v>52.652999999999999</v>
      </c>
      <c r="BW9" s="49">
        <v>53.585000000000001</v>
      </c>
      <c r="BX9" s="49">
        <v>54.463999999999999</v>
      </c>
      <c r="BY9" s="49">
        <v>1.615</v>
      </c>
      <c r="BZ9" s="49">
        <v>3.0590000000000002</v>
      </c>
      <c r="CA9" s="49">
        <v>3.5310000000000001</v>
      </c>
      <c r="CB9" s="49">
        <v>3.45</v>
      </c>
      <c r="CC9" s="49">
        <v>1.302</v>
      </c>
      <c r="CD9" s="50">
        <v>2.5510000000000002</v>
      </c>
      <c r="CE9" s="49">
        <v>1.375</v>
      </c>
      <c r="CF9" s="49">
        <v>2.1869999999999998</v>
      </c>
      <c r="CG9" s="49">
        <v>13.944000000000001</v>
      </c>
      <c r="CH9" s="49">
        <v>13.778</v>
      </c>
      <c r="CI9" s="49">
        <v>3.9449999999999998</v>
      </c>
      <c r="CJ9" s="49">
        <v>3.7210000000000001</v>
      </c>
      <c r="CK9" s="50">
        <v>1.7509999999999999</v>
      </c>
      <c r="CL9" s="50">
        <v>0.1</v>
      </c>
      <c r="CM9" s="49">
        <v>0.3</v>
      </c>
      <c r="CN9" s="50">
        <v>0</v>
      </c>
      <c r="CO9" s="49">
        <v>0</v>
      </c>
      <c r="CP9" s="49">
        <v>93.863</v>
      </c>
      <c r="CQ9" s="49">
        <v>95.319000000000003</v>
      </c>
      <c r="CR9" s="49">
        <v>103.673</v>
      </c>
      <c r="CS9" s="49">
        <v>109.34</v>
      </c>
      <c r="CT9" s="49">
        <v>0.311</v>
      </c>
      <c r="CU9" s="49">
        <v>1.2</v>
      </c>
      <c r="CV9" s="49">
        <v>0.995</v>
      </c>
      <c r="CW9" s="49">
        <v>1.099</v>
      </c>
      <c r="CX9" s="49">
        <v>0.997</v>
      </c>
      <c r="CY9" s="49">
        <v>0.89800000000000002</v>
      </c>
      <c r="CZ9" s="49">
        <v>0.59899999999999998</v>
      </c>
      <c r="DA9" s="49">
        <v>0.59899999999999998</v>
      </c>
      <c r="DB9" s="49">
        <v>1.496</v>
      </c>
      <c r="DC9" s="50">
        <v>0</v>
      </c>
      <c r="DD9" s="50">
        <v>0</v>
      </c>
      <c r="DE9" s="49">
        <v>0.115</v>
      </c>
      <c r="DF9" s="50">
        <v>2.5000000000000001E-2</v>
      </c>
      <c r="DG9" s="49">
        <v>0.34799999999999998</v>
      </c>
      <c r="DH9" s="49">
        <v>1.139</v>
      </c>
      <c r="DI9" s="49">
        <v>0.76100000000000001</v>
      </c>
      <c r="DJ9" s="49">
        <v>9.4E-2</v>
      </c>
      <c r="DK9" s="49">
        <v>0.64800000000000002</v>
      </c>
      <c r="DL9" s="49">
        <v>0.41699999999999998</v>
      </c>
      <c r="DM9" s="49">
        <v>0.46800000000000003</v>
      </c>
      <c r="DN9" s="49">
        <v>0.26700000000000002</v>
      </c>
      <c r="DO9" s="49">
        <v>0.308</v>
      </c>
      <c r="DP9" s="50">
        <v>68.171000000000006</v>
      </c>
      <c r="DQ9" s="49">
        <v>58.244999999999997</v>
      </c>
      <c r="DR9" s="49">
        <v>53.78</v>
      </c>
      <c r="DS9" s="49">
        <v>51.113</v>
      </c>
      <c r="DT9" s="49">
        <v>7.21</v>
      </c>
      <c r="DU9" s="49">
        <v>6.81</v>
      </c>
      <c r="DV9" s="49">
        <v>14.36</v>
      </c>
      <c r="DW9" s="49">
        <v>11.29</v>
      </c>
      <c r="DX9" s="49">
        <v>7.52</v>
      </c>
      <c r="DY9" s="49">
        <v>7.12</v>
      </c>
      <c r="DZ9" s="49">
        <v>13.71</v>
      </c>
      <c r="EA9" s="49">
        <v>10.89</v>
      </c>
      <c r="EB9" s="50">
        <v>41.8</v>
      </c>
      <c r="EC9" s="50">
        <v>40.94</v>
      </c>
      <c r="ED9" s="50">
        <v>31.7</v>
      </c>
      <c r="EE9" s="49">
        <v>34.22</v>
      </c>
      <c r="EF9" s="49">
        <v>43.48</v>
      </c>
      <c r="EG9" s="49">
        <v>45.13</v>
      </c>
      <c r="EH9" s="49">
        <v>40.229999999999997</v>
      </c>
      <c r="EI9" s="49">
        <v>43.6</v>
      </c>
      <c r="EJ9" s="49">
        <v>6.7039999999999997</v>
      </c>
      <c r="EK9" s="50">
        <v>61.185000000000002</v>
      </c>
      <c r="EL9" s="49">
        <v>2.15</v>
      </c>
      <c r="EM9" s="49">
        <v>1.75</v>
      </c>
      <c r="EN9" s="50">
        <v>1.17</v>
      </c>
      <c r="EO9" s="50">
        <v>1.18</v>
      </c>
      <c r="EP9" s="49">
        <v>-117.026</v>
      </c>
      <c r="EQ9" s="49">
        <v>-2.274</v>
      </c>
      <c r="ER9" s="49">
        <v>106.938</v>
      </c>
      <c r="ES9" s="50">
        <v>1.54</v>
      </c>
      <c r="ET9" s="50">
        <v>1.649</v>
      </c>
      <c r="EU9" s="50">
        <v>1.478</v>
      </c>
      <c r="EV9" s="50">
        <v>8.0860000000000003</v>
      </c>
      <c r="EW9" s="50">
        <v>2.9289999999999998</v>
      </c>
      <c r="EX9" s="49">
        <v>75</v>
      </c>
      <c r="EY9" s="49">
        <v>0</v>
      </c>
      <c r="EZ9" s="50">
        <v>0.432</v>
      </c>
      <c r="FA9" s="50">
        <v>0</v>
      </c>
      <c r="FB9" s="49">
        <v>9.15</v>
      </c>
      <c r="FC9" s="49">
        <v>68.11</v>
      </c>
      <c r="FD9" s="49">
        <v>63.695999999999998</v>
      </c>
      <c r="FE9" s="49">
        <v>74.03</v>
      </c>
      <c r="FF9" s="49">
        <v>71.072999999999993</v>
      </c>
      <c r="FG9" s="49">
        <v>0.91300000000000003</v>
      </c>
      <c r="FH9" s="49">
        <v>0.91400000000000003</v>
      </c>
      <c r="FI9" s="49">
        <v>0.997</v>
      </c>
      <c r="FJ9" s="49">
        <v>1</v>
      </c>
      <c r="FK9" s="49">
        <v>0</v>
      </c>
      <c r="FL9" s="49">
        <v>83</v>
      </c>
      <c r="FM9" s="50">
        <v>3.83</v>
      </c>
      <c r="FN9" s="49">
        <v>2.36</v>
      </c>
      <c r="FO9" s="49">
        <v>5.4</v>
      </c>
      <c r="FP9" s="3"/>
      <c r="FQ9" s="49">
        <v>4.75</v>
      </c>
      <c r="FR9" s="49">
        <v>5.15</v>
      </c>
      <c r="FS9" s="50">
        <v>6.8070000000000004</v>
      </c>
      <c r="FT9" s="49">
        <v>1077.4000000000001</v>
      </c>
      <c r="FU9" s="50">
        <v>7.17</v>
      </c>
      <c r="FV9" s="49">
        <v>11.64</v>
      </c>
      <c r="FW9" s="49">
        <v>3116</v>
      </c>
      <c r="FX9" s="50">
        <v>170100</v>
      </c>
      <c r="FY9" s="50">
        <v>172500</v>
      </c>
      <c r="FZ9" s="49">
        <v>47.570999999999998</v>
      </c>
      <c r="GA9" s="49">
        <v>47.698</v>
      </c>
      <c r="GB9" s="50">
        <v>2253.1</v>
      </c>
      <c r="GC9" s="49">
        <v>2205.9</v>
      </c>
      <c r="GD9" s="50">
        <v>2253.1</v>
      </c>
      <c r="GE9" s="49">
        <v>2205.9</v>
      </c>
      <c r="GF9" s="50">
        <v>1425.9375</v>
      </c>
      <c r="GG9" s="49">
        <v>29</v>
      </c>
      <c r="GH9" s="49">
        <v>28.9</v>
      </c>
      <c r="GI9" s="49">
        <v>47.8</v>
      </c>
      <c r="GJ9" s="49">
        <v>53.2</v>
      </c>
      <c r="GK9" s="49">
        <v>99.5</v>
      </c>
      <c r="GL9" s="49">
        <v>77.3</v>
      </c>
      <c r="GM9" s="50">
        <v>0</v>
      </c>
      <c r="GN9" s="49">
        <v>27.795999999999999</v>
      </c>
      <c r="GO9" s="49">
        <v>117.026</v>
      </c>
      <c r="GP9" s="49">
        <v>0.88500000000000001</v>
      </c>
      <c r="GQ9" s="49">
        <v>1.8879999999999999</v>
      </c>
      <c r="GR9" s="49">
        <v>1.298</v>
      </c>
      <c r="GS9" s="49">
        <v>2.0649999999999999</v>
      </c>
      <c r="GT9" s="49">
        <v>0.76700000000000002</v>
      </c>
      <c r="GU9" s="49">
        <v>1.8879999999999999</v>
      </c>
      <c r="GV9" s="49">
        <v>12.837999999999999</v>
      </c>
      <c r="GW9" s="49">
        <v>13.866</v>
      </c>
      <c r="GX9" s="49">
        <v>15.092000000000001</v>
      </c>
      <c r="GY9" s="50">
        <v>0</v>
      </c>
      <c r="GZ9" s="50">
        <v>0</v>
      </c>
      <c r="HA9" s="50">
        <v>0</v>
      </c>
      <c r="HB9" s="49">
        <v>0</v>
      </c>
      <c r="HC9" s="49">
        <v>23.164999999999999</v>
      </c>
      <c r="HD9" s="49">
        <v>78</v>
      </c>
      <c r="HE9" s="50">
        <v>0</v>
      </c>
      <c r="HF9" s="50">
        <v>0</v>
      </c>
      <c r="HG9" s="49">
        <v>69.239999999999995</v>
      </c>
      <c r="HH9" s="50">
        <v>81.59</v>
      </c>
      <c r="HI9" s="50">
        <v>0</v>
      </c>
      <c r="HJ9" s="50">
        <v>0</v>
      </c>
      <c r="HK9" s="50">
        <v>0</v>
      </c>
      <c r="HL9" s="49">
        <v>61</v>
      </c>
      <c r="HM9" s="50">
        <v>51</v>
      </c>
      <c r="HN9" s="49">
        <v>64</v>
      </c>
      <c r="HO9" s="49">
        <v>58</v>
      </c>
      <c r="HP9" s="49">
        <v>60</v>
      </c>
      <c r="HQ9" s="49">
        <v>59</v>
      </c>
      <c r="HR9" s="49">
        <v>50</v>
      </c>
      <c r="HS9" s="49">
        <v>62</v>
      </c>
      <c r="HT9" s="50">
        <v>-1.4015</v>
      </c>
      <c r="HU9" s="50">
        <v>0</v>
      </c>
      <c r="HV9" s="50">
        <v>1.2669999999999999</v>
      </c>
      <c r="HW9" s="50">
        <v>37.21</v>
      </c>
      <c r="HX9" s="49">
        <v>43.92</v>
      </c>
      <c r="HY9" s="49">
        <v>48.66</v>
      </c>
      <c r="HZ9" s="49">
        <v>60.22</v>
      </c>
      <c r="IA9" s="49">
        <v>2.585</v>
      </c>
      <c r="IB9" s="50">
        <v>104</v>
      </c>
      <c r="IC9" s="49">
        <v>22.228000000000002</v>
      </c>
      <c r="ID9" s="49">
        <v>-0.36799999999999999</v>
      </c>
      <c r="IE9" s="49">
        <v>-0.17799999999999999</v>
      </c>
      <c r="IF9" s="49">
        <v>805.5</v>
      </c>
      <c r="IG9" s="49">
        <v>759.6</v>
      </c>
      <c r="IH9" s="49">
        <v>814.8</v>
      </c>
      <c r="II9" s="49">
        <v>770.8</v>
      </c>
      <c r="IJ9" s="50">
        <v>1.6E-2</v>
      </c>
      <c r="IK9" s="49">
        <v>2.5000000000000001E-2</v>
      </c>
      <c r="IL9" s="49">
        <v>67.149000000000001</v>
      </c>
      <c r="IM9" s="49">
        <v>67.149000000000001</v>
      </c>
      <c r="IN9" s="49">
        <v>11.327</v>
      </c>
      <c r="IO9" s="49">
        <v>0.26300000000000001</v>
      </c>
      <c r="IP9" s="49">
        <v>9.8699999999999992</v>
      </c>
      <c r="IQ9" s="50">
        <v>1.2999999999999999E-2</v>
      </c>
      <c r="IR9" s="50">
        <v>6.0000000000000001E-3</v>
      </c>
    </row>
    <row r="10" spans="2:252" x14ac:dyDescent="0.25">
      <c r="B10" s="2" t="s">
        <v>410</v>
      </c>
      <c r="C10" s="2" t="s">
        <v>43</v>
      </c>
      <c r="D10" s="58">
        <v>2.4393518518518518E-3</v>
      </c>
      <c r="E10" s="49">
        <v>210.76</v>
      </c>
      <c r="F10" s="50">
        <v>330.56</v>
      </c>
      <c r="G10" s="50">
        <v>6.07</v>
      </c>
      <c r="H10" s="49">
        <v>27.2</v>
      </c>
      <c r="I10" s="49">
        <v>0</v>
      </c>
      <c r="J10" s="49">
        <v>13.7</v>
      </c>
      <c r="K10" s="50">
        <v>6</v>
      </c>
      <c r="L10" s="50">
        <v>4</v>
      </c>
      <c r="M10" s="50">
        <v>7</v>
      </c>
      <c r="N10" s="50">
        <v>3</v>
      </c>
      <c r="O10" s="50">
        <v>3</v>
      </c>
      <c r="P10" s="49">
        <v>0.42399999999999999</v>
      </c>
      <c r="Q10" s="49">
        <v>0.93100000000000005</v>
      </c>
      <c r="R10" s="49">
        <v>0.24</v>
      </c>
      <c r="S10" s="49">
        <v>0.27100000000000002</v>
      </c>
      <c r="T10" s="50">
        <v>93.72</v>
      </c>
      <c r="U10" s="49">
        <v>60.965000000000003</v>
      </c>
      <c r="V10" s="49">
        <v>238.34</v>
      </c>
      <c r="W10" s="49">
        <v>235</v>
      </c>
      <c r="X10" s="49">
        <v>187.5</v>
      </c>
      <c r="Y10" s="49">
        <v>225</v>
      </c>
      <c r="Z10" s="49">
        <v>388.7</v>
      </c>
      <c r="AA10" s="49">
        <v>390.52</v>
      </c>
      <c r="AB10" s="50">
        <v>316.60000000000002</v>
      </c>
      <c r="AC10" s="50">
        <v>380.46</v>
      </c>
      <c r="AD10" s="49">
        <v>1.7529999999999999</v>
      </c>
      <c r="AE10" s="49">
        <v>1.7949999999999999</v>
      </c>
      <c r="AF10" s="49">
        <v>1.827</v>
      </c>
      <c r="AG10" s="49">
        <v>1.867</v>
      </c>
      <c r="AH10" s="49">
        <v>81.41</v>
      </c>
      <c r="AI10" s="49">
        <v>80.010000000000005</v>
      </c>
      <c r="AJ10" s="49">
        <v>117.79</v>
      </c>
      <c r="AK10" s="49">
        <v>107.42</v>
      </c>
      <c r="AL10" s="50">
        <v>778.29700000000003</v>
      </c>
      <c r="AM10" s="49">
        <v>894.88800000000003</v>
      </c>
      <c r="AN10" s="50">
        <v>904.452</v>
      </c>
      <c r="AO10" s="50">
        <v>835.83799999999997</v>
      </c>
      <c r="AP10" s="49">
        <v>1.464</v>
      </c>
      <c r="AQ10" s="49">
        <v>1.9279999999999999</v>
      </c>
      <c r="AR10" s="50">
        <v>40.545999999999999</v>
      </c>
      <c r="AS10" s="50">
        <v>38.348999999999997</v>
      </c>
      <c r="AT10" s="49">
        <v>83</v>
      </c>
      <c r="AU10" s="49">
        <v>119</v>
      </c>
      <c r="AV10" s="50">
        <v>1.569</v>
      </c>
      <c r="AW10" s="49">
        <v>5.0918000000000001</v>
      </c>
      <c r="AX10" s="49">
        <v>1017.9</v>
      </c>
      <c r="AY10" s="49">
        <v>2.35</v>
      </c>
      <c r="AZ10" s="50">
        <v>5.55</v>
      </c>
      <c r="BA10" s="49">
        <v>140.92400000000001</v>
      </c>
      <c r="BB10" s="49">
        <v>139.68799999999999</v>
      </c>
      <c r="BC10" s="49">
        <v>7835</v>
      </c>
      <c r="BD10" s="49">
        <v>88.5</v>
      </c>
      <c r="BE10" s="50">
        <v>18.454999999999998</v>
      </c>
      <c r="BF10" s="50">
        <v>15.645</v>
      </c>
      <c r="BG10" s="49">
        <v>29.37</v>
      </c>
      <c r="BH10" s="49">
        <v>27.89</v>
      </c>
      <c r="BI10" s="3"/>
      <c r="BJ10" s="3"/>
      <c r="BK10" s="3"/>
      <c r="BL10" s="3"/>
      <c r="BM10" s="3"/>
      <c r="BN10" s="49">
        <v>99.64</v>
      </c>
      <c r="BO10" s="49">
        <v>101.48</v>
      </c>
      <c r="BP10" s="49">
        <v>129.72</v>
      </c>
      <c r="BQ10" s="49">
        <v>133.36799999999999</v>
      </c>
      <c r="BR10" s="3"/>
      <c r="BS10" s="49">
        <v>26.9</v>
      </c>
      <c r="BT10" s="50">
        <v>7396.0940000000001</v>
      </c>
      <c r="BU10" s="49">
        <v>51.7</v>
      </c>
      <c r="BV10" s="50">
        <v>54.813000000000002</v>
      </c>
      <c r="BW10" s="49">
        <v>52.448999999999998</v>
      </c>
      <c r="BX10" s="49">
        <v>54.222999999999999</v>
      </c>
      <c r="BY10" s="49">
        <v>1.417</v>
      </c>
      <c r="BZ10" s="50">
        <v>3.2509999999999999</v>
      </c>
      <c r="CA10" s="50">
        <v>3.8610000000000002</v>
      </c>
      <c r="CB10" s="50">
        <v>3.835</v>
      </c>
      <c r="CC10" s="50">
        <v>1.417</v>
      </c>
      <c r="CD10" s="49">
        <v>2.4239999999999999</v>
      </c>
      <c r="CE10" s="49">
        <v>1.345</v>
      </c>
      <c r="CF10" s="49">
        <v>2.1989999999999998</v>
      </c>
      <c r="CG10" s="49">
        <v>13.943</v>
      </c>
      <c r="CH10" s="49">
        <v>13.759</v>
      </c>
      <c r="CI10" s="49">
        <v>3.4740000000000002</v>
      </c>
      <c r="CJ10" s="50">
        <v>3.774</v>
      </c>
      <c r="CK10" s="49">
        <v>1.7110000000000001</v>
      </c>
      <c r="CL10" s="49">
        <v>0</v>
      </c>
      <c r="CM10" s="50">
        <v>5.0999999999999996</v>
      </c>
      <c r="CN10" s="50">
        <v>0</v>
      </c>
      <c r="CO10" s="50">
        <v>0.1</v>
      </c>
      <c r="CP10" s="49">
        <v>95.903000000000006</v>
      </c>
      <c r="CQ10" s="49">
        <v>96.100999999999999</v>
      </c>
      <c r="CR10" s="49">
        <v>119.596</v>
      </c>
      <c r="CS10" s="49">
        <v>125.05200000000001</v>
      </c>
      <c r="CT10" s="49">
        <v>0.29099999999999998</v>
      </c>
      <c r="CU10" s="49">
        <v>0.499</v>
      </c>
      <c r="CV10" s="49">
        <v>0.7</v>
      </c>
      <c r="CW10" s="49">
        <v>0.90200000000000002</v>
      </c>
      <c r="CX10" s="49">
        <v>1.4</v>
      </c>
      <c r="CY10" s="49">
        <v>0.9</v>
      </c>
      <c r="CZ10" s="49">
        <v>1</v>
      </c>
      <c r="DA10" s="49">
        <v>0.90100000000000002</v>
      </c>
      <c r="DB10" s="49">
        <v>1.3</v>
      </c>
      <c r="DC10" s="50">
        <v>0</v>
      </c>
      <c r="DD10" s="50">
        <v>0</v>
      </c>
      <c r="DE10" s="49">
        <v>0.106</v>
      </c>
      <c r="DF10" s="49">
        <v>1.7000000000000001E-2</v>
      </c>
      <c r="DG10" s="50">
        <v>0.98199999999999998</v>
      </c>
      <c r="DH10" s="50">
        <v>1.2410000000000001</v>
      </c>
      <c r="DI10" s="49">
        <v>0.76900000000000002</v>
      </c>
      <c r="DJ10" s="49">
        <v>2.7E-2</v>
      </c>
      <c r="DK10" s="49">
        <v>0.45800000000000002</v>
      </c>
      <c r="DL10" s="49">
        <v>0.39800000000000002</v>
      </c>
      <c r="DM10" s="49">
        <v>0.44700000000000001</v>
      </c>
      <c r="DN10" s="50">
        <v>0.46800000000000003</v>
      </c>
      <c r="DO10" s="49">
        <v>0.38300000000000001</v>
      </c>
      <c r="DP10" s="49">
        <v>64.066000000000003</v>
      </c>
      <c r="DQ10" s="50">
        <v>59.536999999999999</v>
      </c>
      <c r="DR10" s="50">
        <v>54.149000000000001</v>
      </c>
      <c r="DS10" s="49">
        <v>51.962000000000003</v>
      </c>
      <c r="DT10" s="49">
        <v>9.51</v>
      </c>
      <c r="DU10" s="49">
        <v>13.83</v>
      </c>
      <c r="DV10" s="50">
        <v>16.02</v>
      </c>
      <c r="DW10" s="50">
        <v>12.16</v>
      </c>
      <c r="DX10" s="49">
        <v>9.77</v>
      </c>
      <c r="DY10" s="49">
        <v>14.09</v>
      </c>
      <c r="DZ10" s="50">
        <v>15.49</v>
      </c>
      <c r="EA10" s="50">
        <v>11.82</v>
      </c>
      <c r="EB10" s="49">
        <v>39.4</v>
      </c>
      <c r="EC10" s="49">
        <v>34.64</v>
      </c>
      <c r="ED10" s="49">
        <v>30.93</v>
      </c>
      <c r="EE10" s="49">
        <v>34.22</v>
      </c>
      <c r="EF10" s="49">
        <v>41.32</v>
      </c>
      <c r="EG10" s="49">
        <v>37.44</v>
      </c>
      <c r="EH10" s="49">
        <v>37.56</v>
      </c>
      <c r="EI10" s="49">
        <v>41.81</v>
      </c>
      <c r="EJ10" s="49">
        <v>6.4850000000000003</v>
      </c>
      <c r="EK10" s="49">
        <v>60.924999999999997</v>
      </c>
      <c r="EL10" s="49">
        <v>2.2000000000000002</v>
      </c>
      <c r="EM10" s="49">
        <v>1.8</v>
      </c>
      <c r="EN10" s="49">
        <v>1.1599999999999999</v>
      </c>
      <c r="EO10" s="49">
        <v>1.17</v>
      </c>
      <c r="EP10" s="50">
        <v>-118.77800000000001</v>
      </c>
      <c r="EQ10" s="49">
        <v>-2.57</v>
      </c>
      <c r="ER10" s="49">
        <v>116.282</v>
      </c>
      <c r="ES10" s="49">
        <v>1.494</v>
      </c>
      <c r="ET10" s="49">
        <v>1.6459999999999999</v>
      </c>
      <c r="EU10" s="49">
        <v>1.4470000000000001</v>
      </c>
      <c r="EV10" s="49">
        <v>7.8780000000000001</v>
      </c>
      <c r="EW10" s="49">
        <v>2.7210000000000001</v>
      </c>
      <c r="EX10" s="50">
        <v>75.010000000000005</v>
      </c>
      <c r="EY10" s="49">
        <v>0</v>
      </c>
      <c r="EZ10" s="49">
        <v>0</v>
      </c>
      <c r="FA10" s="50">
        <v>0</v>
      </c>
      <c r="FB10" s="49">
        <v>9.1430000000000007</v>
      </c>
      <c r="FC10" s="49">
        <v>72.049000000000007</v>
      </c>
      <c r="FD10" s="49">
        <v>67.191999999999993</v>
      </c>
      <c r="FE10" s="49">
        <v>83.266000000000005</v>
      </c>
      <c r="FF10" s="49">
        <v>79.281999999999996</v>
      </c>
      <c r="FG10" s="49">
        <v>0.91200000000000003</v>
      </c>
      <c r="FH10" s="49">
        <v>0.91300000000000003</v>
      </c>
      <c r="FI10" s="49">
        <v>0.996</v>
      </c>
      <c r="FJ10" s="49">
        <v>1</v>
      </c>
      <c r="FK10" s="49">
        <v>0</v>
      </c>
      <c r="FL10" s="49">
        <v>83</v>
      </c>
      <c r="FM10" s="49">
        <v>3.7</v>
      </c>
      <c r="FN10" s="49">
        <v>1.8</v>
      </c>
      <c r="FO10" s="50">
        <v>5.35</v>
      </c>
      <c r="FP10" s="3"/>
      <c r="FQ10" s="49">
        <v>4.6500000000000004</v>
      </c>
      <c r="FR10" s="49">
        <v>5.0999999999999996</v>
      </c>
      <c r="FS10" s="49">
        <v>6.7619999999999996</v>
      </c>
      <c r="FT10" s="49">
        <v>1069.3</v>
      </c>
      <c r="FU10" s="49">
        <v>6.36</v>
      </c>
      <c r="FV10" s="49">
        <v>17.71</v>
      </c>
      <c r="FW10" s="50">
        <v>3125.5</v>
      </c>
      <c r="FX10" s="49">
        <v>166500</v>
      </c>
      <c r="FY10" s="49">
        <v>168000</v>
      </c>
      <c r="FZ10" s="49">
        <v>47.305</v>
      </c>
      <c r="GA10" s="49">
        <v>47.585000000000001</v>
      </c>
      <c r="GB10" s="49">
        <v>2146.1</v>
      </c>
      <c r="GC10" s="49">
        <v>2147.8000000000002</v>
      </c>
      <c r="GD10" s="49">
        <v>2221</v>
      </c>
      <c r="GE10" s="49">
        <v>2174.8000000000002</v>
      </c>
      <c r="GF10" s="49">
        <v>1396.2344000000001</v>
      </c>
      <c r="GG10" s="49">
        <v>29</v>
      </c>
      <c r="GH10" s="49">
        <v>29.4</v>
      </c>
      <c r="GI10" s="49">
        <v>46.8</v>
      </c>
      <c r="GJ10" s="49">
        <v>51.5</v>
      </c>
      <c r="GK10" s="49">
        <v>99.5</v>
      </c>
      <c r="GL10" s="49">
        <v>77.099999999999994</v>
      </c>
      <c r="GM10" s="50">
        <v>0</v>
      </c>
      <c r="GN10" s="49">
        <v>26.353000000000002</v>
      </c>
      <c r="GO10" s="49">
        <v>118.77800000000001</v>
      </c>
      <c r="GP10" s="49">
        <v>0.53100000000000003</v>
      </c>
      <c r="GQ10" s="49">
        <v>1.9470000000000001</v>
      </c>
      <c r="GR10" s="49">
        <v>1.298</v>
      </c>
      <c r="GS10" s="49">
        <v>2.0059999999999998</v>
      </c>
      <c r="GT10" s="49">
        <v>0.70799999999999996</v>
      </c>
      <c r="GU10" s="49">
        <v>1.829</v>
      </c>
      <c r="GV10" s="49">
        <v>12.74</v>
      </c>
      <c r="GW10" s="50">
        <v>13.87</v>
      </c>
      <c r="GX10" s="49">
        <v>15.288</v>
      </c>
      <c r="GY10" s="50">
        <v>0</v>
      </c>
      <c r="GZ10" s="50">
        <v>0</v>
      </c>
      <c r="HA10" s="50">
        <v>0</v>
      </c>
      <c r="HB10" s="49">
        <v>0</v>
      </c>
      <c r="HC10" s="49">
        <v>23.216000000000001</v>
      </c>
      <c r="HD10" s="49">
        <v>78</v>
      </c>
      <c r="HE10" s="50">
        <v>0</v>
      </c>
      <c r="HF10" s="50">
        <v>0</v>
      </c>
      <c r="HG10" s="49">
        <v>70.36</v>
      </c>
      <c r="HH10" s="49">
        <v>81.180000000000007</v>
      </c>
      <c r="HI10" s="50">
        <v>0</v>
      </c>
      <c r="HJ10" s="50">
        <v>0</v>
      </c>
      <c r="HK10" s="50">
        <v>0</v>
      </c>
      <c r="HL10" s="49">
        <v>60</v>
      </c>
      <c r="HM10" s="50">
        <v>51</v>
      </c>
      <c r="HN10" s="50">
        <v>65</v>
      </c>
      <c r="HO10" s="49">
        <v>58</v>
      </c>
      <c r="HP10" s="49">
        <v>61</v>
      </c>
      <c r="HQ10" s="49">
        <v>59</v>
      </c>
      <c r="HR10" s="49">
        <v>50</v>
      </c>
      <c r="HS10" s="49">
        <v>64</v>
      </c>
      <c r="HT10" s="49">
        <v>-1.3859999999999999</v>
      </c>
      <c r="HU10" s="50">
        <v>0</v>
      </c>
      <c r="HV10" s="49">
        <v>1.0429999999999999</v>
      </c>
      <c r="HW10" s="49">
        <v>40.299999999999997</v>
      </c>
      <c r="HX10" s="50">
        <v>43.82</v>
      </c>
      <c r="HY10" s="50">
        <v>50.93</v>
      </c>
      <c r="HZ10" s="50">
        <v>62.44</v>
      </c>
      <c r="IA10" s="50">
        <v>2.8719999999999999</v>
      </c>
      <c r="IB10" s="50">
        <v>104</v>
      </c>
      <c r="IC10" s="50">
        <v>22.783999999999999</v>
      </c>
      <c r="ID10" s="49">
        <v>-0.40600000000000003</v>
      </c>
      <c r="IE10" s="49">
        <v>-0.19800000000000001</v>
      </c>
      <c r="IF10" s="49">
        <v>803.2</v>
      </c>
      <c r="IG10" s="50">
        <v>761.4</v>
      </c>
      <c r="IH10" s="49">
        <v>816</v>
      </c>
      <c r="II10" s="50">
        <v>772.6</v>
      </c>
      <c r="IJ10" s="49">
        <v>-0.01</v>
      </c>
      <c r="IK10" s="50">
        <v>3.9E-2</v>
      </c>
      <c r="IL10" s="49">
        <v>66.528999999999996</v>
      </c>
      <c r="IM10" s="49">
        <v>66.528999999999996</v>
      </c>
      <c r="IN10" s="49">
        <v>11.247</v>
      </c>
      <c r="IO10" s="50">
        <v>0.27300000000000002</v>
      </c>
      <c r="IP10" s="49">
        <v>9.77</v>
      </c>
      <c r="IQ10" s="49">
        <v>0.01</v>
      </c>
      <c r="IR10" s="49">
        <v>4.0000000000000001E-3</v>
      </c>
    </row>
    <row r="11" spans="2:252" x14ac:dyDescent="0.25">
      <c r="B11" s="2" t="s">
        <v>410</v>
      </c>
      <c r="C11" s="2" t="s">
        <v>44</v>
      </c>
      <c r="D11" s="58">
        <v>2.8026620370370371E-3</v>
      </c>
      <c r="E11" s="49">
        <v>242.15100000000001</v>
      </c>
      <c r="F11" s="49">
        <v>330.47</v>
      </c>
      <c r="G11" s="49">
        <v>5.94</v>
      </c>
      <c r="H11" s="50">
        <v>27.4</v>
      </c>
      <c r="I11" s="49">
        <v>0</v>
      </c>
      <c r="J11" s="49">
        <v>16.8</v>
      </c>
      <c r="K11" s="50">
        <v>6</v>
      </c>
      <c r="L11" s="50">
        <v>4</v>
      </c>
      <c r="M11" s="50">
        <v>7</v>
      </c>
      <c r="N11" s="50">
        <v>3</v>
      </c>
      <c r="O11" s="50">
        <v>3</v>
      </c>
      <c r="P11" s="49">
        <v>0.34899999999999998</v>
      </c>
      <c r="Q11" s="49">
        <v>0.81200000000000006</v>
      </c>
      <c r="R11" s="49">
        <v>0.23699999999999999</v>
      </c>
      <c r="S11" s="49">
        <v>0.19700000000000001</v>
      </c>
      <c r="T11" s="49">
        <v>88.02</v>
      </c>
      <c r="U11" s="49">
        <v>60.674999999999997</v>
      </c>
      <c r="V11" s="49">
        <v>248.34</v>
      </c>
      <c r="W11" s="49">
        <v>268.33999999999997</v>
      </c>
      <c r="X11" s="49">
        <v>205</v>
      </c>
      <c r="Y11" s="49">
        <v>248.34</v>
      </c>
      <c r="Z11" s="50">
        <v>390.09</v>
      </c>
      <c r="AA11" s="50">
        <v>416.13</v>
      </c>
      <c r="AB11" s="49">
        <v>312.35000000000002</v>
      </c>
      <c r="AC11" s="49">
        <v>380.22</v>
      </c>
      <c r="AD11" s="50">
        <v>1.768</v>
      </c>
      <c r="AE11" s="50">
        <v>1.821</v>
      </c>
      <c r="AF11" s="50">
        <v>1.865</v>
      </c>
      <c r="AG11" s="50">
        <v>1.9039999999999999</v>
      </c>
      <c r="AH11" s="50">
        <v>82.79</v>
      </c>
      <c r="AI11" s="50">
        <v>81.599999999999994</v>
      </c>
      <c r="AJ11" s="50">
        <v>120.81</v>
      </c>
      <c r="AK11" s="50">
        <v>110.92</v>
      </c>
      <c r="AL11" s="49">
        <v>729.89800000000002</v>
      </c>
      <c r="AM11" s="50">
        <v>999.16800000000001</v>
      </c>
      <c r="AN11" s="49">
        <v>853.976</v>
      </c>
      <c r="AO11" s="49">
        <v>783.29899999999998</v>
      </c>
      <c r="AP11" s="50">
        <v>1.4690000000000001</v>
      </c>
      <c r="AQ11" s="49">
        <v>1.9179999999999999</v>
      </c>
      <c r="AR11" s="49">
        <v>39.704000000000001</v>
      </c>
      <c r="AS11" s="49">
        <v>37.844999999999999</v>
      </c>
      <c r="AT11" s="49">
        <v>83</v>
      </c>
      <c r="AU11" s="50">
        <v>120</v>
      </c>
      <c r="AV11" s="49">
        <v>2.0225</v>
      </c>
      <c r="AW11" s="49">
        <v>4.9574999999999996</v>
      </c>
      <c r="AX11" s="49">
        <v>1017.9</v>
      </c>
      <c r="AY11" s="49">
        <v>2.39</v>
      </c>
      <c r="AZ11" s="49">
        <v>5.58</v>
      </c>
      <c r="BA11" s="50">
        <v>69.203000000000003</v>
      </c>
      <c r="BB11" s="50">
        <v>69.599999999999994</v>
      </c>
      <c r="BC11" s="49">
        <v>7769</v>
      </c>
      <c r="BD11" s="49">
        <v>89.5</v>
      </c>
      <c r="BE11" s="49">
        <v>16.635000000000002</v>
      </c>
      <c r="BF11" s="49">
        <v>14.76</v>
      </c>
      <c r="BG11" s="50">
        <v>30.53</v>
      </c>
      <c r="BH11" s="50">
        <v>28.35</v>
      </c>
      <c r="BI11" s="50">
        <v>65.491</v>
      </c>
      <c r="BJ11" s="49">
        <v>80.082999999999998</v>
      </c>
      <c r="BK11" s="50">
        <v>63.948</v>
      </c>
      <c r="BL11" s="49">
        <v>75.617999999999995</v>
      </c>
      <c r="BM11" s="50">
        <v>79.882999999999996</v>
      </c>
      <c r="BN11" s="49">
        <v>117.24</v>
      </c>
      <c r="BO11" s="49">
        <v>116.184</v>
      </c>
      <c r="BP11" s="50">
        <v>140.28</v>
      </c>
      <c r="BQ11" s="50">
        <v>144.61600000000001</v>
      </c>
      <c r="BR11" s="50">
        <v>59.651000000000003</v>
      </c>
      <c r="BS11" s="50">
        <v>27.1</v>
      </c>
      <c r="BT11" s="49">
        <v>7289.3069999999998</v>
      </c>
      <c r="BU11" s="49">
        <v>51.408999999999999</v>
      </c>
      <c r="BV11" s="49">
        <v>53.343000000000004</v>
      </c>
      <c r="BW11" s="49">
        <v>54.003</v>
      </c>
      <c r="BX11" s="49">
        <v>52.25</v>
      </c>
      <c r="BY11" s="50">
        <v>1.879</v>
      </c>
      <c r="BZ11" s="49">
        <v>3.1389999999999998</v>
      </c>
      <c r="CA11" s="49">
        <v>3.2090000000000001</v>
      </c>
      <c r="CB11" s="49">
        <v>3.7069999999999999</v>
      </c>
      <c r="CC11" s="49">
        <v>1.3620000000000001</v>
      </c>
      <c r="CD11" s="49">
        <v>2.411</v>
      </c>
      <c r="CE11" s="50">
        <v>1.5089999999999999</v>
      </c>
      <c r="CF11" s="49">
        <v>2.2330000000000001</v>
      </c>
      <c r="CG11" s="50">
        <v>13.958</v>
      </c>
      <c r="CH11" s="49">
        <v>13.746</v>
      </c>
      <c r="CI11" s="3"/>
      <c r="CJ11" s="3"/>
      <c r="CK11" s="3"/>
      <c r="CL11" s="49">
        <v>0</v>
      </c>
      <c r="CM11" s="49">
        <v>0.2</v>
      </c>
      <c r="CN11" s="50">
        <v>0</v>
      </c>
      <c r="CO11" s="49">
        <v>0</v>
      </c>
      <c r="CP11" s="49">
        <v>98.706999999999994</v>
      </c>
      <c r="CQ11" s="49">
        <v>96.540999999999997</v>
      </c>
      <c r="CR11" s="50">
        <v>128.125</v>
      </c>
      <c r="CS11" s="50">
        <v>133.369</v>
      </c>
      <c r="CT11" s="50">
        <v>0.40600000000000003</v>
      </c>
      <c r="CU11" s="50">
        <v>3.3380000000000001</v>
      </c>
      <c r="CV11" s="50">
        <v>4.1369999999999996</v>
      </c>
      <c r="CW11" s="50">
        <v>3.44</v>
      </c>
      <c r="CX11" s="50">
        <v>3.7389999999999999</v>
      </c>
      <c r="CY11" s="50">
        <v>3.2370000000000001</v>
      </c>
      <c r="CZ11" s="50">
        <v>3.04</v>
      </c>
      <c r="DA11" s="50">
        <v>3.04</v>
      </c>
      <c r="DB11" s="50">
        <v>3.8370000000000002</v>
      </c>
      <c r="DC11" s="50">
        <v>0</v>
      </c>
      <c r="DD11" s="50">
        <v>0</v>
      </c>
      <c r="DE11" s="49">
        <v>7.5999999999999998E-2</v>
      </c>
      <c r="DF11" s="49">
        <v>-6.0000000000000001E-3</v>
      </c>
      <c r="DG11" s="49">
        <v>9.5000000000000001E-2</v>
      </c>
      <c r="DH11" s="49">
        <v>0.99099999999999999</v>
      </c>
      <c r="DI11" s="49">
        <v>0.70799999999999996</v>
      </c>
      <c r="DJ11" s="49">
        <v>-2.5999999999999999E-2</v>
      </c>
      <c r="DK11" s="49">
        <v>0.63200000000000001</v>
      </c>
      <c r="DL11" s="49">
        <v>0.34899999999999998</v>
      </c>
      <c r="DM11" s="49">
        <v>0.21</v>
      </c>
      <c r="DN11" s="49">
        <v>0.42599999999999999</v>
      </c>
      <c r="DO11" s="49">
        <v>0.183</v>
      </c>
      <c r="DP11" s="49">
        <v>67.884</v>
      </c>
      <c r="DQ11" s="49">
        <v>56.326999999999998</v>
      </c>
      <c r="DR11" s="49">
        <v>53.588000000000001</v>
      </c>
      <c r="DS11" s="50">
        <v>52.481000000000002</v>
      </c>
      <c r="DT11" s="50">
        <v>10.02</v>
      </c>
      <c r="DU11" s="50">
        <v>19.77</v>
      </c>
      <c r="DV11" s="49">
        <v>15.78</v>
      </c>
      <c r="DW11" s="49">
        <v>10.88</v>
      </c>
      <c r="DX11" s="50">
        <v>10.18</v>
      </c>
      <c r="DY11" s="50">
        <v>20.04</v>
      </c>
      <c r="DZ11" s="49">
        <v>15.36</v>
      </c>
      <c r="EA11" s="49">
        <v>10.68</v>
      </c>
      <c r="EB11" s="49">
        <v>38.22</v>
      </c>
      <c r="EC11" s="49">
        <v>28.55</v>
      </c>
      <c r="ED11" s="49">
        <v>29.85</v>
      </c>
      <c r="EE11" s="50">
        <v>35.049999999999997</v>
      </c>
      <c r="EF11" s="49">
        <v>41.58</v>
      </c>
      <c r="EG11" s="49">
        <v>31.63</v>
      </c>
      <c r="EH11" s="49">
        <v>39.01</v>
      </c>
      <c r="EI11" s="49">
        <v>43.38</v>
      </c>
      <c r="EJ11" s="50">
        <v>6.9059999999999997</v>
      </c>
      <c r="EK11" s="49">
        <v>61</v>
      </c>
      <c r="EL11" s="49">
        <v>2.2000000000000002</v>
      </c>
      <c r="EM11" s="49">
        <v>1.75</v>
      </c>
      <c r="EN11" s="50">
        <v>1.17</v>
      </c>
      <c r="EO11" s="49">
        <v>1.17</v>
      </c>
      <c r="EP11" s="49">
        <v>-111.47799999999999</v>
      </c>
      <c r="EQ11" s="49">
        <v>-2.3730000000000002</v>
      </c>
      <c r="ER11" s="50">
        <v>130.006</v>
      </c>
      <c r="ES11" s="49">
        <v>1.4990000000000001</v>
      </c>
      <c r="ET11" s="49">
        <v>1.63</v>
      </c>
      <c r="EU11" s="49">
        <v>1.4419999999999999</v>
      </c>
      <c r="EV11" s="49">
        <v>7.891</v>
      </c>
      <c r="EW11" s="49">
        <v>2.766</v>
      </c>
      <c r="EX11" s="49">
        <v>72.53</v>
      </c>
      <c r="EY11" s="49">
        <v>0.10100000000000001</v>
      </c>
      <c r="EZ11" s="49">
        <v>6.8000000000000005E-2</v>
      </c>
      <c r="FA11" s="50">
        <v>0</v>
      </c>
      <c r="FB11" s="50">
        <v>9.2110000000000003</v>
      </c>
      <c r="FC11" s="50">
        <v>74.525999999999996</v>
      </c>
      <c r="FD11" s="50">
        <v>69.869</v>
      </c>
      <c r="FE11" s="50">
        <v>88.808000000000007</v>
      </c>
      <c r="FF11" s="50">
        <v>84.352000000000004</v>
      </c>
      <c r="FG11" s="49">
        <v>0.91900000000000004</v>
      </c>
      <c r="FH11" s="49">
        <v>0.91800000000000004</v>
      </c>
      <c r="FI11" s="49">
        <v>0.996</v>
      </c>
      <c r="FJ11" s="49">
        <v>1</v>
      </c>
      <c r="FK11" s="49">
        <v>0</v>
      </c>
      <c r="FL11" s="49">
        <v>83</v>
      </c>
      <c r="FM11" s="49">
        <v>3.68</v>
      </c>
      <c r="FN11" s="50">
        <v>-0.05</v>
      </c>
      <c r="FO11" s="49">
        <v>5.47</v>
      </c>
      <c r="FP11" s="50">
        <v>3.8</v>
      </c>
      <c r="FQ11" s="49">
        <v>4.3499999999999996</v>
      </c>
      <c r="FR11" s="50">
        <v>5</v>
      </c>
      <c r="FS11" s="49">
        <v>6.7030000000000003</v>
      </c>
      <c r="FT11" s="49">
        <v>1069.9000000000001</v>
      </c>
      <c r="FU11" s="49">
        <v>6.39</v>
      </c>
      <c r="FV11" s="50">
        <v>23.65</v>
      </c>
      <c r="FW11" s="49">
        <v>3083.5</v>
      </c>
      <c r="FX11" s="49">
        <v>168900</v>
      </c>
      <c r="FY11" s="49">
        <v>170600</v>
      </c>
      <c r="FZ11" s="49">
        <v>47.597000000000001</v>
      </c>
      <c r="GA11" s="49">
        <v>47.69</v>
      </c>
      <c r="GB11" s="49">
        <v>2142.1999999999998</v>
      </c>
      <c r="GC11" s="49">
        <v>2212.1</v>
      </c>
      <c r="GD11" s="49">
        <v>2188.4</v>
      </c>
      <c r="GE11" s="49">
        <v>2212.1</v>
      </c>
      <c r="GF11" s="49">
        <v>1359.5938000000001</v>
      </c>
      <c r="GG11" s="49">
        <v>30</v>
      </c>
      <c r="GH11" s="49">
        <v>30</v>
      </c>
      <c r="GI11" s="49">
        <v>47.1</v>
      </c>
      <c r="GJ11" s="49">
        <v>51.9</v>
      </c>
      <c r="GK11" s="49">
        <v>99.5</v>
      </c>
      <c r="GL11" s="49">
        <v>74.2</v>
      </c>
      <c r="GM11" s="50">
        <v>0</v>
      </c>
      <c r="GN11" s="50">
        <v>28.184000000000001</v>
      </c>
      <c r="GO11" s="50">
        <v>130.006</v>
      </c>
      <c r="GP11" s="50">
        <v>0</v>
      </c>
      <c r="GQ11" s="49">
        <v>1.8879999999999999</v>
      </c>
      <c r="GR11" s="50">
        <v>0</v>
      </c>
      <c r="GS11" s="49">
        <v>2.0059999999999998</v>
      </c>
      <c r="GT11" s="50">
        <v>0</v>
      </c>
      <c r="GU11" s="49">
        <v>1.8879999999999999</v>
      </c>
      <c r="GV11" s="50">
        <v>0</v>
      </c>
      <c r="GW11" s="49">
        <v>13.788</v>
      </c>
      <c r="GX11" s="49">
        <v>15.288</v>
      </c>
      <c r="GY11" s="50">
        <v>0</v>
      </c>
      <c r="GZ11" s="50">
        <v>0</v>
      </c>
      <c r="HA11" s="50">
        <v>0</v>
      </c>
      <c r="HB11" s="49">
        <v>0</v>
      </c>
      <c r="HC11" s="50">
        <v>23.672999999999998</v>
      </c>
      <c r="HD11" s="49">
        <v>82</v>
      </c>
      <c r="HE11" s="50">
        <v>0</v>
      </c>
      <c r="HF11" s="50">
        <v>0</v>
      </c>
      <c r="HG11" s="49">
        <v>69.66</v>
      </c>
      <c r="HH11" s="49">
        <v>81.459999999999994</v>
      </c>
      <c r="HI11" s="50">
        <v>0</v>
      </c>
      <c r="HJ11" s="50">
        <v>0</v>
      </c>
      <c r="HK11" s="50">
        <v>0</v>
      </c>
      <c r="HL11" s="49">
        <v>61</v>
      </c>
      <c r="HM11" s="50">
        <v>51</v>
      </c>
      <c r="HN11" s="50">
        <v>65</v>
      </c>
      <c r="HO11" s="50">
        <v>59</v>
      </c>
      <c r="HP11" s="50">
        <v>62</v>
      </c>
      <c r="HQ11" s="50">
        <v>60</v>
      </c>
      <c r="HR11" s="50">
        <v>51</v>
      </c>
      <c r="HS11" s="50">
        <v>70</v>
      </c>
      <c r="HT11" s="49">
        <v>-1.373</v>
      </c>
      <c r="HU11" s="50">
        <v>0</v>
      </c>
      <c r="HV11" s="49">
        <v>0.37</v>
      </c>
      <c r="HW11" s="49">
        <v>41.08</v>
      </c>
      <c r="HX11" s="50">
        <v>43.82</v>
      </c>
      <c r="HY11" s="3"/>
      <c r="HZ11" s="3"/>
      <c r="IA11" s="49">
        <v>2.75</v>
      </c>
      <c r="IB11" s="50">
        <v>104</v>
      </c>
      <c r="IC11" s="49">
        <v>22.675000000000001</v>
      </c>
      <c r="ID11" s="49">
        <v>-0.31900000000000001</v>
      </c>
      <c r="IE11" s="49">
        <v>-0.151</v>
      </c>
      <c r="IF11" s="49">
        <v>803.2</v>
      </c>
      <c r="IG11" s="49">
        <v>748</v>
      </c>
      <c r="IH11" s="49">
        <v>815</v>
      </c>
      <c r="II11" s="49">
        <v>763.1</v>
      </c>
      <c r="IJ11" s="49">
        <v>-4.0000000000000001E-3</v>
      </c>
      <c r="IK11" s="49">
        <v>1.9E-2</v>
      </c>
      <c r="IL11" s="49">
        <v>80.989999999999995</v>
      </c>
      <c r="IM11" s="49">
        <v>80.989999999999995</v>
      </c>
      <c r="IN11" s="50">
        <v>15.064</v>
      </c>
      <c r="IO11" s="49">
        <v>0.23300000000000001</v>
      </c>
      <c r="IP11" s="49">
        <v>9.73</v>
      </c>
      <c r="IQ11" s="49">
        <v>0</v>
      </c>
      <c r="IR11" s="49">
        <v>0</v>
      </c>
    </row>
  </sheetData>
  <mergeCells count="5">
    <mergeCell ref="B6:BD6"/>
    <mergeCell ref="BE6:DE6"/>
    <mergeCell ref="DF6:FE6"/>
    <mergeCell ref="FF6:HD6"/>
    <mergeCell ref="HE6:IR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FB3FB-31BE-4743-9CAA-1DB6D026D0DF}">
  <sheetPr codeName="Sheet4"/>
  <dimension ref="B1:IR10"/>
  <sheetViews>
    <sheetView tabSelected="1" workbookViewId="0">
      <selection activeCell="BD5" sqref="BD5"/>
    </sheetView>
  </sheetViews>
  <sheetFormatPr defaultRowHeight="15" x14ac:dyDescent="0.25"/>
  <sheetData>
    <row r="1" spans="2:252" x14ac:dyDescent="0.25">
      <c r="B1" t="s">
        <v>359</v>
      </c>
      <c r="C1" t="s">
        <v>411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399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403</v>
      </c>
      <c r="IQ5" s="1" t="s">
        <v>404</v>
      </c>
      <c r="IR5" s="1" t="s">
        <v>405</v>
      </c>
    </row>
    <row r="6" spans="2:252" ht="15" customHeight="1" x14ac:dyDescent="0.25">
      <c r="B6" s="63" t="s">
        <v>417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5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5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5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5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5"/>
    </row>
    <row r="7" spans="2:252" x14ac:dyDescent="0.25">
      <c r="B7" s="2" t="s">
        <v>410</v>
      </c>
      <c r="C7" s="2" t="s">
        <v>41</v>
      </c>
      <c r="D7" s="58">
        <v>4.3872685185185186E-3</v>
      </c>
      <c r="E7" s="50">
        <v>379.05599999999998</v>
      </c>
      <c r="F7" s="49">
        <v>325.39</v>
      </c>
      <c r="G7" s="49">
        <v>5.91</v>
      </c>
      <c r="H7" s="49">
        <v>27.2</v>
      </c>
      <c r="I7" s="50">
        <v>1.43</v>
      </c>
      <c r="J7" s="50">
        <v>21.8</v>
      </c>
      <c r="K7" s="50">
        <v>6</v>
      </c>
      <c r="L7" s="50">
        <v>4</v>
      </c>
      <c r="M7" s="50">
        <v>7</v>
      </c>
      <c r="N7" s="50">
        <v>3</v>
      </c>
      <c r="O7" s="50">
        <v>3</v>
      </c>
      <c r="P7" s="50">
        <v>0.64300000000000002</v>
      </c>
      <c r="Q7" s="50">
        <v>1.417</v>
      </c>
      <c r="R7" s="50">
        <v>0.63200000000000001</v>
      </c>
      <c r="S7" s="50">
        <v>0.39300000000000002</v>
      </c>
      <c r="T7" s="49">
        <v>58.38</v>
      </c>
      <c r="U7" s="50">
        <v>62.188000000000002</v>
      </c>
      <c r="V7" s="50">
        <v>197.5</v>
      </c>
      <c r="W7" s="50">
        <v>216.66</v>
      </c>
      <c r="X7" s="50">
        <v>130</v>
      </c>
      <c r="Y7" s="50">
        <v>160</v>
      </c>
      <c r="Z7" s="49">
        <v>340.89</v>
      </c>
      <c r="AA7" s="49">
        <v>358.53</v>
      </c>
      <c r="AB7" s="49">
        <v>225.07</v>
      </c>
      <c r="AC7" s="49">
        <v>281.06</v>
      </c>
      <c r="AD7" s="49">
        <v>1.6850000000000001</v>
      </c>
      <c r="AE7" s="49">
        <v>1.78</v>
      </c>
      <c r="AF7" s="49">
        <v>1.5680000000000001</v>
      </c>
      <c r="AG7" s="49">
        <v>1.641</v>
      </c>
      <c r="AH7" s="49">
        <v>59.98</v>
      </c>
      <c r="AI7" s="49">
        <v>55.8</v>
      </c>
      <c r="AJ7" s="49">
        <v>67.06</v>
      </c>
      <c r="AK7" s="49">
        <v>65.75</v>
      </c>
      <c r="AL7" s="49">
        <v>574.09500000000003</v>
      </c>
      <c r="AM7" s="49">
        <v>586.26099999999997</v>
      </c>
      <c r="AN7" s="49">
        <v>720.16899999999998</v>
      </c>
      <c r="AO7" s="49">
        <v>725.91099999999994</v>
      </c>
      <c r="AP7" s="49">
        <v>1.42</v>
      </c>
      <c r="AQ7" s="49">
        <v>1.972</v>
      </c>
      <c r="AR7" s="50">
        <v>42.524999999999999</v>
      </c>
      <c r="AS7" s="49">
        <v>38.954999999999998</v>
      </c>
      <c r="AT7" s="50">
        <v>86</v>
      </c>
      <c r="AU7" s="49">
        <v>115</v>
      </c>
      <c r="AV7" s="49">
        <v>1.9770000000000001</v>
      </c>
      <c r="AW7" s="49">
        <v>4.7946999999999997</v>
      </c>
      <c r="AX7" s="49">
        <v>1019.5</v>
      </c>
      <c r="AY7" s="50">
        <v>2.93</v>
      </c>
      <c r="AZ7" s="49">
        <v>4.9000000000000004</v>
      </c>
      <c r="BA7" s="49">
        <v>69.7</v>
      </c>
      <c r="BB7" s="49">
        <v>69.8</v>
      </c>
      <c r="BC7" s="49">
        <v>7831</v>
      </c>
      <c r="BD7" s="49">
        <v>88.5</v>
      </c>
      <c r="BE7" s="49">
        <v>15.78</v>
      </c>
      <c r="BF7" s="49">
        <v>13.23</v>
      </c>
      <c r="BG7" s="49">
        <v>28.01</v>
      </c>
      <c r="BH7" s="49">
        <v>27.51</v>
      </c>
      <c r="BI7" s="49">
        <v>65.168000000000006</v>
      </c>
      <c r="BJ7" s="50">
        <v>82.186000000000007</v>
      </c>
      <c r="BK7" s="49">
        <v>63.368000000000002</v>
      </c>
      <c r="BL7" s="50">
        <v>79.932000000000002</v>
      </c>
      <c r="BM7" s="49">
        <v>78.998000000000005</v>
      </c>
      <c r="BN7" s="50">
        <v>151.352</v>
      </c>
      <c r="BO7" s="50">
        <v>152.16800000000001</v>
      </c>
      <c r="BP7" s="49">
        <v>128.66399999999999</v>
      </c>
      <c r="BQ7" s="49">
        <v>133.816</v>
      </c>
      <c r="BR7" s="49">
        <v>57.834000000000003</v>
      </c>
      <c r="BS7" s="49">
        <v>26.9</v>
      </c>
      <c r="BT7" s="49">
        <v>7401.9380000000001</v>
      </c>
      <c r="BU7" s="50">
        <v>50.814999999999998</v>
      </c>
      <c r="BV7" s="49">
        <v>54.093000000000004</v>
      </c>
      <c r="BW7" s="50">
        <v>55.018000000000001</v>
      </c>
      <c r="BX7" s="49">
        <v>55.360999999999997</v>
      </c>
      <c r="BY7" s="50">
        <v>1.599</v>
      </c>
      <c r="BZ7" s="49">
        <v>2.3319999999999999</v>
      </c>
      <c r="CA7" s="49">
        <v>3.1909999999999998</v>
      </c>
      <c r="CB7" s="49">
        <v>2.9670000000000001</v>
      </c>
      <c r="CC7" s="49">
        <v>1.0009999999999999</v>
      </c>
      <c r="CD7" s="49">
        <v>2.274</v>
      </c>
      <c r="CE7" s="49">
        <v>1.341</v>
      </c>
      <c r="CF7" s="50">
        <v>2.1840000000000002</v>
      </c>
      <c r="CG7" s="49">
        <v>13.696999999999999</v>
      </c>
      <c r="CH7" s="50">
        <v>10.012</v>
      </c>
      <c r="CI7" s="49">
        <v>4.508</v>
      </c>
      <c r="CJ7" s="49">
        <v>3.5339999999999998</v>
      </c>
      <c r="CK7" s="49">
        <v>1.4079999999999999</v>
      </c>
      <c r="CL7" s="49">
        <v>0</v>
      </c>
      <c r="CM7" s="49">
        <v>0.2</v>
      </c>
      <c r="CN7" s="50">
        <v>0</v>
      </c>
      <c r="CO7" s="50">
        <v>0</v>
      </c>
      <c r="CP7" s="50">
        <v>113.97199999999999</v>
      </c>
      <c r="CQ7" s="50">
        <v>115.31399999999999</v>
      </c>
      <c r="CR7" s="49">
        <v>112.361</v>
      </c>
      <c r="CS7" s="49">
        <v>118.261</v>
      </c>
      <c r="CT7" s="49">
        <v>0.44900000000000001</v>
      </c>
      <c r="CU7" s="50">
        <v>1.6970000000000001</v>
      </c>
      <c r="CV7" s="50">
        <v>2.5</v>
      </c>
      <c r="CW7" s="50">
        <v>1.7010000000000001</v>
      </c>
      <c r="CX7" s="49">
        <v>1.597</v>
      </c>
      <c r="CY7" s="50">
        <v>0.998</v>
      </c>
      <c r="CZ7" s="50">
        <v>1.3</v>
      </c>
      <c r="DA7" s="49">
        <v>0.59899999999999998</v>
      </c>
      <c r="DB7" s="50">
        <v>2.5950000000000002</v>
      </c>
      <c r="DC7" s="50">
        <v>0</v>
      </c>
      <c r="DD7" s="50">
        <v>0</v>
      </c>
      <c r="DE7" s="49">
        <v>0.216</v>
      </c>
      <c r="DF7" s="50">
        <v>0.11799999999999999</v>
      </c>
      <c r="DG7" s="49">
        <v>0.161</v>
      </c>
      <c r="DH7" s="50">
        <v>2.7490000000000001</v>
      </c>
      <c r="DI7" s="49">
        <v>0.73599999999999999</v>
      </c>
      <c r="DJ7" s="50">
        <v>0.192</v>
      </c>
      <c r="DK7" s="50">
        <v>0.72199999999999998</v>
      </c>
      <c r="DL7" s="50">
        <v>0.40799999999999997</v>
      </c>
      <c r="DM7" s="50">
        <v>0.47399999999999998</v>
      </c>
      <c r="DN7" s="49">
        <v>0.08</v>
      </c>
      <c r="DO7" s="50">
        <v>0.33900000000000002</v>
      </c>
      <c r="DP7" s="49">
        <v>63.279000000000003</v>
      </c>
      <c r="DQ7" s="49">
        <v>60.139000000000003</v>
      </c>
      <c r="DR7" s="49">
        <v>50.951999999999998</v>
      </c>
      <c r="DS7" s="49">
        <v>49.823</v>
      </c>
      <c r="DT7" s="49">
        <v>3.12</v>
      </c>
      <c r="DU7" s="49">
        <v>3.43</v>
      </c>
      <c r="DV7" s="49">
        <v>6.34</v>
      </c>
      <c r="DW7" s="49">
        <v>5.16</v>
      </c>
      <c r="DX7" s="49">
        <v>3.24</v>
      </c>
      <c r="DY7" s="49">
        <v>3.36</v>
      </c>
      <c r="DZ7" s="49">
        <v>5.7</v>
      </c>
      <c r="EA7" s="49">
        <v>4.75</v>
      </c>
      <c r="EB7" s="49">
        <v>27.51</v>
      </c>
      <c r="EC7" s="49">
        <v>26.79</v>
      </c>
      <c r="ED7" s="49">
        <v>22.64</v>
      </c>
      <c r="EE7" s="49">
        <v>23.7</v>
      </c>
      <c r="EF7" s="50">
        <v>66.13</v>
      </c>
      <c r="EG7" s="50">
        <v>66.42</v>
      </c>
      <c r="EH7" s="50">
        <v>65.319999999999993</v>
      </c>
      <c r="EI7" s="50">
        <v>66.39</v>
      </c>
      <c r="EJ7" s="49">
        <v>6.4669999999999996</v>
      </c>
      <c r="EK7" s="49">
        <v>60.603000000000002</v>
      </c>
      <c r="EL7" s="50">
        <v>2.6</v>
      </c>
      <c r="EM7" s="50">
        <v>1.75</v>
      </c>
      <c r="EN7" s="50">
        <v>1.21</v>
      </c>
      <c r="EO7" s="50">
        <v>1.2</v>
      </c>
      <c r="EP7" s="49">
        <v>-108.26600000000001</v>
      </c>
      <c r="EQ7" s="50">
        <v>-1.6910000000000001</v>
      </c>
      <c r="ER7" s="49">
        <v>97.593999999999994</v>
      </c>
      <c r="ES7" s="49">
        <v>1.3029999999999999</v>
      </c>
      <c r="ET7" s="49">
        <v>1.4219999999999999</v>
      </c>
      <c r="EU7" s="49">
        <v>1.266</v>
      </c>
      <c r="EV7" s="49">
        <v>7.6769999999999996</v>
      </c>
      <c r="EW7" s="49">
        <v>2.9289999999999998</v>
      </c>
      <c r="EX7" s="49">
        <v>71.55</v>
      </c>
      <c r="EY7" s="50">
        <v>3.0609999999999999</v>
      </c>
      <c r="EZ7" s="49">
        <v>0</v>
      </c>
      <c r="FA7" s="50">
        <v>0</v>
      </c>
      <c r="FB7" s="49">
        <v>8.2959999999999994</v>
      </c>
      <c r="FC7" s="49">
        <v>57.158999999999999</v>
      </c>
      <c r="FD7" s="49">
        <v>54.116</v>
      </c>
      <c r="FE7" s="49">
        <v>54.686999999999998</v>
      </c>
      <c r="FF7" s="49">
        <v>56.301000000000002</v>
      </c>
      <c r="FG7" s="50">
        <v>0.98799999999999999</v>
      </c>
      <c r="FH7" s="50">
        <v>0.96599999999999997</v>
      </c>
      <c r="FI7" s="50">
        <v>1.0009999999999999</v>
      </c>
      <c r="FJ7" s="50">
        <v>1.004</v>
      </c>
      <c r="FK7" s="50">
        <v>0.30199999999999999</v>
      </c>
      <c r="FL7" s="50">
        <v>87</v>
      </c>
      <c r="FM7" s="49">
        <v>3.66</v>
      </c>
      <c r="FN7" s="50">
        <v>-0.47</v>
      </c>
      <c r="FO7" s="49">
        <v>4.83</v>
      </c>
      <c r="FP7" s="50">
        <v>0.4</v>
      </c>
      <c r="FQ7" s="50">
        <v>1.85</v>
      </c>
      <c r="FR7" s="49">
        <v>5.05</v>
      </c>
      <c r="FS7" s="49">
        <v>6.6074999999999999</v>
      </c>
      <c r="FT7" s="49">
        <v>1078.2</v>
      </c>
      <c r="FU7" s="49">
        <v>5.98</v>
      </c>
      <c r="FV7" s="49">
        <v>29.56</v>
      </c>
      <c r="FW7" s="49">
        <v>2952</v>
      </c>
      <c r="FX7" s="49">
        <v>165100</v>
      </c>
      <c r="FY7" s="49">
        <v>165700</v>
      </c>
      <c r="FZ7" s="50">
        <v>48.505000000000003</v>
      </c>
      <c r="GA7" s="50">
        <v>48.457999999999998</v>
      </c>
      <c r="GB7" s="49">
        <v>2142.6999999999998</v>
      </c>
      <c r="GC7" s="50">
        <v>2197</v>
      </c>
      <c r="GD7" s="49">
        <v>2179.1</v>
      </c>
      <c r="GE7" s="49">
        <v>2197</v>
      </c>
      <c r="GF7" s="50">
        <v>1461.1719000000001</v>
      </c>
      <c r="GG7" s="49">
        <v>31</v>
      </c>
      <c r="GH7" s="49">
        <v>31.4</v>
      </c>
      <c r="GI7" s="50">
        <v>55.7</v>
      </c>
      <c r="GJ7" s="50">
        <v>59.9</v>
      </c>
      <c r="GK7" s="50">
        <v>95.5</v>
      </c>
      <c r="GL7" s="50">
        <v>100.5</v>
      </c>
      <c r="GM7" s="50">
        <v>0</v>
      </c>
      <c r="GN7" s="49">
        <v>27.949000000000002</v>
      </c>
      <c r="GO7" s="49">
        <v>108.26600000000001</v>
      </c>
      <c r="GP7" s="50">
        <v>0</v>
      </c>
      <c r="GQ7" s="50">
        <v>4.13</v>
      </c>
      <c r="GR7" s="50">
        <v>0</v>
      </c>
      <c r="GS7" s="50">
        <v>4.13</v>
      </c>
      <c r="GT7" s="50">
        <v>0</v>
      </c>
      <c r="GU7" s="50">
        <v>3.9529999999999998</v>
      </c>
      <c r="GV7" s="50">
        <v>0</v>
      </c>
      <c r="GW7" s="50">
        <v>2.1000000000000001E-2</v>
      </c>
      <c r="GX7" s="50">
        <v>22.245999999999999</v>
      </c>
      <c r="GY7" s="50">
        <v>0</v>
      </c>
      <c r="GZ7" s="49">
        <v>12.233000000000001</v>
      </c>
      <c r="HA7" s="50">
        <v>21.853999999999999</v>
      </c>
      <c r="HB7" s="50">
        <v>1</v>
      </c>
      <c r="HC7" s="50">
        <v>26.664999999999999</v>
      </c>
      <c r="HD7" s="50">
        <v>90</v>
      </c>
      <c r="HE7" s="50">
        <v>0</v>
      </c>
      <c r="HF7" s="50">
        <v>0</v>
      </c>
      <c r="HG7" s="50">
        <v>74.400000000000006</v>
      </c>
      <c r="HH7" s="49">
        <v>83.61</v>
      </c>
      <c r="HI7" s="50">
        <v>0</v>
      </c>
      <c r="HJ7" s="50">
        <v>0</v>
      </c>
      <c r="HK7" s="50">
        <v>0</v>
      </c>
      <c r="HL7" s="50">
        <v>66</v>
      </c>
      <c r="HM7" s="50">
        <v>53</v>
      </c>
      <c r="HN7" s="50">
        <v>66</v>
      </c>
      <c r="HO7" s="49">
        <v>58</v>
      </c>
      <c r="HP7" s="49">
        <v>61</v>
      </c>
      <c r="HQ7" s="49">
        <v>59</v>
      </c>
      <c r="HR7" s="50">
        <v>52</v>
      </c>
      <c r="HS7" s="49">
        <v>62</v>
      </c>
      <c r="HT7" s="49">
        <v>-1.3955</v>
      </c>
      <c r="HU7" s="50">
        <v>0</v>
      </c>
      <c r="HV7" s="49">
        <v>-8.1000000000000003E-2</v>
      </c>
      <c r="HW7" s="50">
        <v>39.229999999999997</v>
      </c>
      <c r="HX7" s="49">
        <v>40.36</v>
      </c>
      <c r="HY7" s="3"/>
      <c r="HZ7" s="3"/>
      <c r="IA7" s="49">
        <v>2.6779999999999999</v>
      </c>
      <c r="IB7" s="49">
        <v>100</v>
      </c>
      <c r="IC7" s="49">
        <v>19.253</v>
      </c>
      <c r="ID7" s="50">
        <v>-0.19</v>
      </c>
      <c r="IE7" s="50">
        <v>-7.6999999999999999E-2</v>
      </c>
      <c r="IF7" s="49">
        <v>794.4</v>
      </c>
      <c r="IG7" s="49">
        <v>672.3</v>
      </c>
      <c r="IH7" s="49">
        <v>806</v>
      </c>
      <c r="II7" s="49">
        <v>688.1</v>
      </c>
      <c r="IJ7" s="50">
        <v>2.8000000000000001E-2</v>
      </c>
      <c r="IK7" s="50">
        <v>2.7E-2</v>
      </c>
      <c r="IL7" s="50">
        <v>229.57400000000001</v>
      </c>
      <c r="IM7" s="50">
        <v>229.57400000000001</v>
      </c>
      <c r="IN7" s="50">
        <v>15.933</v>
      </c>
      <c r="IO7" s="49">
        <v>0.16300000000000001</v>
      </c>
      <c r="IP7" s="50">
        <v>9.83</v>
      </c>
      <c r="IQ7" s="49">
        <v>1E-3</v>
      </c>
      <c r="IR7" s="50">
        <v>0.01</v>
      </c>
    </row>
    <row r="8" spans="2:252" ht="15" customHeight="1" x14ac:dyDescent="0.25">
      <c r="B8" s="2" t="s">
        <v>410</v>
      </c>
      <c r="C8" s="2" t="s">
        <v>42</v>
      </c>
      <c r="D8" s="58">
        <v>2.4428240740740738E-3</v>
      </c>
      <c r="E8" s="49">
        <v>211.1</v>
      </c>
      <c r="F8" s="49">
        <v>328.27</v>
      </c>
      <c r="G8" s="49">
        <v>6.16</v>
      </c>
      <c r="H8" s="49">
        <v>27.2</v>
      </c>
      <c r="I8" s="49">
        <v>0</v>
      </c>
      <c r="J8" s="49">
        <v>12.1</v>
      </c>
      <c r="K8" s="50">
        <v>6</v>
      </c>
      <c r="L8" s="50">
        <v>4</v>
      </c>
      <c r="M8" s="50">
        <v>7</v>
      </c>
      <c r="N8" s="50">
        <v>3</v>
      </c>
      <c r="O8" s="50">
        <v>3</v>
      </c>
      <c r="P8" s="49">
        <v>0.54200000000000004</v>
      </c>
      <c r="Q8" s="49">
        <v>1.296</v>
      </c>
      <c r="R8" s="49">
        <v>0.51800000000000002</v>
      </c>
      <c r="S8" s="49">
        <v>0.253</v>
      </c>
      <c r="T8" s="49">
        <v>73.55</v>
      </c>
      <c r="U8" s="49">
        <v>60.529000000000003</v>
      </c>
      <c r="V8" s="49">
        <v>280</v>
      </c>
      <c r="W8" s="49">
        <v>307</v>
      </c>
      <c r="X8" s="49">
        <v>195</v>
      </c>
      <c r="Y8" s="49">
        <v>236.66</v>
      </c>
      <c r="Z8" s="50">
        <v>413.46</v>
      </c>
      <c r="AA8" s="50">
        <v>436.52</v>
      </c>
      <c r="AB8" s="49">
        <v>317.49</v>
      </c>
      <c r="AC8" s="49">
        <v>387.57</v>
      </c>
      <c r="AD8" s="49">
        <v>1.7689999999999999</v>
      </c>
      <c r="AE8" s="49">
        <v>1.85</v>
      </c>
      <c r="AF8" s="49">
        <v>1.744</v>
      </c>
      <c r="AG8" s="49">
        <v>1.796</v>
      </c>
      <c r="AH8" s="49">
        <v>77.069999999999993</v>
      </c>
      <c r="AI8" s="49">
        <v>68.63</v>
      </c>
      <c r="AJ8" s="49">
        <v>100.53</v>
      </c>
      <c r="AK8" s="49">
        <v>96.77</v>
      </c>
      <c r="AL8" s="50">
        <v>694.56399999999996</v>
      </c>
      <c r="AM8" s="49">
        <v>673.09</v>
      </c>
      <c r="AN8" s="49">
        <v>849.65800000000002</v>
      </c>
      <c r="AO8" s="50">
        <v>814.98400000000004</v>
      </c>
      <c r="AP8" s="50">
        <v>1.427</v>
      </c>
      <c r="AQ8" s="50">
        <v>1.986</v>
      </c>
      <c r="AR8" s="49">
        <v>42.209000000000003</v>
      </c>
      <c r="AS8" s="49">
        <v>39.088000000000001</v>
      </c>
      <c r="AT8" s="49">
        <v>83</v>
      </c>
      <c r="AU8" s="49">
        <v>119</v>
      </c>
      <c r="AV8" s="49">
        <v>1.5765</v>
      </c>
      <c r="AW8" s="49">
        <v>4.9851000000000001</v>
      </c>
      <c r="AX8" s="50">
        <v>1022.7</v>
      </c>
      <c r="AY8" s="49">
        <v>2.39</v>
      </c>
      <c r="AZ8" s="50">
        <v>4.74</v>
      </c>
      <c r="BA8" s="49">
        <v>118.717</v>
      </c>
      <c r="BB8" s="49">
        <v>118.003</v>
      </c>
      <c r="BC8" s="49">
        <v>7957</v>
      </c>
      <c r="BD8" s="50">
        <v>89.75</v>
      </c>
      <c r="BE8" s="50">
        <v>17.670000000000002</v>
      </c>
      <c r="BF8" s="49">
        <v>15.14</v>
      </c>
      <c r="BG8" s="49">
        <v>29.26</v>
      </c>
      <c r="BH8" s="49">
        <v>28.01</v>
      </c>
      <c r="BI8" s="3"/>
      <c r="BJ8" s="3"/>
      <c r="BK8" s="3"/>
      <c r="BL8" s="3"/>
      <c r="BM8" s="3"/>
      <c r="BN8" s="49">
        <v>107.72</v>
      </c>
      <c r="BO8" s="49">
        <v>107.352</v>
      </c>
      <c r="BP8" s="49">
        <v>130.71199999999999</v>
      </c>
      <c r="BQ8" s="49">
        <v>134.68</v>
      </c>
      <c r="BR8" s="3"/>
      <c r="BS8" s="49">
        <v>26.9</v>
      </c>
      <c r="BT8" s="49">
        <v>7431.1239999999998</v>
      </c>
      <c r="BU8" s="49">
        <v>49.871000000000002</v>
      </c>
      <c r="BV8" s="49">
        <v>53.268000000000001</v>
      </c>
      <c r="BW8" s="49">
        <v>54.265000000000001</v>
      </c>
      <c r="BX8" s="49">
        <v>55.268000000000001</v>
      </c>
      <c r="BY8" s="49">
        <v>1.3149999999999999</v>
      </c>
      <c r="BZ8" s="49">
        <v>3.0529999999999999</v>
      </c>
      <c r="CA8" s="49">
        <v>3.4540000000000002</v>
      </c>
      <c r="CB8" s="50">
        <v>4.1769999999999996</v>
      </c>
      <c r="CC8" s="49">
        <v>1.08</v>
      </c>
      <c r="CD8" s="49">
        <v>2.3290000000000002</v>
      </c>
      <c r="CE8" s="50">
        <v>1.373</v>
      </c>
      <c r="CF8" s="49">
        <v>2.1779999999999999</v>
      </c>
      <c r="CG8" s="49">
        <v>13.942</v>
      </c>
      <c r="CH8" s="49">
        <v>13.8</v>
      </c>
      <c r="CI8" s="50">
        <v>5.0519999999999996</v>
      </c>
      <c r="CJ8" s="50">
        <v>3.6680000000000001</v>
      </c>
      <c r="CK8" s="50">
        <v>1.6479999999999999</v>
      </c>
      <c r="CL8" s="49">
        <v>0</v>
      </c>
      <c r="CM8" s="50">
        <v>2</v>
      </c>
      <c r="CN8" s="50">
        <v>0</v>
      </c>
      <c r="CO8" s="50">
        <v>0</v>
      </c>
      <c r="CP8" s="49">
        <v>102.34</v>
      </c>
      <c r="CQ8" s="49">
        <v>102.949</v>
      </c>
      <c r="CR8" s="49">
        <v>118.357</v>
      </c>
      <c r="CS8" s="49">
        <v>124.435</v>
      </c>
      <c r="CT8" s="49">
        <v>0.379</v>
      </c>
      <c r="CU8" s="49">
        <v>1</v>
      </c>
      <c r="CV8" s="49">
        <v>1.4</v>
      </c>
      <c r="CW8" s="49">
        <v>0.79800000000000004</v>
      </c>
      <c r="CX8" s="49">
        <v>1.097</v>
      </c>
      <c r="CY8" s="49">
        <v>0.79600000000000004</v>
      </c>
      <c r="CZ8" s="49">
        <v>1.2989999999999999</v>
      </c>
      <c r="DA8" s="50">
        <v>1.3009999999999999</v>
      </c>
      <c r="DB8" s="49">
        <v>1.296</v>
      </c>
      <c r="DC8" s="50">
        <v>0</v>
      </c>
      <c r="DD8" s="50">
        <v>0</v>
      </c>
      <c r="DE8" s="50">
        <v>0.22900000000000001</v>
      </c>
      <c r="DF8" s="49">
        <v>7.1999999999999995E-2</v>
      </c>
      <c r="DG8" s="50">
        <v>1.3049999999999999</v>
      </c>
      <c r="DH8" s="49">
        <v>2.5870000000000002</v>
      </c>
      <c r="DI8" s="50">
        <v>0.98899999999999999</v>
      </c>
      <c r="DJ8" s="49">
        <v>0.11799999999999999</v>
      </c>
      <c r="DK8" s="49">
        <v>0.65800000000000003</v>
      </c>
      <c r="DL8" s="49">
        <v>0.40300000000000002</v>
      </c>
      <c r="DM8" s="49">
        <v>0.442</v>
      </c>
      <c r="DN8" s="49">
        <v>0.28599999999999998</v>
      </c>
      <c r="DO8" s="49">
        <v>0.309</v>
      </c>
      <c r="DP8" s="49">
        <v>64.42</v>
      </c>
      <c r="DQ8" s="49">
        <v>60.731000000000002</v>
      </c>
      <c r="DR8" s="49">
        <v>54.09</v>
      </c>
      <c r="DS8" s="49">
        <v>52.039000000000001</v>
      </c>
      <c r="DT8" s="49">
        <v>7.04</v>
      </c>
      <c r="DU8" s="49">
        <v>6.87</v>
      </c>
      <c r="DV8" s="49">
        <v>14.04</v>
      </c>
      <c r="DW8" s="49">
        <v>10.77</v>
      </c>
      <c r="DX8" s="49">
        <v>7.22</v>
      </c>
      <c r="DY8" s="49">
        <v>7.16</v>
      </c>
      <c r="DZ8" s="49">
        <v>13.17</v>
      </c>
      <c r="EA8" s="49">
        <v>10.48</v>
      </c>
      <c r="EB8" s="49">
        <v>41.48</v>
      </c>
      <c r="EC8" s="49">
        <v>40.89</v>
      </c>
      <c r="ED8" s="49">
        <v>31.87</v>
      </c>
      <c r="EE8" s="49">
        <v>35.21</v>
      </c>
      <c r="EF8" s="49">
        <v>44.26</v>
      </c>
      <c r="EG8" s="49">
        <v>45.08</v>
      </c>
      <c r="EH8" s="49">
        <v>40.92</v>
      </c>
      <c r="EI8" s="49">
        <v>43.54</v>
      </c>
      <c r="EJ8" s="49">
        <v>6.7649999999999997</v>
      </c>
      <c r="EK8" s="49">
        <v>61.347999999999999</v>
      </c>
      <c r="EL8" s="49">
        <v>2.15</v>
      </c>
      <c r="EM8" s="50">
        <v>1.75</v>
      </c>
      <c r="EN8" s="49">
        <v>1.18</v>
      </c>
      <c r="EO8" s="49">
        <v>1.18</v>
      </c>
      <c r="EP8" s="49">
        <v>-109.142</v>
      </c>
      <c r="EQ8" s="49">
        <v>-2.7149999999999999</v>
      </c>
      <c r="ER8" s="49">
        <v>99.346000000000004</v>
      </c>
      <c r="ES8" s="50">
        <v>1.4279999999999999</v>
      </c>
      <c r="ET8" s="50">
        <v>1.6259999999999999</v>
      </c>
      <c r="EU8" s="49">
        <v>1.4159999999999999</v>
      </c>
      <c r="EV8" s="49">
        <v>7.6980000000000004</v>
      </c>
      <c r="EW8" s="49">
        <v>2.9180000000000001</v>
      </c>
      <c r="EX8" s="49">
        <v>76.66</v>
      </c>
      <c r="EY8" s="49">
        <v>0</v>
      </c>
      <c r="EZ8" s="49">
        <v>5.0999999999999997E-2</v>
      </c>
      <c r="FA8" s="50">
        <v>0</v>
      </c>
      <c r="FB8" s="49">
        <v>9.1440000000000001</v>
      </c>
      <c r="FC8" s="49">
        <v>67.635000000000005</v>
      </c>
      <c r="FD8" s="49">
        <v>62.040999999999997</v>
      </c>
      <c r="FE8" s="49">
        <v>72.290999999999997</v>
      </c>
      <c r="FF8" s="49">
        <v>71.165999999999997</v>
      </c>
      <c r="FG8" s="49">
        <v>0.91800000000000004</v>
      </c>
      <c r="FH8" s="49">
        <v>0.91800000000000004</v>
      </c>
      <c r="FI8" s="49">
        <v>0.996</v>
      </c>
      <c r="FJ8" s="49">
        <v>1.002</v>
      </c>
      <c r="FK8" s="49">
        <v>0</v>
      </c>
      <c r="FL8" s="49">
        <v>83</v>
      </c>
      <c r="FM8" s="49">
        <v>3.67</v>
      </c>
      <c r="FN8" s="49">
        <v>-0.35</v>
      </c>
      <c r="FO8" s="50">
        <v>4.7300000000000004</v>
      </c>
      <c r="FP8" s="3"/>
      <c r="FQ8" s="49">
        <v>4.9000000000000004</v>
      </c>
      <c r="FR8" s="49">
        <v>5.15</v>
      </c>
      <c r="FS8" s="49">
        <v>6.5415000000000001</v>
      </c>
      <c r="FT8" s="50">
        <v>1086.8</v>
      </c>
      <c r="FU8" s="49">
        <v>6.12</v>
      </c>
      <c r="FV8" s="49">
        <v>35.72</v>
      </c>
      <c r="FW8" s="49">
        <v>2909.5</v>
      </c>
      <c r="FX8" s="50">
        <v>166000</v>
      </c>
      <c r="FY8" s="50">
        <v>166100</v>
      </c>
      <c r="FZ8" s="49">
        <v>47.570999999999998</v>
      </c>
      <c r="GA8" s="49">
        <v>47.747</v>
      </c>
      <c r="GB8" s="49">
        <v>2149</v>
      </c>
      <c r="GC8" s="49">
        <v>2158.1999999999998</v>
      </c>
      <c r="GD8" s="49">
        <v>2202</v>
      </c>
      <c r="GE8" s="50">
        <v>2201.8000000000002</v>
      </c>
      <c r="GF8" s="49">
        <v>1395.1094000000001</v>
      </c>
      <c r="GG8" s="49">
        <v>32</v>
      </c>
      <c r="GH8" s="49">
        <v>31.8</v>
      </c>
      <c r="GI8" s="49">
        <v>48.8</v>
      </c>
      <c r="GJ8" s="49">
        <v>54.2</v>
      </c>
      <c r="GK8" s="49">
        <v>99.5</v>
      </c>
      <c r="GL8" s="49">
        <v>89.7</v>
      </c>
      <c r="GM8" s="50">
        <v>0</v>
      </c>
      <c r="GN8" s="49">
        <v>27.423999999999999</v>
      </c>
      <c r="GO8" s="49">
        <v>109.142</v>
      </c>
      <c r="GP8" s="49">
        <v>0.53100000000000003</v>
      </c>
      <c r="GQ8" s="49">
        <v>1.8879999999999999</v>
      </c>
      <c r="GR8" s="49">
        <v>0.82599999999999996</v>
      </c>
      <c r="GS8" s="49">
        <v>2.0059999999999998</v>
      </c>
      <c r="GT8" s="49">
        <v>0.59</v>
      </c>
      <c r="GU8" s="49">
        <v>1.8879999999999999</v>
      </c>
      <c r="GV8" s="50">
        <v>0</v>
      </c>
      <c r="GW8" s="49">
        <v>0</v>
      </c>
      <c r="GX8" s="49">
        <v>0</v>
      </c>
      <c r="GY8" s="49">
        <v>12.054</v>
      </c>
      <c r="GZ8" s="50">
        <v>13.901999999999999</v>
      </c>
      <c r="HA8" s="49">
        <v>15.875999999999999</v>
      </c>
      <c r="HB8" s="49">
        <v>0</v>
      </c>
      <c r="HC8" s="49">
        <v>23.393000000000001</v>
      </c>
      <c r="HD8" s="49">
        <v>78</v>
      </c>
      <c r="HE8" s="50">
        <v>0</v>
      </c>
      <c r="HF8" s="50">
        <v>0</v>
      </c>
      <c r="HG8" s="49">
        <v>71.650000000000006</v>
      </c>
      <c r="HH8" s="50">
        <v>83.81</v>
      </c>
      <c r="HI8" s="50">
        <v>0</v>
      </c>
      <c r="HJ8" s="50">
        <v>0</v>
      </c>
      <c r="HK8" s="50">
        <v>0</v>
      </c>
      <c r="HL8" s="49">
        <v>62</v>
      </c>
      <c r="HM8" s="49">
        <v>52</v>
      </c>
      <c r="HN8" s="49">
        <v>65</v>
      </c>
      <c r="HO8" s="50">
        <v>59</v>
      </c>
      <c r="HP8" s="49">
        <v>61</v>
      </c>
      <c r="HQ8" s="49">
        <v>59</v>
      </c>
      <c r="HR8" s="50">
        <v>52</v>
      </c>
      <c r="HS8" s="49">
        <v>66</v>
      </c>
      <c r="HT8" s="50">
        <v>-1.4319999999999999</v>
      </c>
      <c r="HU8" s="50">
        <v>0</v>
      </c>
      <c r="HV8" s="49">
        <v>0.30199999999999999</v>
      </c>
      <c r="HW8" s="50">
        <v>39.229999999999997</v>
      </c>
      <c r="HX8" s="50">
        <v>37.46</v>
      </c>
      <c r="HY8" s="49">
        <v>50.51</v>
      </c>
      <c r="HZ8" s="49">
        <v>61.19</v>
      </c>
      <c r="IA8" s="49">
        <v>2.9460000000000002</v>
      </c>
      <c r="IB8" s="49">
        <v>104</v>
      </c>
      <c r="IC8" s="49">
        <v>22.715</v>
      </c>
      <c r="ID8" s="49">
        <v>-0.33500000000000002</v>
      </c>
      <c r="IE8" s="49">
        <v>-0.13600000000000001</v>
      </c>
      <c r="IF8" s="49">
        <v>802</v>
      </c>
      <c r="IG8" s="49">
        <v>756.7</v>
      </c>
      <c r="IH8" s="49">
        <v>809.1</v>
      </c>
      <c r="II8" s="50">
        <v>769.1</v>
      </c>
      <c r="IJ8" s="49">
        <v>-2.1000000000000001E-2</v>
      </c>
      <c r="IK8" s="49">
        <v>1.6E-2</v>
      </c>
      <c r="IL8" s="49">
        <v>66.849999999999994</v>
      </c>
      <c r="IM8" s="49">
        <v>66.849999999999994</v>
      </c>
      <c r="IN8" s="49">
        <v>12.394</v>
      </c>
      <c r="IO8" s="49">
        <v>0.23100000000000001</v>
      </c>
      <c r="IP8" s="49">
        <v>9.5</v>
      </c>
      <c r="IQ8" s="49">
        <v>8.9999999999999993E-3</v>
      </c>
      <c r="IR8" s="49">
        <v>4.0000000000000001E-3</v>
      </c>
    </row>
    <row r="9" spans="2:252" x14ac:dyDescent="0.25">
      <c r="B9" s="2" t="s">
        <v>410</v>
      </c>
      <c r="C9" s="59" t="s">
        <v>43</v>
      </c>
      <c r="D9" s="62">
        <v>2.4230324074074076E-3</v>
      </c>
      <c r="E9" s="49">
        <v>209.39</v>
      </c>
      <c r="F9" s="50">
        <v>328.49</v>
      </c>
      <c r="G9" s="50">
        <v>6.18</v>
      </c>
      <c r="H9" s="50">
        <v>27.4</v>
      </c>
      <c r="I9" s="49">
        <v>0</v>
      </c>
      <c r="J9" s="49">
        <v>10.4</v>
      </c>
      <c r="K9" s="50">
        <v>6</v>
      </c>
      <c r="L9" s="50">
        <v>4</v>
      </c>
      <c r="M9" s="50">
        <v>7</v>
      </c>
      <c r="N9" s="50">
        <v>3</v>
      </c>
      <c r="O9" s="50">
        <v>3</v>
      </c>
      <c r="P9" s="49">
        <v>0.28599999999999998</v>
      </c>
      <c r="Q9" s="49">
        <v>0.92100000000000004</v>
      </c>
      <c r="R9" s="49">
        <v>9.6000000000000002E-2</v>
      </c>
      <c r="S9" s="49">
        <v>0.17499999999999999</v>
      </c>
      <c r="T9" s="50">
        <v>82.72</v>
      </c>
      <c r="U9" s="49">
        <v>60.125</v>
      </c>
      <c r="V9" s="49">
        <v>251.66</v>
      </c>
      <c r="W9" s="49">
        <v>288.33999999999997</v>
      </c>
      <c r="X9" s="49">
        <v>211.66</v>
      </c>
      <c r="Y9" s="49">
        <v>258.33999999999997</v>
      </c>
      <c r="Z9" s="49">
        <v>391.44</v>
      </c>
      <c r="AA9" s="49">
        <v>424.06</v>
      </c>
      <c r="AB9" s="50">
        <v>328.96</v>
      </c>
      <c r="AC9" s="50">
        <v>402.65</v>
      </c>
      <c r="AD9" s="49">
        <v>1.8069999999999999</v>
      </c>
      <c r="AE9" s="49">
        <v>1.881</v>
      </c>
      <c r="AF9" s="49">
        <v>1.8380000000000001</v>
      </c>
      <c r="AG9" s="49">
        <v>1.883</v>
      </c>
      <c r="AH9" s="50">
        <v>82.91</v>
      </c>
      <c r="AI9" s="50">
        <v>73.16</v>
      </c>
      <c r="AJ9" s="49">
        <v>113.31</v>
      </c>
      <c r="AK9" s="49">
        <v>108.98</v>
      </c>
      <c r="AL9" s="49">
        <v>689.09</v>
      </c>
      <c r="AM9" s="50">
        <v>685.53499999999997</v>
      </c>
      <c r="AN9" s="50">
        <v>887.22299999999996</v>
      </c>
      <c r="AO9" s="49">
        <v>803.75099999999998</v>
      </c>
      <c r="AP9" s="49">
        <v>1.411</v>
      </c>
      <c r="AQ9" s="49">
        <v>1.95</v>
      </c>
      <c r="AR9" s="49">
        <v>41.917999999999999</v>
      </c>
      <c r="AS9" s="49">
        <v>38.238</v>
      </c>
      <c r="AT9" s="49">
        <v>83</v>
      </c>
      <c r="AU9" s="49">
        <v>121</v>
      </c>
      <c r="AV9" s="50">
        <v>1.482</v>
      </c>
      <c r="AW9" s="50">
        <v>5.0186000000000002</v>
      </c>
      <c r="AX9" s="49">
        <v>1018.2</v>
      </c>
      <c r="AY9" s="49">
        <v>2.39</v>
      </c>
      <c r="AZ9" s="49">
        <v>4.9400000000000004</v>
      </c>
      <c r="BA9" s="49">
        <v>106.441</v>
      </c>
      <c r="BB9" s="49">
        <v>107.447</v>
      </c>
      <c r="BC9" s="50">
        <v>8054</v>
      </c>
      <c r="BD9" s="49">
        <v>89</v>
      </c>
      <c r="BE9" s="49">
        <v>17.405000000000001</v>
      </c>
      <c r="BF9" s="50">
        <v>15.34</v>
      </c>
      <c r="BG9" s="50">
        <v>30.28</v>
      </c>
      <c r="BH9" s="50">
        <v>29.58</v>
      </c>
      <c r="BI9" s="3"/>
      <c r="BJ9" s="3"/>
      <c r="BK9" s="3"/>
      <c r="BL9" s="3"/>
      <c r="BM9" s="3"/>
      <c r="BN9" s="49">
        <v>105.896</v>
      </c>
      <c r="BO9" s="49">
        <v>106.392</v>
      </c>
      <c r="BP9" s="49">
        <v>135.91200000000001</v>
      </c>
      <c r="BQ9" s="49">
        <v>141.06399999999999</v>
      </c>
      <c r="BR9" s="3"/>
      <c r="BS9" s="50">
        <v>27.1</v>
      </c>
      <c r="BT9" s="50">
        <v>7442.5240000000003</v>
      </c>
      <c r="BU9" s="49">
        <v>50.131</v>
      </c>
      <c r="BV9" s="50">
        <v>54.164999999999999</v>
      </c>
      <c r="BW9" s="49">
        <v>54.113</v>
      </c>
      <c r="BX9" s="49">
        <v>55.043999999999997</v>
      </c>
      <c r="BY9" s="49">
        <v>1.4550000000000001</v>
      </c>
      <c r="BZ9" s="50">
        <v>3.11</v>
      </c>
      <c r="CA9" s="50">
        <v>3.976</v>
      </c>
      <c r="CB9" s="49">
        <v>3.669</v>
      </c>
      <c r="CC9" s="50">
        <v>1.2</v>
      </c>
      <c r="CD9" s="50">
        <v>2.335</v>
      </c>
      <c r="CE9" s="49">
        <v>1.369</v>
      </c>
      <c r="CF9" s="49">
        <v>2.149</v>
      </c>
      <c r="CG9" s="49">
        <v>13.939</v>
      </c>
      <c r="CH9" s="49">
        <v>13.781000000000001</v>
      </c>
      <c r="CI9" s="49">
        <v>4.782</v>
      </c>
      <c r="CJ9" s="49">
        <v>3.4980000000000002</v>
      </c>
      <c r="CK9" s="49">
        <v>1.456</v>
      </c>
      <c r="CL9" s="50">
        <v>0.1</v>
      </c>
      <c r="CM9" s="49">
        <v>0.3</v>
      </c>
      <c r="CN9" s="50">
        <v>0</v>
      </c>
      <c r="CO9" s="50">
        <v>0</v>
      </c>
      <c r="CP9" s="49">
        <v>98.921999999999997</v>
      </c>
      <c r="CQ9" s="49">
        <v>101.74299999999999</v>
      </c>
      <c r="CR9" s="49">
        <v>128.85499999999999</v>
      </c>
      <c r="CS9" s="49">
        <v>134.90199999999999</v>
      </c>
      <c r="CT9" s="49">
        <v>0.39100000000000001</v>
      </c>
      <c r="CU9" s="49">
        <v>0.79900000000000004</v>
      </c>
      <c r="CV9" s="49">
        <v>1.103</v>
      </c>
      <c r="CW9" s="49">
        <v>1.202</v>
      </c>
      <c r="CX9" s="49">
        <v>1.6990000000000001</v>
      </c>
      <c r="CY9" s="50">
        <v>0.998</v>
      </c>
      <c r="CZ9" s="49">
        <v>1.198</v>
      </c>
      <c r="DA9" s="49">
        <v>0.79900000000000004</v>
      </c>
      <c r="DB9" s="49">
        <v>1.8</v>
      </c>
      <c r="DC9" s="50">
        <v>0</v>
      </c>
      <c r="DD9" s="50">
        <v>0</v>
      </c>
      <c r="DE9" s="49">
        <v>0.13700000000000001</v>
      </c>
      <c r="DF9" s="49">
        <v>5.3999999999999999E-2</v>
      </c>
      <c r="DG9" s="49">
        <v>0.68300000000000005</v>
      </c>
      <c r="DH9" s="49">
        <v>1.9159999999999999</v>
      </c>
      <c r="DI9" s="49">
        <v>0.66500000000000004</v>
      </c>
      <c r="DJ9" s="49">
        <v>-4.2999999999999997E-2</v>
      </c>
      <c r="DK9" s="49">
        <v>0.48199999999999998</v>
      </c>
      <c r="DL9" s="49">
        <v>0.40100000000000002</v>
      </c>
      <c r="DM9" s="49">
        <v>-0.95099999999999996</v>
      </c>
      <c r="DN9" s="49">
        <v>-6.69</v>
      </c>
      <c r="DO9" s="49">
        <v>0.23100000000000001</v>
      </c>
      <c r="DP9" s="49">
        <v>65.481999999999999</v>
      </c>
      <c r="DQ9" s="50">
        <v>61.500999999999998</v>
      </c>
      <c r="DR9" s="50">
        <v>55.179000000000002</v>
      </c>
      <c r="DS9" s="50">
        <v>52.686</v>
      </c>
      <c r="DT9" s="50">
        <v>7.16</v>
      </c>
      <c r="DU9" s="50">
        <v>6.98</v>
      </c>
      <c r="DV9" s="50">
        <v>14.26</v>
      </c>
      <c r="DW9" s="50">
        <v>10.95</v>
      </c>
      <c r="DX9" s="50">
        <v>7.24</v>
      </c>
      <c r="DY9" s="50">
        <v>7.25</v>
      </c>
      <c r="DZ9" s="50">
        <v>13.54</v>
      </c>
      <c r="EA9" s="50">
        <v>11</v>
      </c>
      <c r="EB9" s="49">
        <v>41.33</v>
      </c>
      <c r="EC9" s="49">
        <v>41.21</v>
      </c>
      <c r="ED9" s="49">
        <v>31.54</v>
      </c>
      <c r="EE9" s="50">
        <v>35.42</v>
      </c>
      <c r="EF9" s="49">
        <v>44.27</v>
      </c>
      <c r="EG9" s="49">
        <v>44.56</v>
      </c>
      <c r="EH9" s="49">
        <v>40.65</v>
      </c>
      <c r="EI9" s="49">
        <v>42.63</v>
      </c>
      <c r="EJ9" s="49">
        <v>6.851</v>
      </c>
      <c r="EK9" s="49">
        <v>61.427999999999997</v>
      </c>
      <c r="EL9" s="49">
        <v>2.25</v>
      </c>
      <c r="EM9" s="50">
        <v>1.75</v>
      </c>
      <c r="EN9" s="49">
        <v>1.17</v>
      </c>
      <c r="EO9" s="49">
        <v>1.17</v>
      </c>
      <c r="EP9" s="50">
        <v>-113.52200000000001</v>
      </c>
      <c r="EQ9" s="49">
        <v>-2.621</v>
      </c>
      <c r="ER9" s="50">
        <v>105.47799999999999</v>
      </c>
      <c r="ES9" s="49">
        <v>1.3979999999999999</v>
      </c>
      <c r="ET9" s="49">
        <v>1.6020000000000001</v>
      </c>
      <c r="EU9" s="49">
        <v>1.391</v>
      </c>
      <c r="EV9" s="49">
        <v>7.7290000000000001</v>
      </c>
      <c r="EW9" s="49">
        <v>2.919</v>
      </c>
      <c r="EX9" s="50">
        <v>76.84</v>
      </c>
      <c r="EY9" s="49">
        <v>0</v>
      </c>
      <c r="EZ9" s="49">
        <v>0</v>
      </c>
      <c r="FA9" s="50">
        <v>0</v>
      </c>
      <c r="FB9" s="49">
        <v>9.1359999999999992</v>
      </c>
      <c r="FC9" s="49">
        <v>73.069000000000003</v>
      </c>
      <c r="FD9" s="49">
        <v>66.691999999999993</v>
      </c>
      <c r="FE9" s="49">
        <v>84.167000000000002</v>
      </c>
      <c r="FF9" s="49">
        <v>81.843999999999994</v>
      </c>
      <c r="FG9" s="49">
        <v>0.91800000000000004</v>
      </c>
      <c r="FH9" s="49">
        <v>0.91800000000000004</v>
      </c>
      <c r="FI9" s="49">
        <v>0.996</v>
      </c>
      <c r="FJ9" s="49">
        <v>1.0009999999999999</v>
      </c>
      <c r="FK9" s="49">
        <v>0</v>
      </c>
      <c r="FL9" s="49">
        <v>83</v>
      </c>
      <c r="FM9" s="50">
        <v>3.69</v>
      </c>
      <c r="FN9" s="49">
        <v>0</v>
      </c>
      <c r="FO9" s="49">
        <v>4.92</v>
      </c>
      <c r="FP9" s="3"/>
      <c r="FQ9" s="49">
        <v>4.9000000000000004</v>
      </c>
      <c r="FR9" s="50">
        <v>4.95</v>
      </c>
      <c r="FS9" s="50">
        <v>6.6315</v>
      </c>
      <c r="FT9" s="49">
        <v>1071.0999999999999</v>
      </c>
      <c r="FU9" s="49">
        <v>6.22</v>
      </c>
      <c r="FV9" s="49">
        <v>41.89</v>
      </c>
      <c r="FW9" s="49">
        <v>2902.5</v>
      </c>
      <c r="FX9" s="49">
        <v>162700</v>
      </c>
      <c r="FY9" s="49">
        <v>164300</v>
      </c>
      <c r="FZ9" s="49">
        <v>47.253999999999998</v>
      </c>
      <c r="GA9" s="49">
        <v>47.280999999999999</v>
      </c>
      <c r="GB9" s="49">
        <v>2143.6</v>
      </c>
      <c r="GC9" s="49">
        <v>2147.6</v>
      </c>
      <c r="GD9" s="50">
        <v>2390.8000000000002</v>
      </c>
      <c r="GE9" s="49">
        <v>2179.1999999999998</v>
      </c>
      <c r="GF9" s="49">
        <v>1327.3905999999999</v>
      </c>
      <c r="GG9" s="50">
        <v>33</v>
      </c>
      <c r="GH9" s="49">
        <v>32.5</v>
      </c>
      <c r="GI9" s="49">
        <v>47.6</v>
      </c>
      <c r="GJ9" s="49">
        <v>52.5</v>
      </c>
      <c r="GK9" s="49">
        <v>99.5</v>
      </c>
      <c r="GL9" s="49">
        <v>90.3</v>
      </c>
      <c r="GM9" s="50">
        <v>0</v>
      </c>
      <c r="GN9" s="49">
        <v>27.596</v>
      </c>
      <c r="GO9" s="50">
        <v>113.52200000000001</v>
      </c>
      <c r="GP9" s="49">
        <v>0.41299999999999998</v>
      </c>
      <c r="GQ9" s="49">
        <v>1.8879999999999999</v>
      </c>
      <c r="GR9" s="49">
        <v>0.70799999999999996</v>
      </c>
      <c r="GS9" s="49">
        <v>2.0059999999999998</v>
      </c>
      <c r="GT9" s="49">
        <v>0.53100000000000003</v>
      </c>
      <c r="GU9" s="49">
        <v>1.8879999999999999</v>
      </c>
      <c r="GV9" s="50">
        <v>0</v>
      </c>
      <c r="GW9" s="49">
        <v>0</v>
      </c>
      <c r="GX9" s="49">
        <v>0</v>
      </c>
      <c r="GY9" s="49">
        <v>12.544</v>
      </c>
      <c r="GZ9" s="49">
        <v>13.866</v>
      </c>
      <c r="HA9" s="49">
        <v>16.170000000000002</v>
      </c>
      <c r="HB9" s="49">
        <v>0</v>
      </c>
      <c r="HC9" s="49">
        <v>23.425999999999998</v>
      </c>
      <c r="HD9" s="49">
        <v>78</v>
      </c>
      <c r="HE9" s="50">
        <v>0</v>
      </c>
      <c r="HF9" s="50">
        <v>0</v>
      </c>
      <c r="HG9" s="49">
        <v>71.08</v>
      </c>
      <c r="HH9" s="49">
        <v>83.5</v>
      </c>
      <c r="HI9" s="50">
        <v>0</v>
      </c>
      <c r="HJ9" s="50">
        <v>0</v>
      </c>
      <c r="HK9" s="50">
        <v>0</v>
      </c>
      <c r="HL9" s="49">
        <v>62</v>
      </c>
      <c r="HM9" s="49">
        <v>52</v>
      </c>
      <c r="HN9" s="49">
        <v>65</v>
      </c>
      <c r="HO9" s="50">
        <v>59</v>
      </c>
      <c r="HP9" s="50">
        <v>62</v>
      </c>
      <c r="HQ9" s="50">
        <v>60</v>
      </c>
      <c r="HR9" s="49">
        <v>51</v>
      </c>
      <c r="HS9" s="50">
        <v>70</v>
      </c>
      <c r="HT9" s="49">
        <v>-1.4105000000000001</v>
      </c>
      <c r="HU9" s="50">
        <v>0</v>
      </c>
      <c r="HV9" s="50">
        <v>0.42</v>
      </c>
      <c r="HW9" s="49">
        <v>40.5</v>
      </c>
      <c r="HX9" s="50">
        <v>37.46</v>
      </c>
      <c r="HY9" s="50">
        <v>51.13</v>
      </c>
      <c r="HZ9" s="50">
        <v>61.89</v>
      </c>
      <c r="IA9" s="50">
        <v>3.1110000000000002</v>
      </c>
      <c r="IB9" s="50">
        <v>105</v>
      </c>
      <c r="IC9" s="50">
        <v>22.952999999999999</v>
      </c>
      <c r="ID9" s="49">
        <v>-0.39900000000000002</v>
      </c>
      <c r="IE9" s="49">
        <v>-0.159</v>
      </c>
      <c r="IF9" s="49">
        <v>804.4</v>
      </c>
      <c r="IG9" s="50">
        <v>756.8</v>
      </c>
      <c r="IH9" s="49">
        <v>802.6</v>
      </c>
      <c r="II9" s="49">
        <v>767.8</v>
      </c>
      <c r="IJ9" s="49">
        <v>-0.02</v>
      </c>
      <c r="IK9" s="49">
        <v>0</v>
      </c>
      <c r="IL9" s="49">
        <v>64.703999999999994</v>
      </c>
      <c r="IM9" s="49">
        <v>64.703999999999994</v>
      </c>
      <c r="IN9" s="49">
        <v>11.096</v>
      </c>
      <c r="IO9" s="50">
        <v>0.24399999999999999</v>
      </c>
      <c r="IP9" s="49">
        <v>9.48</v>
      </c>
      <c r="IQ9" s="50">
        <v>1.0999999999999999E-2</v>
      </c>
      <c r="IR9" s="49">
        <v>6.0000000000000001E-3</v>
      </c>
    </row>
    <row r="10" spans="2:252" x14ac:dyDescent="0.25">
      <c r="B10" s="2" t="s">
        <v>410</v>
      </c>
      <c r="C10" s="2" t="s">
        <v>44</v>
      </c>
      <c r="D10" s="58">
        <v>2.8606481481481482E-3</v>
      </c>
      <c r="E10" s="49">
        <v>247.16300000000001</v>
      </c>
      <c r="F10" s="49">
        <v>326.7</v>
      </c>
      <c r="G10" s="49">
        <v>5.98</v>
      </c>
      <c r="H10" s="49">
        <v>27.3</v>
      </c>
      <c r="I10" s="49">
        <v>0</v>
      </c>
      <c r="J10" s="49">
        <v>13.9</v>
      </c>
      <c r="K10" s="50">
        <v>6</v>
      </c>
      <c r="L10" s="50">
        <v>4</v>
      </c>
      <c r="M10" s="50">
        <v>7</v>
      </c>
      <c r="N10" s="50">
        <v>3</v>
      </c>
      <c r="O10" s="50">
        <v>3</v>
      </c>
      <c r="P10" s="49">
        <v>0.23599999999999999</v>
      </c>
      <c r="Q10" s="49">
        <v>0.72299999999999998</v>
      </c>
      <c r="R10" s="49">
        <v>0.12</v>
      </c>
      <c r="S10" s="49">
        <v>8.8999999999999996E-2</v>
      </c>
      <c r="T10" s="49">
        <v>75.09</v>
      </c>
      <c r="U10" s="49">
        <v>60.125</v>
      </c>
      <c r="V10" s="49">
        <v>260</v>
      </c>
      <c r="W10" s="49">
        <v>301</v>
      </c>
      <c r="X10" s="49">
        <v>215</v>
      </c>
      <c r="Y10" s="49">
        <v>271.66000000000003</v>
      </c>
      <c r="Z10" s="49">
        <v>391.68</v>
      </c>
      <c r="AA10" s="49">
        <v>419.65</v>
      </c>
      <c r="AB10" s="49">
        <v>305.27999999999997</v>
      </c>
      <c r="AC10" s="49">
        <v>375.97</v>
      </c>
      <c r="AD10" s="50">
        <v>1.8169999999999999</v>
      </c>
      <c r="AE10" s="50">
        <v>1.8939999999999999</v>
      </c>
      <c r="AF10" s="50">
        <v>1.8740000000000001</v>
      </c>
      <c r="AG10" s="50">
        <v>1.919</v>
      </c>
      <c r="AH10" s="49">
        <v>82.69</v>
      </c>
      <c r="AI10" s="49">
        <v>72.8</v>
      </c>
      <c r="AJ10" s="50">
        <v>113.91</v>
      </c>
      <c r="AK10" s="50">
        <v>110.59</v>
      </c>
      <c r="AL10" s="49">
        <v>636.36099999999999</v>
      </c>
      <c r="AM10" s="49">
        <v>633.74599999999998</v>
      </c>
      <c r="AN10" s="49">
        <v>780.56299999999999</v>
      </c>
      <c r="AO10" s="49">
        <v>778.40499999999997</v>
      </c>
      <c r="AP10" s="49">
        <v>1.4259999999999999</v>
      </c>
      <c r="AQ10" s="49">
        <v>1.9419999999999999</v>
      </c>
      <c r="AR10" s="49">
        <v>42.170999999999999</v>
      </c>
      <c r="AS10" s="50">
        <v>40.807000000000002</v>
      </c>
      <c r="AT10" s="49">
        <v>83</v>
      </c>
      <c r="AU10" s="50">
        <v>122</v>
      </c>
      <c r="AV10" s="49">
        <v>1.6635</v>
      </c>
      <c r="AW10" s="49">
        <v>4.8334000000000001</v>
      </c>
      <c r="AX10" s="49">
        <v>1014</v>
      </c>
      <c r="AY10" s="49">
        <v>2.39</v>
      </c>
      <c r="AZ10" s="49">
        <v>5.05</v>
      </c>
      <c r="BA10" s="50">
        <v>68.900000000000006</v>
      </c>
      <c r="BB10" s="50">
        <v>69.099999999999994</v>
      </c>
      <c r="BC10" s="49">
        <v>7750</v>
      </c>
      <c r="BD10" s="49">
        <v>89.25</v>
      </c>
      <c r="BE10" s="49">
        <v>17.04</v>
      </c>
      <c r="BF10" s="49">
        <v>12.97</v>
      </c>
      <c r="BG10" s="49">
        <v>30.24</v>
      </c>
      <c r="BH10" s="49">
        <v>26.21</v>
      </c>
      <c r="BI10" s="50">
        <v>66.48</v>
      </c>
      <c r="BJ10" s="49">
        <v>81.293999999999997</v>
      </c>
      <c r="BK10" s="50">
        <v>64.914000000000001</v>
      </c>
      <c r="BL10" s="49">
        <v>76.994</v>
      </c>
      <c r="BM10" s="50">
        <v>80.856999999999999</v>
      </c>
      <c r="BN10" s="49">
        <v>117.83199999999999</v>
      </c>
      <c r="BO10" s="49">
        <v>120.648</v>
      </c>
      <c r="BP10" s="50">
        <v>140.376</v>
      </c>
      <c r="BQ10" s="50">
        <v>144.15199999999999</v>
      </c>
      <c r="BR10" s="50">
        <v>60.170999999999999</v>
      </c>
      <c r="BS10" s="50">
        <v>27.1</v>
      </c>
      <c r="BT10" s="49">
        <v>7393.9979999999996</v>
      </c>
      <c r="BU10" s="49">
        <v>48.463999999999999</v>
      </c>
      <c r="BV10" s="49">
        <v>53.73</v>
      </c>
      <c r="BW10" s="49">
        <v>54.46</v>
      </c>
      <c r="BX10" s="50">
        <v>55.427</v>
      </c>
      <c r="BY10" s="49">
        <v>1.379</v>
      </c>
      <c r="BZ10" s="49">
        <v>3.0510000000000002</v>
      </c>
      <c r="CA10" s="49">
        <v>3.0920000000000001</v>
      </c>
      <c r="CB10" s="49">
        <v>3.3359999999999999</v>
      </c>
      <c r="CC10" s="49">
        <v>0.80100000000000005</v>
      </c>
      <c r="CD10" s="49">
        <v>2.2930000000000001</v>
      </c>
      <c r="CE10" s="49">
        <v>1.2829999999999999</v>
      </c>
      <c r="CF10" s="49">
        <v>2.0859999999999999</v>
      </c>
      <c r="CG10" s="50">
        <v>13.95</v>
      </c>
      <c r="CH10" s="49">
        <v>13.507999999999999</v>
      </c>
      <c r="CI10" s="3"/>
      <c r="CJ10" s="3"/>
      <c r="CK10" s="3"/>
      <c r="CL10" s="49">
        <v>0</v>
      </c>
      <c r="CM10" s="49">
        <v>0.2</v>
      </c>
      <c r="CN10" s="50">
        <v>0</v>
      </c>
      <c r="CO10" s="50">
        <v>0</v>
      </c>
      <c r="CP10" s="49">
        <v>100.038</v>
      </c>
      <c r="CQ10" s="49">
        <v>103.22799999999999</v>
      </c>
      <c r="CR10" s="50">
        <v>130.71799999999999</v>
      </c>
      <c r="CS10" s="50">
        <v>136.501</v>
      </c>
      <c r="CT10" s="50">
        <v>0.52</v>
      </c>
      <c r="CU10" s="49">
        <v>0.79800000000000004</v>
      </c>
      <c r="CV10" s="49">
        <v>0.90100000000000002</v>
      </c>
      <c r="CW10" s="50">
        <v>1.7010000000000001</v>
      </c>
      <c r="CX10" s="50">
        <v>1.7989999999999999</v>
      </c>
      <c r="CY10" s="49">
        <v>0.89900000000000002</v>
      </c>
      <c r="CZ10" s="49">
        <v>1.0009999999999999</v>
      </c>
      <c r="DA10" s="49">
        <v>0.3</v>
      </c>
      <c r="DB10" s="49">
        <v>2.4009999999999998</v>
      </c>
      <c r="DC10" s="50">
        <v>0</v>
      </c>
      <c r="DD10" s="50">
        <v>0</v>
      </c>
      <c r="DE10" s="49">
        <v>0.108</v>
      </c>
      <c r="DF10" s="49">
        <v>2.5000000000000001E-2</v>
      </c>
      <c r="DG10" s="49">
        <v>0.23100000000000001</v>
      </c>
      <c r="DH10" s="49">
        <v>1.2929999999999999</v>
      </c>
      <c r="DI10" s="49">
        <v>0.746</v>
      </c>
      <c r="DJ10" s="49">
        <v>-3.1E-2</v>
      </c>
      <c r="DK10" s="49">
        <v>0.51200000000000001</v>
      </c>
      <c r="DL10" s="50">
        <v>0.40799999999999997</v>
      </c>
      <c r="DM10" s="49">
        <v>0.46200000000000002</v>
      </c>
      <c r="DN10" s="50">
        <v>0.42599999999999999</v>
      </c>
      <c r="DO10" s="49">
        <v>0.26400000000000001</v>
      </c>
      <c r="DP10" s="50">
        <v>66.048000000000002</v>
      </c>
      <c r="DQ10" s="49">
        <v>61.183999999999997</v>
      </c>
      <c r="DR10" s="49">
        <v>54.466000000000001</v>
      </c>
      <c r="DS10" s="49">
        <v>52.421999999999997</v>
      </c>
      <c r="DT10" s="49">
        <v>5.2</v>
      </c>
      <c r="DU10" s="49">
        <v>5.51</v>
      </c>
      <c r="DV10" s="49">
        <v>11.81</v>
      </c>
      <c r="DW10" s="49">
        <v>9.3000000000000007</v>
      </c>
      <c r="DX10" s="49">
        <v>5.61</v>
      </c>
      <c r="DY10" s="49">
        <v>5.66</v>
      </c>
      <c r="DZ10" s="49">
        <v>11.06</v>
      </c>
      <c r="EA10" s="49">
        <v>8.7899999999999991</v>
      </c>
      <c r="EB10" s="50">
        <v>42.86</v>
      </c>
      <c r="EC10" s="50">
        <v>41.51</v>
      </c>
      <c r="ED10" s="50">
        <v>32.22</v>
      </c>
      <c r="EE10" s="49">
        <v>34.79</v>
      </c>
      <c r="EF10" s="49">
        <v>46.33</v>
      </c>
      <c r="EG10" s="49">
        <v>47.31</v>
      </c>
      <c r="EH10" s="49">
        <v>44.9</v>
      </c>
      <c r="EI10" s="49">
        <v>47.12</v>
      </c>
      <c r="EJ10" s="50">
        <v>7.33</v>
      </c>
      <c r="EK10" s="50">
        <v>61.683999999999997</v>
      </c>
      <c r="EL10" s="49">
        <v>2.2000000000000002</v>
      </c>
      <c r="EM10" s="50">
        <v>1.75</v>
      </c>
      <c r="EN10" s="49">
        <v>1.17</v>
      </c>
      <c r="EO10" s="49">
        <v>1.19</v>
      </c>
      <c r="EP10" s="49">
        <v>-105.346</v>
      </c>
      <c r="EQ10" s="49">
        <v>-2.4129999999999998</v>
      </c>
      <c r="ER10" s="49">
        <v>82.41</v>
      </c>
      <c r="ES10" s="49">
        <v>1.42</v>
      </c>
      <c r="ET10" s="49">
        <v>1.5960000000000001</v>
      </c>
      <c r="EU10" s="50">
        <v>1.417</v>
      </c>
      <c r="EV10" s="50">
        <v>7.8680000000000003</v>
      </c>
      <c r="EW10" s="50">
        <v>3.0739999999999998</v>
      </c>
      <c r="EX10" s="49">
        <v>71.25</v>
      </c>
      <c r="EY10" s="49">
        <v>8.1000000000000003E-2</v>
      </c>
      <c r="EZ10" s="50">
        <v>5.3999999999999999E-2</v>
      </c>
      <c r="FA10" s="50">
        <v>0</v>
      </c>
      <c r="FB10" s="50">
        <v>9.2319999999999993</v>
      </c>
      <c r="FC10" s="50">
        <v>74.343999999999994</v>
      </c>
      <c r="FD10" s="50">
        <v>68.003</v>
      </c>
      <c r="FE10" s="50">
        <v>88.382000000000005</v>
      </c>
      <c r="FF10" s="50">
        <v>86.067999999999998</v>
      </c>
      <c r="FG10" s="49">
        <v>0.92400000000000004</v>
      </c>
      <c r="FH10" s="49">
        <v>0.94299999999999995</v>
      </c>
      <c r="FI10" s="49">
        <v>0.997</v>
      </c>
      <c r="FJ10" s="49">
        <v>1</v>
      </c>
      <c r="FK10" s="49">
        <v>0</v>
      </c>
      <c r="FL10" s="49">
        <v>83</v>
      </c>
      <c r="FM10" s="50">
        <v>3.69</v>
      </c>
      <c r="FN10" s="49">
        <v>-0.43</v>
      </c>
      <c r="FO10" s="49">
        <v>4.97</v>
      </c>
      <c r="FP10" s="49">
        <v>2.95</v>
      </c>
      <c r="FQ10" s="49">
        <v>4.55</v>
      </c>
      <c r="FR10" s="50">
        <v>4.95</v>
      </c>
      <c r="FS10" s="49">
        <v>6.5549999999999997</v>
      </c>
      <c r="FT10" s="49">
        <v>1075.5</v>
      </c>
      <c r="FU10" s="50">
        <v>6.32</v>
      </c>
      <c r="FV10" s="50">
        <v>47.88</v>
      </c>
      <c r="FW10" s="50">
        <v>3005</v>
      </c>
      <c r="FX10" s="49">
        <v>161900</v>
      </c>
      <c r="FY10" s="49">
        <v>163100</v>
      </c>
      <c r="FZ10" s="49">
        <v>47.307000000000002</v>
      </c>
      <c r="GA10" s="49">
        <v>47.378999999999998</v>
      </c>
      <c r="GB10" s="50">
        <v>2156.8000000000002</v>
      </c>
      <c r="GC10" s="49">
        <v>2157.8000000000002</v>
      </c>
      <c r="GD10" s="49">
        <v>2270</v>
      </c>
      <c r="GE10" s="49">
        <v>2173.4</v>
      </c>
      <c r="GF10" s="49">
        <v>1373.9844000000001</v>
      </c>
      <c r="GG10" s="50">
        <v>33</v>
      </c>
      <c r="GH10" s="50">
        <v>33.299999999999997</v>
      </c>
      <c r="GI10" s="49">
        <v>47.8</v>
      </c>
      <c r="GJ10" s="49">
        <v>52.7</v>
      </c>
      <c r="GK10" s="49">
        <v>99.5</v>
      </c>
      <c r="GL10" s="49">
        <v>77.2</v>
      </c>
      <c r="GM10" s="50">
        <v>0</v>
      </c>
      <c r="GN10" s="50">
        <v>28.731000000000002</v>
      </c>
      <c r="GO10" s="49">
        <v>105.346</v>
      </c>
      <c r="GP10" s="50">
        <v>0</v>
      </c>
      <c r="GQ10" s="49">
        <v>1.9470000000000001</v>
      </c>
      <c r="GR10" s="50">
        <v>0</v>
      </c>
      <c r="GS10" s="49">
        <v>2.0059999999999998</v>
      </c>
      <c r="GT10" s="50">
        <v>0</v>
      </c>
      <c r="GU10" s="49">
        <v>1.8879999999999999</v>
      </c>
      <c r="GV10" s="50">
        <v>0</v>
      </c>
      <c r="GW10" s="49">
        <v>0</v>
      </c>
      <c r="GX10" s="49">
        <v>0</v>
      </c>
      <c r="GY10" s="50">
        <v>0</v>
      </c>
      <c r="GZ10" s="49">
        <v>13.804</v>
      </c>
      <c r="HA10" s="49">
        <v>15.385999999999999</v>
      </c>
      <c r="HB10" s="50">
        <v>1</v>
      </c>
      <c r="HC10" s="49">
        <v>23.404</v>
      </c>
      <c r="HD10" s="49">
        <v>82</v>
      </c>
      <c r="HE10" s="50">
        <v>0</v>
      </c>
      <c r="HF10" s="50">
        <v>0</v>
      </c>
      <c r="HG10" s="49">
        <v>71.2</v>
      </c>
      <c r="HH10" s="49">
        <v>83.39</v>
      </c>
      <c r="HI10" s="50">
        <v>0</v>
      </c>
      <c r="HJ10" s="50">
        <v>0</v>
      </c>
      <c r="HK10" s="50">
        <v>0</v>
      </c>
      <c r="HL10" s="49">
        <v>61</v>
      </c>
      <c r="HM10" s="49">
        <v>52</v>
      </c>
      <c r="HN10" s="49">
        <v>65</v>
      </c>
      <c r="HO10" s="50">
        <v>59</v>
      </c>
      <c r="HP10" s="50">
        <v>62</v>
      </c>
      <c r="HQ10" s="50">
        <v>60</v>
      </c>
      <c r="HR10" s="49">
        <v>51</v>
      </c>
      <c r="HS10" s="49">
        <v>66</v>
      </c>
      <c r="HT10" s="49">
        <v>-1.3955</v>
      </c>
      <c r="HU10" s="50">
        <v>0</v>
      </c>
      <c r="HV10" s="49">
        <v>0.3</v>
      </c>
      <c r="HW10" s="49">
        <v>40.5</v>
      </c>
      <c r="HX10" s="49">
        <v>43.43</v>
      </c>
      <c r="HY10" s="3"/>
      <c r="HZ10" s="3"/>
      <c r="IA10" s="49">
        <v>2.7970000000000002</v>
      </c>
      <c r="IB10" s="49">
        <v>104</v>
      </c>
      <c r="IC10" s="49">
        <v>22.678999999999998</v>
      </c>
      <c r="ID10" s="49">
        <v>-0.249</v>
      </c>
      <c r="IE10" s="49">
        <v>-0.11</v>
      </c>
      <c r="IF10" s="50">
        <v>805.2</v>
      </c>
      <c r="IG10" s="49">
        <v>740.2</v>
      </c>
      <c r="IH10" s="50">
        <v>815.9</v>
      </c>
      <c r="II10" s="49">
        <v>753.8</v>
      </c>
      <c r="IJ10" s="49">
        <v>2E-3</v>
      </c>
      <c r="IK10" s="49">
        <v>0</v>
      </c>
      <c r="IL10" s="49">
        <v>78.893000000000001</v>
      </c>
      <c r="IM10" s="49">
        <v>78.893000000000001</v>
      </c>
      <c r="IN10" s="49">
        <v>13.632</v>
      </c>
      <c r="IO10" s="49">
        <v>0.17299999999999999</v>
      </c>
      <c r="IP10" s="49">
        <v>9.4700000000000006</v>
      </c>
      <c r="IQ10" s="49">
        <v>0</v>
      </c>
      <c r="IR10" s="49">
        <v>0</v>
      </c>
    </row>
  </sheetData>
  <mergeCells count="5">
    <mergeCell ref="B6:BD6"/>
    <mergeCell ref="BE6:DE6"/>
    <mergeCell ref="DF6:FE6"/>
    <mergeCell ref="FF6:HD6"/>
    <mergeCell ref="HE6:IR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DBE9E-459B-4ECC-83BD-FB05AA513064}">
  <sheetPr codeName="Sheet13"/>
  <dimension ref="B1:G5"/>
  <sheetViews>
    <sheetView zoomScale="60" zoomScaleNormal="60" workbookViewId="0">
      <selection activeCell="G2" sqref="G2:G5"/>
    </sheetView>
  </sheetViews>
  <sheetFormatPr defaultRowHeight="15" x14ac:dyDescent="0.25"/>
  <sheetData>
    <row r="1" spans="2:7" x14ac:dyDescent="0.25">
      <c r="B1" t="s">
        <v>2</v>
      </c>
      <c r="C1" t="s">
        <v>361</v>
      </c>
      <c r="D1" t="s">
        <v>362</v>
      </c>
      <c r="E1" t="s">
        <v>363</v>
      </c>
      <c r="F1" t="s">
        <v>364</v>
      </c>
      <c r="G1" t="s">
        <v>365</v>
      </c>
    </row>
    <row r="2" spans="2:7" x14ac:dyDescent="0.25">
      <c r="B2" s="50">
        <v>379.05599999999998</v>
      </c>
      <c r="C2" s="49">
        <v>5.91</v>
      </c>
      <c r="D2" s="49">
        <v>1.4079999999999999</v>
      </c>
      <c r="E2" s="49">
        <v>4.508</v>
      </c>
      <c r="F2" s="49">
        <v>3.5339999999999998</v>
      </c>
      <c r="G2" s="49">
        <v>71.55</v>
      </c>
    </row>
    <row r="3" spans="2:7" x14ac:dyDescent="0.25">
      <c r="B3" s="49">
        <v>211.1</v>
      </c>
      <c r="C3" s="49">
        <v>6.16</v>
      </c>
      <c r="D3" s="50">
        <v>1.6479999999999999</v>
      </c>
      <c r="E3" s="50">
        <v>5.0519999999999996</v>
      </c>
      <c r="F3" s="50">
        <v>3.6680000000000001</v>
      </c>
      <c r="G3" s="49">
        <v>76.66</v>
      </c>
    </row>
    <row r="4" spans="2:7" x14ac:dyDescent="0.25">
      <c r="B4" s="49">
        <v>209.39</v>
      </c>
      <c r="C4" s="50">
        <v>6.18</v>
      </c>
      <c r="D4" s="49">
        <v>1.456</v>
      </c>
      <c r="E4" s="49">
        <v>4.782</v>
      </c>
      <c r="F4" s="49">
        <v>3.4980000000000002</v>
      </c>
      <c r="G4" s="50">
        <v>76.84</v>
      </c>
    </row>
    <row r="5" spans="2:7" x14ac:dyDescent="0.25">
      <c r="B5" s="49">
        <v>247.16300000000001</v>
      </c>
      <c r="C5" s="49">
        <v>5.98</v>
      </c>
      <c r="D5" s="3"/>
      <c r="E5" s="3"/>
      <c r="F5" s="3"/>
      <c r="G5" s="49">
        <v>71.25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8BEC9-80F9-41B8-89E0-00A4A0999DB9}">
  <sheetPr codeName="Sheet14"/>
  <dimension ref="B1:G7"/>
  <sheetViews>
    <sheetView zoomScale="40" zoomScaleNormal="40" workbookViewId="0">
      <selection activeCell="G2" sqref="G2:G7"/>
    </sheetView>
  </sheetViews>
  <sheetFormatPr defaultRowHeight="15" x14ac:dyDescent="0.25"/>
  <sheetData>
    <row r="1" spans="2:7" x14ac:dyDescent="0.25">
      <c r="B1" t="s">
        <v>2</v>
      </c>
      <c r="C1" t="s">
        <v>361</v>
      </c>
      <c r="D1" t="s">
        <v>362</v>
      </c>
      <c r="E1" t="s">
        <v>363</v>
      </c>
      <c r="F1" t="s">
        <v>364</v>
      </c>
      <c r="G1" t="s">
        <v>365</v>
      </c>
    </row>
    <row r="2" spans="2:7" x14ac:dyDescent="0.25">
      <c r="B2" s="50">
        <v>1301.5999999999999</v>
      </c>
      <c r="C2" s="49">
        <v>5.53</v>
      </c>
      <c r="D2" s="49">
        <v>1.0649999999999999</v>
      </c>
      <c r="E2" s="49">
        <v>4.5979999999999999</v>
      </c>
      <c r="F2" s="49">
        <v>-930411.30900000001</v>
      </c>
      <c r="G2" s="49">
        <v>-258.95999999999998</v>
      </c>
    </row>
    <row r="3" spans="2:7" x14ac:dyDescent="0.25">
      <c r="B3" s="49">
        <v>309.52</v>
      </c>
      <c r="C3" s="49">
        <v>5.0199999999999996</v>
      </c>
      <c r="D3" s="49">
        <v>0.89200000000000002</v>
      </c>
      <c r="E3" s="50">
        <v>5.016</v>
      </c>
      <c r="F3" s="49">
        <v>-116.81699999999999</v>
      </c>
      <c r="G3" s="49">
        <v>58.04</v>
      </c>
    </row>
    <row r="4" spans="2:7" x14ac:dyDescent="0.25">
      <c r="B4" s="49">
        <v>380.99</v>
      </c>
      <c r="C4" s="49">
        <v>4.4000000000000004</v>
      </c>
      <c r="D4" s="49">
        <v>1.31</v>
      </c>
      <c r="E4" s="49">
        <v>4.391</v>
      </c>
      <c r="F4" s="49">
        <v>-92.903999999999996</v>
      </c>
      <c r="G4" s="49">
        <v>45.22</v>
      </c>
    </row>
    <row r="5" spans="2:7" x14ac:dyDescent="0.25">
      <c r="B5" s="49">
        <v>210.3</v>
      </c>
      <c r="C5" s="49">
        <v>5.98</v>
      </c>
      <c r="D5" s="50">
        <v>1.702</v>
      </c>
      <c r="E5" s="49">
        <v>4.7679999999999998</v>
      </c>
      <c r="F5" s="50">
        <v>-73.218999999999994</v>
      </c>
      <c r="G5" s="49">
        <v>74.22</v>
      </c>
    </row>
    <row r="6" spans="2:7" x14ac:dyDescent="0.25">
      <c r="B6" s="49">
        <v>209.71</v>
      </c>
      <c r="C6" s="50">
        <v>6.04</v>
      </c>
      <c r="D6" s="49">
        <v>1.3440000000000001</v>
      </c>
      <c r="E6" s="49">
        <v>4.2830000000000004</v>
      </c>
      <c r="F6" s="49">
        <v>-90.393000000000001</v>
      </c>
      <c r="G6" s="50">
        <v>75.319999999999993</v>
      </c>
    </row>
    <row r="7" spans="2:7" x14ac:dyDescent="0.25">
      <c r="B7" s="49">
        <v>279.577</v>
      </c>
      <c r="C7" s="49">
        <v>-26.97</v>
      </c>
      <c r="D7" s="3"/>
      <c r="E7" s="3"/>
      <c r="F7" s="3"/>
      <c r="G7" s="49">
        <v>64.400000000000006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F2AF4-4CD8-4F3E-A3D8-10B73010E669}">
  <sheetPr codeName="Sheet15"/>
  <dimension ref="B1:G6"/>
  <sheetViews>
    <sheetView zoomScale="50" zoomScaleNormal="50" workbookViewId="0">
      <selection activeCell="G2" sqref="G2:G6"/>
    </sheetView>
  </sheetViews>
  <sheetFormatPr defaultRowHeight="15" x14ac:dyDescent="0.25"/>
  <sheetData>
    <row r="1" spans="2:7" x14ac:dyDescent="0.25">
      <c r="B1" t="s">
        <v>2</v>
      </c>
      <c r="C1" t="s">
        <v>361</v>
      </c>
      <c r="D1" t="s">
        <v>362</v>
      </c>
      <c r="E1" t="s">
        <v>363</v>
      </c>
      <c r="F1" t="s">
        <v>364</v>
      </c>
      <c r="G1" t="s">
        <v>365</v>
      </c>
    </row>
    <row r="2" spans="2:7" x14ac:dyDescent="0.25">
      <c r="B2" s="7">
        <v>29.062000000000001</v>
      </c>
      <c r="C2" s="7">
        <v>0</v>
      </c>
      <c r="D2" s="3"/>
      <c r="E2" s="3"/>
      <c r="F2" s="7">
        <v>1.895</v>
      </c>
      <c r="G2" s="7">
        <v>0</v>
      </c>
    </row>
    <row r="3" spans="2:7" x14ac:dyDescent="0.25">
      <c r="B3" s="50">
        <v>310.892</v>
      </c>
      <c r="C3" s="49">
        <v>5.57</v>
      </c>
      <c r="D3" s="49">
        <v>1.4039999999999999</v>
      </c>
      <c r="E3" s="50">
        <v>4.0919999999999996</v>
      </c>
      <c r="F3" s="49">
        <v>3.5169999999999999</v>
      </c>
      <c r="G3" s="49">
        <v>-315.3</v>
      </c>
    </row>
    <row r="4" spans="2:7" x14ac:dyDescent="0.25">
      <c r="B4" s="49">
        <v>212.33</v>
      </c>
      <c r="C4" s="50">
        <v>6.07</v>
      </c>
      <c r="D4" s="50">
        <v>1.7509999999999999</v>
      </c>
      <c r="E4" s="49">
        <v>3.9449999999999998</v>
      </c>
      <c r="F4" s="49">
        <v>3.7210000000000001</v>
      </c>
      <c r="G4" s="49">
        <v>75</v>
      </c>
    </row>
    <row r="5" spans="2:7" x14ac:dyDescent="0.25">
      <c r="B5" s="49">
        <v>210.76</v>
      </c>
      <c r="C5" s="50">
        <v>6.07</v>
      </c>
      <c r="D5" s="49">
        <v>1.7110000000000001</v>
      </c>
      <c r="E5" s="49">
        <v>3.4740000000000002</v>
      </c>
      <c r="F5" s="50">
        <v>3.774</v>
      </c>
      <c r="G5" s="50">
        <v>75.010000000000005</v>
      </c>
    </row>
    <row r="6" spans="2:7" x14ac:dyDescent="0.25">
      <c r="B6" s="49">
        <v>242.15100000000001</v>
      </c>
      <c r="C6" s="49">
        <v>5.94</v>
      </c>
      <c r="D6" s="3"/>
      <c r="E6" s="3"/>
      <c r="F6" s="3"/>
      <c r="G6" s="49">
        <v>72.53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CTRL</vt:lpstr>
      <vt:lpstr>Plot_Export</vt:lpstr>
      <vt:lpstr>All</vt:lpstr>
      <vt:lpstr>709_Quali_Outing1</vt:lpstr>
      <vt:lpstr>709_Quali_Outing2</vt:lpstr>
      <vt:lpstr>709_Quali_Outing 3</vt:lpstr>
      <vt:lpstr>Driver 1</vt:lpstr>
      <vt:lpstr>Driver 2</vt:lpstr>
      <vt:lpstr>Driver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Stefano.Rapisarda</dc:creator>
  <cp:lastModifiedBy>Matteo.Paganini</cp:lastModifiedBy>
  <cp:lastPrinted>2021-08-18T18:37:59Z</cp:lastPrinted>
  <dcterms:created xsi:type="dcterms:W3CDTF">2021-07-23T10:36:36Z</dcterms:created>
  <dcterms:modified xsi:type="dcterms:W3CDTF">2021-08-18T22:42:37Z</dcterms:modified>
</cp:coreProperties>
</file>