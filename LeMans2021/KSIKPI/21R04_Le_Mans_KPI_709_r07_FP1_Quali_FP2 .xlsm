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66A4A838-0DF9-4416-9EB3-15DC3AC7E068}" xr6:coauthVersionLast="47" xr6:coauthVersionMax="47" xr10:uidLastSave="{00000000-0000-0000-0000-000000000000}"/>
  <bookViews>
    <workbookView xWindow="-120" yWindow="-120" windowWidth="29040" windowHeight="15840" activeTab="1" xr2:uid="{33A7812F-93B0-42E2-BFA7-E40E9D5444C4}"/>
  </bookViews>
  <sheets>
    <sheet name="CTRL" sheetId="11" r:id="rId1"/>
    <sheet name="Plot_Export" sheetId="12" r:id="rId2"/>
    <sheet name="All" sheetId="3" r:id="rId3"/>
    <sheet name="709_FP1_Outing 1" sheetId="26" r:id="rId4"/>
    <sheet name="709_FP1_Outing 2" sheetId="30" r:id="rId5"/>
    <sheet name="709_FP1_Outing 3" sheetId="31" r:id="rId6"/>
    <sheet name="709_FP1_Outing 4" sheetId="32" r:id="rId7"/>
    <sheet name="709_FP1_Outing 5" sheetId="40" r:id="rId8"/>
    <sheet name="709_FP1_Outing 6" sheetId="34" r:id="rId9"/>
    <sheet name="709_Quali_Outing1" sheetId="41" r:id="rId10"/>
    <sheet name="709_Quali_Outing2" sheetId="42" r:id="rId11"/>
    <sheet name="709_Quali_Outing 3" sheetId="43" r:id="rId12"/>
    <sheet name="709_FP2_Outing1" sheetId="44" r:id="rId13"/>
    <sheet name="709_FP2_Outing2" sheetId="45" r:id="rId14"/>
    <sheet name="709_FP2_Outing 3" sheetId="46" r:id="rId15"/>
    <sheet name="709_FP2_Outing 4" sheetId="47" r:id="rId16"/>
    <sheet name="709_FP2_Outing 5" sheetId="48" r:id="rId17"/>
    <sheet name="709_FP2_Outing 6" sheetId="49" r:id="rId18"/>
    <sheet name="Driver 1" sheetId="13" r:id="rId19"/>
    <sheet name="Driver 2" sheetId="14" r:id="rId20"/>
    <sheet name="Driver 3" sheetId="15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9" i="11" l="1"/>
  <c r="P9" i="11"/>
  <c r="P7" i="11"/>
  <c r="P5" i="11"/>
  <c r="IS4" i="3"/>
  <c r="IT4" i="3"/>
  <c r="Q29" i="11"/>
  <c r="Q30" i="11"/>
  <c r="Q31" i="11" s="1"/>
  <c r="Q32" i="11" s="1"/>
  <c r="Q33" i="11" s="1"/>
  <c r="Q34" i="11" s="1"/>
  <c r="Q35" i="11" s="1"/>
  <c r="Q36" i="11" s="1"/>
  <c r="Q37" i="11" s="1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U4" i="3"/>
  <c r="FV4" i="3"/>
  <c r="FW4" i="3"/>
  <c r="FX4" i="3"/>
  <c r="FY4" i="3"/>
  <c r="FZ4" i="3"/>
  <c r="GA4" i="3"/>
  <c r="GB4" i="3"/>
  <c r="GC4" i="3"/>
  <c r="GD4" i="3"/>
  <c r="GE4" i="3"/>
  <c r="GF4" i="3"/>
  <c r="GG4" i="3"/>
  <c r="GH4" i="3"/>
  <c r="GI4" i="3"/>
  <c r="GJ4" i="3"/>
  <c r="GK4" i="3"/>
  <c r="GL4" i="3"/>
  <c r="GM4" i="3"/>
  <c r="GN4" i="3"/>
  <c r="GO4" i="3"/>
  <c r="GP4" i="3"/>
  <c r="GQ4" i="3"/>
  <c r="GR4" i="3"/>
  <c r="GS4" i="3"/>
  <c r="GT4" i="3"/>
  <c r="GU4" i="3"/>
  <c r="GV4" i="3"/>
  <c r="GW4" i="3"/>
  <c r="GX4" i="3"/>
  <c r="GY4" i="3"/>
  <c r="GZ4" i="3"/>
  <c r="HA4" i="3"/>
  <c r="HB4" i="3"/>
  <c r="HC4" i="3"/>
  <c r="HD4" i="3"/>
  <c r="HE4" i="3"/>
  <c r="HF4" i="3"/>
  <c r="HG4" i="3"/>
  <c r="HH4" i="3"/>
  <c r="HI4" i="3"/>
  <c r="HJ4" i="3"/>
  <c r="HK4" i="3"/>
  <c r="HL4" i="3"/>
  <c r="HM4" i="3"/>
  <c r="HN4" i="3"/>
  <c r="HO4" i="3"/>
  <c r="HP4" i="3"/>
  <c r="HQ4" i="3"/>
  <c r="HR4" i="3"/>
  <c r="HS4" i="3"/>
  <c r="HT4" i="3"/>
  <c r="HU4" i="3"/>
  <c r="HV4" i="3"/>
  <c r="HW4" i="3"/>
  <c r="HX4" i="3"/>
  <c r="HY4" i="3"/>
  <c r="HZ4" i="3"/>
  <c r="IA4" i="3"/>
  <c r="IB4" i="3"/>
  <c r="IC4" i="3"/>
  <c r="ID4" i="3"/>
  <c r="IE4" i="3"/>
  <c r="IF4" i="3"/>
  <c r="IG4" i="3"/>
  <c r="IH4" i="3"/>
  <c r="II4" i="3"/>
  <c r="IJ4" i="3"/>
  <c r="IK4" i="3"/>
  <c r="IL4" i="3"/>
  <c r="IM4" i="3"/>
  <c r="IN4" i="3"/>
  <c r="IO4" i="3"/>
  <c r="IP4" i="3"/>
  <c r="IQ4" i="3"/>
  <c r="IR4" i="3"/>
  <c r="B4" i="3"/>
  <c r="C84" i="11"/>
  <c r="X37" i="11"/>
  <c r="C81" i="11"/>
  <c r="C82" i="11"/>
  <c r="C83" i="11"/>
  <c r="C80" i="11"/>
  <c r="C77" i="11"/>
  <c r="C78" i="11"/>
  <c r="C79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D56" i="11"/>
  <c r="C56" i="11"/>
  <c r="C55" i="11"/>
  <c r="AP3" i="3"/>
  <c r="D81" i="11"/>
  <c r="D82" i="11" s="1"/>
  <c r="D83" i="11" s="1"/>
  <c r="T13" i="11"/>
  <c r="Q11" i="11"/>
  <c r="P11" i="11"/>
  <c r="P6" i="11"/>
  <c r="Q6" i="11" s="1"/>
  <c r="X20" i="11"/>
  <c r="C24" i="11" s="1"/>
  <c r="D77" i="11"/>
  <c r="D78" i="11" s="1"/>
  <c r="D79" i="11" s="1"/>
  <c r="D73" i="11"/>
  <c r="D74" i="11" s="1"/>
  <c r="D75" i="11" s="1"/>
  <c r="D70" i="11"/>
  <c r="D66" i="11"/>
  <c r="D67" i="11" s="1"/>
  <c r="D68" i="11" s="1"/>
  <c r="D62" i="11"/>
  <c r="D63" i="11" s="1"/>
  <c r="D64" i="11" s="1"/>
  <c r="D58" i="11"/>
  <c r="D59" i="11" s="1"/>
  <c r="D60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F84" i="11"/>
  <c r="E84" i="11"/>
  <c r="F83" i="11"/>
  <c r="G83" i="11"/>
  <c r="H83" i="11"/>
  <c r="I83" i="11"/>
  <c r="J83" i="11"/>
  <c r="K83" i="11"/>
  <c r="L83" i="11"/>
  <c r="E83" i="11"/>
  <c r="K82" i="11"/>
  <c r="F82" i="11"/>
  <c r="G82" i="11"/>
  <c r="H82" i="11"/>
  <c r="I82" i="11"/>
  <c r="J82" i="11"/>
  <c r="E82" i="11"/>
  <c r="F81" i="11"/>
  <c r="G81" i="11"/>
  <c r="E81" i="11"/>
  <c r="G80" i="11"/>
  <c r="F80" i="11"/>
  <c r="E80" i="11"/>
  <c r="F79" i="11"/>
  <c r="G79" i="11"/>
  <c r="H79" i="11"/>
  <c r="I79" i="11"/>
  <c r="J79" i="11"/>
  <c r="E79" i="11"/>
  <c r="G78" i="11"/>
  <c r="F78" i="11"/>
  <c r="E78" i="11"/>
  <c r="G77" i="11"/>
  <c r="F77" i="11"/>
  <c r="E77" i="11"/>
  <c r="G76" i="11"/>
  <c r="F76" i="11"/>
  <c r="E76" i="11"/>
  <c r="H75" i="11"/>
  <c r="G75" i="11"/>
  <c r="F75" i="11"/>
  <c r="E75" i="11"/>
  <c r="E74" i="11"/>
  <c r="E73" i="11"/>
  <c r="H72" i="11"/>
  <c r="I72" i="11"/>
  <c r="G72" i="11"/>
  <c r="F72" i="11"/>
  <c r="E72" i="11"/>
  <c r="H68" i="11"/>
  <c r="F68" i="11"/>
  <c r="G68" i="11"/>
  <c r="E68" i="11"/>
  <c r="F67" i="11"/>
  <c r="G67" i="11"/>
  <c r="H67" i="11"/>
  <c r="E67" i="11"/>
  <c r="F66" i="11"/>
  <c r="G66" i="11"/>
  <c r="H66" i="11"/>
  <c r="E66" i="11"/>
  <c r="F65" i="11"/>
  <c r="E65" i="11"/>
  <c r="F64" i="11"/>
  <c r="E64" i="11"/>
  <c r="G63" i="11"/>
  <c r="H63" i="11"/>
  <c r="F63" i="11"/>
  <c r="E63" i="11"/>
  <c r="F62" i="11"/>
  <c r="G62" i="11"/>
  <c r="H62" i="11"/>
  <c r="E62" i="11"/>
  <c r="I61" i="11"/>
  <c r="H61" i="11"/>
  <c r="G61" i="11"/>
  <c r="F61" i="11"/>
  <c r="E61" i="11"/>
  <c r="H60" i="11"/>
  <c r="G60" i="11"/>
  <c r="F60" i="11"/>
  <c r="E60" i="11"/>
  <c r="F59" i="11"/>
  <c r="G59" i="11"/>
  <c r="H59" i="11"/>
  <c r="I59" i="11"/>
  <c r="J59" i="11"/>
  <c r="K59" i="11"/>
  <c r="L59" i="11"/>
  <c r="E59" i="11"/>
  <c r="H58" i="11"/>
  <c r="G58" i="11"/>
  <c r="F58" i="11"/>
  <c r="E58" i="11"/>
  <c r="H57" i="11"/>
  <c r="G57" i="11"/>
  <c r="F57" i="11"/>
  <c r="E57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G3" i="3"/>
  <c r="CH3" i="3"/>
  <c r="CI3" i="3"/>
  <c r="CJ3" i="3"/>
  <c r="CK3" i="3"/>
  <c r="CL3" i="3"/>
  <c r="CM3" i="3"/>
  <c r="CN3" i="3"/>
  <c r="CO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AQ2" i="3" l="1"/>
  <c r="AQ3" i="3"/>
  <c r="CF2" i="3"/>
  <c r="CF3" i="3"/>
  <c r="CE3" i="3"/>
  <c r="CE2" i="3"/>
  <c r="CC3" i="3"/>
  <c r="AP2" i="3"/>
  <c r="CD3" i="3"/>
  <c r="CC2" i="3"/>
  <c r="CD2" i="3"/>
  <c r="C25" i="1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C26" i="11"/>
  <c r="X33" i="11" l="1"/>
  <c r="X34" i="11" s="1"/>
  <c r="X35" i="11" s="1"/>
  <c r="Q5" i="11"/>
  <c r="O5" i="11"/>
  <c r="O7" i="11"/>
  <c r="Q7" i="11"/>
  <c r="C29" i="11"/>
  <c r="C30" i="11"/>
  <c r="C27" i="11"/>
  <c r="C28" i="11"/>
  <c r="C31" i="11"/>
  <c r="C32" i="11"/>
  <c r="C33" i="11"/>
  <c r="C34" i="11"/>
  <c r="X36" i="11" l="1"/>
  <c r="C36" i="1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</calcChain>
</file>

<file path=xl/sharedStrings.xml><?xml version="1.0" encoding="utf-8"?>
<sst xmlns="http://schemas.openxmlformats.org/spreadsheetml/2006/main" count="4525" uniqueCount="435">
  <si>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</si>
  <si>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</si>
  <si>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</si>
  <si>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</si>
  <si>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</si>
  <si>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</si>
  <si>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</si>
  <si>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</si>
  <si>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</si>
  <si>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</si>
  <si>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</si>
  <si>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</si>
  <si>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</si>
  <si>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</si>
  <si>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</si>
  <si>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</si>
  <si>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</si>
  <si>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</si>
  <si>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</si>
  <si>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</si>
  <si>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</si>
  <si>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</si>
  <si>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</si>
  <si>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</si>
  <si>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</si>
  <si>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</si>
  <si>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</si>
  <si>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</si>
  <si>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</si>
  <si>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</si>
  <si>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</si>
  <si>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</si>
  <si>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</si>
  <si>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</si>
  <si>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</si>
  <si>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</si>
  <si>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</si>
  <si>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</si>
  <si>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</si>
  <si>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</si>
  <si>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</si>
  <si>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</si>
  <si>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</si>
  <si>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</si>
  <si>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#4</t>
  </si>
  <si>
    <t>#5</t>
  </si>
  <si>
    <t>#6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</si>
  <si>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</si>
  <si>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</si>
  <si>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</si>
  <si>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</si>
  <si>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</si>
  <si>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</si>
  <si>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</si>
  <si>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</si>
  <si>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</si>
  <si>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</si>
  <si>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</si>
  <si>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</si>
  <si>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</si>
  <si>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</si>
  <si>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</si>
  <si>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</si>
  <si>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</si>
  <si>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</si>
  <si>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</si>
  <si>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</si>
  <si>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</si>
  <si>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</si>
  <si>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</si>
  <si>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</si>
  <si>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</si>
  <si>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</si>
  <si>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</si>
  <si>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</si>
  <si>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</si>
  <si>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</si>
  <si>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</si>
  <si>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</si>
  <si>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</si>
  <si>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</si>
  <si>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</si>
  <si>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</si>
  <si>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</si>
  <si>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</si>
  <si>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</si>
  <si>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</si>
  <si>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</si>
  <si>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</si>
  <si>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</si>
  <si>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</si>
  <si>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</si>
  <si>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</si>
  <si>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</si>
  <si>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</si>
  <si>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</si>
  <si>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</si>
  <si>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</si>
  <si>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</si>
  <si>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</si>
  <si>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</si>
  <si>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</si>
  <si>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</si>
  <si>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</si>
  <si>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</si>
  <si>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</si>
  <si>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</si>
  <si>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</si>
  <si>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</si>
  <si>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</si>
  <si>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</si>
  <si>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</si>
  <si>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</si>
  <si>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</si>
  <si>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</si>
  <si>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</si>
  <si>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</si>
  <si>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</si>
  <si>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</si>
  <si>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</si>
  <si>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</si>
  <si>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</si>
  <si>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</si>
  <si>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</si>
  <si>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</si>
  <si>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</si>
  <si>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</si>
  <si>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</si>
  <si>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</si>
  <si>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</si>
  <si>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</si>
  <si>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</si>
  <si>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</si>
  <si>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</si>
  <si>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</si>
  <si>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</si>
  <si>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</si>
  <si>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</si>
  <si>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</si>
  <si>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</si>
  <si>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</si>
  <si>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</si>
  <si>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</si>
  <si>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</si>
  <si>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</si>
  <si>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</si>
  <si>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</si>
  <si>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</si>
  <si>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</si>
  <si>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</si>
  <si>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</si>
  <si>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</si>
  <si>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</si>
  <si>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</si>
  <si>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</si>
  <si>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</si>
  <si>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</si>
  <si>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</si>
  <si>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</si>
  <si>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</si>
  <si>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</si>
  <si>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</si>
  <si>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</si>
  <si>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</si>
  <si>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</si>
  <si>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</si>
  <si>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</si>
  <si>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</si>
  <si>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</si>
  <si>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</si>
  <si>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</si>
  <si>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</si>
  <si>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</si>
  <si>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</si>
  <si>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</si>
  <si>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</si>
  <si>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</si>
  <si>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</si>
  <si>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</si>
  <si>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</si>
  <si>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</si>
  <si>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</si>
  <si>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</si>
  <si>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</si>
  <si>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</si>
  <si>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</si>
  <si>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</si>
  <si>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</si>
  <si>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</si>
  <si>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</si>
  <si>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</si>
  <si>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</si>
  <si>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</si>
  <si>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</si>
  <si>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</si>
  <si>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</si>
  <si>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</si>
  <si>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</si>
  <si>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</si>
  <si>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</si>
  <si>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</si>
  <si>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</si>
  <si>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</si>
  <si>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</si>
  <si>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</si>
  <si>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</si>
  <si>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</si>
  <si>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</si>
  <si>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</si>
  <si>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</si>
  <si>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</si>
  <si>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</si>
  <si>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</si>
  <si>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</si>
  <si>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</si>
  <si>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</si>
  <si>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</si>
  <si>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</si>
  <si>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</si>
  <si>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</si>
  <si>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</si>
  <si>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</si>
  <si>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</si>
  <si>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</si>
  <si>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</si>
  <si>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</si>
  <si>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</si>
  <si>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</si>
  <si>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</si>
  <si>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</si>
  <si>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</si>
  <si>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</si>
  <si>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</si>
  <si>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</si>
  <si>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</si>
  <si>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</si>
  <si>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</si>
  <si>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</si>
  <si>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</si>
  <si>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</si>
  <si>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</si>
  <si>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</si>
  <si>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</si>
  <si>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</si>
  <si>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</si>
  <si>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</si>
  <si>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</si>
  <si>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</si>
  <si>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</si>
  <si>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</si>
  <si>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</si>
  <si>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</si>
  <si>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</si>
  <si>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</si>
  <si>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</si>
  <si>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</si>
  <si>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</si>
  <si>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</si>
  <si>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</si>
  <si>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</si>
  <si>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</si>
  <si>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</si>
  <si>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</si>
  <si>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</si>
  <si>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</si>
  <si>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</si>
  <si>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</si>
  <si>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</si>
  <si>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</si>
  <si>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</si>
  <si>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</si>
  <si>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</si>
  <si>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</si>
  <si>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</si>
  <si>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</si>
  <si>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</si>
  <si>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</si>
  <si>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</si>
  <si>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</si>
  <si>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</si>
  <si>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</si>
  <si>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</si>
  <si>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</si>
  <si>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</si>
  <si>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</si>
  <si>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</si>
  <si>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</si>
  <si>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</si>
  <si>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</si>
  <si>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</si>
  <si>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</si>
  <si>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</si>
  <si>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</si>
  <si>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</si>
  <si>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</si>
  <si>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</si>
  <si>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</si>
  <si>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</si>
  <si>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</si>
  <si>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</si>
  <si>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</si>
  <si>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</si>
  <si>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</si>
  <si>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</si>
  <si>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</si>
  <si>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</si>
  <si>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</si>
  <si>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</si>
  <si>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</si>
  <si>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</si>
  <si>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</si>
  <si>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</si>
  <si>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</si>
  <si>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</si>
  <si>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</si>
  <si>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</si>
  <si>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</si>
  <si>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</si>
  <si>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</si>
  <si>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</si>
  <si>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</si>
  <si>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</si>
  <si>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</si>
  <si>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</si>
  <si>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</si>
  <si>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</si>
  <si>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</si>
  <si>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</si>
  <si>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</si>
  <si>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</si>
  <si>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</si>
  <si>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</si>
  <si>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</si>
  <si>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</si>
  <si>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</si>
  <si>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</si>
  <si>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</si>
  <si>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</si>
  <si>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</si>
  <si>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</si>
  <si>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</si>
  <si>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</si>
  <si>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</si>
  <si>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</si>
  <si>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</si>
  <si>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</si>
  <si>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</si>
  <si>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</si>
  <si>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</si>
  <si>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</si>
  <si>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</si>
  <si>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</si>
  <si>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</si>
  <si>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</si>
  <si>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</si>
  <si>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</si>
  <si>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</si>
  <si>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</si>
  <si>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</si>
  <si>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</si>
  <si>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</si>
  <si>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</si>
  <si>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</si>
  <si>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</si>
  <si>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</si>
  <si>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</si>
  <si>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</si>
  <si>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</si>
  <si>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</si>
  <si>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</si>
  <si>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</si>
  <si>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</si>
  <si>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</si>
  <si>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</si>
  <si>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</si>
  <si>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</si>
  <si>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</si>
  <si>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</si>
  <si>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</si>
  <si>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</si>
  <si>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</si>
  <si>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</si>
  <si>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</si>
  <si>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</si>
  <si>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</si>
  <si>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</si>
  <si>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</si>
  <si>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</si>
  <si>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</si>
  <si>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</si>
  <si>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</si>
  <si>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</si>
  <si>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</si>
  <si>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</si>
  <si>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</si>
  <si>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</si>
  <si>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</si>
  <si>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</si>
  <si>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</si>
  <si>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</si>
  <si>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#7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</si>
  <si>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</si>
  <si>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</si>
  <si>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</si>
  <si>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</si>
  <si>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</si>
  <si>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</si>
  <si>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</si>
  <si>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</si>
  <si>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</si>
  <si>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</si>
  <si>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20210818_13-54-29_LEM_24H_FP1_007009_001_03-32-38</t>
  </si>
  <si>
    <t>y</t>
  </si>
  <si>
    <t>24:32.10 &lt;</t>
  </si>
  <si>
    <t>20210818_14-32-55_LEM_24H_FP1_007009_002_03-31-40</t>
  </si>
  <si>
    <t>20210818_15-10-58_LEM_24H_FP1_007009_003_03-30-20</t>
  </si>
  <si>
    <t>RD</t>
  </si>
  <si>
    <t>RW</t>
  </si>
  <si>
    <t>RB</t>
  </si>
  <si>
    <t>20210818_15-37-26_LEM_24H_FP1_007009_004_03-32-00</t>
  </si>
  <si>
    <t>20210818_16-03-12_LEM_24H_FP1_007009_005_03-34-57</t>
  </si>
  <si>
    <t>20210818_16-43-06_LEM_24H_FP1_007009_006_03-31-19</t>
  </si>
  <si>
    <t>20210818_18-45-41_LEM_24H_QLY_007009_001_03-29-71</t>
  </si>
  <si>
    <t>20210818_19-30-09_LEM_24H_QLY_007009_002_00-29-06</t>
  </si>
  <si>
    <t>n</t>
  </si>
  <si>
    <t>20210818_19-48-26_LEM_24H_QLY_007009_003_03-29-39</t>
  </si>
  <si>
    <t>20210818_21-43-38_LEM_24H_FP2_007009_001_03-34-27</t>
  </si>
  <si>
    <t>20210818_22-22-51_LEM_24H_FP2_007009_002_03-36-50</t>
  </si>
  <si>
    <t>20210818_22-43-27_LEM_24H_FP2_007009_003_03-38-90</t>
  </si>
  <si>
    <t>20210818_23-12-48_LEM_24H_FP2_007009_004_03-31-13</t>
  </si>
  <si>
    <t>20210818_23-30-34_LEM_24H_FP2_007009_005_03-31-17</t>
  </si>
  <si>
    <t>20210818_23-43-24_LEM_24H_FP2_007009_006_03-31-94</t>
  </si>
  <si>
    <t>04:51.17 &lt;</t>
  </si>
  <si>
    <t>03:31.90 *</t>
  </si>
  <si>
    <t>07:42.07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</si>
</sst>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5" borderId="15" applyNumberFormat="0" applyAlignment="0" applyProtection="0"/>
    <xf numFmtId="0" fontId="6" fillId="6" borderId="15" applyNumberFormat="0" applyAlignment="0" applyProtection="0"/>
  </cellStyleXfs>
  <cellXfs count="6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0" fontId="3" fillId="0" borderId="1" xfId="0" applyFont="1" applyBorder="1" applyAlignment="1">
      <alignment horizontal="right" vertical="center" wrapText="1"/>
    </xf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6" fillId="6" borderId="15" xfId="2"/>
    <xf numFmtId="0" fontId="5" fillId="5" borderId="15" xfId="1"/>
    <xf numFmtId="0" fontId="6" fillId="6" borderId="15" xfId="2" applyBorder="1"/>
    <xf numFmtId="0" fontId="6" fillId="6" borderId="17" xfId="2" applyBorder="1"/>
    <xf numFmtId="164" fontId="5" fillId="5" borderId="16" xfId="1" applyNumberFormat="1" applyBorder="1"/>
    <xf numFmtId="164" fontId="6" fillId="6" borderId="18" xfId="2" applyNumberFormat="1" applyBorder="1"/>
    <xf numFmtId="0" fontId="6" fillId="6" borderId="19" xfId="2" applyBorder="1"/>
    <xf numFmtId="0" fontId="6" fillId="6" borderId="20" xfId="2" applyBorder="1"/>
    <xf numFmtId="164" fontId="6" fillId="6" borderId="21" xfId="2" applyNumberFormat="1" applyBorder="1"/>
    <xf numFmtId="0" fontId="6" fillId="6" borderId="22" xfId="2" applyBorder="1"/>
    <xf numFmtId="0" fontId="6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5" fillId="5" borderId="25" xfId="1" applyBorder="1"/>
    <xf numFmtId="0" fontId="6" fillId="6" borderId="26" xfId="2" applyBorder="1"/>
    <xf numFmtId="0" fontId="6" fillId="6" borderId="27" xfId="2" applyBorder="1"/>
    <xf numFmtId="0" fontId="5" fillId="5" borderId="28" xfId="1" applyBorder="1"/>
    <xf numFmtId="0" fontId="6" fillId="6" borderId="29" xfId="2" applyBorder="1"/>
    <xf numFmtId="0" fontId="6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47" fontId="7" fillId="7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47" fontId="3" fillId="0" borderId="1" xfId="0" applyNumberFormat="1" applyFont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All!$D$6:$D$124</c:f>
              <c:numCache>
                <c:formatCode>mm:ss.0</c:formatCode>
                <c:ptCount val="119"/>
                <c:pt idx="0" formatCode="General">
                  <c:v>0</c:v>
                </c:pt>
                <c:pt idx="1">
                  <c:v>2.5464120370370371E-3</c:v>
                </c:pt>
                <c:pt idx="2">
                  <c:v>2.457638888888889E-3</c:v>
                </c:pt>
                <c:pt idx="3">
                  <c:v>2.7488425925925927E-3</c:v>
                </c:pt>
                <c:pt idx="7">
                  <c:v>3.3539351851851851E-3</c:v>
                </c:pt>
                <c:pt idx="8">
                  <c:v>2.4716435185185184E-3</c:v>
                </c:pt>
                <c:pt idx="9">
                  <c:v>2.4660879629629629E-3</c:v>
                </c:pt>
                <c:pt idx="10">
                  <c:v>2.4462962962962967E-3</c:v>
                </c:pt>
                <c:pt idx="11">
                  <c:v>2.8197916666666666E-3</c:v>
                </c:pt>
                <c:pt idx="12">
                  <c:v>2.4636574074074075E-3</c:v>
                </c:pt>
                <c:pt idx="13">
                  <c:v>2.7836805555555553E-3</c:v>
                </c:pt>
                <c:pt idx="17">
                  <c:v>4.8123842592592584E-3</c:v>
                </c:pt>
                <c:pt idx="18">
                  <c:v>2.4730324074074077E-3</c:v>
                </c:pt>
                <c:pt idx="19">
                  <c:v>2.4324074074074074E-3</c:v>
                </c:pt>
                <c:pt idx="20">
                  <c:v>2.4615740740740739E-3</c:v>
                </c:pt>
                <c:pt idx="21">
                  <c:v>2.4424768518518519E-3</c:v>
                </c:pt>
                <c:pt idx="22">
                  <c:v>2.8505787037037041E-3</c:v>
                </c:pt>
                <c:pt idx="26">
                  <c:v>2.9356481481481477E-3</c:v>
                </c:pt>
                <c:pt idx="27">
                  <c:v>2.5643518518518519E-3</c:v>
                </c:pt>
                <c:pt idx="28">
                  <c:v>2.4874999999999997E-3</c:v>
                </c:pt>
                <c:pt idx="29">
                  <c:v>2.5350694444444444E-3</c:v>
                </c:pt>
                <c:pt idx="30">
                  <c:v>2.4532407407407406E-3</c:v>
                </c:pt>
                <c:pt idx="31">
                  <c:v>2.9023148148148146E-3</c:v>
                </c:pt>
                <c:pt idx="35">
                  <c:v>1.7211805555555557E-2</c:v>
                </c:pt>
                <c:pt idx="36">
                  <c:v>2.4829861111111112E-3</c:v>
                </c:pt>
                <c:pt idx="37">
                  <c:v>2.6239583333333336E-3</c:v>
                </c:pt>
                <c:pt idx="38">
                  <c:v>4.9342592592592589E-3</c:v>
                </c:pt>
                <c:pt idx="42">
                  <c:v>4.220949074074074E-3</c:v>
                </c:pt>
                <c:pt idx="43">
                  <c:v>3.9473379629629624E-3</c:v>
                </c:pt>
                <c:pt idx="44">
                  <c:v>2.4870370370370372E-3</c:v>
                </c:pt>
                <c:pt idx="45">
                  <c:v>2.4438657407407408E-3</c:v>
                </c:pt>
                <c:pt idx="46">
                  <c:v>2.7885416666666666E-3</c:v>
                </c:pt>
                <c:pt idx="50">
                  <c:v>1.5064814814814816E-2</c:v>
                </c:pt>
                <c:pt idx="51">
                  <c:v>3.5822916666666664E-3</c:v>
                </c:pt>
                <c:pt idx="52">
                  <c:v>4.410300925925926E-3</c:v>
                </c:pt>
                <c:pt idx="53">
                  <c:v>2.4335648148148151E-3</c:v>
                </c:pt>
                <c:pt idx="54">
                  <c:v>2.4267361111111108E-3</c:v>
                </c:pt>
                <c:pt idx="55">
                  <c:v>3.2358796296296298E-3</c:v>
                </c:pt>
                <c:pt idx="59">
                  <c:v>3.3634259259259256E-4</c:v>
                </c:pt>
                <c:pt idx="60">
                  <c:v>3.5982638888888887E-3</c:v>
                </c:pt>
                <c:pt idx="61">
                  <c:v>2.4575231481481483E-3</c:v>
                </c:pt>
                <c:pt idx="62">
                  <c:v>2.4393518518518518E-3</c:v>
                </c:pt>
                <c:pt idx="63">
                  <c:v>2.8026620370370371E-3</c:v>
                </c:pt>
                <c:pt idx="67">
                  <c:v>4.3872685185185186E-3</c:v>
                </c:pt>
                <c:pt idx="68">
                  <c:v>2.4428240740740738E-3</c:v>
                </c:pt>
                <c:pt idx="69">
                  <c:v>2.4230324074074076E-3</c:v>
                </c:pt>
                <c:pt idx="70">
                  <c:v>2.8606481481481482E-3</c:v>
                </c:pt>
                <c:pt idx="74">
                  <c:v>1.0271296296296296E-2</c:v>
                </c:pt>
                <c:pt idx="75">
                  <c:v>2.521064814814815E-3</c:v>
                </c:pt>
                <c:pt idx="76">
                  <c:v>2.5363425925925926E-3</c:v>
                </c:pt>
                <c:pt idx="77">
                  <c:v>2.4795138888888892E-3</c:v>
                </c:pt>
                <c:pt idx="78">
                  <c:v>2.8502314814814814E-3</c:v>
                </c:pt>
                <c:pt idx="82">
                  <c:v>3.5311342592592595E-3</c:v>
                </c:pt>
                <c:pt idx="83">
                  <c:v>2.5193287037037037E-3</c:v>
                </c:pt>
                <c:pt idx="84">
                  <c:v>2.5099537037037035E-3</c:v>
                </c:pt>
                <c:pt idx="85">
                  <c:v>2.5057870370370368E-3</c:v>
                </c:pt>
                <c:pt idx="86">
                  <c:v>2.9621527777777784E-3</c:v>
                </c:pt>
                <c:pt idx="90">
                  <c:v>3.457638888888889E-3</c:v>
                </c:pt>
                <c:pt idx="91">
                  <c:v>3.1888888888888891E-3</c:v>
                </c:pt>
                <c:pt idx="92">
                  <c:v>2.83125E-3</c:v>
                </c:pt>
                <c:pt idx="93">
                  <c:v>2.5331018518518519E-3</c:v>
                </c:pt>
                <c:pt idx="94">
                  <c:v>5.7333333333333333E-3</c:v>
                </c:pt>
                <c:pt idx="98">
                  <c:v>4.3629629629629635E-3</c:v>
                </c:pt>
                <c:pt idx="99">
                  <c:v>2.4775462962962963E-3</c:v>
                </c:pt>
                <c:pt idx="100">
                  <c:v>2.4431712962962962E-3</c:v>
                </c:pt>
                <c:pt idx="101">
                  <c:v>2.8603009259259259E-3</c:v>
                </c:pt>
                <c:pt idx="105">
                  <c:v>3.3234953703703708E-3</c:v>
                </c:pt>
                <c:pt idx="106">
                  <c:v>2.4440972222222221E-3</c:v>
                </c:pt>
                <c:pt idx="107">
                  <c:v>2.9267361111111113E-3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>
                  <c:v>2.4789351851851851E-3</c:v>
                </c:pt>
                <c:pt idx="11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9-4494-A687-02577BFC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0320"/>
        <c:axId val="484007408"/>
      </c:scatterChart>
      <c:valAx>
        <c:axId val="48401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7408"/>
        <c:crosses val="autoZero"/>
        <c:crossBetween val="midCat"/>
      </c:valAx>
      <c:valAx>
        <c:axId val="484007408"/>
        <c:scaling>
          <c:orientation val="minMax"/>
          <c:max val="2.5810185185185181E-3"/>
          <c:min val="2.349537037037036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All!$G$6:$G$124</c:f>
              <c:numCache>
                <c:formatCode>General</c:formatCode>
                <c:ptCount val="119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7">
                  <c:v>5.62</c:v>
                </c:pt>
                <c:pt idx="8">
                  <c:v>5.77</c:v>
                </c:pt>
                <c:pt idx="9">
                  <c:v>5.84</c:v>
                </c:pt>
                <c:pt idx="10">
                  <c:v>5.85</c:v>
                </c:pt>
                <c:pt idx="11">
                  <c:v>5.61</c:v>
                </c:pt>
                <c:pt idx="12">
                  <c:v>5.81</c:v>
                </c:pt>
                <c:pt idx="13">
                  <c:v>5.63</c:v>
                </c:pt>
                <c:pt idx="17">
                  <c:v>4.96</c:v>
                </c:pt>
                <c:pt idx="18">
                  <c:v>5.84</c:v>
                </c:pt>
                <c:pt idx="19">
                  <c:v>5.95</c:v>
                </c:pt>
                <c:pt idx="20">
                  <c:v>5.64</c:v>
                </c:pt>
                <c:pt idx="21">
                  <c:v>5.88</c:v>
                </c:pt>
                <c:pt idx="22">
                  <c:v>-28.27</c:v>
                </c:pt>
                <c:pt idx="26">
                  <c:v>5.65</c:v>
                </c:pt>
                <c:pt idx="27">
                  <c:v>5.72</c:v>
                </c:pt>
                <c:pt idx="28">
                  <c:v>5.86</c:v>
                </c:pt>
                <c:pt idx="29">
                  <c:v>5.92</c:v>
                </c:pt>
                <c:pt idx="30">
                  <c:v>5.91</c:v>
                </c:pt>
                <c:pt idx="31">
                  <c:v>5.47</c:v>
                </c:pt>
                <c:pt idx="35">
                  <c:v>5.71</c:v>
                </c:pt>
                <c:pt idx="36">
                  <c:v>5.78</c:v>
                </c:pt>
                <c:pt idx="37">
                  <c:v>5.84</c:v>
                </c:pt>
                <c:pt idx="38">
                  <c:v>-17.32</c:v>
                </c:pt>
                <c:pt idx="42">
                  <c:v>4.72</c:v>
                </c:pt>
                <c:pt idx="43">
                  <c:v>4.8</c:v>
                </c:pt>
                <c:pt idx="44">
                  <c:v>6.04</c:v>
                </c:pt>
                <c:pt idx="45">
                  <c:v>6.1</c:v>
                </c:pt>
                <c:pt idx="46">
                  <c:v>5.84</c:v>
                </c:pt>
                <c:pt idx="50">
                  <c:v>5.53</c:v>
                </c:pt>
                <c:pt idx="51">
                  <c:v>5.0199999999999996</c:v>
                </c:pt>
                <c:pt idx="52">
                  <c:v>4.4000000000000004</c:v>
                </c:pt>
                <c:pt idx="53">
                  <c:v>5.98</c:v>
                </c:pt>
                <c:pt idx="54">
                  <c:v>6.04</c:v>
                </c:pt>
                <c:pt idx="55">
                  <c:v>-26.97</c:v>
                </c:pt>
                <c:pt idx="59">
                  <c:v>0</c:v>
                </c:pt>
                <c:pt idx="60">
                  <c:v>5.57</c:v>
                </c:pt>
                <c:pt idx="61">
                  <c:v>6.07</c:v>
                </c:pt>
                <c:pt idx="62">
                  <c:v>6.07</c:v>
                </c:pt>
                <c:pt idx="63">
                  <c:v>5.94</c:v>
                </c:pt>
                <c:pt idx="67">
                  <c:v>5.91</c:v>
                </c:pt>
                <c:pt idx="68">
                  <c:v>6.16</c:v>
                </c:pt>
                <c:pt idx="69">
                  <c:v>6.18</c:v>
                </c:pt>
                <c:pt idx="70">
                  <c:v>5.98</c:v>
                </c:pt>
                <c:pt idx="74">
                  <c:v>5.76</c:v>
                </c:pt>
                <c:pt idx="75">
                  <c:v>5.79</c:v>
                </c:pt>
                <c:pt idx="76">
                  <c:v>5.7</c:v>
                </c:pt>
                <c:pt idx="77">
                  <c:v>5.98</c:v>
                </c:pt>
                <c:pt idx="78">
                  <c:v>-23.23</c:v>
                </c:pt>
                <c:pt idx="82">
                  <c:v>5.74</c:v>
                </c:pt>
                <c:pt idx="83">
                  <c:v>5.96</c:v>
                </c:pt>
                <c:pt idx="84">
                  <c:v>5.91</c:v>
                </c:pt>
                <c:pt idx="85">
                  <c:v>5.9</c:v>
                </c:pt>
                <c:pt idx="86">
                  <c:v>-23.51</c:v>
                </c:pt>
                <c:pt idx="90">
                  <c:v>5.76</c:v>
                </c:pt>
                <c:pt idx="91">
                  <c:v>5.59</c:v>
                </c:pt>
                <c:pt idx="92">
                  <c:v>5.74</c:v>
                </c:pt>
                <c:pt idx="93">
                  <c:v>6.04</c:v>
                </c:pt>
                <c:pt idx="94">
                  <c:v>-23.13</c:v>
                </c:pt>
                <c:pt idx="98">
                  <c:v>5.73</c:v>
                </c:pt>
                <c:pt idx="99">
                  <c:v>6.03</c:v>
                </c:pt>
                <c:pt idx="100">
                  <c:v>6.04</c:v>
                </c:pt>
                <c:pt idx="101">
                  <c:v>5.76</c:v>
                </c:pt>
                <c:pt idx="105">
                  <c:v>5.82</c:v>
                </c:pt>
                <c:pt idx="106">
                  <c:v>6.09</c:v>
                </c:pt>
                <c:pt idx="107">
                  <c:v>5.99</c:v>
                </c:pt>
                <c:pt idx="111">
                  <c:v>5.84</c:v>
                </c:pt>
                <c:pt idx="112">
                  <c:v>6.02</c:v>
                </c:pt>
                <c:pt idx="113">
                  <c:v>5.93</c:v>
                </c:pt>
                <c:pt idx="114">
                  <c:v>3.84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C-4EC1-9177-FE1BE600F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1536"/>
        <c:axId val="484017808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All!$EX$6:$EX$124</c:f>
              <c:numCache>
                <c:formatCode>General</c:formatCode>
                <c:ptCount val="119"/>
                <c:pt idx="0">
                  <c:v>64.44</c:v>
                </c:pt>
                <c:pt idx="1">
                  <c:v>74.239999999999995</c:v>
                </c:pt>
                <c:pt idx="2">
                  <c:v>76.599999999999994</c:v>
                </c:pt>
                <c:pt idx="3">
                  <c:v>75</c:v>
                </c:pt>
                <c:pt idx="7">
                  <c:v>-221.12</c:v>
                </c:pt>
                <c:pt idx="8">
                  <c:v>73.64</c:v>
                </c:pt>
                <c:pt idx="9">
                  <c:v>74.64</c:v>
                </c:pt>
                <c:pt idx="10">
                  <c:v>74.94</c:v>
                </c:pt>
                <c:pt idx="11">
                  <c:v>70.36</c:v>
                </c:pt>
                <c:pt idx="12">
                  <c:v>74.2</c:v>
                </c:pt>
                <c:pt idx="13">
                  <c:v>70.94</c:v>
                </c:pt>
                <c:pt idx="17">
                  <c:v>-451.18</c:v>
                </c:pt>
                <c:pt idx="18">
                  <c:v>73.06</c:v>
                </c:pt>
                <c:pt idx="19">
                  <c:v>74.739999999999995</c:v>
                </c:pt>
                <c:pt idx="20">
                  <c:v>70</c:v>
                </c:pt>
                <c:pt idx="21">
                  <c:v>73.92</c:v>
                </c:pt>
                <c:pt idx="22">
                  <c:v>69.680000000000007</c:v>
                </c:pt>
                <c:pt idx="26">
                  <c:v>-348.8</c:v>
                </c:pt>
                <c:pt idx="27">
                  <c:v>72</c:v>
                </c:pt>
                <c:pt idx="28">
                  <c:v>73.98</c:v>
                </c:pt>
                <c:pt idx="29">
                  <c:v>75.02</c:v>
                </c:pt>
                <c:pt idx="30">
                  <c:v>74.900000000000006</c:v>
                </c:pt>
                <c:pt idx="31">
                  <c:v>66.86</c:v>
                </c:pt>
                <c:pt idx="35">
                  <c:v>-364.1</c:v>
                </c:pt>
                <c:pt idx="36">
                  <c:v>70.78</c:v>
                </c:pt>
                <c:pt idx="37">
                  <c:v>71.52</c:v>
                </c:pt>
                <c:pt idx="38">
                  <c:v>38.1</c:v>
                </c:pt>
                <c:pt idx="42">
                  <c:v>-196.62</c:v>
                </c:pt>
                <c:pt idx="43">
                  <c:v>52.7</c:v>
                </c:pt>
                <c:pt idx="44">
                  <c:v>74.34</c:v>
                </c:pt>
                <c:pt idx="45">
                  <c:v>74.94</c:v>
                </c:pt>
                <c:pt idx="46">
                  <c:v>70.28</c:v>
                </c:pt>
                <c:pt idx="50">
                  <c:v>-258.95999999999998</c:v>
                </c:pt>
                <c:pt idx="51">
                  <c:v>58.04</c:v>
                </c:pt>
                <c:pt idx="52">
                  <c:v>45.22</c:v>
                </c:pt>
                <c:pt idx="53">
                  <c:v>74.22</c:v>
                </c:pt>
                <c:pt idx="54">
                  <c:v>75.319999999999993</c:v>
                </c:pt>
                <c:pt idx="55">
                  <c:v>64.400000000000006</c:v>
                </c:pt>
                <c:pt idx="59">
                  <c:v>0</c:v>
                </c:pt>
                <c:pt idx="60">
                  <c:v>-315.3</c:v>
                </c:pt>
                <c:pt idx="61">
                  <c:v>75</c:v>
                </c:pt>
                <c:pt idx="62">
                  <c:v>75.010000000000005</c:v>
                </c:pt>
                <c:pt idx="63">
                  <c:v>72.53</c:v>
                </c:pt>
                <c:pt idx="67">
                  <c:v>71.55</c:v>
                </c:pt>
                <c:pt idx="68">
                  <c:v>76.66</c:v>
                </c:pt>
                <c:pt idx="69">
                  <c:v>76.84</c:v>
                </c:pt>
                <c:pt idx="70">
                  <c:v>71.25</c:v>
                </c:pt>
                <c:pt idx="74">
                  <c:v>-517.5</c:v>
                </c:pt>
                <c:pt idx="75">
                  <c:v>70.42</c:v>
                </c:pt>
                <c:pt idx="76">
                  <c:v>69.44</c:v>
                </c:pt>
                <c:pt idx="77">
                  <c:v>73.58</c:v>
                </c:pt>
                <c:pt idx="78">
                  <c:v>71.099999999999994</c:v>
                </c:pt>
                <c:pt idx="82">
                  <c:v>-284.02</c:v>
                </c:pt>
                <c:pt idx="83">
                  <c:v>73.08</c:v>
                </c:pt>
                <c:pt idx="84">
                  <c:v>72.36</c:v>
                </c:pt>
                <c:pt idx="85">
                  <c:v>72.22</c:v>
                </c:pt>
                <c:pt idx="86">
                  <c:v>71.02</c:v>
                </c:pt>
                <c:pt idx="90">
                  <c:v>-287.76</c:v>
                </c:pt>
                <c:pt idx="91">
                  <c:v>66.959999999999994</c:v>
                </c:pt>
                <c:pt idx="92">
                  <c:v>69.06</c:v>
                </c:pt>
                <c:pt idx="93">
                  <c:v>74.22</c:v>
                </c:pt>
                <c:pt idx="94">
                  <c:v>39.4</c:v>
                </c:pt>
                <c:pt idx="98">
                  <c:v>-250.82</c:v>
                </c:pt>
                <c:pt idx="99">
                  <c:v>73.66</c:v>
                </c:pt>
                <c:pt idx="100">
                  <c:v>74.28</c:v>
                </c:pt>
                <c:pt idx="101">
                  <c:v>69.28</c:v>
                </c:pt>
                <c:pt idx="105">
                  <c:v>-215.48</c:v>
                </c:pt>
                <c:pt idx="106">
                  <c:v>75.239999999999995</c:v>
                </c:pt>
                <c:pt idx="107">
                  <c:v>72.739999999999995</c:v>
                </c:pt>
                <c:pt idx="111">
                  <c:v>-148.04</c:v>
                </c:pt>
                <c:pt idx="112">
                  <c:v>73.5</c:v>
                </c:pt>
                <c:pt idx="113">
                  <c:v>72.040000000000006</c:v>
                </c:pt>
                <c:pt idx="114">
                  <c:v>35.840000000000003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C-4EC1-9177-FE1BE600F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5840"/>
        <c:axId val="543727920"/>
      </c:scatterChart>
      <c:valAx>
        <c:axId val="48403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7808"/>
        <c:crosses val="autoZero"/>
        <c:crossBetween val="midCat"/>
      </c:valAx>
      <c:valAx>
        <c:axId val="484017808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1536"/>
        <c:crosses val="autoZero"/>
        <c:crossBetween val="midCat"/>
      </c:valAx>
      <c:valAx>
        <c:axId val="543727920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5840"/>
        <c:crosses val="max"/>
        <c:crossBetween val="midCat"/>
      </c:valAx>
      <c:valAx>
        <c:axId val="543725840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2792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All!$BR$6:$BR$124</c:f>
              <c:numCache>
                <c:formatCode>General</c:formatCode>
                <c:ptCount val="119"/>
                <c:pt idx="0">
                  <c:v>58.305</c:v>
                </c:pt>
                <c:pt idx="3">
                  <c:v>61.127000000000002</c:v>
                </c:pt>
                <c:pt idx="7">
                  <c:v>58.741</c:v>
                </c:pt>
                <c:pt idx="13">
                  <c:v>61.162999999999997</c:v>
                </c:pt>
                <c:pt idx="17">
                  <c:v>59.106999999999999</c:v>
                </c:pt>
                <c:pt idx="22">
                  <c:v>61.386000000000003</c:v>
                </c:pt>
                <c:pt idx="26">
                  <c:v>59.088999999999999</c:v>
                </c:pt>
                <c:pt idx="31">
                  <c:v>61.343000000000004</c:v>
                </c:pt>
                <c:pt idx="35">
                  <c:v>58.904000000000003</c:v>
                </c:pt>
                <c:pt idx="38">
                  <c:v>61.128</c:v>
                </c:pt>
                <c:pt idx="42">
                  <c:v>59.515999999999998</c:v>
                </c:pt>
                <c:pt idx="46">
                  <c:v>60.634999999999998</c:v>
                </c:pt>
                <c:pt idx="50">
                  <c:v>57.31</c:v>
                </c:pt>
                <c:pt idx="55">
                  <c:v>60.174999999999997</c:v>
                </c:pt>
                <c:pt idx="60">
                  <c:v>58.237000000000002</c:v>
                </c:pt>
                <c:pt idx="63">
                  <c:v>59.651000000000003</c:v>
                </c:pt>
                <c:pt idx="67">
                  <c:v>57.834000000000003</c:v>
                </c:pt>
                <c:pt idx="70">
                  <c:v>60.170999999999999</c:v>
                </c:pt>
                <c:pt idx="74">
                  <c:v>57.326000000000001</c:v>
                </c:pt>
                <c:pt idx="78">
                  <c:v>60.253999999999998</c:v>
                </c:pt>
                <c:pt idx="82">
                  <c:v>58.121000000000002</c:v>
                </c:pt>
                <c:pt idx="86">
                  <c:v>59.98</c:v>
                </c:pt>
                <c:pt idx="90">
                  <c:v>57.972000000000001</c:v>
                </c:pt>
                <c:pt idx="94">
                  <c:v>59.981000000000002</c:v>
                </c:pt>
                <c:pt idx="98">
                  <c:v>57.597999999999999</c:v>
                </c:pt>
                <c:pt idx="101">
                  <c:v>60.183</c:v>
                </c:pt>
                <c:pt idx="105">
                  <c:v>57.912999999999997</c:v>
                </c:pt>
                <c:pt idx="107">
                  <c:v>60.195999999999998</c:v>
                </c:pt>
                <c:pt idx="111">
                  <c:v>58.173000000000002</c:v>
                </c:pt>
                <c:pt idx="114">
                  <c:v>59.468000000000004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3A-4213-A3C7-EA69CC2B9D3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484023216"/>
        <c:axId val="484026128"/>
      </c:scatterChart>
      <c:valAx>
        <c:axId val="484023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6128"/>
        <c:crosses val="autoZero"/>
        <c:crossBetween val="midCat"/>
      </c:valAx>
      <c:valAx>
        <c:axId val="4840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All!$K$6:$K$124</c:f>
              <c:numCache>
                <c:formatCode>General</c:formatCode>
                <c:ptCount val="11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5">
                  <c:v>11</c:v>
                </c:pt>
                <c:pt idx="36">
                  <c:v>7</c:v>
                </c:pt>
                <c:pt idx="37">
                  <c:v>8</c:v>
                </c:pt>
                <c:pt idx="38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5">
                  <c:v>6</c:v>
                </c:pt>
                <c:pt idx="106">
                  <c:v>7</c:v>
                </c:pt>
                <c:pt idx="107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5-42AD-8E0D-281612352D3E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All!$L$6:$L$124</c:f>
              <c:numCache>
                <c:formatCode>General</c:formatCode>
                <c:ptCount val="1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5">
                  <c:v>6</c:v>
                </c:pt>
                <c:pt idx="36">
                  <c:v>7</c:v>
                </c:pt>
                <c:pt idx="37">
                  <c:v>8</c:v>
                </c:pt>
                <c:pt idx="38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C5-42AD-8E0D-281612352D3E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All!$M$6:$M$124</c:f>
              <c:numCache>
                <c:formatCode>General</c:formatCode>
                <c:ptCount val="1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C5-42AD-8E0D-281612352D3E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All!$N$6:$N$124</c:f>
              <c:numCache>
                <c:formatCode>General</c:formatCode>
                <c:ptCount val="11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C5-42AD-8E0D-281612352D3E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All!$O$6:$O$124</c:f>
              <c:numCache>
                <c:formatCode>General</c:formatCode>
                <c:ptCount val="11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5-42AD-8E0D-281612352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9888"/>
        <c:axId val="484028624"/>
      </c:scatterChart>
      <c:valAx>
        <c:axId val="48401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8624"/>
        <c:crosses val="autoZero"/>
        <c:crossBetween val="midCat"/>
      </c:valAx>
      <c:valAx>
        <c:axId val="48402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All!$CI$6:$CI$124</c:f>
              <c:numCache>
                <c:formatCode>General</c:formatCode>
                <c:ptCount val="119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7">
                  <c:v>6.0579999999999998</c:v>
                </c:pt>
                <c:pt idx="8">
                  <c:v>5.3479999999999999</c:v>
                </c:pt>
                <c:pt idx="9">
                  <c:v>4.25</c:v>
                </c:pt>
                <c:pt idx="10">
                  <c:v>4.4020000000000001</c:v>
                </c:pt>
                <c:pt idx="11">
                  <c:v>5.0460000000000003</c:v>
                </c:pt>
                <c:pt idx="12">
                  <c:v>5.0339999999999998</c:v>
                </c:pt>
                <c:pt idx="17">
                  <c:v>5.1760000000000002</c:v>
                </c:pt>
                <c:pt idx="18">
                  <c:v>5.4240000000000004</c:v>
                </c:pt>
                <c:pt idx="19">
                  <c:v>4.8440000000000003</c:v>
                </c:pt>
                <c:pt idx="20">
                  <c:v>4.6740000000000004</c:v>
                </c:pt>
                <c:pt idx="21">
                  <c:v>4.0910000000000002</c:v>
                </c:pt>
                <c:pt idx="26">
                  <c:v>3.7050000000000001</c:v>
                </c:pt>
                <c:pt idx="27">
                  <c:v>3.7709999999999999</c:v>
                </c:pt>
                <c:pt idx="28">
                  <c:v>3.5990000000000002</c:v>
                </c:pt>
                <c:pt idx="29">
                  <c:v>3.859</c:v>
                </c:pt>
                <c:pt idx="30">
                  <c:v>3.5209999999999999</c:v>
                </c:pt>
                <c:pt idx="35">
                  <c:v>3.32</c:v>
                </c:pt>
                <c:pt idx="36">
                  <c:v>3.105</c:v>
                </c:pt>
                <c:pt idx="37">
                  <c:v>3.0259999999999998</c:v>
                </c:pt>
                <c:pt idx="42">
                  <c:v>2.3690000000000002</c:v>
                </c:pt>
                <c:pt idx="43">
                  <c:v>3.254</c:v>
                </c:pt>
                <c:pt idx="44">
                  <c:v>4.641</c:v>
                </c:pt>
                <c:pt idx="45">
                  <c:v>4.7240000000000002</c:v>
                </c:pt>
                <c:pt idx="50">
                  <c:v>4.5979999999999999</c:v>
                </c:pt>
                <c:pt idx="51">
                  <c:v>5.016</c:v>
                </c:pt>
                <c:pt idx="52">
                  <c:v>4.391</c:v>
                </c:pt>
                <c:pt idx="53">
                  <c:v>4.7679999999999998</c:v>
                </c:pt>
                <c:pt idx="54">
                  <c:v>4.2830000000000004</c:v>
                </c:pt>
                <c:pt idx="60">
                  <c:v>4.0919999999999996</c:v>
                </c:pt>
                <c:pt idx="61">
                  <c:v>3.9449999999999998</c:v>
                </c:pt>
                <c:pt idx="62">
                  <c:v>3.4740000000000002</c:v>
                </c:pt>
                <c:pt idx="67">
                  <c:v>4.508</c:v>
                </c:pt>
                <c:pt idx="68">
                  <c:v>5.0519999999999996</c:v>
                </c:pt>
                <c:pt idx="69">
                  <c:v>4.782</c:v>
                </c:pt>
                <c:pt idx="74">
                  <c:v>4.5830000000000002</c:v>
                </c:pt>
                <c:pt idx="75">
                  <c:v>5.4950000000000001</c:v>
                </c:pt>
                <c:pt idx="76">
                  <c:v>4.6879999999999997</c:v>
                </c:pt>
                <c:pt idx="77">
                  <c:v>3.944</c:v>
                </c:pt>
                <c:pt idx="82">
                  <c:v>4.8680000000000003</c:v>
                </c:pt>
                <c:pt idx="83">
                  <c:v>4.7960000000000003</c:v>
                </c:pt>
                <c:pt idx="84">
                  <c:v>4.7279999999999998</c:v>
                </c:pt>
                <c:pt idx="85">
                  <c:v>4.5720000000000001</c:v>
                </c:pt>
                <c:pt idx="90">
                  <c:v>4.8250000000000002</c:v>
                </c:pt>
                <c:pt idx="91">
                  <c:v>4.4850000000000003</c:v>
                </c:pt>
                <c:pt idx="92">
                  <c:v>4.6950000000000003</c:v>
                </c:pt>
                <c:pt idx="93">
                  <c:v>3.3180000000000001</c:v>
                </c:pt>
                <c:pt idx="98">
                  <c:v>4.7690000000000001</c:v>
                </c:pt>
                <c:pt idx="99">
                  <c:v>4.5410000000000004</c:v>
                </c:pt>
                <c:pt idx="100">
                  <c:v>4.3419999999999996</c:v>
                </c:pt>
                <c:pt idx="105">
                  <c:v>5.4059999999999997</c:v>
                </c:pt>
                <c:pt idx="106">
                  <c:v>4.1749999999999998</c:v>
                </c:pt>
                <c:pt idx="111">
                  <c:v>5.6210000000000004</c:v>
                </c:pt>
                <c:pt idx="112">
                  <c:v>5.6680000000000001</c:v>
                </c:pt>
                <c:pt idx="113">
                  <c:v>4.1589999999999998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D-49C1-9555-835ED90CDA10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All!$CJ$6:$CJ$124</c:f>
              <c:numCache>
                <c:formatCode>General</c:formatCode>
                <c:ptCount val="119"/>
                <c:pt idx="0">
                  <c:v>15.163</c:v>
                </c:pt>
                <c:pt idx="1">
                  <c:v>3.3439999999999999</c:v>
                </c:pt>
                <c:pt idx="2">
                  <c:v>2.9060000000000001</c:v>
                </c:pt>
                <c:pt idx="7">
                  <c:v>3.3</c:v>
                </c:pt>
                <c:pt idx="8">
                  <c:v>3.415</c:v>
                </c:pt>
                <c:pt idx="9">
                  <c:v>3.3260000000000001</c:v>
                </c:pt>
                <c:pt idx="10">
                  <c:v>3.194</c:v>
                </c:pt>
                <c:pt idx="11">
                  <c:v>3.2109999999999999</c:v>
                </c:pt>
                <c:pt idx="12">
                  <c:v>3.2730000000000001</c:v>
                </c:pt>
                <c:pt idx="17">
                  <c:v>-573.15499999999997</c:v>
                </c:pt>
                <c:pt idx="18">
                  <c:v>-748.80399999999997</c:v>
                </c:pt>
                <c:pt idx="19">
                  <c:v>-103.21299999999999</c:v>
                </c:pt>
                <c:pt idx="20">
                  <c:v>-33.445</c:v>
                </c:pt>
                <c:pt idx="21">
                  <c:v>328.32900000000001</c:v>
                </c:pt>
                <c:pt idx="26">
                  <c:v>3.36</c:v>
                </c:pt>
                <c:pt idx="27">
                  <c:v>3.5779999999999998</c:v>
                </c:pt>
                <c:pt idx="28">
                  <c:v>3.504</c:v>
                </c:pt>
                <c:pt idx="29">
                  <c:v>3.5910000000000002</c:v>
                </c:pt>
                <c:pt idx="30">
                  <c:v>3.3</c:v>
                </c:pt>
                <c:pt idx="35">
                  <c:v>2.2810000000000001</c:v>
                </c:pt>
                <c:pt idx="36">
                  <c:v>3.41</c:v>
                </c:pt>
                <c:pt idx="37">
                  <c:v>2.476</c:v>
                </c:pt>
                <c:pt idx="42">
                  <c:v>2.2589999999999999</c:v>
                </c:pt>
                <c:pt idx="43">
                  <c:v>2.698</c:v>
                </c:pt>
                <c:pt idx="44">
                  <c:v>3.327</c:v>
                </c:pt>
                <c:pt idx="45">
                  <c:v>3.214</c:v>
                </c:pt>
                <c:pt idx="50">
                  <c:v>-930411.30900000001</c:v>
                </c:pt>
                <c:pt idx="51">
                  <c:v>-116.81699999999999</c:v>
                </c:pt>
                <c:pt idx="52">
                  <c:v>-92.903999999999996</c:v>
                </c:pt>
                <c:pt idx="53">
                  <c:v>-73.218999999999994</c:v>
                </c:pt>
                <c:pt idx="54">
                  <c:v>-90.393000000000001</c:v>
                </c:pt>
                <c:pt idx="59">
                  <c:v>1.895</c:v>
                </c:pt>
                <c:pt idx="60">
                  <c:v>3.5169999999999999</c:v>
                </c:pt>
                <c:pt idx="61">
                  <c:v>3.7210000000000001</c:v>
                </c:pt>
                <c:pt idx="62">
                  <c:v>3.774</c:v>
                </c:pt>
                <c:pt idx="67">
                  <c:v>3.5339999999999998</c:v>
                </c:pt>
                <c:pt idx="68">
                  <c:v>3.6680000000000001</c:v>
                </c:pt>
                <c:pt idx="69">
                  <c:v>3.4980000000000002</c:v>
                </c:pt>
                <c:pt idx="74">
                  <c:v>2.5110000000000001</c:v>
                </c:pt>
                <c:pt idx="75">
                  <c:v>3.5779999999999998</c:v>
                </c:pt>
                <c:pt idx="76">
                  <c:v>3.6749999999999998</c:v>
                </c:pt>
                <c:pt idx="77">
                  <c:v>3.4580000000000002</c:v>
                </c:pt>
                <c:pt idx="82">
                  <c:v>3.3090000000000002</c:v>
                </c:pt>
                <c:pt idx="83">
                  <c:v>3.718</c:v>
                </c:pt>
                <c:pt idx="84">
                  <c:v>3.7160000000000002</c:v>
                </c:pt>
                <c:pt idx="85">
                  <c:v>3.5019999999999998</c:v>
                </c:pt>
                <c:pt idx="90">
                  <c:v>4.01</c:v>
                </c:pt>
                <c:pt idx="91">
                  <c:v>3.2109999999999999</c:v>
                </c:pt>
                <c:pt idx="92">
                  <c:v>3.7309999999999999</c:v>
                </c:pt>
                <c:pt idx="93">
                  <c:v>2.8860000000000001</c:v>
                </c:pt>
                <c:pt idx="98">
                  <c:v>3.544</c:v>
                </c:pt>
                <c:pt idx="99">
                  <c:v>3.7280000000000002</c:v>
                </c:pt>
                <c:pt idx="100">
                  <c:v>3.407</c:v>
                </c:pt>
                <c:pt idx="105">
                  <c:v>3.3319999999999999</c:v>
                </c:pt>
                <c:pt idx="106">
                  <c:v>3.472</c:v>
                </c:pt>
                <c:pt idx="111">
                  <c:v>3.3879999999999999</c:v>
                </c:pt>
                <c:pt idx="112">
                  <c:v>3.8050000000000002</c:v>
                </c:pt>
                <c:pt idx="113">
                  <c:v>2.8420000000000001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D-49C1-9555-835ED90CDA10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All!$CK$6:$CK$124</c:f>
              <c:numCache>
                <c:formatCode>General</c:formatCode>
                <c:ptCount val="119"/>
                <c:pt idx="0">
                  <c:v>1.0369999999999999</c:v>
                </c:pt>
                <c:pt idx="1">
                  <c:v>1.4430000000000001</c:v>
                </c:pt>
                <c:pt idx="2">
                  <c:v>1.718</c:v>
                </c:pt>
                <c:pt idx="7">
                  <c:v>1.58</c:v>
                </c:pt>
                <c:pt idx="8">
                  <c:v>1.6819999999999999</c:v>
                </c:pt>
                <c:pt idx="9">
                  <c:v>1.81</c:v>
                </c:pt>
                <c:pt idx="10">
                  <c:v>1.649</c:v>
                </c:pt>
                <c:pt idx="11">
                  <c:v>1.357</c:v>
                </c:pt>
                <c:pt idx="12">
                  <c:v>1.43</c:v>
                </c:pt>
                <c:pt idx="17">
                  <c:v>1.3839999999999999</c:v>
                </c:pt>
                <c:pt idx="18">
                  <c:v>1.63</c:v>
                </c:pt>
                <c:pt idx="19">
                  <c:v>1.641</c:v>
                </c:pt>
                <c:pt idx="20">
                  <c:v>1.615</c:v>
                </c:pt>
                <c:pt idx="21">
                  <c:v>1.417</c:v>
                </c:pt>
                <c:pt idx="26">
                  <c:v>1.083</c:v>
                </c:pt>
                <c:pt idx="27">
                  <c:v>1.363</c:v>
                </c:pt>
                <c:pt idx="28">
                  <c:v>1.4650000000000001</c:v>
                </c:pt>
                <c:pt idx="29">
                  <c:v>1.4830000000000001</c:v>
                </c:pt>
                <c:pt idx="30">
                  <c:v>1.19</c:v>
                </c:pt>
                <c:pt idx="35">
                  <c:v>1.018</c:v>
                </c:pt>
                <c:pt idx="36">
                  <c:v>1.4510000000000001</c:v>
                </c:pt>
                <c:pt idx="37">
                  <c:v>0.92900000000000005</c:v>
                </c:pt>
                <c:pt idx="42">
                  <c:v>1.2949999999999999</c:v>
                </c:pt>
                <c:pt idx="43">
                  <c:v>1.504</c:v>
                </c:pt>
                <c:pt idx="44">
                  <c:v>1.655</c:v>
                </c:pt>
                <c:pt idx="45">
                  <c:v>1.522</c:v>
                </c:pt>
                <c:pt idx="50">
                  <c:v>1.0649999999999999</c:v>
                </c:pt>
                <c:pt idx="51">
                  <c:v>0.89200000000000002</c:v>
                </c:pt>
                <c:pt idx="52">
                  <c:v>1.31</c:v>
                </c:pt>
                <c:pt idx="53">
                  <c:v>1.702</c:v>
                </c:pt>
                <c:pt idx="54">
                  <c:v>1.3440000000000001</c:v>
                </c:pt>
                <c:pt idx="60">
                  <c:v>1.4039999999999999</c:v>
                </c:pt>
                <c:pt idx="61">
                  <c:v>1.7509999999999999</c:v>
                </c:pt>
                <c:pt idx="62">
                  <c:v>1.7110000000000001</c:v>
                </c:pt>
                <c:pt idx="67">
                  <c:v>1.4079999999999999</c:v>
                </c:pt>
                <c:pt idx="68">
                  <c:v>1.6479999999999999</c:v>
                </c:pt>
                <c:pt idx="69">
                  <c:v>1.456</c:v>
                </c:pt>
                <c:pt idx="74">
                  <c:v>1.2090000000000001</c:v>
                </c:pt>
                <c:pt idx="75">
                  <c:v>1.5860000000000001</c:v>
                </c:pt>
                <c:pt idx="76">
                  <c:v>1.6779999999999999</c:v>
                </c:pt>
                <c:pt idx="77">
                  <c:v>1.47</c:v>
                </c:pt>
                <c:pt idx="82">
                  <c:v>1.5580000000000001</c:v>
                </c:pt>
                <c:pt idx="83">
                  <c:v>1.548</c:v>
                </c:pt>
                <c:pt idx="84">
                  <c:v>1.611</c:v>
                </c:pt>
                <c:pt idx="85">
                  <c:v>1.603</c:v>
                </c:pt>
                <c:pt idx="90">
                  <c:v>1.0489999999999999</c:v>
                </c:pt>
                <c:pt idx="91">
                  <c:v>1.37</c:v>
                </c:pt>
                <c:pt idx="92">
                  <c:v>1.6619999999999999</c:v>
                </c:pt>
                <c:pt idx="93">
                  <c:v>1.1599999999999999</c:v>
                </c:pt>
                <c:pt idx="98">
                  <c:v>1.29</c:v>
                </c:pt>
                <c:pt idx="99">
                  <c:v>1.659</c:v>
                </c:pt>
                <c:pt idx="100">
                  <c:v>1.5529999999999999</c:v>
                </c:pt>
                <c:pt idx="105">
                  <c:v>1.355</c:v>
                </c:pt>
                <c:pt idx="106">
                  <c:v>1.73</c:v>
                </c:pt>
                <c:pt idx="111">
                  <c:v>1.4359999999999999</c:v>
                </c:pt>
                <c:pt idx="112">
                  <c:v>1.63</c:v>
                </c:pt>
                <c:pt idx="113">
                  <c:v>1.137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BD-49C1-9555-835ED90CD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24464"/>
        <c:axId val="484005744"/>
      </c:scatterChart>
      <c:valAx>
        <c:axId val="48402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5744"/>
        <c:crosses val="autoZero"/>
        <c:crossBetween val="midCat"/>
      </c:valAx>
      <c:valAx>
        <c:axId val="48400574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0.14000000000000001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3.1190000000000002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1.64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1.43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0.42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B-4545-A01F-A089DBADB594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All!$J$6:$J$124</c:f>
              <c:numCache>
                <c:formatCode>General</c:formatCode>
                <c:ptCount val="119"/>
                <c:pt idx="0">
                  <c:v>1216.7</c:v>
                </c:pt>
                <c:pt idx="1">
                  <c:v>11.6</c:v>
                </c:pt>
                <c:pt idx="2">
                  <c:v>9.9</c:v>
                </c:pt>
                <c:pt idx="3">
                  <c:v>11.4</c:v>
                </c:pt>
                <c:pt idx="7">
                  <c:v>46</c:v>
                </c:pt>
                <c:pt idx="8">
                  <c:v>14.6</c:v>
                </c:pt>
                <c:pt idx="9">
                  <c:v>14.2</c:v>
                </c:pt>
                <c:pt idx="10">
                  <c:v>14.8</c:v>
                </c:pt>
                <c:pt idx="11">
                  <c:v>14.1</c:v>
                </c:pt>
                <c:pt idx="12">
                  <c:v>12.8</c:v>
                </c:pt>
                <c:pt idx="13">
                  <c:v>17.2</c:v>
                </c:pt>
                <c:pt idx="17">
                  <c:v>118</c:v>
                </c:pt>
                <c:pt idx="18">
                  <c:v>15.2</c:v>
                </c:pt>
                <c:pt idx="19">
                  <c:v>12.3</c:v>
                </c:pt>
                <c:pt idx="20">
                  <c:v>19.399999999999999</c:v>
                </c:pt>
                <c:pt idx="21">
                  <c:v>15.4</c:v>
                </c:pt>
                <c:pt idx="22">
                  <c:v>17.3</c:v>
                </c:pt>
                <c:pt idx="26">
                  <c:v>34.700000000000003</c:v>
                </c:pt>
                <c:pt idx="27">
                  <c:v>14.8</c:v>
                </c:pt>
                <c:pt idx="28">
                  <c:v>12.6</c:v>
                </c:pt>
                <c:pt idx="29">
                  <c:v>12.9</c:v>
                </c:pt>
                <c:pt idx="30">
                  <c:v>12.8</c:v>
                </c:pt>
                <c:pt idx="31">
                  <c:v>17</c:v>
                </c:pt>
                <c:pt idx="35">
                  <c:v>1267.5999999999999</c:v>
                </c:pt>
                <c:pt idx="36">
                  <c:v>18.399999999999999</c:v>
                </c:pt>
                <c:pt idx="37">
                  <c:v>14.2</c:v>
                </c:pt>
                <c:pt idx="38">
                  <c:v>13.3</c:v>
                </c:pt>
                <c:pt idx="42">
                  <c:v>34.5</c:v>
                </c:pt>
                <c:pt idx="43">
                  <c:v>17.2</c:v>
                </c:pt>
                <c:pt idx="44">
                  <c:v>12.1</c:v>
                </c:pt>
                <c:pt idx="45">
                  <c:v>12.7</c:v>
                </c:pt>
                <c:pt idx="46">
                  <c:v>15.3</c:v>
                </c:pt>
                <c:pt idx="50">
                  <c:v>1064.3</c:v>
                </c:pt>
                <c:pt idx="51">
                  <c:v>9.9</c:v>
                </c:pt>
                <c:pt idx="52">
                  <c:v>15.1</c:v>
                </c:pt>
                <c:pt idx="53">
                  <c:v>16.2</c:v>
                </c:pt>
                <c:pt idx="54">
                  <c:v>14.6</c:v>
                </c:pt>
                <c:pt idx="55">
                  <c:v>21.7</c:v>
                </c:pt>
                <c:pt idx="59">
                  <c:v>8.3000000000000007</c:v>
                </c:pt>
                <c:pt idx="60">
                  <c:v>33.799999999999997</c:v>
                </c:pt>
                <c:pt idx="61">
                  <c:v>11.5</c:v>
                </c:pt>
                <c:pt idx="62">
                  <c:v>13.7</c:v>
                </c:pt>
                <c:pt idx="63">
                  <c:v>16.8</c:v>
                </c:pt>
                <c:pt idx="67">
                  <c:v>21.8</c:v>
                </c:pt>
                <c:pt idx="68">
                  <c:v>12.1</c:v>
                </c:pt>
                <c:pt idx="69">
                  <c:v>10.4</c:v>
                </c:pt>
                <c:pt idx="70">
                  <c:v>13.9</c:v>
                </c:pt>
                <c:pt idx="74">
                  <c:v>115.6</c:v>
                </c:pt>
                <c:pt idx="75">
                  <c:v>15.7</c:v>
                </c:pt>
                <c:pt idx="76">
                  <c:v>22.3</c:v>
                </c:pt>
                <c:pt idx="77">
                  <c:v>15.4</c:v>
                </c:pt>
                <c:pt idx="78">
                  <c:v>18.7</c:v>
                </c:pt>
                <c:pt idx="82">
                  <c:v>35.299999999999997</c:v>
                </c:pt>
                <c:pt idx="83">
                  <c:v>17.600000000000001</c:v>
                </c:pt>
                <c:pt idx="84">
                  <c:v>18.100000000000001</c:v>
                </c:pt>
                <c:pt idx="85">
                  <c:v>16.8</c:v>
                </c:pt>
                <c:pt idx="86">
                  <c:v>27.2</c:v>
                </c:pt>
                <c:pt idx="90">
                  <c:v>71.400000000000006</c:v>
                </c:pt>
                <c:pt idx="91">
                  <c:v>10.4</c:v>
                </c:pt>
                <c:pt idx="92">
                  <c:v>15</c:v>
                </c:pt>
                <c:pt idx="93">
                  <c:v>10.4</c:v>
                </c:pt>
                <c:pt idx="94">
                  <c:v>73.7</c:v>
                </c:pt>
                <c:pt idx="98">
                  <c:v>153.4</c:v>
                </c:pt>
                <c:pt idx="99">
                  <c:v>12.9</c:v>
                </c:pt>
                <c:pt idx="100">
                  <c:v>13.5</c:v>
                </c:pt>
                <c:pt idx="101">
                  <c:v>19.7</c:v>
                </c:pt>
                <c:pt idx="105">
                  <c:v>64</c:v>
                </c:pt>
                <c:pt idx="106">
                  <c:v>11</c:v>
                </c:pt>
                <c:pt idx="107">
                  <c:v>27.7</c:v>
                </c:pt>
                <c:pt idx="111">
                  <c:v>30.3</c:v>
                </c:pt>
                <c:pt idx="112">
                  <c:v>13.4</c:v>
                </c:pt>
                <c:pt idx="113">
                  <c:v>16.2</c:v>
                </c:pt>
                <c:pt idx="114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BB-4545-A01F-A089DBADB594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All!$EY$6:$EY$124</c:f>
              <c:numCache>
                <c:formatCode>General</c:formatCode>
                <c:ptCount val="119"/>
                <c:pt idx="0">
                  <c:v>0.06</c:v>
                </c:pt>
                <c:pt idx="1">
                  <c:v>4.1000000000000002E-2</c:v>
                </c:pt>
                <c:pt idx="2">
                  <c:v>0</c:v>
                </c:pt>
                <c:pt idx="3">
                  <c:v>6.0999999999999999E-2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0.08</c:v>
                </c:pt>
                <c:pt idx="12">
                  <c:v>0</c:v>
                </c:pt>
                <c:pt idx="13">
                  <c:v>0.02</c:v>
                </c:pt>
                <c:pt idx="17">
                  <c:v>1.7989999999999999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1.5209999999999999</c:v>
                </c:pt>
                <c:pt idx="27">
                  <c:v>0</c:v>
                </c:pt>
                <c:pt idx="28">
                  <c:v>0.02</c:v>
                </c:pt>
                <c:pt idx="29">
                  <c:v>2.1000000000000001E-2</c:v>
                </c:pt>
                <c:pt idx="30">
                  <c:v>0</c:v>
                </c:pt>
                <c:pt idx="31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3.9E-2</c:v>
                </c:pt>
                <c:pt idx="38">
                  <c:v>2.601</c:v>
                </c:pt>
                <c:pt idx="42">
                  <c:v>9.8350000000000009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0.06</c:v>
                </c:pt>
                <c:pt idx="50">
                  <c:v>0</c:v>
                </c:pt>
                <c:pt idx="51">
                  <c:v>0</c:v>
                </c:pt>
                <c:pt idx="52">
                  <c:v>1.0409999999999999</c:v>
                </c:pt>
                <c:pt idx="53">
                  <c:v>0</c:v>
                </c:pt>
                <c:pt idx="54">
                  <c:v>0</c:v>
                </c:pt>
                <c:pt idx="55">
                  <c:v>8.1000000000000003E-2</c:v>
                </c:pt>
                <c:pt idx="59">
                  <c:v>0</c:v>
                </c:pt>
                <c:pt idx="60">
                  <c:v>2.0009999999999999</c:v>
                </c:pt>
                <c:pt idx="61">
                  <c:v>0</c:v>
                </c:pt>
                <c:pt idx="62">
                  <c:v>0</c:v>
                </c:pt>
                <c:pt idx="63">
                  <c:v>0.10100000000000001</c:v>
                </c:pt>
                <c:pt idx="67">
                  <c:v>3.0609999999999999</c:v>
                </c:pt>
                <c:pt idx="68">
                  <c:v>0</c:v>
                </c:pt>
                <c:pt idx="69">
                  <c:v>0</c:v>
                </c:pt>
                <c:pt idx="70">
                  <c:v>8.1000000000000003E-2</c:v>
                </c:pt>
                <c:pt idx="74">
                  <c:v>0.18</c:v>
                </c:pt>
                <c:pt idx="75">
                  <c:v>8.1000000000000003E-2</c:v>
                </c:pt>
                <c:pt idx="76">
                  <c:v>0</c:v>
                </c:pt>
                <c:pt idx="77">
                  <c:v>0</c:v>
                </c:pt>
                <c:pt idx="78">
                  <c:v>8.1000000000000003E-2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1.9E-2</c:v>
                </c:pt>
                <c:pt idx="90">
                  <c:v>0</c:v>
                </c:pt>
                <c:pt idx="91">
                  <c:v>0</c:v>
                </c:pt>
                <c:pt idx="92">
                  <c:v>9.9000000000000005E-2</c:v>
                </c:pt>
                <c:pt idx="93">
                  <c:v>4.1000000000000002E-2</c:v>
                </c:pt>
                <c:pt idx="94">
                  <c:v>0</c:v>
                </c:pt>
                <c:pt idx="98">
                  <c:v>0.98</c:v>
                </c:pt>
                <c:pt idx="99">
                  <c:v>0</c:v>
                </c:pt>
                <c:pt idx="100">
                  <c:v>0</c:v>
                </c:pt>
                <c:pt idx="101">
                  <c:v>0.18</c:v>
                </c:pt>
                <c:pt idx="105">
                  <c:v>0.10100000000000001</c:v>
                </c:pt>
                <c:pt idx="106">
                  <c:v>0</c:v>
                </c:pt>
                <c:pt idx="107">
                  <c:v>0</c:v>
                </c:pt>
                <c:pt idx="111">
                  <c:v>0.38</c:v>
                </c:pt>
                <c:pt idx="112">
                  <c:v>0.28000000000000003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BB-4545-A01F-A089DBADB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2816"/>
        <c:axId val="484011152"/>
      </c:scatterChart>
      <c:valAx>
        <c:axId val="48401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1152"/>
        <c:crosses val="autoZero"/>
        <c:crossBetween val="midCat"/>
      </c:valAx>
      <c:valAx>
        <c:axId val="484011152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2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All!$BT$6:$BT$124</c:f>
              <c:numCache>
                <c:formatCode>General</c:formatCode>
                <c:ptCount val="119"/>
                <c:pt idx="0">
                  <c:v>6634.9539999999997</c:v>
                </c:pt>
                <c:pt idx="1">
                  <c:v>7337.8980000000001</c:v>
                </c:pt>
                <c:pt idx="2">
                  <c:v>7390.33</c:v>
                </c:pt>
                <c:pt idx="3">
                  <c:v>7413.4269999999997</c:v>
                </c:pt>
                <c:pt idx="7">
                  <c:v>6255.1989999999996</c:v>
                </c:pt>
                <c:pt idx="8">
                  <c:v>7418.11</c:v>
                </c:pt>
                <c:pt idx="9">
                  <c:v>7396.67</c:v>
                </c:pt>
                <c:pt idx="10">
                  <c:v>7395.33</c:v>
                </c:pt>
                <c:pt idx="11">
                  <c:v>7262.6779999999999</c:v>
                </c:pt>
                <c:pt idx="12">
                  <c:v>7409.0330000000004</c:v>
                </c:pt>
                <c:pt idx="13">
                  <c:v>7368.0360000000001</c:v>
                </c:pt>
                <c:pt idx="17">
                  <c:v>7313.7030000000004</c:v>
                </c:pt>
                <c:pt idx="18">
                  <c:v>7467.076</c:v>
                </c:pt>
                <c:pt idx="19">
                  <c:v>7431.6459999999997</c:v>
                </c:pt>
                <c:pt idx="20">
                  <c:v>7498.3580000000002</c:v>
                </c:pt>
                <c:pt idx="21">
                  <c:v>7413.2979999999998</c:v>
                </c:pt>
                <c:pt idx="22">
                  <c:v>7363.6080000000002</c:v>
                </c:pt>
                <c:pt idx="26">
                  <c:v>7298.6450000000004</c:v>
                </c:pt>
                <c:pt idx="27">
                  <c:v>7421.81</c:v>
                </c:pt>
                <c:pt idx="28">
                  <c:v>7452.2489999999998</c:v>
                </c:pt>
                <c:pt idx="29">
                  <c:v>7328.7820000000002</c:v>
                </c:pt>
                <c:pt idx="30">
                  <c:v>7372.3760000000002</c:v>
                </c:pt>
                <c:pt idx="31">
                  <c:v>7344.4459999999999</c:v>
                </c:pt>
                <c:pt idx="35">
                  <c:v>7161.17</c:v>
                </c:pt>
                <c:pt idx="36">
                  <c:v>7434.0829999999996</c:v>
                </c:pt>
                <c:pt idx="37">
                  <c:v>7448.8360000000002</c:v>
                </c:pt>
                <c:pt idx="38">
                  <c:v>6840.2979999999998</c:v>
                </c:pt>
                <c:pt idx="42">
                  <c:v>7226.9840000000004</c:v>
                </c:pt>
                <c:pt idx="43">
                  <c:v>7290.7129999999997</c:v>
                </c:pt>
                <c:pt idx="44">
                  <c:v>7382.7349999999997</c:v>
                </c:pt>
                <c:pt idx="45">
                  <c:v>7414.7979999999998</c:v>
                </c:pt>
                <c:pt idx="46">
                  <c:v>7394.5619999999999</c:v>
                </c:pt>
                <c:pt idx="50">
                  <c:v>6804.4669999999996</c:v>
                </c:pt>
                <c:pt idx="51">
                  <c:v>7246.7640000000001</c:v>
                </c:pt>
                <c:pt idx="52">
                  <c:v>7488.7359999999999</c:v>
                </c:pt>
                <c:pt idx="53">
                  <c:v>7457.0460000000003</c:v>
                </c:pt>
                <c:pt idx="54">
                  <c:v>7389.9539999999997</c:v>
                </c:pt>
                <c:pt idx="55">
                  <c:v>7316.0469999999996</c:v>
                </c:pt>
                <c:pt idx="60">
                  <c:v>7092.7250000000004</c:v>
                </c:pt>
                <c:pt idx="61">
                  <c:v>7376.94</c:v>
                </c:pt>
                <c:pt idx="62">
                  <c:v>7396.0940000000001</c:v>
                </c:pt>
                <c:pt idx="63">
                  <c:v>7289.3069999999998</c:v>
                </c:pt>
                <c:pt idx="67">
                  <c:v>7401.9380000000001</c:v>
                </c:pt>
                <c:pt idx="68">
                  <c:v>7431.1239999999998</c:v>
                </c:pt>
                <c:pt idx="69">
                  <c:v>7442.5240000000003</c:v>
                </c:pt>
                <c:pt idx="70">
                  <c:v>7393.9979999999996</c:v>
                </c:pt>
                <c:pt idx="74">
                  <c:v>7131.6369999999997</c:v>
                </c:pt>
                <c:pt idx="75">
                  <c:v>7449.0240000000003</c:v>
                </c:pt>
                <c:pt idx="76">
                  <c:v>7333.6940000000004</c:v>
                </c:pt>
                <c:pt idx="77">
                  <c:v>7350.2290000000003</c:v>
                </c:pt>
                <c:pt idx="78">
                  <c:v>7328.9489999999996</c:v>
                </c:pt>
                <c:pt idx="82">
                  <c:v>7363.2020000000002</c:v>
                </c:pt>
                <c:pt idx="83">
                  <c:v>7454.5680000000002</c:v>
                </c:pt>
                <c:pt idx="84">
                  <c:v>7414.8649999999998</c:v>
                </c:pt>
                <c:pt idx="85">
                  <c:v>7381.6769999999997</c:v>
                </c:pt>
                <c:pt idx="86">
                  <c:v>7389.9120000000003</c:v>
                </c:pt>
                <c:pt idx="90">
                  <c:v>7194.3829999999998</c:v>
                </c:pt>
                <c:pt idx="91">
                  <c:v>7138.2610000000004</c:v>
                </c:pt>
                <c:pt idx="92">
                  <c:v>7142.442</c:v>
                </c:pt>
                <c:pt idx="93">
                  <c:v>7236.0479999999998</c:v>
                </c:pt>
                <c:pt idx="94">
                  <c:v>6739.116</c:v>
                </c:pt>
                <c:pt idx="98">
                  <c:v>7168.4139999999998</c:v>
                </c:pt>
                <c:pt idx="99">
                  <c:v>7328.8860000000004</c:v>
                </c:pt>
                <c:pt idx="100">
                  <c:v>7366.5659999999998</c:v>
                </c:pt>
                <c:pt idx="101">
                  <c:v>7391.5640000000003</c:v>
                </c:pt>
                <c:pt idx="105">
                  <c:v>7300.2309999999998</c:v>
                </c:pt>
                <c:pt idx="106">
                  <c:v>7267.8249999999998</c:v>
                </c:pt>
                <c:pt idx="107">
                  <c:v>7327.4849999999997</c:v>
                </c:pt>
                <c:pt idx="111">
                  <c:v>7359.6840000000002</c:v>
                </c:pt>
                <c:pt idx="112">
                  <c:v>7429.759</c:v>
                </c:pt>
                <c:pt idx="113">
                  <c:v>7425.5559999999996</c:v>
                </c:pt>
                <c:pt idx="114">
                  <c:v>7487.8540000000003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4C-4672-985B-BD1DA13C0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9904"/>
        <c:axId val="484022800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All!$EZ$6:$EZ$124</c:f>
              <c:numCache>
                <c:formatCode>General</c:formatCode>
                <c:ptCount val="119"/>
                <c:pt idx="0">
                  <c:v>0</c:v>
                </c:pt>
                <c:pt idx="1">
                  <c:v>0.27200000000000002</c:v>
                </c:pt>
                <c:pt idx="2">
                  <c:v>0</c:v>
                </c:pt>
                <c:pt idx="3">
                  <c:v>0</c:v>
                </c:pt>
                <c:pt idx="7">
                  <c:v>24.507000000000001</c:v>
                </c:pt>
                <c:pt idx="8">
                  <c:v>0</c:v>
                </c:pt>
                <c:pt idx="9">
                  <c:v>0</c:v>
                </c:pt>
                <c:pt idx="10">
                  <c:v>5.8000000000000003E-2</c:v>
                </c:pt>
                <c:pt idx="11">
                  <c:v>9.4109999999999996</c:v>
                </c:pt>
                <c:pt idx="12">
                  <c:v>18.137</c:v>
                </c:pt>
                <c:pt idx="13">
                  <c:v>0.247</c:v>
                </c:pt>
                <c:pt idx="17">
                  <c:v>0</c:v>
                </c:pt>
                <c:pt idx="18">
                  <c:v>5.92</c:v>
                </c:pt>
                <c:pt idx="19">
                  <c:v>5.1999999999999998E-2</c:v>
                </c:pt>
                <c:pt idx="20">
                  <c:v>1.869</c:v>
                </c:pt>
                <c:pt idx="21">
                  <c:v>8.0000000000000002E-3</c:v>
                </c:pt>
                <c:pt idx="22">
                  <c:v>1.1970000000000001</c:v>
                </c:pt>
                <c:pt idx="26">
                  <c:v>0</c:v>
                </c:pt>
                <c:pt idx="27">
                  <c:v>2.7280000000000002</c:v>
                </c:pt>
                <c:pt idx="28">
                  <c:v>0.72</c:v>
                </c:pt>
                <c:pt idx="29">
                  <c:v>4.2999999999999997E-2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1.482</c:v>
                </c:pt>
                <c:pt idx="37">
                  <c:v>0.34100000000000003</c:v>
                </c:pt>
                <c:pt idx="38">
                  <c:v>0</c:v>
                </c:pt>
                <c:pt idx="42">
                  <c:v>0</c:v>
                </c:pt>
                <c:pt idx="43">
                  <c:v>22.466000000000001</c:v>
                </c:pt>
                <c:pt idx="44">
                  <c:v>0.17299999999999999</c:v>
                </c:pt>
                <c:pt idx="45">
                  <c:v>0</c:v>
                </c:pt>
                <c:pt idx="46">
                  <c:v>0</c:v>
                </c:pt>
                <c:pt idx="50">
                  <c:v>182.06700000000001</c:v>
                </c:pt>
                <c:pt idx="51">
                  <c:v>14.718999999999999</c:v>
                </c:pt>
                <c:pt idx="52">
                  <c:v>96.682000000000002</c:v>
                </c:pt>
                <c:pt idx="53">
                  <c:v>6.9580000000000002</c:v>
                </c:pt>
                <c:pt idx="54">
                  <c:v>2.1419999999999999</c:v>
                </c:pt>
                <c:pt idx="55">
                  <c:v>0.25600000000000001</c:v>
                </c:pt>
                <c:pt idx="59">
                  <c:v>0</c:v>
                </c:pt>
                <c:pt idx="60">
                  <c:v>0</c:v>
                </c:pt>
                <c:pt idx="61">
                  <c:v>0.432</c:v>
                </c:pt>
                <c:pt idx="62">
                  <c:v>0</c:v>
                </c:pt>
                <c:pt idx="63">
                  <c:v>6.8000000000000005E-2</c:v>
                </c:pt>
                <c:pt idx="67">
                  <c:v>0</c:v>
                </c:pt>
                <c:pt idx="68">
                  <c:v>5.0999999999999997E-2</c:v>
                </c:pt>
                <c:pt idx="69">
                  <c:v>0</c:v>
                </c:pt>
                <c:pt idx="70">
                  <c:v>5.3999999999999999E-2</c:v>
                </c:pt>
                <c:pt idx="74">
                  <c:v>18.079999999999998</c:v>
                </c:pt>
                <c:pt idx="75">
                  <c:v>25.306000000000001</c:v>
                </c:pt>
                <c:pt idx="76">
                  <c:v>1.5289999999999999</c:v>
                </c:pt>
                <c:pt idx="77">
                  <c:v>187.66499999999999</c:v>
                </c:pt>
                <c:pt idx="78">
                  <c:v>0</c:v>
                </c:pt>
                <c:pt idx="82">
                  <c:v>0</c:v>
                </c:pt>
                <c:pt idx="83">
                  <c:v>1.39</c:v>
                </c:pt>
                <c:pt idx="84">
                  <c:v>6.0999999999999999E-2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1.0999999999999999E-2</c:v>
                </c:pt>
                <c:pt idx="92">
                  <c:v>1.9450000000000001</c:v>
                </c:pt>
                <c:pt idx="93">
                  <c:v>0</c:v>
                </c:pt>
                <c:pt idx="94">
                  <c:v>0.26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1.7909999999999999</c:v>
                </c:pt>
                <c:pt idx="105">
                  <c:v>0</c:v>
                </c:pt>
                <c:pt idx="106">
                  <c:v>2.7E-2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4C-4672-985B-BD1DA13C0419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4C-4672-985B-BD1DA13C0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3744"/>
        <c:axId val="543719184"/>
      </c:scatterChart>
      <c:valAx>
        <c:axId val="48400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2800"/>
        <c:crosses val="autoZero"/>
        <c:crossBetween val="midCat"/>
      </c:valAx>
      <c:valAx>
        <c:axId val="484022800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904"/>
        <c:crosses val="autoZero"/>
        <c:crossBetween val="midCat"/>
      </c:valAx>
      <c:valAx>
        <c:axId val="543719184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3744"/>
        <c:crosses val="max"/>
        <c:crossBetween val="midCat"/>
      </c:valAx>
      <c:valAx>
        <c:axId val="543733744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1918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All!$BY$6:$BY$124</c:f>
              <c:numCache>
                <c:formatCode>General</c:formatCode>
                <c:ptCount val="119"/>
                <c:pt idx="0">
                  <c:v>1.5469999999999999</c:v>
                </c:pt>
                <c:pt idx="1">
                  <c:v>1.4179999999999999</c:v>
                </c:pt>
                <c:pt idx="2">
                  <c:v>1.5680000000000001</c:v>
                </c:pt>
                <c:pt idx="3">
                  <c:v>1.37</c:v>
                </c:pt>
                <c:pt idx="7">
                  <c:v>1.3839999999999999</c:v>
                </c:pt>
                <c:pt idx="8">
                  <c:v>1.482</c:v>
                </c:pt>
                <c:pt idx="9">
                  <c:v>1.357</c:v>
                </c:pt>
                <c:pt idx="10">
                  <c:v>1.3220000000000001</c:v>
                </c:pt>
                <c:pt idx="11">
                  <c:v>1.472</c:v>
                </c:pt>
                <c:pt idx="12">
                  <c:v>1.528</c:v>
                </c:pt>
                <c:pt idx="13">
                  <c:v>1.5309999999999999</c:v>
                </c:pt>
                <c:pt idx="17">
                  <c:v>1.429</c:v>
                </c:pt>
                <c:pt idx="18">
                  <c:v>1.4419999999999999</c:v>
                </c:pt>
                <c:pt idx="19">
                  <c:v>1.5189999999999999</c:v>
                </c:pt>
                <c:pt idx="20">
                  <c:v>1.385</c:v>
                </c:pt>
                <c:pt idx="21">
                  <c:v>1.347</c:v>
                </c:pt>
                <c:pt idx="22">
                  <c:v>1.419</c:v>
                </c:pt>
                <c:pt idx="26">
                  <c:v>1.514</c:v>
                </c:pt>
                <c:pt idx="27">
                  <c:v>1.284</c:v>
                </c:pt>
                <c:pt idx="28">
                  <c:v>1.35</c:v>
                </c:pt>
                <c:pt idx="29">
                  <c:v>1.411</c:v>
                </c:pt>
                <c:pt idx="30">
                  <c:v>1.4430000000000001</c:v>
                </c:pt>
                <c:pt idx="31">
                  <c:v>1.371</c:v>
                </c:pt>
                <c:pt idx="35">
                  <c:v>1.35</c:v>
                </c:pt>
                <c:pt idx="36">
                  <c:v>1.298</c:v>
                </c:pt>
                <c:pt idx="37">
                  <c:v>1.4330000000000001</c:v>
                </c:pt>
                <c:pt idx="38">
                  <c:v>1.2849999999999999</c:v>
                </c:pt>
                <c:pt idx="42">
                  <c:v>1.4450000000000001</c:v>
                </c:pt>
                <c:pt idx="43">
                  <c:v>1.335</c:v>
                </c:pt>
                <c:pt idx="44">
                  <c:v>1.4830000000000001</c:v>
                </c:pt>
                <c:pt idx="45">
                  <c:v>1.4139999999999999</c:v>
                </c:pt>
                <c:pt idx="46">
                  <c:v>1.399</c:v>
                </c:pt>
                <c:pt idx="50">
                  <c:v>1.5189999999999999</c:v>
                </c:pt>
                <c:pt idx="51">
                  <c:v>1.387</c:v>
                </c:pt>
                <c:pt idx="52">
                  <c:v>1.5549999999999999</c:v>
                </c:pt>
                <c:pt idx="53">
                  <c:v>1.546</c:v>
                </c:pt>
                <c:pt idx="54">
                  <c:v>1.4219999999999999</c:v>
                </c:pt>
                <c:pt idx="55">
                  <c:v>1.357</c:v>
                </c:pt>
                <c:pt idx="59">
                  <c:v>2.1999999999999999E-2</c:v>
                </c:pt>
                <c:pt idx="60">
                  <c:v>1.4339999999999999</c:v>
                </c:pt>
                <c:pt idx="61">
                  <c:v>1.615</c:v>
                </c:pt>
                <c:pt idx="62">
                  <c:v>1.417</c:v>
                </c:pt>
                <c:pt idx="63">
                  <c:v>1.879</c:v>
                </c:pt>
                <c:pt idx="67">
                  <c:v>1.599</c:v>
                </c:pt>
                <c:pt idx="68">
                  <c:v>1.3149999999999999</c:v>
                </c:pt>
                <c:pt idx="69">
                  <c:v>1.4550000000000001</c:v>
                </c:pt>
                <c:pt idx="70">
                  <c:v>1.379</c:v>
                </c:pt>
                <c:pt idx="74">
                  <c:v>1.2949999999999999</c:v>
                </c:pt>
                <c:pt idx="75">
                  <c:v>1.395</c:v>
                </c:pt>
                <c:pt idx="76">
                  <c:v>1.468</c:v>
                </c:pt>
                <c:pt idx="77">
                  <c:v>1.2529999999999999</c:v>
                </c:pt>
                <c:pt idx="78">
                  <c:v>1.762</c:v>
                </c:pt>
                <c:pt idx="82">
                  <c:v>1.375</c:v>
                </c:pt>
                <c:pt idx="83">
                  <c:v>1.4710000000000001</c:v>
                </c:pt>
                <c:pt idx="84">
                  <c:v>1.3919999999999999</c:v>
                </c:pt>
                <c:pt idx="85">
                  <c:v>1.589</c:v>
                </c:pt>
                <c:pt idx="86">
                  <c:v>1.744</c:v>
                </c:pt>
                <c:pt idx="90">
                  <c:v>1.4390000000000001</c:v>
                </c:pt>
                <c:pt idx="91">
                  <c:v>1.363</c:v>
                </c:pt>
                <c:pt idx="92">
                  <c:v>1.43</c:v>
                </c:pt>
                <c:pt idx="93">
                  <c:v>1.6639999999999999</c:v>
                </c:pt>
                <c:pt idx="94">
                  <c:v>1.3580000000000001</c:v>
                </c:pt>
                <c:pt idx="98">
                  <c:v>1.623</c:v>
                </c:pt>
                <c:pt idx="99">
                  <c:v>1.399</c:v>
                </c:pt>
                <c:pt idx="100">
                  <c:v>1.48</c:v>
                </c:pt>
                <c:pt idx="101">
                  <c:v>1.601</c:v>
                </c:pt>
                <c:pt idx="105">
                  <c:v>1.609</c:v>
                </c:pt>
                <c:pt idx="106">
                  <c:v>1.3580000000000001</c:v>
                </c:pt>
                <c:pt idx="107">
                  <c:v>1.389</c:v>
                </c:pt>
                <c:pt idx="111">
                  <c:v>1.516</c:v>
                </c:pt>
                <c:pt idx="112">
                  <c:v>1.4490000000000001</c:v>
                </c:pt>
                <c:pt idx="113">
                  <c:v>1.4870000000000001</c:v>
                </c:pt>
                <c:pt idx="114">
                  <c:v>1.3169999999999999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C-4841-9EAB-BB4B076171A8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All!$BZ$6:$BZ$124</c:f>
              <c:numCache>
                <c:formatCode>General</c:formatCode>
                <c:ptCount val="119"/>
                <c:pt idx="0">
                  <c:v>2.367</c:v>
                </c:pt>
                <c:pt idx="1">
                  <c:v>3.0409999999999999</c:v>
                </c:pt>
                <c:pt idx="2">
                  <c:v>2.9609999999999999</c:v>
                </c:pt>
                <c:pt idx="3">
                  <c:v>3.3650000000000002</c:v>
                </c:pt>
                <c:pt idx="7">
                  <c:v>2.4420000000000002</c:v>
                </c:pt>
                <c:pt idx="8">
                  <c:v>3.06</c:v>
                </c:pt>
                <c:pt idx="9">
                  <c:v>2.7909999999999999</c:v>
                </c:pt>
                <c:pt idx="10">
                  <c:v>2.8210000000000002</c:v>
                </c:pt>
                <c:pt idx="11">
                  <c:v>3.044</c:v>
                </c:pt>
                <c:pt idx="12">
                  <c:v>2.7639999999999998</c:v>
                </c:pt>
                <c:pt idx="13">
                  <c:v>2.8959999999999999</c:v>
                </c:pt>
                <c:pt idx="17">
                  <c:v>2.2919999999999998</c:v>
                </c:pt>
                <c:pt idx="18">
                  <c:v>2.7810000000000001</c:v>
                </c:pt>
                <c:pt idx="19">
                  <c:v>2.944</c:v>
                </c:pt>
                <c:pt idx="20">
                  <c:v>2.5</c:v>
                </c:pt>
                <c:pt idx="21">
                  <c:v>2.9239999999999999</c:v>
                </c:pt>
                <c:pt idx="22">
                  <c:v>3.2109999999999999</c:v>
                </c:pt>
                <c:pt idx="26">
                  <c:v>3.3340000000000001</c:v>
                </c:pt>
                <c:pt idx="27">
                  <c:v>3.1930000000000001</c:v>
                </c:pt>
                <c:pt idx="28">
                  <c:v>3.1659999999999999</c:v>
                </c:pt>
                <c:pt idx="29">
                  <c:v>3.1459999999999999</c:v>
                </c:pt>
                <c:pt idx="30">
                  <c:v>3.0329999999999999</c:v>
                </c:pt>
                <c:pt idx="31">
                  <c:v>3.17</c:v>
                </c:pt>
                <c:pt idx="35">
                  <c:v>2.5870000000000002</c:v>
                </c:pt>
                <c:pt idx="36">
                  <c:v>2.9249999999999998</c:v>
                </c:pt>
                <c:pt idx="37">
                  <c:v>3.1389999999999998</c:v>
                </c:pt>
                <c:pt idx="38">
                  <c:v>1.843</c:v>
                </c:pt>
                <c:pt idx="42">
                  <c:v>2.4359999999999999</c:v>
                </c:pt>
                <c:pt idx="43">
                  <c:v>2.4889999999999999</c:v>
                </c:pt>
                <c:pt idx="44">
                  <c:v>2.9369999999999998</c:v>
                </c:pt>
                <c:pt idx="45">
                  <c:v>3.0169999999999999</c:v>
                </c:pt>
                <c:pt idx="46">
                  <c:v>2.9409999999999998</c:v>
                </c:pt>
                <c:pt idx="50">
                  <c:v>2.2549999999999999</c:v>
                </c:pt>
                <c:pt idx="51">
                  <c:v>2.7010000000000001</c:v>
                </c:pt>
                <c:pt idx="52">
                  <c:v>2.1030000000000002</c:v>
                </c:pt>
                <c:pt idx="53">
                  <c:v>2.6110000000000002</c:v>
                </c:pt>
                <c:pt idx="54">
                  <c:v>2.8050000000000002</c:v>
                </c:pt>
                <c:pt idx="55">
                  <c:v>2.2410000000000001</c:v>
                </c:pt>
                <c:pt idx="59">
                  <c:v>5.0000000000000001E-3</c:v>
                </c:pt>
                <c:pt idx="60">
                  <c:v>2.6659999999999999</c:v>
                </c:pt>
                <c:pt idx="61">
                  <c:v>3.0590000000000002</c:v>
                </c:pt>
                <c:pt idx="62">
                  <c:v>3.2509999999999999</c:v>
                </c:pt>
                <c:pt idx="63">
                  <c:v>3.1389999999999998</c:v>
                </c:pt>
                <c:pt idx="67">
                  <c:v>2.3319999999999999</c:v>
                </c:pt>
                <c:pt idx="68">
                  <c:v>3.0529999999999999</c:v>
                </c:pt>
                <c:pt idx="69">
                  <c:v>3.11</c:v>
                </c:pt>
                <c:pt idx="70">
                  <c:v>3.0510000000000002</c:v>
                </c:pt>
                <c:pt idx="74">
                  <c:v>2.8159999999999998</c:v>
                </c:pt>
                <c:pt idx="75">
                  <c:v>2.9729999999999999</c:v>
                </c:pt>
                <c:pt idx="76">
                  <c:v>3.19</c:v>
                </c:pt>
                <c:pt idx="77">
                  <c:v>3.31</c:v>
                </c:pt>
                <c:pt idx="78">
                  <c:v>3.2360000000000002</c:v>
                </c:pt>
                <c:pt idx="82">
                  <c:v>2.33</c:v>
                </c:pt>
                <c:pt idx="83">
                  <c:v>2.5880000000000001</c:v>
                </c:pt>
                <c:pt idx="84">
                  <c:v>2.7170000000000001</c:v>
                </c:pt>
                <c:pt idx="85">
                  <c:v>2.9889999999999999</c:v>
                </c:pt>
                <c:pt idx="86">
                  <c:v>2.8769999999999998</c:v>
                </c:pt>
                <c:pt idx="90">
                  <c:v>2.218</c:v>
                </c:pt>
                <c:pt idx="91">
                  <c:v>3.0859999999999999</c:v>
                </c:pt>
                <c:pt idx="92">
                  <c:v>2.782</c:v>
                </c:pt>
                <c:pt idx="93">
                  <c:v>3.008</c:v>
                </c:pt>
                <c:pt idx="94">
                  <c:v>2.9039999999999999</c:v>
                </c:pt>
                <c:pt idx="98">
                  <c:v>3.0209999999999999</c:v>
                </c:pt>
                <c:pt idx="99">
                  <c:v>3.0209999999999999</c:v>
                </c:pt>
                <c:pt idx="100">
                  <c:v>3.3410000000000002</c:v>
                </c:pt>
                <c:pt idx="101">
                  <c:v>3.2890000000000001</c:v>
                </c:pt>
                <c:pt idx="105">
                  <c:v>2.9660000000000002</c:v>
                </c:pt>
                <c:pt idx="106">
                  <c:v>3.6640000000000001</c:v>
                </c:pt>
                <c:pt idx="107">
                  <c:v>3.12</c:v>
                </c:pt>
                <c:pt idx="111">
                  <c:v>2.629</c:v>
                </c:pt>
                <c:pt idx="112">
                  <c:v>2.7629999999999999</c:v>
                </c:pt>
                <c:pt idx="113">
                  <c:v>2.83</c:v>
                </c:pt>
                <c:pt idx="114">
                  <c:v>2.7280000000000002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C-4841-9EAB-BB4B07617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9488"/>
        <c:axId val="484028208"/>
      </c:scatterChart>
      <c:valAx>
        <c:axId val="48400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8208"/>
        <c:crosses val="autoZero"/>
        <c:crossBetween val="midCat"/>
      </c:valAx>
      <c:valAx>
        <c:axId val="48402820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All!$BI$6:$BI$124</c:f>
              <c:numCache>
                <c:formatCode>General</c:formatCode>
                <c:ptCount val="119"/>
                <c:pt idx="0">
                  <c:v>64.873999999999995</c:v>
                </c:pt>
                <c:pt idx="3">
                  <c:v>63.195</c:v>
                </c:pt>
                <c:pt idx="7">
                  <c:v>63.682000000000002</c:v>
                </c:pt>
                <c:pt idx="13">
                  <c:v>65.813999999999993</c:v>
                </c:pt>
                <c:pt idx="17">
                  <c:v>64.932000000000002</c:v>
                </c:pt>
                <c:pt idx="22">
                  <c:v>65.757999999999996</c:v>
                </c:pt>
                <c:pt idx="26">
                  <c:v>63.963000000000001</c:v>
                </c:pt>
                <c:pt idx="31">
                  <c:v>65.572000000000003</c:v>
                </c:pt>
                <c:pt idx="35">
                  <c:v>65.542000000000002</c:v>
                </c:pt>
                <c:pt idx="38">
                  <c:v>65.486000000000004</c:v>
                </c:pt>
                <c:pt idx="42">
                  <c:v>65.394000000000005</c:v>
                </c:pt>
                <c:pt idx="46">
                  <c:v>66.403999999999996</c:v>
                </c:pt>
                <c:pt idx="50">
                  <c:v>64.66</c:v>
                </c:pt>
                <c:pt idx="55">
                  <c:v>65.335999999999999</c:v>
                </c:pt>
                <c:pt idx="60">
                  <c:v>64.974999999999994</c:v>
                </c:pt>
                <c:pt idx="63">
                  <c:v>65.491</c:v>
                </c:pt>
                <c:pt idx="67">
                  <c:v>65.168000000000006</c:v>
                </c:pt>
                <c:pt idx="70">
                  <c:v>66.48</c:v>
                </c:pt>
                <c:pt idx="74">
                  <c:v>65.491</c:v>
                </c:pt>
                <c:pt idx="78">
                  <c:v>66.22</c:v>
                </c:pt>
                <c:pt idx="82">
                  <c:v>64.840999999999994</c:v>
                </c:pt>
                <c:pt idx="86">
                  <c:v>65.841999999999999</c:v>
                </c:pt>
                <c:pt idx="90">
                  <c:v>65.328999999999994</c:v>
                </c:pt>
                <c:pt idx="94">
                  <c:v>65.037000000000006</c:v>
                </c:pt>
                <c:pt idx="98">
                  <c:v>66.158000000000001</c:v>
                </c:pt>
                <c:pt idx="101">
                  <c:v>65.36</c:v>
                </c:pt>
                <c:pt idx="105">
                  <c:v>65.331000000000003</c:v>
                </c:pt>
                <c:pt idx="107">
                  <c:v>65.474999999999994</c:v>
                </c:pt>
                <c:pt idx="111">
                  <c:v>65.602000000000004</c:v>
                </c:pt>
                <c:pt idx="114">
                  <c:v>65.674000000000007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4-4B93-88A6-2BB91C848B31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All!$BJ$6:$BJ$124</c:f>
              <c:numCache>
                <c:formatCode>General</c:formatCode>
                <c:ptCount val="119"/>
                <c:pt idx="0">
                  <c:v>81.978999999999999</c:v>
                </c:pt>
                <c:pt idx="3">
                  <c:v>70.73</c:v>
                </c:pt>
                <c:pt idx="7">
                  <c:v>80.177999999999997</c:v>
                </c:pt>
                <c:pt idx="13">
                  <c:v>80.372</c:v>
                </c:pt>
                <c:pt idx="17">
                  <c:v>81.012</c:v>
                </c:pt>
                <c:pt idx="22">
                  <c:v>81.656000000000006</c:v>
                </c:pt>
                <c:pt idx="26">
                  <c:v>79.894000000000005</c:v>
                </c:pt>
                <c:pt idx="31">
                  <c:v>81.207999999999998</c:v>
                </c:pt>
                <c:pt idx="35">
                  <c:v>82.534000000000006</c:v>
                </c:pt>
                <c:pt idx="38">
                  <c:v>82.686000000000007</c:v>
                </c:pt>
                <c:pt idx="42">
                  <c:v>81.995000000000005</c:v>
                </c:pt>
                <c:pt idx="46">
                  <c:v>81.882999999999996</c:v>
                </c:pt>
                <c:pt idx="50">
                  <c:v>80.679000000000002</c:v>
                </c:pt>
                <c:pt idx="55">
                  <c:v>81.316000000000003</c:v>
                </c:pt>
                <c:pt idx="60">
                  <c:v>80.885999999999996</c:v>
                </c:pt>
                <c:pt idx="63">
                  <c:v>80.082999999999998</c:v>
                </c:pt>
                <c:pt idx="67">
                  <c:v>82.186000000000007</c:v>
                </c:pt>
                <c:pt idx="70">
                  <c:v>81.293999999999997</c:v>
                </c:pt>
                <c:pt idx="74">
                  <c:v>81.292000000000002</c:v>
                </c:pt>
                <c:pt idx="78">
                  <c:v>81.793000000000006</c:v>
                </c:pt>
                <c:pt idx="82">
                  <c:v>80.683999999999997</c:v>
                </c:pt>
                <c:pt idx="86">
                  <c:v>82.007000000000005</c:v>
                </c:pt>
                <c:pt idx="90">
                  <c:v>80.89</c:v>
                </c:pt>
                <c:pt idx="94">
                  <c:v>82.475999999999999</c:v>
                </c:pt>
                <c:pt idx="98">
                  <c:v>79.459000000000003</c:v>
                </c:pt>
                <c:pt idx="101">
                  <c:v>79.491</c:v>
                </c:pt>
                <c:pt idx="105">
                  <c:v>79.213999999999999</c:v>
                </c:pt>
                <c:pt idx="107">
                  <c:v>80.010999999999996</c:v>
                </c:pt>
                <c:pt idx="111">
                  <c:v>79.552000000000007</c:v>
                </c:pt>
                <c:pt idx="114">
                  <c:v>80.254000000000005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4-4B93-88A6-2BB91C848B3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84009904"/>
        <c:axId val="484010320"/>
      </c:scatterChart>
      <c:valAx>
        <c:axId val="48400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0320"/>
        <c:crosses val="autoZero"/>
        <c:crossBetween val="midCat"/>
      </c:valAx>
      <c:valAx>
        <c:axId val="484010320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All!$AR$6:$AR$124</c:f>
              <c:numCache>
                <c:formatCode>General</c:formatCode>
                <c:ptCount val="119"/>
                <c:pt idx="0">
                  <c:v>40.575000000000003</c:v>
                </c:pt>
                <c:pt idx="1">
                  <c:v>40.889000000000003</c:v>
                </c:pt>
                <c:pt idx="2">
                  <c:v>40.021000000000001</c:v>
                </c:pt>
                <c:pt idx="3">
                  <c:v>40.088000000000001</c:v>
                </c:pt>
                <c:pt idx="7">
                  <c:v>38.780999999999999</c:v>
                </c:pt>
                <c:pt idx="8">
                  <c:v>41.143999999999998</c:v>
                </c:pt>
                <c:pt idx="9">
                  <c:v>40.326000000000001</c:v>
                </c:pt>
                <c:pt idx="10">
                  <c:v>41.41</c:v>
                </c:pt>
                <c:pt idx="11">
                  <c:v>40.624000000000002</c:v>
                </c:pt>
                <c:pt idx="12">
                  <c:v>42.548999999999999</c:v>
                </c:pt>
                <c:pt idx="13">
                  <c:v>42.002000000000002</c:v>
                </c:pt>
                <c:pt idx="17">
                  <c:v>41.829000000000001</c:v>
                </c:pt>
                <c:pt idx="18">
                  <c:v>41.408999999999999</c:v>
                </c:pt>
                <c:pt idx="19">
                  <c:v>40.063000000000002</c:v>
                </c:pt>
                <c:pt idx="20">
                  <c:v>40.072000000000003</c:v>
                </c:pt>
                <c:pt idx="21">
                  <c:v>42.372</c:v>
                </c:pt>
                <c:pt idx="22">
                  <c:v>42.279000000000003</c:v>
                </c:pt>
                <c:pt idx="26">
                  <c:v>39.881</c:v>
                </c:pt>
                <c:pt idx="27">
                  <c:v>41.362000000000002</c:v>
                </c:pt>
                <c:pt idx="28">
                  <c:v>40.994999999999997</c:v>
                </c:pt>
                <c:pt idx="29">
                  <c:v>40.512999999999998</c:v>
                </c:pt>
                <c:pt idx="30">
                  <c:v>41.384</c:v>
                </c:pt>
                <c:pt idx="31">
                  <c:v>40.241</c:v>
                </c:pt>
                <c:pt idx="35">
                  <c:v>39.156999999999996</c:v>
                </c:pt>
                <c:pt idx="36">
                  <c:v>41.765999999999998</c:v>
                </c:pt>
                <c:pt idx="37">
                  <c:v>41.360999999999997</c:v>
                </c:pt>
                <c:pt idx="38">
                  <c:v>40.088000000000001</c:v>
                </c:pt>
                <c:pt idx="42">
                  <c:v>44.110999999999997</c:v>
                </c:pt>
                <c:pt idx="43">
                  <c:v>42.622</c:v>
                </c:pt>
                <c:pt idx="44">
                  <c:v>42.055</c:v>
                </c:pt>
                <c:pt idx="45">
                  <c:v>41.24</c:v>
                </c:pt>
                <c:pt idx="46">
                  <c:v>36.267000000000003</c:v>
                </c:pt>
                <c:pt idx="50">
                  <c:v>41.505000000000003</c:v>
                </c:pt>
                <c:pt idx="51">
                  <c:v>39.679000000000002</c:v>
                </c:pt>
                <c:pt idx="52">
                  <c:v>37.927999999999997</c:v>
                </c:pt>
                <c:pt idx="53">
                  <c:v>41.203000000000003</c:v>
                </c:pt>
                <c:pt idx="54">
                  <c:v>41.335000000000001</c:v>
                </c:pt>
                <c:pt idx="55">
                  <c:v>41.613</c:v>
                </c:pt>
                <c:pt idx="60">
                  <c:v>39.905999999999999</c:v>
                </c:pt>
                <c:pt idx="61">
                  <c:v>40.15</c:v>
                </c:pt>
                <c:pt idx="62">
                  <c:v>40.545999999999999</c:v>
                </c:pt>
                <c:pt idx="63">
                  <c:v>39.704000000000001</c:v>
                </c:pt>
                <c:pt idx="67">
                  <c:v>42.524999999999999</c:v>
                </c:pt>
                <c:pt idx="68">
                  <c:v>42.209000000000003</c:v>
                </c:pt>
                <c:pt idx="69">
                  <c:v>41.917999999999999</c:v>
                </c:pt>
                <c:pt idx="70">
                  <c:v>42.170999999999999</c:v>
                </c:pt>
                <c:pt idx="74">
                  <c:v>41.654000000000003</c:v>
                </c:pt>
                <c:pt idx="75">
                  <c:v>42.378999999999998</c:v>
                </c:pt>
                <c:pt idx="76">
                  <c:v>40.857999999999997</c:v>
                </c:pt>
                <c:pt idx="77">
                  <c:v>40.710999999999999</c:v>
                </c:pt>
                <c:pt idx="78">
                  <c:v>42.817999999999998</c:v>
                </c:pt>
                <c:pt idx="82">
                  <c:v>41.627000000000002</c:v>
                </c:pt>
                <c:pt idx="83">
                  <c:v>41.542000000000002</c:v>
                </c:pt>
                <c:pt idx="84">
                  <c:v>42.082999999999998</c:v>
                </c:pt>
                <c:pt idx="85">
                  <c:v>42.274000000000001</c:v>
                </c:pt>
                <c:pt idx="86">
                  <c:v>41.984000000000002</c:v>
                </c:pt>
                <c:pt idx="90">
                  <c:v>43.402999999999999</c:v>
                </c:pt>
                <c:pt idx="91">
                  <c:v>42.44</c:v>
                </c:pt>
                <c:pt idx="92">
                  <c:v>40.372</c:v>
                </c:pt>
                <c:pt idx="93">
                  <c:v>41.786000000000001</c:v>
                </c:pt>
                <c:pt idx="94">
                  <c:v>42.722999999999999</c:v>
                </c:pt>
                <c:pt idx="98">
                  <c:v>42.494999999999997</c:v>
                </c:pt>
                <c:pt idx="99">
                  <c:v>40.259</c:v>
                </c:pt>
                <c:pt idx="100">
                  <c:v>40.74</c:v>
                </c:pt>
                <c:pt idx="101">
                  <c:v>41.423999999999999</c:v>
                </c:pt>
                <c:pt idx="105">
                  <c:v>42.613</c:v>
                </c:pt>
                <c:pt idx="106">
                  <c:v>40.567</c:v>
                </c:pt>
                <c:pt idx="107">
                  <c:v>43.127000000000002</c:v>
                </c:pt>
                <c:pt idx="111">
                  <c:v>41.061999999999998</c:v>
                </c:pt>
                <c:pt idx="112">
                  <c:v>41.563000000000002</c:v>
                </c:pt>
                <c:pt idx="113">
                  <c:v>44.564</c:v>
                </c:pt>
                <c:pt idx="114">
                  <c:v>42.420999999999999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29-4D83-B3BD-65613D6FD1CF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All!$AS$6:$AS$124</c:f>
              <c:numCache>
                <c:formatCode>General</c:formatCode>
                <c:ptCount val="119"/>
                <c:pt idx="0">
                  <c:v>33.262</c:v>
                </c:pt>
                <c:pt idx="1">
                  <c:v>34.375999999999998</c:v>
                </c:pt>
                <c:pt idx="2">
                  <c:v>32.792999999999999</c:v>
                </c:pt>
                <c:pt idx="3">
                  <c:v>34.942999999999998</c:v>
                </c:pt>
                <c:pt idx="7">
                  <c:v>31.879000000000001</c:v>
                </c:pt>
                <c:pt idx="8">
                  <c:v>34.872999999999998</c:v>
                </c:pt>
                <c:pt idx="9">
                  <c:v>33.331000000000003</c:v>
                </c:pt>
                <c:pt idx="10">
                  <c:v>34.609000000000002</c:v>
                </c:pt>
                <c:pt idx="11">
                  <c:v>32.698</c:v>
                </c:pt>
                <c:pt idx="12">
                  <c:v>36.064999999999998</c:v>
                </c:pt>
                <c:pt idx="13">
                  <c:v>35.405000000000001</c:v>
                </c:pt>
                <c:pt idx="17">
                  <c:v>37.936</c:v>
                </c:pt>
                <c:pt idx="18">
                  <c:v>36.484999999999999</c:v>
                </c:pt>
                <c:pt idx="19">
                  <c:v>36.209000000000003</c:v>
                </c:pt>
                <c:pt idx="20">
                  <c:v>40.404000000000003</c:v>
                </c:pt>
                <c:pt idx="21">
                  <c:v>37.058999999999997</c:v>
                </c:pt>
                <c:pt idx="22">
                  <c:v>36.095999999999997</c:v>
                </c:pt>
                <c:pt idx="26">
                  <c:v>38.103999999999999</c:v>
                </c:pt>
                <c:pt idx="27">
                  <c:v>39.337000000000003</c:v>
                </c:pt>
                <c:pt idx="28">
                  <c:v>38.807000000000002</c:v>
                </c:pt>
                <c:pt idx="29">
                  <c:v>37.119</c:v>
                </c:pt>
                <c:pt idx="30">
                  <c:v>39.152000000000001</c:v>
                </c:pt>
                <c:pt idx="31">
                  <c:v>38.417000000000002</c:v>
                </c:pt>
                <c:pt idx="35">
                  <c:v>39.389000000000003</c:v>
                </c:pt>
                <c:pt idx="36">
                  <c:v>39.930999999999997</c:v>
                </c:pt>
                <c:pt idx="37">
                  <c:v>39.531999999999996</c:v>
                </c:pt>
                <c:pt idx="38">
                  <c:v>40.003</c:v>
                </c:pt>
                <c:pt idx="42">
                  <c:v>40.716000000000001</c:v>
                </c:pt>
                <c:pt idx="43">
                  <c:v>37.804000000000002</c:v>
                </c:pt>
                <c:pt idx="44">
                  <c:v>37.786000000000001</c:v>
                </c:pt>
                <c:pt idx="45">
                  <c:v>37.591000000000001</c:v>
                </c:pt>
                <c:pt idx="46">
                  <c:v>37.898000000000003</c:v>
                </c:pt>
                <c:pt idx="50">
                  <c:v>36.948</c:v>
                </c:pt>
                <c:pt idx="51">
                  <c:v>36.271999999999998</c:v>
                </c:pt>
                <c:pt idx="52">
                  <c:v>37.988</c:v>
                </c:pt>
                <c:pt idx="53">
                  <c:v>38.51</c:v>
                </c:pt>
                <c:pt idx="54">
                  <c:v>38.026000000000003</c:v>
                </c:pt>
                <c:pt idx="55">
                  <c:v>40.305</c:v>
                </c:pt>
                <c:pt idx="60">
                  <c:v>37.164999999999999</c:v>
                </c:pt>
                <c:pt idx="61">
                  <c:v>35.54</c:v>
                </c:pt>
                <c:pt idx="62">
                  <c:v>38.348999999999997</c:v>
                </c:pt>
                <c:pt idx="63">
                  <c:v>37.844999999999999</c:v>
                </c:pt>
                <c:pt idx="67">
                  <c:v>38.954999999999998</c:v>
                </c:pt>
                <c:pt idx="68">
                  <c:v>39.088000000000001</c:v>
                </c:pt>
                <c:pt idx="69">
                  <c:v>38.238</c:v>
                </c:pt>
                <c:pt idx="70">
                  <c:v>40.807000000000002</c:v>
                </c:pt>
                <c:pt idx="74">
                  <c:v>37.027999999999999</c:v>
                </c:pt>
                <c:pt idx="75">
                  <c:v>40.557000000000002</c:v>
                </c:pt>
                <c:pt idx="76">
                  <c:v>38.558999999999997</c:v>
                </c:pt>
                <c:pt idx="77">
                  <c:v>37.984000000000002</c:v>
                </c:pt>
                <c:pt idx="78">
                  <c:v>40.524000000000001</c:v>
                </c:pt>
                <c:pt idx="82">
                  <c:v>38.433999999999997</c:v>
                </c:pt>
                <c:pt idx="83">
                  <c:v>38.468000000000004</c:v>
                </c:pt>
                <c:pt idx="84">
                  <c:v>39.183999999999997</c:v>
                </c:pt>
                <c:pt idx="85">
                  <c:v>39.247</c:v>
                </c:pt>
                <c:pt idx="86">
                  <c:v>38.508000000000003</c:v>
                </c:pt>
                <c:pt idx="90">
                  <c:v>40.890999999999998</c:v>
                </c:pt>
                <c:pt idx="91">
                  <c:v>38.563000000000002</c:v>
                </c:pt>
                <c:pt idx="92">
                  <c:v>37.076000000000001</c:v>
                </c:pt>
                <c:pt idx="93">
                  <c:v>38.802999999999997</c:v>
                </c:pt>
                <c:pt idx="94">
                  <c:v>39.052999999999997</c:v>
                </c:pt>
                <c:pt idx="98">
                  <c:v>37.665999999999997</c:v>
                </c:pt>
                <c:pt idx="99">
                  <c:v>36.529000000000003</c:v>
                </c:pt>
                <c:pt idx="100">
                  <c:v>39.274000000000001</c:v>
                </c:pt>
                <c:pt idx="101">
                  <c:v>40.418999999999997</c:v>
                </c:pt>
                <c:pt idx="105">
                  <c:v>37.720999999999997</c:v>
                </c:pt>
                <c:pt idx="106">
                  <c:v>36.206000000000003</c:v>
                </c:pt>
                <c:pt idx="107">
                  <c:v>38.177999999999997</c:v>
                </c:pt>
                <c:pt idx="111">
                  <c:v>37.262</c:v>
                </c:pt>
                <c:pt idx="112">
                  <c:v>38.549999999999997</c:v>
                </c:pt>
                <c:pt idx="113">
                  <c:v>40.921999999999997</c:v>
                </c:pt>
                <c:pt idx="114">
                  <c:v>38.817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29-4D83-B3BD-65613D6F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6160"/>
        <c:axId val="484008240"/>
      </c:scatterChart>
      <c:valAx>
        <c:axId val="48400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8240"/>
        <c:crosses val="autoZero"/>
        <c:crossBetween val="midCat"/>
      </c:valAx>
      <c:valAx>
        <c:axId val="48400824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All!$F$6:$F$124</c:f>
              <c:numCache>
                <c:formatCode>General</c:formatCode>
                <c:ptCount val="119"/>
                <c:pt idx="0">
                  <c:v>326.04000000000002</c:v>
                </c:pt>
                <c:pt idx="1">
                  <c:v>332.23</c:v>
                </c:pt>
                <c:pt idx="2">
                  <c:v>330.06</c:v>
                </c:pt>
                <c:pt idx="3">
                  <c:v>330.52</c:v>
                </c:pt>
                <c:pt idx="7">
                  <c:v>331.4</c:v>
                </c:pt>
                <c:pt idx="8">
                  <c:v>333.32</c:v>
                </c:pt>
                <c:pt idx="9">
                  <c:v>330.51</c:v>
                </c:pt>
                <c:pt idx="10">
                  <c:v>329.72</c:v>
                </c:pt>
                <c:pt idx="11">
                  <c:v>329.54</c:v>
                </c:pt>
                <c:pt idx="12">
                  <c:v>335.68</c:v>
                </c:pt>
                <c:pt idx="13">
                  <c:v>332.8</c:v>
                </c:pt>
                <c:pt idx="17">
                  <c:v>321.36</c:v>
                </c:pt>
                <c:pt idx="18">
                  <c:v>328.4</c:v>
                </c:pt>
                <c:pt idx="19">
                  <c:v>329.44</c:v>
                </c:pt>
                <c:pt idx="20">
                  <c:v>333.92</c:v>
                </c:pt>
                <c:pt idx="21">
                  <c:v>330.81</c:v>
                </c:pt>
                <c:pt idx="22">
                  <c:v>334.25</c:v>
                </c:pt>
                <c:pt idx="26">
                  <c:v>326.2</c:v>
                </c:pt>
                <c:pt idx="27">
                  <c:v>330.45</c:v>
                </c:pt>
                <c:pt idx="28">
                  <c:v>327.96</c:v>
                </c:pt>
                <c:pt idx="29">
                  <c:v>328.05</c:v>
                </c:pt>
                <c:pt idx="30">
                  <c:v>329.33</c:v>
                </c:pt>
                <c:pt idx="31">
                  <c:v>328.49</c:v>
                </c:pt>
                <c:pt idx="35">
                  <c:v>328.85</c:v>
                </c:pt>
                <c:pt idx="36">
                  <c:v>332.83</c:v>
                </c:pt>
                <c:pt idx="37">
                  <c:v>327.64</c:v>
                </c:pt>
                <c:pt idx="38">
                  <c:v>324.23</c:v>
                </c:pt>
                <c:pt idx="42">
                  <c:v>326.74</c:v>
                </c:pt>
                <c:pt idx="43">
                  <c:v>324.05</c:v>
                </c:pt>
                <c:pt idx="44">
                  <c:v>326.8</c:v>
                </c:pt>
                <c:pt idx="45">
                  <c:v>330.85</c:v>
                </c:pt>
                <c:pt idx="46">
                  <c:v>330.56</c:v>
                </c:pt>
                <c:pt idx="50">
                  <c:v>324.63</c:v>
                </c:pt>
                <c:pt idx="51">
                  <c:v>330.3</c:v>
                </c:pt>
                <c:pt idx="52">
                  <c:v>320.94</c:v>
                </c:pt>
                <c:pt idx="53">
                  <c:v>330.88</c:v>
                </c:pt>
                <c:pt idx="54">
                  <c:v>331.19</c:v>
                </c:pt>
                <c:pt idx="55">
                  <c:v>328.95</c:v>
                </c:pt>
                <c:pt idx="59">
                  <c:v>0.01</c:v>
                </c:pt>
                <c:pt idx="60">
                  <c:v>327.01</c:v>
                </c:pt>
                <c:pt idx="61">
                  <c:v>327.92</c:v>
                </c:pt>
                <c:pt idx="62">
                  <c:v>330.56</c:v>
                </c:pt>
                <c:pt idx="63">
                  <c:v>330.47</c:v>
                </c:pt>
                <c:pt idx="67">
                  <c:v>325.39</c:v>
                </c:pt>
                <c:pt idx="68">
                  <c:v>328.27</c:v>
                </c:pt>
                <c:pt idx="69">
                  <c:v>328.49</c:v>
                </c:pt>
                <c:pt idx="70">
                  <c:v>326.7</c:v>
                </c:pt>
                <c:pt idx="74">
                  <c:v>324.64999999999998</c:v>
                </c:pt>
                <c:pt idx="75">
                  <c:v>331.66</c:v>
                </c:pt>
                <c:pt idx="76">
                  <c:v>327.05</c:v>
                </c:pt>
                <c:pt idx="77">
                  <c:v>329.49</c:v>
                </c:pt>
                <c:pt idx="78">
                  <c:v>328.78</c:v>
                </c:pt>
                <c:pt idx="82">
                  <c:v>329.67</c:v>
                </c:pt>
                <c:pt idx="83">
                  <c:v>328</c:v>
                </c:pt>
                <c:pt idx="84">
                  <c:v>331.06</c:v>
                </c:pt>
                <c:pt idx="85">
                  <c:v>331.68</c:v>
                </c:pt>
                <c:pt idx="86">
                  <c:v>330.06</c:v>
                </c:pt>
                <c:pt idx="90">
                  <c:v>328.48</c:v>
                </c:pt>
                <c:pt idx="91">
                  <c:v>331.93</c:v>
                </c:pt>
                <c:pt idx="92">
                  <c:v>329.08</c:v>
                </c:pt>
                <c:pt idx="93">
                  <c:v>329.12</c:v>
                </c:pt>
                <c:pt idx="94">
                  <c:v>329.95</c:v>
                </c:pt>
                <c:pt idx="98">
                  <c:v>329.19</c:v>
                </c:pt>
                <c:pt idx="99">
                  <c:v>333</c:v>
                </c:pt>
                <c:pt idx="100">
                  <c:v>330.24</c:v>
                </c:pt>
                <c:pt idx="101">
                  <c:v>334.35</c:v>
                </c:pt>
                <c:pt idx="105">
                  <c:v>327.02999999999997</c:v>
                </c:pt>
                <c:pt idx="106">
                  <c:v>330.92</c:v>
                </c:pt>
                <c:pt idx="107">
                  <c:v>333.12</c:v>
                </c:pt>
                <c:pt idx="111">
                  <c:v>329.48</c:v>
                </c:pt>
                <c:pt idx="112">
                  <c:v>330.58</c:v>
                </c:pt>
                <c:pt idx="113">
                  <c:v>333.29</c:v>
                </c:pt>
                <c:pt idx="114">
                  <c:v>330.35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9-49C6-BADB-BBC8BE21B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4896"/>
        <c:axId val="484015312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All!$IA$6:$IA$124</c:f>
              <c:numCache>
                <c:formatCode>General</c:formatCode>
                <c:ptCount val="119"/>
                <c:pt idx="0">
                  <c:v>2.754</c:v>
                </c:pt>
                <c:pt idx="1">
                  <c:v>2.758</c:v>
                </c:pt>
                <c:pt idx="2">
                  <c:v>2.9319999999999999</c:v>
                </c:pt>
                <c:pt idx="3">
                  <c:v>3.05</c:v>
                </c:pt>
                <c:pt idx="7">
                  <c:v>2.637</c:v>
                </c:pt>
                <c:pt idx="8">
                  <c:v>2.8740000000000001</c:v>
                </c:pt>
                <c:pt idx="9">
                  <c:v>2.7069999999999999</c:v>
                </c:pt>
                <c:pt idx="10">
                  <c:v>2.9489999999999998</c:v>
                </c:pt>
                <c:pt idx="11">
                  <c:v>2.9159999999999999</c:v>
                </c:pt>
                <c:pt idx="12">
                  <c:v>2.87</c:v>
                </c:pt>
                <c:pt idx="13">
                  <c:v>2.9430000000000001</c:v>
                </c:pt>
                <c:pt idx="17">
                  <c:v>2.472</c:v>
                </c:pt>
                <c:pt idx="18">
                  <c:v>2.7949999999999999</c:v>
                </c:pt>
                <c:pt idx="19">
                  <c:v>2.8460000000000001</c:v>
                </c:pt>
                <c:pt idx="20">
                  <c:v>3</c:v>
                </c:pt>
                <c:pt idx="21">
                  <c:v>2.9350000000000001</c:v>
                </c:pt>
                <c:pt idx="22">
                  <c:v>2.9340000000000002</c:v>
                </c:pt>
                <c:pt idx="26">
                  <c:v>2.5259999999999998</c:v>
                </c:pt>
                <c:pt idx="27">
                  <c:v>2.5209999999999999</c:v>
                </c:pt>
                <c:pt idx="28">
                  <c:v>2.6150000000000002</c:v>
                </c:pt>
                <c:pt idx="29">
                  <c:v>2.766</c:v>
                </c:pt>
                <c:pt idx="30">
                  <c:v>2.794</c:v>
                </c:pt>
                <c:pt idx="31">
                  <c:v>2.661</c:v>
                </c:pt>
                <c:pt idx="35">
                  <c:v>2.2949999999999999</c:v>
                </c:pt>
                <c:pt idx="36">
                  <c:v>2.6709999999999998</c:v>
                </c:pt>
                <c:pt idx="37">
                  <c:v>2.8</c:v>
                </c:pt>
                <c:pt idx="38">
                  <c:v>1.9990000000000001</c:v>
                </c:pt>
                <c:pt idx="42">
                  <c:v>2.4180000000000001</c:v>
                </c:pt>
                <c:pt idx="43">
                  <c:v>2.4790000000000001</c:v>
                </c:pt>
                <c:pt idx="44">
                  <c:v>2.86</c:v>
                </c:pt>
                <c:pt idx="45">
                  <c:v>3.0859999999999999</c:v>
                </c:pt>
                <c:pt idx="46">
                  <c:v>3.032</c:v>
                </c:pt>
                <c:pt idx="50">
                  <c:v>2.7010000000000001</c:v>
                </c:pt>
                <c:pt idx="51">
                  <c:v>2.9169999999999998</c:v>
                </c:pt>
                <c:pt idx="52">
                  <c:v>2.46</c:v>
                </c:pt>
                <c:pt idx="53">
                  <c:v>2.9169999999999998</c:v>
                </c:pt>
                <c:pt idx="54">
                  <c:v>3.0939999999999999</c:v>
                </c:pt>
                <c:pt idx="55">
                  <c:v>2.6059999999999999</c:v>
                </c:pt>
                <c:pt idx="59">
                  <c:v>4.0000000000000001E-3</c:v>
                </c:pt>
                <c:pt idx="60">
                  <c:v>2.2650000000000001</c:v>
                </c:pt>
                <c:pt idx="61">
                  <c:v>2.585</c:v>
                </c:pt>
                <c:pt idx="62">
                  <c:v>2.8719999999999999</c:v>
                </c:pt>
                <c:pt idx="63">
                  <c:v>2.75</c:v>
                </c:pt>
                <c:pt idx="67">
                  <c:v>2.6779999999999999</c:v>
                </c:pt>
                <c:pt idx="68">
                  <c:v>2.9460000000000002</c:v>
                </c:pt>
                <c:pt idx="69">
                  <c:v>3.1110000000000002</c:v>
                </c:pt>
                <c:pt idx="70">
                  <c:v>2.7970000000000002</c:v>
                </c:pt>
                <c:pt idx="74">
                  <c:v>2.3149999999999999</c:v>
                </c:pt>
                <c:pt idx="75">
                  <c:v>2.4660000000000002</c:v>
                </c:pt>
                <c:pt idx="76">
                  <c:v>2.5459999999999998</c:v>
                </c:pt>
                <c:pt idx="77">
                  <c:v>2.7370000000000001</c:v>
                </c:pt>
                <c:pt idx="78">
                  <c:v>2.6659999999999999</c:v>
                </c:pt>
                <c:pt idx="82">
                  <c:v>2.4620000000000002</c:v>
                </c:pt>
                <c:pt idx="83">
                  <c:v>2.4980000000000002</c:v>
                </c:pt>
                <c:pt idx="84">
                  <c:v>2.7130000000000001</c:v>
                </c:pt>
                <c:pt idx="85">
                  <c:v>2.6120000000000001</c:v>
                </c:pt>
                <c:pt idx="86">
                  <c:v>2.8069999999999999</c:v>
                </c:pt>
                <c:pt idx="90">
                  <c:v>2.6850000000000001</c:v>
                </c:pt>
                <c:pt idx="91">
                  <c:v>2.7229999999999999</c:v>
                </c:pt>
                <c:pt idx="92">
                  <c:v>3.0070000000000001</c:v>
                </c:pt>
                <c:pt idx="93">
                  <c:v>2.7069999999999999</c:v>
                </c:pt>
                <c:pt idx="94">
                  <c:v>2.8679999999999999</c:v>
                </c:pt>
                <c:pt idx="98">
                  <c:v>2.589</c:v>
                </c:pt>
                <c:pt idx="99">
                  <c:v>2.7890000000000001</c:v>
                </c:pt>
                <c:pt idx="100">
                  <c:v>2.859</c:v>
                </c:pt>
                <c:pt idx="101">
                  <c:v>2.7469999999999999</c:v>
                </c:pt>
                <c:pt idx="105">
                  <c:v>2.8220000000000001</c:v>
                </c:pt>
                <c:pt idx="106">
                  <c:v>2.9350000000000001</c:v>
                </c:pt>
                <c:pt idx="107">
                  <c:v>2.9969999999999999</c:v>
                </c:pt>
                <c:pt idx="111">
                  <c:v>2.6659999999999999</c:v>
                </c:pt>
                <c:pt idx="112">
                  <c:v>2.8610000000000002</c:v>
                </c:pt>
                <c:pt idx="113">
                  <c:v>2.8330000000000002</c:v>
                </c:pt>
                <c:pt idx="114">
                  <c:v>2.6850000000000001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69-49C6-BADB-BBC8BE21B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2496"/>
        <c:axId val="543737904"/>
      </c:scatterChart>
      <c:valAx>
        <c:axId val="48401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5312"/>
        <c:crosses val="autoZero"/>
        <c:crossBetween val="midCat"/>
      </c:valAx>
      <c:valAx>
        <c:axId val="484015312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4896"/>
        <c:crosses val="autoZero"/>
        <c:crossBetween val="midCat"/>
      </c:valAx>
      <c:valAx>
        <c:axId val="543737904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2496"/>
        <c:crosses val="max"/>
        <c:crossBetween val="midCat"/>
      </c:valAx>
      <c:valAx>
        <c:axId val="543732496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790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All!$AP$6:$AP$124</c:f>
              <c:numCache>
                <c:formatCode>General</c:formatCode>
                <c:ptCount val="119"/>
                <c:pt idx="0">
                  <c:v>1.44</c:v>
                </c:pt>
                <c:pt idx="1">
                  <c:v>1.4379999999999999</c:v>
                </c:pt>
                <c:pt idx="2">
                  <c:v>1.425</c:v>
                </c:pt>
                <c:pt idx="3">
                  <c:v>1.411</c:v>
                </c:pt>
                <c:pt idx="7">
                  <c:v>1.401</c:v>
                </c:pt>
                <c:pt idx="8">
                  <c:v>1.3939999999999999</c:v>
                </c:pt>
                <c:pt idx="9">
                  <c:v>1.38</c:v>
                </c:pt>
                <c:pt idx="10">
                  <c:v>1.369</c:v>
                </c:pt>
                <c:pt idx="11">
                  <c:v>1.35</c:v>
                </c:pt>
                <c:pt idx="12">
                  <c:v>1.3440000000000001</c:v>
                </c:pt>
                <c:pt idx="13">
                  <c:v>1.3480000000000001</c:v>
                </c:pt>
                <c:pt idx="17">
                  <c:v>1.359</c:v>
                </c:pt>
                <c:pt idx="18">
                  <c:v>1.3089999999999999</c:v>
                </c:pt>
                <c:pt idx="19">
                  <c:v>1.3049999999999999</c:v>
                </c:pt>
                <c:pt idx="20">
                  <c:v>1.2310000000000001</c:v>
                </c:pt>
                <c:pt idx="21">
                  <c:v>1.2809999999999999</c:v>
                </c:pt>
                <c:pt idx="22">
                  <c:v>1.282</c:v>
                </c:pt>
                <c:pt idx="26">
                  <c:v>1.397</c:v>
                </c:pt>
                <c:pt idx="27">
                  <c:v>1.359</c:v>
                </c:pt>
                <c:pt idx="28">
                  <c:v>1.369</c:v>
                </c:pt>
                <c:pt idx="29">
                  <c:v>1.371</c:v>
                </c:pt>
                <c:pt idx="30">
                  <c:v>1.357</c:v>
                </c:pt>
                <c:pt idx="31">
                  <c:v>1.373</c:v>
                </c:pt>
                <c:pt idx="35">
                  <c:v>1.401</c:v>
                </c:pt>
                <c:pt idx="36">
                  <c:v>1.381</c:v>
                </c:pt>
                <c:pt idx="37">
                  <c:v>1.359</c:v>
                </c:pt>
                <c:pt idx="38">
                  <c:v>1.3560000000000001</c:v>
                </c:pt>
                <c:pt idx="42">
                  <c:v>1.3240000000000001</c:v>
                </c:pt>
                <c:pt idx="43">
                  <c:v>1.3360000000000001</c:v>
                </c:pt>
                <c:pt idx="44">
                  <c:v>1.3380000000000001</c:v>
                </c:pt>
                <c:pt idx="45">
                  <c:v>1.339</c:v>
                </c:pt>
                <c:pt idx="46">
                  <c:v>1.33</c:v>
                </c:pt>
                <c:pt idx="50">
                  <c:v>1.4830000000000001</c:v>
                </c:pt>
                <c:pt idx="51">
                  <c:v>1.478</c:v>
                </c:pt>
                <c:pt idx="52">
                  <c:v>1.462</c:v>
                </c:pt>
                <c:pt idx="53">
                  <c:v>1.466</c:v>
                </c:pt>
                <c:pt idx="54">
                  <c:v>1.4710000000000001</c:v>
                </c:pt>
                <c:pt idx="55">
                  <c:v>1.462</c:v>
                </c:pt>
                <c:pt idx="60">
                  <c:v>1.4670000000000001</c:v>
                </c:pt>
                <c:pt idx="61">
                  <c:v>1.4690000000000001</c:v>
                </c:pt>
                <c:pt idx="62">
                  <c:v>1.464</c:v>
                </c:pt>
                <c:pt idx="63">
                  <c:v>1.4690000000000001</c:v>
                </c:pt>
                <c:pt idx="67">
                  <c:v>1.42</c:v>
                </c:pt>
                <c:pt idx="68">
                  <c:v>1.427</c:v>
                </c:pt>
                <c:pt idx="69">
                  <c:v>1.411</c:v>
                </c:pt>
                <c:pt idx="70">
                  <c:v>1.4259999999999999</c:v>
                </c:pt>
                <c:pt idx="74">
                  <c:v>1.464</c:v>
                </c:pt>
                <c:pt idx="75">
                  <c:v>1.4610000000000001</c:v>
                </c:pt>
                <c:pt idx="76">
                  <c:v>1.427</c:v>
                </c:pt>
                <c:pt idx="77">
                  <c:v>1.425</c:v>
                </c:pt>
                <c:pt idx="78">
                  <c:v>1.417</c:v>
                </c:pt>
                <c:pt idx="82">
                  <c:v>1.4430000000000001</c:v>
                </c:pt>
                <c:pt idx="83">
                  <c:v>1.4239999999999999</c:v>
                </c:pt>
                <c:pt idx="84">
                  <c:v>1.4019999999999999</c:v>
                </c:pt>
                <c:pt idx="85">
                  <c:v>1.4039999999999999</c:v>
                </c:pt>
                <c:pt idx="86">
                  <c:v>1.4039999999999999</c:v>
                </c:pt>
                <c:pt idx="90">
                  <c:v>1.429</c:v>
                </c:pt>
                <c:pt idx="91">
                  <c:v>1.3939999999999999</c:v>
                </c:pt>
                <c:pt idx="92">
                  <c:v>1.413</c:v>
                </c:pt>
                <c:pt idx="93">
                  <c:v>1.3959999999999999</c:v>
                </c:pt>
                <c:pt idx="94">
                  <c:v>1.389</c:v>
                </c:pt>
                <c:pt idx="98">
                  <c:v>1.4339999999999999</c:v>
                </c:pt>
                <c:pt idx="99">
                  <c:v>1.4279999999999999</c:v>
                </c:pt>
                <c:pt idx="100">
                  <c:v>1.421</c:v>
                </c:pt>
                <c:pt idx="101">
                  <c:v>1.41</c:v>
                </c:pt>
                <c:pt idx="105">
                  <c:v>1.363</c:v>
                </c:pt>
                <c:pt idx="106">
                  <c:v>1.3520000000000001</c:v>
                </c:pt>
                <c:pt idx="107">
                  <c:v>1.335</c:v>
                </c:pt>
                <c:pt idx="111">
                  <c:v>1.3620000000000001</c:v>
                </c:pt>
                <c:pt idx="112">
                  <c:v>1.339</c:v>
                </c:pt>
                <c:pt idx="113">
                  <c:v>1.282</c:v>
                </c:pt>
                <c:pt idx="114">
                  <c:v>1.3109999999999999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5-4E27-B4EB-C61214E42DA7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All!$AQ$6:$AQ$124</c:f>
              <c:numCache>
                <c:formatCode>General</c:formatCode>
                <c:ptCount val="119"/>
                <c:pt idx="0">
                  <c:v>1.966</c:v>
                </c:pt>
                <c:pt idx="1">
                  <c:v>1.944</c:v>
                </c:pt>
                <c:pt idx="2">
                  <c:v>1.887</c:v>
                </c:pt>
                <c:pt idx="3">
                  <c:v>1.871</c:v>
                </c:pt>
                <c:pt idx="7">
                  <c:v>1.88</c:v>
                </c:pt>
                <c:pt idx="8">
                  <c:v>1.865</c:v>
                </c:pt>
                <c:pt idx="9">
                  <c:v>1.839</c:v>
                </c:pt>
                <c:pt idx="10">
                  <c:v>1.827</c:v>
                </c:pt>
                <c:pt idx="11">
                  <c:v>1.8080000000000001</c:v>
                </c:pt>
                <c:pt idx="12">
                  <c:v>1.821</c:v>
                </c:pt>
                <c:pt idx="13">
                  <c:v>1.8069999999999999</c:v>
                </c:pt>
                <c:pt idx="17">
                  <c:v>1.7629999999999999</c:v>
                </c:pt>
                <c:pt idx="18">
                  <c:v>1.7729999999999999</c:v>
                </c:pt>
                <c:pt idx="19">
                  <c:v>1.784</c:v>
                </c:pt>
                <c:pt idx="20">
                  <c:v>1.7430000000000001</c:v>
                </c:pt>
                <c:pt idx="21">
                  <c:v>1.7769999999999999</c:v>
                </c:pt>
                <c:pt idx="22">
                  <c:v>1.768</c:v>
                </c:pt>
                <c:pt idx="26">
                  <c:v>1.861</c:v>
                </c:pt>
                <c:pt idx="27">
                  <c:v>1.8640000000000001</c:v>
                </c:pt>
                <c:pt idx="28">
                  <c:v>1.8320000000000001</c:v>
                </c:pt>
                <c:pt idx="29">
                  <c:v>1.8480000000000001</c:v>
                </c:pt>
                <c:pt idx="30">
                  <c:v>1.8480000000000001</c:v>
                </c:pt>
                <c:pt idx="31">
                  <c:v>1.825</c:v>
                </c:pt>
                <c:pt idx="35">
                  <c:v>1.87</c:v>
                </c:pt>
                <c:pt idx="36">
                  <c:v>1.861</c:v>
                </c:pt>
                <c:pt idx="37">
                  <c:v>1.8280000000000001</c:v>
                </c:pt>
                <c:pt idx="38">
                  <c:v>1.8859999999999999</c:v>
                </c:pt>
                <c:pt idx="42">
                  <c:v>1.8089999999999999</c:v>
                </c:pt>
                <c:pt idx="43">
                  <c:v>1.81</c:v>
                </c:pt>
                <c:pt idx="44">
                  <c:v>1.8340000000000001</c:v>
                </c:pt>
                <c:pt idx="45">
                  <c:v>1.8120000000000001</c:v>
                </c:pt>
                <c:pt idx="46">
                  <c:v>1.8149999999999999</c:v>
                </c:pt>
                <c:pt idx="50">
                  <c:v>1.9990000000000001</c:v>
                </c:pt>
                <c:pt idx="51">
                  <c:v>1.982</c:v>
                </c:pt>
                <c:pt idx="52">
                  <c:v>1.9550000000000001</c:v>
                </c:pt>
                <c:pt idx="53">
                  <c:v>1.9510000000000001</c:v>
                </c:pt>
                <c:pt idx="54">
                  <c:v>1.927</c:v>
                </c:pt>
                <c:pt idx="55">
                  <c:v>1.913</c:v>
                </c:pt>
                <c:pt idx="60">
                  <c:v>1.9350000000000001</c:v>
                </c:pt>
                <c:pt idx="61">
                  <c:v>1.9330000000000001</c:v>
                </c:pt>
                <c:pt idx="62">
                  <c:v>1.9279999999999999</c:v>
                </c:pt>
                <c:pt idx="63">
                  <c:v>1.9179999999999999</c:v>
                </c:pt>
                <c:pt idx="67">
                  <c:v>1.972</c:v>
                </c:pt>
                <c:pt idx="68">
                  <c:v>1.986</c:v>
                </c:pt>
                <c:pt idx="69">
                  <c:v>1.95</c:v>
                </c:pt>
                <c:pt idx="70">
                  <c:v>1.9419999999999999</c:v>
                </c:pt>
                <c:pt idx="74">
                  <c:v>1.9259999999999999</c:v>
                </c:pt>
                <c:pt idx="75">
                  <c:v>1.921</c:v>
                </c:pt>
                <c:pt idx="76">
                  <c:v>1.9139999999999999</c:v>
                </c:pt>
                <c:pt idx="77">
                  <c:v>1.88</c:v>
                </c:pt>
                <c:pt idx="78">
                  <c:v>1.8859999999999999</c:v>
                </c:pt>
                <c:pt idx="82">
                  <c:v>1.9119999999999999</c:v>
                </c:pt>
                <c:pt idx="83">
                  <c:v>1.8939999999999999</c:v>
                </c:pt>
                <c:pt idx="84">
                  <c:v>1.89</c:v>
                </c:pt>
                <c:pt idx="85">
                  <c:v>1.8759999999999999</c:v>
                </c:pt>
                <c:pt idx="86">
                  <c:v>1.87</c:v>
                </c:pt>
                <c:pt idx="90">
                  <c:v>1.8979999999999999</c:v>
                </c:pt>
                <c:pt idx="91">
                  <c:v>1.905</c:v>
                </c:pt>
                <c:pt idx="92">
                  <c:v>1.8740000000000001</c:v>
                </c:pt>
                <c:pt idx="93">
                  <c:v>1.869</c:v>
                </c:pt>
                <c:pt idx="94">
                  <c:v>1.865</c:v>
                </c:pt>
                <c:pt idx="98">
                  <c:v>1.9119999999999999</c:v>
                </c:pt>
                <c:pt idx="99">
                  <c:v>1.9039999999999999</c:v>
                </c:pt>
                <c:pt idx="100">
                  <c:v>1.8839999999999999</c:v>
                </c:pt>
                <c:pt idx="101">
                  <c:v>1.88</c:v>
                </c:pt>
                <c:pt idx="105">
                  <c:v>1.81</c:v>
                </c:pt>
                <c:pt idx="106">
                  <c:v>1.8280000000000001</c:v>
                </c:pt>
                <c:pt idx="107">
                  <c:v>1.8089999999999999</c:v>
                </c:pt>
                <c:pt idx="111">
                  <c:v>1.8029999999999999</c:v>
                </c:pt>
                <c:pt idx="112">
                  <c:v>1.804</c:v>
                </c:pt>
                <c:pt idx="113">
                  <c:v>1.7749999999999999</c:v>
                </c:pt>
                <c:pt idx="114">
                  <c:v>1.78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C5-4E27-B4EB-C61214E42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2816"/>
        <c:axId val="484016976"/>
      </c:scatterChart>
      <c:valAx>
        <c:axId val="48401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6976"/>
        <c:crosses val="autoZero"/>
        <c:crossBetween val="midCat"/>
      </c:valAx>
      <c:valAx>
        <c:axId val="48401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2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All!$CC$6:$CC$124</c:f>
              <c:numCache>
                <c:formatCode>General</c:formatCode>
                <c:ptCount val="119"/>
                <c:pt idx="0">
                  <c:v>1.2110000000000001</c:v>
                </c:pt>
                <c:pt idx="1">
                  <c:v>1.288</c:v>
                </c:pt>
                <c:pt idx="2">
                  <c:v>1.282</c:v>
                </c:pt>
                <c:pt idx="3">
                  <c:v>1.268</c:v>
                </c:pt>
                <c:pt idx="7">
                  <c:v>1.1990000000000001</c:v>
                </c:pt>
                <c:pt idx="8">
                  <c:v>1.325</c:v>
                </c:pt>
                <c:pt idx="9">
                  <c:v>1.1120000000000001</c:v>
                </c:pt>
                <c:pt idx="10">
                  <c:v>1.1819999999999999</c:v>
                </c:pt>
                <c:pt idx="11">
                  <c:v>1.1319999999999999</c:v>
                </c:pt>
                <c:pt idx="12">
                  <c:v>1.2070000000000001</c:v>
                </c:pt>
                <c:pt idx="13">
                  <c:v>1.131</c:v>
                </c:pt>
                <c:pt idx="17">
                  <c:v>1.089</c:v>
                </c:pt>
                <c:pt idx="18">
                  <c:v>1.1100000000000001</c:v>
                </c:pt>
                <c:pt idx="19">
                  <c:v>1.1220000000000001</c:v>
                </c:pt>
                <c:pt idx="20">
                  <c:v>1.03</c:v>
                </c:pt>
                <c:pt idx="21">
                  <c:v>0.85799999999999998</c:v>
                </c:pt>
                <c:pt idx="22">
                  <c:v>0.95699999999999996</c:v>
                </c:pt>
                <c:pt idx="26">
                  <c:v>1.214</c:v>
                </c:pt>
                <c:pt idx="27">
                  <c:v>1.0409999999999999</c:v>
                </c:pt>
                <c:pt idx="28">
                  <c:v>1.173</c:v>
                </c:pt>
                <c:pt idx="29">
                  <c:v>1.226</c:v>
                </c:pt>
                <c:pt idx="30">
                  <c:v>1.1200000000000001</c:v>
                </c:pt>
                <c:pt idx="31">
                  <c:v>0.84099999999999997</c:v>
                </c:pt>
                <c:pt idx="35">
                  <c:v>0.99399999999999999</c:v>
                </c:pt>
                <c:pt idx="36">
                  <c:v>0.96</c:v>
                </c:pt>
                <c:pt idx="37">
                  <c:v>0.93200000000000005</c:v>
                </c:pt>
                <c:pt idx="38">
                  <c:v>0.9</c:v>
                </c:pt>
                <c:pt idx="42">
                  <c:v>0.95799999999999996</c:v>
                </c:pt>
                <c:pt idx="43">
                  <c:v>0.90100000000000002</c:v>
                </c:pt>
                <c:pt idx="44">
                  <c:v>0.82399999999999995</c:v>
                </c:pt>
                <c:pt idx="45">
                  <c:v>0.80900000000000005</c:v>
                </c:pt>
                <c:pt idx="46">
                  <c:v>1.042</c:v>
                </c:pt>
                <c:pt idx="50">
                  <c:v>1.319</c:v>
                </c:pt>
                <c:pt idx="51">
                  <c:v>1.474</c:v>
                </c:pt>
                <c:pt idx="52">
                  <c:v>1.1579999999999999</c:v>
                </c:pt>
                <c:pt idx="53">
                  <c:v>1.383</c:v>
                </c:pt>
                <c:pt idx="54">
                  <c:v>1.4610000000000001</c:v>
                </c:pt>
                <c:pt idx="55">
                  <c:v>1.0369999999999999</c:v>
                </c:pt>
                <c:pt idx="60">
                  <c:v>1.2030000000000001</c:v>
                </c:pt>
                <c:pt idx="61">
                  <c:v>1.302</c:v>
                </c:pt>
                <c:pt idx="62">
                  <c:v>1.417</c:v>
                </c:pt>
                <c:pt idx="63">
                  <c:v>1.3620000000000001</c:v>
                </c:pt>
                <c:pt idx="67">
                  <c:v>1.0009999999999999</c:v>
                </c:pt>
                <c:pt idx="68">
                  <c:v>1.08</c:v>
                </c:pt>
                <c:pt idx="69">
                  <c:v>1.2</c:v>
                </c:pt>
                <c:pt idx="70">
                  <c:v>0.80100000000000005</c:v>
                </c:pt>
                <c:pt idx="74">
                  <c:v>1.2749999999999999</c:v>
                </c:pt>
                <c:pt idx="75">
                  <c:v>1.1970000000000001</c:v>
                </c:pt>
                <c:pt idx="76">
                  <c:v>1.0009999999999999</c:v>
                </c:pt>
                <c:pt idx="77">
                  <c:v>1.2070000000000001</c:v>
                </c:pt>
                <c:pt idx="78">
                  <c:v>1.0109999999999999</c:v>
                </c:pt>
                <c:pt idx="82">
                  <c:v>1.101</c:v>
                </c:pt>
                <c:pt idx="83">
                  <c:v>1.1339999999999999</c:v>
                </c:pt>
                <c:pt idx="84">
                  <c:v>1.022</c:v>
                </c:pt>
                <c:pt idx="85">
                  <c:v>0.81699999999999995</c:v>
                </c:pt>
                <c:pt idx="86">
                  <c:v>1.1419999999999999</c:v>
                </c:pt>
                <c:pt idx="90">
                  <c:v>1.048</c:v>
                </c:pt>
                <c:pt idx="91">
                  <c:v>1.1859999999999999</c:v>
                </c:pt>
                <c:pt idx="92">
                  <c:v>1.0489999999999999</c:v>
                </c:pt>
                <c:pt idx="93">
                  <c:v>0.96599999999999997</c:v>
                </c:pt>
                <c:pt idx="94">
                  <c:v>0.89600000000000002</c:v>
                </c:pt>
                <c:pt idx="98">
                  <c:v>1.177</c:v>
                </c:pt>
                <c:pt idx="99">
                  <c:v>1.3380000000000001</c:v>
                </c:pt>
                <c:pt idx="100">
                  <c:v>1.222</c:v>
                </c:pt>
                <c:pt idx="101">
                  <c:v>1.329</c:v>
                </c:pt>
                <c:pt idx="105">
                  <c:v>0.83</c:v>
                </c:pt>
                <c:pt idx="106">
                  <c:v>0.88900000000000001</c:v>
                </c:pt>
                <c:pt idx="107">
                  <c:v>1.123</c:v>
                </c:pt>
                <c:pt idx="111">
                  <c:v>1.0049999999999999</c:v>
                </c:pt>
                <c:pt idx="112">
                  <c:v>0.88200000000000001</c:v>
                </c:pt>
                <c:pt idx="113">
                  <c:v>0.92900000000000005</c:v>
                </c:pt>
                <c:pt idx="114">
                  <c:v>0.95299999999999996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27-4580-94FE-CA18836DAC15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All!$CD$6:$CD$124</c:f>
              <c:numCache>
                <c:formatCode>General</c:formatCode>
                <c:ptCount val="119"/>
                <c:pt idx="0">
                  <c:v>2.6070000000000002</c:v>
                </c:pt>
                <c:pt idx="1">
                  <c:v>2.6949999999999998</c:v>
                </c:pt>
                <c:pt idx="2">
                  <c:v>2.5059999999999998</c:v>
                </c:pt>
                <c:pt idx="3">
                  <c:v>2.4729999999999999</c:v>
                </c:pt>
                <c:pt idx="7">
                  <c:v>2.4369999999999998</c:v>
                </c:pt>
                <c:pt idx="8">
                  <c:v>2.5019999999999998</c:v>
                </c:pt>
                <c:pt idx="9">
                  <c:v>2.4169999999999998</c:v>
                </c:pt>
                <c:pt idx="10">
                  <c:v>2.3029999999999999</c:v>
                </c:pt>
                <c:pt idx="11">
                  <c:v>2.3170000000000002</c:v>
                </c:pt>
                <c:pt idx="12">
                  <c:v>2.4180000000000001</c:v>
                </c:pt>
                <c:pt idx="13">
                  <c:v>2.3410000000000002</c:v>
                </c:pt>
                <c:pt idx="17">
                  <c:v>2.0390000000000001</c:v>
                </c:pt>
                <c:pt idx="18">
                  <c:v>2.1739999999999999</c:v>
                </c:pt>
                <c:pt idx="19">
                  <c:v>2.1560000000000001</c:v>
                </c:pt>
                <c:pt idx="20">
                  <c:v>2.1480000000000001</c:v>
                </c:pt>
                <c:pt idx="21">
                  <c:v>2.0979999999999999</c:v>
                </c:pt>
                <c:pt idx="22">
                  <c:v>2.016</c:v>
                </c:pt>
                <c:pt idx="26">
                  <c:v>2.302</c:v>
                </c:pt>
                <c:pt idx="27">
                  <c:v>2.508</c:v>
                </c:pt>
                <c:pt idx="28">
                  <c:v>2.4769999999999999</c:v>
                </c:pt>
                <c:pt idx="29">
                  <c:v>2.407</c:v>
                </c:pt>
                <c:pt idx="30">
                  <c:v>2.4079999999999999</c:v>
                </c:pt>
                <c:pt idx="31">
                  <c:v>2.7970000000000002</c:v>
                </c:pt>
                <c:pt idx="35">
                  <c:v>2.2919999999999998</c:v>
                </c:pt>
                <c:pt idx="36">
                  <c:v>2.37</c:v>
                </c:pt>
                <c:pt idx="37">
                  <c:v>2.452</c:v>
                </c:pt>
                <c:pt idx="38">
                  <c:v>2.1760000000000002</c:v>
                </c:pt>
                <c:pt idx="42">
                  <c:v>1.9790000000000001</c:v>
                </c:pt>
                <c:pt idx="43">
                  <c:v>2.0449999999999999</c:v>
                </c:pt>
                <c:pt idx="44">
                  <c:v>2.1640000000000001</c:v>
                </c:pt>
                <c:pt idx="45">
                  <c:v>2.1549999999999998</c:v>
                </c:pt>
                <c:pt idx="46">
                  <c:v>2.0409999999999999</c:v>
                </c:pt>
                <c:pt idx="50">
                  <c:v>2.5409999999999999</c:v>
                </c:pt>
                <c:pt idx="51">
                  <c:v>2.6120000000000001</c:v>
                </c:pt>
                <c:pt idx="52">
                  <c:v>2.3610000000000002</c:v>
                </c:pt>
                <c:pt idx="53">
                  <c:v>2.528</c:v>
                </c:pt>
                <c:pt idx="54">
                  <c:v>2.431</c:v>
                </c:pt>
                <c:pt idx="55">
                  <c:v>2.3809999999999998</c:v>
                </c:pt>
                <c:pt idx="60">
                  <c:v>2.3260000000000001</c:v>
                </c:pt>
                <c:pt idx="61">
                  <c:v>2.5510000000000002</c:v>
                </c:pt>
                <c:pt idx="62">
                  <c:v>2.4239999999999999</c:v>
                </c:pt>
                <c:pt idx="63">
                  <c:v>2.411</c:v>
                </c:pt>
                <c:pt idx="67">
                  <c:v>2.274</c:v>
                </c:pt>
                <c:pt idx="68">
                  <c:v>2.3290000000000002</c:v>
                </c:pt>
                <c:pt idx="69">
                  <c:v>2.335</c:v>
                </c:pt>
                <c:pt idx="70">
                  <c:v>2.2930000000000001</c:v>
                </c:pt>
                <c:pt idx="74">
                  <c:v>2.4300000000000002</c:v>
                </c:pt>
                <c:pt idx="75">
                  <c:v>2.5259999999999998</c:v>
                </c:pt>
                <c:pt idx="76">
                  <c:v>2.2890000000000001</c:v>
                </c:pt>
                <c:pt idx="77">
                  <c:v>2.3839999999999999</c:v>
                </c:pt>
                <c:pt idx="78">
                  <c:v>2.3959999999999999</c:v>
                </c:pt>
                <c:pt idx="82">
                  <c:v>2.3159999999999998</c:v>
                </c:pt>
                <c:pt idx="83">
                  <c:v>2.3959999999999999</c:v>
                </c:pt>
                <c:pt idx="84">
                  <c:v>2.3290000000000002</c:v>
                </c:pt>
                <c:pt idx="85">
                  <c:v>2.2349999999999999</c:v>
                </c:pt>
                <c:pt idx="86">
                  <c:v>2.323</c:v>
                </c:pt>
                <c:pt idx="90">
                  <c:v>2.4630000000000001</c:v>
                </c:pt>
                <c:pt idx="91">
                  <c:v>2.5</c:v>
                </c:pt>
                <c:pt idx="92">
                  <c:v>2.2890000000000001</c:v>
                </c:pt>
                <c:pt idx="93">
                  <c:v>2.2530000000000001</c:v>
                </c:pt>
                <c:pt idx="94">
                  <c:v>2.5550000000000002</c:v>
                </c:pt>
                <c:pt idx="98">
                  <c:v>2.3439999999999999</c:v>
                </c:pt>
                <c:pt idx="99">
                  <c:v>2.4300000000000002</c:v>
                </c:pt>
                <c:pt idx="100">
                  <c:v>2.4249999999999998</c:v>
                </c:pt>
                <c:pt idx="101">
                  <c:v>2.36</c:v>
                </c:pt>
                <c:pt idx="105">
                  <c:v>2.298</c:v>
                </c:pt>
                <c:pt idx="106">
                  <c:v>2.13</c:v>
                </c:pt>
                <c:pt idx="107">
                  <c:v>2.2389999999999999</c:v>
                </c:pt>
                <c:pt idx="111">
                  <c:v>2.0739999999999998</c:v>
                </c:pt>
                <c:pt idx="112">
                  <c:v>2.0630000000000002</c:v>
                </c:pt>
                <c:pt idx="113">
                  <c:v>2.16</c:v>
                </c:pt>
                <c:pt idx="114">
                  <c:v>1.925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27-4580-94FE-CA18836DA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4480"/>
        <c:axId val="484014896"/>
      </c:scatterChart>
      <c:valAx>
        <c:axId val="48401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4896"/>
        <c:crosses val="autoZero"/>
        <c:crossBetween val="midCat"/>
      </c:valAx>
      <c:valAx>
        <c:axId val="48401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All!$CE$6:$CE$124</c:f>
              <c:numCache>
                <c:formatCode>General</c:formatCode>
                <c:ptCount val="119"/>
                <c:pt idx="0">
                  <c:v>1.498</c:v>
                </c:pt>
                <c:pt idx="1">
                  <c:v>1.385</c:v>
                </c:pt>
                <c:pt idx="2">
                  <c:v>1.3879999999999999</c:v>
                </c:pt>
                <c:pt idx="3">
                  <c:v>1.3640000000000001</c:v>
                </c:pt>
                <c:pt idx="7">
                  <c:v>1.379</c:v>
                </c:pt>
                <c:pt idx="8">
                  <c:v>1.3520000000000001</c:v>
                </c:pt>
                <c:pt idx="9">
                  <c:v>1.3240000000000001</c:v>
                </c:pt>
                <c:pt idx="10">
                  <c:v>1.3460000000000001</c:v>
                </c:pt>
                <c:pt idx="11">
                  <c:v>1.27</c:v>
                </c:pt>
                <c:pt idx="12">
                  <c:v>1.3</c:v>
                </c:pt>
                <c:pt idx="13">
                  <c:v>1.272</c:v>
                </c:pt>
                <c:pt idx="17">
                  <c:v>1.36</c:v>
                </c:pt>
                <c:pt idx="18">
                  <c:v>1.2869999999999999</c:v>
                </c:pt>
                <c:pt idx="19">
                  <c:v>1.2390000000000001</c:v>
                </c:pt>
                <c:pt idx="20">
                  <c:v>1.125</c:v>
                </c:pt>
                <c:pt idx="21">
                  <c:v>1.1850000000000001</c:v>
                </c:pt>
                <c:pt idx="22">
                  <c:v>1.2669999999999999</c:v>
                </c:pt>
                <c:pt idx="26">
                  <c:v>1.34</c:v>
                </c:pt>
                <c:pt idx="27">
                  <c:v>1.3169999999999999</c:v>
                </c:pt>
                <c:pt idx="28">
                  <c:v>1.238</c:v>
                </c:pt>
                <c:pt idx="29">
                  <c:v>1.34</c:v>
                </c:pt>
                <c:pt idx="30">
                  <c:v>1.26</c:v>
                </c:pt>
                <c:pt idx="31">
                  <c:v>1.3149999999999999</c:v>
                </c:pt>
                <c:pt idx="35">
                  <c:v>1.3759999999999999</c:v>
                </c:pt>
                <c:pt idx="36">
                  <c:v>1.2450000000000001</c:v>
                </c:pt>
                <c:pt idx="37">
                  <c:v>1.248</c:v>
                </c:pt>
                <c:pt idx="38">
                  <c:v>1.349</c:v>
                </c:pt>
                <c:pt idx="42">
                  <c:v>1.2330000000000001</c:v>
                </c:pt>
                <c:pt idx="43">
                  <c:v>1.3169999999999999</c:v>
                </c:pt>
                <c:pt idx="44">
                  <c:v>1.161</c:v>
                </c:pt>
                <c:pt idx="45">
                  <c:v>1.2529999999999999</c:v>
                </c:pt>
                <c:pt idx="46">
                  <c:v>1.1519999999999999</c:v>
                </c:pt>
                <c:pt idx="50">
                  <c:v>1.4119999999999999</c:v>
                </c:pt>
                <c:pt idx="51">
                  <c:v>1.33</c:v>
                </c:pt>
                <c:pt idx="52">
                  <c:v>1.51</c:v>
                </c:pt>
                <c:pt idx="53">
                  <c:v>1.4379999999999999</c:v>
                </c:pt>
                <c:pt idx="54">
                  <c:v>1.403</c:v>
                </c:pt>
                <c:pt idx="55">
                  <c:v>1.5129999999999999</c:v>
                </c:pt>
                <c:pt idx="60">
                  <c:v>1.5089999999999999</c:v>
                </c:pt>
                <c:pt idx="61">
                  <c:v>1.375</c:v>
                </c:pt>
                <c:pt idx="62">
                  <c:v>1.345</c:v>
                </c:pt>
                <c:pt idx="63">
                  <c:v>1.5089999999999999</c:v>
                </c:pt>
                <c:pt idx="67">
                  <c:v>1.341</c:v>
                </c:pt>
                <c:pt idx="68">
                  <c:v>1.373</c:v>
                </c:pt>
                <c:pt idx="69">
                  <c:v>1.369</c:v>
                </c:pt>
                <c:pt idx="70">
                  <c:v>1.2829999999999999</c:v>
                </c:pt>
                <c:pt idx="74">
                  <c:v>1.5149999999999999</c:v>
                </c:pt>
                <c:pt idx="75">
                  <c:v>1.44</c:v>
                </c:pt>
                <c:pt idx="76">
                  <c:v>1.4470000000000001</c:v>
                </c:pt>
                <c:pt idx="77">
                  <c:v>1.33</c:v>
                </c:pt>
                <c:pt idx="78">
                  <c:v>1.341</c:v>
                </c:pt>
                <c:pt idx="82">
                  <c:v>1.3260000000000001</c:v>
                </c:pt>
                <c:pt idx="83">
                  <c:v>1.3149999999999999</c:v>
                </c:pt>
                <c:pt idx="84">
                  <c:v>1.3069999999999999</c:v>
                </c:pt>
                <c:pt idx="85">
                  <c:v>1.3220000000000001</c:v>
                </c:pt>
                <c:pt idx="86">
                  <c:v>1.2929999999999999</c:v>
                </c:pt>
                <c:pt idx="90">
                  <c:v>1.381</c:v>
                </c:pt>
                <c:pt idx="91">
                  <c:v>1.3089999999999999</c:v>
                </c:pt>
                <c:pt idx="92">
                  <c:v>1.2669999999999999</c:v>
                </c:pt>
                <c:pt idx="93">
                  <c:v>1.29</c:v>
                </c:pt>
                <c:pt idx="94">
                  <c:v>1.24</c:v>
                </c:pt>
                <c:pt idx="98">
                  <c:v>1.397</c:v>
                </c:pt>
                <c:pt idx="99">
                  <c:v>1.371</c:v>
                </c:pt>
                <c:pt idx="100">
                  <c:v>1.3580000000000001</c:v>
                </c:pt>
                <c:pt idx="101">
                  <c:v>1.2769999999999999</c:v>
                </c:pt>
                <c:pt idx="105">
                  <c:v>1.254</c:v>
                </c:pt>
                <c:pt idx="106">
                  <c:v>1.2829999999999999</c:v>
                </c:pt>
                <c:pt idx="107">
                  <c:v>1.2010000000000001</c:v>
                </c:pt>
                <c:pt idx="111">
                  <c:v>1.1970000000000001</c:v>
                </c:pt>
                <c:pt idx="112">
                  <c:v>1.1830000000000001</c:v>
                </c:pt>
                <c:pt idx="113">
                  <c:v>1.121</c:v>
                </c:pt>
                <c:pt idx="114">
                  <c:v>1.1930000000000001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1-4061-B84F-0D32901AE27C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All!$CF$6:$CF$124</c:f>
              <c:numCache>
                <c:formatCode>General</c:formatCode>
                <c:ptCount val="119"/>
                <c:pt idx="0">
                  <c:v>2.3279999999999998</c:v>
                </c:pt>
                <c:pt idx="1">
                  <c:v>2.2400000000000002</c:v>
                </c:pt>
                <c:pt idx="2">
                  <c:v>2.206</c:v>
                </c:pt>
                <c:pt idx="3">
                  <c:v>2.1320000000000001</c:v>
                </c:pt>
                <c:pt idx="7">
                  <c:v>2.1989999999999998</c:v>
                </c:pt>
                <c:pt idx="8">
                  <c:v>2.2040000000000002</c:v>
                </c:pt>
                <c:pt idx="9">
                  <c:v>2.137</c:v>
                </c:pt>
                <c:pt idx="10">
                  <c:v>2.137</c:v>
                </c:pt>
                <c:pt idx="11">
                  <c:v>2.0630000000000002</c:v>
                </c:pt>
                <c:pt idx="12">
                  <c:v>2.081</c:v>
                </c:pt>
                <c:pt idx="13">
                  <c:v>2.0790000000000002</c:v>
                </c:pt>
                <c:pt idx="17">
                  <c:v>2.085</c:v>
                </c:pt>
                <c:pt idx="18">
                  <c:v>1.998</c:v>
                </c:pt>
                <c:pt idx="19">
                  <c:v>2.0259999999999998</c:v>
                </c:pt>
                <c:pt idx="20">
                  <c:v>1.925</c:v>
                </c:pt>
                <c:pt idx="21">
                  <c:v>1.9570000000000001</c:v>
                </c:pt>
                <c:pt idx="22">
                  <c:v>1.998</c:v>
                </c:pt>
                <c:pt idx="26">
                  <c:v>2.198</c:v>
                </c:pt>
                <c:pt idx="27">
                  <c:v>2.1739999999999999</c:v>
                </c:pt>
                <c:pt idx="28">
                  <c:v>2.097</c:v>
                </c:pt>
                <c:pt idx="29">
                  <c:v>2.1629999999999998</c:v>
                </c:pt>
                <c:pt idx="30">
                  <c:v>2.109</c:v>
                </c:pt>
                <c:pt idx="31">
                  <c:v>1.978</c:v>
                </c:pt>
                <c:pt idx="35">
                  <c:v>2.1739999999999999</c:v>
                </c:pt>
                <c:pt idx="36">
                  <c:v>2.097</c:v>
                </c:pt>
                <c:pt idx="37">
                  <c:v>2.036</c:v>
                </c:pt>
                <c:pt idx="38">
                  <c:v>1.958</c:v>
                </c:pt>
                <c:pt idx="42">
                  <c:v>2.0089999999999999</c:v>
                </c:pt>
                <c:pt idx="43">
                  <c:v>2.15</c:v>
                </c:pt>
                <c:pt idx="44">
                  <c:v>1.9910000000000001</c:v>
                </c:pt>
                <c:pt idx="45">
                  <c:v>2.0030000000000001</c:v>
                </c:pt>
                <c:pt idx="46">
                  <c:v>1.976</c:v>
                </c:pt>
                <c:pt idx="50">
                  <c:v>2.2400000000000002</c:v>
                </c:pt>
                <c:pt idx="51">
                  <c:v>2.2120000000000002</c:v>
                </c:pt>
                <c:pt idx="52">
                  <c:v>2.1779999999999999</c:v>
                </c:pt>
                <c:pt idx="53">
                  <c:v>2.2080000000000002</c:v>
                </c:pt>
                <c:pt idx="54">
                  <c:v>2.17</c:v>
                </c:pt>
                <c:pt idx="55">
                  <c:v>2.23</c:v>
                </c:pt>
                <c:pt idx="60">
                  <c:v>2.2559999999999998</c:v>
                </c:pt>
                <c:pt idx="61">
                  <c:v>2.1869999999999998</c:v>
                </c:pt>
                <c:pt idx="62">
                  <c:v>2.1989999999999998</c:v>
                </c:pt>
                <c:pt idx="63">
                  <c:v>2.2330000000000001</c:v>
                </c:pt>
                <c:pt idx="67">
                  <c:v>2.1840000000000002</c:v>
                </c:pt>
                <c:pt idx="68">
                  <c:v>2.1779999999999999</c:v>
                </c:pt>
                <c:pt idx="69">
                  <c:v>2.149</c:v>
                </c:pt>
                <c:pt idx="70">
                  <c:v>2.0859999999999999</c:v>
                </c:pt>
                <c:pt idx="74">
                  <c:v>2.2959999999999998</c:v>
                </c:pt>
                <c:pt idx="75">
                  <c:v>2.2309999999999999</c:v>
                </c:pt>
                <c:pt idx="76">
                  <c:v>2.2080000000000002</c:v>
                </c:pt>
                <c:pt idx="77">
                  <c:v>2.1</c:v>
                </c:pt>
                <c:pt idx="78">
                  <c:v>2.056</c:v>
                </c:pt>
                <c:pt idx="82">
                  <c:v>2.1829999999999998</c:v>
                </c:pt>
                <c:pt idx="83">
                  <c:v>2.133</c:v>
                </c:pt>
                <c:pt idx="84">
                  <c:v>2.1150000000000002</c:v>
                </c:pt>
                <c:pt idx="85">
                  <c:v>2.141</c:v>
                </c:pt>
                <c:pt idx="86">
                  <c:v>2.0920000000000001</c:v>
                </c:pt>
                <c:pt idx="90">
                  <c:v>2.2040000000000002</c:v>
                </c:pt>
                <c:pt idx="91">
                  <c:v>2.15</c:v>
                </c:pt>
                <c:pt idx="92">
                  <c:v>2.0619999999999998</c:v>
                </c:pt>
                <c:pt idx="93">
                  <c:v>2.141</c:v>
                </c:pt>
                <c:pt idx="94">
                  <c:v>2.11</c:v>
                </c:pt>
                <c:pt idx="98">
                  <c:v>2.1179999999999999</c:v>
                </c:pt>
                <c:pt idx="99">
                  <c:v>2.25</c:v>
                </c:pt>
                <c:pt idx="100">
                  <c:v>2.0680000000000001</c:v>
                </c:pt>
                <c:pt idx="101">
                  <c:v>2.0659999999999998</c:v>
                </c:pt>
                <c:pt idx="105">
                  <c:v>1.9950000000000001</c:v>
                </c:pt>
                <c:pt idx="106">
                  <c:v>2.0499999999999998</c:v>
                </c:pt>
                <c:pt idx="107">
                  <c:v>1.9910000000000001</c:v>
                </c:pt>
                <c:pt idx="111">
                  <c:v>1.9930000000000001</c:v>
                </c:pt>
                <c:pt idx="112">
                  <c:v>1.98</c:v>
                </c:pt>
                <c:pt idx="113">
                  <c:v>1.984</c:v>
                </c:pt>
                <c:pt idx="114">
                  <c:v>1.964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11-4061-B84F-0D32901A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17392"/>
        <c:axId val="484031536"/>
      </c:scatterChart>
      <c:valAx>
        <c:axId val="48401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1536"/>
        <c:crosses val="autoZero"/>
        <c:crossBetween val="midCat"/>
      </c:valAx>
      <c:valAx>
        <c:axId val="48403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All!$DP$6:$DP$124</c:f>
              <c:numCache>
                <c:formatCode>General</c:formatCode>
                <c:ptCount val="119"/>
                <c:pt idx="0">
                  <c:v>62.255000000000003</c:v>
                </c:pt>
                <c:pt idx="1">
                  <c:v>63.445</c:v>
                </c:pt>
                <c:pt idx="2">
                  <c:v>61.99</c:v>
                </c:pt>
                <c:pt idx="3">
                  <c:v>62.667999999999999</c:v>
                </c:pt>
                <c:pt idx="7">
                  <c:v>62.136000000000003</c:v>
                </c:pt>
                <c:pt idx="8">
                  <c:v>66.415999999999997</c:v>
                </c:pt>
                <c:pt idx="9">
                  <c:v>64.402000000000001</c:v>
                </c:pt>
                <c:pt idx="10">
                  <c:v>64.725999999999999</c:v>
                </c:pt>
                <c:pt idx="11">
                  <c:v>65.558000000000007</c:v>
                </c:pt>
                <c:pt idx="12">
                  <c:v>65.671999999999997</c:v>
                </c:pt>
                <c:pt idx="13">
                  <c:v>66.418000000000006</c:v>
                </c:pt>
                <c:pt idx="17">
                  <c:v>62.417000000000002</c:v>
                </c:pt>
                <c:pt idx="18">
                  <c:v>68.096000000000004</c:v>
                </c:pt>
                <c:pt idx="19">
                  <c:v>66.376000000000005</c:v>
                </c:pt>
                <c:pt idx="20">
                  <c:v>69.134</c:v>
                </c:pt>
                <c:pt idx="21">
                  <c:v>66.551000000000002</c:v>
                </c:pt>
                <c:pt idx="22">
                  <c:v>70.597999999999999</c:v>
                </c:pt>
                <c:pt idx="26">
                  <c:v>62.767000000000003</c:v>
                </c:pt>
                <c:pt idx="27">
                  <c:v>65.983999999999995</c:v>
                </c:pt>
                <c:pt idx="28">
                  <c:v>64.822000000000003</c:v>
                </c:pt>
                <c:pt idx="29">
                  <c:v>65.686000000000007</c:v>
                </c:pt>
                <c:pt idx="30">
                  <c:v>67.138000000000005</c:v>
                </c:pt>
                <c:pt idx="31">
                  <c:v>67.022999999999996</c:v>
                </c:pt>
                <c:pt idx="35">
                  <c:v>64.302999999999997</c:v>
                </c:pt>
                <c:pt idx="36">
                  <c:v>63.87</c:v>
                </c:pt>
                <c:pt idx="37">
                  <c:v>69.557000000000002</c:v>
                </c:pt>
                <c:pt idx="38">
                  <c:v>63.292999999999999</c:v>
                </c:pt>
                <c:pt idx="42">
                  <c:v>63.497999999999998</c:v>
                </c:pt>
                <c:pt idx="43">
                  <c:v>62.68</c:v>
                </c:pt>
                <c:pt idx="44">
                  <c:v>64.688000000000002</c:v>
                </c:pt>
                <c:pt idx="45">
                  <c:v>67.058000000000007</c:v>
                </c:pt>
                <c:pt idx="46">
                  <c:v>64.763999999999996</c:v>
                </c:pt>
                <c:pt idx="50">
                  <c:v>64.88</c:v>
                </c:pt>
                <c:pt idx="51">
                  <c:v>62.795999999999999</c:v>
                </c:pt>
                <c:pt idx="52">
                  <c:v>60.284999999999997</c:v>
                </c:pt>
                <c:pt idx="53">
                  <c:v>66.602999999999994</c:v>
                </c:pt>
                <c:pt idx="54">
                  <c:v>65.650999999999996</c:v>
                </c:pt>
                <c:pt idx="55">
                  <c:v>59.966000000000001</c:v>
                </c:pt>
                <c:pt idx="60">
                  <c:v>62.936999999999998</c:v>
                </c:pt>
                <c:pt idx="61">
                  <c:v>68.171000000000006</c:v>
                </c:pt>
                <c:pt idx="62">
                  <c:v>64.066000000000003</c:v>
                </c:pt>
                <c:pt idx="63">
                  <c:v>67.884</c:v>
                </c:pt>
                <c:pt idx="67">
                  <c:v>63.279000000000003</c:v>
                </c:pt>
                <c:pt idx="68">
                  <c:v>64.42</c:v>
                </c:pt>
                <c:pt idx="69">
                  <c:v>65.481999999999999</c:v>
                </c:pt>
                <c:pt idx="70">
                  <c:v>66.048000000000002</c:v>
                </c:pt>
                <c:pt idx="74">
                  <c:v>60.348999999999997</c:v>
                </c:pt>
                <c:pt idx="75">
                  <c:v>64.548000000000002</c:v>
                </c:pt>
                <c:pt idx="76">
                  <c:v>66.626000000000005</c:v>
                </c:pt>
                <c:pt idx="77">
                  <c:v>65.945999999999998</c:v>
                </c:pt>
                <c:pt idx="78">
                  <c:v>67.825999999999993</c:v>
                </c:pt>
                <c:pt idx="82">
                  <c:v>65.323999999999998</c:v>
                </c:pt>
                <c:pt idx="83">
                  <c:v>65.436000000000007</c:v>
                </c:pt>
                <c:pt idx="84">
                  <c:v>67.932000000000002</c:v>
                </c:pt>
                <c:pt idx="85">
                  <c:v>68.281000000000006</c:v>
                </c:pt>
                <c:pt idx="86">
                  <c:v>68.653000000000006</c:v>
                </c:pt>
                <c:pt idx="90">
                  <c:v>63.33</c:v>
                </c:pt>
                <c:pt idx="91">
                  <c:v>65.257000000000005</c:v>
                </c:pt>
                <c:pt idx="92">
                  <c:v>62.857999999999997</c:v>
                </c:pt>
                <c:pt idx="93">
                  <c:v>64.346999999999994</c:v>
                </c:pt>
                <c:pt idx="94">
                  <c:v>63.162999999999997</c:v>
                </c:pt>
                <c:pt idx="98">
                  <c:v>65.486000000000004</c:v>
                </c:pt>
                <c:pt idx="99">
                  <c:v>64.882999999999996</c:v>
                </c:pt>
                <c:pt idx="100">
                  <c:v>67.796000000000006</c:v>
                </c:pt>
                <c:pt idx="101">
                  <c:v>66.903999999999996</c:v>
                </c:pt>
                <c:pt idx="105">
                  <c:v>65.909000000000006</c:v>
                </c:pt>
                <c:pt idx="106">
                  <c:v>65.912000000000006</c:v>
                </c:pt>
                <c:pt idx="107">
                  <c:v>64.971999999999994</c:v>
                </c:pt>
                <c:pt idx="111">
                  <c:v>65.254000000000005</c:v>
                </c:pt>
                <c:pt idx="112">
                  <c:v>66.343000000000004</c:v>
                </c:pt>
                <c:pt idx="113">
                  <c:v>68.364999999999995</c:v>
                </c:pt>
                <c:pt idx="114">
                  <c:v>66.771000000000001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2-4C69-AAE3-A72E4FC5D2DE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All!$DQ$6:$DQ$124</c:f>
              <c:numCache>
                <c:formatCode>General</c:formatCode>
                <c:ptCount val="119"/>
                <c:pt idx="0">
                  <c:v>60.051000000000002</c:v>
                </c:pt>
                <c:pt idx="1">
                  <c:v>60.402999999999999</c:v>
                </c:pt>
                <c:pt idx="2">
                  <c:v>58.801000000000002</c:v>
                </c:pt>
                <c:pt idx="3">
                  <c:v>61.203000000000003</c:v>
                </c:pt>
                <c:pt idx="7">
                  <c:v>63.62</c:v>
                </c:pt>
                <c:pt idx="8">
                  <c:v>57.921999999999997</c:v>
                </c:pt>
                <c:pt idx="9">
                  <c:v>58.131999999999998</c:v>
                </c:pt>
                <c:pt idx="10">
                  <c:v>58.968000000000004</c:v>
                </c:pt>
                <c:pt idx="11">
                  <c:v>60.768000000000001</c:v>
                </c:pt>
                <c:pt idx="12">
                  <c:v>59.350999999999999</c:v>
                </c:pt>
                <c:pt idx="13">
                  <c:v>60.825000000000003</c:v>
                </c:pt>
                <c:pt idx="17">
                  <c:v>62.317999999999998</c:v>
                </c:pt>
                <c:pt idx="18">
                  <c:v>62.218000000000004</c:v>
                </c:pt>
                <c:pt idx="19">
                  <c:v>60.494</c:v>
                </c:pt>
                <c:pt idx="20">
                  <c:v>62.164000000000001</c:v>
                </c:pt>
                <c:pt idx="21">
                  <c:v>61.758000000000003</c:v>
                </c:pt>
                <c:pt idx="22">
                  <c:v>58.88</c:v>
                </c:pt>
                <c:pt idx="26">
                  <c:v>59.706000000000003</c:v>
                </c:pt>
                <c:pt idx="27">
                  <c:v>59.439</c:v>
                </c:pt>
                <c:pt idx="28">
                  <c:v>57.115000000000002</c:v>
                </c:pt>
                <c:pt idx="29">
                  <c:v>59.076000000000001</c:v>
                </c:pt>
                <c:pt idx="30">
                  <c:v>56.906999999999996</c:v>
                </c:pt>
                <c:pt idx="31">
                  <c:v>63.991999999999997</c:v>
                </c:pt>
                <c:pt idx="35">
                  <c:v>61.164999999999999</c:v>
                </c:pt>
                <c:pt idx="36">
                  <c:v>62.222999999999999</c:v>
                </c:pt>
                <c:pt idx="37">
                  <c:v>61.030999999999999</c:v>
                </c:pt>
                <c:pt idx="38">
                  <c:v>60.378</c:v>
                </c:pt>
                <c:pt idx="42">
                  <c:v>64.287000000000006</c:v>
                </c:pt>
                <c:pt idx="43">
                  <c:v>60.649000000000001</c:v>
                </c:pt>
                <c:pt idx="44">
                  <c:v>61.585000000000001</c:v>
                </c:pt>
                <c:pt idx="45">
                  <c:v>63.308</c:v>
                </c:pt>
                <c:pt idx="46">
                  <c:v>62.119</c:v>
                </c:pt>
                <c:pt idx="50">
                  <c:v>60.57</c:v>
                </c:pt>
                <c:pt idx="51">
                  <c:v>59.116</c:v>
                </c:pt>
                <c:pt idx="52">
                  <c:v>59.768999999999998</c:v>
                </c:pt>
                <c:pt idx="53">
                  <c:v>61.432000000000002</c:v>
                </c:pt>
                <c:pt idx="54">
                  <c:v>58.387</c:v>
                </c:pt>
                <c:pt idx="55">
                  <c:v>60.966999999999999</c:v>
                </c:pt>
                <c:pt idx="60">
                  <c:v>58.381</c:v>
                </c:pt>
                <c:pt idx="61">
                  <c:v>58.244999999999997</c:v>
                </c:pt>
                <c:pt idx="62">
                  <c:v>59.536999999999999</c:v>
                </c:pt>
                <c:pt idx="63">
                  <c:v>56.326999999999998</c:v>
                </c:pt>
                <c:pt idx="67">
                  <c:v>60.139000000000003</c:v>
                </c:pt>
                <c:pt idx="68">
                  <c:v>60.731000000000002</c:v>
                </c:pt>
                <c:pt idx="69">
                  <c:v>61.500999999999998</c:v>
                </c:pt>
                <c:pt idx="70">
                  <c:v>61.183999999999997</c:v>
                </c:pt>
                <c:pt idx="74">
                  <c:v>62.698</c:v>
                </c:pt>
                <c:pt idx="75">
                  <c:v>61.433</c:v>
                </c:pt>
                <c:pt idx="76">
                  <c:v>61.338000000000001</c:v>
                </c:pt>
                <c:pt idx="77">
                  <c:v>59.715000000000003</c:v>
                </c:pt>
                <c:pt idx="78">
                  <c:v>62.767000000000003</c:v>
                </c:pt>
                <c:pt idx="82">
                  <c:v>60.719000000000001</c:v>
                </c:pt>
                <c:pt idx="83">
                  <c:v>60.472000000000001</c:v>
                </c:pt>
                <c:pt idx="84">
                  <c:v>60.893000000000001</c:v>
                </c:pt>
                <c:pt idx="85">
                  <c:v>59.500999999999998</c:v>
                </c:pt>
                <c:pt idx="86">
                  <c:v>61.756999999999998</c:v>
                </c:pt>
                <c:pt idx="90">
                  <c:v>59.701999999999998</c:v>
                </c:pt>
                <c:pt idx="91">
                  <c:v>62.396999999999998</c:v>
                </c:pt>
                <c:pt idx="92">
                  <c:v>61.436999999999998</c:v>
                </c:pt>
                <c:pt idx="93">
                  <c:v>62.231000000000002</c:v>
                </c:pt>
                <c:pt idx="94">
                  <c:v>61.527000000000001</c:v>
                </c:pt>
                <c:pt idx="98">
                  <c:v>59.42</c:v>
                </c:pt>
                <c:pt idx="99">
                  <c:v>59.253</c:v>
                </c:pt>
                <c:pt idx="100">
                  <c:v>58.35</c:v>
                </c:pt>
                <c:pt idx="101">
                  <c:v>61.429000000000002</c:v>
                </c:pt>
                <c:pt idx="105">
                  <c:v>60.524999999999999</c:v>
                </c:pt>
                <c:pt idx="106">
                  <c:v>58.831000000000003</c:v>
                </c:pt>
                <c:pt idx="107">
                  <c:v>56.716999999999999</c:v>
                </c:pt>
                <c:pt idx="111">
                  <c:v>58.994999999999997</c:v>
                </c:pt>
                <c:pt idx="112">
                  <c:v>59.47</c:v>
                </c:pt>
                <c:pt idx="113">
                  <c:v>58.713999999999999</c:v>
                </c:pt>
                <c:pt idx="114">
                  <c:v>61.070999999999998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2-4C69-AAE3-A72E4FC5D2DE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All!$DR$6:$DR$124</c:f>
              <c:numCache>
                <c:formatCode>General</c:formatCode>
                <c:ptCount val="119"/>
                <c:pt idx="0">
                  <c:v>50.404000000000003</c:v>
                </c:pt>
                <c:pt idx="1">
                  <c:v>52.779000000000003</c:v>
                </c:pt>
                <c:pt idx="2">
                  <c:v>53.167000000000002</c:v>
                </c:pt>
                <c:pt idx="3">
                  <c:v>53.165999999999997</c:v>
                </c:pt>
                <c:pt idx="7">
                  <c:v>53.082000000000001</c:v>
                </c:pt>
                <c:pt idx="8">
                  <c:v>53.674999999999997</c:v>
                </c:pt>
                <c:pt idx="9">
                  <c:v>54.106000000000002</c:v>
                </c:pt>
                <c:pt idx="10">
                  <c:v>52.582000000000001</c:v>
                </c:pt>
                <c:pt idx="11">
                  <c:v>53.351999999999997</c:v>
                </c:pt>
                <c:pt idx="12">
                  <c:v>53.139000000000003</c:v>
                </c:pt>
                <c:pt idx="13">
                  <c:v>54.92</c:v>
                </c:pt>
                <c:pt idx="17">
                  <c:v>51.276000000000003</c:v>
                </c:pt>
                <c:pt idx="18">
                  <c:v>52.335999999999999</c:v>
                </c:pt>
                <c:pt idx="19">
                  <c:v>54.155000000000001</c:v>
                </c:pt>
                <c:pt idx="20">
                  <c:v>56.128999999999998</c:v>
                </c:pt>
                <c:pt idx="21">
                  <c:v>53.762999999999998</c:v>
                </c:pt>
                <c:pt idx="22">
                  <c:v>52.226999999999997</c:v>
                </c:pt>
                <c:pt idx="26">
                  <c:v>53.633000000000003</c:v>
                </c:pt>
                <c:pt idx="27">
                  <c:v>53.091000000000001</c:v>
                </c:pt>
                <c:pt idx="28">
                  <c:v>52.918999999999997</c:v>
                </c:pt>
                <c:pt idx="29">
                  <c:v>53.499000000000002</c:v>
                </c:pt>
                <c:pt idx="30">
                  <c:v>53.741999999999997</c:v>
                </c:pt>
                <c:pt idx="31">
                  <c:v>51.776000000000003</c:v>
                </c:pt>
                <c:pt idx="35">
                  <c:v>53.951999999999998</c:v>
                </c:pt>
                <c:pt idx="36">
                  <c:v>54.302</c:v>
                </c:pt>
                <c:pt idx="37">
                  <c:v>54.911999999999999</c:v>
                </c:pt>
                <c:pt idx="38">
                  <c:v>50.837000000000003</c:v>
                </c:pt>
                <c:pt idx="42">
                  <c:v>54.988</c:v>
                </c:pt>
                <c:pt idx="43">
                  <c:v>53.491</c:v>
                </c:pt>
                <c:pt idx="44">
                  <c:v>54.676000000000002</c:v>
                </c:pt>
                <c:pt idx="45">
                  <c:v>53.734999999999999</c:v>
                </c:pt>
                <c:pt idx="46">
                  <c:v>54.996000000000002</c:v>
                </c:pt>
                <c:pt idx="50">
                  <c:v>53.213999999999999</c:v>
                </c:pt>
                <c:pt idx="51">
                  <c:v>54.393000000000001</c:v>
                </c:pt>
                <c:pt idx="52">
                  <c:v>49.289000000000001</c:v>
                </c:pt>
                <c:pt idx="53">
                  <c:v>54.258000000000003</c:v>
                </c:pt>
                <c:pt idx="54">
                  <c:v>52.61</c:v>
                </c:pt>
                <c:pt idx="55">
                  <c:v>53.101999999999997</c:v>
                </c:pt>
                <c:pt idx="60">
                  <c:v>53.048000000000002</c:v>
                </c:pt>
                <c:pt idx="61">
                  <c:v>53.78</c:v>
                </c:pt>
                <c:pt idx="62">
                  <c:v>54.149000000000001</c:v>
                </c:pt>
                <c:pt idx="63">
                  <c:v>53.588000000000001</c:v>
                </c:pt>
                <c:pt idx="67">
                  <c:v>50.951999999999998</c:v>
                </c:pt>
                <c:pt idx="68">
                  <c:v>54.09</c:v>
                </c:pt>
                <c:pt idx="69">
                  <c:v>55.179000000000002</c:v>
                </c:pt>
                <c:pt idx="70">
                  <c:v>54.466000000000001</c:v>
                </c:pt>
                <c:pt idx="74">
                  <c:v>53.167000000000002</c:v>
                </c:pt>
                <c:pt idx="75">
                  <c:v>54.655000000000001</c:v>
                </c:pt>
                <c:pt idx="76">
                  <c:v>54.741</c:v>
                </c:pt>
                <c:pt idx="77">
                  <c:v>54.274000000000001</c:v>
                </c:pt>
                <c:pt idx="78">
                  <c:v>53.828000000000003</c:v>
                </c:pt>
                <c:pt idx="82">
                  <c:v>54.206000000000003</c:v>
                </c:pt>
                <c:pt idx="83">
                  <c:v>53.27</c:v>
                </c:pt>
                <c:pt idx="84">
                  <c:v>55.106999999999999</c:v>
                </c:pt>
                <c:pt idx="85">
                  <c:v>54.378</c:v>
                </c:pt>
                <c:pt idx="86">
                  <c:v>53.162999999999997</c:v>
                </c:pt>
                <c:pt idx="90">
                  <c:v>55.33</c:v>
                </c:pt>
                <c:pt idx="91">
                  <c:v>55.161999999999999</c:v>
                </c:pt>
                <c:pt idx="92">
                  <c:v>53.933</c:v>
                </c:pt>
                <c:pt idx="93">
                  <c:v>53.908000000000001</c:v>
                </c:pt>
                <c:pt idx="94">
                  <c:v>55.088999999999999</c:v>
                </c:pt>
                <c:pt idx="98">
                  <c:v>53.856999999999999</c:v>
                </c:pt>
                <c:pt idx="99">
                  <c:v>54.563000000000002</c:v>
                </c:pt>
                <c:pt idx="100">
                  <c:v>54.826000000000001</c:v>
                </c:pt>
                <c:pt idx="101">
                  <c:v>53.887999999999998</c:v>
                </c:pt>
                <c:pt idx="105">
                  <c:v>55.527000000000001</c:v>
                </c:pt>
                <c:pt idx="106">
                  <c:v>53.976999999999997</c:v>
                </c:pt>
                <c:pt idx="107">
                  <c:v>52.737000000000002</c:v>
                </c:pt>
                <c:pt idx="111">
                  <c:v>54.752000000000002</c:v>
                </c:pt>
                <c:pt idx="112">
                  <c:v>55.151000000000003</c:v>
                </c:pt>
                <c:pt idx="113">
                  <c:v>54.576999999999998</c:v>
                </c:pt>
                <c:pt idx="114">
                  <c:v>54.631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12-4C69-AAE3-A72E4FC5D2DE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All!$DS$6:$DS$124</c:f>
              <c:numCache>
                <c:formatCode>General</c:formatCode>
                <c:ptCount val="119"/>
                <c:pt idx="0">
                  <c:v>50.787999999999997</c:v>
                </c:pt>
                <c:pt idx="1">
                  <c:v>51.923999999999999</c:v>
                </c:pt>
                <c:pt idx="2">
                  <c:v>52.003999999999998</c:v>
                </c:pt>
                <c:pt idx="3">
                  <c:v>52.49</c:v>
                </c:pt>
                <c:pt idx="7">
                  <c:v>50.463999999999999</c:v>
                </c:pt>
                <c:pt idx="8">
                  <c:v>51.670999999999999</c:v>
                </c:pt>
                <c:pt idx="9">
                  <c:v>52.262</c:v>
                </c:pt>
                <c:pt idx="10">
                  <c:v>51.238999999999997</c:v>
                </c:pt>
                <c:pt idx="11">
                  <c:v>51.609000000000002</c:v>
                </c:pt>
                <c:pt idx="12">
                  <c:v>52.890999999999998</c:v>
                </c:pt>
                <c:pt idx="13">
                  <c:v>53.424999999999997</c:v>
                </c:pt>
                <c:pt idx="17">
                  <c:v>51.067</c:v>
                </c:pt>
                <c:pt idx="18">
                  <c:v>51.597999999999999</c:v>
                </c:pt>
                <c:pt idx="19">
                  <c:v>52.430999999999997</c:v>
                </c:pt>
                <c:pt idx="20">
                  <c:v>54.914999999999999</c:v>
                </c:pt>
                <c:pt idx="21">
                  <c:v>53.008000000000003</c:v>
                </c:pt>
                <c:pt idx="22">
                  <c:v>55.134</c:v>
                </c:pt>
                <c:pt idx="26">
                  <c:v>50.267000000000003</c:v>
                </c:pt>
                <c:pt idx="27">
                  <c:v>51.776000000000003</c:v>
                </c:pt>
                <c:pt idx="28">
                  <c:v>51.231000000000002</c:v>
                </c:pt>
                <c:pt idx="29">
                  <c:v>51.543999999999997</c:v>
                </c:pt>
                <c:pt idx="30">
                  <c:v>51.511000000000003</c:v>
                </c:pt>
                <c:pt idx="31">
                  <c:v>53.356000000000002</c:v>
                </c:pt>
                <c:pt idx="35">
                  <c:v>53.353999999999999</c:v>
                </c:pt>
                <c:pt idx="36">
                  <c:v>53.509</c:v>
                </c:pt>
                <c:pt idx="37">
                  <c:v>52.856999999999999</c:v>
                </c:pt>
                <c:pt idx="38">
                  <c:v>55.01</c:v>
                </c:pt>
                <c:pt idx="42">
                  <c:v>51.914000000000001</c:v>
                </c:pt>
                <c:pt idx="43">
                  <c:v>52.212000000000003</c:v>
                </c:pt>
                <c:pt idx="44">
                  <c:v>52.856000000000002</c:v>
                </c:pt>
                <c:pt idx="45">
                  <c:v>53.28</c:v>
                </c:pt>
                <c:pt idx="46">
                  <c:v>54.252000000000002</c:v>
                </c:pt>
                <c:pt idx="50">
                  <c:v>48.881</c:v>
                </c:pt>
                <c:pt idx="51">
                  <c:v>50.670999999999999</c:v>
                </c:pt>
                <c:pt idx="52">
                  <c:v>49.445999999999998</c:v>
                </c:pt>
                <c:pt idx="53">
                  <c:v>51.356000000000002</c:v>
                </c:pt>
                <c:pt idx="54">
                  <c:v>51.476999999999997</c:v>
                </c:pt>
                <c:pt idx="55">
                  <c:v>51.719000000000001</c:v>
                </c:pt>
                <c:pt idx="60">
                  <c:v>50.862000000000002</c:v>
                </c:pt>
                <c:pt idx="61">
                  <c:v>51.113</c:v>
                </c:pt>
                <c:pt idx="62">
                  <c:v>51.962000000000003</c:v>
                </c:pt>
                <c:pt idx="63">
                  <c:v>52.481000000000002</c:v>
                </c:pt>
                <c:pt idx="67">
                  <c:v>49.823</c:v>
                </c:pt>
                <c:pt idx="68">
                  <c:v>52.039000000000001</c:v>
                </c:pt>
                <c:pt idx="69">
                  <c:v>52.686</c:v>
                </c:pt>
                <c:pt idx="70">
                  <c:v>52.421999999999997</c:v>
                </c:pt>
                <c:pt idx="74">
                  <c:v>50.097000000000001</c:v>
                </c:pt>
                <c:pt idx="75">
                  <c:v>53.037999999999997</c:v>
                </c:pt>
                <c:pt idx="76">
                  <c:v>52.817</c:v>
                </c:pt>
                <c:pt idx="77">
                  <c:v>52.204000000000001</c:v>
                </c:pt>
                <c:pt idx="78">
                  <c:v>53.088999999999999</c:v>
                </c:pt>
                <c:pt idx="82">
                  <c:v>51.322000000000003</c:v>
                </c:pt>
                <c:pt idx="83">
                  <c:v>51.088999999999999</c:v>
                </c:pt>
                <c:pt idx="84">
                  <c:v>52.38</c:v>
                </c:pt>
                <c:pt idx="85">
                  <c:v>53.454000000000001</c:v>
                </c:pt>
                <c:pt idx="86">
                  <c:v>53.389000000000003</c:v>
                </c:pt>
                <c:pt idx="90">
                  <c:v>52.33</c:v>
                </c:pt>
                <c:pt idx="91">
                  <c:v>52.654000000000003</c:v>
                </c:pt>
                <c:pt idx="92">
                  <c:v>52.085999999999999</c:v>
                </c:pt>
                <c:pt idx="93">
                  <c:v>51.756</c:v>
                </c:pt>
                <c:pt idx="94">
                  <c:v>52.372</c:v>
                </c:pt>
                <c:pt idx="98">
                  <c:v>49.819000000000003</c:v>
                </c:pt>
                <c:pt idx="99">
                  <c:v>50.368000000000002</c:v>
                </c:pt>
                <c:pt idx="100">
                  <c:v>50.595999999999997</c:v>
                </c:pt>
                <c:pt idx="101">
                  <c:v>50.424999999999997</c:v>
                </c:pt>
                <c:pt idx="105">
                  <c:v>51.17</c:v>
                </c:pt>
                <c:pt idx="106">
                  <c:v>49.771000000000001</c:v>
                </c:pt>
                <c:pt idx="107">
                  <c:v>50.621000000000002</c:v>
                </c:pt>
                <c:pt idx="111">
                  <c:v>49.886000000000003</c:v>
                </c:pt>
                <c:pt idx="112">
                  <c:v>51.29</c:v>
                </c:pt>
                <c:pt idx="113">
                  <c:v>51.191000000000003</c:v>
                </c:pt>
                <c:pt idx="114">
                  <c:v>52.253999999999998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12-4C69-AAE3-A72E4FC5D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9904"/>
        <c:axId val="484011984"/>
      </c:scatterChart>
      <c:valAx>
        <c:axId val="48400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1984"/>
        <c:crosses val="autoZero"/>
        <c:crossBetween val="midCat"/>
      </c:valAx>
      <c:valAx>
        <c:axId val="484011984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All!$DL$6:$DL$124</c:f>
              <c:numCache>
                <c:formatCode>General</c:formatCode>
                <c:ptCount val="119"/>
                <c:pt idx="0">
                  <c:v>0.41399999999999998</c:v>
                </c:pt>
                <c:pt idx="1">
                  <c:v>0.41099999999999998</c:v>
                </c:pt>
                <c:pt idx="2">
                  <c:v>0.41299999999999998</c:v>
                </c:pt>
                <c:pt idx="3">
                  <c:v>0.41299999999999998</c:v>
                </c:pt>
                <c:pt idx="7">
                  <c:v>0.41099999999999998</c:v>
                </c:pt>
                <c:pt idx="8">
                  <c:v>0.40799999999999997</c:v>
                </c:pt>
                <c:pt idx="9">
                  <c:v>0.40500000000000003</c:v>
                </c:pt>
                <c:pt idx="10">
                  <c:v>0.40799999999999997</c:v>
                </c:pt>
                <c:pt idx="11">
                  <c:v>0.41399999999999998</c:v>
                </c:pt>
                <c:pt idx="12">
                  <c:v>0.40699999999999997</c:v>
                </c:pt>
                <c:pt idx="13">
                  <c:v>0.40799999999999997</c:v>
                </c:pt>
                <c:pt idx="17">
                  <c:v>0.41699999999999998</c:v>
                </c:pt>
                <c:pt idx="18">
                  <c:v>0.40600000000000003</c:v>
                </c:pt>
                <c:pt idx="19">
                  <c:v>0.39900000000000002</c:v>
                </c:pt>
                <c:pt idx="20">
                  <c:v>0.39700000000000002</c:v>
                </c:pt>
                <c:pt idx="21">
                  <c:v>0.4</c:v>
                </c:pt>
                <c:pt idx="22">
                  <c:v>0.40600000000000003</c:v>
                </c:pt>
                <c:pt idx="26">
                  <c:v>0.41</c:v>
                </c:pt>
                <c:pt idx="27">
                  <c:v>0.39700000000000002</c:v>
                </c:pt>
                <c:pt idx="28">
                  <c:v>0.40799999999999997</c:v>
                </c:pt>
                <c:pt idx="29">
                  <c:v>0.40600000000000003</c:v>
                </c:pt>
                <c:pt idx="30">
                  <c:v>0.40500000000000003</c:v>
                </c:pt>
                <c:pt idx="31">
                  <c:v>0.41299999999999998</c:v>
                </c:pt>
                <c:pt idx="35">
                  <c:v>0.40799999999999997</c:v>
                </c:pt>
                <c:pt idx="36">
                  <c:v>0.40600000000000003</c:v>
                </c:pt>
                <c:pt idx="37">
                  <c:v>0.40500000000000003</c:v>
                </c:pt>
                <c:pt idx="38">
                  <c:v>0.40799999999999997</c:v>
                </c:pt>
                <c:pt idx="42">
                  <c:v>0.40899999999999997</c:v>
                </c:pt>
                <c:pt idx="43">
                  <c:v>0.40200000000000002</c:v>
                </c:pt>
                <c:pt idx="44">
                  <c:v>0.39900000000000002</c:v>
                </c:pt>
                <c:pt idx="45">
                  <c:v>0.40300000000000002</c:v>
                </c:pt>
                <c:pt idx="46">
                  <c:v>0.39500000000000002</c:v>
                </c:pt>
                <c:pt idx="50">
                  <c:v>0.41599999999999998</c:v>
                </c:pt>
                <c:pt idx="51">
                  <c:v>0.41399999999999998</c:v>
                </c:pt>
                <c:pt idx="52">
                  <c:v>0.42</c:v>
                </c:pt>
                <c:pt idx="53">
                  <c:v>0.41299999999999998</c:v>
                </c:pt>
                <c:pt idx="54">
                  <c:v>0.42</c:v>
                </c:pt>
                <c:pt idx="55">
                  <c:v>0.42099999999999999</c:v>
                </c:pt>
                <c:pt idx="60">
                  <c:v>0.41899999999999998</c:v>
                </c:pt>
                <c:pt idx="61">
                  <c:v>0.41699999999999998</c:v>
                </c:pt>
                <c:pt idx="62">
                  <c:v>0.39800000000000002</c:v>
                </c:pt>
                <c:pt idx="63">
                  <c:v>0.34899999999999998</c:v>
                </c:pt>
                <c:pt idx="67">
                  <c:v>0.40799999999999997</c:v>
                </c:pt>
                <c:pt idx="68">
                  <c:v>0.40300000000000002</c:v>
                </c:pt>
                <c:pt idx="69">
                  <c:v>0.40100000000000002</c:v>
                </c:pt>
                <c:pt idx="70">
                  <c:v>0.40799999999999997</c:v>
                </c:pt>
                <c:pt idx="74">
                  <c:v>0.42</c:v>
                </c:pt>
                <c:pt idx="75">
                  <c:v>0.42</c:v>
                </c:pt>
                <c:pt idx="76">
                  <c:v>0.41199999999999998</c:v>
                </c:pt>
                <c:pt idx="77">
                  <c:v>0.41799999999999998</c:v>
                </c:pt>
                <c:pt idx="78">
                  <c:v>0.41399999999999998</c:v>
                </c:pt>
                <c:pt idx="82">
                  <c:v>0.41499999999999998</c:v>
                </c:pt>
                <c:pt idx="83">
                  <c:v>0.41499999999999998</c:v>
                </c:pt>
                <c:pt idx="84">
                  <c:v>0.41199999999999998</c:v>
                </c:pt>
                <c:pt idx="85">
                  <c:v>0.41299999999999998</c:v>
                </c:pt>
                <c:pt idx="86">
                  <c:v>0.40400000000000003</c:v>
                </c:pt>
                <c:pt idx="90">
                  <c:v>0.41099999999999998</c:v>
                </c:pt>
                <c:pt idx="91">
                  <c:v>0.39500000000000002</c:v>
                </c:pt>
                <c:pt idx="92">
                  <c:v>0.41</c:v>
                </c:pt>
                <c:pt idx="93">
                  <c:v>0.41</c:v>
                </c:pt>
                <c:pt idx="94">
                  <c:v>0.40799999999999997</c:v>
                </c:pt>
                <c:pt idx="98">
                  <c:v>0.41799999999999998</c:v>
                </c:pt>
                <c:pt idx="99">
                  <c:v>0.41499999999999998</c:v>
                </c:pt>
                <c:pt idx="100">
                  <c:v>0.41699999999999998</c:v>
                </c:pt>
                <c:pt idx="101">
                  <c:v>0.41599999999999998</c:v>
                </c:pt>
                <c:pt idx="105">
                  <c:v>0.40799999999999997</c:v>
                </c:pt>
                <c:pt idx="106">
                  <c:v>0.40600000000000003</c:v>
                </c:pt>
                <c:pt idx="107">
                  <c:v>0.40699999999999997</c:v>
                </c:pt>
                <c:pt idx="111">
                  <c:v>0.39500000000000002</c:v>
                </c:pt>
                <c:pt idx="112">
                  <c:v>0.40400000000000003</c:v>
                </c:pt>
                <c:pt idx="113">
                  <c:v>0.40400000000000003</c:v>
                </c:pt>
                <c:pt idx="114">
                  <c:v>0.40699999999999997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C-4511-AA42-A670D0F5801F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All!$DM$6:$DM$124</c:f>
              <c:numCache>
                <c:formatCode>General</c:formatCode>
                <c:ptCount val="119"/>
                <c:pt idx="0">
                  <c:v>0.54600000000000004</c:v>
                </c:pt>
                <c:pt idx="1">
                  <c:v>0.46400000000000002</c:v>
                </c:pt>
                <c:pt idx="2">
                  <c:v>0.436</c:v>
                </c:pt>
                <c:pt idx="3">
                  <c:v>0.441</c:v>
                </c:pt>
                <c:pt idx="7">
                  <c:v>0.52200000000000002</c:v>
                </c:pt>
                <c:pt idx="8">
                  <c:v>0.45900000000000002</c:v>
                </c:pt>
                <c:pt idx="9">
                  <c:v>0.46300000000000002</c:v>
                </c:pt>
                <c:pt idx="10">
                  <c:v>0.45900000000000002</c:v>
                </c:pt>
                <c:pt idx="11">
                  <c:v>0.53100000000000003</c:v>
                </c:pt>
                <c:pt idx="12">
                  <c:v>0.44700000000000001</c:v>
                </c:pt>
                <c:pt idx="13">
                  <c:v>0.54100000000000004</c:v>
                </c:pt>
                <c:pt idx="17">
                  <c:v>0.54100000000000004</c:v>
                </c:pt>
                <c:pt idx="18">
                  <c:v>0.47699999999999998</c:v>
                </c:pt>
                <c:pt idx="19">
                  <c:v>0.52300000000000002</c:v>
                </c:pt>
                <c:pt idx="20">
                  <c:v>0.91700000000000004</c:v>
                </c:pt>
                <c:pt idx="21">
                  <c:v>0.42499999999999999</c:v>
                </c:pt>
                <c:pt idx="22">
                  <c:v>0.46600000000000003</c:v>
                </c:pt>
                <c:pt idx="26">
                  <c:v>0.50800000000000001</c:v>
                </c:pt>
                <c:pt idx="27">
                  <c:v>0.438</c:v>
                </c:pt>
                <c:pt idx="28">
                  <c:v>0.45400000000000001</c:v>
                </c:pt>
                <c:pt idx="29">
                  <c:v>0.48199999999999998</c:v>
                </c:pt>
                <c:pt idx="30">
                  <c:v>0.40600000000000003</c:v>
                </c:pt>
                <c:pt idx="31">
                  <c:v>0.53900000000000003</c:v>
                </c:pt>
                <c:pt idx="35">
                  <c:v>0.48299999999999998</c:v>
                </c:pt>
                <c:pt idx="36">
                  <c:v>-0.01</c:v>
                </c:pt>
                <c:pt idx="37">
                  <c:v>0.503</c:v>
                </c:pt>
                <c:pt idx="38">
                  <c:v>0.80200000000000005</c:v>
                </c:pt>
                <c:pt idx="42">
                  <c:v>0.51600000000000001</c:v>
                </c:pt>
                <c:pt idx="43">
                  <c:v>0.69</c:v>
                </c:pt>
                <c:pt idx="44">
                  <c:v>0.45200000000000001</c:v>
                </c:pt>
                <c:pt idx="45">
                  <c:v>-3.8029999999999999</c:v>
                </c:pt>
                <c:pt idx="46">
                  <c:v>0.46</c:v>
                </c:pt>
                <c:pt idx="50">
                  <c:v>0.49199999999999999</c:v>
                </c:pt>
                <c:pt idx="51">
                  <c:v>0.46800000000000003</c:v>
                </c:pt>
                <c:pt idx="52">
                  <c:v>0.52900000000000003</c:v>
                </c:pt>
                <c:pt idx="53">
                  <c:v>0.44600000000000001</c:v>
                </c:pt>
                <c:pt idx="54">
                  <c:v>0.47499999999999998</c:v>
                </c:pt>
                <c:pt idx="55">
                  <c:v>0.46600000000000003</c:v>
                </c:pt>
                <c:pt idx="60">
                  <c:v>0.51300000000000001</c:v>
                </c:pt>
                <c:pt idx="61">
                  <c:v>0.46800000000000003</c:v>
                </c:pt>
                <c:pt idx="62">
                  <c:v>0.44700000000000001</c:v>
                </c:pt>
                <c:pt idx="63">
                  <c:v>0.21</c:v>
                </c:pt>
                <c:pt idx="67">
                  <c:v>0.47399999999999998</c:v>
                </c:pt>
                <c:pt idx="68">
                  <c:v>0.442</c:v>
                </c:pt>
                <c:pt idx="69">
                  <c:v>-0.95099999999999996</c:v>
                </c:pt>
                <c:pt idx="70">
                  <c:v>0.46200000000000002</c:v>
                </c:pt>
                <c:pt idx="74">
                  <c:v>0.47399999999999998</c:v>
                </c:pt>
                <c:pt idx="75">
                  <c:v>0.57999999999999996</c:v>
                </c:pt>
                <c:pt idx="76">
                  <c:v>0.70199999999999996</c:v>
                </c:pt>
                <c:pt idx="77">
                  <c:v>0.435</c:v>
                </c:pt>
                <c:pt idx="78">
                  <c:v>0.35899999999999999</c:v>
                </c:pt>
                <c:pt idx="82">
                  <c:v>0.504</c:v>
                </c:pt>
                <c:pt idx="83">
                  <c:v>0.46300000000000002</c:v>
                </c:pt>
                <c:pt idx="84">
                  <c:v>0.48299999999999998</c:v>
                </c:pt>
                <c:pt idx="85">
                  <c:v>0.42799999999999999</c:v>
                </c:pt>
                <c:pt idx="86">
                  <c:v>0.45800000000000002</c:v>
                </c:pt>
                <c:pt idx="90">
                  <c:v>0.50600000000000001</c:v>
                </c:pt>
                <c:pt idx="91">
                  <c:v>0.38500000000000001</c:v>
                </c:pt>
                <c:pt idx="92">
                  <c:v>0.39400000000000002</c:v>
                </c:pt>
                <c:pt idx="93">
                  <c:v>0.621</c:v>
                </c:pt>
                <c:pt idx="94">
                  <c:v>0.48799999999999999</c:v>
                </c:pt>
                <c:pt idx="98">
                  <c:v>0.47699999999999998</c:v>
                </c:pt>
                <c:pt idx="99">
                  <c:v>0.51100000000000001</c:v>
                </c:pt>
                <c:pt idx="100">
                  <c:v>0.16900000000000001</c:v>
                </c:pt>
                <c:pt idx="101">
                  <c:v>6.0999999999999999E-2</c:v>
                </c:pt>
                <c:pt idx="105">
                  <c:v>0.91300000000000003</c:v>
                </c:pt>
                <c:pt idx="106">
                  <c:v>0.95899999999999996</c:v>
                </c:pt>
                <c:pt idx="107">
                  <c:v>5.7000000000000002E-2</c:v>
                </c:pt>
                <c:pt idx="111">
                  <c:v>0.504</c:v>
                </c:pt>
                <c:pt idx="112">
                  <c:v>0.47499999999999998</c:v>
                </c:pt>
                <c:pt idx="113">
                  <c:v>0.432</c:v>
                </c:pt>
                <c:pt idx="114">
                  <c:v>0.53400000000000003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5C-4511-AA42-A670D0F5801F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All!$DN$6:$DN$124</c:f>
              <c:numCache>
                <c:formatCode>General</c:formatCode>
                <c:ptCount val="119"/>
                <c:pt idx="0">
                  <c:v>0.156</c:v>
                </c:pt>
                <c:pt idx="1">
                  <c:v>0.432</c:v>
                </c:pt>
                <c:pt idx="2">
                  <c:v>0.29899999999999999</c:v>
                </c:pt>
                <c:pt idx="3">
                  <c:v>0.434</c:v>
                </c:pt>
                <c:pt idx="7">
                  <c:v>0.42399999999999999</c:v>
                </c:pt>
                <c:pt idx="8">
                  <c:v>0.39600000000000002</c:v>
                </c:pt>
                <c:pt idx="9">
                  <c:v>0.439</c:v>
                </c:pt>
                <c:pt idx="10">
                  <c:v>0.46300000000000002</c:v>
                </c:pt>
                <c:pt idx="11">
                  <c:v>0.44600000000000001</c:v>
                </c:pt>
                <c:pt idx="12">
                  <c:v>0.373</c:v>
                </c:pt>
                <c:pt idx="13">
                  <c:v>1.0309999999999999</c:v>
                </c:pt>
                <c:pt idx="17">
                  <c:v>-0.06</c:v>
                </c:pt>
                <c:pt idx="18">
                  <c:v>0.35799999999999998</c:v>
                </c:pt>
                <c:pt idx="19">
                  <c:v>1.028</c:v>
                </c:pt>
                <c:pt idx="20">
                  <c:v>4.8659999999999997</c:v>
                </c:pt>
                <c:pt idx="21">
                  <c:v>-2E-3</c:v>
                </c:pt>
                <c:pt idx="22">
                  <c:v>0.36799999999999999</c:v>
                </c:pt>
                <c:pt idx="26">
                  <c:v>0.39400000000000002</c:v>
                </c:pt>
                <c:pt idx="27">
                  <c:v>0.36199999999999999</c:v>
                </c:pt>
                <c:pt idx="28">
                  <c:v>0.51400000000000001</c:v>
                </c:pt>
                <c:pt idx="29">
                  <c:v>0.50700000000000001</c:v>
                </c:pt>
                <c:pt idx="30">
                  <c:v>0.219</c:v>
                </c:pt>
                <c:pt idx="31">
                  <c:v>0.378</c:v>
                </c:pt>
                <c:pt idx="35">
                  <c:v>0.34799999999999998</c:v>
                </c:pt>
                <c:pt idx="36">
                  <c:v>-2.4929999999999999</c:v>
                </c:pt>
                <c:pt idx="37">
                  <c:v>0.63500000000000001</c:v>
                </c:pt>
                <c:pt idx="38">
                  <c:v>0.41499999999999998</c:v>
                </c:pt>
                <c:pt idx="42">
                  <c:v>0.70499999999999996</c:v>
                </c:pt>
                <c:pt idx="43">
                  <c:v>0.38700000000000001</c:v>
                </c:pt>
                <c:pt idx="44">
                  <c:v>0.86799999999999999</c:v>
                </c:pt>
                <c:pt idx="45">
                  <c:v>-9.8000000000000007</c:v>
                </c:pt>
                <c:pt idx="46">
                  <c:v>0.432</c:v>
                </c:pt>
                <c:pt idx="50">
                  <c:v>0.49199999999999999</c:v>
                </c:pt>
                <c:pt idx="51">
                  <c:v>0.41199999999999998</c:v>
                </c:pt>
                <c:pt idx="52">
                  <c:v>0.35699999999999998</c:v>
                </c:pt>
                <c:pt idx="53">
                  <c:v>0.46200000000000002</c:v>
                </c:pt>
                <c:pt idx="54">
                  <c:v>0.17199999999999999</c:v>
                </c:pt>
                <c:pt idx="55">
                  <c:v>0.39800000000000002</c:v>
                </c:pt>
                <c:pt idx="60">
                  <c:v>0.379</c:v>
                </c:pt>
                <c:pt idx="61">
                  <c:v>0.26700000000000002</c:v>
                </c:pt>
                <c:pt idx="62">
                  <c:v>0.46800000000000003</c:v>
                </c:pt>
                <c:pt idx="63">
                  <c:v>0.42599999999999999</c:v>
                </c:pt>
                <c:pt idx="67">
                  <c:v>0.08</c:v>
                </c:pt>
                <c:pt idx="68">
                  <c:v>0.28599999999999998</c:v>
                </c:pt>
                <c:pt idx="69">
                  <c:v>-6.69</c:v>
                </c:pt>
                <c:pt idx="70">
                  <c:v>0.42599999999999999</c:v>
                </c:pt>
                <c:pt idx="74">
                  <c:v>0.49299999999999999</c:v>
                </c:pt>
                <c:pt idx="75">
                  <c:v>0.82899999999999996</c:v>
                </c:pt>
                <c:pt idx="76">
                  <c:v>0.41899999999999998</c:v>
                </c:pt>
                <c:pt idx="77">
                  <c:v>0.28299999999999997</c:v>
                </c:pt>
                <c:pt idx="78">
                  <c:v>0.375</c:v>
                </c:pt>
                <c:pt idx="82">
                  <c:v>0.51100000000000001</c:v>
                </c:pt>
                <c:pt idx="83">
                  <c:v>0.64300000000000002</c:v>
                </c:pt>
                <c:pt idx="84">
                  <c:v>0.48799999999999999</c:v>
                </c:pt>
                <c:pt idx="85">
                  <c:v>0.374</c:v>
                </c:pt>
                <c:pt idx="86">
                  <c:v>-2.528</c:v>
                </c:pt>
                <c:pt idx="90">
                  <c:v>2.5000000000000001E-2</c:v>
                </c:pt>
                <c:pt idx="91">
                  <c:v>0.109</c:v>
                </c:pt>
                <c:pt idx="92">
                  <c:v>-0.999</c:v>
                </c:pt>
                <c:pt idx="93">
                  <c:v>0.45500000000000002</c:v>
                </c:pt>
                <c:pt idx="94">
                  <c:v>0.92900000000000005</c:v>
                </c:pt>
                <c:pt idx="98">
                  <c:v>0.45700000000000002</c:v>
                </c:pt>
                <c:pt idx="99">
                  <c:v>0.65500000000000003</c:v>
                </c:pt>
                <c:pt idx="100">
                  <c:v>-2.3170000000000002</c:v>
                </c:pt>
                <c:pt idx="101">
                  <c:v>-11.182</c:v>
                </c:pt>
                <c:pt idx="105">
                  <c:v>0.47899999999999998</c:v>
                </c:pt>
                <c:pt idx="106">
                  <c:v>0.42799999999999999</c:v>
                </c:pt>
                <c:pt idx="107">
                  <c:v>0.48</c:v>
                </c:pt>
                <c:pt idx="111">
                  <c:v>0.438</c:v>
                </c:pt>
                <c:pt idx="112">
                  <c:v>0.46400000000000002</c:v>
                </c:pt>
                <c:pt idx="113">
                  <c:v>3.9E-2</c:v>
                </c:pt>
                <c:pt idx="114">
                  <c:v>0.61299999999999999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5C-4511-AA42-A670D0F5801F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All!$DO$6:$DO$124</c:f>
              <c:numCache>
                <c:formatCode>General</c:formatCode>
                <c:ptCount val="119"/>
                <c:pt idx="0">
                  <c:v>0.372</c:v>
                </c:pt>
                <c:pt idx="1">
                  <c:v>0.35099999999999998</c:v>
                </c:pt>
                <c:pt idx="2">
                  <c:v>0.31</c:v>
                </c:pt>
                <c:pt idx="3">
                  <c:v>0.26700000000000002</c:v>
                </c:pt>
                <c:pt idx="7">
                  <c:v>0.4</c:v>
                </c:pt>
                <c:pt idx="8">
                  <c:v>0.316</c:v>
                </c:pt>
                <c:pt idx="9">
                  <c:v>0.31900000000000001</c:v>
                </c:pt>
                <c:pt idx="10">
                  <c:v>0.34499999999999997</c:v>
                </c:pt>
                <c:pt idx="11">
                  <c:v>0.376</c:v>
                </c:pt>
                <c:pt idx="12">
                  <c:v>0.182</c:v>
                </c:pt>
                <c:pt idx="13">
                  <c:v>0.309</c:v>
                </c:pt>
                <c:pt idx="17">
                  <c:v>-7.0000000000000001E-3</c:v>
                </c:pt>
                <c:pt idx="18">
                  <c:v>0.32700000000000001</c:v>
                </c:pt>
                <c:pt idx="19">
                  <c:v>0.25800000000000001</c:v>
                </c:pt>
                <c:pt idx="20">
                  <c:v>0.184</c:v>
                </c:pt>
                <c:pt idx="21">
                  <c:v>-6.9000000000000006E-2</c:v>
                </c:pt>
                <c:pt idx="22">
                  <c:v>0.36399999999999999</c:v>
                </c:pt>
                <c:pt idx="26">
                  <c:v>0.36299999999999999</c:v>
                </c:pt>
                <c:pt idx="27">
                  <c:v>0.28299999999999997</c:v>
                </c:pt>
                <c:pt idx="28">
                  <c:v>0.308</c:v>
                </c:pt>
                <c:pt idx="29">
                  <c:v>0.36</c:v>
                </c:pt>
                <c:pt idx="30">
                  <c:v>0.28000000000000003</c:v>
                </c:pt>
                <c:pt idx="31">
                  <c:v>0.43</c:v>
                </c:pt>
                <c:pt idx="35">
                  <c:v>0.36</c:v>
                </c:pt>
                <c:pt idx="36">
                  <c:v>0.27100000000000002</c:v>
                </c:pt>
                <c:pt idx="37">
                  <c:v>0.26400000000000001</c:v>
                </c:pt>
                <c:pt idx="38">
                  <c:v>0.36299999999999999</c:v>
                </c:pt>
                <c:pt idx="42">
                  <c:v>0.66600000000000004</c:v>
                </c:pt>
                <c:pt idx="43">
                  <c:v>0.373</c:v>
                </c:pt>
                <c:pt idx="44">
                  <c:v>0.67400000000000004</c:v>
                </c:pt>
                <c:pt idx="45">
                  <c:v>0.28199999999999997</c:v>
                </c:pt>
                <c:pt idx="46">
                  <c:v>0.29799999999999999</c:v>
                </c:pt>
                <c:pt idx="50">
                  <c:v>0.35699999999999998</c:v>
                </c:pt>
                <c:pt idx="51">
                  <c:v>0.28100000000000003</c:v>
                </c:pt>
                <c:pt idx="52">
                  <c:v>0.40400000000000003</c:v>
                </c:pt>
                <c:pt idx="53">
                  <c:v>0.34599999999999997</c:v>
                </c:pt>
                <c:pt idx="54">
                  <c:v>0.28399999999999997</c:v>
                </c:pt>
                <c:pt idx="55">
                  <c:v>0.38400000000000001</c:v>
                </c:pt>
                <c:pt idx="60">
                  <c:v>0.39400000000000002</c:v>
                </c:pt>
                <c:pt idx="61">
                  <c:v>0.308</c:v>
                </c:pt>
                <c:pt idx="62">
                  <c:v>0.38300000000000001</c:v>
                </c:pt>
                <c:pt idx="63">
                  <c:v>0.183</c:v>
                </c:pt>
                <c:pt idx="67">
                  <c:v>0.33900000000000002</c:v>
                </c:pt>
                <c:pt idx="68">
                  <c:v>0.309</c:v>
                </c:pt>
                <c:pt idx="69">
                  <c:v>0.23100000000000001</c:v>
                </c:pt>
                <c:pt idx="70">
                  <c:v>0.26400000000000001</c:v>
                </c:pt>
                <c:pt idx="74">
                  <c:v>0.38500000000000001</c:v>
                </c:pt>
                <c:pt idx="75">
                  <c:v>1.175</c:v>
                </c:pt>
                <c:pt idx="76">
                  <c:v>0.35299999999999998</c:v>
                </c:pt>
                <c:pt idx="77">
                  <c:v>0.27100000000000002</c:v>
                </c:pt>
                <c:pt idx="78">
                  <c:v>0.19400000000000001</c:v>
                </c:pt>
                <c:pt idx="82">
                  <c:v>0.90500000000000003</c:v>
                </c:pt>
                <c:pt idx="83">
                  <c:v>0.36699999999999999</c:v>
                </c:pt>
                <c:pt idx="84">
                  <c:v>0.86699999999999999</c:v>
                </c:pt>
                <c:pt idx="85">
                  <c:v>0.41699999999999998</c:v>
                </c:pt>
                <c:pt idx="86">
                  <c:v>0.29399999999999998</c:v>
                </c:pt>
                <c:pt idx="90">
                  <c:v>0.42899999999999999</c:v>
                </c:pt>
                <c:pt idx="91">
                  <c:v>-0.30599999999999999</c:v>
                </c:pt>
                <c:pt idx="92">
                  <c:v>0.31900000000000001</c:v>
                </c:pt>
                <c:pt idx="93">
                  <c:v>0.35599999999999998</c:v>
                </c:pt>
                <c:pt idx="94">
                  <c:v>0.13500000000000001</c:v>
                </c:pt>
                <c:pt idx="98">
                  <c:v>0.35899999999999999</c:v>
                </c:pt>
                <c:pt idx="99">
                  <c:v>0.433</c:v>
                </c:pt>
                <c:pt idx="100">
                  <c:v>0.32600000000000001</c:v>
                </c:pt>
                <c:pt idx="101">
                  <c:v>0.30199999999999999</c:v>
                </c:pt>
                <c:pt idx="105">
                  <c:v>0.47199999999999998</c:v>
                </c:pt>
                <c:pt idx="106">
                  <c:v>-0.9</c:v>
                </c:pt>
                <c:pt idx="107">
                  <c:v>0.40300000000000002</c:v>
                </c:pt>
                <c:pt idx="111">
                  <c:v>0.35899999999999999</c:v>
                </c:pt>
                <c:pt idx="112">
                  <c:v>0.307</c:v>
                </c:pt>
                <c:pt idx="113">
                  <c:v>6.5000000000000002E-2</c:v>
                </c:pt>
                <c:pt idx="114">
                  <c:v>0.41899999999999998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5C-4511-AA42-A670D0F5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6528"/>
        <c:axId val="484041104"/>
      </c:scatterChart>
      <c:valAx>
        <c:axId val="48403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41104"/>
        <c:crosses val="autoZero"/>
        <c:crossBetween val="midCat"/>
      </c:valAx>
      <c:valAx>
        <c:axId val="484041104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6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All!$HW$6:$HW$124</c:f>
              <c:numCache>
                <c:formatCode>General</c:formatCode>
                <c:ptCount val="119"/>
                <c:pt idx="0">
                  <c:v>40.130000000000003</c:v>
                </c:pt>
                <c:pt idx="1">
                  <c:v>39.18</c:v>
                </c:pt>
                <c:pt idx="2">
                  <c:v>35.229999999999997</c:v>
                </c:pt>
                <c:pt idx="3">
                  <c:v>35.229999999999997</c:v>
                </c:pt>
                <c:pt idx="7">
                  <c:v>37.020000000000003</c:v>
                </c:pt>
                <c:pt idx="8">
                  <c:v>37.020000000000003</c:v>
                </c:pt>
                <c:pt idx="9">
                  <c:v>34.18</c:v>
                </c:pt>
                <c:pt idx="10">
                  <c:v>34.18</c:v>
                </c:pt>
                <c:pt idx="11">
                  <c:v>36.08</c:v>
                </c:pt>
                <c:pt idx="12">
                  <c:v>36.08</c:v>
                </c:pt>
                <c:pt idx="13">
                  <c:v>37</c:v>
                </c:pt>
                <c:pt idx="17">
                  <c:v>39.39</c:v>
                </c:pt>
                <c:pt idx="18">
                  <c:v>36.81</c:v>
                </c:pt>
                <c:pt idx="19">
                  <c:v>36.81</c:v>
                </c:pt>
                <c:pt idx="20">
                  <c:v>37.21</c:v>
                </c:pt>
                <c:pt idx="21">
                  <c:v>37.21</c:v>
                </c:pt>
                <c:pt idx="22">
                  <c:v>46.75</c:v>
                </c:pt>
                <c:pt idx="26">
                  <c:v>36.979999999999997</c:v>
                </c:pt>
                <c:pt idx="27">
                  <c:v>36.979999999999997</c:v>
                </c:pt>
                <c:pt idx="28">
                  <c:v>36.82</c:v>
                </c:pt>
                <c:pt idx="29">
                  <c:v>36.82</c:v>
                </c:pt>
                <c:pt idx="30">
                  <c:v>37.47</c:v>
                </c:pt>
                <c:pt idx="31">
                  <c:v>37.47</c:v>
                </c:pt>
                <c:pt idx="35">
                  <c:v>40.619999999999997</c:v>
                </c:pt>
                <c:pt idx="36">
                  <c:v>40.619999999999997</c:v>
                </c:pt>
                <c:pt idx="37">
                  <c:v>46.77</c:v>
                </c:pt>
                <c:pt idx="38">
                  <c:v>53.29</c:v>
                </c:pt>
                <c:pt idx="42">
                  <c:v>53.99</c:v>
                </c:pt>
                <c:pt idx="43">
                  <c:v>34.369999999999997</c:v>
                </c:pt>
                <c:pt idx="44">
                  <c:v>34.369999999999997</c:v>
                </c:pt>
                <c:pt idx="45">
                  <c:v>35.51</c:v>
                </c:pt>
                <c:pt idx="46">
                  <c:v>35.51</c:v>
                </c:pt>
                <c:pt idx="50">
                  <c:v>35.64</c:v>
                </c:pt>
                <c:pt idx="51">
                  <c:v>35.64</c:v>
                </c:pt>
                <c:pt idx="52">
                  <c:v>38.01</c:v>
                </c:pt>
                <c:pt idx="53">
                  <c:v>36.65</c:v>
                </c:pt>
                <c:pt idx="54">
                  <c:v>36.65</c:v>
                </c:pt>
                <c:pt idx="55">
                  <c:v>37.64</c:v>
                </c:pt>
                <c:pt idx="59">
                  <c:v>52.98</c:v>
                </c:pt>
                <c:pt idx="60">
                  <c:v>37.21</c:v>
                </c:pt>
                <c:pt idx="61">
                  <c:v>37.21</c:v>
                </c:pt>
                <c:pt idx="62">
                  <c:v>40.299999999999997</c:v>
                </c:pt>
                <c:pt idx="63">
                  <c:v>41.08</c:v>
                </c:pt>
                <c:pt idx="67">
                  <c:v>39.229999999999997</c:v>
                </c:pt>
                <c:pt idx="68">
                  <c:v>39.229999999999997</c:v>
                </c:pt>
                <c:pt idx="69">
                  <c:v>40.5</c:v>
                </c:pt>
                <c:pt idx="70">
                  <c:v>40.5</c:v>
                </c:pt>
                <c:pt idx="74">
                  <c:v>40.04</c:v>
                </c:pt>
                <c:pt idx="75">
                  <c:v>39.58</c:v>
                </c:pt>
                <c:pt idx="76">
                  <c:v>39.58</c:v>
                </c:pt>
                <c:pt idx="77">
                  <c:v>43.79</c:v>
                </c:pt>
                <c:pt idx="78">
                  <c:v>45.97</c:v>
                </c:pt>
                <c:pt idx="82">
                  <c:v>42.33</c:v>
                </c:pt>
                <c:pt idx="83">
                  <c:v>37.17</c:v>
                </c:pt>
                <c:pt idx="84">
                  <c:v>37.17</c:v>
                </c:pt>
                <c:pt idx="85">
                  <c:v>38.119999999999997</c:v>
                </c:pt>
                <c:pt idx="86">
                  <c:v>38.119999999999997</c:v>
                </c:pt>
                <c:pt idx="90">
                  <c:v>42.11</c:v>
                </c:pt>
                <c:pt idx="91">
                  <c:v>41.09</c:v>
                </c:pt>
                <c:pt idx="92">
                  <c:v>35.299999999999997</c:v>
                </c:pt>
                <c:pt idx="93">
                  <c:v>35.299999999999997</c:v>
                </c:pt>
                <c:pt idx="94">
                  <c:v>40.64</c:v>
                </c:pt>
                <c:pt idx="98">
                  <c:v>36.85</c:v>
                </c:pt>
                <c:pt idx="99">
                  <c:v>36.85</c:v>
                </c:pt>
                <c:pt idx="100">
                  <c:v>37.61</c:v>
                </c:pt>
                <c:pt idx="101">
                  <c:v>44.42</c:v>
                </c:pt>
                <c:pt idx="105">
                  <c:v>41.22</c:v>
                </c:pt>
                <c:pt idx="106">
                  <c:v>40.409999999999997</c:v>
                </c:pt>
                <c:pt idx="107">
                  <c:v>40.409999999999997</c:v>
                </c:pt>
                <c:pt idx="111">
                  <c:v>43.43</c:v>
                </c:pt>
                <c:pt idx="112">
                  <c:v>40.380000000000003</c:v>
                </c:pt>
                <c:pt idx="113">
                  <c:v>40.380000000000003</c:v>
                </c:pt>
                <c:pt idx="114">
                  <c:v>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1-4289-8162-A1D9FD819DF0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All!$HX$6:$HX$124</c:f>
              <c:numCache>
                <c:formatCode>General</c:formatCode>
                <c:ptCount val="119"/>
                <c:pt idx="0">
                  <c:v>45.89</c:v>
                </c:pt>
                <c:pt idx="1">
                  <c:v>37.36</c:v>
                </c:pt>
                <c:pt idx="2">
                  <c:v>37.36</c:v>
                </c:pt>
                <c:pt idx="3">
                  <c:v>38.03</c:v>
                </c:pt>
                <c:pt idx="7">
                  <c:v>47.6</c:v>
                </c:pt>
                <c:pt idx="8">
                  <c:v>44.16</c:v>
                </c:pt>
                <c:pt idx="9">
                  <c:v>44.16</c:v>
                </c:pt>
                <c:pt idx="10">
                  <c:v>46.49</c:v>
                </c:pt>
                <c:pt idx="11">
                  <c:v>44.28</c:v>
                </c:pt>
                <c:pt idx="12">
                  <c:v>44.28</c:v>
                </c:pt>
                <c:pt idx="13">
                  <c:v>49.31</c:v>
                </c:pt>
                <c:pt idx="17">
                  <c:v>51.48</c:v>
                </c:pt>
                <c:pt idx="18">
                  <c:v>46.57</c:v>
                </c:pt>
                <c:pt idx="19">
                  <c:v>46.57</c:v>
                </c:pt>
                <c:pt idx="20">
                  <c:v>47.55</c:v>
                </c:pt>
                <c:pt idx="21">
                  <c:v>47.55</c:v>
                </c:pt>
                <c:pt idx="22">
                  <c:v>52.53</c:v>
                </c:pt>
                <c:pt idx="26">
                  <c:v>52.01</c:v>
                </c:pt>
                <c:pt idx="27">
                  <c:v>50.78</c:v>
                </c:pt>
                <c:pt idx="28">
                  <c:v>47.42</c:v>
                </c:pt>
                <c:pt idx="29">
                  <c:v>47.42</c:v>
                </c:pt>
                <c:pt idx="30">
                  <c:v>48.05</c:v>
                </c:pt>
                <c:pt idx="31">
                  <c:v>50.91</c:v>
                </c:pt>
                <c:pt idx="35">
                  <c:v>55.17</c:v>
                </c:pt>
                <c:pt idx="36">
                  <c:v>55.17</c:v>
                </c:pt>
                <c:pt idx="37">
                  <c:v>62.81</c:v>
                </c:pt>
                <c:pt idx="38">
                  <c:v>71.62</c:v>
                </c:pt>
                <c:pt idx="42">
                  <c:v>64.45</c:v>
                </c:pt>
                <c:pt idx="43">
                  <c:v>50.94</c:v>
                </c:pt>
                <c:pt idx="44">
                  <c:v>45.17</c:v>
                </c:pt>
                <c:pt idx="45">
                  <c:v>38.69</c:v>
                </c:pt>
                <c:pt idx="46">
                  <c:v>38.69</c:v>
                </c:pt>
                <c:pt idx="50">
                  <c:v>44.28</c:v>
                </c:pt>
                <c:pt idx="51">
                  <c:v>44.28</c:v>
                </c:pt>
                <c:pt idx="52">
                  <c:v>48.21</c:v>
                </c:pt>
                <c:pt idx="53">
                  <c:v>47.31</c:v>
                </c:pt>
                <c:pt idx="54">
                  <c:v>47.31</c:v>
                </c:pt>
                <c:pt idx="55">
                  <c:v>54.13</c:v>
                </c:pt>
                <c:pt idx="59">
                  <c:v>74.959999999999994</c:v>
                </c:pt>
                <c:pt idx="60">
                  <c:v>48.83</c:v>
                </c:pt>
                <c:pt idx="61">
                  <c:v>43.92</c:v>
                </c:pt>
                <c:pt idx="62">
                  <c:v>43.82</c:v>
                </c:pt>
                <c:pt idx="63">
                  <c:v>43.82</c:v>
                </c:pt>
                <c:pt idx="67">
                  <c:v>40.36</c:v>
                </c:pt>
                <c:pt idx="68">
                  <c:v>37.46</c:v>
                </c:pt>
                <c:pt idx="69">
                  <c:v>37.46</c:v>
                </c:pt>
                <c:pt idx="70">
                  <c:v>43.43</c:v>
                </c:pt>
                <c:pt idx="74">
                  <c:v>51.28</c:v>
                </c:pt>
                <c:pt idx="75">
                  <c:v>49.87</c:v>
                </c:pt>
                <c:pt idx="76">
                  <c:v>45.47</c:v>
                </c:pt>
                <c:pt idx="77">
                  <c:v>45.47</c:v>
                </c:pt>
                <c:pt idx="78">
                  <c:v>47.68</c:v>
                </c:pt>
                <c:pt idx="82">
                  <c:v>49.07</c:v>
                </c:pt>
                <c:pt idx="83">
                  <c:v>49.07</c:v>
                </c:pt>
                <c:pt idx="84">
                  <c:v>51.76</c:v>
                </c:pt>
                <c:pt idx="85">
                  <c:v>48.18</c:v>
                </c:pt>
                <c:pt idx="86">
                  <c:v>48.18</c:v>
                </c:pt>
                <c:pt idx="90">
                  <c:v>45.08</c:v>
                </c:pt>
                <c:pt idx="91">
                  <c:v>45.08</c:v>
                </c:pt>
                <c:pt idx="92">
                  <c:v>46</c:v>
                </c:pt>
                <c:pt idx="93">
                  <c:v>42.68</c:v>
                </c:pt>
                <c:pt idx="94">
                  <c:v>42.68</c:v>
                </c:pt>
                <c:pt idx="98">
                  <c:v>42.22</c:v>
                </c:pt>
                <c:pt idx="99">
                  <c:v>42.22</c:v>
                </c:pt>
                <c:pt idx="100">
                  <c:v>44.39</c:v>
                </c:pt>
                <c:pt idx="101">
                  <c:v>44.39</c:v>
                </c:pt>
                <c:pt idx="105">
                  <c:v>42.01</c:v>
                </c:pt>
                <c:pt idx="106">
                  <c:v>40.15</c:v>
                </c:pt>
                <c:pt idx="107">
                  <c:v>40.15</c:v>
                </c:pt>
                <c:pt idx="111">
                  <c:v>43.64</c:v>
                </c:pt>
                <c:pt idx="112">
                  <c:v>43.64</c:v>
                </c:pt>
                <c:pt idx="113">
                  <c:v>46.15</c:v>
                </c:pt>
                <c:pt idx="114">
                  <c:v>47.05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91-4289-8162-A1D9FD819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7776"/>
        <c:axId val="484043600"/>
      </c:scatterChart>
      <c:valAx>
        <c:axId val="48403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43600"/>
        <c:crosses val="autoZero"/>
        <c:crossBetween val="midCat"/>
      </c:valAx>
      <c:valAx>
        <c:axId val="484043600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All!$HY$6:$HY$124</c:f>
              <c:numCache>
                <c:formatCode>General</c:formatCode>
                <c:ptCount val="119"/>
                <c:pt idx="2">
                  <c:v>50.69</c:v>
                </c:pt>
                <c:pt idx="8">
                  <c:v>49.18</c:v>
                </c:pt>
                <c:pt idx="9">
                  <c:v>47.76</c:v>
                </c:pt>
                <c:pt idx="10">
                  <c:v>47.44</c:v>
                </c:pt>
                <c:pt idx="11">
                  <c:v>47.8</c:v>
                </c:pt>
                <c:pt idx="12">
                  <c:v>48.61</c:v>
                </c:pt>
                <c:pt idx="17">
                  <c:v>49.21</c:v>
                </c:pt>
                <c:pt idx="18">
                  <c:v>48.68</c:v>
                </c:pt>
                <c:pt idx="19">
                  <c:v>50.23</c:v>
                </c:pt>
                <c:pt idx="20">
                  <c:v>50.88</c:v>
                </c:pt>
                <c:pt idx="21">
                  <c:v>51.21</c:v>
                </c:pt>
                <c:pt idx="27">
                  <c:v>52.11</c:v>
                </c:pt>
                <c:pt idx="28">
                  <c:v>51.84</c:v>
                </c:pt>
                <c:pt idx="29">
                  <c:v>52.8</c:v>
                </c:pt>
                <c:pt idx="30">
                  <c:v>52.53</c:v>
                </c:pt>
                <c:pt idx="36">
                  <c:v>51.19</c:v>
                </c:pt>
                <c:pt idx="37">
                  <c:v>50.07</c:v>
                </c:pt>
                <c:pt idx="43">
                  <c:v>46.76</c:v>
                </c:pt>
                <c:pt idx="44">
                  <c:v>50.87</c:v>
                </c:pt>
                <c:pt idx="45">
                  <c:v>51.96</c:v>
                </c:pt>
                <c:pt idx="53">
                  <c:v>47.43</c:v>
                </c:pt>
                <c:pt idx="54">
                  <c:v>48.98</c:v>
                </c:pt>
                <c:pt idx="61">
                  <c:v>48.66</c:v>
                </c:pt>
                <c:pt idx="62">
                  <c:v>50.93</c:v>
                </c:pt>
                <c:pt idx="68">
                  <c:v>50.51</c:v>
                </c:pt>
                <c:pt idx="69">
                  <c:v>51.13</c:v>
                </c:pt>
                <c:pt idx="75">
                  <c:v>51.98</c:v>
                </c:pt>
                <c:pt idx="76">
                  <c:v>51.67</c:v>
                </c:pt>
                <c:pt idx="77">
                  <c:v>52.25</c:v>
                </c:pt>
                <c:pt idx="83">
                  <c:v>52.49</c:v>
                </c:pt>
                <c:pt idx="84">
                  <c:v>52.13</c:v>
                </c:pt>
                <c:pt idx="85">
                  <c:v>52.59</c:v>
                </c:pt>
                <c:pt idx="92">
                  <c:v>56.22</c:v>
                </c:pt>
                <c:pt idx="99">
                  <c:v>51.09</c:v>
                </c:pt>
                <c:pt idx="100">
                  <c:v>50.68</c:v>
                </c:pt>
                <c:pt idx="106">
                  <c:v>50.74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93-445F-BC95-2AEFAFCAAD02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All!$HZ$6:$HZ$124</c:f>
              <c:numCache>
                <c:formatCode>General</c:formatCode>
                <c:ptCount val="119"/>
                <c:pt idx="2">
                  <c:v>63.75</c:v>
                </c:pt>
                <c:pt idx="8">
                  <c:v>59.62</c:v>
                </c:pt>
                <c:pt idx="9">
                  <c:v>59.66</c:v>
                </c:pt>
                <c:pt idx="10">
                  <c:v>59.42</c:v>
                </c:pt>
                <c:pt idx="11">
                  <c:v>58.81</c:v>
                </c:pt>
                <c:pt idx="12">
                  <c:v>59.2</c:v>
                </c:pt>
                <c:pt idx="17">
                  <c:v>58.54</c:v>
                </c:pt>
                <c:pt idx="18">
                  <c:v>59.91</c:v>
                </c:pt>
                <c:pt idx="19">
                  <c:v>61.14</c:v>
                </c:pt>
                <c:pt idx="20">
                  <c:v>61.91</c:v>
                </c:pt>
                <c:pt idx="21">
                  <c:v>63.19</c:v>
                </c:pt>
                <c:pt idx="27">
                  <c:v>64.19</c:v>
                </c:pt>
                <c:pt idx="28">
                  <c:v>65.239999999999995</c:v>
                </c:pt>
                <c:pt idx="29">
                  <c:v>65.47</c:v>
                </c:pt>
                <c:pt idx="30">
                  <c:v>64.239999999999995</c:v>
                </c:pt>
                <c:pt idx="36">
                  <c:v>62.52</c:v>
                </c:pt>
                <c:pt idx="37">
                  <c:v>55.69</c:v>
                </c:pt>
                <c:pt idx="43">
                  <c:v>61.71</c:v>
                </c:pt>
                <c:pt idx="44">
                  <c:v>63.08</c:v>
                </c:pt>
                <c:pt idx="45">
                  <c:v>65.36</c:v>
                </c:pt>
                <c:pt idx="53">
                  <c:v>57.52</c:v>
                </c:pt>
                <c:pt idx="54">
                  <c:v>60.35</c:v>
                </c:pt>
                <c:pt idx="61">
                  <c:v>60.22</c:v>
                </c:pt>
                <c:pt idx="62">
                  <c:v>62.44</c:v>
                </c:pt>
                <c:pt idx="68">
                  <c:v>61.19</c:v>
                </c:pt>
                <c:pt idx="69">
                  <c:v>61.89</c:v>
                </c:pt>
                <c:pt idx="75">
                  <c:v>51.98</c:v>
                </c:pt>
                <c:pt idx="76">
                  <c:v>51.67</c:v>
                </c:pt>
                <c:pt idx="77">
                  <c:v>52.25</c:v>
                </c:pt>
                <c:pt idx="83">
                  <c:v>52.49</c:v>
                </c:pt>
                <c:pt idx="84">
                  <c:v>52.13</c:v>
                </c:pt>
                <c:pt idx="85">
                  <c:v>52.59</c:v>
                </c:pt>
                <c:pt idx="92">
                  <c:v>56.22</c:v>
                </c:pt>
                <c:pt idx="99">
                  <c:v>51.09</c:v>
                </c:pt>
                <c:pt idx="100">
                  <c:v>50.68</c:v>
                </c:pt>
                <c:pt idx="106">
                  <c:v>50.74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3-445F-BC95-2AEFAFCAA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4448"/>
        <c:axId val="484042768"/>
      </c:scatterChart>
      <c:valAx>
        <c:axId val="4840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42768"/>
        <c:crosses val="autoZero"/>
        <c:crossBetween val="midCat"/>
      </c:valAx>
      <c:valAx>
        <c:axId val="484042768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All!$AL$6:$AL$124</c:f>
              <c:numCache>
                <c:formatCode>General</c:formatCode>
                <c:ptCount val="119"/>
                <c:pt idx="0">
                  <c:v>601.20500000000004</c:v>
                </c:pt>
                <c:pt idx="1">
                  <c:v>649.10799999999995</c:v>
                </c:pt>
                <c:pt idx="2">
                  <c:v>694.78300000000002</c:v>
                </c:pt>
                <c:pt idx="3">
                  <c:v>665.70699999999999</c:v>
                </c:pt>
                <c:pt idx="7">
                  <c:v>608.34400000000005</c:v>
                </c:pt>
                <c:pt idx="8">
                  <c:v>647.67999999999995</c:v>
                </c:pt>
                <c:pt idx="9">
                  <c:v>645.93899999999996</c:v>
                </c:pt>
                <c:pt idx="10">
                  <c:v>667.36800000000005</c:v>
                </c:pt>
                <c:pt idx="11">
                  <c:v>680.83799999999997</c:v>
                </c:pt>
                <c:pt idx="12">
                  <c:v>666.20699999999999</c:v>
                </c:pt>
                <c:pt idx="13">
                  <c:v>606.98599999999999</c:v>
                </c:pt>
                <c:pt idx="17">
                  <c:v>612.36699999999996</c:v>
                </c:pt>
                <c:pt idx="18">
                  <c:v>661.63699999999994</c:v>
                </c:pt>
                <c:pt idx="19">
                  <c:v>684.12800000000004</c:v>
                </c:pt>
                <c:pt idx="20">
                  <c:v>654.77099999999996</c:v>
                </c:pt>
                <c:pt idx="21">
                  <c:v>669.13599999999997</c:v>
                </c:pt>
                <c:pt idx="22">
                  <c:v>650.38800000000003</c:v>
                </c:pt>
                <c:pt idx="26">
                  <c:v>617.10799999999995</c:v>
                </c:pt>
                <c:pt idx="27">
                  <c:v>634.49</c:v>
                </c:pt>
                <c:pt idx="28">
                  <c:v>663.43700000000001</c:v>
                </c:pt>
                <c:pt idx="29">
                  <c:v>626.79899999999998</c:v>
                </c:pt>
                <c:pt idx="30">
                  <c:v>695.06799999999998</c:v>
                </c:pt>
                <c:pt idx="31">
                  <c:v>559.88699999999994</c:v>
                </c:pt>
                <c:pt idx="35">
                  <c:v>601.15200000000004</c:v>
                </c:pt>
                <c:pt idx="36">
                  <c:v>605.79</c:v>
                </c:pt>
                <c:pt idx="37">
                  <c:v>630.88</c:v>
                </c:pt>
                <c:pt idx="38">
                  <c:v>504.18099999999998</c:v>
                </c:pt>
                <c:pt idx="42">
                  <c:v>539.53</c:v>
                </c:pt>
                <c:pt idx="43">
                  <c:v>556.87400000000002</c:v>
                </c:pt>
                <c:pt idx="44">
                  <c:v>633.27800000000002</c:v>
                </c:pt>
                <c:pt idx="45">
                  <c:v>645.90499999999997</c:v>
                </c:pt>
                <c:pt idx="46">
                  <c:v>621.13599999999997</c:v>
                </c:pt>
                <c:pt idx="50">
                  <c:v>552.471</c:v>
                </c:pt>
                <c:pt idx="51">
                  <c:v>685.97400000000005</c:v>
                </c:pt>
                <c:pt idx="52">
                  <c:v>596.68700000000001</c:v>
                </c:pt>
                <c:pt idx="53">
                  <c:v>679.89300000000003</c:v>
                </c:pt>
                <c:pt idx="54">
                  <c:v>666.37099999999998</c:v>
                </c:pt>
                <c:pt idx="55">
                  <c:v>571.01</c:v>
                </c:pt>
                <c:pt idx="60">
                  <c:v>595.726</c:v>
                </c:pt>
                <c:pt idx="61">
                  <c:v>696.32399999999996</c:v>
                </c:pt>
                <c:pt idx="62">
                  <c:v>778.29700000000003</c:v>
                </c:pt>
                <c:pt idx="63">
                  <c:v>729.89800000000002</c:v>
                </c:pt>
                <c:pt idx="67">
                  <c:v>574.09500000000003</c:v>
                </c:pt>
                <c:pt idx="68">
                  <c:v>694.56399999999996</c:v>
                </c:pt>
                <c:pt idx="69">
                  <c:v>689.09</c:v>
                </c:pt>
                <c:pt idx="70">
                  <c:v>636.36099999999999</c:v>
                </c:pt>
                <c:pt idx="74">
                  <c:v>603.54700000000003</c:v>
                </c:pt>
                <c:pt idx="75">
                  <c:v>639.90800000000002</c:v>
                </c:pt>
                <c:pt idx="76">
                  <c:v>649.54600000000005</c:v>
                </c:pt>
                <c:pt idx="77">
                  <c:v>655.24699999999996</c:v>
                </c:pt>
                <c:pt idx="78">
                  <c:v>645.16499999999996</c:v>
                </c:pt>
                <c:pt idx="82">
                  <c:v>623.78099999999995</c:v>
                </c:pt>
                <c:pt idx="83">
                  <c:v>664.58299999999997</c:v>
                </c:pt>
                <c:pt idx="84">
                  <c:v>649.79600000000005</c:v>
                </c:pt>
                <c:pt idx="85">
                  <c:v>659.96</c:v>
                </c:pt>
                <c:pt idx="86">
                  <c:v>692.88699999999994</c:v>
                </c:pt>
                <c:pt idx="90">
                  <c:v>619.399</c:v>
                </c:pt>
                <c:pt idx="91">
                  <c:v>758.51599999999996</c:v>
                </c:pt>
                <c:pt idx="92">
                  <c:v>642.25</c:v>
                </c:pt>
                <c:pt idx="93">
                  <c:v>660.23900000000003</c:v>
                </c:pt>
                <c:pt idx="94">
                  <c:v>694.06</c:v>
                </c:pt>
                <c:pt idx="98">
                  <c:v>657.02800000000002</c:v>
                </c:pt>
                <c:pt idx="99">
                  <c:v>702.18299999999999</c:v>
                </c:pt>
                <c:pt idx="100">
                  <c:v>674.50400000000002</c:v>
                </c:pt>
                <c:pt idx="101">
                  <c:v>666.33299999999997</c:v>
                </c:pt>
                <c:pt idx="105">
                  <c:v>637.64300000000003</c:v>
                </c:pt>
                <c:pt idx="106">
                  <c:v>705.846</c:v>
                </c:pt>
                <c:pt idx="107">
                  <c:v>677.971</c:v>
                </c:pt>
                <c:pt idx="111">
                  <c:v>639.18799999999999</c:v>
                </c:pt>
                <c:pt idx="112">
                  <c:v>700.21</c:v>
                </c:pt>
                <c:pt idx="113">
                  <c:v>669.78800000000001</c:v>
                </c:pt>
                <c:pt idx="114">
                  <c:v>640.19000000000005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8-45A3-92FD-ED8C3CE3FFE1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All!$AM$6:$AM$124</c:f>
              <c:numCache>
                <c:formatCode>General</c:formatCode>
                <c:ptCount val="119"/>
                <c:pt idx="0">
                  <c:v>608.875</c:v>
                </c:pt>
                <c:pt idx="1">
                  <c:v>645.976</c:v>
                </c:pt>
                <c:pt idx="2">
                  <c:v>697.58299999999997</c:v>
                </c:pt>
                <c:pt idx="3">
                  <c:v>694.85599999999999</c:v>
                </c:pt>
                <c:pt idx="7">
                  <c:v>631.48199999999997</c:v>
                </c:pt>
                <c:pt idx="8">
                  <c:v>671.16600000000005</c:v>
                </c:pt>
                <c:pt idx="9">
                  <c:v>653.00800000000004</c:v>
                </c:pt>
                <c:pt idx="10">
                  <c:v>651.23299999999995</c:v>
                </c:pt>
                <c:pt idx="11">
                  <c:v>679.45100000000002</c:v>
                </c:pt>
                <c:pt idx="12">
                  <c:v>642.846</c:v>
                </c:pt>
                <c:pt idx="13">
                  <c:v>605.25300000000004</c:v>
                </c:pt>
                <c:pt idx="17">
                  <c:v>607.96</c:v>
                </c:pt>
                <c:pt idx="18">
                  <c:v>681.53599999999994</c:v>
                </c:pt>
                <c:pt idx="19">
                  <c:v>692.66800000000001</c:v>
                </c:pt>
                <c:pt idx="20">
                  <c:v>642.77800000000002</c:v>
                </c:pt>
                <c:pt idx="21">
                  <c:v>677.23900000000003</c:v>
                </c:pt>
                <c:pt idx="22">
                  <c:v>640.80399999999997</c:v>
                </c:pt>
                <c:pt idx="26">
                  <c:v>631.03300000000002</c:v>
                </c:pt>
                <c:pt idx="27">
                  <c:v>644.101</c:v>
                </c:pt>
                <c:pt idx="28">
                  <c:v>647.87099999999998</c:v>
                </c:pt>
                <c:pt idx="29">
                  <c:v>637.52599999999995</c:v>
                </c:pt>
                <c:pt idx="30">
                  <c:v>693.00800000000004</c:v>
                </c:pt>
                <c:pt idx="31">
                  <c:v>620.41099999999994</c:v>
                </c:pt>
                <c:pt idx="35">
                  <c:v>632.79899999999998</c:v>
                </c:pt>
                <c:pt idx="36">
                  <c:v>647.18600000000004</c:v>
                </c:pt>
                <c:pt idx="37">
                  <c:v>636.29399999999998</c:v>
                </c:pt>
                <c:pt idx="38">
                  <c:v>558.85</c:v>
                </c:pt>
                <c:pt idx="42">
                  <c:v>556.66800000000001</c:v>
                </c:pt>
                <c:pt idx="43">
                  <c:v>562.74199999999996</c:v>
                </c:pt>
                <c:pt idx="44">
                  <c:v>622.53899999999999</c:v>
                </c:pt>
                <c:pt idx="45">
                  <c:v>684.12800000000004</c:v>
                </c:pt>
                <c:pt idx="46">
                  <c:v>615.62900000000002</c:v>
                </c:pt>
                <c:pt idx="50">
                  <c:v>590.82500000000005</c:v>
                </c:pt>
                <c:pt idx="51">
                  <c:v>678.48900000000003</c:v>
                </c:pt>
                <c:pt idx="52">
                  <c:v>617.22799999999995</c:v>
                </c:pt>
                <c:pt idx="53">
                  <c:v>688.548</c:v>
                </c:pt>
                <c:pt idx="54">
                  <c:v>699.51199999999994</c:v>
                </c:pt>
                <c:pt idx="55">
                  <c:v>597.09</c:v>
                </c:pt>
                <c:pt idx="60">
                  <c:v>628.48299999999995</c:v>
                </c:pt>
                <c:pt idx="61">
                  <c:v>706.37099999999998</c:v>
                </c:pt>
                <c:pt idx="62">
                  <c:v>894.88800000000003</c:v>
                </c:pt>
                <c:pt idx="63">
                  <c:v>999.16800000000001</c:v>
                </c:pt>
                <c:pt idx="67">
                  <c:v>586.26099999999997</c:v>
                </c:pt>
                <c:pt idx="68">
                  <c:v>673.09</c:v>
                </c:pt>
                <c:pt idx="69">
                  <c:v>685.53499999999997</c:v>
                </c:pt>
                <c:pt idx="70">
                  <c:v>633.74599999999998</c:v>
                </c:pt>
                <c:pt idx="74">
                  <c:v>619.34699999999998</c:v>
                </c:pt>
                <c:pt idx="75">
                  <c:v>632.745</c:v>
                </c:pt>
                <c:pt idx="76">
                  <c:v>653.94100000000003</c:v>
                </c:pt>
                <c:pt idx="77">
                  <c:v>653.55600000000004</c:v>
                </c:pt>
                <c:pt idx="78">
                  <c:v>666.73299999999995</c:v>
                </c:pt>
                <c:pt idx="82">
                  <c:v>639.47500000000002</c:v>
                </c:pt>
                <c:pt idx="83">
                  <c:v>670.80499999999995</c:v>
                </c:pt>
                <c:pt idx="84">
                  <c:v>664.173</c:v>
                </c:pt>
                <c:pt idx="85">
                  <c:v>671.26199999999994</c:v>
                </c:pt>
                <c:pt idx="86">
                  <c:v>707.35400000000004</c:v>
                </c:pt>
                <c:pt idx="90">
                  <c:v>664.77800000000002</c:v>
                </c:pt>
                <c:pt idx="91">
                  <c:v>705.95600000000002</c:v>
                </c:pt>
                <c:pt idx="92">
                  <c:v>644.29600000000005</c:v>
                </c:pt>
                <c:pt idx="93">
                  <c:v>674.15499999999997</c:v>
                </c:pt>
                <c:pt idx="94">
                  <c:v>684.577</c:v>
                </c:pt>
                <c:pt idx="98">
                  <c:v>678.52300000000002</c:v>
                </c:pt>
                <c:pt idx="99">
                  <c:v>678.93600000000004</c:v>
                </c:pt>
                <c:pt idx="100">
                  <c:v>698.51099999999997</c:v>
                </c:pt>
                <c:pt idx="101">
                  <c:v>675.40899999999999</c:v>
                </c:pt>
                <c:pt idx="105">
                  <c:v>638.34500000000003</c:v>
                </c:pt>
                <c:pt idx="106">
                  <c:v>715.86699999999996</c:v>
                </c:pt>
                <c:pt idx="107">
                  <c:v>665.11500000000001</c:v>
                </c:pt>
                <c:pt idx="111">
                  <c:v>651.673</c:v>
                </c:pt>
                <c:pt idx="112">
                  <c:v>704.45500000000004</c:v>
                </c:pt>
                <c:pt idx="113">
                  <c:v>671.40899999999999</c:v>
                </c:pt>
                <c:pt idx="114">
                  <c:v>644.55799999999999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48-45A3-92FD-ED8C3CE3FFE1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All!$AN$6:$AN$124</c:f>
              <c:numCache>
                <c:formatCode>General</c:formatCode>
                <c:ptCount val="119"/>
                <c:pt idx="0">
                  <c:v>741.46</c:v>
                </c:pt>
                <c:pt idx="1">
                  <c:v>757.55</c:v>
                </c:pt>
                <c:pt idx="2">
                  <c:v>834.03800000000001</c:v>
                </c:pt>
                <c:pt idx="3">
                  <c:v>864.45500000000004</c:v>
                </c:pt>
                <c:pt idx="7">
                  <c:v>740.42700000000002</c:v>
                </c:pt>
                <c:pt idx="8">
                  <c:v>827.78499999999997</c:v>
                </c:pt>
                <c:pt idx="9">
                  <c:v>836.64400000000001</c:v>
                </c:pt>
                <c:pt idx="10">
                  <c:v>811.95799999999997</c:v>
                </c:pt>
                <c:pt idx="11">
                  <c:v>822.01900000000001</c:v>
                </c:pt>
                <c:pt idx="12">
                  <c:v>818.94399999999996</c:v>
                </c:pt>
                <c:pt idx="13">
                  <c:v>802.98199999999997</c:v>
                </c:pt>
                <c:pt idx="17">
                  <c:v>737.48500000000001</c:v>
                </c:pt>
                <c:pt idx="18">
                  <c:v>779.30700000000002</c:v>
                </c:pt>
                <c:pt idx="19">
                  <c:v>857.53099999999995</c:v>
                </c:pt>
                <c:pt idx="20">
                  <c:v>835.548</c:v>
                </c:pt>
                <c:pt idx="21">
                  <c:v>850.71799999999996</c:v>
                </c:pt>
                <c:pt idx="22">
                  <c:v>853.78399999999999</c:v>
                </c:pt>
                <c:pt idx="26">
                  <c:v>748.34199999999998</c:v>
                </c:pt>
                <c:pt idx="27">
                  <c:v>789.98</c:v>
                </c:pt>
                <c:pt idx="28">
                  <c:v>791.25599999999997</c:v>
                </c:pt>
                <c:pt idx="29">
                  <c:v>803.6</c:v>
                </c:pt>
                <c:pt idx="30">
                  <c:v>852.89</c:v>
                </c:pt>
                <c:pt idx="31">
                  <c:v>736.952</c:v>
                </c:pt>
                <c:pt idx="35">
                  <c:v>700.28800000000001</c:v>
                </c:pt>
                <c:pt idx="36">
                  <c:v>730.47199999999998</c:v>
                </c:pt>
                <c:pt idx="37">
                  <c:v>749.77599999999995</c:v>
                </c:pt>
                <c:pt idx="38">
                  <c:v>675.47900000000004</c:v>
                </c:pt>
                <c:pt idx="42">
                  <c:v>614.90499999999997</c:v>
                </c:pt>
                <c:pt idx="43">
                  <c:v>638.29499999999996</c:v>
                </c:pt>
                <c:pt idx="44">
                  <c:v>736.28599999999994</c:v>
                </c:pt>
                <c:pt idx="45">
                  <c:v>788.99599999999998</c:v>
                </c:pt>
                <c:pt idx="46">
                  <c:v>735.07899999999995</c:v>
                </c:pt>
                <c:pt idx="50">
                  <c:v>701.22</c:v>
                </c:pt>
                <c:pt idx="51">
                  <c:v>834.00900000000001</c:v>
                </c:pt>
                <c:pt idx="52">
                  <c:v>734.07600000000002</c:v>
                </c:pt>
                <c:pt idx="53">
                  <c:v>852.16700000000003</c:v>
                </c:pt>
                <c:pt idx="54">
                  <c:v>839.928</c:v>
                </c:pt>
                <c:pt idx="55">
                  <c:v>712.40599999999995</c:v>
                </c:pt>
                <c:pt idx="60">
                  <c:v>737.803</c:v>
                </c:pt>
                <c:pt idx="61">
                  <c:v>854.84900000000005</c:v>
                </c:pt>
                <c:pt idx="62">
                  <c:v>904.452</c:v>
                </c:pt>
                <c:pt idx="63">
                  <c:v>853.976</c:v>
                </c:pt>
                <c:pt idx="67">
                  <c:v>720.16899999999998</c:v>
                </c:pt>
                <c:pt idx="68">
                  <c:v>849.65800000000002</c:v>
                </c:pt>
                <c:pt idx="69">
                  <c:v>887.22299999999996</c:v>
                </c:pt>
                <c:pt idx="70">
                  <c:v>780.56299999999999</c:v>
                </c:pt>
                <c:pt idx="74">
                  <c:v>734.36</c:v>
                </c:pt>
                <c:pt idx="75">
                  <c:v>797.41200000000003</c:v>
                </c:pt>
                <c:pt idx="76">
                  <c:v>863.35900000000004</c:v>
                </c:pt>
                <c:pt idx="77">
                  <c:v>840.10699999999997</c:v>
                </c:pt>
                <c:pt idx="78">
                  <c:v>814.11199999999997</c:v>
                </c:pt>
                <c:pt idx="82">
                  <c:v>807.61400000000003</c:v>
                </c:pt>
                <c:pt idx="83">
                  <c:v>830.21900000000005</c:v>
                </c:pt>
                <c:pt idx="84">
                  <c:v>813.44399999999996</c:v>
                </c:pt>
                <c:pt idx="85">
                  <c:v>855.08600000000001</c:v>
                </c:pt>
                <c:pt idx="86">
                  <c:v>850.84299999999996</c:v>
                </c:pt>
                <c:pt idx="90">
                  <c:v>805.03300000000002</c:v>
                </c:pt>
                <c:pt idx="91">
                  <c:v>928.68299999999999</c:v>
                </c:pt>
                <c:pt idx="92">
                  <c:v>810.471</c:v>
                </c:pt>
                <c:pt idx="93">
                  <c:v>848.44200000000001</c:v>
                </c:pt>
                <c:pt idx="94">
                  <c:v>973.57799999999997</c:v>
                </c:pt>
                <c:pt idx="98">
                  <c:v>821.54499999999996</c:v>
                </c:pt>
                <c:pt idx="99">
                  <c:v>937.13099999999997</c:v>
                </c:pt>
                <c:pt idx="100">
                  <c:v>894.61500000000001</c:v>
                </c:pt>
                <c:pt idx="101">
                  <c:v>866.96100000000001</c:v>
                </c:pt>
                <c:pt idx="105">
                  <c:v>828.05700000000002</c:v>
                </c:pt>
                <c:pt idx="106">
                  <c:v>947.755</c:v>
                </c:pt>
                <c:pt idx="107">
                  <c:v>870.96</c:v>
                </c:pt>
                <c:pt idx="111">
                  <c:v>815.05600000000004</c:v>
                </c:pt>
                <c:pt idx="112">
                  <c:v>866.36300000000006</c:v>
                </c:pt>
                <c:pt idx="113">
                  <c:v>881.21400000000006</c:v>
                </c:pt>
                <c:pt idx="114">
                  <c:v>815.47299999999996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48-45A3-92FD-ED8C3CE3FFE1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All!$AO$6:$AO$124</c:f>
              <c:numCache>
                <c:formatCode>General</c:formatCode>
                <c:ptCount val="119"/>
                <c:pt idx="0">
                  <c:v>749.947</c:v>
                </c:pt>
                <c:pt idx="1">
                  <c:v>724.42499999999995</c:v>
                </c:pt>
                <c:pt idx="2">
                  <c:v>818.44899999999996</c:v>
                </c:pt>
                <c:pt idx="3">
                  <c:v>808.93700000000001</c:v>
                </c:pt>
                <c:pt idx="7">
                  <c:v>730.61900000000003</c:v>
                </c:pt>
                <c:pt idx="8">
                  <c:v>788.43700000000001</c:v>
                </c:pt>
                <c:pt idx="9">
                  <c:v>762.01900000000001</c:v>
                </c:pt>
                <c:pt idx="10">
                  <c:v>800.71100000000001</c:v>
                </c:pt>
                <c:pt idx="11">
                  <c:v>822.61800000000005</c:v>
                </c:pt>
                <c:pt idx="12">
                  <c:v>764.625</c:v>
                </c:pt>
                <c:pt idx="13">
                  <c:v>762.23299999999995</c:v>
                </c:pt>
                <c:pt idx="17">
                  <c:v>719.71799999999996</c:v>
                </c:pt>
                <c:pt idx="18">
                  <c:v>781.27099999999996</c:v>
                </c:pt>
                <c:pt idx="19">
                  <c:v>825.09199999999998</c:v>
                </c:pt>
                <c:pt idx="20">
                  <c:v>831.08100000000002</c:v>
                </c:pt>
                <c:pt idx="21">
                  <c:v>797.202</c:v>
                </c:pt>
                <c:pt idx="22">
                  <c:v>771.76499999999999</c:v>
                </c:pt>
                <c:pt idx="26">
                  <c:v>747.15899999999999</c:v>
                </c:pt>
                <c:pt idx="27">
                  <c:v>786.20100000000002</c:v>
                </c:pt>
                <c:pt idx="28">
                  <c:v>812.08500000000004</c:v>
                </c:pt>
                <c:pt idx="29">
                  <c:v>774.89300000000003</c:v>
                </c:pt>
                <c:pt idx="30">
                  <c:v>814.07799999999997</c:v>
                </c:pt>
                <c:pt idx="31">
                  <c:v>702.19799999999998</c:v>
                </c:pt>
                <c:pt idx="35">
                  <c:v>658.01800000000003</c:v>
                </c:pt>
                <c:pt idx="36">
                  <c:v>706.95699999999999</c:v>
                </c:pt>
                <c:pt idx="37">
                  <c:v>746.52700000000004</c:v>
                </c:pt>
                <c:pt idx="38">
                  <c:v>658.45899999999995</c:v>
                </c:pt>
                <c:pt idx="42">
                  <c:v>591.52499999999998</c:v>
                </c:pt>
                <c:pt idx="43">
                  <c:v>659.87599999999998</c:v>
                </c:pt>
                <c:pt idx="44">
                  <c:v>720.18200000000002</c:v>
                </c:pt>
                <c:pt idx="45">
                  <c:v>791.51599999999996</c:v>
                </c:pt>
                <c:pt idx="46">
                  <c:v>730.13800000000003</c:v>
                </c:pt>
                <c:pt idx="50">
                  <c:v>748.75599999999997</c:v>
                </c:pt>
                <c:pt idx="51">
                  <c:v>756.93600000000004</c:v>
                </c:pt>
                <c:pt idx="52">
                  <c:v>728.18700000000001</c:v>
                </c:pt>
                <c:pt idx="53">
                  <c:v>821.88800000000003</c:v>
                </c:pt>
                <c:pt idx="54">
                  <c:v>820.65800000000002</c:v>
                </c:pt>
                <c:pt idx="55">
                  <c:v>755.59500000000003</c:v>
                </c:pt>
                <c:pt idx="60">
                  <c:v>758.92600000000004</c:v>
                </c:pt>
                <c:pt idx="61">
                  <c:v>826.26599999999996</c:v>
                </c:pt>
                <c:pt idx="62">
                  <c:v>835.83799999999997</c:v>
                </c:pt>
                <c:pt idx="63">
                  <c:v>783.29899999999998</c:v>
                </c:pt>
                <c:pt idx="67">
                  <c:v>725.91099999999994</c:v>
                </c:pt>
                <c:pt idx="68">
                  <c:v>814.98400000000004</c:v>
                </c:pt>
                <c:pt idx="69">
                  <c:v>803.75099999999998</c:v>
                </c:pt>
                <c:pt idx="70">
                  <c:v>778.40499999999997</c:v>
                </c:pt>
                <c:pt idx="74">
                  <c:v>736.47299999999996</c:v>
                </c:pt>
                <c:pt idx="75">
                  <c:v>814.60299999999995</c:v>
                </c:pt>
                <c:pt idx="76">
                  <c:v>785.06899999999996</c:v>
                </c:pt>
                <c:pt idx="77">
                  <c:v>784.52599999999995</c:v>
                </c:pt>
                <c:pt idx="78">
                  <c:v>801.46299999999997</c:v>
                </c:pt>
                <c:pt idx="82">
                  <c:v>792.39499999999998</c:v>
                </c:pt>
                <c:pt idx="83">
                  <c:v>804.73599999999999</c:v>
                </c:pt>
                <c:pt idx="84">
                  <c:v>796.59100000000001</c:v>
                </c:pt>
                <c:pt idx="85">
                  <c:v>782.95399999999995</c:v>
                </c:pt>
                <c:pt idx="86">
                  <c:v>859.53499999999997</c:v>
                </c:pt>
                <c:pt idx="90">
                  <c:v>771.17899999999997</c:v>
                </c:pt>
                <c:pt idx="91">
                  <c:v>816.32500000000005</c:v>
                </c:pt>
                <c:pt idx="92">
                  <c:v>762.37699999999995</c:v>
                </c:pt>
                <c:pt idx="93">
                  <c:v>798.87699999999995</c:v>
                </c:pt>
                <c:pt idx="94">
                  <c:v>761.73800000000006</c:v>
                </c:pt>
                <c:pt idx="98">
                  <c:v>802.91099999999994</c:v>
                </c:pt>
                <c:pt idx="99">
                  <c:v>845.59199999999998</c:v>
                </c:pt>
                <c:pt idx="100">
                  <c:v>912.87699999999995</c:v>
                </c:pt>
                <c:pt idx="101">
                  <c:v>847.84299999999996</c:v>
                </c:pt>
                <c:pt idx="105">
                  <c:v>814.99699999999996</c:v>
                </c:pt>
                <c:pt idx="106">
                  <c:v>888.95399999999995</c:v>
                </c:pt>
                <c:pt idx="107">
                  <c:v>883.62</c:v>
                </c:pt>
                <c:pt idx="111">
                  <c:v>833.13699999999994</c:v>
                </c:pt>
                <c:pt idx="112">
                  <c:v>850.40700000000004</c:v>
                </c:pt>
                <c:pt idx="113">
                  <c:v>854.19899999999996</c:v>
                </c:pt>
                <c:pt idx="114">
                  <c:v>823.28300000000002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48-45A3-92FD-ED8C3CE3F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3616"/>
        <c:axId val="484037776"/>
      </c:scatterChart>
      <c:valAx>
        <c:axId val="48403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7776"/>
        <c:crosses val="autoZero"/>
        <c:crossBetween val="midCat"/>
      </c:valAx>
      <c:valAx>
        <c:axId val="484037776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All!$BU$6:$BU$124</c:f>
              <c:numCache>
                <c:formatCode>General</c:formatCode>
                <c:ptCount val="119"/>
                <c:pt idx="0">
                  <c:v>56.116999999999997</c:v>
                </c:pt>
                <c:pt idx="1">
                  <c:v>50.936999999999998</c:v>
                </c:pt>
                <c:pt idx="2">
                  <c:v>51.197000000000003</c:v>
                </c:pt>
                <c:pt idx="3">
                  <c:v>49.082999999999998</c:v>
                </c:pt>
                <c:pt idx="7">
                  <c:v>49.725999999999999</c:v>
                </c:pt>
                <c:pt idx="8">
                  <c:v>50.798000000000002</c:v>
                </c:pt>
                <c:pt idx="9">
                  <c:v>51.271000000000001</c:v>
                </c:pt>
                <c:pt idx="10">
                  <c:v>51.076000000000001</c:v>
                </c:pt>
                <c:pt idx="11">
                  <c:v>48.091999999999999</c:v>
                </c:pt>
                <c:pt idx="12">
                  <c:v>51.137</c:v>
                </c:pt>
                <c:pt idx="13">
                  <c:v>49.633000000000003</c:v>
                </c:pt>
                <c:pt idx="17">
                  <c:v>43.445999999999998</c:v>
                </c:pt>
                <c:pt idx="18">
                  <c:v>51.457000000000001</c:v>
                </c:pt>
                <c:pt idx="19">
                  <c:v>50.536999999999999</c:v>
                </c:pt>
                <c:pt idx="20">
                  <c:v>50.343000000000004</c:v>
                </c:pt>
                <c:pt idx="21">
                  <c:v>51.47</c:v>
                </c:pt>
                <c:pt idx="22">
                  <c:v>49.046999999999997</c:v>
                </c:pt>
                <c:pt idx="26">
                  <c:v>49.250999999999998</c:v>
                </c:pt>
                <c:pt idx="27">
                  <c:v>50.158999999999999</c:v>
                </c:pt>
                <c:pt idx="28">
                  <c:v>50.72</c:v>
                </c:pt>
                <c:pt idx="29">
                  <c:v>50.844999999999999</c:v>
                </c:pt>
                <c:pt idx="30">
                  <c:v>50.305</c:v>
                </c:pt>
                <c:pt idx="31">
                  <c:v>48.664000000000001</c:v>
                </c:pt>
                <c:pt idx="35">
                  <c:v>26.334</c:v>
                </c:pt>
                <c:pt idx="36">
                  <c:v>50.265000000000001</c:v>
                </c:pt>
                <c:pt idx="37">
                  <c:v>48.969000000000001</c:v>
                </c:pt>
                <c:pt idx="38">
                  <c:v>39.509</c:v>
                </c:pt>
                <c:pt idx="42">
                  <c:v>46.591999999999999</c:v>
                </c:pt>
                <c:pt idx="43">
                  <c:v>44.293999999999997</c:v>
                </c:pt>
                <c:pt idx="44">
                  <c:v>51.536000000000001</c:v>
                </c:pt>
                <c:pt idx="45">
                  <c:v>50.793999999999997</c:v>
                </c:pt>
                <c:pt idx="46">
                  <c:v>47.707000000000001</c:v>
                </c:pt>
                <c:pt idx="50">
                  <c:v>51.375</c:v>
                </c:pt>
                <c:pt idx="51">
                  <c:v>42.058999999999997</c:v>
                </c:pt>
                <c:pt idx="52">
                  <c:v>38.898000000000003</c:v>
                </c:pt>
                <c:pt idx="53">
                  <c:v>50.22</c:v>
                </c:pt>
                <c:pt idx="54">
                  <c:v>50.237000000000002</c:v>
                </c:pt>
                <c:pt idx="55">
                  <c:v>46.045999999999999</c:v>
                </c:pt>
                <c:pt idx="59">
                  <c:v>71.588999999999999</c:v>
                </c:pt>
                <c:pt idx="60">
                  <c:v>53.56</c:v>
                </c:pt>
                <c:pt idx="61">
                  <c:v>49.427</c:v>
                </c:pt>
                <c:pt idx="62">
                  <c:v>51.7</c:v>
                </c:pt>
                <c:pt idx="63">
                  <c:v>51.408999999999999</c:v>
                </c:pt>
                <c:pt idx="67">
                  <c:v>50.814999999999998</c:v>
                </c:pt>
                <c:pt idx="68">
                  <c:v>49.871000000000002</c:v>
                </c:pt>
                <c:pt idx="69">
                  <c:v>50.131</c:v>
                </c:pt>
                <c:pt idx="70">
                  <c:v>48.463999999999999</c:v>
                </c:pt>
                <c:pt idx="74">
                  <c:v>36.665999999999997</c:v>
                </c:pt>
                <c:pt idx="75">
                  <c:v>49.124000000000002</c:v>
                </c:pt>
                <c:pt idx="76">
                  <c:v>49.484999999999999</c:v>
                </c:pt>
                <c:pt idx="77">
                  <c:v>49.564999999999998</c:v>
                </c:pt>
                <c:pt idx="78">
                  <c:v>48.627000000000002</c:v>
                </c:pt>
                <c:pt idx="82">
                  <c:v>54.411000000000001</c:v>
                </c:pt>
                <c:pt idx="83">
                  <c:v>51.231999999999999</c:v>
                </c:pt>
                <c:pt idx="84">
                  <c:v>51.326999999999998</c:v>
                </c:pt>
                <c:pt idx="85">
                  <c:v>51.085000000000001</c:v>
                </c:pt>
                <c:pt idx="86">
                  <c:v>51.503999999999998</c:v>
                </c:pt>
                <c:pt idx="90">
                  <c:v>54.183</c:v>
                </c:pt>
                <c:pt idx="91">
                  <c:v>46.683999999999997</c:v>
                </c:pt>
                <c:pt idx="92">
                  <c:v>47.988999999999997</c:v>
                </c:pt>
                <c:pt idx="93">
                  <c:v>50.600999999999999</c:v>
                </c:pt>
                <c:pt idx="94">
                  <c:v>39.86</c:v>
                </c:pt>
                <c:pt idx="98">
                  <c:v>46.981000000000002</c:v>
                </c:pt>
                <c:pt idx="99">
                  <c:v>49.433</c:v>
                </c:pt>
                <c:pt idx="100">
                  <c:v>48.503999999999998</c:v>
                </c:pt>
                <c:pt idx="101">
                  <c:v>48.085999999999999</c:v>
                </c:pt>
                <c:pt idx="105">
                  <c:v>51.393999999999998</c:v>
                </c:pt>
                <c:pt idx="106">
                  <c:v>47.854999999999997</c:v>
                </c:pt>
                <c:pt idx="107">
                  <c:v>48.040999999999997</c:v>
                </c:pt>
                <c:pt idx="111">
                  <c:v>52.62</c:v>
                </c:pt>
                <c:pt idx="112">
                  <c:v>49.052</c:v>
                </c:pt>
                <c:pt idx="113">
                  <c:v>48.493000000000002</c:v>
                </c:pt>
                <c:pt idx="114">
                  <c:v>35.606999999999999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F-48EC-81CB-2FA4BA1E7EDD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All!$BV$6:$BV$124</c:f>
              <c:numCache>
                <c:formatCode>General</c:formatCode>
                <c:ptCount val="119"/>
                <c:pt idx="0">
                  <c:v>57.186999999999998</c:v>
                </c:pt>
                <c:pt idx="1">
                  <c:v>54.765999999999998</c:v>
                </c:pt>
                <c:pt idx="2">
                  <c:v>53.688000000000002</c:v>
                </c:pt>
                <c:pt idx="3">
                  <c:v>54.906999999999996</c:v>
                </c:pt>
                <c:pt idx="7">
                  <c:v>56.109000000000002</c:v>
                </c:pt>
                <c:pt idx="8">
                  <c:v>54.884</c:v>
                </c:pt>
                <c:pt idx="9">
                  <c:v>54.034999999999997</c:v>
                </c:pt>
                <c:pt idx="10">
                  <c:v>54.88</c:v>
                </c:pt>
                <c:pt idx="11">
                  <c:v>53.475000000000001</c:v>
                </c:pt>
                <c:pt idx="12">
                  <c:v>55.116999999999997</c:v>
                </c:pt>
                <c:pt idx="13">
                  <c:v>56.585999999999999</c:v>
                </c:pt>
                <c:pt idx="17">
                  <c:v>55.89</c:v>
                </c:pt>
                <c:pt idx="18">
                  <c:v>54.441000000000003</c:v>
                </c:pt>
                <c:pt idx="19">
                  <c:v>54.47</c:v>
                </c:pt>
                <c:pt idx="20">
                  <c:v>53.783999999999999</c:v>
                </c:pt>
                <c:pt idx="21">
                  <c:v>54.924999999999997</c:v>
                </c:pt>
                <c:pt idx="22">
                  <c:v>52.93</c:v>
                </c:pt>
                <c:pt idx="26">
                  <c:v>56.335999999999999</c:v>
                </c:pt>
                <c:pt idx="27">
                  <c:v>53.247</c:v>
                </c:pt>
                <c:pt idx="28">
                  <c:v>55.371000000000002</c:v>
                </c:pt>
                <c:pt idx="29">
                  <c:v>54.237000000000002</c:v>
                </c:pt>
                <c:pt idx="30">
                  <c:v>54.61</c:v>
                </c:pt>
                <c:pt idx="31">
                  <c:v>53.997999999999998</c:v>
                </c:pt>
                <c:pt idx="35">
                  <c:v>54.689</c:v>
                </c:pt>
                <c:pt idx="36">
                  <c:v>53.872999999999998</c:v>
                </c:pt>
                <c:pt idx="37">
                  <c:v>54.317</c:v>
                </c:pt>
                <c:pt idx="38">
                  <c:v>53.987000000000002</c:v>
                </c:pt>
                <c:pt idx="42">
                  <c:v>55.582000000000001</c:v>
                </c:pt>
                <c:pt idx="43">
                  <c:v>54.652000000000001</c:v>
                </c:pt>
                <c:pt idx="44">
                  <c:v>54.39</c:v>
                </c:pt>
                <c:pt idx="45">
                  <c:v>53.243000000000002</c:v>
                </c:pt>
                <c:pt idx="46">
                  <c:v>53.561999999999998</c:v>
                </c:pt>
                <c:pt idx="50">
                  <c:v>52.164000000000001</c:v>
                </c:pt>
                <c:pt idx="51">
                  <c:v>53.497</c:v>
                </c:pt>
                <c:pt idx="52">
                  <c:v>52.081000000000003</c:v>
                </c:pt>
                <c:pt idx="53">
                  <c:v>51.921999999999997</c:v>
                </c:pt>
                <c:pt idx="54">
                  <c:v>52.786000000000001</c:v>
                </c:pt>
                <c:pt idx="55">
                  <c:v>51.704999999999998</c:v>
                </c:pt>
                <c:pt idx="60">
                  <c:v>53.73</c:v>
                </c:pt>
                <c:pt idx="61">
                  <c:v>52.652999999999999</c:v>
                </c:pt>
                <c:pt idx="62">
                  <c:v>54.813000000000002</c:v>
                </c:pt>
                <c:pt idx="63">
                  <c:v>53.343000000000004</c:v>
                </c:pt>
                <c:pt idx="67">
                  <c:v>54.093000000000004</c:v>
                </c:pt>
                <c:pt idx="68">
                  <c:v>53.268000000000001</c:v>
                </c:pt>
                <c:pt idx="69">
                  <c:v>54.164999999999999</c:v>
                </c:pt>
                <c:pt idx="70">
                  <c:v>53.73</c:v>
                </c:pt>
                <c:pt idx="74">
                  <c:v>52.52</c:v>
                </c:pt>
                <c:pt idx="75">
                  <c:v>52.594999999999999</c:v>
                </c:pt>
                <c:pt idx="76">
                  <c:v>51.475999999999999</c:v>
                </c:pt>
                <c:pt idx="77">
                  <c:v>52.991999999999997</c:v>
                </c:pt>
                <c:pt idx="78">
                  <c:v>51.779000000000003</c:v>
                </c:pt>
                <c:pt idx="82">
                  <c:v>54.363999999999997</c:v>
                </c:pt>
                <c:pt idx="83">
                  <c:v>53.42</c:v>
                </c:pt>
                <c:pt idx="84">
                  <c:v>53.289000000000001</c:v>
                </c:pt>
                <c:pt idx="85">
                  <c:v>52.597999999999999</c:v>
                </c:pt>
                <c:pt idx="86">
                  <c:v>51.771999999999998</c:v>
                </c:pt>
                <c:pt idx="90">
                  <c:v>55.414999999999999</c:v>
                </c:pt>
                <c:pt idx="91">
                  <c:v>54.206000000000003</c:v>
                </c:pt>
                <c:pt idx="92">
                  <c:v>54.753999999999998</c:v>
                </c:pt>
                <c:pt idx="93">
                  <c:v>53.741999999999997</c:v>
                </c:pt>
                <c:pt idx="94">
                  <c:v>53.070999999999998</c:v>
                </c:pt>
                <c:pt idx="98">
                  <c:v>52.865000000000002</c:v>
                </c:pt>
                <c:pt idx="99">
                  <c:v>52.183</c:v>
                </c:pt>
                <c:pt idx="100">
                  <c:v>50.57</c:v>
                </c:pt>
                <c:pt idx="101">
                  <c:v>52.14</c:v>
                </c:pt>
                <c:pt idx="105">
                  <c:v>51.39</c:v>
                </c:pt>
                <c:pt idx="106">
                  <c:v>51.006</c:v>
                </c:pt>
                <c:pt idx="107">
                  <c:v>50.121000000000002</c:v>
                </c:pt>
                <c:pt idx="111">
                  <c:v>51.691000000000003</c:v>
                </c:pt>
                <c:pt idx="112">
                  <c:v>51.228999999999999</c:v>
                </c:pt>
                <c:pt idx="113">
                  <c:v>51.942</c:v>
                </c:pt>
                <c:pt idx="114">
                  <c:v>49.078000000000003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F-48EC-81CB-2FA4BA1E7EDD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All!$BW$6:$BW$124</c:f>
              <c:numCache>
                <c:formatCode>General</c:formatCode>
                <c:ptCount val="119"/>
                <c:pt idx="0">
                  <c:v>57.765000000000001</c:v>
                </c:pt>
                <c:pt idx="1">
                  <c:v>56.207999999999998</c:v>
                </c:pt>
                <c:pt idx="2">
                  <c:v>56.600999999999999</c:v>
                </c:pt>
                <c:pt idx="3">
                  <c:v>56.008000000000003</c:v>
                </c:pt>
                <c:pt idx="7">
                  <c:v>57.225999999999999</c:v>
                </c:pt>
                <c:pt idx="8">
                  <c:v>56.616999999999997</c:v>
                </c:pt>
                <c:pt idx="9">
                  <c:v>57.127000000000002</c:v>
                </c:pt>
                <c:pt idx="10">
                  <c:v>56.758000000000003</c:v>
                </c:pt>
                <c:pt idx="11">
                  <c:v>55.503999999999998</c:v>
                </c:pt>
                <c:pt idx="12">
                  <c:v>56.265999999999998</c:v>
                </c:pt>
                <c:pt idx="13">
                  <c:v>55.823</c:v>
                </c:pt>
                <c:pt idx="17">
                  <c:v>58.741</c:v>
                </c:pt>
                <c:pt idx="18">
                  <c:v>56.539000000000001</c:v>
                </c:pt>
                <c:pt idx="19">
                  <c:v>54.737000000000002</c:v>
                </c:pt>
                <c:pt idx="20">
                  <c:v>56.012</c:v>
                </c:pt>
                <c:pt idx="21">
                  <c:v>55.651000000000003</c:v>
                </c:pt>
                <c:pt idx="22">
                  <c:v>56.094000000000001</c:v>
                </c:pt>
                <c:pt idx="26">
                  <c:v>56.003</c:v>
                </c:pt>
                <c:pt idx="27">
                  <c:v>55.054000000000002</c:v>
                </c:pt>
                <c:pt idx="28">
                  <c:v>55.524999999999999</c:v>
                </c:pt>
                <c:pt idx="29">
                  <c:v>56.231999999999999</c:v>
                </c:pt>
                <c:pt idx="30">
                  <c:v>55.764000000000003</c:v>
                </c:pt>
                <c:pt idx="31">
                  <c:v>56.259</c:v>
                </c:pt>
                <c:pt idx="35">
                  <c:v>55.436999999999998</c:v>
                </c:pt>
                <c:pt idx="36">
                  <c:v>53.564999999999998</c:v>
                </c:pt>
                <c:pt idx="37">
                  <c:v>55.588000000000001</c:v>
                </c:pt>
                <c:pt idx="38">
                  <c:v>57.262</c:v>
                </c:pt>
                <c:pt idx="42">
                  <c:v>54.893000000000001</c:v>
                </c:pt>
                <c:pt idx="43">
                  <c:v>55.906999999999996</c:v>
                </c:pt>
                <c:pt idx="44">
                  <c:v>54.725000000000001</c:v>
                </c:pt>
                <c:pt idx="45">
                  <c:v>55.124000000000002</c:v>
                </c:pt>
                <c:pt idx="46">
                  <c:v>55.545999999999999</c:v>
                </c:pt>
                <c:pt idx="50">
                  <c:v>54.872</c:v>
                </c:pt>
                <c:pt idx="51">
                  <c:v>53.832999999999998</c:v>
                </c:pt>
                <c:pt idx="52">
                  <c:v>54.99</c:v>
                </c:pt>
                <c:pt idx="53">
                  <c:v>53.066000000000003</c:v>
                </c:pt>
                <c:pt idx="54">
                  <c:v>53.115000000000002</c:v>
                </c:pt>
                <c:pt idx="55">
                  <c:v>55.881999999999998</c:v>
                </c:pt>
                <c:pt idx="60">
                  <c:v>55.026000000000003</c:v>
                </c:pt>
                <c:pt idx="61">
                  <c:v>53.585000000000001</c:v>
                </c:pt>
                <c:pt idx="62">
                  <c:v>52.448999999999998</c:v>
                </c:pt>
                <c:pt idx="63">
                  <c:v>54.003</c:v>
                </c:pt>
                <c:pt idx="67">
                  <c:v>55.018000000000001</c:v>
                </c:pt>
                <c:pt idx="68">
                  <c:v>54.265000000000001</c:v>
                </c:pt>
                <c:pt idx="69">
                  <c:v>54.113</c:v>
                </c:pt>
                <c:pt idx="70">
                  <c:v>54.46</c:v>
                </c:pt>
                <c:pt idx="74">
                  <c:v>54.695999999999998</c:v>
                </c:pt>
                <c:pt idx="75">
                  <c:v>53.401000000000003</c:v>
                </c:pt>
                <c:pt idx="76">
                  <c:v>53.738999999999997</c:v>
                </c:pt>
                <c:pt idx="77">
                  <c:v>52.125</c:v>
                </c:pt>
                <c:pt idx="78">
                  <c:v>51.682000000000002</c:v>
                </c:pt>
                <c:pt idx="82">
                  <c:v>55.774000000000001</c:v>
                </c:pt>
                <c:pt idx="83">
                  <c:v>55.561999999999998</c:v>
                </c:pt>
                <c:pt idx="84">
                  <c:v>55.697000000000003</c:v>
                </c:pt>
                <c:pt idx="85">
                  <c:v>54.244</c:v>
                </c:pt>
                <c:pt idx="86">
                  <c:v>54.317</c:v>
                </c:pt>
                <c:pt idx="90">
                  <c:v>55.636000000000003</c:v>
                </c:pt>
                <c:pt idx="91">
                  <c:v>54.902000000000001</c:v>
                </c:pt>
                <c:pt idx="92">
                  <c:v>54.097999999999999</c:v>
                </c:pt>
                <c:pt idx="93">
                  <c:v>54.762</c:v>
                </c:pt>
                <c:pt idx="94">
                  <c:v>54.241999999999997</c:v>
                </c:pt>
                <c:pt idx="98">
                  <c:v>53.101999999999997</c:v>
                </c:pt>
                <c:pt idx="99">
                  <c:v>52.107999999999997</c:v>
                </c:pt>
                <c:pt idx="100">
                  <c:v>52.442999999999998</c:v>
                </c:pt>
                <c:pt idx="101">
                  <c:v>51.101999999999997</c:v>
                </c:pt>
                <c:pt idx="105">
                  <c:v>54.497999999999998</c:v>
                </c:pt>
                <c:pt idx="106">
                  <c:v>51.082999999999998</c:v>
                </c:pt>
                <c:pt idx="107">
                  <c:v>52.182000000000002</c:v>
                </c:pt>
                <c:pt idx="111">
                  <c:v>53.719000000000001</c:v>
                </c:pt>
                <c:pt idx="112">
                  <c:v>51.573999999999998</c:v>
                </c:pt>
                <c:pt idx="113">
                  <c:v>51.237000000000002</c:v>
                </c:pt>
                <c:pt idx="114">
                  <c:v>52.923999999999999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F-48EC-81CB-2FA4BA1E7EDD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All!$BX$6:$BX$124</c:f>
              <c:numCache>
                <c:formatCode>General</c:formatCode>
                <c:ptCount val="119"/>
                <c:pt idx="0">
                  <c:v>57.493000000000002</c:v>
                </c:pt>
                <c:pt idx="1">
                  <c:v>56.228999999999999</c:v>
                </c:pt>
                <c:pt idx="2">
                  <c:v>57.865000000000002</c:v>
                </c:pt>
                <c:pt idx="3">
                  <c:v>57.802</c:v>
                </c:pt>
                <c:pt idx="7">
                  <c:v>57.817</c:v>
                </c:pt>
                <c:pt idx="8">
                  <c:v>57.048000000000002</c:v>
                </c:pt>
                <c:pt idx="9">
                  <c:v>58.12</c:v>
                </c:pt>
                <c:pt idx="10">
                  <c:v>57.265000000000001</c:v>
                </c:pt>
                <c:pt idx="11">
                  <c:v>56.326999999999998</c:v>
                </c:pt>
                <c:pt idx="12">
                  <c:v>57.878999999999998</c:v>
                </c:pt>
                <c:pt idx="13">
                  <c:v>57.527999999999999</c:v>
                </c:pt>
                <c:pt idx="17">
                  <c:v>59.103999999999999</c:v>
                </c:pt>
                <c:pt idx="18">
                  <c:v>57.762</c:v>
                </c:pt>
                <c:pt idx="19">
                  <c:v>57.234999999999999</c:v>
                </c:pt>
                <c:pt idx="20">
                  <c:v>57.048000000000002</c:v>
                </c:pt>
                <c:pt idx="21">
                  <c:v>58.027999999999999</c:v>
                </c:pt>
                <c:pt idx="22">
                  <c:v>57.085000000000001</c:v>
                </c:pt>
                <c:pt idx="26">
                  <c:v>56.781999999999996</c:v>
                </c:pt>
                <c:pt idx="27">
                  <c:v>55.662999999999997</c:v>
                </c:pt>
                <c:pt idx="28">
                  <c:v>55.701999999999998</c:v>
                </c:pt>
                <c:pt idx="29">
                  <c:v>56.491</c:v>
                </c:pt>
                <c:pt idx="30">
                  <c:v>56.128</c:v>
                </c:pt>
                <c:pt idx="31">
                  <c:v>56.875</c:v>
                </c:pt>
                <c:pt idx="35">
                  <c:v>56.747</c:v>
                </c:pt>
                <c:pt idx="36">
                  <c:v>55.298000000000002</c:v>
                </c:pt>
                <c:pt idx="37">
                  <c:v>55.356000000000002</c:v>
                </c:pt>
                <c:pt idx="38">
                  <c:v>55.917000000000002</c:v>
                </c:pt>
                <c:pt idx="42">
                  <c:v>58.926000000000002</c:v>
                </c:pt>
                <c:pt idx="43">
                  <c:v>56.95</c:v>
                </c:pt>
                <c:pt idx="44">
                  <c:v>56.128999999999998</c:v>
                </c:pt>
                <c:pt idx="45">
                  <c:v>55.969000000000001</c:v>
                </c:pt>
                <c:pt idx="46">
                  <c:v>56.213000000000001</c:v>
                </c:pt>
                <c:pt idx="50">
                  <c:v>54.857999999999997</c:v>
                </c:pt>
                <c:pt idx="51">
                  <c:v>53.945999999999998</c:v>
                </c:pt>
                <c:pt idx="52">
                  <c:v>55.988999999999997</c:v>
                </c:pt>
                <c:pt idx="53">
                  <c:v>54.954000000000001</c:v>
                </c:pt>
                <c:pt idx="54">
                  <c:v>55.01</c:v>
                </c:pt>
                <c:pt idx="55">
                  <c:v>54.762</c:v>
                </c:pt>
                <c:pt idx="60">
                  <c:v>56.250999999999998</c:v>
                </c:pt>
                <c:pt idx="61">
                  <c:v>54.463999999999999</c:v>
                </c:pt>
                <c:pt idx="62">
                  <c:v>54.222999999999999</c:v>
                </c:pt>
                <c:pt idx="63">
                  <c:v>52.25</c:v>
                </c:pt>
                <c:pt idx="67">
                  <c:v>55.360999999999997</c:v>
                </c:pt>
                <c:pt idx="68">
                  <c:v>55.268000000000001</c:v>
                </c:pt>
                <c:pt idx="69">
                  <c:v>55.043999999999997</c:v>
                </c:pt>
                <c:pt idx="70">
                  <c:v>55.427</c:v>
                </c:pt>
                <c:pt idx="74">
                  <c:v>54.662999999999997</c:v>
                </c:pt>
                <c:pt idx="75">
                  <c:v>54.216000000000001</c:v>
                </c:pt>
                <c:pt idx="76">
                  <c:v>53.735999999999997</c:v>
                </c:pt>
                <c:pt idx="77">
                  <c:v>54.161999999999999</c:v>
                </c:pt>
                <c:pt idx="78">
                  <c:v>54.83</c:v>
                </c:pt>
                <c:pt idx="82">
                  <c:v>56.703000000000003</c:v>
                </c:pt>
                <c:pt idx="83">
                  <c:v>57.28</c:v>
                </c:pt>
                <c:pt idx="84">
                  <c:v>56.863999999999997</c:v>
                </c:pt>
                <c:pt idx="85">
                  <c:v>56.256999999999998</c:v>
                </c:pt>
                <c:pt idx="86">
                  <c:v>57.076000000000001</c:v>
                </c:pt>
                <c:pt idx="90">
                  <c:v>56.11</c:v>
                </c:pt>
                <c:pt idx="91">
                  <c:v>56.42</c:v>
                </c:pt>
                <c:pt idx="92">
                  <c:v>57.225000000000001</c:v>
                </c:pt>
                <c:pt idx="93">
                  <c:v>56.462000000000003</c:v>
                </c:pt>
                <c:pt idx="94">
                  <c:v>57.277000000000001</c:v>
                </c:pt>
                <c:pt idx="98">
                  <c:v>54.655000000000001</c:v>
                </c:pt>
                <c:pt idx="99">
                  <c:v>55.768000000000001</c:v>
                </c:pt>
                <c:pt idx="100">
                  <c:v>53.673999999999999</c:v>
                </c:pt>
                <c:pt idx="101">
                  <c:v>53.19</c:v>
                </c:pt>
                <c:pt idx="105">
                  <c:v>54.552999999999997</c:v>
                </c:pt>
                <c:pt idx="106">
                  <c:v>52.53</c:v>
                </c:pt>
                <c:pt idx="107">
                  <c:v>53.563000000000002</c:v>
                </c:pt>
                <c:pt idx="111">
                  <c:v>54.162999999999997</c:v>
                </c:pt>
                <c:pt idx="112">
                  <c:v>52.985999999999997</c:v>
                </c:pt>
                <c:pt idx="113">
                  <c:v>54.018999999999998</c:v>
                </c:pt>
                <c:pt idx="114">
                  <c:v>53.890999999999998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DF-48EC-81CB-2FA4BA1E7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5696"/>
        <c:axId val="483980784"/>
      </c:scatterChart>
      <c:valAx>
        <c:axId val="48403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0784"/>
        <c:crosses val="autoZero"/>
        <c:crossBetween val="midCat"/>
      </c:valAx>
      <c:valAx>
        <c:axId val="483980784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All!$CA$6:$CA$124</c:f>
              <c:numCache>
                <c:formatCode>General</c:formatCode>
                <c:ptCount val="119"/>
                <c:pt idx="0">
                  <c:v>2.85</c:v>
                </c:pt>
                <c:pt idx="1">
                  <c:v>2.9</c:v>
                </c:pt>
                <c:pt idx="2">
                  <c:v>3.4049999999999998</c:v>
                </c:pt>
                <c:pt idx="3">
                  <c:v>3.415</c:v>
                </c:pt>
                <c:pt idx="7">
                  <c:v>3.335</c:v>
                </c:pt>
                <c:pt idx="8">
                  <c:v>3.7429999999999999</c:v>
                </c:pt>
                <c:pt idx="9">
                  <c:v>3.5329999999999999</c:v>
                </c:pt>
                <c:pt idx="10">
                  <c:v>3.4889999999999999</c:v>
                </c:pt>
                <c:pt idx="11">
                  <c:v>3.4710000000000001</c:v>
                </c:pt>
                <c:pt idx="12">
                  <c:v>3.778</c:v>
                </c:pt>
                <c:pt idx="13">
                  <c:v>3.2010000000000001</c:v>
                </c:pt>
                <c:pt idx="17">
                  <c:v>3.3919999999999999</c:v>
                </c:pt>
                <c:pt idx="18">
                  <c:v>3.702</c:v>
                </c:pt>
                <c:pt idx="19">
                  <c:v>3.8069999999999999</c:v>
                </c:pt>
                <c:pt idx="20">
                  <c:v>3.835</c:v>
                </c:pt>
                <c:pt idx="21">
                  <c:v>3.8730000000000002</c:v>
                </c:pt>
                <c:pt idx="22">
                  <c:v>3.01</c:v>
                </c:pt>
                <c:pt idx="26">
                  <c:v>3.5529999999999999</c:v>
                </c:pt>
                <c:pt idx="27">
                  <c:v>3.194</c:v>
                </c:pt>
                <c:pt idx="28">
                  <c:v>3.4039999999999999</c:v>
                </c:pt>
                <c:pt idx="29">
                  <c:v>3.589</c:v>
                </c:pt>
                <c:pt idx="30">
                  <c:v>3.5870000000000002</c:v>
                </c:pt>
                <c:pt idx="31">
                  <c:v>2.9119999999999999</c:v>
                </c:pt>
                <c:pt idx="35">
                  <c:v>3.706</c:v>
                </c:pt>
                <c:pt idx="36">
                  <c:v>3.5609999999999999</c:v>
                </c:pt>
                <c:pt idx="37">
                  <c:v>3.6669999999999998</c:v>
                </c:pt>
                <c:pt idx="38">
                  <c:v>2.2930000000000001</c:v>
                </c:pt>
                <c:pt idx="42">
                  <c:v>2.306</c:v>
                </c:pt>
                <c:pt idx="43">
                  <c:v>2.5870000000000002</c:v>
                </c:pt>
                <c:pt idx="44">
                  <c:v>3.3029999999999999</c:v>
                </c:pt>
                <c:pt idx="45">
                  <c:v>3.899</c:v>
                </c:pt>
                <c:pt idx="46">
                  <c:v>2.9769999999999999</c:v>
                </c:pt>
                <c:pt idx="50">
                  <c:v>2.8620000000000001</c:v>
                </c:pt>
                <c:pt idx="51">
                  <c:v>3.3639999999999999</c:v>
                </c:pt>
                <c:pt idx="52">
                  <c:v>3.4079999999999999</c:v>
                </c:pt>
                <c:pt idx="53">
                  <c:v>3.7829999999999999</c:v>
                </c:pt>
                <c:pt idx="54">
                  <c:v>3.661</c:v>
                </c:pt>
                <c:pt idx="55">
                  <c:v>2.613</c:v>
                </c:pt>
                <c:pt idx="59">
                  <c:v>2.4E-2</c:v>
                </c:pt>
                <c:pt idx="60">
                  <c:v>2.669</c:v>
                </c:pt>
                <c:pt idx="61">
                  <c:v>3.5310000000000001</c:v>
                </c:pt>
                <c:pt idx="62">
                  <c:v>3.8610000000000002</c:v>
                </c:pt>
                <c:pt idx="63">
                  <c:v>3.2090000000000001</c:v>
                </c:pt>
                <c:pt idx="67">
                  <c:v>3.1909999999999998</c:v>
                </c:pt>
                <c:pt idx="68">
                  <c:v>3.4540000000000002</c:v>
                </c:pt>
                <c:pt idx="69">
                  <c:v>3.976</c:v>
                </c:pt>
                <c:pt idx="70">
                  <c:v>3.0920000000000001</c:v>
                </c:pt>
                <c:pt idx="74">
                  <c:v>3.2690000000000001</c:v>
                </c:pt>
                <c:pt idx="75">
                  <c:v>3.593</c:v>
                </c:pt>
                <c:pt idx="76">
                  <c:v>3.2949999999999999</c:v>
                </c:pt>
                <c:pt idx="77">
                  <c:v>3.4159999999999999</c:v>
                </c:pt>
                <c:pt idx="78">
                  <c:v>3.0529999999999999</c:v>
                </c:pt>
                <c:pt idx="82">
                  <c:v>3.2930000000000001</c:v>
                </c:pt>
                <c:pt idx="83">
                  <c:v>3.34</c:v>
                </c:pt>
                <c:pt idx="84">
                  <c:v>3.4420000000000002</c:v>
                </c:pt>
                <c:pt idx="85">
                  <c:v>3.6190000000000002</c:v>
                </c:pt>
                <c:pt idx="86">
                  <c:v>3.3220000000000001</c:v>
                </c:pt>
                <c:pt idx="90">
                  <c:v>2.9670000000000001</c:v>
                </c:pt>
                <c:pt idx="91">
                  <c:v>3.008</c:v>
                </c:pt>
                <c:pt idx="92">
                  <c:v>2.7330000000000001</c:v>
                </c:pt>
                <c:pt idx="93">
                  <c:v>3.6259999999999999</c:v>
                </c:pt>
                <c:pt idx="94">
                  <c:v>3.0630000000000002</c:v>
                </c:pt>
                <c:pt idx="98">
                  <c:v>3.4980000000000002</c:v>
                </c:pt>
                <c:pt idx="99">
                  <c:v>3.8879999999999999</c:v>
                </c:pt>
                <c:pt idx="100">
                  <c:v>4.1760000000000002</c:v>
                </c:pt>
                <c:pt idx="101">
                  <c:v>3.0539999999999998</c:v>
                </c:pt>
                <c:pt idx="105">
                  <c:v>3.5990000000000002</c:v>
                </c:pt>
                <c:pt idx="106">
                  <c:v>3.4089999999999998</c:v>
                </c:pt>
                <c:pt idx="107">
                  <c:v>3.157</c:v>
                </c:pt>
                <c:pt idx="111">
                  <c:v>3.3410000000000002</c:v>
                </c:pt>
                <c:pt idx="112">
                  <c:v>3.5059999999999998</c:v>
                </c:pt>
                <c:pt idx="113">
                  <c:v>3.343</c:v>
                </c:pt>
                <c:pt idx="114">
                  <c:v>3.718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C1-4E9A-B602-274D3D031B2B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All!$CB$6:$CB$124</c:f>
              <c:numCache>
                <c:formatCode>General</c:formatCode>
                <c:ptCount val="119"/>
                <c:pt idx="0">
                  <c:v>3.5710000000000002</c:v>
                </c:pt>
                <c:pt idx="1">
                  <c:v>3.4</c:v>
                </c:pt>
                <c:pt idx="2">
                  <c:v>4.1769999999999996</c:v>
                </c:pt>
                <c:pt idx="3">
                  <c:v>3.5840000000000001</c:v>
                </c:pt>
                <c:pt idx="7">
                  <c:v>3.1160000000000001</c:v>
                </c:pt>
                <c:pt idx="8">
                  <c:v>3.6160000000000001</c:v>
                </c:pt>
                <c:pt idx="9">
                  <c:v>4.1769999999999996</c:v>
                </c:pt>
                <c:pt idx="10">
                  <c:v>3.7349999999999999</c:v>
                </c:pt>
                <c:pt idx="11">
                  <c:v>3.4550000000000001</c:v>
                </c:pt>
                <c:pt idx="12">
                  <c:v>3.3570000000000002</c:v>
                </c:pt>
                <c:pt idx="13">
                  <c:v>3.3580000000000001</c:v>
                </c:pt>
                <c:pt idx="17">
                  <c:v>3.1930000000000001</c:v>
                </c:pt>
                <c:pt idx="18">
                  <c:v>3.19</c:v>
                </c:pt>
                <c:pt idx="19">
                  <c:v>3.669</c:v>
                </c:pt>
                <c:pt idx="20">
                  <c:v>3.8919999999999999</c:v>
                </c:pt>
                <c:pt idx="21">
                  <c:v>3.5630000000000002</c:v>
                </c:pt>
                <c:pt idx="22">
                  <c:v>3.5350000000000001</c:v>
                </c:pt>
                <c:pt idx="26">
                  <c:v>3.0310000000000001</c:v>
                </c:pt>
                <c:pt idx="27">
                  <c:v>3.9460000000000002</c:v>
                </c:pt>
                <c:pt idx="28">
                  <c:v>3.548</c:v>
                </c:pt>
                <c:pt idx="29">
                  <c:v>3.9809999999999999</c:v>
                </c:pt>
                <c:pt idx="30">
                  <c:v>3.4769999999999999</c:v>
                </c:pt>
                <c:pt idx="31">
                  <c:v>2.9039999999999999</c:v>
                </c:pt>
                <c:pt idx="35">
                  <c:v>2.7010000000000001</c:v>
                </c:pt>
                <c:pt idx="36">
                  <c:v>3.1629999999999998</c:v>
                </c:pt>
                <c:pt idx="37">
                  <c:v>3.0750000000000002</c:v>
                </c:pt>
                <c:pt idx="38">
                  <c:v>2.1930000000000001</c:v>
                </c:pt>
                <c:pt idx="42">
                  <c:v>2.7509999999999999</c:v>
                </c:pt>
                <c:pt idx="43">
                  <c:v>4.1740000000000004</c:v>
                </c:pt>
                <c:pt idx="44">
                  <c:v>3.6469999999999998</c:v>
                </c:pt>
                <c:pt idx="45">
                  <c:v>4.1769999999999996</c:v>
                </c:pt>
                <c:pt idx="46">
                  <c:v>3.4129999999999998</c:v>
                </c:pt>
                <c:pt idx="50">
                  <c:v>3.0990000000000002</c:v>
                </c:pt>
                <c:pt idx="51">
                  <c:v>3.26</c:v>
                </c:pt>
                <c:pt idx="52">
                  <c:v>3.0870000000000002</c:v>
                </c:pt>
                <c:pt idx="53">
                  <c:v>3.5710000000000002</c:v>
                </c:pt>
                <c:pt idx="54">
                  <c:v>3.7389999999999999</c:v>
                </c:pt>
                <c:pt idx="55">
                  <c:v>2.8</c:v>
                </c:pt>
                <c:pt idx="59">
                  <c:v>2.1000000000000001E-2</c:v>
                </c:pt>
                <c:pt idx="60">
                  <c:v>2.7090000000000001</c:v>
                </c:pt>
                <c:pt idx="61">
                  <c:v>3.45</c:v>
                </c:pt>
                <c:pt idx="62">
                  <c:v>3.835</c:v>
                </c:pt>
                <c:pt idx="63">
                  <c:v>3.7069999999999999</c:v>
                </c:pt>
                <c:pt idx="67">
                  <c:v>2.9670000000000001</c:v>
                </c:pt>
                <c:pt idx="68">
                  <c:v>4.1769999999999996</c:v>
                </c:pt>
                <c:pt idx="69">
                  <c:v>3.669</c:v>
                </c:pt>
                <c:pt idx="70">
                  <c:v>3.3359999999999999</c:v>
                </c:pt>
                <c:pt idx="74">
                  <c:v>2.855</c:v>
                </c:pt>
                <c:pt idx="75">
                  <c:v>3.403</c:v>
                </c:pt>
                <c:pt idx="76">
                  <c:v>3.133</c:v>
                </c:pt>
                <c:pt idx="77">
                  <c:v>3.3170000000000002</c:v>
                </c:pt>
                <c:pt idx="78">
                  <c:v>3.456</c:v>
                </c:pt>
                <c:pt idx="82">
                  <c:v>3.145</c:v>
                </c:pt>
                <c:pt idx="83">
                  <c:v>3.04</c:v>
                </c:pt>
                <c:pt idx="84">
                  <c:v>3.0070000000000001</c:v>
                </c:pt>
                <c:pt idx="85">
                  <c:v>3.137</c:v>
                </c:pt>
                <c:pt idx="86">
                  <c:v>3.53</c:v>
                </c:pt>
                <c:pt idx="90">
                  <c:v>2.9329999999999998</c:v>
                </c:pt>
                <c:pt idx="91">
                  <c:v>4.0579999999999998</c:v>
                </c:pt>
                <c:pt idx="92">
                  <c:v>3.3969999999999998</c:v>
                </c:pt>
                <c:pt idx="93">
                  <c:v>4.0110000000000001</c:v>
                </c:pt>
                <c:pt idx="94">
                  <c:v>3.3879999999999999</c:v>
                </c:pt>
                <c:pt idx="98">
                  <c:v>3.714</c:v>
                </c:pt>
                <c:pt idx="99">
                  <c:v>4.0949999999999998</c:v>
                </c:pt>
                <c:pt idx="100">
                  <c:v>3.597</c:v>
                </c:pt>
                <c:pt idx="101">
                  <c:v>3.335</c:v>
                </c:pt>
                <c:pt idx="105">
                  <c:v>4.1550000000000002</c:v>
                </c:pt>
                <c:pt idx="106">
                  <c:v>4.1769999999999996</c:v>
                </c:pt>
                <c:pt idx="107">
                  <c:v>3.6259999999999999</c:v>
                </c:pt>
                <c:pt idx="111">
                  <c:v>3.202</c:v>
                </c:pt>
                <c:pt idx="112">
                  <c:v>3.6539999999999999</c:v>
                </c:pt>
                <c:pt idx="113">
                  <c:v>3.609</c:v>
                </c:pt>
                <c:pt idx="114">
                  <c:v>3.0049999999999999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C1-4E9A-B602-274D3D031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2000"/>
        <c:axId val="483991600"/>
      </c:scatterChart>
      <c:valAx>
        <c:axId val="48400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1600"/>
        <c:crosses val="autoZero"/>
        <c:crossBetween val="midCat"/>
      </c:valAx>
      <c:valAx>
        <c:axId val="483991600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All!$DF$6:$DF$124</c:f>
              <c:numCache>
                <c:formatCode>General</c:formatCode>
                <c:ptCount val="119"/>
                <c:pt idx="0">
                  <c:v>0.106</c:v>
                </c:pt>
                <c:pt idx="1">
                  <c:v>5.8000000000000003E-2</c:v>
                </c:pt>
                <c:pt idx="2">
                  <c:v>6.8000000000000005E-2</c:v>
                </c:pt>
                <c:pt idx="3">
                  <c:v>6.4000000000000001E-2</c:v>
                </c:pt>
                <c:pt idx="7">
                  <c:v>0.125</c:v>
                </c:pt>
                <c:pt idx="8">
                  <c:v>0.114</c:v>
                </c:pt>
                <c:pt idx="9">
                  <c:v>0.113</c:v>
                </c:pt>
                <c:pt idx="10">
                  <c:v>0.13600000000000001</c:v>
                </c:pt>
                <c:pt idx="11">
                  <c:v>0.121</c:v>
                </c:pt>
                <c:pt idx="12">
                  <c:v>0.15</c:v>
                </c:pt>
                <c:pt idx="13">
                  <c:v>0.123</c:v>
                </c:pt>
                <c:pt idx="17">
                  <c:v>0.11600000000000001</c:v>
                </c:pt>
                <c:pt idx="18">
                  <c:v>0.157</c:v>
                </c:pt>
                <c:pt idx="19">
                  <c:v>0.20799999999999999</c:v>
                </c:pt>
                <c:pt idx="20">
                  <c:v>0.18099999999999999</c:v>
                </c:pt>
                <c:pt idx="21">
                  <c:v>0.16800000000000001</c:v>
                </c:pt>
                <c:pt idx="22">
                  <c:v>0.126</c:v>
                </c:pt>
                <c:pt idx="26">
                  <c:v>9.7000000000000003E-2</c:v>
                </c:pt>
                <c:pt idx="27">
                  <c:v>0.14699999999999999</c:v>
                </c:pt>
                <c:pt idx="28">
                  <c:v>0.14599999999999999</c:v>
                </c:pt>
                <c:pt idx="29">
                  <c:v>0.104</c:v>
                </c:pt>
                <c:pt idx="30">
                  <c:v>0.17100000000000001</c:v>
                </c:pt>
                <c:pt idx="31">
                  <c:v>5.0999999999999997E-2</c:v>
                </c:pt>
                <c:pt idx="35">
                  <c:v>5.6000000000000001E-2</c:v>
                </c:pt>
                <c:pt idx="36">
                  <c:v>0.17599999999999999</c:v>
                </c:pt>
                <c:pt idx="37">
                  <c:v>0.13300000000000001</c:v>
                </c:pt>
                <c:pt idx="38">
                  <c:v>5.5E-2</c:v>
                </c:pt>
                <c:pt idx="42">
                  <c:v>1.7999999999999999E-2</c:v>
                </c:pt>
                <c:pt idx="43">
                  <c:v>0.109</c:v>
                </c:pt>
                <c:pt idx="44">
                  <c:v>0.187</c:v>
                </c:pt>
                <c:pt idx="45">
                  <c:v>0.14899999999999999</c:v>
                </c:pt>
                <c:pt idx="46">
                  <c:v>0.13500000000000001</c:v>
                </c:pt>
                <c:pt idx="50">
                  <c:v>3.9E-2</c:v>
                </c:pt>
                <c:pt idx="51">
                  <c:v>0.03</c:v>
                </c:pt>
                <c:pt idx="52">
                  <c:v>8.6999999999999994E-2</c:v>
                </c:pt>
                <c:pt idx="53">
                  <c:v>6.2E-2</c:v>
                </c:pt>
                <c:pt idx="54">
                  <c:v>0.03</c:v>
                </c:pt>
                <c:pt idx="55">
                  <c:v>8.9999999999999993E-3</c:v>
                </c:pt>
                <c:pt idx="60">
                  <c:v>1.2999999999999999E-2</c:v>
                </c:pt>
                <c:pt idx="61">
                  <c:v>2.5000000000000001E-2</c:v>
                </c:pt>
                <c:pt idx="62">
                  <c:v>1.7000000000000001E-2</c:v>
                </c:pt>
                <c:pt idx="63">
                  <c:v>-6.0000000000000001E-3</c:v>
                </c:pt>
                <c:pt idx="67">
                  <c:v>0.11799999999999999</c:v>
                </c:pt>
                <c:pt idx="68">
                  <c:v>7.1999999999999995E-2</c:v>
                </c:pt>
                <c:pt idx="69">
                  <c:v>5.3999999999999999E-2</c:v>
                </c:pt>
                <c:pt idx="70">
                  <c:v>2.5000000000000001E-2</c:v>
                </c:pt>
                <c:pt idx="74">
                  <c:v>0.05</c:v>
                </c:pt>
                <c:pt idx="75">
                  <c:v>4.4999999999999998E-2</c:v>
                </c:pt>
                <c:pt idx="76">
                  <c:v>3.2000000000000001E-2</c:v>
                </c:pt>
                <c:pt idx="77">
                  <c:v>4.3999999999999997E-2</c:v>
                </c:pt>
                <c:pt idx="78">
                  <c:v>5.0999999999999997E-2</c:v>
                </c:pt>
                <c:pt idx="82">
                  <c:v>0.08</c:v>
                </c:pt>
                <c:pt idx="83">
                  <c:v>5.2999999999999999E-2</c:v>
                </c:pt>
                <c:pt idx="84">
                  <c:v>0.06</c:v>
                </c:pt>
                <c:pt idx="85">
                  <c:v>8.6999999999999994E-2</c:v>
                </c:pt>
                <c:pt idx="86">
                  <c:v>0.104</c:v>
                </c:pt>
                <c:pt idx="90">
                  <c:v>0.105</c:v>
                </c:pt>
                <c:pt idx="91">
                  <c:v>0.08</c:v>
                </c:pt>
                <c:pt idx="92">
                  <c:v>7.3999999999999996E-2</c:v>
                </c:pt>
                <c:pt idx="93">
                  <c:v>5.5E-2</c:v>
                </c:pt>
                <c:pt idx="94">
                  <c:v>7.2999999999999995E-2</c:v>
                </c:pt>
                <c:pt idx="98">
                  <c:v>0.11</c:v>
                </c:pt>
                <c:pt idx="99">
                  <c:v>7.9000000000000001E-2</c:v>
                </c:pt>
                <c:pt idx="100">
                  <c:v>7.4999999999999997E-2</c:v>
                </c:pt>
                <c:pt idx="101">
                  <c:v>8.5999999999999993E-2</c:v>
                </c:pt>
                <c:pt idx="105">
                  <c:v>0.13400000000000001</c:v>
                </c:pt>
                <c:pt idx="106">
                  <c:v>0.16500000000000001</c:v>
                </c:pt>
                <c:pt idx="107">
                  <c:v>0.13200000000000001</c:v>
                </c:pt>
                <c:pt idx="111">
                  <c:v>0.152</c:v>
                </c:pt>
                <c:pt idx="112">
                  <c:v>0.18099999999999999</c:v>
                </c:pt>
                <c:pt idx="113">
                  <c:v>0.17499999999999999</c:v>
                </c:pt>
                <c:pt idx="114">
                  <c:v>9.0999999999999998E-2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74-495D-9F43-27361DD3C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7008"/>
        <c:axId val="483997840"/>
      </c:scatterChart>
      <c:valAx>
        <c:axId val="48399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7840"/>
        <c:crosses val="autoZero"/>
        <c:crossBetween val="midCat"/>
      </c:valAx>
      <c:valAx>
        <c:axId val="483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All!$DG$6:$DG$124</c:f>
              <c:numCache>
                <c:formatCode>General</c:formatCode>
                <c:ptCount val="119"/>
                <c:pt idx="0">
                  <c:v>0.193</c:v>
                </c:pt>
                <c:pt idx="1">
                  <c:v>0.375</c:v>
                </c:pt>
                <c:pt idx="2">
                  <c:v>0.433</c:v>
                </c:pt>
                <c:pt idx="3">
                  <c:v>0.218</c:v>
                </c:pt>
                <c:pt idx="7">
                  <c:v>0.109</c:v>
                </c:pt>
                <c:pt idx="8">
                  <c:v>0.55100000000000005</c:v>
                </c:pt>
                <c:pt idx="9">
                  <c:v>0.58699999999999997</c:v>
                </c:pt>
                <c:pt idx="10">
                  <c:v>0.50900000000000001</c:v>
                </c:pt>
                <c:pt idx="11">
                  <c:v>0.84399999999999997</c:v>
                </c:pt>
                <c:pt idx="12">
                  <c:v>1.04</c:v>
                </c:pt>
                <c:pt idx="13">
                  <c:v>0.57199999999999995</c:v>
                </c:pt>
                <c:pt idx="17">
                  <c:v>0.60899999999999999</c:v>
                </c:pt>
                <c:pt idx="18">
                  <c:v>1.302</c:v>
                </c:pt>
                <c:pt idx="19">
                  <c:v>0.88</c:v>
                </c:pt>
                <c:pt idx="20">
                  <c:v>1.071</c:v>
                </c:pt>
                <c:pt idx="21">
                  <c:v>1.079</c:v>
                </c:pt>
                <c:pt idx="22">
                  <c:v>0.35899999999999999</c:v>
                </c:pt>
                <c:pt idx="26">
                  <c:v>0.33800000000000002</c:v>
                </c:pt>
                <c:pt idx="27">
                  <c:v>0.11</c:v>
                </c:pt>
                <c:pt idx="28">
                  <c:v>0.71</c:v>
                </c:pt>
                <c:pt idx="29">
                  <c:v>0.505</c:v>
                </c:pt>
                <c:pt idx="30">
                  <c:v>1.0920000000000001</c:v>
                </c:pt>
                <c:pt idx="31">
                  <c:v>0.36199999999999999</c:v>
                </c:pt>
                <c:pt idx="35">
                  <c:v>0.28799999999999998</c:v>
                </c:pt>
                <c:pt idx="36">
                  <c:v>1.101</c:v>
                </c:pt>
                <c:pt idx="37">
                  <c:v>0.58599999999999997</c:v>
                </c:pt>
                <c:pt idx="38">
                  <c:v>0.373</c:v>
                </c:pt>
                <c:pt idx="42">
                  <c:v>0.28399999999999997</c:v>
                </c:pt>
                <c:pt idx="43">
                  <c:v>1.2210000000000001</c:v>
                </c:pt>
                <c:pt idx="44">
                  <c:v>1.3089999999999999</c:v>
                </c:pt>
                <c:pt idx="45">
                  <c:v>0.91700000000000004</c:v>
                </c:pt>
                <c:pt idx="46">
                  <c:v>0.35899999999999999</c:v>
                </c:pt>
                <c:pt idx="50">
                  <c:v>0.193</c:v>
                </c:pt>
                <c:pt idx="51">
                  <c:v>0.35299999999999998</c:v>
                </c:pt>
                <c:pt idx="52">
                  <c:v>1.256</c:v>
                </c:pt>
                <c:pt idx="53">
                  <c:v>0.83899999999999997</c:v>
                </c:pt>
                <c:pt idx="54">
                  <c:v>0.68100000000000005</c:v>
                </c:pt>
                <c:pt idx="55">
                  <c:v>0.4</c:v>
                </c:pt>
                <c:pt idx="59">
                  <c:v>0</c:v>
                </c:pt>
                <c:pt idx="60">
                  <c:v>0.48399999999999999</c:v>
                </c:pt>
                <c:pt idx="61">
                  <c:v>0.34799999999999998</c:v>
                </c:pt>
                <c:pt idx="62">
                  <c:v>0.98199999999999998</c:v>
                </c:pt>
                <c:pt idx="63">
                  <c:v>9.5000000000000001E-2</c:v>
                </c:pt>
                <c:pt idx="67">
                  <c:v>0.161</c:v>
                </c:pt>
                <c:pt idx="68">
                  <c:v>1.3049999999999999</c:v>
                </c:pt>
                <c:pt idx="69">
                  <c:v>0.68300000000000005</c:v>
                </c:pt>
                <c:pt idx="70">
                  <c:v>0.23100000000000001</c:v>
                </c:pt>
                <c:pt idx="74">
                  <c:v>9.5000000000000001E-2</c:v>
                </c:pt>
                <c:pt idx="75">
                  <c:v>0.56699999999999995</c:v>
                </c:pt>
                <c:pt idx="76">
                  <c:v>0.33600000000000002</c:v>
                </c:pt>
                <c:pt idx="77">
                  <c:v>0.496</c:v>
                </c:pt>
                <c:pt idx="78">
                  <c:v>0.28199999999999997</c:v>
                </c:pt>
                <c:pt idx="82">
                  <c:v>0.17299999999999999</c:v>
                </c:pt>
                <c:pt idx="83">
                  <c:v>0.65800000000000003</c:v>
                </c:pt>
                <c:pt idx="84">
                  <c:v>0.52200000000000002</c:v>
                </c:pt>
                <c:pt idx="85">
                  <c:v>0.92</c:v>
                </c:pt>
                <c:pt idx="86">
                  <c:v>0.216</c:v>
                </c:pt>
                <c:pt idx="90">
                  <c:v>0.28199999999999997</c:v>
                </c:pt>
                <c:pt idx="91">
                  <c:v>0.28999999999999998</c:v>
                </c:pt>
                <c:pt idx="92">
                  <c:v>0.66800000000000004</c:v>
                </c:pt>
                <c:pt idx="93">
                  <c:v>0.58499999999999996</c:v>
                </c:pt>
                <c:pt idx="94">
                  <c:v>0.10199999999999999</c:v>
                </c:pt>
                <c:pt idx="98">
                  <c:v>0.33700000000000002</c:v>
                </c:pt>
                <c:pt idx="99">
                  <c:v>0.81</c:v>
                </c:pt>
                <c:pt idx="100">
                  <c:v>0.76800000000000002</c:v>
                </c:pt>
                <c:pt idx="101">
                  <c:v>0.29199999999999998</c:v>
                </c:pt>
                <c:pt idx="105">
                  <c:v>0.38500000000000001</c:v>
                </c:pt>
                <c:pt idx="106">
                  <c:v>1.0469999999999999</c:v>
                </c:pt>
                <c:pt idx="107">
                  <c:v>0.41599999999999998</c:v>
                </c:pt>
                <c:pt idx="111">
                  <c:v>0.189</c:v>
                </c:pt>
                <c:pt idx="112">
                  <c:v>0.93300000000000005</c:v>
                </c:pt>
                <c:pt idx="113">
                  <c:v>0.83899999999999997</c:v>
                </c:pt>
                <c:pt idx="114">
                  <c:v>0.20899999999999999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5E-45C6-9BC5-48DEB1E57C73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All!$DH$6:$DH$124</c:f>
              <c:numCache>
                <c:formatCode>General</c:formatCode>
                <c:ptCount val="119"/>
                <c:pt idx="0">
                  <c:v>0.90300000000000002</c:v>
                </c:pt>
                <c:pt idx="1">
                  <c:v>2.077</c:v>
                </c:pt>
                <c:pt idx="2">
                  <c:v>1.8819999999999999</c:v>
                </c:pt>
                <c:pt idx="3">
                  <c:v>1.9259999999999999</c:v>
                </c:pt>
                <c:pt idx="7">
                  <c:v>2.149</c:v>
                </c:pt>
                <c:pt idx="8">
                  <c:v>2.35</c:v>
                </c:pt>
                <c:pt idx="9">
                  <c:v>2.448</c:v>
                </c:pt>
                <c:pt idx="10">
                  <c:v>2.589</c:v>
                </c:pt>
                <c:pt idx="11">
                  <c:v>2.2570000000000001</c:v>
                </c:pt>
                <c:pt idx="12">
                  <c:v>1.905</c:v>
                </c:pt>
                <c:pt idx="13">
                  <c:v>1.901</c:v>
                </c:pt>
                <c:pt idx="17">
                  <c:v>2.16</c:v>
                </c:pt>
                <c:pt idx="18">
                  <c:v>2.5470000000000002</c:v>
                </c:pt>
                <c:pt idx="19">
                  <c:v>2.6419999999999999</c:v>
                </c:pt>
                <c:pt idx="20">
                  <c:v>2.7850000000000001</c:v>
                </c:pt>
                <c:pt idx="21">
                  <c:v>2.669</c:v>
                </c:pt>
                <c:pt idx="22">
                  <c:v>2.3149999999999999</c:v>
                </c:pt>
                <c:pt idx="26">
                  <c:v>1.266</c:v>
                </c:pt>
                <c:pt idx="27">
                  <c:v>1.875</c:v>
                </c:pt>
                <c:pt idx="28">
                  <c:v>1.8460000000000001</c:v>
                </c:pt>
                <c:pt idx="29">
                  <c:v>1.8129999999999999</c:v>
                </c:pt>
                <c:pt idx="30">
                  <c:v>2.2989999999999999</c:v>
                </c:pt>
                <c:pt idx="31">
                  <c:v>1.482</c:v>
                </c:pt>
                <c:pt idx="35">
                  <c:v>2.0699999999999998</c:v>
                </c:pt>
                <c:pt idx="36">
                  <c:v>1.891</c:v>
                </c:pt>
                <c:pt idx="37">
                  <c:v>1.66</c:v>
                </c:pt>
                <c:pt idx="38">
                  <c:v>1.367</c:v>
                </c:pt>
                <c:pt idx="42">
                  <c:v>2.1</c:v>
                </c:pt>
                <c:pt idx="43">
                  <c:v>3.7</c:v>
                </c:pt>
                <c:pt idx="44">
                  <c:v>2.4369999999999998</c:v>
                </c:pt>
                <c:pt idx="45">
                  <c:v>2.4260000000000002</c:v>
                </c:pt>
                <c:pt idx="46">
                  <c:v>1.8049999999999999</c:v>
                </c:pt>
                <c:pt idx="50">
                  <c:v>1.252</c:v>
                </c:pt>
                <c:pt idx="51">
                  <c:v>1.7450000000000001</c:v>
                </c:pt>
                <c:pt idx="52">
                  <c:v>3.5819999999999999</c:v>
                </c:pt>
                <c:pt idx="53">
                  <c:v>2.371</c:v>
                </c:pt>
                <c:pt idx="54">
                  <c:v>1.645</c:v>
                </c:pt>
                <c:pt idx="55">
                  <c:v>1.575</c:v>
                </c:pt>
                <c:pt idx="60">
                  <c:v>1.1000000000000001</c:v>
                </c:pt>
                <c:pt idx="61">
                  <c:v>1.139</c:v>
                </c:pt>
                <c:pt idx="62">
                  <c:v>1.2410000000000001</c:v>
                </c:pt>
                <c:pt idx="63">
                  <c:v>0.99099999999999999</c:v>
                </c:pt>
                <c:pt idx="67">
                  <c:v>2.7490000000000001</c:v>
                </c:pt>
                <c:pt idx="68">
                  <c:v>2.5870000000000002</c:v>
                </c:pt>
                <c:pt idx="69">
                  <c:v>1.9159999999999999</c:v>
                </c:pt>
                <c:pt idx="70">
                  <c:v>1.2929999999999999</c:v>
                </c:pt>
                <c:pt idx="74">
                  <c:v>0.94799999999999995</c:v>
                </c:pt>
                <c:pt idx="75">
                  <c:v>2.0739999999999998</c:v>
                </c:pt>
                <c:pt idx="76">
                  <c:v>1.409</c:v>
                </c:pt>
                <c:pt idx="77">
                  <c:v>1.0129999999999999</c:v>
                </c:pt>
                <c:pt idx="78">
                  <c:v>1.494</c:v>
                </c:pt>
                <c:pt idx="82">
                  <c:v>1.53</c:v>
                </c:pt>
                <c:pt idx="83">
                  <c:v>1.79</c:v>
                </c:pt>
                <c:pt idx="84">
                  <c:v>1.8360000000000001</c:v>
                </c:pt>
                <c:pt idx="85">
                  <c:v>1.732</c:v>
                </c:pt>
                <c:pt idx="86">
                  <c:v>1.829</c:v>
                </c:pt>
                <c:pt idx="90">
                  <c:v>1.55</c:v>
                </c:pt>
                <c:pt idx="91">
                  <c:v>1.7629999999999999</c:v>
                </c:pt>
                <c:pt idx="92">
                  <c:v>1.478</c:v>
                </c:pt>
                <c:pt idx="93">
                  <c:v>2.129</c:v>
                </c:pt>
                <c:pt idx="94">
                  <c:v>0.71799999999999997</c:v>
                </c:pt>
                <c:pt idx="98">
                  <c:v>1.889</c:v>
                </c:pt>
                <c:pt idx="99">
                  <c:v>2.0390000000000001</c:v>
                </c:pt>
                <c:pt idx="100">
                  <c:v>1.784</c:v>
                </c:pt>
                <c:pt idx="101">
                  <c:v>1.52</c:v>
                </c:pt>
                <c:pt idx="105">
                  <c:v>2.4180000000000001</c:v>
                </c:pt>
                <c:pt idx="106">
                  <c:v>2.4630000000000001</c:v>
                </c:pt>
                <c:pt idx="107">
                  <c:v>1.9379999999999999</c:v>
                </c:pt>
                <c:pt idx="111">
                  <c:v>1.8380000000000001</c:v>
                </c:pt>
                <c:pt idx="112">
                  <c:v>2.2029999999999998</c:v>
                </c:pt>
                <c:pt idx="113">
                  <c:v>1.8520000000000001</c:v>
                </c:pt>
                <c:pt idx="114">
                  <c:v>0.84899999999999998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5E-45C6-9BC5-48DEB1E57C73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All!$DI$6:$DI$124</c:f>
              <c:numCache>
                <c:formatCode>General</c:formatCode>
                <c:ptCount val="119"/>
                <c:pt idx="0">
                  <c:v>0.97299999999999998</c:v>
                </c:pt>
                <c:pt idx="1">
                  <c:v>1.0880000000000001</c:v>
                </c:pt>
                <c:pt idx="2">
                  <c:v>0.91200000000000003</c:v>
                </c:pt>
                <c:pt idx="3">
                  <c:v>0.80500000000000005</c:v>
                </c:pt>
                <c:pt idx="7">
                  <c:v>1.21</c:v>
                </c:pt>
                <c:pt idx="8">
                  <c:v>1.369</c:v>
                </c:pt>
                <c:pt idx="9">
                  <c:v>1.3879999999999999</c:v>
                </c:pt>
                <c:pt idx="10">
                  <c:v>1.49</c:v>
                </c:pt>
                <c:pt idx="11">
                  <c:v>1.1479999999999999</c:v>
                </c:pt>
                <c:pt idx="12">
                  <c:v>1.252</c:v>
                </c:pt>
                <c:pt idx="13">
                  <c:v>1.131</c:v>
                </c:pt>
                <c:pt idx="17">
                  <c:v>1.0780000000000001</c:v>
                </c:pt>
                <c:pt idx="18">
                  <c:v>1.304</c:v>
                </c:pt>
                <c:pt idx="19">
                  <c:v>1.3140000000000001</c:v>
                </c:pt>
                <c:pt idx="20">
                  <c:v>1.2549999999999999</c:v>
                </c:pt>
                <c:pt idx="21">
                  <c:v>1.415</c:v>
                </c:pt>
                <c:pt idx="22">
                  <c:v>1.0369999999999999</c:v>
                </c:pt>
                <c:pt idx="26">
                  <c:v>0.95399999999999996</c:v>
                </c:pt>
                <c:pt idx="27">
                  <c:v>1.25</c:v>
                </c:pt>
                <c:pt idx="28">
                  <c:v>1.319</c:v>
                </c:pt>
                <c:pt idx="29">
                  <c:v>1.2929999999999999</c:v>
                </c:pt>
                <c:pt idx="30">
                  <c:v>1.3</c:v>
                </c:pt>
                <c:pt idx="31">
                  <c:v>0.999</c:v>
                </c:pt>
                <c:pt idx="35">
                  <c:v>1.075</c:v>
                </c:pt>
                <c:pt idx="36">
                  <c:v>1.1120000000000001</c:v>
                </c:pt>
                <c:pt idx="37">
                  <c:v>0.94199999999999995</c:v>
                </c:pt>
                <c:pt idx="38">
                  <c:v>0.61899999999999999</c:v>
                </c:pt>
                <c:pt idx="42">
                  <c:v>0.71299999999999997</c:v>
                </c:pt>
                <c:pt idx="43">
                  <c:v>0.68200000000000005</c:v>
                </c:pt>
                <c:pt idx="44">
                  <c:v>1.056</c:v>
                </c:pt>
                <c:pt idx="45">
                  <c:v>1.0620000000000001</c:v>
                </c:pt>
                <c:pt idx="46">
                  <c:v>0.93799999999999994</c:v>
                </c:pt>
                <c:pt idx="50">
                  <c:v>1.2430000000000001</c:v>
                </c:pt>
                <c:pt idx="51">
                  <c:v>1.0629999999999999</c:v>
                </c:pt>
                <c:pt idx="52">
                  <c:v>0.97</c:v>
                </c:pt>
                <c:pt idx="53">
                  <c:v>1.2589999999999999</c:v>
                </c:pt>
                <c:pt idx="54">
                  <c:v>1.0289999999999999</c:v>
                </c:pt>
                <c:pt idx="55">
                  <c:v>0.68100000000000005</c:v>
                </c:pt>
                <c:pt idx="60">
                  <c:v>0.79500000000000004</c:v>
                </c:pt>
                <c:pt idx="61">
                  <c:v>0.76100000000000001</c:v>
                </c:pt>
                <c:pt idx="62">
                  <c:v>0.76900000000000002</c:v>
                </c:pt>
                <c:pt idx="63">
                  <c:v>0.70799999999999996</c:v>
                </c:pt>
                <c:pt idx="67">
                  <c:v>0.73599999999999999</c:v>
                </c:pt>
                <c:pt idx="68">
                  <c:v>0.98899999999999999</c:v>
                </c:pt>
                <c:pt idx="69">
                  <c:v>0.66500000000000004</c:v>
                </c:pt>
                <c:pt idx="70">
                  <c:v>0.746</c:v>
                </c:pt>
                <c:pt idx="74">
                  <c:v>0.84799999999999998</c:v>
                </c:pt>
                <c:pt idx="75">
                  <c:v>1.0389999999999999</c:v>
                </c:pt>
                <c:pt idx="76">
                  <c:v>0.69799999999999995</c:v>
                </c:pt>
                <c:pt idx="77">
                  <c:v>0.67100000000000004</c:v>
                </c:pt>
                <c:pt idx="78">
                  <c:v>0.67400000000000004</c:v>
                </c:pt>
                <c:pt idx="82">
                  <c:v>0.74299999999999999</c:v>
                </c:pt>
                <c:pt idx="83">
                  <c:v>0.70299999999999996</c:v>
                </c:pt>
                <c:pt idx="84">
                  <c:v>0.64800000000000002</c:v>
                </c:pt>
                <c:pt idx="85">
                  <c:v>0.79900000000000004</c:v>
                </c:pt>
                <c:pt idx="86">
                  <c:v>0.81699999999999995</c:v>
                </c:pt>
                <c:pt idx="90">
                  <c:v>0.94</c:v>
                </c:pt>
                <c:pt idx="91">
                  <c:v>0.93899999999999995</c:v>
                </c:pt>
                <c:pt idx="92">
                  <c:v>0.73599999999999999</c:v>
                </c:pt>
                <c:pt idx="93">
                  <c:v>0.879</c:v>
                </c:pt>
                <c:pt idx="94">
                  <c:v>0.72299999999999998</c:v>
                </c:pt>
                <c:pt idx="98">
                  <c:v>1.357</c:v>
                </c:pt>
                <c:pt idx="99">
                  <c:v>1.357</c:v>
                </c:pt>
                <c:pt idx="100">
                  <c:v>0.99199999999999999</c:v>
                </c:pt>
                <c:pt idx="101">
                  <c:v>0.88600000000000001</c:v>
                </c:pt>
                <c:pt idx="105">
                  <c:v>1.216</c:v>
                </c:pt>
                <c:pt idx="106">
                  <c:v>1.252</c:v>
                </c:pt>
                <c:pt idx="107">
                  <c:v>0.94</c:v>
                </c:pt>
                <c:pt idx="111">
                  <c:v>1.113</c:v>
                </c:pt>
                <c:pt idx="112">
                  <c:v>1.276</c:v>
                </c:pt>
                <c:pt idx="113">
                  <c:v>1.0409999999999999</c:v>
                </c:pt>
                <c:pt idx="114">
                  <c:v>0.94299999999999995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5E-45C6-9BC5-48DEB1E57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2416"/>
        <c:axId val="483983696"/>
      </c:scatterChart>
      <c:valAx>
        <c:axId val="48400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3696"/>
        <c:crosses val="autoZero"/>
        <c:crossBetween val="midCat"/>
      </c:valAx>
      <c:valAx>
        <c:axId val="48398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All!$DJ$6:$DJ$124</c:f>
              <c:numCache>
                <c:formatCode>General</c:formatCode>
                <c:ptCount val="119"/>
                <c:pt idx="0">
                  <c:v>0.129</c:v>
                </c:pt>
                <c:pt idx="1">
                  <c:v>0.11700000000000001</c:v>
                </c:pt>
                <c:pt idx="2">
                  <c:v>6.4000000000000001E-2</c:v>
                </c:pt>
                <c:pt idx="3">
                  <c:v>-6.6000000000000003E-2</c:v>
                </c:pt>
                <c:pt idx="7">
                  <c:v>0.21</c:v>
                </c:pt>
                <c:pt idx="8">
                  <c:v>0.14599999999999999</c:v>
                </c:pt>
                <c:pt idx="9">
                  <c:v>7.5999999999999998E-2</c:v>
                </c:pt>
                <c:pt idx="10">
                  <c:v>0.17499999999999999</c:v>
                </c:pt>
                <c:pt idx="11">
                  <c:v>0.215</c:v>
                </c:pt>
                <c:pt idx="12">
                  <c:v>0.17499999999999999</c:v>
                </c:pt>
                <c:pt idx="13">
                  <c:v>0.11799999999999999</c:v>
                </c:pt>
                <c:pt idx="17">
                  <c:v>0.17599999999999999</c:v>
                </c:pt>
                <c:pt idx="18">
                  <c:v>0.27800000000000002</c:v>
                </c:pt>
                <c:pt idx="19">
                  <c:v>0.19400000000000001</c:v>
                </c:pt>
                <c:pt idx="20">
                  <c:v>0.27200000000000002</c:v>
                </c:pt>
                <c:pt idx="21">
                  <c:v>0.33300000000000002</c:v>
                </c:pt>
                <c:pt idx="22">
                  <c:v>0.17899999999999999</c:v>
                </c:pt>
                <c:pt idx="26">
                  <c:v>0.20399999999999999</c:v>
                </c:pt>
                <c:pt idx="27">
                  <c:v>0.38500000000000001</c:v>
                </c:pt>
                <c:pt idx="28">
                  <c:v>0.29599999999999999</c:v>
                </c:pt>
                <c:pt idx="29">
                  <c:v>0.26800000000000002</c:v>
                </c:pt>
                <c:pt idx="30">
                  <c:v>0.308</c:v>
                </c:pt>
                <c:pt idx="31">
                  <c:v>0.26700000000000002</c:v>
                </c:pt>
                <c:pt idx="35">
                  <c:v>0.28999999999999998</c:v>
                </c:pt>
                <c:pt idx="36">
                  <c:v>0.27400000000000002</c:v>
                </c:pt>
                <c:pt idx="37">
                  <c:v>0.35899999999999999</c:v>
                </c:pt>
                <c:pt idx="38">
                  <c:v>0.126</c:v>
                </c:pt>
                <c:pt idx="42">
                  <c:v>0.189</c:v>
                </c:pt>
                <c:pt idx="43">
                  <c:v>0.11899999999999999</c:v>
                </c:pt>
                <c:pt idx="44">
                  <c:v>0.38500000000000001</c:v>
                </c:pt>
                <c:pt idx="45">
                  <c:v>0.30099999999999999</c:v>
                </c:pt>
                <c:pt idx="46">
                  <c:v>0.20200000000000001</c:v>
                </c:pt>
                <c:pt idx="50">
                  <c:v>0.17799999999999999</c:v>
                </c:pt>
                <c:pt idx="51">
                  <c:v>0.14599999999999999</c:v>
                </c:pt>
                <c:pt idx="52">
                  <c:v>0.13300000000000001</c:v>
                </c:pt>
                <c:pt idx="53">
                  <c:v>0.125</c:v>
                </c:pt>
                <c:pt idx="54">
                  <c:v>1.0999999999999999E-2</c:v>
                </c:pt>
                <c:pt idx="55">
                  <c:v>9.7000000000000003E-2</c:v>
                </c:pt>
                <c:pt idx="60">
                  <c:v>0.14099999999999999</c:v>
                </c:pt>
                <c:pt idx="61">
                  <c:v>9.4E-2</c:v>
                </c:pt>
                <c:pt idx="62">
                  <c:v>2.7E-2</c:v>
                </c:pt>
                <c:pt idx="63">
                  <c:v>-2.5999999999999999E-2</c:v>
                </c:pt>
                <c:pt idx="67">
                  <c:v>0.192</c:v>
                </c:pt>
                <c:pt idx="68">
                  <c:v>0.11799999999999999</c:v>
                </c:pt>
                <c:pt idx="69">
                  <c:v>-4.2999999999999997E-2</c:v>
                </c:pt>
                <c:pt idx="70">
                  <c:v>-3.1E-2</c:v>
                </c:pt>
                <c:pt idx="74">
                  <c:v>0.155</c:v>
                </c:pt>
                <c:pt idx="75">
                  <c:v>7.3999999999999996E-2</c:v>
                </c:pt>
                <c:pt idx="76">
                  <c:v>5.0999999999999997E-2</c:v>
                </c:pt>
                <c:pt idx="77">
                  <c:v>2E-3</c:v>
                </c:pt>
                <c:pt idx="78">
                  <c:v>5.8000000000000003E-2</c:v>
                </c:pt>
                <c:pt idx="82">
                  <c:v>0.155</c:v>
                </c:pt>
                <c:pt idx="83">
                  <c:v>9.2999999999999999E-2</c:v>
                </c:pt>
                <c:pt idx="84">
                  <c:v>6.5000000000000002E-2</c:v>
                </c:pt>
                <c:pt idx="85">
                  <c:v>0.14699999999999999</c:v>
                </c:pt>
                <c:pt idx="86">
                  <c:v>3.1E-2</c:v>
                </c:pt>
                <c:pt idx="90">
                  <c:v>9.5000000000000001E-2</c:v>
                </c:pt>
                <c:pt idx="91">
                  <c:v>9.1999999999999998E-2</c:v>
                </c:pt>
                <c:pt idx="92">
                  <c:v>0.187</c:v>
                </c:pt>
                <c:pt idx="93">
                  <c:v>0.11799999999999999</c:v>
                </c:pt>
                <c:pt idx="94">
                  <c:v>1E-3</c:v>
                </c:pt>
                <c:pt idx="98">
                  <c:v>0.312</c:v>
                </c:pt>
                <c:pt idx="99">
                  <c:v>0.249</c:v>
                </c:pt>
                <c:pt idx="100">
                  <c:v>0.217</c:v>
                </c:pt>
                <c:pt idx="101">
                  <c:v>1.9E-2</c:v>
                </c:pt>
                <c:pt idx="105">
                  <c:v>0.221</c:v>
                </c:pt>
                <c:pt idx="106">
                  <c:v>0.32800000000000001</c:v>
                </c:pt>
                <c:pt idx="107">
                  <c:v>0.127</c:v>
                </c:pt>
                <c:pt idx="111">
                  <c:v>0.26400000000000001</c:v>
                </c:pt>
                <c:pt idx="112">
                  <c:v>0.25800000000000001</c:v>
                </c:pt>
                <c:pt idx="113">
                  <c:v>0.29099999999999998</c:v>
                </c:pt>
                <c:pt idx="114">
                  <c:v>0.41099999999999998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1-4AC2-980E-00AB6BB3506F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All!$DK$6:$DK$124</c:f>
              <c:numCache>
                <c:formatCode>General</c:formatCode>
                <c:ptCount val="119"/>
                <c:pt idx="0">
                  <c:v>0.93700000000000006</c:v>
                </c:pt>
                <c:pt idx="1">
                  <c:v>0.79300000000000004</c:v>
                </c:pt>
                <c:pt idx="2">
                  <c:v>0.72</c:v>
                </c:pt>
                <c:pt idx="3">
                  <c:v>0.51700000000000002</c:v>
                </c:pt>
                <c:pt idx="7">
                  <c:v>0.88200000000000001</c:v>
                </c:pt>
                <c:pt idx="8">
                  <c:v>0.82899999999999996</c:v>
                </c:pt>
                <c:pt idx="9">
                  <c:v>0.80400000000000005</c:v>
                </c:pt>
                <c:pt idx="10">
                  <c:v>0.79700000000000004</c:v>
                </c:pt>
                <c:pt idx="11">
                  <c:v>0.90400000000000003</c:v>
                </c:pt>
                <c:pt idx="12">
                  <c:v>0.93200000000000005</c:v>
                </c:pt>
                <c:pt idx="13">
                  <c:v>0.876</c:v>
                </c:pt>
                <c:pt idx="17">
                  <c:v>0.82199999999999995</c:v>
                </c:pt>
                <c:pt idx="18">
                  <c:v>1.0860000000000001</c:v>
                </c:pt>
                <c:pt idx="19">
                  <c:v>1.2230000000000001</c:v>
                </c:pt>
                <c:pt idx="20">
                  <c:v>0.91100000000000003</c:v>
                </c:pt>
                <c:pt idx="21">
                  <c:v>1.244</c:v>
                </c:pt>
                <c:pt idx="22">
                  <c:v>0.79600000000000004</c:v>
                </c:pt>
                <c:pt idx="26">
                  <c:v>0.78500000000000003</c:v>
                </c:pt>
                <c:pt idx="27">
                  <c:v>1.2789999999999999</c:v>
                </c:pt>
                <c:pt idx="28">
                  <c:v>1.238</c:v>
                </c:pt>
                <c:pt idx="29">
                  <c:v>0.90800000000000003</c:v>
                </c:pt>
                <c:pt idx="30">
                  <c:v>1.3839999999999999</c:v>
                </c:pt>
                <c:pt idx="31">
                  <c:v>0.83899999999999997</c:v>
                </c:pt>
                <c:pt idx="35">
                  <c:v>0.80500000000000005</c:v>
                </c:pt>
                <c:pt idx="36">
                  <c:v>0.76900000000000002</c:v>
                </c:pt>
                <c:pt idx="37">
                  <c:v>1.071</c:v>
                </c:pt>
                <c:pt idx="38">
                  <c:v>0.79800000000000004</c:v>
                </c:pt>
                <c:pt idx="42">
                  <c:v>0.876</c:v>
                </c:pt>
                <c:pt idx="43">
                  <c:v>1.0109999999999999</c:v>
                </c:pt>
                <c:pt idx="44">
                  <c:v>0.98699999999999999</c:v>
                </c:pt>
                <c:pt idx="45">
                  <c:v>1.1319999999999999</c:v>
                </c:pt>
                <c:pt idx="46">
                  <c:v>0.9</c:v>
                </c:pt>
                <c:pt idx="50">
                  <c:v>0.81299999999999994</c:v>
                </c:pt>
                <c:pt idx="51">
                  <c:v>0.65200000000000002</c:v>
                </c:pt>
                <c:pt idx="52">
                  <c:v>0.70399999999999996</c:v>
                </c:pt>
                <c:pt idx="53">
                  <c:v>0.72099999999999997</c:v>
                </c:pt>
                <c:pt idx="54">
                  <c:v>0.61399999999999999</c:v>
                </c:pt>
                <c:pt idx="55">
                  <c:v>0.47499999999999998</c:v>
                </c:pt>
                <c:pt idx="60">
                  <c:v>0.71299999999999997</c:v>
                </c:pt>
                <c:pt idx="61">
                  <c:v>0.64800000000000002</c:v>
                </c:pt>
                <c:pt idx="62">
                  <c:v>0.45800000000000002</c:v>
                </c:pt>
                <c:pt idx="63">
                  <c:v>0.63200000000000001</c:v>
                </c:pt>
                <c:pt idx="67">
                  <c:v>0.72199999999999998</c:v>
                </c:pt>
                <c:pt idx="68">
                  <c:v>0.65800000000000003</c:v>
                </c:pt>
                <c:pt idx="69">
                  <c:v>0.48199999999999998</c:v>
                </c:pt>
                <c:pt idx="70">
                  <c:v>0.51200000000000001</c:v>
                </c:pt>
                <c:pt idx="74">
                  <c:v>0.7</c:v>
                </c:pt>
                <c:pt idx="75">
                  <c:v>0.82199999999999995</c:v>
                </c:pt>
                <c:pt idx="76">
                  <c:v>0.64500000000000002</c:v>
                </c:pt>
                <c:pt idx="77">
                  <c:v>0.77800000000000002</c:v>
                </c:pt>
                <c:pt idx="78">
                  <c:v>0.65200000000000002</c:v>
                </c:pt>
                <c:pt idx="82">
                  <c:v>0.69099999999999995</c:v>
                </c:pt>
                <c:pt idx="83">
                  <c:v>0.69599999999999995</c:v>
                </c:pt>
                <c:pt idx="84">
                  <c:v>0.70499999999999996</c:v>
                </c:pt>
                <c:pt idx="85">
                  <c:v>0.82099999999999995</c:v>
                </c:pt>
                <c:pt idx="86">
                  <c:v>0.79100000000000004</c:v>
                </c:pt>
                <c:pt idx="90">
                  <c:v>0.77300000000000002</c:v>
                </c:pt>
                <c:pt idx="91">
                  <c:v>1.032</c:v>
                </c:pt>
                <c:pt idx="92">
                  <c:v>0.95399999999999996</c:v>
                </c:pt>
                <c:pt idx="93">
                  <c:v>0.79700000000000004</c:v>
                </c:pt>
                <c:pt idx="94">
                  <c:v>0.61099999999999999</c:v>
                </c:pt>
                <c:pt idx="98">
                  <c:v>0.98699999999999999</c:v>
                </c:pt>
                <c:pt idx="99">
                  <c:v>0.84099999999999997</c:v>
                </c:pt>
                <c:pt idx="100">
                  <c:v>0.96499999999999997</c:v>
                </c:pt>
                <c:pt idx="101">
                  <c:v>0.74199999999999999</c:v>
                </c:pt>
                <c:pt idx="105">
                  <c:v>0.93200000000000005</c:v>
                </c:pt>
                <c:pt idx="106">
                  <c:v>0.96499999999999997</c:v>
                </c:pt>
                <c:pt idx="107">
                  <c:v>1.1020000000000001</c:v>
                </c:pt>
                <c:pt idx="111">
                  <c:v>0.91200000000000003</c:v>
                </c:pt>
                <c:pt idx="112">
                  <c:v>1.1859999999999999</c:v>
                </c:pt>
                <c:pt idx="113">
                  <c:v>1.288</c:v>
                </c:pt>
                <c:pt idx="114">
                  <c:v>1.0449999999999999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51-4AC2-980E-00AB6BB35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9088"/>
        <c:axId val="483993264"/>
      </c:scatterChart>
      <c:valAx>
        <c:axId val="48399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3264"/>
        <c:crosses val="autoZero"/>
        <c:crossBetween val="midCat"/>
      </c:valAx>
      <c:valAx>
        <c:axId val="48399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All!$DT$6:$DT$124</c:f>
              <c:numCache>
                <c:formatCode>General</c:formatCode>
                <c:ptCount val="119"/>
                <c:pt idx="0">
                  <c:v>0.62</c:v>
                </c:pt>
                <c:pt idx="1">
                  <c:v>5.54</c:v>
                </c:pt>
                <c:pt idx="2">
                  <c:v>6.17</c:v>
                </c:pt>
                <c:pt idx="3">
                  <c:v>5.94</c:v>
                </c:pt>
                <c:pt idx="7">
                  <c:v>4.17</c:v>
                </c:pt>
                <c:pt idx="8">
                  <c:v>6.35</c:v>
                </c:pt>
                <c:pt idx="9">
                  <c:v>6.69</c:v>
                </c:pt>
                <c:pt idx="10">
                  <c:v>6.65</c:v>
                </c:pt>
                <c:pt idx="11">
                  <c:v>5.85</c:v>
                </c:pt>
                <c:pt idx="12">
                  <c:v>6.42</c:v>
                </c:pt>
                <c:pt idx="13">
                  <c:v>5.55</c:v>
                </c:pt>
                <c:pt idx="17">
                  <c:v>2.2799999999999998</c:v>
                </c:pt>
                <c:pt idx="18">
                  <c:v>6.6</c:v>
                </c:pt>
                <c:pt idx="19">
                  <c:v>7.26</c:v>
                </c:pt>
                <c:pt idx="20">
                  <c:v>7.28</c:v>
                </c:pt>
                <c:pt idx="21">
                  <c:v>6.99</c:v>
                </c:pt>
                <c:pt idx="22">
                  <c:v>5.79</c:v>
                </c:pt>
                <c:pt idx="26">
                  <c:v>4.67</c:v>
                </c:pt>
                <c:pt idx="27">
                  <c:v>5.95</c:v>
                </c:pt>
                <c:pt idx="28">
                  <c:v>6.77</c:v>
                </c:pt>
                <c:pt idx="29">
                  <c:v>6.27</c:v>
                </c:pt>
                <c:pt idx="30">
                  <c:v>7.32</c:v>
                </c:pt>
                <c:pt idx="31">
                  <c:v>4.57</c:v>
                </c:pt>
                <c:pt idx="35">
                  <c:v>0.75</c:v>
                </c:pt>
                <c:pt idx="36">
                  <c:v>5.86</c:v>
                </c:pt>
                <c:pt idx="37">
                  <c:v>5.0999999999999996</c:v>
                </c:pt>
                <c:pt idx="38">
                  <c:v>1.36</c:v>
                </c:pt>
                <c:pt idx="42">
                  <c:v>2.59</c:v>
                </c:pt>
                <c:pt idx="43">
                  <c:v>2.58</c:v>
                </c:pt>
                <c:pt idx="44">
                  <c:v>6.35</c:v>
                </c:pt>
                <c:pt idx="45">
                  <c:v>6.58</c:v>
                </c:pt>
                <c:pt idx="46">
                  <c:v>5.29</c:v>
                </c:pt>
                <c:pt idx="50">
                  <c:v>0.76</c:v>
                </c:pt>
                <c:pt idx="51">
                  <c:v>3.1</c:v>
                </c:pt>
                <c:pt idx="52">
                  <c:v>1.8</c:v>
                </c:pt>
                <c:pt idx="53">
                  <c:v>7.29</c:v>
                </c:pt>
                <c:pt idx="54">
                  <c:v>7.16</c:v>
                </c:pt>
                <c:pt idx="55">
                  <c:v>3.43</c:v>
                </c:pt>
                <c:pt idx="59">
                  <c:v>0</c:v>
                </c:pt>
                <c:pt idx="60">
                  <c:v>3.69</c:v>
                </c:pt>
                <c:pt idx="61">
                  <c:v>7.21</c:v>
                </c:pt>
                <c:pt idx="62">
                  <c:v>9.51</c:v>
                </c:pt>
                <c:pt idx="63">
                  <c:v>10.02</c:v>
                </c:pt>
                <c:pt idx="67">
                  <c:v>3.12</c:v>
                </c:pt>
                <c:pt idx="68">
                  <c:v>7.04</c:v>
                </c:pt>
                <c:pt idx="69">
                  <c:v>7.16</c:v>
                </c:pt>
                <c:pt idx="70">
                  <c:v>5.2</c:v>
                </c:pt>
                <c:pt idx="74">
                  <c:v>1.1200000000000001</c:v>
                </c:pt>
                <c:pt idx="75">
                  <c:v>5.47</c:v>
                </c:pt>
                <c:pt idx="76">
                  <c:v>6.36</c:v>
                </c:pt>
                <c:pt idx="77">
                  <c:v>5.99</c:v>
                </c:pt>
                <c:pt idx="78">
                  <c:v>5.61</c:v>
                </c:pt>
                <c:pt idx="82">
                  <c:v>3.86</c:v>
                </c:pt>
                <c:pt idx="83">
                  <c:v>6.24</c:v>
                </c:pt>
                <c:pt idx="84">
                  <c:v>6.07</c:v>
                </c:pt>
                <c:pt idx="85">
                  <c:v>6.37</c:v>
                </c:pt>
                <c:pt idx="86">
                  <c:v>6.19</c:v>
                </c:pt>
                <c:pt idx="90">
                  <c:v>3.69</c:v>
                </c:pt>
                <c:pt idx="91">
                  <c:v>4.6399999999999997</c:v>
                </c:pt>
                <c:pt idx="92">
                  <c:v>4.9800000000000004</c:v>
                </c:pt>
                <c:pt idx="93">
                  <c:v>6.13</c:v>
                </c:pt>
                <c:pt idx="94">
                  <c:v>1.69</c:v>
                </c:pt>
                <c:pt idx="98">
                  <c:v>3.31</c:v>
                </c:pt>
                <c:pt idx="99">
                  <c:v>6.53</c:v>
                </c:pt>
                <c:pt idx="100">
                  <c:v>6.76</c:v>
                </c:pt>
                <c:pt idx="101">
                  <c:v>5.85</c:v>
                </c:pt>
                <c:pt idx="105">
                  <c:v>4.34</c:v>
                </c:pt>
                <c:pt idx="106">
                  <c:v>6.62</c:v>
                </c:pt>
                <c:pt idx="107">
                  <c:v>5.65</c:v>
                </c:pt>
                <c:pt idx="111">
                  <c:v>4.2300000000000004</c:v>
                </c:pt>
                <c:pt idx="112">
                  <c:v>7.27</c:v>
                </c:pt>
                <c:pt idx="113">
                  <c:v>7.07</c:v>
                </c:pt>
                <c:pt idx="114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8-48D3-8EC0-C0C9C306BCC5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All!$DU$6:$DU$124</c:f>
              <c:numCache>
                <c:formatCode>General</c:formatCode>
                <c:ptCount val="119"/>
                <c:pt idx="0">
                  <c:v>0.63</c:v>
                </c:pt>
                <c:pt idx="1">
                  <c:v>5.12</c:v>
                </c:pt>
                <c:pt idx="2">
                  <c:v>6.32</c:v>
                </c:pt>
                <c:pt idx="3">
                  <c:v>5.82</c:v>
                </c:pt>
                <c:pt idx="7">
                  <c:v>4.1399999999999997</c:v>
                </c:pt>
                <c:pt idx="8">
                  <c:v>6.16</c:v>
                </c:pt>
                <c:pt idx="9">
                  <c:v>6.01</c:v>
                </c:pt>
                <c:pt idx="10">
                  <c:v>6.24</c:v>
                </c:pt>
                <c:pt idx="11">
                  <c:v>5.39</c:v>
                </c:pt>
                <c:pt idx="12">
                  <c:v>5.57</c:v>
                </c:pt>
                <c:pt idx="13">
                  <c:v>5.44</c:v>
                </c:pt>
                <c:pt idx="17">
                  <c:v>2.41</c:v>
                </c:pt>
                <c:pt idx="18">
                  <c:v>6.22</c:v>
                </c:pt>
                <c:pt idx="19">
                  <c:v>6.74</c:v>
                </c:pt>
                <c:pt idx="20">
                  <c:v>6.68</c:v>
                </c:pt>
                <c:pt idx="21">
                  <c:v>6.83</c:v>
                </c:pt>
                <c:pt idx="22">
                  <c:v>5.67</c:v>
                </c:pt>
                <c:pt idx="26">
                  <c:v>4.8099999999999996</c:v>
                </c:pt>
                <c:pt idx="27">
                  <c:v>5.77</c:v>
                </c:pt>
                <c:pt idx="28">
                  <c:v>6.15</c:v>
                </c:pt>
                <c:pt idx="29">
                  <c:v>6</c:v>
                </c:pt>
                <c:pt idx="30">
                  <c:v>6.96</c:v>
                </c:pt>
                <c:pt idx="31">
                  <c:v>5.2</c:v>
                </c:pt>
                <c:pt idx="35">
                  <c:v>0.84</c:v>
                </c:pt>
                <c:pt idx="36">
                  <c:v>6.08</c:v>
                </c:pt>
                <c:pt idx="37">
                  <c:v>4.9800000000000004</c:v>
                </c:pt>
                <c:pt idx="38">
                  <c:v>1.61</c:v>
                </c:pt>
                <c:pt idx="42">
                  <c:v>2.69</c:v>
                </c:pt>
                <c:pt idx="43">
                  <c:v>2.6</c:v>
                </c:pt>
                <c:pt idx="44">
                  <c:v>5.97</c:v>
                </c:pt>
                <c:pt idx="45">
                  <c:v>6.54</c:v>
                </c:pt>
                <c:pt idx="46">
                  <c:v>4.87</c:v>
                </c:pt>
                <c:pt idx="50">
                  <c:v>0.77</c:v>
                </c:pt>
                <c:pt idx="51">
                  <c:v>2.98</c:v>
                </c:pt>
                <c:pt idx="52">
                  <c:v>1.91</c:v>
                </c:pt>
                <c:pt idx="53">
                  <c:v>7.29</c:v>
                </c:pt>
                <c:pt idx="54">
                  <c:v>7.32</c:v>
                </c:pt>
                <c:pt idx="55">
                  <c:v>3.96</c:v>
                </c:pt>
                <c:pt idx="59">
                  <c:v>0</c:v>
                </c:pt>
                <c:pt idx="60">
                  <c:v>4.0599999999999996</c:v>
                </c:pt>
                <c:pt idx="61">
                  <c:v>6.81</c:v>
                </c:pt>
                <c:pt idx="62">
                  <c:v>13.83</c:v>
                </c:pt>
                <c:pt idx="63">
                  <c:v>19.77</c:v>
                </c:pt>
                <c:pt idx="67">
                  <c:v>3.43</c:v>
                </c:pt>
                <c:pt idx="68">
                  <c:v>6.87</c:v>
                </c:pt>
                <c:pt idx="69">
                  <c:v>6.98</c:v>
                </c:pt>
                <c:pt idx="70">
                  <c:v>5.51</c:v>
                </c:pt>
                <c:pt idx="74">
                  <c:v>1.18</c:v>
                </c:pt>
                <c:pt idx="75">
                  <c:v>5.26</c:v>
                </c:pt>
                <c:pt idx="76">
                  <c:v>6.23</c:v>
                </c:pt>
                <c:pt idx="77">
                  <c:v>6.1</c:v>
                </c:pt>
                <c:pt idx="78">
                  <c:v>5.99</c:v>
                </c:pt>
                <c:pt idx="82">
                  <c:v>3.87</c:v>
                </c:pt>
                <c:pt idx="83">
                  <c:v>6.18</c:v>
                </c:pt>
                <c:pt idx="84">
                  <c:v>6.13</c:v>
                </c:pt>
                <c:pt idx="85">
                  <c:v>6.63</c:v>
                </c:pt>
                <c:pt idx="86">
                  <c:v>6.48</c:v>
                </c:pt>
                <c:pt idx="90">
                  <c:v>4.53</c:v>
                </c:pt>
                <c:pt idx="91">
                  <c:v>4.3099999999999996</c:v>
                </c:pt>
                <c:pt idx="92">
                  <c:v>4.84</c:v>
                </c:pt>
                <c:pt idx="93">
                  <c:v>5.93</c:v>
                </c:pt>
                <c:pt idx="94">
                  <c:v>1.59</c:v>
                </c:pt>
                <c:pt idx="98">
                  <c:v>3.47</c:v>
                </c:pt>
                <c:pt idx="99">
                  <c:v>6.34</c:v>
                </c:pt>
                <c:pt idx="100">
                  <c:v>7.06</c:v>
                </c:pt>
                <c:pt idx="101">
                  <c:v>5.94</c:v>
                </c:pt>
                <c:pt idx="105">
                  <c:v>4.4400000000000004</c:v>
                </c:pt>
                <c:pt idx="106">
                  <c:v>6.59</c:v>
                </c:pt>
                <c:pt idx="107">
                  <c:v>5.51</c:v>
                </c:pt>
                <c:pt idx="111">
                  <c:v>4.72</c:v>
                </c:pt>
                <c:pt idx="112">
                  <c:v>7.48</c:v>
                </c:pt>
                <c:pt idx="113">
                  <c:v>6.62</c:v>
                </c:pt>
                <c:pt idx="114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8-48D3-8EC0-C0C9C306BCC5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All!$DV$6:$DV$124</c:f>
              <c:numCache>
                <c:formatCode>General</c:formatCode>
                <c:ptCount val="119"/>
                <c:pt idx="0">
                  <c:v>1.34</c:v>
                </c:pt>
                <c:pt idx="1">
                  <c:v>11.67</c:v>
                </c:pt>
                <c:pt idx="2">
                  <c:v>14.12</c:v>
                </c:pt>
                <c:pt idx="3">
                  <c:v>12.69</c:v>
                </c:pt>
                <c:pt idx="7">
                  <c:v>8.68</c:v>
                </c:pt>
                <c:pt idx="8">
                  <c:v>13.33</c:v>
                </c:pt>
                <c:pt idx="9">
                  <c:v>13.64</c:v>
                </c:pt>
                <c:pt idx="10">
                  <c:v>13.78</c:v>
                </c:pt>
                <c:pt idx="11">
                  <c:v>11.12</c:v>
                </c:pt>
                <c:pt idx="12">
                  <c:v>13.04</c:v>
                </c:pt>
                <c:pt idx="13">
                  <c:v>11.81</c:v>
                </c:pt>
                <c:pt idx="17">
                  <c:v>4.8099999999999996</c:v>
                </c:pt>
                <c:pt idx="18">
                  <c:v>12.98</c:v>
                </c:pt>
                <c:pt idx="19">
                  <c:v>14.29</c:v>
                </c:pt>
                <c:pt idx="20">
                  <c:v>13.84</c:v>
                </c:pt>
                <c:pt idx="21">
                  <c:v>13.74</c:v>
                </c:pt>
                <c:pt idx="22">
                  <c:v>11.68</c:v>
                </c:pt>
                <c:pt idx="26">
                  <c:v>9.51</c:v>
                </c:pt>
                <c:pt idx="27">
                  <c:v>11.98</c:v>
                </c:pt>
                <c:pt idx="28">
                  <c:v>12.9</c:v>
                </c:pt>
                <c:pt idx="29">
                  <c:v>12.27</c:v>
                </c:pt>
                <c:pt idx="30">
                  <c:v>13.5</c:v>
                </c:pt>
                <c:pt idx="31">
                  <c:v>9.93</c:v>
                </c:pt>
                <c:pt idx="35">
                  <c:v>1.91</c:v>
                </c:pt>
                <c:pt idx="36">
                  <c:v>14.4</c:v>
                </c:pt>
                <c:pt idx="37">
                  <c:v>13.22</c:v>
                </c:pt>
                <c:pt idx="38">
                  <c:v>4.21</c:v>
                </c:pt>
                <c:pt idx="42">
                  <c:v>5.5</c:v>
                </c:pt>
                <c:pt idx="43">
                  <c:v>6.06</c:v>
                </c:pt>
                <c:pt idx="44">
                  <c:v>14.62</c:v>
                </c:pt>
                <c:pt idx="45">
                  <c:v>15.79</c:v>
                </c:pt>
                <c:pt idx="46">
                  <c:v>13.32</c:v>
                </c:pt>
                <c:pt idx="50">
                  <c:v>1.59</c:v>
                </c:pt>
                <c:pt idx="51">
                  <c:v>6.35</c:v>
                </c:pt>
                <c:pt idx="52">
                  <c:v>4.37</c:v>
                </c:pt>
                <c:pt idx="53">
                  <c:v>14.38</c:v>
                </c:pt>
                <c:pt idx="54">
                  <c:v>14.52</c:v>
                </c:pt>
                <c:pt idx="55">
                  <c:v>8.73</c:v>
                </c:pt>
                <c:pt idx="59">
                  <c:v>0</c:v>
                </c:pt>
                <c:pt idx="60">
                  <c:v>8.2100000000000009</c:v>
                </c:pt>
                <c:pt idx="61">
                  <c:v>14.36</c:v>
                </c:pt>
                <c:pt idx="62">
                  <c:v>16.02</c:v>
                </c:pt>
                <c:pt idx="63">
                  <c:v>15.78</c:v>
                </c:pt>
                <c:pt idx="67">
                  <c:v>6.34</c:v>
                </c:pt>
                <c:pt idx="68">
                  <c:v>14.04</c:v>
                </c:pt>
                <c:pt idx="69">
                  <c:v>14.26</c:v>
                </c:pt>
                <c:pt idx="70">
                  <c:v>11.81</c:v>
                </c:pt>
                <c:pt idx="74">
                  <c:v>2.09</c:v>
                </c:pt>
                <c:pt idx="75">
                  <c:v>10.53</c:v>
                </c:pt>
                <c:pt idx="76">
                  <c:v>11.2</c:v>
                </c:pt>
                <c:pt idx="77">
                  <c:v>10.95</c:v>
                </c:pt>
                <c:pt idx="78">
                  <c:v>10.35</c:v>
                </c:pt>
                <c:pt idx="82">
                  <c:v>7.3</c:v>
                </c:pt>
                <c:pt idx="83">
                  <c:v>11.57</c:v>
                </c:pt>
                <c:pt idx="84">
                  <c:v>11.49</c:v>
                </c:pt>
                <c:pt idx="85">
                  <c:v>12.2</c:v>
                </c:pt>
                <c:pt idx="86">
                  <c:v>10.59</c:v>
                </c:pt>
                <c:pt idx="90">
                  <c:v>7.28</c:v>
                </c:pt>
                <c:pt idx="91">
                  <c:v>7.72</c:v>
                </c:pt>
                <c:pt idx="92">
                  <c:v>8.91</c:v>
                </c:pt>
                <c:pt idx="93">
                  <c:v>11.6</c:v>
                </c:pt>
                <c:pt idx="94">
                  <c:v>2.69</c:v>
                </c:pt>
                <c:pt idx="98">
                  <c:v>5.98</c:v>
                </c:pt>
                <c:pt idx="99">
                  <c:v>11.92</c:v>
                </c:pt>
                <c:pt idx="100">
                  <c:v>12.41</c:v>
                </c:pt>
                <c:pt idx="101">
                  <c:v>10.7</c:v>
                </c:pt>
                <c:pt idx="105">
                  <c:v>8.26</c:v>
                </c:pt>
                <c:pt idx="106">
                  <c:v>12.82</c:v>
                </c:pt>
                <c:pt idx="107">
                  <c:v>10.48</c:v>
                </c:pt>
                <c:pt idx="111">
                  <c:v>8.2799999999999994</c:v>
                </c:pt>
                <c:pt idx="112">
                  <c:v>13.18</c:v>
                </c:pt>
                <c:pt idx="113">
                  <c:v>12.6</c:v>
                </c:pt>
                <c:pt idx="114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B8-48D3-8EC0-C0C9C306BCC5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All!$DW$6:$DW$124</c:f>
              <c:numCache>
                <c:formatCode>General</c:formatCode>
                <c:ptCount val="119"/>
                <c:pt idx="0">
                  <c:v>1.32</c:v>
                </c:pt>
                <c:pt idx="1">
                  <c:v>10.11</c:v>
                </c:pt>
                <c:pt idx="2">
                  <c:v>12.05</c:v>
                </c:pt>
                <c:pt idx="3">
                  <c:v>11.13</c:v>
                </c:pt>
                <c:pt idx="7">
                  <c:v>7.83</c:v>
                </c:pt>
                <c:pt idx="8">
                  <c:v>11.41</c:v>
                </c:pt>
                <c:pt idx="9">
                  <c:v>11</c:v>
                </c:pt>
                <c:pt idx="10">
                  <c:v>11.69</c:v>
                </c:pt>
                <c:pt idx="11">
                  <c:v>9.5</c:v>
                </c:pt>
                <c:pt idx="12">
                  <c:v>10.89</c:v>
                </c:pt>
                <c:pt idx="13">
                  <c:v>9.89</c:v>
                </c:pt>
                <c:pt idx="17">
                  <c:v>4.25</c:v>
                </c:pt>
                <c:pt idx="18">
                  <c:v>11.11</c:v>
                </c:pt>
                <c:pt idx="19">
                  <c:v>12.15</c:v>
                </c:pt>
                <c:pt idx="20">
                  <c:v>11.94</c:v>
                </c:pt>
                <c:pt idx="21">
                  <c:v>11.33</c:v>
                </c:pt>
                <c:pt idx="22">
                  <c:v>9.8699999999999992</c:v>
                </c:pt>
                <c:pt idx="26">
                  <c:v>8.18</c:v>
                </c:pt>
                <c:pt idx="27">
                  <c:v>9.9499999999999993</c:v>
                </c:pt>
                <c:pt idx="28">
                  <c:v>10.7</c:v>
                </c:pt>
                <c:pt idx="29">
                  <c:v>9.98</c:v>
                </c:pt>
                <c:pt idx="30">
                  <c:v>11.09</c:v>
                </c:pt>
                <c:pt idx="31">
                  <c:v>8.26</c:v>
                </c:pt>
                <c:pt idx="35">
                  <c:v>1.68</c:v>
                </c:pt>
                <c:pt idx="36">
                  <c:v>12.26</c:v>
                </c:pt>
                <c:pt idx="37">
                  <c:v>11.24</c:v>
                </c:pt>
                <c:pt idx="38">
                  <c:v>3.84</c:v>
                </c:pt>
                <c:pt idx="42">
                  <c:v>5.01</c:v>
                </c:pt>
                <c:pt idx="43">
                  <c:v>5.46</c:v>
                </c:pt>
                <c:pt idx="44">
                  <c:v>12.69</c:v>
                </c:pt>
                <c:pt idx="45">
                  <c:v>13.51</c:v>
                </c:pt>
                <c:pt idx="46">
                  <c:v>11.44</c:v>
                </c:pt>
                <c:pt idx="50">
                  <c:v>1.33</c:v>
                </c:pt>
                <c:pt idx="51">
                  <c:v>4.74</c:v>
                </c:pt>
                <c:pt idx="52">
                  <c:v>3.58</c:v>
                </c:pt>
                <c:pt idx="53">
                  <c:v>11.85</c:v>
                </c:pt>
                <c:pt idx="54">
                  <c:v>11.66</c:v>
                </c:pt>
                <c:pt idx="55">
                  <c:v>6.86</c:v>
                </c:pt>
                <c:pt idx="59">
                  <c:v>0</c:v>
                </c:pt>
                <c:pt idx="60">
                  <c:v>6.61</c:v>
                </c:pt>
                <c:pt idx="61">
                  <c:v>11.29</c:v>
                </c:pt>
                <c:pt idx="62">
                  <c:v>12.16</c:v>
                </c:pt>
                <c:pt idx="63">
                  <c:v>10.88</c:v>
                </c:pt>
                <c:pt idx="67">
                  <c:v>5.16</c:v>
                </c:pt>
                <c:pt idx="68">
                  <c:v>10.77</c:v>
                </c:pt>
                <c:pt idx="69">
                  <c:v>10.95</c:v>
                </c:pt>
                <c:pt idx="70">
                  <c:v>9.3000000000000007</c:v>
                </c:pt>
                <c:pt idx="74">
                  <c:v>1.63</c:v>
                </c:pt>
                <c:pt idx="75">
                  <c:v>7.65</c:v>
                </c:pt>
                <c:pt idx="76">
                  <c:v>8.51</c:v>
                </c:pt>
                <c:pt idx="77">
                  <c:v>8.5299999999999994</c:v>
                </c:pt>
                <c:pt idx="78">
                  <c:v>8.14</c:v>
                </c:pt>
                <c:pt idx="82">
                  <c:v>5.69</c:v>
                </c:pt>
                <c:pt idx="83">
                  <c:v>8.94</c:v>
                </c:pt>
                <c:pt idx="84">
                  <c:v>8.66</c:v>
                </c:pt>
                <c:pt idx="85">
                  <c:v>8.77</c:v>
                </c:pt>
                <c:pt idx="86">
                  <c:v>8.3000000000000007</c:v>
                </c:pt>
                <c:pt idx="90">
                  <c:v>5.54</c:v>
                </c:pt>
                <c:pt idx="91">
                  <c:v>5.63</c:v>
                </c:pt>
                <c:pt idx="92">
                  <c:v>6.77</c:v>
                </c:pt>
                <c:pt idx="93">
                  <c:v>8.52</c:v>
                </c:pt>
                <c:pt idx="94">
                  <c:v>1.88</c:v>
                </c:pt>
                <c:pt idx="98">
                  <c:v>4.91</c:v>
                </c:pt>
                <c:pt idx="99">
                  <c:v>9.3699999999999992</c:v>
                </c:pt>
                <c:pt idx="100">
                  <c:v>9.9700000000000006</c:v>
                </c:pt>
                <c:pt idx="101">
                  <c:v>8.69</c:v>
                </c:pt>
                <c:pt idx="105">
                  <c:v>6.59</c:v>
                </c:pt>
                <c:pt idx="106">
                  <c:v>9.75</c:v>
                </c:pt>
                <c:pt idx="107">
                  <c:v>8.18</c:v>
                </c:pt>
                <c:pt idx="111">
                  <c:v>6.68</c:v>
                </c:pt>
                <c:pt idx="112">
                  <c:v>10.39</c:v>
                </c:pt>
                <c:pt idx="113">
                  <c:v>10.08</c:v>
                </c:pt>
                <c:pt idx="114">
                  <c:v>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B8-48D3-8EC0-C0C9C306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0752"/>
        <c:axId val="483981616"/>
      </c:scatterChart>
      <c:valAx>
        <c:axId val="48400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1616"/>
        <c:crosses val="autoZero"/>
        <c:crossBetween val="midCat"/>
      </c:valAx>
      <c:valAx>
        <c:axId val="4839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0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All!$DX$6:$DX$124</c:f>
              <c:numCache>
                <c:formatCode>General</c:formatCode>
                <c:ptCount val="119"/>
                <c:pt idx="0">
                  <c:v>0.66</c:v>
                </c:pt>
                <c:pt idx="1">
                  <c:v>5.8</c:v>
                </c:pt>
                <c:pt idx="2">
                  <c:v>6.37</c:v>
                </c:pt>
                <c:pt idx="3">
                  <c:v>6.11</c:v>
                </c:pt>
                <c:pt idx="7">
                  <c:v>4.21</c:v>
                </c:pt>
                <c:pt idx="8">
                  <c:v>6.69</c:v>
                </c:pt>
                <c:pt idx="9">
                  <c:v>6.97</c:v>
                </c:pt>
                <c:pt idx="10">
                  <c:v>6.87</c:v>
                </c:pt>
                <c:pt idx="11">
                  <c:v>6.04</c:v>
                </c:pt>
                <c:pt idx="12">
                  <c:v>6.74</c:v>
                </c:pt>
                <c:pt idx="13">
                  <c:v>5.75</c:v>
                </c:pt>
                <c:pt idx="17">
                  <c:v>2.4700000000000002</c:v>
                </c:pt>
                <c:pt idx="18">
                  <c:v>7.05</c:v>
                </c:pt>
                <c:pt idx="19">
                  <c:v>7.69</c:v>
                </c:pt>
                <c:pt idx="20">
                  <c:v>7.44</c:v>
                </c:pt>
                <c:pt idx="21">
                  <c:v>7.2</c:v>
                </c:pt>
                <c:pt idx="22">
                  <c:v>5.99</c:v>
                </c:pt>
                <c:pt idx="26">
                  <c:v>5.05</c:v>
                </c:pt>
                <c:pt idx="27">
                  <c:v>6.22</c:v>
                </c:pt>
                <c:pt idx="28">
                  <c:v>6.97</c:v>
                </c:pt>
                <c:pt idx="29">
                  <c:v>6.6</c:v>
                </c:pt>
                <c:pt idx="30">
                  <c:v>7.64</c:v>
                </c:pt>
                <c:pt idx="31">
                  <c:v>4.8099999999999996</c:v>
                </c:pt>
                <c:pt idx="35">
                  <c:v>0.79</c:v>
                </c:pt>
                <c:pt idx="36">
                  <c:v>6.34</c:v>
                </c:pt>
                <c:pt idx="37">
                  <c:v>5.3</c:v>
                </c:pt>
                <c:pt idx="38">
                  <c:v>1.45</c:v>
                </c:pt>
                <c:pt idx="42">
                  <c:v>2.64</c:v>
                </c:pt>
                <c:pt idx="43">
                  <c:v>2.63</c:v>
                </c:pt>
                <c:pt idx="44">
                  <c:v>6.48</c:v>
                </c:pt>
                <c:pt idx="45">
                  <c:v>6.66</c:v>
                </c:pt>
                <c:pt idx="46">
                  <c:v>5.52</c:v>
                </c:pt>
                <c:pt idx="50">
                  <c:v>0.79</c:v>
                </c:pt>
                <c:pt idx="51">
                  <c:v>3.22</c:v>
                </c:pt>
                <c:pt idx="52">
                  <c:v>2.0499999999999998</c:v>
                </c:pt>
                <c:pt idx="53">
                  <c:v>7.54</c:v>
                </c:pt>
                <c:pt idx="54">
                  <c:v>7.68</c:v>
                </c:pt>
                <c:pt idx="55">
                  <c:v>3.72</c:v>
                </c:pt>
                <c:pt idx="59">
                  <c:v>0</c:v>
                </c:pt>
                <c:pt idx="60">
                  <c:v>3.87</c:v>
                </c:pt>
                <c:pt idx="61">
                  <c:v>7.52</c:v>
                </c:pt>
                <c:pt idx="62">
                  <c:v>9.77</c:v>
                </c:pt>
                <c:pt idx="63">
                  <c:v>10.18</c:v>
                </c:pt>
                <c:pt idx="67">
                  <c:v>3.24</c:v>
                </c:pt>
                <c:pt idx="68">
                  <c:v>7.22</c:v>
                </c:pt>
                <c:pt idx="69">
                  <c:v>7.24</c:v>
                </c:pt>
                <c:pt idx="70">
                  <c:v>5.61</c:v>
                </c:pt>
                <c:pt idx="74">
                  <c:v>1.24</c:v>
                </c:pt>
                <c:pt idx="75">
                  <c:v>5.69</c:v>
                </c:pt>
                <c:pt idx="76">
                  <c:v>6.84</c:v>
                </c:pt>
                <c:pt idx="77">
                  <c:v>6.18</c:v>
                </c:pt>
                <c:pt idx="78">
                  <c:v>5.75</c:v>
                </c:pt>
                <c:pt idx="82">
                  <c:v>4.16</c:v>
                </c:pt>
                <c:pt idx="83">
                  <c:v>6.61</c:v>
                </c:pt>
                <c:pt idx="84">
                  <c:v>6.67</c:v>
                </c:pt>
                <c:pt idx="85">
                  <c:v>6.88</c:v>
                </c:pt>
                <c:pt idx="86">
                  <c:v>6.31</c:v>
                </c:pt>
                <c:pt idx="90">
                  <c:v>3.99</c:v>
                </c:pt>
                <c:pt idx="91">
                  <c:v>4.57</c:v>
                </c:pt>
                <c:pt idx="92">
                  <c:v>5.1100000000000003</c:v>
                </c:pt>
                <c:pt idx="93">
                  <c:v>6.37</c:v>
                </c:pt>
                <c:pt idx="94">
                  <c:v>1.72</c:v>
                </c:pt>
                <c:pt idx="98">
                  <c:v>3.51</c:v>
                </c:pt>
                <c:pt idx="99">
                  <c:v>7.04</c:v>
                </c:pt>
                <c:pt idx="100">
                  <c:v>7.14</c:v>
                </c:pt>
                <c:pt idx="101">
                  <c:v>6.09</c:v>
                </c:pt>
                <c:pt idx="105">
                  <c:v>4.51</c:v>
                </c:pt>
                <c:pt idx="106">
                  <c:v>7.16</c:v>
                </c:pt>
                <c:pt idx="107">
                  <c:v>5.93</c:v>
                </c:pt>
                <c:pt idx="111">
                  <c:v>4.5</c:v>
                </c:pt>
                <c:pt idx="112">
                  <c:v>7.6</c:v>
                </c:pt>
                <c:pt idx="113">
                  <c:v>7.35</c:v>
                </c:pt>
                <c:pt idx="114">
                  <c:v>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4-4402-995B-2A2F516A357F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All!$DY$6:$DY$124</c:f>
              <c:numCache>
                <c:formatCode>General</c:formatCode>
                <c:ptCount val="119"/>
                <c:pt idx="0">
                  <c:v>0.65</c:v>
                </c:pt>
                <c:pt idx="1">
                  <c:v>5.0999999999999996</c:v>
                </c:pt>
                <c:pt idx="2">
                  <c:v>6.49</c:v>
                </c:pt>
                <c:pt idx="3">
                  <c:v>6.06</c:v>
                </c:pt>
                <c:pt idx="7">
                  <c:v>4.09</c:v>
                </c:pt>
                <c:pt idx="8">
                  <c:v>6.63</c:v>
                </c:pt>
                <c:pt idx="9">
                  <c:v>6.18</c:v>
                </c:pt>
                <c:pt idx="10">
                  <c:v>6.37</c:v>
                </c:pt>
                <c:pt idx="11">
                  <c:v>5.74</c:v>
                </c:pt>
                <c:pt idx="12">
                  <c:v>5.89</c:v>
                </c:pt>
                <c:pt idx="13">
                  <c:v>5.63</c:v>
                </c:pt>
                <c:pt idx="17">
                  <c:v>2.3199999999999998</c:v>
                </c:pt>
                <c:pt idx="18">
                  <c:v>6.62</c:v>
                </c:pt>
                <c:pt idx="19">
                  <c:v>7.31</c:v>
                </c:pt>
                <c:pt idx="20">
                  <c:v>7.13</c:v>
                </c:pt>
                <c:pt idx="21">
                  <c:v>6.92</c:v>
                </c:pt>
                <c:pt idx="22">
                  <c:v>6.02</c:v>
                </c:pt>
                <c:pt idx="26">
                  <c:v>4.76</c:v>
                </c:pt>
                <c:pt idx="27">
                  <c:v>5.68</c:v>
                </c:pt>
                <c:pt idx="28">
                  <c:v>6.34</c:v>
                </c:pt>
                <c:pt idx="29">
                  <c:v>6.17</c:v>
                </c:pt>
                <c:pt idx="30">
                  <c:v>7.13</c:v>
                </c:pt>
                <c:pt idx="31">
                  <c:v>5.33</c:v>
                </c:pt>
                <c:pt idx="35">
                  <c:v>0.83</c:v>
                </c:pt>
                <c:pt idx="36">
                  <c:v>6.45</c:v>
                </c:pt>
                <c:pt idx="37">
                  <c:v>5.33</c:v>
                </c:pt>
                <c:pt idx="38">
                  <c:v>1.65</c:v>
                </c:pt>
                <c:pt idx="42">
                  <c:v>2.57</c:v>
                </c:pt>
                <c:pt idx="43">
                  <c:v>2.73</c:v>
                </c:pt>
                <c:pt idx="44">
                  <c:v>6.29</c:v>
                </c:pt>
                <c:pt idx="45">
                  <c:v>6.99</c:v>
                </c:pt>
                <c:pt idx="46">
                  <c:v>5.01</c:v>
                </c:pt>
                <c:pt idx="50">
                  <c:v>0.75</c:v>
                </c:pt>
                <c:pt idx="51">
                  <c:v>3.23</c:v>
                </c:pt>
                <c:pt idx="52">
                  <c:v>1.96</c:v>
                </c:pt>
                <c:pt idx="53">
                  <c:v>7.48</c:v>
                </c:pt>
                <c:pt idx="54">
                  <c:v>7.55</c:v>
                </c:pt>
                <c:pt idx="55">
                  <c:v>3.84</c:v>
                </c:pt>
                <c:pt idx="59">
                  <c:v>0</c:v>
                </c:pt>
                <c:pt idx="60">
                  <c:v>4.01</c:v>
                </c:pt>
                <c:pt idx="61">
                  <c:v>7.12</c:v>
                </c:pt>
                <c:pt idx="62">
                  <c:v>14.09</c:v>
                </c:pt>
                <c:pt idx="63">
                  <c:v>20.04</c:v>
                </c:pt>
                <c:pt idx="67">
                  <c:v>3.36</c:v>
                </c:pt>
                <c:pt idx="68">
                  <c:v>7.16</c:v>
                </c:pt>
                <c:pt idx="69">
                  <c:v>7.25</c:v>
                </c:pt>
                <c:pt idx="70">
                  <c:v>5.66</c:v>
                </c:pt>
                <c:pt idx="74">
                  <c:v>1.1399999999999999</c:v>
                </c:pt>
                <c:pt idx="75">
                  <c:v>5.42</c:v>
                </c:pt>
                <c:pt idx="76">
                  <c:v>6.48</c:v>
                </c:pt>
                <c:pt idx="77">
                  <c:v>6.12</c:v>
                </c:pt>
                <c:pt idx="78">
                  <c:v>6.16</c:v>
                </c:pt>
                <c:pt idx="82">
                  <c:v>3.93</c:v>
                </c:pt>
                <c:pt idx="83">
                  <c:v>6.41</c:v>
                </c:pt>
                <c:pt idx="84">
                  <c:v>6.32</c:v>
                </c:pt>
                <c:pt idx="85">
                  <c:v>7.04</c:v>
                </c:pt>
                <c:pt idx="86">
                  <c:v>6.69</c:v>
                </c:pt>
                <c:pt idx="90">
                  <c:v>4.54</c:v>
                </c:pt>
                <c:pt idx="91">
                  <c:v>4.62</c:v>
                </c:pt>
                <c:pt idx="92">
                  <c:v>4.96</c:v>
                </c:pt>
                <c:pt idx="93">
                  <c:v>6.28</c:v>
                </c:pt>
                <c:pt idx="94">
                  <c:v>1.72</c:v>
                </c:pt>
                <c:pt idx="98">
                  <c:v>3.4</c:v>
                </c:pt>
                <c:pt idx="99">
                  <c:v>6.64</c:v>
                </c:pt>
                <c:pt idx="100">
                  <c:v>7.19</c:v>
                </c:pt>
                <c:pt idx="101">
                  <c:v>6.17</c:v>
                </c:pt>
                <c:pt idx="105">
                  <c:v>4.3899999999999997</c:v>
                </c:pt>
                <c:pt idx="106">
                  <c:v>6.9</c:v>
                </c:pt>
                <c:pt idx="107">
                  <c:v>5.69</c:v>
                </c:pt>
                <c:pt idx="111">
                  <c:v>4.6500000000000004</c:v>
                </c:pt>
                <c:pt idx="112">
                  <c:v>7.87</c:v>
                </c:pt>
                <c:pt idx="113">
                  <c:v>7.1</c:v>
                </c:pt>
                <c:pt idx="114">
                  <c:v>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4-4402-995B-2A2F516A357F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All!$DZ$6:$DZ$124</c:f>
              <c:numCache>
                <c:formatCode>General</c:formatCode>
                <c:ptCount val="119"/>
                <c:pt idx="0">
                  <c:v>1.22</c:v>
                </c:pt>
                <c:pt idx="1">
                  <c:v>11.1</c:v>
                </c:pt>
                <c:pt idx="2">
                  <c:v>13.37</c:v>
                </c:pt>
                <c:pt idx="3">
                  <c:v>12.2</c:v>
                </c:pt>
                <c:pt idx="7">
                  <c:v>8.2200000000000006</c:v>
                </c:pt>
                <c:pt idx="8">
                  <c:v>12.85</c:v>
                </c:pt>
                <c:pt idx="9">
                  <c:v>12.95</c:v>
                </c:pt>
                <c:pt idx="10">
                  <c:v>13.31</c:v>
                </c:pt>
                <c:pt idx="11">
                  <c:v>10.76</c:v>
                </c:pt>
                <c:pt idx="12">
                  <c:v>12.4</c:v>
                </c:pt>
                <c:pt idx="13">
                  <c:v>11.32</c:v>
                </c:pt>
                <c:pt idx="17">
                  <c:v>4.46</c:v>
                </c:pt>
                <c:pt idx="18">
                  <c:v>12.4</c:v>
                </c:pt>
                <c:pt idx="19">
                  <c:v>13.75</c:v>
                </c:pt>
                <c:pt idx="20">
                  <c:v>13.23</c:v>
                </c:pt>
                <c:pt idx="21">
                  <c:v>13.08</c:v>
                </c:pt>
                <c:pt idx="22">
                  <c:v>11.23</c:v>
                </c:pt>
                <c:pt idx="26">
                  <c:v>8.7200000000000006</c:v>
                </c:pt>
                <c:pt idx="27">
                  <c:v>11.19</c:v>
                </c:pt>
                <c:pt idx="28">
                  <c:v>12.03</c:v>
                </c:pt>
                <c:pt idx="29">
                  <c:v>11.64</c:v>
                </c:pt>
                <c:pt idx="30">
                  <c:v>13.14</c:v>
                </c:pt>
                <c:pt idx="31">
                  <c:v>9.44</c:v>
                </c:pt>
                <c:pt idx="35">
                  <c:v>1.82</c:v>
                </c:pt>
                <c:pt idx="36">
                  <c:v>14.12</c:v>
                </c:pt>
                <c:pt idx="37">
                  <c:v>12.66</c:v>
                </c:pt>
                <c:pt idx="38">
                  <c:v>3.84</c:v>
                </c:pt>
                <c:pt idx="42">
                  <c:v>5.23</c:v>
                </c:pt>
                <c:pt idx="43">
                  <c:v>5.82</c:v>
                </c:pt>
                <c:pt idx="44">
                  <c:v>14.15</c:v>
                </c:pt>
                <c:pt idx="45">
                  <c:v>15.72</c:v>
                </c:pt>
                <c:pt idx="46">
                  <c:v>13.06</c:v>
                </c:pt>
                <c:pt idx="50">
                  <c:v>1.45</c:v>
                </c:pt>
                <c:pt idx="51">
                  <c:v>6.09</c:v>
                </c:pt>
                <c:pt idx="52">
                  <c:v>4</c:v>
                </c:pt>
                <c:pt idx="53">
                  <c:v>13.92</c:v>
                </c:pt>
                <c:pt idx="54">
                  <c:v>14.1</c:v>
                </c:pt>
                <c:pt idx="55">
                  <c:v>8.07</c:v>
                </c:pt>
                <c:pt idx="59">
                  <c:v>0</c:v>
                </c:pt>
                <c:pt idx="60">
                  <c:v>7.38</c:v>
                </c:pt>
                <c:pt idx="61">
                  <c:v>13.71</c:v>
                </c:pt>
                <c:pt idx="62">
                  <c:v>15.49</c:v>
                </c:pt>
                <c:pt idx="63">
                  <c:v>15.36</c:v>
                </c:pt>
                <c:pt idx="67">
                  <c:v>5.7</c:v>
                </c:pt>
                <c:pt idx="68">
                  <c:v>13.17</c:v>
                </c:pt>
                <c:pt idx="69">
                  <c:v>13.54</c:v>
                </c:pt>
                <c:pt idx="70">
                  <c:v>11.06</c:v>
                </c:pt>
                <c:pt idx="74">
                  <c:v>1.93</c:v>
                </c:pt>
                <c:pt idx="75">
                  <c:v>9.6999999999999993</c:v>
                </c:pt>
                <c:pt idx="76">
                  <c:v>10.64</c:v>
                </c:pt>
                <c:pt idx="77">
                  <c:v>10.31</c:v>
                </c:pt>
                <c:pt idx="78">
                  <c:v>9.83</c:v>
                </c:pt>
                <c:pt idx="82">
                  <c:v>6.72</c:v>
                </c:pt>
                <c:pt idx="83">
                  <c:v>11.19</c:v>
                </c:pt>
                <c:pt idx="84">
                  <c:v>11.24</c:v>
                </c:pt>
                <c:pt idx="85">
                  <c:v>11.6</c:v>
                </c:pt>
                <c:pt idx="86">
                  <c:v>10.199999999999999</c:v>
                </c:pt>
                <c:pt idx="90">
                  <c:v>6.7</c:v>
                </c:pt>
                <c:pt idx="91">
                  <c:v>7.27</c:v>
                </c:pt>
                <c:pt idx="92">
                  <c:v>8.3000000000000007</c:v>
                </c:pt>
                <c:pt idx="93">
                  <c:v>11.07</c:v>
                </c:pt>
                <c:pt idx="94">
                  <c:v>2.52</c:v>
                </c:pt>
                <c:pt idx="98">
                  <c:v>5.61</c:v>
                </c:pt>
                <c:pt idx="99">
                  <c:v>11.37</c:v>
                </c:pt>
                <c:pt idx="100">
                  <c:v>12</c:v>
                </c:pt>
                <c:pt idx="101">
                  <c:v>10.28</c:v>
                </c:pt>
                <c:pt idx="105">
                  <c:v>7.82</c:v>
                </c:pt>
                <c:pt idx="106">
                  <c:v>12.31</c:v>
                </c:pt>
                <c:pt idx="107">
                  <c:v>10.19</c:v>
                </c:pt>
                <c:pt idx="111">
                  <c:v>7.85</c:v>
                </c:pt>
                <c:pt idx="112">
                  <c:v>12.82</c:v>
                </c:pt>
                <c:pt idx="113">
                  <c:v>11.95</c:v>
                </c:pt>
                <c:pt idx="114">
                  <c:v>2.48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4-4402-995B-2A2F516A357F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All!$EA$6:$EA$124</c:f>
              <c:numCache>
                <c:formatCode>General</c:formatCode>
                <c:ptCount val="119"/>
                <c:pt idx="0">
                  <c:v>1.22</c:v>
                </c:pt>
                <c:pt idx="1">
                  <c:v>9.86</c:v>
                </c:pt>
                <c:pt idx="2">
                  <c:v>11.99</c:v>
                </c:pt>
                <c:pt idx="3">
                  <c:v>11.12</c:v>
                </c:pt>
                <c:pt idx="7">
                  <c:v>7.28</c:v>
                </c:pt>
                <c:pt idx="8">
                  <c:v>11.16</c:v>
                </c:pt>
                <c:pt idx="9">
                  <c:v>10.74</c:v>
                </c:pt>
                <c:pt idx="10">
                  <c:v>11.4</c:v>
                </c:pt>
                <c:pt idx="11">
                  <c:v>9.15</c:v>
                </c:pt>
                <c:pt idx="12">
                  <c:v>10.36</c:v>
                </c:pt>
                <c:pt idx="13">
                  <c:v>9.59</c:v>
                </c:pt>
                <c:pt idx="17">
                  <c:v>3.96</c:v>
                </c:pt>
                <c:pt idx="18">
                  <c:v>10.69</c:v>
                </c:pt>
                <c:pt idx="19">
                  <c:v>12.02</c:v>
                </c:pt>
                <c:pt idx="20">
                  <c:v>11.48</c:v>
                </c:pt>
                <c:pt idx="21">
                  <c:v>10.95</c:v>
                </c:pt>
                <c:pt idx="22">
                  <c:v>9.43</c:v>
                </c:pt>
                <c:pt idx="26">
                  <c:v>7.6</c:v>
                </c:pt>
                <c:pt idx="27">
                  <c:v>9.66</c:v>
                </c:pt>
                <c:pt idx="28">
                  <c:v>10.56</c:v>
                </c:pt>
                <c:pt idx="29">
                  <c:v>9.5399999999999991</c:v>
                </c:pt>
                <c:pt idx="30">
                  <c:v>11.03</c:v>
                </c:pt>
                <c:pt idx="31">
                  <c:v>8.06</c:v>
                </c:pt>
                <c:pt idx="35">
                  <c:v>1.65</c:v>
                </c:pt>
                <c:pt idx="36">
                  <c:v>12.37</c:v>
                </c:pt>
                <c:pt idx="37">
                  <c:v>11.31</c:v>
                </c:pt>
                <c:pt idx="38">
                  <c:v>3.66</c:v>
                </c:pt>
                <c:pt idx="42">
                  <c:v>4.74</c:v>
                </c:pt>
                <c:pt idx="43">
                  <c:v>5.31</c:v>
                </c:pt>
                <c:pt idx="44">
                  <c:v>12.62</c:v>
                </c:pt>
                <c:pt idx="45">
                  <c:v>13.71</c:v>
                </c:pt>
                <c:pt idx="46">
                  <c:v>11.36</c:v>
                </c:pt>
                <c:pt idx="50">
                  <c:v>1.23</c:v>
                </c:pt>
                <c:pt idx="51">
                  <c:v>4.66</c:v>
                </c:pt>
                <c:pt idx="52">
                  <c:v>3.32</c:v>
                </c:pt>
                <c:pt idx="53">
                  <c:v>11.51</c:v>
                </c:pt>
                <c:pt idx="54">
                  <c:v>11.36</c:v>
                </c:pt>
                <c:pt idx="55">
                  <c:v>6.42</c:v>
                </c:pt>
                <c:pt idx="59">
                  <c:v>0</c:v>
                </c:pt>
                <c:pt idx="60">
                  <c:v>6.13</c:v>
                </c:pt>
                <c:pt idx="61">
                  <c:v>10.89</c:v>
                </c:pt>
                <c:pt idx="62">
                  <c:v>11.82</c:v>
                </c:pt>
                <c:pt idx="63">
                  <c:v>10.68</c:v>
                </c:pt>
                <c:pt idx="67">
                  <c:v>4.75</c:v>
                </c:pt>
                <c:pt idx="68">
                  <c:v>10.48</c:v>
                </c:pt>
                <c:pt idx="69">
                  <c:v>11</c:v>
                </c:pt>
                <c:pt idx="70">
                  <c:v>8.7899999999999991</c:v>
                </c:pt>
                <c:pt idx="74">
                  <c:v>1.51</c:v>
                </c:pt>
                <c:pt idx="75">
                  <c:v>7.15</c:v>
                </c:pt>
                <c:pt idx="76">
                  <c:v>8.0500000000000007</c:v>
                </c:pt>
                <c:pt idx="77">
                  <c:v>8.1300000000000008</c:v>
                </c:pt>
                <c:pt idx="78">
                  <c:v>7.93</c:v>
                </c:pt>
                <c:pt idx="82">
                  <c:v>5.31</c:v>
                </c:pt>
                <c:pt idx="83">
                  <c:v>8.7200000000000006</c:v>
                </c:pt>
                <c:pt idx="84">
                  <c:v>8.32</c:v>
                </c:pt>
                <c:pt idx="85">
                  <c:v>8.5500000000000007</c:v>
                </c:pt>
                <c:pt idx="86">
                  <c:v>8.24</c:v>
                </c:pt>
                <c:pt idx="90">
                  <c:v>5.21</c:v>
                </c:pt>
                <c:pt idx="91">
                  <c:v>5.6</c:v>
                </c:pt>
                <c:pt idx="92">
                  <c:v>6.57</c:v>
                </c:pt>
                <c:pt idx="93">
                  <c:v>8.26</c:v>
                </c:pt>
                <c:pt idx="94">
                  <c:v>1.91</c:v>
                </c:pt>
                <c:pt idx="98">
                  <c:v>4.74</c:v>
                </c:pt>
                <c:pt idx="99">
                  <c:v>8.99</c:v>
                </c:pt>
                <c:pt idx="100">
                  <c:v>9.8699999999999992</c:v>
                </c:pt>
                <c:pt idx="101">
                  <c:v>8.43</c:v>
                </c:pt>
                <c:pt idx="105">
                  <c:v>6.22</c:v>
                </c:pt>
                <c:pt idx="106">
                  <c:v>9.8800000000000008</c:v>
                </c:pt>
                <c:pt idx="107">
                  <c:v>8.16</c:v>
                </c:pt>
                <c:pt idx="111">
                  <c:v>6.45</c:v>
                </c:pt>
                <c:pt idx="112">
                  <c:v>10.01</c:v>
                </c:pt>
                <c:pt idx="113">
                  <c:v>9.75</c:v>
                </c:pt>
                <c:pt idx="114">
                  <c:v>2.0299999999999998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4-4402-995B-2A2F516A3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79120"/>
        <c:axId val="483979952"/>
      </c:scatterChart>
      <c:valAx>
        <c:axId val="48397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79952"/>
        <c:crosses val="autoZero"/>
        <c:crossBetween val="midCat"/>
      </c:valAx>
      <c:valAx>
        <c:axId val="4839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7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All!$EB$6:$EB$124</c:f>
              <c:numCache>
                <c:formatCode>General</c:formatCode>
                <c:ptCount val="119"/>
                <c:pt idx="0">
                  <c:v>8.9600000000000009</c:v>
                </c:pt>
                <c:pt idx="1">
                  <c:v>43.05</c:v>
                </c:pt>
                <c:pt idx="2">
                  <c:v>42.51</c:v>
                </c:pt>
                <c:pt idx="3">
                  <c:v>42.24</c:v>
                </c:pt>
                <c:pt idx="7">
                  <c:v>37.22</c:v>
                </c:pt>
                <c:pt idx="8">
                  <c:v>41.96</c:v>
                </c:pt>
                <c:pt idx="9">
                  <c:v>41.73</c:v>
                </c:pt>
                <c:pt idx="10">
                  <c:v>41.83</c:v>
                </c:pt>
                <c:pt idx="11">
                  <c:v>41.33</c:v>
                </c:pt>
                <c:pt idx="12">
                  <c:v>42.15</c:v>
                </c:pt>
                <c:pt idx="13">
                  <c:v>43</c:v>
                </c:pt>
                <c:pt idx="17">
                  <c:v>32.770000000000003</c:v>
                </c:pt>
                <c:pt idx="18">
                  <c:v>41.54</c:v>
                </c:pt>
                <c:pt idx="19">
                  <c:v>41.29</c:v>
                </c:pt>
                <c:pt idx="20">
                  <c:v>41.09</c:v>
                </c:pt>
                <c:pt idx="21">
                  <c:v>41.8</c:v>
                </c:pt>
                <c:pt idx="22">
                  <c:v>41.68</c:v>
                </c:pt>
                <c:pt idx="26">
                  <c:v>41.74</c:v>
                </c:pt>
                <c:pt idx="27">
                  <c:v>42.72</c:v>
                </c:pt>
                <c:pt idx="28">
                  <c:v>41.88</c:v>
                </c:pt>
                <c:pt idx="29">
                  <c:v>42.12</c:v>
                </c:pt>
                <c:pt idx="30">
                  <c:v>41.59</c:v>
                </c:pt>
                <c:pt idx="31">
                  <c:v>43.41</c:v>
                </c:pt>
                <c:pt idx="35">
                  <c:v>13.88</c:v>
                </c:pt>
                <c:pt idx="36">
                  <c:v>43.11</c:v>
                </c:pt>
                <c:pt idx="37">
                  <c:v>42.71</c:v>
                </c:pt>
                <c:pt idx="38">
                  <c:v>43.29</c:v>
                </c:pt>
                <c:pt idx="42">
                  <c:v>39.049999999999997</c:v>
                </c:pt>
                <c:pt idx="43">
                  <c:v>43.1</c:v>
                </c:pt>
                <c:pt idx="44">
                  <c:v>42.44</c:v>
                </c:pt>
                <c:pt idx="45">
                  <c:v>42.26</c:v>
                </c:pt>
                <c:pt idx="46">
                  <c:v>42.58</c:v>
                </c:pt>
                <c:pt idx="50">
                  <c:v>9.67</c:v>
                </c:pt>
                <c:pt idx="51">
                  <c:v>42.97</c:v>
                </c:pt>
                <c:pt idx="52">
                  <c:v>42.69</c:v>
                </c:pt>
                <c:pt idx="53">
                  <c:v>41.14</c:v>
                </c:pt>
                <c:pt idx="54">
                  <c:v>42.15</c:v>
                </c:pt>
                <c:pt idx="55">
                  <c:v>43.84</c:v>
                </c:pt>
                <c:pt idx="59">
                  <c:v>16.579999999999998</c:v>
                </c:pt>
                <c:pt idx="60">
                  <c:v>33.520000000000003</c:v>
                </c:pt>
                <c:pt idx="61">
                  <c:v>41.8</c:v>
                </c:pt>
                <c:pt idx="62">
                  <c:v>39.4</c:v>
                </c:pt>
                <c:pt idx="63">
                  <c:v>38.22</c:v>
                </c:pt>
                <c:pt idx="67">
                  <c:v>27.51</c:v>
                </c:pt>
                <c:pt idx="68">
                  <c:v>41.48</c:v>
                </c:pt>
                <c:pt idx="69">
                  <c:v>41.33</c:v>
                </c:pt>
                <c:pt idx="70">
                  <c:v>42.86</c:v>
                </c:pt>
                <c:pt idx="74">
                  <c:v>13.33</c:v>
                </c:pt>
                <c:pt idx="75">
                  <c:v>43.29</c:v>
                </c:pt>
                <c:pt idx="76">
                  <c:v>42.29</c:v>
                </c:pt>
                <c:pt idx="77">
                  <c:v>42.49</c:v>
                </c:pt>
                <c:pt idx="78">
                  <c:v>42.73</c:v>
                </c:pt>
                <c:pt idx="82">
                  <c:v>34.590000000000003</c:v>
                </c:pt>
                <c:pt idx="83">
                  <c:v>42.06</c:v>
                </c:pt>
                <c:pt idx="84">
                  <c:v>42.58</c:v>
                </c:pt>
                <c:pt idx="85">
                  <c:v>42.14</c:v>
                </c:pt>
                <c:pt idx="86">
                  <c:v>40.65</c:v>
                </c:pt>
                <c:pt idx="90">
                  <c:v>35.17</c:v>
                </c:pt>
                <c:pt idx="91">
                  <c:v>42.2</c:v>
                </c:pt>
                <c:pt idx="92">
                  <c:v>42.46</c:v>
                </c:pt>
                <c:pt idx="93">
                  <c:v>42.62</c:v>
                </c:pt>
                <c:pt idx="94">
                  <c:v>39.78</c:v>
                </c:pt>
                <c:pt idx="98">
                  <c:v>27.12</c:v>
                </c:pt>
                <c:pt idx="99">
                  <c:v>42.71</c:v>
                </c:pt>
                <c:pt idx="100">
                  <c:v>42.1</c:v>
                </c:pt>
                <c:pt idx="101">
                  <c:v>41.76</c:v>
                </c:pt>
                <c:pt idx="105">
                  <c:v>35.51</c:v>
                </c:pt>
                <c:pt idx="106">
                  <c:v>42.46</c:v>
                </c:pt>
                <c:pt idx="107">
                  <c:v>41.43</c:v>
                </c:pt>
                <c:pt idx="111">
                  <c:v>34.44</c:v>
                </c:pt>
                <c:pt idx="112">
                  <c:v>41.43</c:v>
                </c:pt>
                <c:pt idx="113">
                  <c:v>41.48</c:v>
                </c:pt>
                <c:pt idx="114">
                  <c:v>42.41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11-4EE1-83E1-D9A43C58AB5C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All!$EC$6:$EC$124</c:f>
              <c:numCache>
                <c:formatCode>General</c:formatCode>
                <c:ptCount val="119"/>
                <c:pt idx="0">
                  <c:v>74.16</c:v>
                </c:pt>
                <c:pt idx="1">
                  <c:v>42.9</c:v>
                </c:pt>
                <c:pt idx="2">
                  <c:v>41.71</c:v>
                </c:pt>
                <c:pt idx="3">
                  <c:v>41.7</c:v>
                </c:pt>
                <c:pt idx="7">
                  <c:v>37.380000000000003</c:v>
                </c:pt>
                <c:pt idx="8">
                  <c:v>41.59</c:v>
                </c:pt>
                <c:pt idx="9">
                  <c:v>41.88</c:v>
                </c:pt>
                <c:pt idx="10">
                  <c:v>41.2</c:v>
                </c:pt>
                <c:pt idx="11">
                  <c:v>41.04</c:v>
                </c:pt>
                <c:pt idx="12">
                  <c:v>42.42</c:v>
                </c:pt>
                <c:pt idx="13">
                  <c:v>42.11</c:v>
                </c:pt>
                <c:pt idx="17">
                  <c:v>32.06</c:v>
                </c:pt>
                <c:pt idx="18">
                  <c:v>41.64</c:v>
                </c:pt>
                <c:pt idx="19">
                  <c:v>41.18</c:v>
                </c:pt>
                <c:pt idx="20">
                  <c:v>40.86</c:v>
                </c:pt>
                <c:pt idx="21">
                  <c:v>40.53</c:v>
                </c:pt>
                <c:pt idx="22">
                  <c:v>41.52</c:v>
                </c:pt>
                <c:pt idx="26">
                  <c:v>40.01</c:v>
                </c:pt>
                <c:pt idx="27">
                  <c:v>41.71</c:v>
                </c:pt>
                <c:pt idx="28">
                  <c:v>41.76</c:v>
                </c:pt>
                <c:pt idx="29">
                  <c:v>41.92</c:v>
                </c:pt>
                <c:pt idx="30">
                  <c:v>40.76</c:v>
                </c:pt>
                <c:pt idx="31">
                  <c:v>41.69</c:v>
                </c:pt>
                <c:pt idx="35">
                  <c:v>16.11</c:v>
                </c:pt>
                <c:pt idx="36">
                  <c:v>41.71</c:v>
                </c:pt>
                <c:pt idx="37">
                  <c:v>42.62</c:v>
                </c:pt>
                <c:pt idx="38">
                  <c:v>42.6</c:v>
                </c:pt>
                <c:pt idx="42">
                  <c:v>39</c:v>
                </c:pt>
                <c:pt idx="43">
                  <c:v>43.26</c:v>
                </c:pt>
                <c:pt idx="44">
                  <c:v>41.89</c:v>
                </c:pt>
                <c:pt idx="45">
                  <c:v>41.14</c:v>
                </c:pt>
                <c:pt idx="46">
                  <c:v>42.38</c:v>
                </c:pt>
                <c:pt idx="50">
                  <c:v>9.41</c:v>
                </c:pt>
                <c:pt idx="51">
                  <c:v>42.78</c:v>
                </c:pt>
                <c:pt idx="52">
                  <c:v>42.03</c:v>
                </c:pt>
                <c:pt idx="53">
                  <c:v>40.659999999999997</c:v>
                </c:pt>
                <c:pt idx="54">
                  <c:v>40.49</c:v>
                </c:pt>
                <c:pt idx="55">
                  <c:v>42.65</c:v>
                </c:pt>
                <c:pt idx="59">
                  <c:v>12.42</c:v>
                </c:pt>
                <c:pt idx="60">
                  <c:v>33.4</c:v>
                </c:pt>
                <c:pt idx="61">
                  <c:v>40.94</c:v>
                </c:pt>
                <c:pt idx="62">
                  <c:v>34.64</c:v>
                </c:pt>
                <c:pt idx="63">
                  <c:v>28.55</c:v>
                </c:pt>
                <c:pt idx="67">
                  <c:v>26.79</c:v>
                </c:pt>
                <c:pt idx="68">
                  <c:v>40.89</c:v>
                </c:pt>
                <c:pt idx="69">
                  <c:v>41.21</c:v>
                </c:pt>
                <c:pt idx="70">
                  <c:v>41.51</c:v>
                </c:pt>
                <c:pt idx="74">
                  <c:v>13.56</c:v>
                </c:pt>
                <c:pt idx="75">
                  <c:v>42.49</c:v>
                </c:pt>
                <c:pt idx="76">
                  <c:v>41.42</c:v>
                </c:pt>
                <c:pt idx="77">
                  <c:v>41.65</c:v>
                </c:pt>
                <c:pt idx="78">
                  <c:v>40.840000000000003</c:v>
                </c:pt>
                <c:pt idx="82">
                  <c:v>34.9</c:v>
                </c:pt>
                <c:pt idx="83">
                  <c:v>41.72</c:v>
                </c:pt>
                <c:pt idx="84">
                  <c:v>41.12</c:v>
                </c:pt>
                <c:pt idx="85">
                  <c:v>41.35</c:v>
                </c:pt>
                <c:pt idx="86">
                  <c:v>39.89</c:v>
                </c:pt>
                <c:pt idx="90">
                  <c:v>34.65</c:v>
                </c:pt>
                <c:pt idx="91">
                  <c:v>42.5</c:v>
                </c:pt>
                <c:pt idx="92">
                  <c:v>42.63</c:v>
                </c:pt>
                <c:pt idx="93">
                  <c:v>42.17</c:v>
                </c:pt>
                <c:pt idx="94">
                  <c:v>39.56</c:v>
                </c:pt>
                <c:pt idx="98">
                  <c:v>26.31</c:v>
                </c:pt>
                <c:pt idx="99">
                  <c:v>42.31</c:v>
                </c:pt>
                <c:pt idx="100">
                  <c:v>40.700000000000003</c:v>
                </c:pt>
                <c:pt idx="101">
                  <c:v>41.09</c:v>
                </c:pt>
                <c:pt idx="105">
                  <c:v>35.380000000000003</c:v>
                </c:pt>
                <c:pt idx="106">
                  <c:v>41.78</c:v>
                </c:pt>
                <c:pt idx="107">
                  <c:v>40.43</c:v>
                </c:pt>
                <c:pt idx="111">
                  <c:v>33.159999999999997</c:v>
                </c:pt>
                <c:pt idx="112">
                  <c:v>40.74</c:v>
                </c:pt>
                <c:pt idx="113">
                  <c:v>41.28</c:v>
                </c:pt>
                <c:pt idx="114">
                  <c:v>42.95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11-4EE1-83E1-D9A43C58AB5C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All!$ED$6:$ED$124</c:f>
              <c:numCache>
                <c:formatCode>General</c:formatCode>
                <c:ptCount val="119"/>
                <c:pt idx="0">
                  <c:v>72.349999999999994</c:v>
                </c:pt>
                <c:pt idx="1">
                  <c:v>34.18</c:v>
                </c:pt>
                <c:pt idx="2">
                  <c:v>31.98</c:v>
                </c:pt>
                <c:pt idx="3">
                  <c:v>31.91</c:v>
                </c:pt>
                <c:pt idx="7">
                  <c:v>29.38</c:v>
                </c:pt>
                <c:pt idx="8">
                  <c:v>32.520000000000003</c:v>
                </c:pt>
                <c:pt idx="9">
                  <c:v>32.200000000000003</c:v>
                </c:pt>
                <c:pt idx="10">
                  <c:v>31.51</c:v>
                </c:pt>
                <c:pt idx="11">
                  <c:v>33.65</c:v>
                </c:pt>
                <c:pt idx="12">
                  <c:v>32.71</c:v>
                </c:pt>
                <c:pt idx="13">
                  <c:v>32.64</c:v>
                </c:pt>
                <c:pt idx="17">
                  <c:v>27.36</c:v>
                </c:pt>
                <c:pt idx="18">
                  <c:v>32.31</c:v>
                </c:pt>
                <c:pt idx="19">
                  <c:v>31.66</c:v>
                </c:pt>
                <c:pt idx="20">
                  <c:v>32.119999999999997</c:v>
                </c:pt>
                <c:pt idx="21">
                  <c:v>32.32</c:v>
                </c:pt>
                <c:pt idx="22">
                  <c:v>32.1</c:v>
                </c:pt>
                <c:pt idx="26">
                  <c:v>33.049999999999997</c:v>
                </c:pt>
                <c:pt idx="27">
                  <c:v>32.71</c:v>
                </c:pt>
                <c:pt idx="28">
                  <c:v>32.590000000000003</c:v>
                </c:pt>
                <c:pt idx="29">
                  <c:v>33.44</c:v>
                </c:pt>
                <c:pt idx="30">
                  <c:v>32.549999999999997</c:v>
                </c:pt>
                <c:pt idx="31">
                  <c:v>34.840000000000003</c:v>
                </c:pt>
                <c:pt idx="35">
                  <c:v>22.7</c:v>
                </c:pt>
                <c:pt idx="36">
                  <c:v>31.69</c:v>
                </c:pt>
                <c:pt idx="37">
                  <c:v>31.4</c:v>
                </c:pt>
                <c:pt idx="38">
                  <c:v>35.950000000000003</c:v>
                </c:pt>
                <c:pt idx="42">
                  <c:v>33.39</c:v>
                </c:pt>
                <c:pt idx="43">
                  <c:v>35.78</c:v>
                </c:pt>
                <c:pt idx="44">
                  <c:v>31.31</c:v>
                </c:pt>
                <c:pt idx="45">
                  <c:v>30.3</c:v>
                </c:pt>
                <c:pt idx="46">
                  <c:v>31.5</c:v>
                </c:pt>
                <c:pt idx="50">
                  <c:v>7.8</c:v>
                </c:pt>
                <c:pt idx="51">
                  <c:v>34.92</c:v>
                </c:pt>
                <c:pt idx="52">
                  <c:v>35.409999999999997</c:v>
                </c:pt>
                <c:pt idx="53">
                  <c:v>31.66</c:v>
                </c:pt>
                <c:pt idx="54">
                  <c:v>31.7</c:v>
                </c:pt>
                <c:pt idx="55">
                  <c:v>34.21</c:v>
                </c:pt>
                <c:pt idx="59">
                  <c:v>4.7</c:v>
                </c:pt>
                <c:pt idx="60">
                  <c:v>26.82</c:v>
                </c:pt>
                <c:pt idx="61">
                  <c:v>31.7</c:v>
                </c:pt>
                <c:pt idx="62">
                  <c:v>30.93</c:v>
                </c:pt>
                <c:pt idx="63">
                  <c:v>29.85</c:v>
                </c:pt>
                <c:pt idx="67">
                  <c:v>22.64</c:v>
                </c:pt>
                <c:pt idx="68">
                  <c:v>31.87</c:v>
                </c:pt>
                <c:pt idx="69">
                  <c:v>31.54</c:v>
                </c:pt>
                <c:pt idx="70">
                  <c:v>32.22</c:v>
                </c:pt>
                <c:pt idx="74">
                  <c:v>11.21</c:v>
                </c:pt>
                <c:pt idx="75">
                  <c:v>35.56</c:v>
                </c:pt>
                <c:pt idx="76">
                  <c:v>35.25</c:v>
                </c:pt>
                <c:pt idx="77">
                  <c:v>35.44</c:v>
                </c:pt>
                <c:pt idx="78">
                  <c:v>34.56</c:v>
                </c:pt>
                <c:pt idx="82">
                  <c:v>29.43</c:v>
                </c:pt>
                <c:pt idx="83">
                  <c:v>35.130000000000003</c:v>
                </c:pt>
                <c:pt idx="84">
                  <c:v>35.130000000000003</c:v>
                </c:pt>
                <c:pt idx="85">
                  <c:v>34.53</c:v>
                </c:pt>
                <c:pt idx="86">
                  <c:v>33.31</c:v>
                </c:pt>
                <c:pt idx="90">
                  <c:v>29.74</c:v>
                </c:pt>
                <c:pt idx="91">
                  <c:v>35.380000000000003</c:v>
                </c:pt>
                <c:pt idx="92">
                  <c:v>36.17</c:v>
                </c:pt>
                <c:pt idx="93">
                  <c:v>35.020000000000003</c:v>
                </c:pt>
                <c:pt idx="94">
                  <c:v>33.270000000000003</c:v>
                </c:pt>
                <c:pt idx="98">
                  <c:v>22.82</c:v>
                </c:pt>
                <c:pt idx="99">
                  <c:v>34.54</c:v>
                </c:pt>
                <c:pt idx="100">
                  <c:v>34.29</c:v>
                </c:pt>
                <c:pt idx="101">
                  <c:v>33.82</c:v>
                </c:pt>
                <c:pt idx="105">
                  <c:v>28.8</c:v>
                </c:pt>
                <c:pt idx="106">
                  <c:v>33.619999999999997</c:v>
                </c:pt>
                <c:pt idx="107">
                  <c:v>33.83</c:v>
                </c:pt>
                <c:pt idx="111">
                  <c:v>29.23</c:v>
                </c:pt>
                <c:pt idx="112">
                  <c:v>33.31</c:v>
                </c:pt>
                <c:pt idx="113">
                  <c:v>33.72</c:v>
                </c:pt>
                <c:pt idx="114">
                  <c:v>34.65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11-4EE1-83E1-D9A43C58AB5C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All!$EE$6:$EE$124</c:f>
              <c:numCache>
                <c:formatCode>General</c:formatCode>
                <c:ptCount val="119"/>
                <c:pt idx="0">
                  <c:v>72.62</c:v>
                </c:pt>
                <c:pt idx="1">
                  <c:v>36.409999999999997</c:v>
                </c:pt>
                <c:pt idx="2">
                  <c:v>34.33</c:v>
                </c:pt>
                <c:pt idx="3">
                  <c:v>33.85</c:v>
                </c:pt>
                <c:pt idx="7">
                  <c:v>30.17</c:v>
                </c:pt>
                <c:pt idx="8">
                  <c:v>34.42</c:v>
                </c:pt>
                <c:pt idx="9">
                  <c:v>35.159999999999997</c:v>
                </c:pt>
                <c:pt idx="10">
                  <c:v>33.78</c:v>
                </c:pt>
                <c:pt idx="11">
                  <c:v>34.71</c:v>
                </c:pt>
                <c:pt idx="12">
                  <c:v>35.29</c:v>
                </c:pt>
                <c:pt idx="13">
                  <c:v>34.590000000000003</c:v>
                </c:pt>
                <c:pt idx="17">
                  <c:v>27.9</c:v>
                </c:pt>
                <c:pt idx="18">
                  <c:v>34.28</c:v>
                </c:pt>
                <c:pt idx="19">
                  <c:v>33.68</c:v>
                </c:pt>
                <c:pt idx="20">
                  <c:v>34.049999999999997</c:v>
                </c:pt>
                <c:pt idx="21">
                  <c:v>34.67</c:v>
                </c:pt>
                <c:pt idx="22">
                  <c:v>34.06</c:v>
                </c:pt>
                <c:pt idx="26">
                  <c:v>34.54</c:v>
                </c:pt>
                <c:pt idx="27">
                  <c:v>35.96</c:v>
                </c:pt>
                <c:pt idx="28">
                  <c:v>35.340000000000003</c:v>
                </c:pt>
                <c:pt idx="29">
                  <c:v>36.270000000000003</c:v>
                </c:pt>
                <c:pt idx="30">
                  <c:v>34.93</c:v>
                </c:pt>
                <c:pt idx="31">
                  <c:v>36.29</c:v>
                </c:pt>
                <c:pt idx="35">
                  <c:v>11.09</c:v>
                </c:pt>
                <c:pt idx="36">
                  <c:v>33.619999999999997</c:v>
                </c:pt>
                <c:pt idx="37">
                  <c:v>33.89</c:v>
                </c:pt>
                <c:pt idx="38">
                  <c:v>35.909999999999997</c:v>
                </c:pt>
                <c:pt idx="42">
                  <c:v>33.229999999999997</c:v>
                </c:pt>
                <c:pt idx="43">
                  <c:v>35.58</c:v>
                </c:pt>
                <c:pt idx="44">
                  <c:v>33.159999999999997</c:v>
                </c:pt>
                <c:pt idx="45">
                  <c:v>32.159999999999997</c:v>
                </c:pt>
                <c:pt idx="46">
                  <c:v>32.89</c:v>
                </c:pt>
                <c:pt idx="50">
                  <c:v>7.65</c:v>
                </c:pt>
                <c:pt idx="51">
                  <c:v>35.869999999999997</c:v>
                </c:pt>
                <c:pt idx="52">
                  <c:v>33.81</c:v>
                </c:pt>
                <c:pt idx="53">
                  <c:v>33.92</c:v>
                </c:pt>
                <c:pt idx="54">
                  <c:v>34.28</c:v>
                </c:pt>
                <c:pt idx="55">
                  <c:v>35.24</c:v>
                </c:pt>
                <c:pt idx="59">
                  <c:v>12.24</c:v>
                </c:pt>
                <c:pt idx="60">
                  <c:v>27.88</c:v>
                </c:pt>
                <c:pt idx="61">
                  <c:v>34.22</c:v>
                </c:pt>
                <c:pt idx="62">
                  <c:v>34.22</c:v>
                </c:pt>
                <c:pt idx="63">
                  <c:v>35.049999999999997</c:v>
                </c:pt>
                <c:pt idx="67">
                  <c:v>23.7</c:v>
                </c:pt>
                <c:pt idx="68">
                  <c:v>35.21</c:v>
                </c:pt>
                <c:pt idx="69">
                  <c:v>35.42</c:v>
                </c:pt>
                <c:pt idx="70">
                  <c:v>34.79</c:v>
                </c:pt>
                <c:pt idx="74">
                  <c:v>11.93</c:v>
                </c:pt>
                <c:pt idx="75">
                  <c:v>38.51</c:v>
                </c:pt>
                <c:pt idx="76">
                  <c:v>38.17</c:v>
                </c:pt>
                <c:pt idx="77">
                  <c:v>37.96</c:v>
                </c:pt>
                <c:pt idx="78">
                  <c:v>36.49</c:v>
                </c:pt>
                <c:pt idx="82">
                  <c:v>30.64</c:v>
                </c:pt>
                <c:pt idx="83">
                  <c:v>37.43</c:v>
                </c:pt>
                <c:pt idx="84">
                  <c:v>37.53</c:v>
                </c:pt>
                <c:pt idx="85">
                  <c:v>37.46</c:v>
                </c:pt>
                <c:pt idx="86">
                  <c:v>34.76</c:v>
                </c:pt>
                <c:pt idx="90">
                  <c:v>33.25</c:v>
                </c:pt>
                <c:pt idx="91">
                  <c:v>38.06</c:v>
                </c:pt>
                <c:pt idx="92">
                  <c:v>38.75</c:v>
                </c:pt>
                <c:pt idx="93">
                  <c:v>37.9</c:v>
                </c:pt>
                <c:pt idx="94">
                  <c:v>33.4</c:v>
                </c:pt>
                <c:pt idx="98">
                  <c:v>24.69</c:v>
                </c:pt>
                <c:pt idx="99">
                  <c:v>37.79</c:v>
                </c:pt>
                <c:pt idx="100">
                  <c:v>36.92</c:v>
                </c:pt>
                <c:pt idx="101">
                  <c:v>36.39</c:v>
                </c:pt>
                <c:pt idx="105">
                  <c:v>31.74</c:v>
                </c:pt>
                <c:pt idx="106">
                  <c:v>37.130000000000003</c:v>
                </c:pt>
                <c:pt idx="107">
                  <c:v>35.17</c:v>
                </c:pt>
                <c:pt idx="111">
                  <c:v>30.82</c:v>
                </c:pt>
                <c:pt idx="112">
                  <c:v>36.130000000000003</c:v>
                </c:pt>
                <c:pt idx="113">
                  <c:v>36.770000000000003</c:v>
                </c:pt>
                <c:pt idx="114">
                  <c:v>34.01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EE1-83E1-D9A43C58A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3680"/>
        <c:axId val="484000336"/>
      </c:scatterChart>
      <c:valAx>
        <c:axId val="4839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0336"/>
        <c:crosses val="autoZero"/>
        <c:crossBetween val="midCat"/>
      </c:valAx>
      <c:valAx>
        <c:axId val="48400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All!$EF$6:$EF$124</c:f>
              <c:numCache>
                <c:formatCode>General</c:formatCode>
                <c:ptCount val="119"/>
                <c:pt idx="0">
                  <c:v>89.75</c:v>
                </c:pt>
                <c:pt idx="1">
                  <c:v>45.61</c:v>
                </c:pt>
                <c:pt idx="2">
                  <c:v>44.95</c:v>
                </c:pt>
                <c:pt idx="3">
                  <c:v>45.72</c:v>
                </c:pt>
                <c:pt idx="7">
                  <c:v>54.4</c:v>
                </c:pt>
                <c:pt idx="8">
                  <c:v>45</c:v>
                </c:pt>
                <c:pt idx="9">
                  <c:v>44.6</c:v>
                </c:pt>
                <c:pt idx="10">
                  <c:v>44.64</c:v>
                </c:pt>
                <c:pt idx="11">
                  <c:v>46.79</c:v>
                </c:pt>
                <c:pt idx="12">
                  <c:v>44.69</c:v>
                </c:pt>
                <c:pt idx="13">
                  <c:v>45.7</c:v>
                </c:pt>
                <c:pt idx="17">
                  <c:v>62.48</c:v>
                </c:pt>
                <c:pt idx="18">
                  <c:v>44.81</c:v>
                </c:pt>
                <c:pt idx="19">
                  <c:v>43.75</c:v>
                </c:pt>
                <c:pt idx="20">
                  <c:v>44.18</c:v>
                </c:pt>
                <c:pt idx="21">
                  <c:v>44.02</c:v>
                </c:pt>
                <c:pt idx="22">
                  <c:v>46.54</c:v>
                </c:pt>
                <c:pt idx="26">
                  <c:v>48.54</c:v>
                </c:pt>
                <c:pt idx="27">
                  <c:v>45.11</c:v>
                </c:pt>
                <c:pt idx="28">
                  <c:v>44.38</c:v>
                </c:pt>
                <c:pt idx="29">
                  <c:v>45.01</c:v>
                </c:pt>
                <c:pt idx="30">
                  <c:v>43.45</c:v>
                </c:pt>
                <c:pt idx="31">
                  <c:v>47.19</c:v>
                </c:pt>
                <c:pt idx="35">
                  <c:v>84.58</c:v>
                </c:pt>
                <c:pt idx="36">
                  <c:v>44.7</c:v>
                </c:pt>
                <c:pt idx="37">
                  <c:v>46.89</c:v>
                </c:pt>
                <c:pt idx="38">
                  <c:v>53.91</c:v>
                </c:pt>
                <c:pt idx="42">
                  <c:v>55.72</c:v>
                </c:pt>
                <c:pt idx="43">
                  <c:v>51.69</c:v>
                </c:pt>
                <c:pt idx="44">
                  <c:v>44.74</c:v>
                </c:pt>
                <c:pt idx="45">
                  <c:v>44.49</c:v>
                </c:pt>
                <c:pt idx="46">
                  <c:v>46.61</c:v>
                </c:pt>
                <c:pt idx="50">
                  <c:v>88.78</c:v>
                </c:pt>
                <c:pt idx="51">
                  <c:v>50.71</c:v>
                </c:pt>
                <c:pt idx="52">
                  <c:v>53.46</c:v>
                </c:pt>
                <c:pt idx="53">
                  <c:v>44.03</c:v>
                </c:pt>
                <c:pt idx="54">
                  <c:v>43.01</c:v>
                </c:pt>
                <c:pt idx="55">
                  <c:v>49</c:v>
                </c:pt>
                <c:pt idx="59">
                  <c:v>83.42</c:v>
                </c:pt>
                <c:pt idx="60">
                  <c:v>58.92</c:v>
                </c:pt>
                <c:pt idx="61">
                  <c:v>43.48</c:v>
                </c:pt>
                <c:pt idx="62">
                  <c:v>41.32</c:v>
                </c:pt>
                <c:pt idx="63">
                  <c:v>41.58</c:v>
                </c:pt>
                <c:pt idx="67">
                  <c:v>66.13</c:v>
                </c:pt>
                <c:pt idx="68">
                  <c:v>44.26</c:v>
                </c:pt>
                <c:pt idx="69">
                  <c:v>44.27</c:v>
                </c:pt>
                <c:pt idx="70">
                  <c:v>46.33</c:v>
                </c:pt>
                <c:pt idx="74">
                  <c:v>84.31</c:v>
                </c:pt>
                <c:pt idx="75">
                  <c:v>45.55</c:v>
                </c:pt>
                <c:pt idx="76">
                  <c:v>44.51</c:v>
                </c:pt>
                <c:pt idx="77">
                  <c:v>45.33</c:v>
                </c:pt>
                <c:pt idx="78">
                  <c:v>45.91</c:v>
                </c:pt>
                <c:pt idx="82">
                  <c:v>57.38</c:v>
                </c:pt>
                <c:pt idx="83">
                  <c:v>45.09</c:v>
                </c:pt>
                <c:pt idx="84">
                  <c:v>44.68</c:v>
                </c:pt>
                <c:pt idx="85">
                  <c:v>44.6</c:v>
                </c:pt>
                <c:pt idx="86">
                  <c:v>46.85</c:v>
                </c:pt>
                <c:pt idx="90">
                  <c:v>57.14</c:v>
                </c:pt>
                <c:pt idx="91">
                  <c:v>48.58</c:v>
                </c:pt>
                <c:pt idx="92">
                  <c:v>47.44</c:v>
                </c:pt>
                <c:pt idx="93">
                  <c:v>44.87</c:v>
                </c:pt>
                <c:pt idx="94">
                  <c:v>56.81</c:v>
                </c:pt>
                <c:pt idx="98">
                  <c:v>66.06</c:v>
                </c:pt>
                <c:pt idx="99">
                  <c:v>43.72</c:v>
                </c:pt>
                <c:pt idx="100">
                  <c:v>44</c:v>
                </c:pt>
                <c:pt idx="101">
                  <c:v>46.29</c:v>
                </c:pt>
                <c:pt idx="105">
                  <c:v>55.64</c:v>
                </c:pt>
                <c:pt idx="106">
                  <c:v>43.76</c:v>
                </c:pt>
                <c:pt idx="107">
                  <c:v>46.99</c:v>
                </c:pt>
                <c:pt idx="111">
                  <c:v>56.83</c:v>
                </c:pt>
                <c:pt idx="112">
                  <c:v>43.7</c:v>
                </c:pt>
                <c:pt idx="113">
                  <c:v>44.1</c:v>
                </c:pt>
                <c:pt idx="114">
                  <c:v>54.49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0-44D5-91FA-29E24F35D39B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All!$EG$6:$EG$124</c:f>
              <c:numCache>
                <c:formatCode>General</c:formatCode>
                <c:ptCount val="119"/>
                <c:pt idx="0">
                  <c:v>24.56</c:v>
                </c:pt>
                <c:pt idx="1">
                  <c:v>46.87</c:v>
                </c:pt>
                <c:pt idx="2">
                  <c:v>45.48</c:v>
                </c:pt>
                <c:pt idx="3">
                  <c:v>46.42</c:v>
                </c:pt>
                <c:pt idx="7">
                  <c:v>54.38</c:v>
                </c:pt>
                <c:pt idx="8">
                  <c:v>45.61</c:v>
                </c:pt>
                <c:pt idx="9">
                  <c:v>45.93</c:v>
                </c:pt>
                <c:pt idx="10">
                  <c:v>46.19</c:v>
                </c:pt>
                <c:pt idx="11">
                  <c:v>47.82</c:v>
                </c:pt>
                <c:pt idx="12">
                  <c:v>46.12</c:v>
                </c:pt>
                <c:pt idx="13">
                  <c:v>46.82</c:v>
                </c:pt>
                <c:pt idx="17">
                  <c:v>63.2</c:v>
                </c:pt>
                <c:pt idx="18">
                  <c:v>45.51</c:v>
                </c:pt>
                <c:pt idx="19">
                  <c:v>44.76</c:v>
                </c:pt>
                <c:pt idx="20">
                  <c:v>45.32</c:v>
                </c:pt>
                <c:pt idx="21">
                  <c:v>45.72</c:v>
                </c:pt>
                <c:pt idx="22">
                  <c:v>46.79</c:v>
                </c:pt>
                <c:pt idx="26">
                  <c:v>50.42</c:v>
                </c:pt>
                <c:pt idx="27">
                  <c:v>46.83</c:v>
                </c:pt>
                <c:pt idx="28">
                  <c:v>45.74</c:v>
                </c:pt>
                <c:pt idx="29">
                  <c:v>45.92</c:v>
                </c:pt>
                <c:pt idx="30">
                  <c:v>45.15</c:v>
                </c:pt>
                <c:pt idx="31">
                  <c:v>47.77</c:v>
                </c:pt>
                <c:pt idx="35">
                  <c:v>82.22</c:v>
                </c:pt>
                <c:pt idx="36">
                  <c:v>45.76</c:v>
                </c:pt>
                <c:pt idx="37">
                  <c:v>47.07</c:v>
                </c:pt>
                <c:pt idx="38">
                  <c:v>54.13</c:v>
                </c:pt>
                <c:pt idx="42">
                  <c:v>55.74</c:v>
                </c:pt>
                <c:pt idx="43">
                  <c:v>51.41</c:v>
                </c:pt>
                <c:pt idx="44">
                  <c:v>45.86</c:v>
                </c:pt>
                <c:pt idx="45">
                  <c:v>45.32</c:v>
                </c:pt>
                <c:pt idx="46">
                  <c:v>47.73</c:v>
                </c:pt>
                <c:pt idx="50">
                  <c:v>89.07</c:v>
                </c:pt>
                <c:pt idx="51">
                  <c:v>51.01</c:v>
                </c:pt>
                <c:pt idx="52">
                  <c:v>54.11</c:v>
                </c:pt>
                <c:pt idx="53">
                  <c:v>44.57</c:v>
                </c:pt>
                <c:pt idx="54">
                  <c:v>44.65</c:v>
                </c:pt>
                <c:pt idx="55">
                  <c:v>49.53</c:v>
                </c:pt>
                <c:pt idx="59">
                  <c:v>87.57</c:v>
                </c:pt>
                <c:pt idx="60">
                  <c:v>58.53</c:v>
                </c:pt>
                <c:pt idx="61">
                  <c:v>45.13</c:v>
                </c:pt>
                <c:pt idx="62">
                  <c:v>37.44</c:v>
                </c:pt>
                <c:pt idx="63">
                  <c:v>31.63</c:v>
                </c:pt>
                <c:pt idx="67">
                  <c:v>66.42</c:v>
                </c:pt>
                <c:pt idx="68">
                  <c:v>45.08</c:v>
                </c:pt>
                <c:pt idx="69">
                  <c:v>44.56</c:v>
                </c:pt>
                <c:pt idx="70">
                  <c:v>47.31</c:v>
                </c:pt>
                <c:pt idx="74">
                  <c:v>84.12</c:v>
                </c:pt>
                <c:pt idx="75">
                  <c:v>46.83</c:v>
                </c:pt>
                <c:pt idx="76">
                  <c:v>45.86</c:v>
                </c:pt>
                <c:pt idx="77">
                  <c:v>46.12</c:v>
                </c:pt>
                <c:pt idx="78">
                  <c:v>47.02</c:v>
                </c:pt>
                <c:pt idx="82">
                  <c:v>57.3</c:v>
                </c:pt>
                <c:pt idx="83">
                  <c:v>45.69</c:v>
                </c:pt>
                <c:pt idx="84">
                  <c:v>46.43</c:v>
                </c:pt>
                <c:pt idx="85">
                  <c:v>44.98</c:v>
                </c:pt>
                <c:pt idx="86">
                  <c:v>46.94</c:v>
                </c:pt>
                <c:pt idx="90">
                  <c:v>56.28</c:v>
                </c:pt>
                <c:pt idx="91">
                  <c:v>48.57</c:v>
                </c:pt>
                <c:pt idx="92">
                  <c:v>47.57</c:v>
                </c:pt>
                <c:pt idx="93">
                  <c:v>45.63</c:v>
                </c:pt>
                <c:pt idx="94">
                  <c:v>57.13</c:v>
                </c:pt>
                <c:pt idx="98">
                  <c:v>66.819999999999993</c:v>
                </c:pt>
                <c:pt idx="99">
                  <c:v>44.7</c:v>
                </c:pt>
                <c:pt idx="100">
                  <c:v>45.06</c:v>
                </c:pt>
                <c:pt idx="101">
                  <c:v>46.79</c:v>
                </c:pt>
                <c:pt idx="105">
                  <c:v>55.79</c:v>
                </c:pt>
                <c:pt idx="106">
                  <c:v>44.73</c:v>
                </c:pt>
                <c:pt idx="107">
                  <c:v>48.37</c:v>
                </c:pt>
                <c:pt idx="111">
                  <c:v>57.47</c:v>
                </c:pt>
                <c:pt idx="112">
                  <c:v>43.91</c:v>
                </c:pt>
                <c:pt idx="113">
                  <c:v>45</c:v>
                </c:pt>
                <c:pt idx="114">
                  <c:v>53.86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0-44D5-91FA-29E24F35D39B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All!$EH$6:$EH$124</c:f>
              <c:numCache>
                <c:formatCode>General</c:formatCode>
                <c:ptCount val="119"/>
                <c:pt idx="0">
                  <c:v>25.08</c:v>
                </c:pt>
                <c:pt idx="1">
                  <c:v>43.05</c:v>
                </c:pt>
                <c:pt idx="2">
                  <c:v>40.53</c:v>
                </c:pt>
                <c:pt idx="3">
                  <c:v>43.2</c:v>
                </c:pt>
                <c:pt idx="7">
                  <c:v>53.71</c:v>
                </c:pt>
                <c:pt idx="8">
                  <c:v>41.3</c:v>
                </c:pt>
                <c:pt idx="9">
                  <c:v>41.21</c:v>
                </c:pt>
                <c:pt idx="10">
                  <c:v>41.4</c:v>
                </c:pt>
                <c:pt idx="11">
                  <c:v>44.47</c:v>
                </c:pt>
                <c:pt idx="12">
                  <c:v>41.85</c:v>
                </c:pt>
                <c:pt idx="13">
                  <c:v>44.22</c:v>
                </c:pt>
                <c:pt idx="17">
                  <c:v>63.37</c:v>
                </c:pt>
                <c:pt idx="18">
                  <c:v>42.32</c:v>
                </c:pt>
                <c:pt idx="19">
                  <c:v>40.299999999999997</c:v>
                </c:pt>
                <c:pt idx="20">
                  <c:v>40.81</c:v>
                </c:pt>
                <c:pt idx="21">
                  <c:v>40.85</c:v>
                </c:pt>
                <c:pt idx="22">
                  <c:v>44.98</c:v>
                </c:pt>
                <c:pt idx="26">
                  <c:v>48.72</c:v>
                </c:pt>
                <c:pt idx="27">
                  <c:v>44.11</c:v>
                </c:pt>
                <c:pt idx="28">
                  <c:v>42.48</c:v>
                </c:pt>
                <c:pt idx="29">
                  <c:v>42.65</c:v>
                </c:pt>
                <c:pt idx="30">
                  <c:v>40.81</c:v>
                </c:pt>
                <c:pt idx="31">
                  <c:v>45.78</c:v>
                </c:pt>
                <c:pt idx="35">
                  <c:v>73.56</c:v>
                </c:pt>
                <c:pt idx="36">
                  <c:v>39.79</c:v>
                </c:pt>
                <c:pt idx="37">
                  <c:v>42.72</c:v>
                </c:pt>
                <c:pt idx="38">
                  <c:v>56</c:v>
                </c:pt>
                <c:pt idx="42">
                  <c:v>55.88</c:v>
                </c:pt>
                <c:pt idx="43">
                  <c:v>52.34</c:v>
                </c:pt>
                <c:pt idx="44">
                  <c:v>39.92</c:v>
                </c:pt>
                <c:pt idx="45">
                  <c:v>38.19</c:v>
                </c:pt>
                <c:pt idx="46">
                  <c:v>42.12</c:v>
                </c:pt>
                <c:pt idx="50">
                  <c:v>89.17</c:v>
                </c:pt>
                <c:pt idx="51">
                  <c:v>52.64</c:v>
                </c:pt>
                <c:pt idx="52">
                  <c:v>56.22</c:v>
                </c:pt>
                <c:pt idx="53">
                  <c:v>40.03</c:v>
                </c:pt>
                <c:pt idx="54">
                  <c:v>39.67</c:v>
                </c:pt>
                <c:pt idx="55">
                  <c:v>48.98</c:v>
                </c:pt>
                <c:pt idx="59">
                  <c:v>95.3</c:v>
                </c:pt>
                <c:pt idx="60">
                  <c:v>57.59</c:v>
                </c:pt>
                <c:pt idx="61">
                  <c:v>40.229999999999997</c:v>
                </c:pt>
                <c:pt idx="62">
                  <c:v>37.56</c:v>
                </c:pt>
                <c:pt idx="63">
                  <c:v>39.01</c:v>
                </c:pt>
                <c:pt idx="67">
                  <c:v>65.319999999999993</c:v>
                </c:pt>
                <c:pt idx="68">
                  <c:v>40.92</c:v>
                </c:pt>
                <c:pt idx="69">
                  <c:v>40.65</c:v>
                </c:pt>
                <c:pt idx="70">
                  <c:v>44.9</c:v>
                </c:pt>
                <c:pt idx="74">
                  <c:v>84.77</c:v>
                </c:pt>
                <c:pt idx="75">
                  <c:v>44.21</c:v>
                </c:pt>
                <c:pt idx="76">
                  <c:v>42.91</c:v>
                </c:pt>
                <c:pt idx="77">
                  <c:v>43.3</c:v>
                </c:pt>
                <c:pt idx="78">
                  <c:v>45.26</c:v>
                </c:pt>
                <c:pt idx="82">
                  <c:v>56.55</c:v>
                </c:pt>
                <c:pt idx="83">
                  <c:v>42.11</c:v>
                </c:pt>
                <c:pt idx="84">
                  <c:v>42.14</c:v>
                </c:pt>
                <c:pt idx="85">
                  <c:v>41.67</c:v>
                </c:pt>
                <c:pt idx="86">
                  <c:v>45.9</c:v>
                </c:pt>
                <c:pt idx="90">
                  <c:v>56.27</c:v>
                </c:pt>
                <c:pt idx="91">
                  <c:v>49.62</c:v>
                </c:pt>
                <c:pt idx="92">
                  <c:v>46.62</c:v>
                </c:pt>
                <c:pt idx="93">
                  <c:v>42.3</c:v>
                </c:pt>
                <c:pt idx="94">
                  <c:v>61.51</c:v>
                </c:pt>
                <c:pt idx="98">
                  <c:v>65.58</c:v>
                </c:pt>
                <c:pt idx="99">
                  <c:v>42.17</c:v>
                </c:pt>
                <c:pt idx="100">
                  <c:v>41.29</c:v>
                </c:pt>
                <c:pt idx="101">
                  <c:v>45.19</c:v>
                </c:pt>
                <c:pt idx="105">
                  <c:v>55.12</c:v>
                </c:pt>
                <c:pt idx="106">
                  <c:v>41.25</c:v>
                </c:pt>
                <c:pt idx="107">
                  <c:v>45.5</c:v>
                </c:pt>
                <c:pt idx="111">
                  <c:v>54.64</c:v>
                </c:pt>
                <c:pt idx="112">
                  <c:v>40.69</c:v>
                </c:pt>
                <c:pt idx="113">
                  <c:v>41.73</c:v>
                </c:pt>
                <c:pt idx="114">
                  <c:v>60.23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B0-44D5-91FA-29E24F35D39B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All!$EI$6:$EI$124</c:f>
              <c:numCache>
                <c:formatCode>General</c:formatCode>
                <c:ptCount val="119"/>
                <c:pt idx="0">
                  <c:v>24.84</c:v>
                </c:pt>
                <c:pt idx="1">
                  <c:v>43.61</c:v>
                </c:pt>
                <c:pt idx="2">
                  <c:v>41.64</c:v>
                </c:pt>
                <c:pt idx="3">
                  <c:v>43.89</c:v>
                </c:pt>
                <c:pt idx="7">
                  <c:v>54.72</c:v>
                </c:pt>
                <c:pt idx="8">
                  <c:v>43.01</c:v>
                </c:pt>
                <c:pt idx="9">
                  <c:v>43.09</c:v>
                </c:pt>
                <c:pt idx="10">
                  <c:v>43.12</c:v>
                </c:pt>
                <c:pt idx="11">
                  <c:v>46.64</c:v>
                </c:pt>
                <c:pt idx="12">
                  <c:v>43.45</c:v>
                </c:pt>
                <c:pt idx="13">
                  <c:v>45.92</c:v>
                </c:pt>
                <c:pt idx="17">
                  <c:v>63.88</c:v>
                </c:pt>
                <c:pt idx="18">
                  <c:v>43.93</c:v>
                </c:pt>
                <c:pt idx="19">
                  <c:v>42.15</c:v>
                </c:pt>
                <c:pt idx="20">
                  <c:v>42.53</c:v>
                </c:pt>
                <c:pt idx="21">
                  <c:v>43.05</c:v>
                </c:pt>
                <c:pt idx="22">
                  <c:v>46.63</c:v>
                </c:pt>
                <c:pt idx="26">
                  <c:v>49.68</c:v>
                </c:pt>
                <c:pt idx="27">
                  <c:v>44.42</c:v>
                </c:pt>
                <c:pt idx="28">
                  <c:v>43.39</c:v>
                </c:pt>
                <c:pt idx="29">
                  <c:v>44.21</c:v>
                </c:pt>
                <c:pt idx="30">
                  <c:v>42.95</c:v>
                </c:pt>
                <c:pt idx="31">
                  <c:v>47.38</c:v>
                </c:pt>
                <c:pt idx="35">
                  <c:v>85.58</c:v>
                </c:pt>
                <c:pt idx="36">
                  <c:v>41.75</c:v>
                </c:pt>
                <c:pt idx="37">
                  <c:v>43.56</c:v>
                </c:pt>
                <c:pt idx="38">
                  <c:v>56.59</c:v>
                </c:pt>
                <c:pt idx="42">
                  <c:v>57.02</c:v>
                </c:pt>
                <c:pt idx="43">
                  <c:v>53.65</c:v>
                </c:pt>
                <c:pt idx="44">
                  <c:v>41.53</c:v>
                </c:pt>
                <c:pt idx="45">
                  <c:v>40.619999999999997</c:v>
                </c:pt>
                <c:pt idx="46">
                  <c:v>44.3</c:v>
                </c:pt>
                <c:pt idx="50">
                  <c:v>89.79</c:v>
                </c:pt>
                <c:pt idx="51">
                  <c:v>54.73</c:v>
                </c:pt>
                <c:pt idx="52">
                  <c:v>59.28</c:v>
                </c:pt>
                <c:pt idx="53">
                  <c:v>42.73</c:v>
                </c:pt>
                <c:pt idx="54">
                  <c:v>42.7</c:v>
                </c:pt>
                <c:pt idx="55">
                  <c:v>51.47</c:v>
                </c:pt>
                <c:pt idx="59">
                  <c:v>87.76</c:v>
                </c:pt>
                <c:pt idx="60">
                  <c:v>59.38</c:v>
                </c:pt>
                <c:pt idx="61">
                  <c:v>43.6</c:v>
                </c:pt>
                <c:pt idx="62">
                  <c:v>41.81</c:v>
                </c:pt>
                <c:pt idx="63">
                  <c:v>43.38</c:v>
                </c:pt>
                <c:pt idx="67">
                  <c:v>66.39</c:v>
                </c:pt>
                <c:pt idx="68">
                  <c:v>43.54</c:v>
                </c:pt>
                <c:pt idx="69">
                  <c:v>42.63</c:v>
                </c:pt>
                <c:pt idx="70">
                  <c:v>47.12</c:v>
                </c:pt>
                <c:pt idx="74">
                  <c:v>84.93</c:v>
                </c:pt>
                <c:pt idx="75">
                  <c:v>46.7</c:v>
                </c:pt>
                <c:pt idx="76">
                  <c:v>45.28</c:v>
                </c:pt>
                <c:pt idx="77">
                  <c:v>45.38</c:v>
                </c:pt>
                <c:pt idx="78">
                  <c:v>47.44</c:v>
                </c:pt>
                <c:pt idx="82">
                  <c:v>58.36</c:v>
                </c:pt>
                <c:pt idx="83">
                  <c:v>44.91</c:v>
                </c:pt>
                <c:pt idx="84">
                  <c:v>45.49</c:v>
                </c:pt>
                <c:pt idx="85">
                  <c:v>45.23</c:v>
                </c:pt>
                <c:pt idx="86">
                  <c:v>48.7</c:v>
                </c:pt>
                <c:pt idx="90">
                  <c:v>55.99</c:v>
                </c:pt>
                <c:pt idx="91">
                  <c:v>50.71</c:v>
                </c:pt>
                <c:pt idx="92">
                  <c:v>47.92</c:v>
                </c:pt>
                <c:pt idx="93">
                  <c:v>45.32</c:v>
                </c:pt>
                <c:pt idx="94">
                  <c:v>62.79</c:v>
                </c:pt>
                <c:pt idx="98">
                  <c:v>65.66</c:v>
                </c:pt>
                <c:pt idx="99">
                  <c:v>43.86</c:v>
                </c:pt>
                <c:pt idx="100">
                  <c:v>43.25</c:v>
                </c:pt>
                <c:pt idx="101">
                  <c:v>46.49</c:v>
                </c:pt>
                <c:pt idx="105">
                  <c:v>55.46</c:v>
                </c:pt>
                <c:pt idx="106">
                  <c:v>43.24</c:v>
                </c:pt>
                <c:pt idx="107">
                  <c:v>48.49</c:v>
                </c:pt>
                <c:pt idx="111">
                  <c:v>56.04</c:v>
                </c:pt>
                <c:pt idx="112">
                  <c:v>43.48</c:v>
                </c:pt>
                <c:pt idx="113">
                  <c:v>43.39</c:v>
                </c:pt>
                <c:pt idx="114">
                  <c:v>61.92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B0-44D5-91FA-29E24F35D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4496"/>
        <c:axId val="483997424"/>
      </c:scatterChart>
      <c:valAx>
        <c:axId val="48400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7424"/>
        <c:crosses val="autoZero"/>
        <c:crossBetween val="midCat"/>
      </c:valAx>
      <c:valAx>
        <c:axId val="48399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All!$AD$6:$AD$124</c:f>
              <c:numCache>
                <c:formatCode>General</c:formatCode>
                <c:ptCount val="119"/>
                <c:pt idx="0">
                  <c:v>0.35</c:v>
                </c:pt>
                <c:pt idx="1">
                  <c:v>1.8759999999999999</c:v>
                </c:pt>
                <c:pt idx="2">
                  <c:v>1.8740000000000001</c:v>
                </c:pt>
                <c:pt idx="3">
                  <c:v>1.887</c:v>
                </c:pt>
                <c:pt idx="7">
                  <c:v>1.776</c:v>
                </c:pt>
                <c:pt idx="8">
                  <c:v>1.8149999999999999</c:v>
                </c:pt>
                <c:pt idx="9">
                  <c:v>1.839</c:v>
                </c:pt>
                <c:pt idx="10">
                  <c:v>1.8460000000000001</c:v>
                </c:pt>
                <c:pt idx="11">
                  <c:v>1.821</c:v>
                </c:pt>
                <c:pt idx="12">
                  <c:v>1.831</c:v>
                </c:pt>
                <c:pt idx="13">
                  <c:v>1.8460000000000001</c:v>
                </c:pt>
                <c:pt idx="17">
                  <c:v>1.728</c:v>
                </c:pt>
                <c:pt idx="18">
                  <c:v>1.7549999999999999</c:v>
                </c:pt>
                <c:pt idx="19">
                  <c:v>1.8069999999999999</c:v>
                </c:pt>
                <c:pt idx="20">
                  <c:v>1.825</c:v>
                </c:pt>
                <c:pt idx="21">
                  <c:v>1.8240000000000001</c:v>
                </c:pt>
                <c:pt idx="22">
                  <c:v>1.8220000000000001</c:v>
                </c:pt>
                <c:pt idx="26">
                  <c:v>1.7450000000000001</c:v>
                </c:pt>
                <c:pt idx="27">
                  <c:v>1.7749999999999999</c:v>
                </c:pt>
                <c:pt idx="28">
                  <c:v>1.8080000000000001</c:v>
                </c:pt>
                <c:pt idx="29">
                  <c:v>1.8149999999999999</c:v>
                </c:pt>
                <c:pt idx="30">
                  <c:v>1.819</c:v>
                </c:pt>
                <c:pt idx="31">
                  <c:v>1.81</c:v>
                </c:pt>
                <c:pt idx="35">
                  <c:v>1.78</c:v>
                </c:pt>
                <c:pt idx="36">
                  <c:v>1.7569999999999999</c:v>
                </c:pt>
                <c:pt idx="37">
                  <c:v>1.7849999999999999</c:v>
                </c:pt>
                <c:pt idx="38">
                  <c:v>1.665</c:v>
                </c:pt>
                <c:pt idx="42">
                  <c:v>1.6539999999999999</c:v>
                </c:pt>
                <c:pt idx="43">
                  <c:v>1.5780000000000001</c:v>
                </c:pt>
                <c:pt idx="44">
                  <c:v>1.712</c:v>
                </c:pt>
                <c:pt idx="45">
                  <c:v>1.7809999999999999</c:v>
                </c:pt>
                <c:pt idx="46">
                  <c:v>1.7989999999999999</c:v>
                </c:pt>
                <c:pt idx="50">
                  <c:v>1.542</c:v>
                </c:pt>
                <c:pt idx="51">
                  <c:v>1.74</c:v>
                </c:pt>
                <c:pt idx="52">
                  <c:v>1.5629999999999999</c:v>
                </c:pt>
                <c:pt idx="53">
                  <c:v>1.6819999999999999</c:v>
                </c:pt>
                <c:pt idx="54">
                  <c:v>1.7609999999999999</c:v>
                </c:pt>
                <c:pt idx="55">
                  <c:v>1.7430000000000001</c:v>
                </c:pt>
                <c:pt idx="59">
                  <c:v>1.7390000000000001</c:v>
                </c:pt>
                <c:pt idx="60">
                  <c:v>1.694</c:v>
                </c:pt>
                <c:pt idx="61">
                  <c:v>1.7170000000000001</c:v>
                </c:pt>
                <c:pt idx="62">
                  <c:v>1.7529999999999999</c:v>
                </c:pt>
                <c:pt idx="63">
                  <c:v>1.768</c:v>
                </c:pt>
                <c:pt idx="67">
                  <c:v>1.6850000000000001</c:v>
                </c:pt>
                <c:pt idx="68">
                  <c:v>1.7689999999999999</c:v>
                </c:pt>
                <c:pt idx="69">
                  <c:v>1.8069999999999999</c:v>
                </c:pt>
                <c:pt idx="70">
                  <c:v>1.8169999999999999</c:v>
                </c:pt>
                <c:pt idx="74">
                  <c:v>0.496</c:v>
                </c:pt>
                <c:pt idx="75">
                  <c:v>1.8089999999999999</c:v>
                </c:pt>
                <c:pt idx="76">
                  <c:v>1.825</c:v>
                </c:pt>
                <c:pt idx="77">
                  <c:v>1.829</c:v>
                </c:pt>
                <c:pt idx="78">
                  <c:v>1.841</c:v>
                </c:pt>
                <c:pt idx="82">
                  <c:v>1.8089999999999999</c:v>
                </c:pt>
                <c:pt idx="83">
                  <c:v>1.8169999999999999</c:v>
                </c:pt>
                <c:pt idx="84">
                  <c:v>1.835</c:v>
                </c:pt>
                <c:pt idx="85">
                  <c:v>1.835</c:v>
                </c:pt>
                <c:pt idx="86">
                  <c:v>1.855</c:v>
                </c:pt>
                <c:pt idx="90">
                  <c:v>1.823</c:v>
                </c:pt>
                <c:pt idx="91">
                  <c:v>1.8380000000000001</c:v>
                </c:pt>
                <c:pt idx="92">
                  <c:v>1.796</c:v>
                </c:pt>
                <c:pt idx="93">
                  <c:v>1.7969999999999999</c:v>
                </c:pt>
                <c:pt idx="94">
                  <c:v>1.7370000000000001</c:v>
                </c:pt>
                <c:pt idx="98">
                  <c:v>1.9810000000000001</c:v>
                </c:pt>
                <c:pt idx="99">
                  <c:v>1.8069999999999999</c:v>
                </c:pt>
                <c:pt idx="100">
                  <c:v>1.8</c:v>
                </c:pt>
                <c:pt idx="101">
                  <c:v>1.7949999999999999</c:v>
                </c:pt>
                <c:pt idx="105">
                  <c:v>1.756</c:v>
                </c:pt>
                <c:pt idx="106">
                  <c:v>1.7809999999999999</c:v>
                </c:pt>
                <c:pt idx="107">
                  <c:v>1.7969999999999999</c:v>
                </c:pt>
                <c:pt idx="111">
                  <c:v>1.754</c:v>
                </c:pt>
                <c:pt idx="112">
                  <c:v>1.7689999999999999</c:v>
                </c:pt>
                <c:pt idx="113">
                  <c:v>1.78</c:v>
                </c:pt>
                <c:pt idx="114">
                  <c:v>1.6659999999999999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8-49DF-9637-1BE633DDA91E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All!$AE$6:$AE$124</c:f>
              <c:numCache>
                <c:formatCode>General</c:formatCode>
                <c:ptCount val="119"/>
                <c:pt idx="0">
                  <c:v>0.36499999999999999</c:v>
                </c:pt>
                <c:pt idx="1">
                  <c:v>1.944</c:v>
                </c:pt>
                <c:pt idx="2">
                  <c:v>1.9279999999999999</c:v>
                </c:pt>
                <c:pt idx="3">
                  <c:v>1.9379999999999999</c:v>
                </c:pt>
                <c:pt idx="7">
                  <c:v>1.853</c:v>
                </c:pt>
                <c:pt idx="8">
                  <c:v>1.87</c:v>
                </c:pt>
                <c:pt idx="9">
                  <c:v>1.889</c:v>
                </c:pt>
                <c:pt idx="10">
                  <c:v>1.8979999999999999</c:v>
                </c:pt>
                <c:pt idx="11">
                  <c:v>1.8819999999999999</c:v>
                </c:pt>
                <c:pt idx="12">
                  <c:v>1.8819999999999999</c:v>
                </c:pt>
                <c:pt idx="13">
                  <c:v>1.895</c:v>
                </c:pt>
                <c:pt idx="17">
                  <c:v>1.8029999999999999</c:v>
                </c:pt>
                <c:pt idx="18">
                  <c:v>1.8140000000000001</c:v>
                </c:pt>
                <c:pt idx="19">
                  <c:v>1.867</c:v>
                </c:pt>
                <c:pt idx="20">
                  <c:v>1.881</c:v>
                </c:pt>
                <c:pt idx="21">
                  <c:v>1.8720000000000001</c:v>
                </c:pt>
                <c:pt idx="22">
                  <c:v>1.88</c:v>
                </c:pt>
                <c:pt idx="26">
                  <c:v>1.827</c:v>
                </c:pt>
                <c:pt idx="27">
                  <c:v>1.849</c:v>
                </c:pt>
                <c:pt idx="28">
                  <c:v>1.8779999999999999</c:v>
                </c:pt>
                <c:pt idx="29">
                  <c:v>1.885</c:v>
                </c:pt>
                <c:pt idx="30">
                  <c:v>1.885</c:v>
                </c:pt>
                <c:pt idx="31">
                  <c:v>1.881</c:v>
                </c:pt>
                <c:pt idx="35">
                  <c:v>1.8580000000000001</c:v>
                </c:pt>
                <c:pt idx="36">
                  <c:v>1.829</c:v>
                </c:pt>
                <c:pt idx="37">
                  <c:v>1.855</c:v>
                </c:pt>
                <c:pt idx="38">
                  <c:v>1.758</c:v>
                </c:pt>
                <c:pt idx="42">
                  <c:v>1.746</c:v>
                </c:pt>
                <c:pt idx="43">
                  <c:v>1.671</c:v>
                </c:pt>
                <c:pt idx="44">
                  <c:v>1.7869999999999999</c:v>
                </c:pt>
                <c:pt idx="45">
                  <c:v>1.849</c:v>
                </c:pt>
                <c:pt idx="46">
                  <c:v>1.8660000000000001</c:v>
                </c:pt>
                <c:pt idx="50">
                  <c:v>1.165</c:v>
                </c:pt>
                <c:pt idx="51">
                  <c:v>1.782</c:v>
                </c:pt>
                <c:pt idx="52">
                  <c:v>1.6120000000000001</c:v>
                </c:pt>
                <c:pt idx="53">
                  <c:v>1.7210000000000001</c:v>
                </c:pt>
                <c:pt idx="54">
                  <c:v>1.7889999999999999</c:v>
                </c:pt>
                <c:pt idx="55">
                  <c:v>1.78</c:v>
                </c:pt>
                <c:pt idx="59">
                  <c:v>1.7929999999999999</c:v>
                </c:pt>
                <c:pt idx="60">
                  <c:v>1.7490000000000001</c:v>
                </c:pt>
                <c:pt idx="61">
                  <c:v>1.756</c:v>
                </c:pt>
                <c:pt idx="62">
                  <c:v>1.7949999999999999</c:v>
                </c:pt>
                <c:pt idx="63">
                  <c:v>1.821</c:v>
                </c:pt>
                <c:pt idx="67">
                  <c:v>1.78</c:v>
                </c:pt>
                <c:pt idx="68">
                  <c:v>1.85</c:v>
                </c:pt>
                <c:pt idx="69">
                  <c:v>1.881</c:v>
                </c:pt>
                <c:pt idx="70">
                  <c:v>1.8939999999999999</c:v>
                </c:pt>
                <c:pt idx="74">
                  <c:v>0.51</c:v>
                </c:pt>
                <c:pt idx="75">
                  <c:v>1.88</c:v>
                </c:pt>
                <c:pt idx="76">
                  <c:v>1.8919999999999999</c:v>
                </c:pt>
                <c:pt idx="77">
                  <c:v>1.8979999999999999</c:v>
                </c:pt>
                <c:pt idx="78">
                  <c:v>1.909</c:v>
                </c:pt>
                <c:pt idx="82">
                  <c:v>1.827</c:v>
                </c:pt>
                <c:pt idx="83">
                  <c:v>1.8260000000000001</c:v>
                </c:pt>
                <c:pt idx="84">
                  <c:v>1.8420000000000001</c:v>
                </c:pt>
                <c:pt idx="85">
                  <c:v>1.8440000000000001</c:v>
                </c:pt>
                <c:pt idx="86">
                  <c:v>1.861</c:v>
                </c:pt>
                <c:pt idx="90">
                  <c:v>1.8360000000000001</c:v>
                </c:pt>
                <c:pt idx="91">
                  <c:v>1.843</c:v>
                </c:pt>
                <c:pt idx="92">
                  <c:v>1.8029999999999999</c:v>
                </c:pt>
                <c:pt idx="93">
                  <c:v>1.8080000000000001</c:v>
                </c:pt>
                <c:pt idx="94">
                  <c:v>1.756</c:v>
                </c:pt>
                <c:pt idx="98">
                  <c:v>2.085</c:v>
                </c:pt>
                <c:pt idx="99">
                  <c:v>1.8740000000000001</c:v>
                </c:pt>
                <c:pt idx="100">
                  <c:v>1.8560000000000001</c:v>
                </c:pt>
                <c:pt idx="101">
                  <c:v>1.8580000000000001</c:v>
                </c:pt>
                <c:pt idx="105">
                  <c:v>1.792</c:v>
                </c:pt>
                <c:pt idx="106">
                  <c:v>1.7969999999999999</c:v>
                </c:pt>
                <c:pt idx="107">
                  <c:v>1.821</c:v>
                </c:pt>
                <c:pt idx="111">
                  <c:v>1.7929999999999999</c:v>
                </c:pt>
                <c:pt idx="112">
                  <c:v>1.79</c:v>
                </c:pt>
                <c:pt idx="113">
                  <c:v>1.8069999999999999</c:v>
                </c:pt>
                <c:pt idx="114">
                  <c:v>1.7050000000000001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A8-49DF-9637-1BE633DDA91E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All!$AF$6:$AF$124</c:f>
              <c:numCache>
                <c:formatCode>General</c:formatCode>
                <c:ptCount val="119"/>
                <c:pt idx="0">
                  <c:v>0.36</c:v>
                </c:pt>
                <c:pt idx="1">
                  <c:v>1.865</c:v>
                </c:pt>
                <c:pt idx="2">
                  <c:v>1.919</c:v>
                </c:pt>
                <c:pt idx="3">
                  <c:v>1.972</c:v>
                </c:pt>
                <c:pt idx="7">
                  <c:v>1.6679999999999999</c:v>
                </c:pt>
                <c:pt idx="8">
                  <c:v>1.786</c:v>
                </c:pt>
                <c:pt idx="9">
                  <c:v>1.829</c:v>
                </c:pt>
                <c:pt idx="10">
                  <c:v>1.849</c:v>
                </c:pt>
                <c:pt idx="11">
                  <c:v>1.8160000000000001</c:v>
                </c:pt>
                <c:pt idx="12">
                  <c:v>1.83</c:v>
                </c:pt>
                <c:pt idx="13">
                  <c:v>1.8440000000000001</c:v>
                </c:pt>
                <c:pt idx="17">
                  <c:v>1.613</c:v>
                </c:pt>
                <c:pt idx="18">
                  <c:v>1.6859999999999999</c:v>
                </c:pt>
                <c:pt idx="19">
                  <c:v>1.784</c:v>
                </c:pt>
                <c:pt idx="20">
                  <c:v>1.804</c:v>
                </c:pt>
                <c:pt idx="21">
                  <c:v>1.796</c:v>
                </c:pt>
                <c:pt idx="22">
                  <c:v>1.8169999999999999</c:v>
                </c:pt>
                <c:pt idx="26">
                  <c:v>1.6890000000000001</c:v>
                </c:pt>
                <c:pt idx="27">
                  <c:v>1.7509999999999999</c:v>
                </c:pt>
                <c:pt idx="28">
                  <c:v>1.7929999999999999</c:v>
                </c:pt>
                <c:pt idx="29">
                  <c:v>1.8120000000000001</c:v>
                </c:pt>
                <c:pt idx="30">
                  <c:v>1.8240000000000001</c:v>
                </c:pt>
                <c:pt idx="31">
                  <c:v>1.8129999999999999</c:v>
                </c:pt>
                <c:pt idx="35">
                  <c:v>1.6830000000000001</c:v>
                </c:pt>
                <c:pt idx="36">
                  <c:v>1.704</c:v>
                </c:pt>
                <c:pt idx="37">
                  <c:v>1.744</c:v>
                </c:pt>
                <c:pt idx="38">
                  <c:v>1.5680000000000001</c:v>
                </c:pt>
                <c:pt idx="42">
                  <c:v>1.5049999999999999</c:v>
                </c:pt>
                <c:pt idx="43">
                  <c:v>1.413</c:v>
                </c:pt>
                <c:pt idx="44">
                  <c:v>1.6279999999999999</c:v>
                </c:pt>
                <c:pt idx="45">
                  <c:v>1.7509999999999999</c:v>
                </c:pt>
                <c:pt idx="46">
                  <c:v>1.79</c:v>
                </c:pt>
                <c:pt idx="50">
                  <c:v>1.577</c:v>
                </c:pt>
                <c:pt idx="51">
                  <c:v>1.7190000000000001</c:v>
                </c:pt>
                <c:pt idx="52">
                  <c:v>1.5069999999999999</c:v>
                </c:pt>
                <c:pt idx="53">
                  <c:v>1.6679999999999999</c:v>
                </c:pt>
                <c:pt idx="54">
                  <c:v>1.7969999999999999</c:v>
                </c:pt>
                <c:pt idx="55">
                  <c:v>1.7749999999999999</c:v>
                </c:pt>
                <c:pt idx="59">
                  <c:v>1.72</c:v>
                </c:pt>
                <c:pt idx="60">
                  <c:v>1.6639999999999999</c:v>
                </c:pt>
                <c:pt idx="61">
                  <c:v>1.7470000000000001</c:v>
                </c:pt>
                <c:pt idx="62">
                  <c:v>1.827</c:v>
                </c:pt>
                <c:pt idx="63">
                  <c:v>1.865</c:v>
                </c:pt>
                <c:pt idx="67">
                  <c:v>1.5680000000000001</c:v>
                </c:pt>
                <c:pt idx="68">
                  <c:v>1.744</c:v>
                </c:pt>
                <c:pt idx="69">
                  <c:v>1.8380000000000001</c:v>
                </c:pt>
                <c:pt idx="70">
                  <c:v>1.8740000000000001</c:v>
                </c:pt>
                <c:pt idx="74">
                  <c:v>0.45500000000000002</c:v>
                </c:pt>
                <c:pt idx="75">
                  <c:v>1.7869999999999999</c:v>
                </c:pt>
                <c:pt idx="76">
                  <c:v>1.83</c:v>
                </c:pt>
                <c:pt idx="77">
                  <c:v>1.8560000000000001</c:v>
                </c:pt>
                <c:pt idx="78">
                  <c:v>1.8839999999999999</c:v>
                </c:pt>
                <c:pt idx="82">
                  <c:v>1.782</c:v>
                </c:pt>
                <c:pt idx="83">
                  <c:v>1.8149999999999999</c:v>
                </c:pt>
                <c:pt idx="84">
                  <c:v>1.851</c:v>
                </c:pt>
                <c:pt idx="85">
                  <c:v>1.8580000000000001</c:v>
                </c:pt>
                <c:pt idx="86">
                  <c:v>1.88</c:v>
                </c:pt>
                <c:pt idx="90">
                  <c:v>1.8049999999999999</c:v>
                </c:pt>
                <c:pt idx="91">
                  <c:v>1.843</c:v>
                </c:pt>
                <c:pt idx="92">
                  <c:v>1.8069999999999999</c:v>
                </c:pt>
                <c:pt idx="93">
                  <c:v>1.819</c:v>
                </c:pt>
                <c:pt idx="94">
                  <c:v>1.738</c:v>
                </c:pt>
                <c:pt idx="98">
                  <c:v>1.992</c:v>
                </c:pt>
                <c:pt idx="99">
                  <c:v>1.8460000000000001</c:v>
                </c:pt>
                <c:pt idx="100">
                  <c:v>1.877</c:v>
                </c:pt>
                <c:pt idx="101">
                  <c:v>1.889</c:v>
                </c:pt>
                <c:pt idx="105">
                  <c:v>1.7529999999999999</c:v>
                </c:pt>
                <c:pt idx="106">
                  <c:v>1.804</c:v>
                </c:pt>
                <c:pt idx="107">
                  <c:v>1.8440000000000001</c:v>
                </c:pt>
                <c:pt idx="111">
                  <c:v>1.7529999999999999</c:v>
                </c:pt>
                <c:pt idx="112">
                  <c:v>1.788</c:v>
                </c:pt>
                <c:pt idx="113">
                  <c:v>1.8129999999999999</c:v>
                </c:pt>
                <c:pt idx="114">
                  <c:v>1.6379999999999999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A8-49DF-9637-1BE633DDA91E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All!$AG$6:$AG$124</c:f>
              <c:numCache>
                <c:formatCode>General</c:formatCode>
                <c:ptCount val="119"/>
                <c:pt idx="0">
                  <c:v>0.372</c:v>
                </c:pt>
                <c:pt idx="1">
                  <c:v>1.9419999999999999</c:v>
                </c:pt>
                <c:pt idx="2">
                  <c:v>1.994</c:v>
                </c:pt>
                <c:pt idx="3">
                  <c:v>2.048</c:v>
                </c:pt>
                <c:pt idx="7">
                  <c:v>1.696</c:v>
                </c:pt>
                <c:pt idx="8">
                  <c:v>1.8069999999999999</c:v>
                </c:pt>
                <c:pt idx="9">
                  <c:v>1.847</c:v>
                </c:pt>
                <c:pt idx="10">
                  <c:v>1.8660000000000001</c:v>
                </c:pt>
                <c:pt idx="11">
                  <c:v>1.843</c:v>
                </c:pt>
                <c:pt idx="12">
                  <c:v>1.853</c:v>
                </c:pt>
                <c:pt idx="13">
                  <c:v>1.8640000000000001</c:v>
                </c:pt>
                <c:pt idx="17">
                  <c:v>1.6559999999999999</c:v>
                </c:pt>
                <c:pt idx="18">
                  <c:v>1.7230000000000001</c:v>
                </c:pt>
                <c:pt idx="19">
                  <c:v>1.81</c:v>
                </c:pt>
                <c:pt idx="20">
                  <c:v>1.8360000000000001</c:v>
                </c:pt>
                <c:pt idx="21">
                  <c:v>1.8280000000000001</c:v>
                </c:pt>
                <c:pt idx="22">
                  <c:v>1.8420000000000001</c:v>
                </c:pt>
                <c:pt idx="26">
                  <c:v>1.7230000000000001</c:v>
                </c:pt>
                <c:pt idx="27">
                  <c:v>1.7829999999999999</c:v>
                </c:pt>
                <c:pt idx="28">
                  <c:v>1.8220000000000001</c:v>
                </c:pt>
                <c:pt idx="29">
                  <c:v>1.8460000000000001</c:v>
                </c:pt>
                <c:pt idx="30">
                  <c:v>1.855</c:v>
                </c:pt>
                <c:pt idx="31">
                  <c:v>1.8480000000000001</c:v>
                </c:pt>
                <c:pt idx="35">
                  <c:v>1.7310000000000001</c:v>
                </c:pt>
                <c:pt idx="36">
                  <c:v>1.736</c:v>
                </c:pt>
                <c:pt idx="37">
                  <c:v>1.776</c:v>
                </c:pt>
                <c:pt idx="38">
                  <c:v>1.623</c:v>
                </c:pt>
                <c:pt idx="42">
                  <c:v>1.56</c:v>
                </c:pt>
                <c:pt idx="43">
                  <c:v>1.466</c:v>
                </c:pt>
                <c:pt idx="44">
                  <c:v>1.661</c:v>
                </c:pt>
                <c:pt idx="45">
                  <c:v>1.7709999999999999</c:v>
                </c:pt>
                <c:pt idx="46">
                  <c:v>1.8109999999999999</c:v>
                </c:pt>
                <c:pt idx="50">
                  <c:v>1.6</c:v>
                </c:pt>
                <c:pt idx="51">
                  <c:v>1.772</c:v>
                </c:pt>
                <c:pt idx="52">
                  <c:v>1.5760000000000001</c:v>
                </c:pt>
                <c:pt idx="53">
                  <c:v>1.7150000000000001</c:v>
                </c:pt>
                <c:pt idx="54">
                  <c:v>1.839</c:v>
                </c:pt>
                <c:pt idx="55">
                  <c:v>1.827</c:v>
                </c:pt>
                <c:pt idx="59">
                  <c:v>1.788</c:v>
                </c:pt>
                <c:pt idx="60">
                  <c:v>1.7250000000000001</c:v>
                </c:pt>
                <c:pt idx="61">
                  <c:v>1.7929999999999999</c:v>
                </c:pt>
                <c:pt idx="62">
                  <c:v>1.867</c:v>
                </c:pt>
                <c:pt idx="63">
                  <c:v>1.9039999999999999</c:v>
                </c:pt>
                <c:pt idx="67">
                  <c:v>1.641</c:v>
                </c:pt>
                <c:pt idx="68">
                  <c:v>1.796</c:v>
                </c:pt>
                <c:pt idx="69">
                  <c:v>1.883</c:v>
                </c:pt>
                <c:pt idx="70">
                  <c:v>1.919</c:v>
                </c:pt>
                <c:pt idx="74">
                  <c:v>0.504</c:v>
                </c:pt>
                <c:pt idx="75">
                  <c:v>1.857</c:v>
                </c:pt>
                <c:pt idx="76">
                  <c:v>1.8939999999999999</c:v>
                </c:pt>
                <c:pt idx="77">
                  <c:v>1.917</c:v>
                </c:pt>
                <c:pt idx="78">
                  <c:v>1.9430000000000001</c:v>
                </c:pt>
                <c:pt idx="82">
                  <c:v>1.8129999999999999</c:v>
                </c:pt>
                <c:pt idx="83">
                  <c:v>1.8420000000000001</c:v>
                </c:pt>
                <c:pt idx="84">
                  <c:v>1.8779999999999999</c:v>
                </c:pt>
                <c:pt idx="85">
                  <c:v>1.8779999999999999</c:v>
                </c:pt>
                <c:pt idx="86">
                  <c:v>1.9019999999999999</c:v>
                </c:pt>
                <c:pt idx="90">
                  <c:v>1.831</c:v>
                </c:pt>
                <c:pt idx="91">
                  <c:v>1.8580000000000001</c:v>
                </c:pt>
                <c:pt idx="92">
                  <c:v>1.821</c:v>
                </c:pt>
                <c:pt idx="93">
                  <c:v>1.8320000000000001</c:v>
                </c:pt>
                <c:pt idx="94">
                  <c:v>1.754</c:v>
                </c:pt>
                <c:pt idx="98">
                  <c:v>2.0659999999999998</c:v>
                </c:pt>
                <c:pt idx="99">
                  <c:v>1.9159999999999999</c:v>
                </c:pt>
                <c:pt idx="100">
                  <c:v>1.944</c:v>
                </c:pt>
                <c:pt idx="101">
                  <c:v>1.9650000000000001</c:v>
                </c:pt>
                <c:pt idx="105">
                  <c:v>1.786</c:v>
                </c:pt>
                <c:pt idx="106">
                  <c:v>1.8149999999999999</c:v>
                </c:pt>
                <c:pt idx="107">
                  <c:v>1.857</c:v>
                </c:pt>
                <c:pt idx="111">
                  <c:v>1.7789999999999999</c:v>
                </c:pt>
                <c:pt idx="112">
                  <c:v>1.806</c:v>
                </c:pt>
                <c:pt idx="113">
                  <c:v>1.8240000000000001</c:v>
                </c:pt>
                <c:pt idx="114">
                  <c:v>1.67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8-49DF-9637-1BE633DDA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9920"/>
        <c:axId val="483981200"/>
      </c:scatterChart>
      <c:valAx>
        <c:axId val="48399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1200"/>
        <c:crosses val="autoZero"/>
        <c:crossBetween val="midCat"/>
      </c:valAx>
      <c:valAx>
        <c:axId val="483981200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All!$AH$6:$AH$124</c:f>
              <c:numCache>
                <c:formatCode>General</c:formatCode>
                <c:ptCount val="119"/>
                <c:pt idx="0">
                  <c:v>-17.22</c:v>
                </c:pt>
                <c:pt idx="1">
                  <c:v>80.78</c:v>
                </c:pt>
                <c:pt idx="2">
                  <c:v>80.92</c:v>
                </c:pt>
                <c:pt idx="3">
                  <c:v>83.56</c:v>
                </c:pt>
                <c:pt idx="7">
                  <c:v>65.400000000000006</c:v>
                </c:pt>
                <c:pt idx="8">
                  <c:v>81.290000000000006</c:v>
                </c:pt>
                <c:pt idx="9">
                  <c:v>84.24</c:v>
                </c:pt>
                <c:pt idx="10">
                  <c:v>84.95</c:v>
                </c:pt>
                <c:pt idx="11">
                  <c:v>80.06</c:v>
                </c:pt>
                <c:pt idx="12">
                  <c:v>84.22</c:v>
                </c:pt>
                <c:pt idx="13">
                  <c:v>84.81</c:v>
                </c:pt>
                <c:pt idx="17">
                  <c:v>59.88</c:v>
                </c:pt>
                <c:pt idx="18">
                  <c:v>73.87</c:v>
                </c:pt>
                <c:pt idx="19">
                  <c:v>83.32</c:v>
                </c:pt>
                <c:pt idx="20">
                  <c:v>85.22</c:v>
                </c:pt>
                <c:pt idx="21">
                  <c:v>84.45</c:v>
                </c:pt>
                <c:pt idx="22">
                  <c:v>82.96</c:v>
                </c:pt>
                <c:pt idx="26">
                  <c:v>67.430000000000007</c:v>
                </c:pt>
                <c:pt idx="27">
                  <c:v>77.86</c:v>
                </c:pt>
                <c:pt idx="28">
                  <c:v>83.31</c:v>
                </c:pt>
                <c:pt idx="29">
                  <c:v>83.31</c:v>
                </c:pt>
                <c:pt idx="30">
                  <c:v>84.24</c:v>
                </c:pt>
                <c:pt idx="31">
                  <c:v>81.38</c:v>
                </c:pt>
                <c:pt idx="35">
                  <c:v>68.14</c:v>
                </c:pt>
                <c:pt idx="36">
                  <c:v>77.489999999999995</c:v>
                </c:pt>
                <c:pt idx="37">
                  <c:v>80.69</c:v>
                </c:pt>
                <c:pt idx="38">
                  <c:v>62.66</c:v>
                </c:pt>
                <c:pt idx="42">
                  <c:v>61.46</c:v>
                </c:pt>
                <c:pt idx="43">
                  <c:v>50.87</c:v>
                </c:pt>
                <c:pt idx="44">
                  <c:v>73.180000000000007</c:v>
                </c:pt>
                <c:pt idx="45">
                  <c:v>81.59</c:v>
                </c:pt>
                <c:pt idx="46">
                  <c:v>83.6</c:v>
                </c:pt>
                <c:pt idx="50">
                  <c:v>-15.46</c:v>
                </c:pt>
                <c:pt idx="51">
                  <c:v>73.98</c:v>
                </c:pt>
                <c:pt idx="52">
                  <c:v>48.57</c:v>
                </c:pt>
                <c:pt idx="53">
                  <c:v>72.849999999999994</c:v>
                </c:pt>
                <c:pt idx="54">
                  <c:v>83.15</c:v>
                </c:pt>
                <c:pt idx="55">
                  <c:v>77.36</c:v>
                </c:pt>
                <c:pt idx="59">
                  <c:v>73.650000000000006</c:v>
                </c:pt>
                <c:pt idx="60">
                  <c:v>66.099999999999994</c:v>
                </c:pt>
                <c:pt idx="61">
                  <c:v>75.7</c:v>
                </c:pt>
                <c:pt idx="62">
                  <c:v>81.41</c:v>
                </c:pt>
                <c:pt idx="63">
                  <c:v>82.79</c:v>
                </c:pt>
                <c:pt idx="67">
                  <c:v>59.98</c:v>
                </c:pt>
                <c:pt idx="68">
                  <c:v>77.069999999999993</c:v>
                </c:pt>
                <c:pt idx="69">
                  <c:v>82.91</c:v>
                </c:pt>
                <c:pt idx="70">
                  <c:v>82.69</c:v>
                </c:pt>
                <c:pt idx="74">
                  <c:v>-9.11</c:v>
                </c:pt>
                <c:pt idx="75">
                  <c:v>73.91</c:v>
                </c:pt>
                <c:pt idx="76">
                  <c:v>76.77</c:v>
                </c:pt>
                <c:pt idx="77">
                  <c:v>77.77</c:v>
                </c:pt>
                <c:pt idx="78">
                  <c:v>79</c:v>
                </c:pt>
                <c:pt idx="82">
                  <c:v>68.37</c:v>
                </c:pt>
                <c:pt idx="83">
                  <c:v>75.290000000000006</c:v>
                </c:pt>
                <c:pt idx="84">
                  <c:v>78.959999999999994</c:v>
                </c:pt>
                <c:pt idx="85">
                  <c:v>78.61</c:v>
                </c:pt>
                <c:pt idx="86">
                  <c:v>81.040000000000006</c:v>
                </c:pt>
                <c:pt idx="90">
                  <c:v>70.37</c:v>
                </c:pt>
                <c:pt idx="91">
                  <c:v>75.8</c:v>
                </c:pt>
                <c:pt idx="92">
                  <c:v>68.77</c:v>
                </c:pt>
                <c:pt idx="93">
                  <c:v>71.59</c:v>
                </c:pt>
                <c:pt idx="94">
                  <c:v>61.14</c:v>
                </c:pt>
                <c:pt idx="98">
                  <c:v>76.36</c:v>
                </c:pt>
                <c:pt idx="99">
                  <c:v>75.739999999999995</c:v>
                </c:pt>
                <c:pt idx="100">
                  <c:v>75.88</c:v>
                </c:pt>
                <c:pt idx="101">
                  <c:v>76.56</c:v>
                </c:pt>
                <c:pt idx="105">
                  <c:v>66.75</c:v>
                </c:pt>
                <c:pt idx="106">
                  <c:v>75.2</c:v>
                </c:pt>
                <c:pt idx="107">
                  <c:v>77.430000000000007</c:v>
                </c:pt>
                <c:pt idx="111">
                  <c:v>67.12</c:v>
                </c:pt>
                <c:pt idx="112">
                  <c:v>75.03</c:v>
                </c:pt>
                <c:pt idx="113">
                  <c:v>77.73</c:v>
                </c:pt>
                <c:pt idx="114">
                  <c:v>60.42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2-437C-B704-95065A6AED27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All!$AI$6:$AI$124</c:f>
              <c:numCache>
                <c:formatCode>General</c:formatCode>
                <c:ptCount val="119"/>
                <c:pt idx="0">
                  <c:v>-17.77</c:v>
                </c:pt>
                <c:pt idx="1">
                  <c:v>77.069999999999993</c:v>
                </c:pt>
                <c:pt idx="2">
                  <c:v>76.02</c:v>
                </c:pt>
                <c:pt idx="3">
                  <c:v>79.23</c:v>
                </c:pt>
                <c:pt idx="7">
                  <c:v>61.19</c:v>
                </c:pt>
                <c:pt idx="8">
                  <c:v>76.42</c:v>
                </c:pt>
                <c:pt idx="9">
                  <c:v>78.989999999999995</c:v>
                </c:pt>
                <c:pt idx="10">
                  <c:v>80.819999999999993</c:v>
                </c:pt>
                <c:pt idx="11">
                  <c:v>76.86</c:v>
                </c:pt>
                <c:pt idx="12">
                  <c:v>79.510000000000005</c:v>
                </c:pt>
                <c:pt idx="13">
                  <c:v>80.13</c:v>
                </c:pt>
                <c:pt idx="17">
                  <c:v>56.87</c:v>
                </c:pt>
                <c:pt idx="18">
                  <c:v>70.88</c:v>
                </c:pt>
                <c:pt idx="19">
                  <c:v>80.39</c:v>
                </c:pt>
                <c:pt idx="20">
                  <c:v>81.7</c:v>
                </c:pt>
                <c:pt idx="21">
                  <c:v>80.900000000000006</c:v>
                </c:pt>
                <c:pt idx="22">
                  <c:v>80.94</c:v>
                </c:pt>
                <c:pt idx="26">
                  <c:v>66.62</c:v>
                </c:pt>
                <c:pt idx="27">
                  <c:v>76.239999999999995</c:v>
                </c:pt>
                <c:pt idx="28">
                  <c:v>81.069999999999993</c:v>
                </c:pt>
                <c:pt idx="29">
                  <c:v>80.459999999999994</c:v>
                </c:pt>
                <c:pt idx="30">
                  <c:v>80.02</c:v>
                </c:pt>
                <c:pt idx="31">
                  <c:v>78.959999999999994</c:v>
                </c:pt>
                <c:pt idx="35">
                  <c:v>66.23</c:v>
                </c:pt>
                <c:pt idx="36">
                  <c:v>75.599999999999994</c:v>
                </c:pt>
                <c:pt idx="37">
                  <c:v>79.459999999999994</c:v>
                </c:pt>
                <c:pt idx="38">
                  <c:v>59.67</c:v>
                </c:pt>
                <c:pt idx="42">
                  <c:v>58.45</c:v>
                </c:pt>
                <c:pt idx="43">
                  <c:v>49.22</c:v>
                </c:pt>
                <c:pt idx="44">
                  <c:v>71.25</c:v>
                </c:pt>
                <c:pt idx="45">
                  <c:v>79.069999999999993</c:v>
                </c:pt>
                <c:pt idx="46">
                  <c:v>79.77</c:v>
                </c:pt>
                <c:pt idx="50">
                  <c:v>31.72</c:v>
                </c:pt>
                <c:pt idx="51">
                  <c:v>69.91</c:v>
                </c:pt>
                <c:pt idx="52">
                  <c:v>46.02</c:v>
                </c:pt>
                <c:pt idx="53">
                  <c:v>68.599999999999994</c:v>
                </c:pt>
                <c:pt idx="54">
                  <c:v>77.3</c:v>
                </c:pt>
                <c:pt idx="55">
                  <c:v>72.53</c:v>
                </c:pt>
                <c:pt idx="59">
                  <c:v>67.959999999999994</c:v>
                </c:pt>
                <c:pt idx="60">
                  <c:v>62.14</c:v>
                </c:pt>
                <c:pt idx="61">
                  <c:v>71.92</c:v>
                </c:pt>
                <c:pt idx="62">
                  <c:v>80.010000000000005</c:v>
                </c:pt>
                <c:pt idx="63">
                  <c:v>81.599999999999994</c:v>
                </c:pt>
                <c:pt idx="67">
                  <c:v>55.8</c:v>
                </c:pt>
                <c:pt idx="68">
                  <c:v>68.63</c:v>
                </c:pt>
                <c:pt idx="69">
                  <c:v>73.16</c:v>
                </c:pt>
                <c:pt idx="70">
                  <c:v>72.8</c:v>
                </c:pt>
                <c:pt idx="74">
                  <c:v>-11.92</c:v>
                </c:pt>
                <c:pt idx="75">
                  <c:v>65.89</c:v>
                </c:pt>
                <c:pt idx="76">
                  <c:v>67.53</c:v>
                </c:pt>
                <c:pt idx="77">
                  <c:v>68.58</c:v>
                </c:pt>
                <c:pt idx="78">
                  <c:v>70</c:v>
                </c:pt>
                <c:pt idx="82">
                  <c:v>61.03</c:v>
                </c:pt>
                <c:pt idx="83">
                  <c:v>66.900000000000006</c:v>
                </c:pt>
                <c:pt idx="84">
                  <c:v>68.819999999999993</c:v>
                </c:pt>
                <c:pt idx="85">
                  <c:v>68.77</c:v>
                </c:pt>
                <c:pt idx="86">
                  <c:v>70.540000000000006</c:v>
                </c:pt>
                <c:pt idx="90">
                  <c:v>62.51</c:v>
                </c:pt>
                <c:pt idx="91">
                  <c:v>67.16</c:v>
                </c:pt>
                <c:pt idx="92">
                  <c:v>60.6</c:v>
                </c:pt>
                <c:pt idx="93">
                  <c:v>63.1</c:v>
                </c:pt>
                <c:pt idx="94">
                  <c:v>52.81</c:v>
                </c:pt>
                <c:pt idx="98">
                  <c:v>71.739999999999995</c:v>
                </c:pt>
                <c:pt idx="99">
                  <c:v>70.14</c:v>
                </c:pt>
                <c:pt idx="100">
                  <c:v>69.739999999999995</c:v>
                </c:pt>
                <c:pt idx="101">
                  <c:v>70.22</c:v>
                </c:pt>
                <c:pt idx="105">
                  <c:v>61.22</c:v>
                </c:pt>
                <c:pt idx="106">
                  <c:v>69.06</c:v>
                </c:pt>
                <c:pt idx="107">
                  <c:v>71.86</c:v>
                </c:pt>
                <c:pt idx="111">
                  <c:v>62.46</c:v>
                </c:pt>
                <c:pt idx="112">
                  <c:v>69.930000000000007</c:v>
                </c:pt>
                <c:pt idx="113">
                  <c:v>73.56</c:v>
                </c:pt>
                <c:pt idx="114">
                  <c:v>57.97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02-437C-B704-95065A6AED27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All!$AJ$6:$AJ$124</c:f>
              <c:numCache>
                <c:formatCode>General</c:formatCode>
                <c:ptCount val="119"/>
                <c:pt idx="0">
                  <c:v>-13.43</c:v>
                </c:pt>
                <c:pt idx="1">
                  <c:v>105.36</c:v>
                </c:pt>
                <c:pt idx="2">
                  <c:v>112.94</c:v>
                </c:pt>
                <c:pt idx="3">
                  <c:v>119.68</c:v>
                </c:pt>
                <c:pt idx="7">
                  <c:v>83.07</c:v>
                </c:pt>
                <c:pt idx="8">
                  <c:v>107.86</c:v>
                </c:pt>
                <c:pt idx="9">
                  <c:v>113.26</c:v>
                </c:pt>
                <c:pt idx="10">
                  <c:v>115.14</c:v>
                </c:pt>
                <c:pt idx="11">
                  <c:v>107.1</c:v>
                </c:pt>
                <c:pt idx="12">
                  <c:v>111.37</c:v>
                </c:pt>
                <c:pt idx="13">
                  <c:v>112.52</c:v>
                </c:pt>
                <c:pt idx="17">
                  <c:v>76.97</c:v>
                </c:pt>
                <c:pt idx="18">
                  <c:v>94.14</c:v>
                </c:pt>
                <c:pt idx="19">
                  <c:v>106.88</c:v>
                </c:pt>
                <c:pt idx="20">
                  <c:v>109.02</c:v>
                </c:pt>
                <c:pt idx="21">
                  <c:v>107.09</c:v>
                </c:pt>
                <c:pt idx="22">
                  <c:v>108.57</c:v>
                </c:pt>
                <c:pt idx="26">
                  <c:v>84.91</c:v>
                </c:pt>
                <c:pt idx="27">
                  <c:v>100</c:v>
                </c:pt>
                <c:pt idx="28">
                  <c:v>105.4</c:v>
                </c:pt>
                <c:pt idx="29">
                  <c:v>107.18</c:v>
                </c:pt>
                <c:pt idx="30">
                  <c:v>108.38</c:v>
                </c:pt>
                <c:pt idx="31">
                  <c:v>106.26</c:v>
                </c:pt>
                <c:pt idx="35">
                  <c:v>84.1</c:v>
                </c:pt>
                <c:pt idx="36">
                  <c:v>96.11</c:v>
                </c:pt>
                <c:pt idx="37">
                  <c:v>100.37</c:v>
                </c:pt>
                <c:pt idx="38">
                  <c:v>74.239999999999995</c:v>
                </c:pt>
                <c:pt idx="42">
                  <c:v>71.39</c:v>
                </c:pt>
                <c:pt idx="43">
                  <c:v>59.55</c:v>
                </c:pt>
                <c:pt idx="44">
                  <c:v>90.08</c:v>
                </c:pt>
                <c:pt idx="45">
                  <c:v>102.84</c:v>
                </c:pt>
                <c:pt idx="46">
                  <c:v>105.97</c:v>
                </c:pt>
                <c:pt idx="50">
                  <c:v>-17.03</c:v>
                </c:pt>
                <c:pt idx="51">
                  <c:v>98.88</c:v>
                </c:pt>
                <c:pt idx="52">
                  <c:v>62.37</c:v>
                </c:pt>
                <c:pt idx="53">
                  <c:v>96.09</c:v>
                </c:pt>
                <c:pt idx="54">
                  <c:v>116.53</c:v>
                </c:pt>
                <c:pt idx="55">
                  <c:v>106.85</c:v>
                </c:pt>
                <c:pt idx="59">
                  <c:v>96.1</c:v>
                </c:pt>
                <c:pt idx="60">
                  <c:v>86.51</c:v>
                </c:pt>
                <c:pt idx="61">
                  <c:v>105</c:v>
                </c:pt>
                <c:pt idx="62">
                  <c:v>117.79</c:v>
                </c:pt>
                <c:pt idx="63">
                  <c:v>120.81</c:v>
                </c:pt>
                <c:pt idx="67">
                  <c:v>67.06</c:v>
                </c:pt>
                <c:pt idx="68">
                  <c:v>100.53</c:v>
                </c:pt>
                <c:pt idx="69">
                  <c:v>113.31</c:v>
                </c:pt>
                <c:pt idx="70">
                  <c:v>113.91</c:v>
                </c:pt>
                <c:pt idx="74">
                  <c:v>-8.58</c:v>
                </c:pt>
                <c:pt idx="75">
                  <c:v>94.85</c:v>
                </c:pt>
                <c:pt idx="76">
                  <c:v>100.71</c:v>
                </c:pt>
                <c:pt idx="77">
                  <c:v>103.64</c:v>
                </c:pt>
                <c:pt idx="78">
                  <c:v>105.92</c:v>
                </c:pt>
                <c:pt idx="82">
                  <c:v>89.34</c:v>
                </c:pt>
                <c:pt idx="83">
                  <c:v>97.17</c:v>
                </c:pt>
                <c:pt idx="84">
                  <c:v>102.52</c:v>
                </c:pt>
                <c:pt idx="85">
                  <c:v>101.74</c:v>
                </c:pt>
                <c:pt idx="86">
                  <c:v>104.46</c:v>
                </c:pt>
                <c:pt idx="90">
                  <c:v>90.16</c:v>
                </c:pt>
                <c:pt idx="91">
                  <c:v>96.45</c:v>
                </c:pt>
                <c:pt idx="92">
                  <c:v>89.33</c:v>
                </c:pt>
                <c:pt idx="93">
                  <c:v>93.1</c:v>
                </c:pt>
                <c:pt idx="94">
                  <c:v>77.92</c:v>
                </c:pt>
                <c:pt idx="98">
                  <c:v>82.88</c:v>
                </c:pt>
                <c:pt idx="99">
                  <c:v>103.83</c:v>
                </c:pt>
                <c:pt idx="100">
                  <c:v>109.39</c:v>
                </c:pt>
                <c:pt idx="101">
                  <c:v>110.17</c:v>
                </c:pt>
                <c:pt idx="105">
                  <c:v>92.71</c:v>
                </c:pt>
                <c:pt idx="106">
                  <c:v>104.14</c:v>
                </c:pt>
                <c:pt idx="107">
                  <c:v>108.16</c:v>
                </c:pt>
                <c:pt idx="111">
                  <c:v>91.41</c:v>
                </c:pt>
                <c:pt idx="112">
                  <c:v>100.73</c:v>
                </c:pt>
                <c:pt idx="113">
                  <c:v>104.38</c:v>
                </c:pt>
                <c:pt idx="114">
                  <c:v>77.59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02-437C-B704-95065A6AED27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All!$AK$6:$AK$124</c:f>
              <c:numCache>
                <c:formatCode>General</c:formatCode>
                <c:ptCount val="119"/>
                <c:pt idx="0">
                  <c:v>-14.09</c:v>
                </c:pt>
                <c:pt idx="1">
                  <c:v>100.5</c:v>
                </c:pt>
                <c:pt idx="2">
                  <c:v>107.31</c:v>
                </c:pt>
                <c:pt idx="3">
                  <c:v>114.42</c:v>
                </c:pt>
                <c:pt idx="7">
                  <c:v>80.349999999999994</c:v>
                </c:pt>
                <c:pt idx="8">
                  <c:v>103.05</c:v>
                </c:pt>
                <c:pt idx="9">
                  <c:v>108.59</c:v>
                </c:pt>
                <c:pt idx="10">
                  <c:v>110.23</c:v>
                </c:pt>
                <c:pt idx="11">
                  <c:v>104.42</c:v>
                </c:pt>
                <c:pt idx="12">
                  <c:v>107.35</c:v>
                </c:pt>
                <c:pt idx="13">
                  <c:v>108.13</c:v>
                </c:pt>
                <c:pt idx="17">
                  <c:v>74.819999999999993</c:v>
                </c:pt>
                <c:pt idx="18">
                  <c:v>91.5</c:v>
                </c:pt>
                <c:pt idx="19">
                  <c:v>103.01</c:v>
                </c:pt>
                <c:pt idx="20">
                  <c:v>105.71</c:v>
                </c:pt>
                <c:pt idx="21">
                  <c:v>103.93</c:v>
                </c:pt>
                <c:pt idx="22">
                  <c:v>105.03</c:v>
                </c:pt>
                <c:pt idx="26">
                  <c:v>85.46</c:v>
                </c:pt>
                <c:pt idx="27">
                  <c:v>97.42</c:v>
                </c:pt>
                <c:pt idx="28">
                  <c:v>102.46</c:v>
                </c:pt>
                <c:pt idx="29">
                  <c:v>105.18</c:v>
                </c:pt>
                <c:pt idx="30">
                  <c:v>105.61</c:v>
                </c:pt>
                <c:pt idx="31">
                  <c:v>103.76</c:v>
                </c:pt>
                <c:pt idx="35">
                  <c:v>83.15</c:v>
                </c:pt>
                <c:pt idx="36">
                  <c:v>92.83</c:v>
                </c:pt>
                <c:pt idx="37">
                  <c:v>97.71</c:v>
                </c:pt>
                <c:pt idx="38">
                  <c:v>74.34</c:v>
                </c:pt>
                <c:pt idx="42">
                  <c:v>70.3</c:v>
                </c:pt>
                <c:pt idx="43">
                  <c:v>58.82</c:v>
                </c:pt>
                <c:pt idx="44">
                  <c:v>85.91</c:v>
                </c:pt>
                <c:pt idx="45">
                  <c:v>98.61</c:v>
                </c:pt>
                <c:pt idx="46">
                  <c:v>102.13</c:v>
                </c:pt>
                <c:pt idx="50">
                  <c:v>-19.12</c:v>
                </c:pt>
                <c:pt idx="51">
                  <c:v>90.92</c:v>
                </c:pt>
                <c:pt idx="52">
                  <c:v>58.64</c:v>
                </c:pt>
                <c:pt idx="53">
                  <c:v>87.64</c:v>
                </c:pt>
                <c:pt idx="54">
                  <c:v>105.68</c:v>
                </c:pt>
                <c:pt idx="55">
                  <c:v>99.01</c:v>
                </c:pt>
                <c:pt idx="59">
                  <c:v>88.9</c:v>
                </c:pt>
                <c:pt idx="60">
                  <c:v>80.209999999999994</c:v>
                </c:pt>
                <c:pt idx="61">
                  <c:v>96.08</c:v>
                </c:pt>
                <c:pt idx="62">
                  <c:v>107.42</c:v>
                </c:pt>
                <c:pt idx="63">
                  <c:v>110.92</c:v>
                </c:pt>
                <c:pt idx="67">
                  <c:v>65.75</c:v>
                </c:pt>
                <c:pt idx="68">
                  <c:v>96.77</c:v>
                </c:pt>
                <c:pt idx="69">
                  <c:v>108.98</c:v>
                </c:pt>
                <c:pt idx="70">
                  <c:v>110.59</c:v>
                </c:pt>
                <c:pt idx="74">
                  <c:v>-6.79</c:v>
                </c:pt>
                <c:pt idx="75">
                  <c:v>93.18</c:v>
                </c:pt>
                <c:pt idx="76">
                  <c:v>98.61</c:v>
                </c:pt>
                <c:pt idx="77">
                  <c:v>101.15</c:v>
                </c:pt>
                <c:pt idx="78">
                  <c:v>103.35</c:v>
                </c:pt>
                <c:pt idx="82">
                  <c:v>81.400000000000006</c:v>
                </c:pt>
                <c:pt idx="83">
                  <c:v>95.71</c:v>
                </c:pt>
                <c:pt idx="84">
                  <c:v>100.94</c:v>
                </c:pt>
                <c:pt idx="85">
                  <c:v>100.8</c:v>
                </c:pt>
                <c:pt idx="86">
                  <c:v>102.85</c:v>
                </c:pt>
                <c:pt idx="90">
                  <c:v>89.29</c:v>
                </c:pt>
                <c:pt idx="91">
                  <c:v>93.85</c:v>
                </c:pt>
                <c:pt idx="92">
                  <c:v>86.66</c:v>
                </c:pt>
                <c:pt idx="93">
                  <c:v>91.14</c:v>
                </c:pt>
                <c:pt idx="94">
                  <c:v>76.45</c:v>
                </c:pt>
                <c:pt idx="98">
                  <c:v>79.64</c:v>
                </c:pt>
                <c:pt idx="99">
                  <c:v>103.79</c:v>
                </c:pt>
                <c:pt idx="100">
                  <c:v>108.93</c:v>
                </c:pt>
                <c:pt idx="101">
                  <c:v>111.08</c:v>
                </c:pt>
                <c:pt idx="105">
                  <c:v>93.85</c:v>
                </c:pt>
                <c:pt idx="106">
                  <c:v>104.42</c:v>
                </c:pt>
                <c:pt idx="107">
                  <c:v>109.15</c:v>
                </c:pt>
                <c:pt idx="111">
                  <c:v>93.94</c:v>
                </c:pt>
                <c:pt idx="112">
                  <c:v>102.64</c:v>
                </c:pt>
                <c:pt idx="113">
                  <c:v>105.06</c:v>
                </c:pt>
                <c:pt idx="114">
                  <c:v>79.599999999999994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02-437C-B704-95065A6AE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88272"/>
        <c:axId val="483992016"/>
      </c:scatterChart>
      <c:valAx>
        <c:axId val="48398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2016"/>
        <c:crosses val="autoZero"/>
        <c:crossBetween val="midCat"/>
      </c:valAx>
      <c:valAx>
        <c:axId val="483992016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8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All!$FC$6:$FC$124</c:f>
              <c:numCache>
                <c:formatCode>General</c:formatCode>
                <c:ptCount val="119"/>
                <c:pt idx="0">
                  <c:v>16.218</c:v>
                </c:pt>
                <c:pt idx="1">
                  <c:v>75.572999999999993</c:v>
                </c:pt>
                <c:pt idx="2">
                  <c:v>75.923000000000002</c:v>
                </c:pt>
                <c:pt idx="3">
                  <c:v>76.442999999999998</c:v>
                </c:pt>
                <c:pt idx="7">
                  <c:v>74.778000000000006</c:v>
                </c:pt>
                <c:pt idx="8">
                  <c:v>71.3</c:v>
                </c:pt>
                <c:pt idx="9">
                  <c:v>75.501999999999995</c:v>
                </c:pt>
                <c:pt idx="10">
                  <c:v>76.549000000000007</c:v>
                </c:pt>
                <c:pt idx="11">
                  <c:v>74.707999999999998</c:v>
                </c:pt>
                <c:pt idx="12">
                  <c:v>73.966999999999999</c:v>
                </c:pt>
                <c:pt idx="13">
                  <c:v>75.968000000000004</c:v>
                </c:pt>
                <c:pt idx="17">
                  <c:v>69.430999999999997</c:v>
                </c:pt>
                <c:pt idx="18">
                  <c:v>64.793000000000006</c:v>
                </c:pt>
                <c:pt idx="19">
                  <c:v>70.56</c:v>
                </c:pt>
                <c:pt idx="20">
                  <c:v>73.355000000000004</c:v>
                </c:pt>
                <c:pt idx="21">
                  <c:v>73.843999999999994</c:v>
                </c:pt>
                <c:pt idx="22">
                  <c:v>73.91</c:v>
                </c:pt>
                <c:pt idx="26">
                  <c:v>69.340999999999994</c:v>
                </c:pt>
                <c:pt idx="27">
                  <c:v>68.625</c:v>
                </c:pt>
                <c:pt idx="28">
                  <c:v>72.745000000000005</c:v>
                </c:pt>
                <c:pt idx="29">
                  <c:v>74.528999999999996</c:v>
                </c:pt>
                <c:pt idx="30">
                  <c:v>75.070999999999998</c:v>
                </c:pt>
                <c:pt idx="31">
                  <c:v>74.718999999999994</c:v>
                </c:pt>
                <c:pt idx="35">
                  <c:v>71.257000000000005</c:v>
                </c:pt>
                <c:pt idx="36">
                  <c:v>66.611000000000004</c:v>
                </c:pt>
                <c:pt idx="37">
                  <c:v>70.453000000000003</c:v>
                </c:pt>
                <c:pt idx="38">
                  <c:v>64.772000000000006</c:v>
                </c:pt>
                <c:pt idx="42">
                  <c:v>57.13</c:v>
                </c:pt>
                <c:pt idx="43">
                  <c:v>55.045000000000002</c:v>
                </c:pt>
                <c:pt idx="44">
                  <c:v>59.058</c:v>
                </c:pt>
                <c:pt idx="45">
                  <c:v>69.283000000000001</c:v>
                </c:pt>
                <c:pt idx="46">
                  <c:v>72.885000000000005</c:v>
                </c:pt>
                <c:pt idx="50">
                  <c:v>15.601000000000001</c:v>
                </c:pt>
                <c:pt idx="51">
                  <c:v>70.492000000000004</c:v>
                </c:pt>
                <c:pt idx="52">
                  <c:v>59.021999999999998</c:v>
                </c:pt>
                <c:pt idx="53">
                  <c:v>57.164999999999999</c:v>
                </c:pt>
                <c:pt idx="54">
                  <c:v>69.658000000000001</c:v>
                </c:pt>
                <c:pt idx="55">
                  <c:v>71.563999999999993</c:v>
                </c:pt>
                <c:pt idx="59">
                  <c:v>70.033000000000001</c:v>
                </c:pt>
                <c:pt idx="60">
                  <c:v>68.734999999999999</c:v>
                </c:pt>
                <c:pt idx="61">
                  <c:v>68.11</c:v>
                </c:pt>
                <c:pt idx="62">
                  <c:v>72.049000000000007</c:v>
                </c:pt>
                <c:pt idx="63">
                  <c:v>74.525999999999996</c:v>
                </c:pt>
                <c:pt idx="67">
                  <c:v>57.158999999999999</c:v>
                </c:pt>
                <c:pt idx="68">
                  <c:v>67.635000000000005</c:v>
                </c:pt>
                <c:pt idx="69">
                  <c:v>73.069000000000003</c:v>
                </c:pt>
                <c:pt idx="70">
                  <c:v>74.343999999999994</c:v>
                </c:pt>
                <c:pt idx="74">
                  <c:v>18.696999999999999</c:v>
                </c:pt>
                <c:pt idx="75">
                  <c:v>65.203000000000003</c:v>
                </c:pt>
                <c:pt idx="76">
                  <c:v>67.558000000000007</c:v>
                </c:pt>
                <c:pt idx="77">
                  <c:v>67.899000000000001</c:v>
                </c:pt>
                <c:pt idx="78">
                  <c:v>68.87</c:v>
                </c:pt>
                <c:pt idx="82">
                  <c:v>67.478999999999999</c:v>
                </c:pt>
                <c:pt idx="83">
                  <c:v>66.594999999999999</c:v>
                </c:pt>
                <c:pt idx="84">
                  <c:v>68.864000000000004</c:v>
                </c:pt>
                <c:pt idx="85">
                  <c:v>69.757000000000005</c:v>
                </c:pt>
                <c:pt idx="86">
                  <c:v>70.337999999999994</c:v>
                </c:pt>
                <c:pt idx="90">
                  <c:v>68.778000000000006</c:v>
                </c:pt>
                <c:pt idx="91">
                  <c:v>69.546000000000006</c:v>
                </c:pt>
                <c:pt idx="92">
                  <c:v>67.37</c:v>
                </c:pt>
                <c:pt idx="93">
                  <c:v>65.772999999999996</c:v>
                </c:pt>
                <c:pt idx="94">
                  <c:v>65.281999999999996</c:v>
                </c:pt>
                <c:pt idx="98">
                  <c:v>86.897000000000006</c:v>
                </c:pt>
                <c:pt idx="99">
                  <c:v>72.39</c:v>
                </c:pt>
                <c:pt idx="100">
                  <c:v>70.614999999999995</c:v>
                </c:pt>
                <c:pt idx="101">
                  <c:v>70.378</c:v>
                </c:pt>
                <c:pt idx="105">
                  <c:v>67.948999999999998</c:v>
                </c:pt>
                <c:pt idx="106">
                  <c:v>68.394999999999996</c:v>
                </c:pt>
                <c:pt idx="107">
                  <c:v>70.614000000000004</c:v>
                </c:pt>
                <c:pt idx="111">
                  <c:v>68.575999999999993</c:v>
                </c:pt>
                <c:pt idx="112">
                  <c:v>67.028000000000006</c:v>
                </c:pt>
                <c:pt idx="113">
                  <c:v>69.13</c:v>
                </c:pt>
                <c:pt idx="114">
                  <c:v>65.239000000000004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0-4CD5-A830-3A26F7BF0A83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All!$FD$6:$FD$124</c:f>
              <c:numCache>
                <c:formatCode>General</c:formatCode>
                <c:ptCount val="119"/>
                <c:pt idx="0">
                  <c:v>16.056999999999999</c:v>
                </c:pt>
                <c:pt idx="1">
                  <c:v>72.694999999999993</c:v>
                </c:pt>
                <c:pt idx="2">
                  <c:v>71.120999999999995</c:v>
                </c:pt>
                <c:pt idx="3">
                  <c:v>71.287000000000006</c:v>
                </c:pt>
                <c:pt idx="7">
                  <c:v>66.436999999999998</c:v>
                </c:pt>
                <c:pt idx="8">
                  <c:v>66.17</c:v>
                </c:pt>
                <c:pt idx="9">
                  <c:v>69.572000000000003</c:v>
                </c:pt>
                <c:pt idx="10">
                  <c:v>70.911000000000001</c:v>
                </c:pt>
                <c:pt idx="11">
                  <c:v>69.900000000000006</c:v>
                </c:pt>
                <c:pt idx="12">
                  <c:v>68.786000000000001</c:v>
                </c:pt>
                <c:pt idx="13">
                  <c:v>70.209999999999994</c:v>
                </c:pt>
                <c:pt idx="17">
                  <c:v>66.387</c:v>
                </c:pt>
                <c:pt idx="18">
                  <c:v>61.052999999999997</c:v>
                </c:pt>
                <c:pt idx="19">
                  <c:v>66.039000000000001</c:v>
                </c:pt>
                <c:pt idx="20">
                  <c:v>68.811000000000007</c:v>
                </c:pt>
                <c:pt idx="21">
                  <c:v>68.730999999999995</c:v>
                </c:pt>
                <c:pt idx="22">
                  <c:v>69.186999999999998</c:v>
                </c:pt>
                <c:pt idx="26">
                  <c:v>66.683999999999997</c:v>
                </c:pt>
                <c:pt idx="27">
                  <c:v>65.256</c:v>
                </c:pt>
                <c:pt idx="28">
                  <c:v>68.807000000000002</c:v>
                </c:pt>
                <c:pt idx="29">
                  <c:v>70.525999999999996</c:v>
                </c:pt>
                <c:pt idx="30">
                  <c:v>70.974000000000004</c:v>
                </c:pt>
                <c:pt idx="31">
                  <c:v>70.837000000000003</c:v>
                </c:pt>
                <c:pt idx="35">
                  <c:v>67.998999999999995</c:v>
                </c:pt>
                <c:pt idx="36">
                  <c:v>63.091999999999999</c:v>
                </c:pt>
                <c:pt idx="37">
                  <c:v>66.210999999999999</c:v>
                </c:pt>
                <c:pt idx="38">
                  <c:v>61.338000000000001</c:v>
                </c:pt>
                <c:pt idx="42">
                  <c:v>54.816000000000003</c:v>
                </c:pt>
                <c:pt idx="43">
                  <c:v>52.567999999999998</c:v>
                </c:pt>
                <c:pt idx="44">
                  <c:v>55.927</c:v>
                </c:pt>
                <c:pt idx="45">
                  <c:v>64.903999999999996</c:v>
                </c:pt>
                <c:pt idx="46">
                  <c:v>68.254999999999995</c:v>
                </c:pt>
                <c:pt idx="50">
                  <c:v>57.045000000000002</c:v>
                </c:pt>
                <c:pt idx="51">
                  <c:v>66.242000000000004</c:v>
                </c:pt>
                <c:pt idx="52">
                  <c:v>54.848999999999997</c:v>
                </c:pt>
                <c:pt idx="53">
                  <c:v>52.984000000000002</c:v>
                </c:pt>
                <c:pt idx="54">
                  <c:v>63.798999999999999</c:v>
                </c:pt>
                <c:pt idx="55">
                  <c:v>65.953000000000003</c:v>
                </c:pt>
                <c:pt idx="59">
                  <c:v>65.141000000000005</c:v>
                </c:pt>
                <c:pt idx="60">
                  <c:v>64.066999999999993</c:v>
                </c:pt>
                <c:pt idx="61">
                  <c:v>63.695999999999998</c:v>
                </c:pt>
                <c:pt idx="62">
                  <c:v>67.191999999999993</c:v>
                </c:pt>
                <c:pt idx="63">
                  <c:v>69.869</c:v>
                </c:pt>
                <c:pt idx="67">
                  <c:v>54.116</c:v>
                </c:pt>
                <c:pt idx="68">
                  <c:v>62.040999999999997</c:v>
                </c:pt>
                <c:pt idx="69">
                  <c:v>66.691999999999993</c:v>
                </c:pt>
                <c:pt idx="70">
                  <c:v>68.003</c:v>
                </c:pt>
                <c:pt idx="74">
                  <c:v>17.725000000000001</c:v>
                </c:pt>
                <c:pt idx="75">
                  <c:v>60.716000000000001</c:v>
                </c:pt>
                <c:pt idx="76">
                  <c:v>62.256999999999998</c:v>
                </c:pt>
                <c:pt idx="77">
                  <c:v>62.656999999999996</c:v>
                </c:pt>
                <c:pt idx="78">
                  <c:v>63.32</c:v>
                </c:pt>
                <c:pt idx="82">
                  <c:v>62.256</c:v>
                </c:pt>
                <c:pt idx="83">
                  <c:v>61.45</c:v>
                </c:pt>
                <c:pt idx="84">
                  <c:v>63.499000000000002</c:v>
                </c:pt>
                <c:pt idx="85">
                  <c:v>64.521000000000001</c:v>
                </c:pt>
                <c:pt idx="86">
                  <c:v>64.778000000000006</c:v>
                </c:pt>
                <c:pt idx="90">
                  <c:v>64.200999999999993</c:v>
                </c:pt>
                <c:pt idx="91">
                  <c:v>64.260000000000005</c:v>
                </c:pt>
                <c:pt idx="92">
                  <c:v>62.777000000000001</c:v>
                </c:pt>
                <c:pt idx="93">
                  <c:v>61.332999999999998</c:v>
                </c:pt>
                <c:pt idx="94">
                  <c:v>61.34</c:v>
                </c:pt>
                <c:pt idx="98">
                  <c:v>86.981999999999999</c:v>
                </c:pt>
                <c:pt idx="99">
                  <c:v>69.539000000000001</c:v>
                </c:pt>
                <c:pt idx="100">
                  <c:v>65.813999999999993</c:v>
                </c:pt>
                <c:pt idx="101">
                  <c:v>65.165999999999997</c:v>
                </c:pt>
                <c:pt idx="105">
                  <c:v>63.55</c:v>
                </c:pt>
                <c:pt idx="106">
                  <c:v>63.332000000000001</c:v>
                </c:pt>
                <c:pt idx="107">
                  <c:v>65.525000000000006</c:v>
                </c:pt>
                <c:pt idx="111">
                  <c:v>64.734999999999999</c:v>
                </c:pt>
                <c:pt idx="112">
                  <c:v>62.87</c:v>
                </c:pt>
                <c:pt idx="113">
                  <c:v>64.69</c:v>
                </c:pt>
                <c:pt idx="114">
                  <c:v>61.991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10-4CD5-A830-3A26F7BF0A83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All!$FE$6:$FE$124</c:f>
              <c:numCache>
                <c:formatCode>General</c:formatCode>
                <c:ptCount val="119"/>
                <c:pt idx="0">
                  <c:v>18.628</c:v>
                </c:pt>
                <c:pt idx="1">
                  <c:v>80.703999999999994</c:v>
                </c:pt>
                <c:pt idx="2">
                  <c:v>87.394000000000005</c:v>
                </c:pt>
                <c:pt idx="3">
                  <c:v>92.456999999999994</c:v>
                </c:pt>
                <c:pt idx="7">
                  <c:v>76.805000000000007</c:v>
                </c:pt>
                <c:pt idx="8">
                  <c:v>80.724000000000004</c:v>
                </c:pt>
                <c:pt idx="9">
                  <c:v>87.200999999999993</c:v>
                </c:pt>
                <c:pt idx="10">
                  <c:v>90.117999999999995</c:v>
                </c:pt>
                <c:pt idx="11">
                  <c:v>87.400999999999996</c:v>
                </c:pt>
                <c:pt idx="12">
                  <c:v>86.067999999999998</c:v>
                </c:pt>
                <c:pt idx="13">
                  <c:v>87.379000000000005</c:v>
                </c:pt>
                <c:pt idx="17">
                  <c:v>74.340999999999994</c:v>
                </c:pt>
                <c:pt idx="18">
                  <c:v>69.099000000000004</c:v>
                </c:pt>
                <c:pt idx="19">
                  <c:v>78.944999999999993</c:v>
                </c:pt>
                <c:pt idx="20">
                  <c:v>83.421999999999997</c:v>
                </c:pt>
                <c:pt idx="21">
                  <c:v>82.188000000000002</c:v>
                </c:pt>
                <c:pt idx="22">
                  <c:v>83.861000000000004</c:v>
                </c:pt>
                <c:pt idx="26">
                  <c:v>75.590999999999994</c:v>
                </c:pt>
                <c:pt idx="27">
                  <c:v>76.87</c:v>
                </c:pt>
                <c:pt idx="28">
                  <c:v>81.69</c:v>
                </c:pt>
                <c:pt idx="29">
                  <c:v>84.183999999999997</c:v>
                </c:pt>
                <c:pt idx="30">
                  <c:v>85.331999999999994</c:v>
                </c:pt>
                <c:pt idx="31">
                  <c:v>85.495000000000005</c:v>
                </c:pt>
                <c:pt idx="35">
                  <c:v>78.394999999999996</c:v>
                </c:pt>
                <c:pt idx="36">
                  <c:v>72.366</c:v>
                </c:pt>
                <c:pt idx="37">
                  <c:v>76.94</c:v>
                </c:pt>
                <c:pt idx="38">
                  <c:v>69.950999999999993</c:v>
                </c:pt>
                <c:pt idx="42">
                  <c:v>57.643999999999998</c:v>
                </c:pt>
                <c:pt idx="43">
                  <c:v>53.552999999999997</c:v>
                </c:pt>
                <c:pt idx="44">
                  <c:v>61.936</c:v>
                </c:pt>
                <c:pt idx="45">
                  <c:v>75.697000000000003</c:v>
                </c:pt>
                <c:pt idx="46">
                  <c:v>82.099000000000004</c:v>
                </c:pt>
                <c:pt idx="50">
                  <c:v>12.644</c:v>
                </c:pt>
                <c:pt idx="51">
                  <c:v>76.894999999999996</c:v>
                </c:pt>
                <c:pt idx="52">
                  <c:v>63.283000000000001</c:v>
                </c:pt>
                <c:pt idx="53">
                  <c:v>62.212000000000003</c:v>
                </c:pt>
                <c:pt idx="54">
                  <c:v>79.893000000000001</c:v>
                </c:pt>
                <c:pt idx="55">
                  <c:v>82.147999999999996</c:v>
                </c:pt>
                <c:pt idx="59">
                  <c:v>76.448999999999998</c:v>
                </c:pt>
                <c:pt idx="60">
                  <c:v>71.335999999999999</c:v>
                </c:pt>
                <c:pt idx="61">
                  <c:v>74.03</c:v>
                </c:pt>
                <c:pt idx="62">
                  <c:v>83.266000000000005</c:v>
                </c:pt>
                <c:pt idx="63">
                  <c:v>88.808000000000007</c:v>
                </c:pt>
                <c:pt idx="67">
                  <c:v>54.686999999999998</c:v>
                </c:pt>
                <c:pt idx="68">
                  <c:v>72.290999999999997</c:v>
                </c:pt>
                <c:pt idx="69">
                  <c:v>84.167000000000002</c:v>
                </c:pt>
                <c:pt idx="70">
                  <c:v>88.382000000000005</c:v>
                </c:pt>
                <c:pt idx="74">
                  <c:v>19.21</c:v>
                </c:pt>
                <c:pt idx="75">
                  <c:v>72.183999999999997</c:v>
                </c:pt>
                <c:pt idx="76">
                  <c:v>76.608000000000004</c:v>
                </c:pt>
                <c:pt idx="77">
                  <c:v>78.369</c:v>
                </c:pt>
                <c:pt idx="78">
                  <c:v>80.747</c:v>
                </c:pt>
                <c:pt idx="82">
                  <c:v>76.004000000000005</c:v>
                </c:pt>
                <c:pt idx="83">
                  <c:v>74</c:v>
                </c:pt>
                <c:pt idx="84">
                  <c:v>78.197000000000003</c:v>
                </c:pt>
                <c:pt idx="85">
                  <c:v>79.534999999999997</c:v>
                </c:pt>
                <c:pt idx="86">
                  <c:v>80.358000000000004</c:v>
                </c:pt>
                <c:pt idx="90">
                  <c:v>76.14</c:v>
                </c:pt>
                <c:pt idx="91">
                  <c:v>76.045000000000002</c:v>
                </c:pt>
                <c:pt idx="92">
                  <c:v>74.984999999999999</c:v>
                </c:pt>
                <c:pt idx="93">
                  <c:v>74.186000000000007</c:v>
                </c:pt>
                <c:pt idx="94">
                  <c:v>74.22</c:v>
                </c:pt>
                <c:pt idx="98">
                  <c:v>85.97</c:v>
                </c:pt>
                <c:pt idx="99">
                  <c:v>80.549000000000007</c:v>
                </c:pt>
                <c:pt idx="100">
                  <c:v>83.036000000000001</c:v>
                </c:pt>
                <c:pt idx="101">
                  <c:v>84.025000000000006</c:v>
                </c:pt>
                <c:pt idx="105">
                  <c:v>76.501000000000005</c:v>
                </c:pt>
                <c:pt idx="106">
                  <c:v>76.537000000000006</c:v>
                </c:pt>
                <c:pt idx="107">
                  <c:v>81.846999999999994</c:v>
                </c:pt>
                <c:pt idx="111">
                  <c:v>76.375</c:v>
                </c:pt>
                <c:pt idx="112">
                  <c:v>75.274000000000001</c:v>
                </c:pt>
                <c:pt idx="113">
                  <c:v>78.762</c:v>
                </c:pt>
                <c:pt idx="114">
                  <c:v>72.183000000000007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10-4CD5-A830-3A26F7BF0A83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All!$FF$6:$FF$124</c:f>
              <c:numCache>
                <c:formatCode>General</c:formatCode>
                <c:ptCount val="119"/>
                <c:pt idx="0">
                  <c:v>17.942</c:v>
                </c:pt>
                <c:pt idx="1">
                  <c:v>77.906999999999996</c:v>
                </c:pt>
                <c:pt idx="2">
                  <c:v>84.478999999999999</c:v>
                </c:pt>
                <c:pt idx="3">
                  <c:v>89.846999999999994</c:v>
                </c:pt>
                <c:pt idx="7">
                  <c:v>75.515000000000001</c:v>
                </c:pt>
                <c:pt idx="8">
                  <c:v>78.385999999999996</c:v>
                </c:pt>
                <c:pt idx="9">
                  <c:v>84.340999999999994</c:v>
                </c:pt>
                <c:pt idx="10">
                  <c:v>87.099000000000004</c:v>
                </c:pt>
                <c:pt idx="11">
                  <c:v>85.259</c:v>
                </c:pt>
                <c:pt idx="12">
                  <c:v>83.971999999999994</c:v>
                </c:pt>
                <c:pt idx="13">
                  <c:v>85.141999999999996</c:v>
                </c:pt>
                <c:pt idx="17">
                  <c:v>71.953000000000003</c:v>
                </c:pt>
                <c:pt idx="18">
                  <c:v>68.649000000000001</c:v>
                </c:pt>
                <c:pt idx="19">
                  <c:v>77.727000000000004</c:v>
                </c:pt>
                <c:pt idx="20">
                  <c:v>82.069000000000003</c:v>
                </c:pt>
                <c:pt idx="21">
                  <c:v>80.936999999999998</c:v>
                </c:pt>
                <c:pt idx="22">
                  <c:v>82.477000000000004</c:v>
                </c:pt>
                <c:pt idx="26">
                  <c:v>75.03</c:v>
                </c:pt>
                <c:pt idx="27">
                  <c:v>75.978999999999999</c:v>
                </c:pt>
                <c:pt idx="28">
                  <c:v>80.543999999999997</c:v>
                </c:pt>
                <c:pt idx="29">
                  <c:v>83.085999999999999</c:v>
                </c:pt>
                <c:pt idx="30">
                  <c:v>84.236999999999995</c:v>
                </c:pt>
                <c:pt idx="31">
                  <c:v>84.158000000000001</c:v>
                </c:pt>
                <c:pt idx="35">
                  <c:v>77.572000000000003</c:v>
                </c:pt>
                <c:pt idx="36">
                  <c:v>71.152000000000001</c:v>
                </c:pt>
                <c:pt idx="37">
                  <c:v>75.924999999999997</c:v>
                </c:pt>
                <c:pt idx="38">
                  <c:v>69.802999999999997</c:v>
                </c:pt>
                <c:pt idx="42">
                  <c:v>57.854999999999997</c:v>
                </c:pt>
                <c:pt idx="43">
                  <c:v>53.878999999999998</c:v>
                </c:pt>
                <c:pt idx="44">
                  <c:v>61.253</c:v>
                </c:pt>
                <c:pt idx="45">
                  <c:v>74.164000000000001</c:v>
                </c:pt>
                <c:pt idx="46">
                  <c:v>80.179000000000002</c:v>
                </c:pt>
                <c:pt idx="50">
                  <c:v>11.505000000000001</c:v>
                </c:pt>
                <c:pt idx="51">
                  <c:v>73.474999999999994</c:v>
                </c:pt>
                <c:pt idx="52">
                  <c:v>61.44</c:v>
                </c:pt>
                <c:pt idx="53">
                  <c:v>59.801000000000002</c:v>
                </c:pt>
                <c:pt idx="54">
                  <c:v>75.688999999999993</c:v>
                </c:pt>
                <c:pt idx="55">
                  <c:v>78.695999999999998</c:v>
                </c:pt>
                <c:pt idx="59">
                  <c:v>74.41</c:v>
                </c:pt>
                <c:pt idx="60">
                  <c:v>68.501999999999995</c:v>
                </c:pt>
                <c:pt idx="61">
                  <c:v>71.072999999999993</c:v>
                </c:pt>
                <c:pt idx="62">
                  <c:v>79.281999999999996</c:v>
                </c:pt>
                <c:pt idx="63">
                  <c:v>84.352000000000004</c:v>
                </c:pt>
                <c:pt idx="67">
                  <c:v>56.301000000000002</c:v>
                </c:pt>
                <c:pt idx="68">
                  <c:v>71.165999999999997</c:v>
                </c:pt>
                <c:pt idx="69">
                  <c:v>81.843999999999994</c:v>
                </c:pt>
                <c:pt idx="70">
                  <c:v>86.067999999999998</c:v>
                </c:pt>
                <c:pt idx="74">
                  <c:v>20.542999999999999</c:v>
                </c:pt>
                <c:pt idx="75">
                  <c:v>71.347999999999999</c:v>
                </c:pt>
                <c:pt idx="76">
                  <c:v>75.126000000000005</c:v>
                </c:pt>
                <c:pt idx="77">
                  <c:v>76.707999999999998</c:v>
                </c:pt>
                <c:pt idx="78">
                  <c:v>78.831000000000003</c:v>
                </c:pt>
                <c:pt idx="82">
                  <c:v>74.438999999999993</c:v>
                </c:pt>
                <c:pt idx="83">
                  <c:v>73.507000000000005</c:v>
                </c:pt>
                <c:pt idx="84">
                  <c:v>77.284000000000006</c:v>
                </c:pt>
                <c:pt idx="85">
                  <c:v>78.593999999999994</c:v>
                </c:pt>
                <c:pt idx="86">
                  <c:v>79.242999999999995</c:v>
                </c:pt>
                <c:pt idx="90">
                  <c:v>75.125</c:v>
                </c:pt>
                <c:pt idx="91">
                  <c:v>74.302000000000007</c:v>
                </c:pt>
                <c:pt idx="92">
                  <c:v>73.225999999999999</c:v>
                </c:pt>
                <c:pt idx="93">
                  <c:v>72.84</c:v>
                </c:pt>
                <c:pt idx="94">
                  <c:v>73.019000000000005</c:v>
                </c:pt>
                <c:pt idx="98">
                  <c:v>83.757000000000005</c:v>
                </c:pt>
                <c:pt idx="99">
                  <c:v>78.122</c:v>
                </c:pt>
                <c:pt idx="100">
                  <c:v>80.228999999999999</c:v>
                </c:pt>
                <c:pt idx="101">
                  <c:v>81.611999999999995</c:v>
                </c:pt>
                <c:pt idx="105">
                  <c:v>75.245999999999995</c:v>
                </c:pt>
                <c:pt idx="106">
                  <c:v>74.695999999999998</c:v>
                </c:pt>
                <c:pt idx="107">
                  <c:v>79.366</c:v>
                </c:pt>
                <c:pt idx="111">
                  <c:v>75.260999999999996</c:v>
                </c:pt>
                <c:pt idx="112">
                  <c:v>74.150999999999996</c:v>
                </c:pt>
                <c:pt idx="113">
                  <c:v>76.777000000000001</c:v>
                </c:pt>
                <c:pt idx="114">
                  <c:v>70.873000000000005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10-4CD5-A830-3A26F7BF0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4096"/>
        <c:axId val="483979120"/>
      </c:scatterChart>
      <c:valAx>
        <c:axId val="4839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79120"/>
        <c:crosses val="autoZero"/>
        <c:crossBetween val="midCat"/>
      </c:valAx>
      <c:valAx>
        <c:axId val="483979120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7">
                  <c:v>0</c:v>
                </c:pt>
                <c:pt idx="8">
                  <c:v>0.1</c:v>
                </c:pt>
                <c:pt idx="9">
                  <c:v>0.7</c:v>
                </c:pt>
                <c:pt idx="10">
                  <c:v>0.3</c:v>
                </c:pt>
                <c:pt idx="11">
                  <c:v>0.4</c:v>
                </c:pt>
                <c:pt idx="12">
                  <c:v>0.8</c:v>
                </c:pt>
                <c:pt idx="13">
                  <c:v>0.4</c:v>
                </c:pt>
                <c:pt idx="17">
                  <c:v>0.1</c:v>
                </c:pt>
                <c:pt idx="18">
                  <c:v>0.3</c:v>
                </c:pt>
                <c:pt idx="19">
                  <c:v>0</c:v>
                </c:pt>
                <c:pt idx="20">
                  <c:v>0.1</c:v>
                </c:pt>
                <c:pt idx="21">
                  <c:v>0.5</c:v>
                </c:pt>
                <c:pt idx="22">
                  <c:v>0.7</c:v>
                </c:pt>
                <c:pt idx="26">
                  <c:v>0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0.5</c:v>
                </c:pt>
                <c:pt idx="31">
                  <c:v>0.2</c:v>
                </c:pt>
                <c:pt idx="35">
                  <c:v>0</c:v>
                </c:pt>
                <c:pt idx="36">
                  <c:v>0</c:v>
                </c:pt>
                <c:pt idx="37">
                  <c:v>0.1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</c:v>
                </c:pt>
                <c:pt idx="45">
                  <c:v>0.3</c:v>
                </c:pt>
                <c:pt idx="46">
                  <c:v>0.1</c:v>
                </c:pt>
                <c:pt idx="50">
                  <c:v>0.2</c:v>
                </c:pt>
                <c:pt idx="51">
                  <c:v>0.2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2.1</c:v>
                </c:pt>
                <c:pt idx="59">
                  <c:v>0</c:v>
                </c:pt>
                <c:pt idx="60">
                  <c:v>0</c:v>
                </c:pt>
                <c:pt idx="61">
                  <c:v>0.1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0.5</c:v>
                </c:pt>
                <c:pt idx="77">
                  <c:v>0.1</c:v>
                </c:pt>
                <c:pt idx="78">
                  <c:v>0</c:v>
                </c:pt>
                <c:pt idx="82">
                  <c:v>0</c:v>
                </c:pt>
                <c:pt idx="83">
                  <c:v>0.1</c:v>
                </c:pt>
                <c:pt idx="84">
                  <c:v>0.4</c:v>
                </c:pt>
                <c:pt idx="85">
                  <c:v>0</c:v>
                </c:pt>
                <c:pt idx="86">
                  <c:v>0.1</c:v>
                </c:pt>
                <c:pt idx="90">
                  <c:v>0.1</c:v>
                </c:pt>
                <c:pt idx="91">
                  <c:v>0.2</c:v>
                </c:pt>
                <c:pt idx="92">
                  <c:v>0.5</c:v>
                </c:pt>
                <c:pt idx="93">
                  <c:v>0.1</c:v>
                </c:pt>
                <c:pt idx="94">
                  <c:v>0.3</c:v>
                </c:pt>
                <c:pt idx="98">
                  <c:v>0</c:v>
                </c:pt>
                <c:pt idx="99">
                  <c:v>0</c:v>
                </c:pt>
                <c:pt idx="100">
                  <c:v>0.1</c:v>
                </c:pt>
                <c:pt idx="101">
                  <c:v>0.2</c:v>
                </c:pt>
                <c:pt idx="105">
                  <c:v>0.2</c:v>
                </c:pt>
                <c:pt idx="106">
                  <c:v>0.1</c:v>
                </c:pt>
                <c:pt idx="107">
                  <c:v>0</c:v>
                </c:pt>
                <c:pt idx="111">
                  <c:v>0</c:v>
                </c:pt>
                <c:pt idx="112">
                  <c:v>0.1</c:v>
                </c:pt>
                <c:pt idx="113">
                  <c:v>0.2</c:v>
                </c:pt>
                <c:pt idx="1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0E-4EFC-8027-7B05D6EFF058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7">
                  <c:v>0.6</c:v>
                </c:pt>
                <c:pt idx="8">
                  <c:v>0.3</c:v>
                </c:pt>
                <c:pt idx="9">
                  <c:v>0.3</c:v>
                </c:pt>
                <c:pt idx="10">
                  <c:v>0.5</c:v>
                </c:pt>
                <c:pt idx="11">
                  <c:v>0.8</c:v>
                </c:pt>
                <c:pt idx="12">
                  <c:v>0.3</c:v>
                </c:pt>
                <c:pt idx="13">
                  <c:v>1.1000000000000001</c:v>
                </c:pt>
                <c:pt idx="17">
                  <c:v>0.5</c:v>
                </c:pt>
                <c:pt idx="18">
                  <c:v>1.5</c:v>
                </c:pt>
                <c:pt idx="19">
                  <c:v>0.2</c:v>
                </c:pt>
                <c:pt idx="20">
                  <c:v>0.5</c:v>
                </c:pt>
                <c:pt idx="21">
                  <c:v>0.6</c:v>
                </c:pt>
                <c:pt idx="22">
                  <c:v>0.5</c:v>
                </c:pt>
                <c:pt idx="26">
                  <c:v>0.7</c:v>
                </c:pt>
                <c:pt idx="27">
                  <c:v>0.1</c:v>
                </c:pt>
                <c:pt idx="28">
                  <c:v>0.7</c:v>
                </c:pt>
                <c:pt idx="29">
                  <c:v>0.8</c:v>
                </c:pt>
                <c:pt idx="30">
                  <c:v>1.3</c:v>
                </c:pt>
                <c:pt idx="31">
                  <c:v>1.1000000000000001</c:v>
                </c:pt>
                <c:pt idx="35">
                  <c:v>0.1</c:v>
                </c:pt>
                <c:pt idx="36">
                  <c:v>1.2</c:v>
                </c:pt>
                <c:pt idx="37">
                  <c:v>0.8</c:v>
                </c:pt>
                <c:pt idx="38">
                  <c:v>1.1000000000000001</c:v>
                </c:pt>
                <c:pt idx="42">
                  <c:v>0</c:v>
                </c:pt>
                <c:pt idx="43">
                  <c:v>0.3</c:v>
                </c:pt>
                <c:pt idx="44">
                  <c:v>0.9</c:v>
                </c:pt>
                <c:pt idx="45">
                  <c:v>0.6</c:v>
                </c:pt>
                <c:pt idx="46">
                  <c:v>0.2</c:v>
                </c:pt>
                <c:pt idx="50">
                  <c:v>0.2</c:v>
                </c:pt>
                <c:pt idx="51">
                  <c:v>0.5</c:v>
                </c:pt>
                <c:pt idx="52">
                  <c:v>0.3</c:v>
                </c:pt>
                <c:pt idx="53">
                  <c:v>0.4</c:v>
                </c:pt>
                <c:pt idx="54">
                  <c:v>1.1000000000000001</c:v>
                </c:pt>
                <c:pt idx="55">
                  <c:v>0.1</c:v>
                </c:pt>
                <c:pt idx="59">
                  <c:v>0</c:v>
                </c:pt>
                <c:pt idx="60">
                  <c:v>1.6</c:v>
                </c:pt>
                <c:pt idx="61">
                  <c:v>0.3</c:v>
                </c:pt>
                <c:pt idx="62">
                  <c:v>5.0999999999999996</c:v>
                </c:pt>
                <c:pt idx="63">
                  <c:v>0.2</c:v>
                </c:pt>
                <c:pt idx="67">
                  <c:v>0.2</c:v>
                </c:pt>
                <c:pt idx="68">
                  <c:v>2</c:v>
                </c:pt>
                <c:pt idx="69">
                  <c:v>0.3</c:v>
                </c:pt>
                <c:pt idx="70">
                  <c:v>0.2</c:v>
                </c:pt>
                <c:pt idx="74">
                  <c:v>0.1</c:v>
                </c:pt>
                <c:pt idx="75">
                  <c:v>0.2</c:v>
                </c:pt>
                <c:pt idx="76">
                  <c:v>0.4</c:v>
                </c:pt>
                <c:pt idx="77">
                  <c:v>1</c:v>
                </c:pt>
                <c:pt idx="78">
                  <c:v>3.2</c:v>
                </c:pt>
                <c:pt idx="82">
                  <c:v>1.5</c:v>
                </c:pt>
                <c:pt idx="83">
                  <c:v>0.6</c:v>
                </c:pt>
                <c:pt idx="84">
                  <c:v>0.6</c:v>
                </c:pt>
                <c:pt idx="85">
                  <c:v>2.8</c:v>
                </c:pt>
                <c:pt idx="86">
                  <c:v>0</c:v>
                </c:pt>
                <c:pt idx="90">
                  <c:v>0.4</c:v>
                </c:pt>
                <c:pt idx="91">
                  <c:v>0.1</c:v>
                </c:pt>
                <c:pt idx="92">
                  <c:v>0.9</c:v>
                </c:pt>
                <c:pt idx="93">
                  <c:v>0.6</c:v>
                </c:pt>
                <c:pt idx="94">
                  <c:v>0</c:v>
                </c:pt>
                <c:pt idx="98">
                  <c:v>0.1</c:v>
                </c:pt>
                <c:pt idx="99">
                  <c:v>0.1</c:v>
                </c:pt>
                <c:pt idx="100">
                  <c:v>0.9</c:v>
                </c:pt>
                <c:pt idx="101">
                  <c:v>0.4</c:v>
                </c:pt>
                <c:pt idx="105">
                  <c:v>0.5</c:v>
                </c:pt>
                <c:pt idx="106">
                  <c:v>0.7</c:v>
                </c:pt>
                <c:pt idx="107">
                  <c:v>0.8</c:v>
                </c:pt>
                <c:pt idx="111">
                  <c:v>0.2</c:v>
                </c:pt>
                <c:pt idx="112">
                  <c:v>0.3</c:v>
                </c:pt>
                <c:pt idx="113">
                  <c:v>0.5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E-4EFC-8027-7B05D6EFF058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1.2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0E-4EFC-8027-7B05D6EFF058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1.2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0.1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E-4EFC-8027-7B05D6EFF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9504"/>
        <c:axId val="483994096"/>
      </c:scatterChart>
      <c:valAx>
        <c:axId val="48399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4096"/>
        <c:crosses val="autoZero"/>
        <c:crossBetween val="midCat"/>
      </c:valAx>
      <c:valAx>
        <c:axId val="48399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All!$V$6:$V$124</c:f>
              <c:numCache>
                <c:formatCode>General</c:formatCode>
                <c:ptCount val="119"/>
                <c:pt idx="0">
                  <c:v>50</c:v>
                </c:pt>
                <c:pt idx="1">
                  <c:v>273.33999999999997</c:v>
                </c:pt>
                <c:pt idx="2">
                  <c:v>300</c:v>
                </c:pt>
                <c:pt idx="3">
                  <c:v>281.66000000000003</c:v>
                </c:pt>
                <c:pt idx="7">
                  <c:v>130</c:v>
                </c:pt>
                <c:pt idx="8">
                  <c:v>248.34</c:v>
                </c:pt>
                <c:pt idx="9">
                  <c:v>255</c:v>
                </c:pt>
                <c:pt idx="10">
                  <c:v>248.34</c:v>
                </c:pt>
                <c:pt idx="11">
                  <c:v>185</c:v>
                </c:pt>
                <c:pt idx="12">
                  <c:v>246.66</c:v>
                </c:pt>
                <c:pt idx="13">
                  <c:v>253.34</c:v>
                </c:pt>
                <c:pt idx="17">
                  <c:v>117.5</c:v>
                </c:pt>
                <c:pt idx="18">
                  <c:v>218.34</c:v>
                </c:pt>
                <c:pt idx="19">
                  <c:v>235</c:v>
                </c:pt>
                <c:pt idx="20">
                  <c:v>243.34</c:v>
                </c:pt>
                <c:pt idx="21">
                  <c:v>236.66</c:v>
                </c:pt>
                <c:pt idx="22">
                  <c:v>255</c:v>
                </c:pt>
                <c:pt idx="26">
                  <c:v>162.5</c:v>
                </c:pt>
                <c:pt idx="27">
                  <c:v>236.66</c:v>
                </c:pt>
                <c:pt idx="28">
                  <c:v>255</c:v>
                </c:pt>
                <c:pt idx="29">
                  <c:v>280</c:v>
                </c:pt>
                <c:pt idx="30">
                  <c:v>260</c:v>
                </c:pt>
                <c:pt idx="31">
                  <c:v>220</c:v>
                </c:pt>
                <c:pt idx="35">
                  <c:v>105</c:v>
                </c:pt>
                <c:pt idx="36">
                  <c:v>223.34</c:v>
                </c:pt>
                <c:pt idx="37">
                  <c:v>233.34</c:v>
                </c:pt>
                <c:pt idx="38">
                  <c:v>80</c:v>
                </c:pt>
                <c:pt idx="42">
                  <c:v>150</c:v>
                </c:pt>
                <c:pt idx="43">
                  <c:v>50</c:v>
                </c:pt>
                <c:pt idx="44">
                  <c:v>245</c:v>
                </c:pt>
                <c:pt idx="45">
                  <c:v>251.66</c:v>
                </c:pt>
                <c:pt idx="46">
                  <c:v>246.66</c:v>
                </c:pt>
                <c:pt idx="50">
                  <c:v>60</c:v>
                </c:pt>
                <c:pt idx="51">
                  <c:v>132.5</c:v>
                </c:pt>
                <c:pt idx="52">
                  <c:v>60</c:v>
                </c:pt>
                <c:pt idx="53">
                  <c:v>218.34</c:v>
                </c:pt>
                <c:pt idx="54">
                  <c:v>243.34</c:v>
                </c:pt>
                <c:pt idx="55">
                  <c:v>170</c:v>
                </c:pt>
                <c:pt idx="59">
                  <c:v>306</c:v>
                </c:pt>
                <c:pt idx="60">
                  <c:v>165</c:v>
                </c:pt>
                <c:pt idx="61">
                  <c:v>226.66</c:v>
                </c:pt>
                <c:pt idx="62">
                  <c:v>238.34</c:v>
                </c:pt>
                <c:pt idx="63">
                  <c:v>248.34</c:v>
                </c:pt>
                <c:pt idx="67">
                  <c:v>197.5</c:v>
                </c:pt>
                <c:pt idx="68">
                  <c:v>280</c:v>
                </c:pt>
                <c:pt idx="69">
                  <c:v>251.66</c:v>
                </c:pt>
                <c:pt idx="70">
                  <c:v>260</c:v>
                </c:pt>
                <c:pt idx="74">
                  <c:v>60</c:v>
                </c:pt>
                <c:pt idx="75">
                  <c:v>211.66</c:v>
                </c:pt>
                <c:pt idx="76">
                  <c:v>213.34</c:v>
                </c:pt>
                <c:pt idx="77">
                  <c:v>225</c:v>
                </c:pt>
                <c:pt idx="78">
                  <c:v>228.34</c:v>
                </c:pt>
                <c:pt idx="82">
                  <c:v>165</c:v>
                </c:pt>
                <c:pt idx="83">
                  <c:v>228.34</c:v>
                </c:pt>
                <c:pt idx="84">
                  <c:v>230</c:v>
                </c:pt>
                <c:pt idx="85">
                  <c:v>245</c:v>
                </c:pt>
                <c:pt idx="86">
                  <c:v>230</c:v>
                </c:pt>
                <c:pt idx="90">
                  <c:v>218.34</c:v>
                </c:pt>
                <c:pt idx="91">
                  <c:v>203.34</c:v>
                </c:pt>
                <c:pt idx="92">
                  <c:v>225</c:v>
                </c:pt>
                <c:pt idx="93">
                  <c:v>228.34</c:v>
                </c:pt>
                <c:pt idx="94">
                  <c:v>70</c:v>
                </c:pt>
                <c:pt idx="98">
                  <c:v>70</c:v>
                </c:pt>
                <c:pt idx="99">
                  <c:v>225</c:v>
                </c:pt>
                <c:pt idx="100">
                  <c:v>223.34</c:v>
                </c:pt>
                <c:pt idx="101">
                  <c:v>231.66</c:v>
                </c:pt>
                <c:pt idx="105">
                  <c:v>203.34</c:v>
                </c:pt>
                <c:pt idx="106">
                  <c:v>240</c:v>
                </c:pt>
                <c:pt idx="107">
                  <c:v>250</c:v>
                </c:pt>
                <c:pt idx="111">
                  <c:v>170</c:v>
                </c:pt>
                <c:pt idx="112">
                  <c:v>230</c:v>
                </c:pt>
                <c:pt idx="113">
                  <c:v>231.66</c:v>
                </c:pt>
                <c:pt idx="114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2-41BF-8B12-07B84EBD2409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All!$W$6:$W$124</c:f>
              <c:numCache>
                <c:formatCode>General</c:formatCode>
                <c:ptCount val="119"/>
                <c:pt idx="0">
                  <c:v>40</c:v>
                </c:pt>
                <c:pt idx="1">
                  <c:v>291.66000000000003</c:v>
                </c:pt>
                <c:pt idx="2">
                  <c:v>316</c:v>
                </c:pt>
                <c:pt idx="3">
                  <c:v>312</c:v>
                </c:pt>
                <c:pt idx="7">
                  <c:v>135</c:v>
                </c:pt>
                <c:pt idx="8">
                  <c:v>260</c:v>
                </c:pt>
                <c:pt idx="9">
                  <c:v>266.66000000000003</c:v>
                </c:pt>
                <c:pt idx="10">
                  <c:v>261.66000000000003</c:v>
                </c:pt>
                <c:pt idx="11">
                  <c:v>195</c:v>
                </c:pt>
                <c:pt idx="12">
                  <c:v>256.66000000000003</c:v>
                </c:pt>
                <c:pt idx="13">
                  <c:v>258.33999999999997</c:v>
                </c:pt>
                <c:pt idx="17">
                  <c:v>112.5</c:v>
                </c:pt>
                <c:pt idx="18">
                  <c:v>220</c:v>
                </c:pt>
                <c:pt idx="19">
                  <c:v>236.66</c:v>
                </c:pt>
                <c:pt idx="20">
                  <c:v>243.34</c:v>
                </c:pt>
                <c:pt idx="21">
                  <c:v>236.66</c:v>
                </c:pt>
                <c:pt idx="22">
                  <c:v>260</c:v>
                </c:pt>
                <c:pt idx="26">
                  <c:v>167.5</c:v>
                </c:pt>
                <c:pt idx="27">
                  <c:v>236.66</c:v>
                </c:pt>
                <c:pt idx="28">
                  <c:v>260</c:v>
                </c:pt>
                <c:pt idx="29">
                  <c:v>293.33999999999997</c:v>
                </c:pt>
                <c:pt idx="30">
                  <c:v>266.66000000000003</c:v>
                </c:pt>
                <c:pt idx="31">
                  <c:v>220</c:v>
                </c:pt>
                <c:pt idx="35">
                  <c:v>70</c:v>
                </c:pt>
                <c:pt idx="36">
                  <c:v>223.34</c:v>
                </c:pt>
                <c:pt idx="37">
                  <c:v>225</c:v>
                </c:pt>
                <c:pt idx="38">
                  <c:v>50</c:v>
                </c:pt>
                <c:pt idx="42">
                  <c:v>137.5</c:v>
                </c:pt>
                <c:pt idx="43">
                  <c:v>40</c:v>
                </c:pt>
                <c:pt idx="44">
                  <c:v>241.66</c:v>
                </c:pt>
                <c:pt idx="45">
                  <c:v>241.66</c:v>
                </c:pt>
                <c:pt idx="46">
                  <c:v>241.66</c:v>
                </c:pt>
                <c:pt idx="50">
                  <c:v>40</c:v>
                </c:pt>
                <c:pt idx="51">
                  <c:v>140</c:v>
                </c:pt>
                <c:pt idx="52">
                  <c:v>40</c:v>
                </c:pt>
                <c:pt idx="53">
                  <c:v>235</c:v>
                </c:pt>
                <c:pt idx="54">
                  <c:v>266.66000000000003</c:v>
                </c:pt>
                <c:pt idx="55">
                  <c:v>195</c:v>
                </c:pt>
                <c:pt idx="59">
                  <c:v>320</c:v>
                </c:pt>
                <c:pt idx="60">
                  <c:v>187.5</c:v>
                </c:pt>
                <c:pt idx="61">
                  <c:v>258.33999999999997</c:v>
                </c:pt>
                <c:pt idx="62">
                  <c:v>235</c:v>
                </c:pt>
                <c:pt idx="63">
                  <c:v>268.33999999999997</c:v>
                </c:pt>
                <c:pt idx="67">
                  <c:v>216.66</c:v>
                </c:pt>
                <c:pt idx="68">
                  <c:v>307</c:v>
                </c:pt>
                <c:pt idx="69">
                  <c:v>288.33999999999997</c:v>
                </c:pt>
                <c:pt idx="70">
                  <c:v>301</c:v>
                </c:pt>
                <c:pt idx="74">
                  <c:v>40</c:v>
                </c:pt>
                <c:pt idx="75">
                  <c:v>225</c:v>
                </c:pt>
                <c:pt idx="76">
                  <c:v>231.66</c:v>
                </c:pt>
                <c:pt idx="77">
                  <c:v>241.66</c:v>
                </c:pt>
                <c:pt idx="78">
                  <c:v>255</c:v>
                </c:pt>
                <c:pt idx="82">
                  <c:v>192.5</c:v>
                </c:pt>
                <c:pt idx="83">
                  <c:v>253.34</c:v>
                </c:pt>
                <c:pt idx="84">
                  <c:v>260</c:v>
                </c:pt>
                <c:pt idx="85">
                  <c:v>278.33999999999997</c:v>
                </c:pt>
                <c:pt idx="86">
                  <c:v>261.66000000000003</c:v>
                </c:pt>
                <c:pt idx="90">
                  <c:v>235</c:v>
                </c:pt>
                <c:pt idx="91">
                  <c:v>231.66</c:v>
                </c:pt>
                <c:pt idx="92">
                  <c:v>248.34</c:v>
                </c:pt>
                <c:pt idx="93">
                  <c:v>248.34</c:v>
                </c:pt>
                <c:pt idx="94">
                  <c:v>40</c:v>
                </c:pt>
                <c:pt idx="98">
                  <c:v>40</c:v>
                </c:pt>
                <c:pt idx="99">
                  <c:v>245</c:v>
                </c:pt>
                <c:pt idx="100">
                  <c:v>243.34</c:v>
                </c:pt>
                <c:pt idx="101">
                  <c:v>251.66</c:v>
                </c:pt>
                <c:pt idx="105">
                  <c:v>213.34</c:v>
                </c:pt>
                <c:pt idx="106">
                  <c:v>263.33999999999997</c:v>
                </c:pt>
                <c:pt idx="107">
                  <c:v>270</c:v>
                </c:pt>
                <c:pt idx="111">
                  <c:v>187.5</c:v>
                </c:pt>
                <c:pt idx="112">
                  <c:v>246.66</c:v>
                </c:pt>
                <c:pt idx="113">
                  <c:v>241.66</c:v>
                </c:pt>
                <c:pt idx="11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12-41BF-8B12-07B84EBD2409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All!$X$6:$X$124</c:f>
              <c:numCache>
                <c:formatCode>General</c:formatCode>
                <c:ptCount val="119"/>
                <c:pt idx="0">
                  <c:v>80</c:v>
                </c:pt>
                <c:pt idx="1">
                  <c:v>195</c:v>
                </c:pt>
                <c:pt idx="2">
                  <c:v>245</c:v>
                </c:pt>
                <c:pt idx="3">
                  <c:v>246.66</c:v>
                </c:pt>
                <c:pt idx="7">
                  <c:v>110</c:v>
                </c:pt>
                <c:pt idx="8">
                  <c:v>208.34</c:v>
                </c:pt>
                <c:pt idx="9">
                  <c:v>206.66</c:v>
                </c:pt>
                <c:pt idx="10">
                  <c:v>213.34</c:v>
                </c:pt>
                <c:pt idx="11">
                  <c:v>147.5</c:v>
                </c:pt>
                <c:pt idx="12">
                  <c:v>197.5</c:v>
                </c:pt>
                <c:pt idx="13">
                  <c:v>185</c:v>
                </c:pt>
                <c:pt idx="17">
                  <c:v>102.5</c:v>
                </c:pt>
                <c:pt idx="18">
                  <c:v>137.5</c:v>
                </c:pt>
                <c:pt idx="19">
                  <c:v>177.5</c:v>
                </c:pt>
                <c:pt idx="20">
                  <c:v>170</c:v>
                </c:pt>
                <c:pt idx="21">
                  <c:v>150</c:v>
                </c:pt>
                <c:pt idx="22">
                  <c:v>180</c:v>
                </c:pt>
                <c:pt idx="26">
                  <c:v>120</c:v>
                </c:pt>
                <c:pt idx="27">
                  <c:v>165</c:v>
                </c:pt>
                <c:pt idx="28">
                  <c:v>180</c:v>
                </c:pt>
                <c:pt idx="29">
                  <c:v>210</c:v>
                </c:pt>
                <c:pt idx="30">
                  <c:v>197.5</c:v>
                </c:pt>
                <c:pt idx="31">
                  <c:v>170</c:v>
                </c:pt>
                <c:pt idx="35">
                  <c:v>90</c:v>
                </c:pt>
                <c:pt idx="36">
                  <c:v>152.5</c:v>
                </c:pt>
                <c:pt idx="37">
                  <c:v>152.5</c:v>
                </c:pt>
                <c:pt idx="38">
                  <c:v>90</c:v>
                </c:pt>
                <c:pt idx="42">
                  <c:v>110</c:v>
                </c:pt>
                <c:pt idx="43">
                  <c:v>80</c:v>
                </c:pt>
                <c:pt idx="44">
                  <c:v>140</c:v>
                </c:pt>
                <c:pt idx="45">
                  <c:v>190</c:v>
                </c:pt>
                <c:pt idx="46">
                  <c:v>172.5</c:v>
                </c:pt>
                <c:pt idx="50">
                  <c:v>80</c:v>
                </c:pt>
                <c:pt idx="51">
                  <c:v>130</c:v>
                </c:pt>
                <c:pt idx="52">
                  <c:v>80</c:v>
                </c:pt>
                <c:pt idx="53">
                  <c:v>127.5</c:v>
                </c:pt>
                <c:pt idx="54">
                  <c:v>190</c:v>
                </c:pt>
                <c:pt idx="55">
                  <c:v>140</c:v>
                </c:pt>
                <c:pt idx="59">
                  <c:v>167.5</c:v>
                </c:pt>
                <c:pt idx="60">
                  <c:v>110</c:v>
                </c:pt>
                <c:pt idx="61">
                  <c:v>137.5</c:v>
                </c:pt>
                <c:pt idx="62">
                  <c:v>187.5</c:v>
                </c:pt>
                <c:pt idx="63">
                  <c:v>205</c:v>
                </c:pt>
                <c:pt idx="67">
                  <c:v>130</c:v>
                </c:pt>
                <c:pt idx="68">
                  <c:v>195</c:v>
                </c:pt>
                <c:pt idx="69">
                  <c:v>211.66</c:v>
                </c:pt>
                <c:pt idx="70">
                  <c:v>215</c:v>
                </c:pt>
                <c:pt idx="74">
                  <c:v>80</c:v>
                </c:pt>
                <c:pt idx="75">
                  <c:v>162.5</c:v>
                </c:pt>
                <c:pt idx="76">
                  <c:v>150</c:v>
                </c:pt>
                <c:pt idx="77">
                  <c:v>165</c:v>
                </c:pt>
                <c:pt idx="78">
                  <c:v>175</c:v>
                </c:pt>
                <c:pt idx="82">
                  <c:v>122.5</c:v>
                </c:pt>
                <c:pt idx="83">
                  <c:v>152.5</c:v>
                </c:pt>
                <c:pt idx="84">
                  <c:v>165</c:v>
                </c:pt>
                <c:pt idx="85">
                  <c:v>170</c:v>
                </c:pt>
                <c:pt idx="86">
                  <c:v>165</c:v>
                </c:pt>
                <c:pt idx="90">
                  <c:v>140</c:v>
                </c:pt>
                <c:pt idx="91">
                  <c:v>185</c:v>
                </c:pt>
                <c:pt idx="92">
                  <c:v>162.5</c:v>
                </c:pt>
                <c:pt idx="93">
                  <c:v>150</c:v>
                </c:pt>
                <c:pt idx="94">
                  <c:v>90</c:v>
                </c:pt>
                <c:pt idx="98">
                  <c:v>80</c:v>
                </c:pt>
                <c:pt idx="99">
                  <c:v>185</c:v>
                </c:pt>
                <c:pt idx="100">
                  <c:v>187.5</c:v>
                </c:pt>
                <c:pt idx="101">
                  <c:v>175</c:v>
                </c:pt>
                <c:pt idx="105">
                  <c:v>127.5</c:v>
                </c:pt>
                <c:pt idx="106">
                  <c:v>172.5</c:v>
                </c:pt>
                <c:pt idx="107">
                  <c:v>187.5</c:v>
                </c:pt>
                <c:pt idx="111">
                  <c:v>130</c:v>
                </c:pt>
                <c:pt idx="112">
                  <c:v>165</c:v>
                </c:pt>
                <c:pt idx="113">
                  <c:v>165</c:v>
                </c:pt>
                <c:pt idx="114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12-41BF-8B12-07B84EBD2409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All!$Y$6:$Y$124</c:f>
              <c:numCache>
                <c:formatCode>General</c:formatCode>
                <c:ptCount val="119"/>
                <c:pt idx="0">
                  <c:v>80</c:v>
                </c:pt>
                <c:pt idx="1">
                  <c:v>228.34</c:v>
                </c:pt>
                <c:pt idx="2">
                  <c:v>309</c:v>
                </c:pt>
                <c:pt idx="3">
                  <c:v>314</c:v>
                </c:pt>
                <c:pt idx="7">
                  <c:v>127.5</c:v>
                </c:pt>
                <c:pt idx="8">
                  <c:v>251.66</c:v>
                </c:pt>
                <c:pt idx="9">
                  <c:v>248.34</c:v>
                </c:pt>
                <c:pt idx="10">
                  <c:v>258.33999999999997</c:v>
                </c:pt>
                <c:pt idx="11">
                  <c:v>185</c:v>
                </c:pt>
                <c:pt idx="12">
                  <c:v>240</c:v>
                </c:pt>
                <c:pt idx="13">
                  <c:v>231.66</c:v>
                </c:pt>
                <c:pt idx="17">
                  <c:v>110</c:v>
                </c:pt>
                <c:pt idx="18">
                  <c:v>175</c:v>
                </c:pt>
                <c:pt idx="19">
                  <c:v>223.34</c:v>
                </c:pt>
                <c:pt idx="20">
                  <c:v>221.66</c:v>
                </c:pt>
                <c:pt idx="21">
                  <c:v>201.66</c:v>
                </c:pt>
                <c:pt idx="22">
                  <c:v>230</c:v>
                </c:pt>
                <c:pt idx="26">
                  <c:v>145</c:v>
                </c:pt>
                <c:pt idx="27">
                  <c:v>211.66</c:v>
                </c:pt>
                <c:pt idx="28">
                  <c:v>230</c:v>
                </c:pt>
                <c:pt idx="29">
                  <c:v>260</c:v>
                </c:pt>
                <c:pt idx="30">
                  <c:v>243.34</c:v>
                </c:pt>
                <c:pt idx="31">
                  <c:v>208.34</c:v>
                </c:pt>
                <c:pt idx="35">
                  <c:v>90</c:v>
                </c:pt>
                <c:pt idx="36">
                  <c:v>197.5</c:v>
                </c:pt>
                <c:pt idx="37">
                  <c:v>195</c:v>
                </c:pt>
                <c:pt idx="38">
                  <c:v>100</c:v>
                </c:pt>
                <c:pt idx="42">
                  <c:v>122.5</c:v>
                </c:pt>
                <c:pt idx="43">
                  <c:v>80</c:v>
                </c:pt>
                <c:pt idx="44">
                  <c:v>190</c:v>
                </c:pt>
                <c:pt idx="45">
                  <c:v>228.34</c:v>
                </c:pt>
                <c:pt idx="46">
                  <c:v>215</c:v>
                </c:pt>
                <c:pt idx="50">
                  <c:v>80</c:v>
                </c:pt>
                <c:pt idx="51">
                  <c:v>147.5</c:v>
                </c:pt>
                <c:pt idx="52">
                  <c:v>80</c:v>
                </c:pt>
                <c:pt idx="53">
                  <c:v>175</c:v>
                </c:pt>
                <c:pt idx="54">
                  <c:v>228.34</c:v>
                </c:pt>
                <c:pt idx="55">
                  <c:v>172.5</c:v>
                </c:pt>
                <c:pt idx="59">
                  <c:v>215</c:v>
                </c:pt>
                <c:pt idx="60">
                  <c:v>127.5</c:v>
                </c:pt>
                <c:pt idx="61">
                  <c:v>175</c:v>
                </c:pt>
                <c:pt idx="62">
                  <c:v>225</c:v>
                </c:pt>
                <c:pt idx="63">
                  <c:v>248.34</c:v>
                </c:pt>
                <c:pt idx="67">
                  <c:v>160</c:v>
                </c:pt>
                <c:pt idx="68">
                  <c:v>236.66</c:v>
                </c:pt>
                <c:pt idx="69">
                  <c:v>258.33999999999997</c:v>
                </c:pt>
                <c:pt idx="70">
                  <c:v>271.66000000000003</c:v>
                </c:pt>
                <c:pt idx="74">
                  <c:v>70</c:v>
                </c:pt>
                <c:pt idx="75">
                  <c:v>205</c:v>
                </c:pt>
                <c:pt idx="76">
                  <c:v>190</c:v>
                </c:pt>
                <c:pt idx="77">
                  <c:v>210</c:v>
                </c:pt>
                <c:pt idx="78">
                  <c:v>220</c:v>
                </c:pt>
                <c:pt idx="82">
                  <c:v>147.5</c:v>
                </c:pt>
                <c:pt idx="83">
                  <c:v>200</c:v>
                </c:pt>
                <c:pt idx="84">
                  <c:v>213.34</c:v>
                </c:pt>
                <c:pt idx="85">
                  <c:v>216.66</c:v>
                </c:pt>
                <c:pt idx="86">
                  <c:v>208.34</c:v>
                </c:pt>
                <c:pt idx="90">
                  <c:v>167.5</c:v>
                </c:pt>
                <c:pt idx="91">
                  <c:v>220</c:v>
                </c:pt>
                <c:pt idx="92">
                  <c:v>210</c:v>
                </c:pt>
                <c:pt idx="93">
                  <c:v>200</c:v>
                </c:pt>
                <c:pt idx="94">
                  <c:v>90</c:v>
                </c:pt>
                <c:pt idx="98">
                  <c:v>90</c:v>
                </c:pt>
                <c:pt idx="99">
                  <c:v>225</c:v>
                </c:pt>
                <c:pt idx="100">
                  <c:v>230</c:v>
                </c:pt>
                <c:pt idx="101">
                  <c:v>221.66</c:v>
                </c:pt>
                <c:pt idx="105">
                  <c:v>155</c:v>
                </c:pt>
                <c:pt idx="106">
                  <c:v>213.34</c:v>
                </c:pt>
                <c:pt idx="107">
                  <c:v>225</c:v>
                </c:pt>
                <c:pt idx="111">
                  <c:v>152.5</c:v>
                </c:pt>
                <c:pt idx="112">
                  <c:v>206.66</c:v>
                </c:pt>
                <c:pt idx="113">
                  <c:v>203.34</c:v>
                </c:pt>
                <c:pt idx="114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12-41BF-8B12-07B84EBD2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88272"/>
        <c:axId val="483989936"/>
      </c:scatterChart>
      <c:valAx>
        <c:axId val="48398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9936"/>
        <c:crosses val="autoZero"/>
        <c:crossBetween val="midCat"/>
      </c:valAx>
      <c:valAx>
        <c:axId val="483989936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8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All!$Z$6:$Z$124</c:f>
              <c:numCache>
                <c:formatCode>General</c:formatCode>
                <c:ptCount val="119"/>
                <c:pt idx="0">
                  <c:v>108.87</c:v>
                </c:pt>
                <c:pt idx="1">
                  <c:v>436.41</c:v>
                </c:pt>
                <c:pt idx="2">
                  <c:v>440.72</c:v>
                </c:pt>
                <c:pt idx="3">
                  <c:v>425.87</c:v>
                </c:pt>
                <c:pt idx="7">
                  <c:v>276.66000000000003</c:v>
                </c:pt>
                <c:pt idx="8">
                  <c:v>397.61</c:v>
                </c:pt>
                <c:pt idx="9">
                  <c:v>404.61</c:v>
                </c:pt>
                <c:pt idx="10">
                  <c:v>394.89</c:v>
                </c:pt>
                <c:pt idx="11">
                  <c:v>350.25</c:v>
                </c:pt>
                <c:pt idx="12">
                  <c:v>397.41</c:v>
                </c:pt>
                <c:pt idx="13">
                  <c:v>388.63</c:v>
                </c:pt>
                <c:pt idx="17">
                  <c:v>254.27</c:v>
                </c:pt>
                <c:pt idx="18">
                  <c:v>368.06</c:v>
                </c:pt>
                <c:pt idx="19">
                  <c:v>383.27</c:v>
                </c:pt>
                <c:pt idx="20">
                  <c:v>375.43</c:v>
                </c:pt>
                <c:pt idx="21">
                  <c:v>384.54</c:v>
                </c:pt>
                <c:pt idx="22">
                  <c:v>381.79</c:v>
                </c:pt>
                <c:pt idx="26">
                  <c:v>319.36</c:v>
                </c:pt>
                <c:pt idx="27">
                  <c:v>394.47</c:v>
                </c:pt>
                <c:pt idx="28">
                  <c:v>405.99</c:v>
                </c:pt>
                <c:pt idx="29">
                  <c:v>421.43</c:v>
                </c:pt>
                <c:pt idx="30">
                  <c:v>408.67</c:v>
                </c:pt>
                <c:pt idx="31">
                  <c:v>377.97</c:v>
                </c:pt>
                <c:pt idx="35">
                  <c:v>176.15</c:v>
                </c:pt>
                <c:pt idx="36">
                  <c:v>361.02</c:v>
                </c:pt>
                <c:pt idx="37">
                  <c:v>382.86</c:v>
                </c:pt>
                <c:pt idx="38">
                  <c:v>199.88</c:v>
                </c:pt>
                <c:pt idx="42">
                  <c:v>278.45999999999998</c:v>
                </c:pt>
                <c:pt idx="43">
                  <c:v>188.97</c:v>
                </c:pt>
                <c:pt idx="44">
                  <c:v>385.38</c:v>
                </c:pt>
                <c:pt idx="45">
                  <c:v>395.87</c:v>
                </c:pt>
                <c:pt idx="46">
                  <c:v>379.88</c:v>
                </c:pt>
                <c:pt idx="50">
                  <c:v>126.88</c:v>
                </c:pt>
                <c:pt idx="51">
                  <c:v>302.83</c:v>
                </c:pt>
                <c:pt idx="52">
                  <c:v>148.72999999999999</c:v>
                </c:pt>
                <c:pt idx="53">
                  <c:v>372.94</c:v>
                </c:pt>
                <c:pt idx="54">
                  <c:v>388.67</c:v>
                </c:pt>
                <c:pt idx="55">
                  <c:v>343.04</c:v>
                </c:pt>
                <c:pt idx="59">
                  <c:v>311.22000000000003</c:v>
                </c:pt>
                <c:pt idx="60">
                  <c:v>311.68</c:v>
                </c:pt>
                <c:pt idx="61">
                  <c:v>378.4</c:v>
                </c:pt>
                <c:pt idx="62">
                  <c:v>388.7</c:v>
                </c:pt>
                <c:pt idx="63">
                  <c:v>390.09</c:v>
                </c:pt>
                <c:pt idx="67">
                  <c:v>340.89</c:v>
                </c:pt>
                <c:pt idx="68">
                  <c:v>413.46</c:v>
                </c:pt>
                <c:pt idx="69">
                  <c:v>391.44</c:v>
                </c:pt>
                <c:pt idx="70">
                  <c:v>391.68</c:v>
                </c:pt>
                <c:pt idx="74">
                  <c:v>124.77</c:v>
                </c:pt>
                <c:pt idx="75">
                  <c:v>369.5</c:v>
                </c:pt>
                <c:pt idx="76">
                  <c:v>354.84</c:v>
                </c:pt>
                <c:pt idx="77">
                  <c:v>372.54</c:v>
                </c:pt>
                <c:pt idx="78">
                  <c:v>366.75</c:v>
                </c:pt>
                <c:pt idx="82">
                  <c:v>322.42</c:v>
                </c:pt>
                <c:pt idx="83">
                  <c:v>378.25</c:v>
                </c:pt>
                <c:pt idx="84">
                  <c:v>382.41</c:v>
                </c:pt>
                <c:pt idx="85">
                  <c:v>381.35</c:v>
                </c:pt>
                <c:pt idx="86">
                  <c:v>369.09</c:v>
                </c:pt>
                <c:pt idx="90">
                  <c:v>343.51</c:v>
                </c:pt>
                <c:pt idx="91">
                  <c:v>382.33</c:v>
                </c:pt>
                <c:pt idx="92">
                  <c:v>364.18</c:v>
                </c:pt>
                <c:pt idx="93">
                  <c:v>384</c:v>
                </c:pt>
                <c:pt idx="94">
                  <c:v>210.16</c:v>
                </c:pt>
                <c:pt idx="98">
                  <c:v>241.73</c:v>
                </c:pt>
                <c:pt idx="99">
                  <c:v>377.59</c:v>
                </c:pt>
                <c:pt idx="100">
                  <c:v>372.54</c:v>
                </c:pt>
                <c:pt idx="101">
                  <c:v>361.01</c:v>
                </c:pt>
                <c:pt idx="105">
                  <c:v>340.11</c:v>
                </c:pt>
                <c:pt idx="106">
                  <c:v>384.97</c:v>
                </c:pt>
                <c:pt idx="107">
                  <c:v>380.78</c:v>
                </c:pt>
                <c:pt idx="111">
                  <c:v>327.14</c:v>
                </c:pt>
                <c:pt idx="112">
                  <c:v>377.99</c:v>
                </c:pt>
                <c:pt idx="113">
                  <c:v>373.06</c:v>
                </c:pt>
                <c:pt idx="114">
                  <c:v>195.5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C-44BF-8A17-01885B1CE56C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All!$AA$6:$AA$124</c:f>
              <c:numCache>
                <c:formatCode>General</c:formatCode>
                <c:ptCount val="119"/>
                <c:pt idx="0">
                  <c:v>107.16</c:v>
                </c:pt>
                <c:pt idx="1">
                  <c:v>453.95</c:v>
                </c:pt>
                <c:pt idx="2">
                  <c:v>462.41</c:v>
                </c:pt>
                <c:pt idx="3">
                  <c:v>452.78</c:v>
                </c:pt>
                <c:pt idx="7">
                  <c:v>291.54000000000002</c:v>
                </c:pt>
                <c:pt idx="8">
                  <c:v>406.45</c:v>
                </c:pt>
                <c:pt idx="9">
                  <c:v>418.28</c:v>
                </c:pt>
                <c:pt idx="10">
                  <c:v>407.01</c:v>
                </c:pt>
                <c:pt idx="11">
                  <c:v>362.75</c:v>
                </c:pt>
                <c:pt idx="12">
                  <c:v>399.08</c:v>
                </c:pt>
                <c:pt idx="13">
                  <c:v>394.86</c:v>
                </c:pt>
                <c:pt idx="17">
                  <c:v>256.44</c:v>
                </c:pt>
                <c:pt idx="18">
                  <c:v>366.29</c:v>
                </c:pt>
                <c:pt idx="19">
                  <c:v>387.74</c:v>
                </c:pt>
                <c:pt idx="20">
                  <c:v>368.59</c:v>
                </c:pt>
                <c:pt idx="21">
                  <c:v>386.55</c:v>
                </c:pt>
                <c:pt idx="22">
                  <c:v>381.14</c:v>
                </c:pt>
                <c:pt idx="26">
                  <c:v>318.23</c:v>
                </c:pt>
                <c:pt idx="27">
                  <c:v>397.21</c:v>
                </c:pt>
                <c:pt idx="28">
                  <c:v>412.93</c:v>
                </c:pt>
                <c:pt idx="29">
                  <c:v>424.98</c:v>
                </c:pt>
                <c:pt idx="30">
                  <c:v>412.66</c:v>
                </c:pt>
                <c:pt idx="31">
                  <c:v>372.17</c:v>
                </c:pt>
                <c:pt idx="35">
                  <c:v>170.75</c:v>
                </c:pt>
                <c:pt idx="36">
                  <c:v>360.76</c:v>
                </c:pt>
                <c:pt idx="37">
                  <c:v>375.49</c:v>
                </c:pt>
                <c:pt idx="38">
                  <c:v>195.06</c:v>
                </c:pt>
                <c:pt idx="42">
                  <c:v>275.73</c:v>
                </c:pt>
                <c:pt idx="43">
                  <c:v>183.43</c:v>
                </c:pt>
                <c:pt idx="44">
                  <c:v>377.86</c:v>
                </c:pt>
                <c:pt idx="45">
                  <c:v>383.87</c:v>
                </c:pt>
                <c:pt idx="46">
                  <c:v>372.92</c:v>
                </c:pt>
                <c:pt idx="50">
                  <c:v>108.21</c:v>
                </c:pt>
                <c:pt idx="51">
                  <c:v>324.01</c:v>
                </c:pt>
                <c:pt idx="52">
                  <c:v>150.22</c:v>
                </c:pt>
                <c:pt idx="53">
                  <c:v>389.56</c:v>
                </c:pt>
                <c:pt idx="54">
                  <c:v>407.18</c:v>
                </c:pt>
                <c:pt idx="55">
                  <c:v>369.54</c:v>
                </c:pt>
                <c:pt idx="59">
                  <c:v>328.5</c:v>
                </c:pt>
                <c:pt idx="60">
                  <c:v>334.49</c:v>
                </c:pt>
                <c:pt idx="61">
                  <c:v>408.52</c:v>
                </c:pt>
                <c:pt idx="62">
                  <c:v>390.52</c:v>
                </c:pt>
                <c:pt idx="63">
                  <c:v>416.13</c:v>
                </c:pt>
                <c:pt idx="67">
                  <c:v>358.53</c:v>
                </c:pt>
                <c:pt idx="68">
                  <c:v>436.52</c:v>
                </c:pt>
                <c:pt idx="69">
                  <c:v>424.06</c:v>
                </c:pt>
                <c:pt idx="70">
                  <c:v>419.65</c:v>
                </c:pt>
                <c:pt idx="74">
                  <c:v>119.02</c:v>
                </c:pt>
                <c:pt idx="75">
                  <c:v>380.52</c:v>
                </c:pt>
                <c:pt idx="76">
                  <c:v>370.31</c:v>
                </c:pt>
                <c:pt idx="77">
                  <c:v>382.47</c:v>
                </c:pt>
                <c:pt idx="78">
                  <c:v>380.79</c:v>
                </c:pt>
                <c:pt idx="82">
                  <c:v>341.2</c:v>
                </c:pt>
                <c:pt idx="83">
                  <c:v>405.65</c:v>
                </c:pt>
                <c:pt idx="84">
                  <c:v>409.94</c:v>
                </c:pt>
                <c:pt idx="85">
                  <c:v>407.83</c:v>
                </c:pt>
                <c:pt idx="86">
                  <c:v>395.64</c:v>
                </c:pt>
                <c:pt idx="90">
                  <c:v>366.32</c:v>
                </c:pt>
                <c:pt idx="91">
                  <c:v>409.23</c:v>
                </c:pt>
                <c:pt idx="92">
                  <c:v>389.95</c:v>
                </c:pt>
                <c:pt idx="93">
                  <c:v>407.3</c:v>
                </c:pt>
                <c:pt idx="94">
                  <c:v>222.65</c:v>
                </c:pt>
                <c:pt idx="98">
                  <c:v>247.09</c:v>
                </c:pt>
                <c:pt idx="99">
                  <c:v>397.02</c:v>
                </c:pt>
                <c:pt idx="100">
                  <c:v>390.41</c:v>
                </c:pt>
                <c:pt idx="101">
                  <c:v>376.94</c:v>
                </c:pt>
                <c:pt idx="105">
                  <c:v>352.89</c:v>
                </c:pt>
                <c:pt idx="106">
                  <c:v>403.85</c:v>
                </c:pt>
                <c:pt idx="107">
                  <c:v>398.6</c:v>
                </c:pt>
                <c:pt idx="111">
                  <c:v>338.9</c:v>
                </c:pt>
                <c:pt idx="112">
                  <c:v>389.08</c:v>
                </c:pt>
                <c:pt idx="113">
                  <c:v>386.24</c:v>
                </c:pt>
                <c:pt idx="114">
                  <c:v>200.41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4C-44BF-8A17-01885B1CE56C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All!$AB$6:$AB$124</c:f>
              <c:numCache>
                <c:formatCode>General</c:formatCode>
                <c:ptCount val="119"/>
                <c:pt idx="0">
                  <c:v>99.85</c:v>
                </c:pt>
                <c:pt idx="1">
                  <c:v>360.91</c:v>
                </c:pt>
                <c:pt idx="2">
                  <c:v>386.89</c:v>
                </c:pt>
                <c:pt idx="3">
                  <c:v>378.83</c:v>
                </c:pt>
                <c:pt idx="7">
                  <c:v>229.32</c:v>
                </c:pt>
                <c:pt idx="8">
                  <c:v>334.49</c:v>
                </c:pt>
                <c:pt idx="9">
                  <c:v>345.95</c:v>
                </c:pt>
                <c:pt idx="10">
                  <c:v>335.84</c:v>
                </c:pt>
                <c:pt idx="11">
                  <c:v>293.3</c:v>
                </c:pt>
                <c:pt idx="12">
                  <c:v>315.94</c:v>
                </c:pt>
                <c:pt idx="13">
                  <c:v>306.97000000000003</c:v>
                </c:pt>
                <c:pt idx="17">
                  <c:v>167.98</c:v>
                </c:pt>
                <c:pt idx="18">
                  <c:v>271.14999999999998</c:v>
                </c:pt>
                <c:pt idx="19">
                  <c:v>307.20999999999998</c:v>
                </c:pt>
                <c:pt idx="20">
                  <c:v>253.53</c:v>
                </c:pt>
                <c:pt idx="21">
                  <c:v>285.05</c:v>
                </c:pt>
                <c:pt idx="22">
                  <c:v>288.32</c:v>
                </c:pt>
                <c:pt idx="26">
                  <c:v>240.77</c:v>
                </c:pt>
                <c:pt idx="27">
                  <c:v>302.48</c:v>
                </c:pt>
                <c:pt idx="28">
                  <c:v>310.12</c:v>
                </c:pt>
                <c:pt idx="29">
                  <c:v>323.89999999999998</c:v>
                </c:pt>
                <c:pt idx="30">
                  <c:v>323.70999999999998</c:v>
                </c:pt>
                <c:pt idx="31">
                  <c:v>283.95</c:v>
                </c:pt>
                <c:pt idx="35">
                  <c:v>131.61000000000001</c:v>
                </c:pt>
                <c:pt idx="36">
                  <c:v>260.39</c:v>
                </c:pt>
                <c:pt idx="37">
                  <c:v>280.35000000000002</c:v>
                </c:pt>
                <c:pt idx="38">
                  <c:v>143.19999999999999</c:v>
                </c:pt>
                <c:pt idx="42">
                  <c:v>157.22</c:v>
                </c:pt>
                <c:pt idx="43">
                  <c:v>126.05</c:v>
                </c:pt>
                <c:pt idx="44">
                  <c:v>262.56</c:v>
                </c:pt>
                <c:pt idx="45">
                  <c:v>308.2</c:v>
                </c:pt>
                <c:pt idx="46">
                  <c:v>277.25</c:v>
                </c:pt>
                <c:pt idx="50">
                  <c:v>105.39</c:v>
                </c:pt>
                <c:pt idx="51">
                  <c:v>239.85</c:v>
                </c:pt>
                <c:pt idx="52">
                  <c:v>113.01</c:v>
                </c:pt>
                <c:pt idx="53">
                  <c:v>263.47000000000003</c:v>
                </c:pt>
                <c:pt idx="54">
                  <c:v>310.77</c:v>
                </c:pt>
                <c:pt idx="55">
                  <c:v>221.89</c:v>
                </c:pt>
                <c:pt idx="59">
                  <c:v>172</c:v>
                </c:pt>
                <c:pt idx="60">
                  <c:v>196.3</c:v>
                </c:pt>
                <c:pt idx="61">
                  <c:v>276.02</c:v>
                </c:pt>
                <c:pt idx="62">
                  <c:v>316.60000000000002</c:v>
                </c:pt>
                <c:pt idx="63">
                  <c:v>312.35000000000002</c:v>
                </c:pt>
                <c:pt idx="67">
                  <c:v>225.07</c:v>
                </c:pt>
                <c:pt idx="68">
                  <c:v>317.49</c:v>
                </c:pt>
                <c:pt idx="69">
                  <c:v>328.96</c:v>
                </c:pt>
                <c:pt idx="70">
                  <c:v>305.27999999999997</c:v>
                </c:pt>
                <c:pt idx="74">
                  <c:v>111.72</c:v>
                </c:pt>
                <c:pt idx="75">
                  <c:v>271.81</c:v>
                </c:pt>
                <c:pt idx="76">
                  <c:v>249.33</c:v>
                </c:pt>
                <c:pt idx="77">
                  <c:v>271.33999999999997</c:v>
                </c:pt>
                <c:pt idx="78">
                  <c:v>274.54000000000002</c:v>
                </c:pt>
                <c:pt idx="82">
                  <c:v>217.3</c:v>
                </c:pt>
                <c:pt idx="83">
                  <c:v>273.27</c:v>
                </c:pt>
                <c:pt idx="84">
                  <c:v>285.05</c:v>
                </c:pt>
                <c:pt idx="85">
                  <c:v>270.57</c:v>
                </c:pt>
                <c:pt idx="86">
                  <c:v>274.7</c:v>
                </c:pt>
                <c:pt idx="90">
                  <c:v>219.12</c:v>
                </c:pt>
                <c:pt idx="91">
                  <c:v>297.18</c:v>
                </c:pt>
                <c:pt idx="92">
                  <c:v>274.14</c:v>
                </c:pt>
                <c:pt idx="93">
                  <c:v>280.67</c:v>
                </c:pt>
                <c:pt idx="94">
                  <c:v>185.1</c:v>
                </c:pt>
                <c:pt idx="98">
                  <c:v>193.97</c:v>
                </c:pt>
                <c:pt idx="99">
                  <c:v>312.33999999999997</c:v>
                </c:pt>
                <c:pt idx="100">
                  <c:v>303.69</c:v>
                </c:pt>
                <c:pt idx="101">
                  <c:v>270.36</c:v>
                </c:pt>
                <c:pt idx="105">
                  <c:v>213.73</c:v>
                </c:pt>
                <c:pt idx="106">
                  <c:v>296.8</c:v>
                </c:pt>
                <c:pt idx="107">
                  <c:v>286.33999999999997</c:v>
                </c:pt>
                <c:pt idx="111">
                  <c:v>226.18</c:v>
                </c:pt>
                <c:pt idx="112">
                  <c:v>279.22000000000003</c:v>
                </c:pt>
                <c:pt idx="113">
                  <c:v>255.94</c:v>
                </c:pt>
                <c:pt idx="114">
                  <c:v>152.16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4C-44BF-8A17-01885B1CE56C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All!$AC$6:$AC$124</c:f>
              <c:numCache>
                <c:formatCode>General</c:formatCode>
                <c:ptCount val="119"/>
                <c:pt idx="0">
                  <c:v>101.82</c:v>
                </c:pt>
                <c:pt idx="1">
                  <c:v>428.63</c:v>
                </c:pt>
                <c:pt idx="2">
                  <c:v>466.86</c:v>
                </c:pt>
                <c:pt idx="3">
                  <c:v>452.27</c:v>
                </c:pt>
                <c:pt idx="7">
                  <c:v>266.74</c:v>
                </c:pt>
                <c:pt idx="8">
                  <c:v>392.81</c:v>
                </c:pt>
                <c:pt idx="9">
                  <c:v>408.82</c:v>
                </c:pt>
                <c:pt idx="10">
                  <c:v>398.92</c:v>
                </c:pt>
                <c:pt idx="11">
                  <c:v>349.09</c:v>
                </c:pt>
                <c:pt idx="12">
                  <c:v>377.62</c:v>
                </c:pt>
                <c:pt idx="13">
                  <c:v>371.56</c:v>
                </c:pt>
                <c:pt idx="17">
                  <c:v>204.25</c:v>
                </c:pt>
                <c:pt idx="18">
                  <c:v>328.67</c:v>
                </c:pt>
                <c:pt idx="19">
                  <c:v>373.72</c:v>
                </c:pt>
                <c:pt idx="20">
                  <c:v>320.04000000000002</c:v>
                </c:pt>
                <c:pt idx="21">
                  <c:v>349.83</c:v>
                </c:pt>
                <c:pt idx="22">
                  <c:v>350.94</c:v>
                </c:pt>
                <c:pt idx="26">
                  <c:v>293.42</c:v>
                </c:pt>
                <c:pt idx="27">
                  <c:v>368.8</c:v>
                </c:pt>
                <c:pt idx="28">
                  <c:v>376.61</c:v>
                </c:pt>
                <c:pt idx="29">
                  <c:v>391.84</c:v>
                </c:pt>
                <c:pt idx="30">
                  <c:v>389.1</c:v>
                </c:pt>
                <c:pt idx="31">
                  <c:v>342.5</c:v>
                </c:pt>
                <c:pt idx="35">
                  <c:v>148.04</c:v>
                </c:pt>
                <c:pt idx="36">
                  <c:v>323.61</c:v>
                </c:pt>
                <c:pt idx="37">
                  <c:v>341.88</c:v>
                </c:pt>
                <c:pt idx="38">
                  <c:v>170.12</c:v>
                </c:pt>
                <c:pt idx="42">
                  <c:v>196.7</c:v>
                </c:pt>
                <c:pt idx="43">
                  <c:v>148.25</c:v>
                </c:pt>
                <c:pt idx="44">
                  <c:v>326.95999999999998</c:v>
                </c:pt>
                <c:pt idx="45">
                  <c:v>370.39</c:v>
                </c:pt>
                <c:pt idx="46">
                  <c:v>343.23</c:v>
                </c:pt>
                <c:pt idx="50">
                  <c:v>111.77</c:v>
                </c:pt>
                <c:pt idx="51">
                  <c:v>291.89999999999998</c:v>
                </c:pt>
                <c:pt idx="52">
                  <c:v>125.68</c:v>
                </c:pt>
                <c:pt idx="53">
                  <c:v>332.78</c:v>
                </c:pt>
                <c:pt idx="54">
                  <c:v>375.82</c:v>
                </c:pt>
                <c:pt idx="55">
                  <c:v>284.82</c:v>
                </c:pt>
                <c:pt idx="59">
                  <c:v>218.84</c:v>
                </c:pt>
                <c:pt idx="60">
                  <c:v>248.84</c:v>
                </c:pt>
                <c:pt idx="61">
                  <c:v>341.81</c:v>
                </c:pt>
                <c:pt idx="62">
                  <c:v>380.46</c:v>
                </c:pt>
                <c:pt idx="63">
                  <c:v>380.22</c:v>
                </c:pt>
                <c:pt idx="67">
                  <c:v>281.06</c:v>
                </c:pt>
                <c:pt idx="68">
                  <c:v>387.57</c:v>
                </c:pt>
                <c:pt idx="69">
                  <c:v>402.65</c:v>
                </c:pt>
                <c:pt idx="70">
                  <c:v>375.97</c:v>
                </c:pt>
                <c:pt idx="74">
                  <c:v>121.77</c:v>
                </c:pt>
                <c:pt idx="75">
                  <c:v>339.08</c:v>
                </c:pt>
                <c:pt idx="76">
                  <c:v>316.01</c:v>
                </c:pt>
                <c:pt idx="77">
                  <c:v>342.45</c:v>
                </c:pt>
                <c:pt idx="78">
                  <c:v>344.46</c:v>
                </c:pt>
                <c:pt idx="82">
                  <c:v>276.20999999999998</c:v>
                </c:pt>
                <c:pt idx="83">
                  <c:v>344.6</c:v>
                </c:pt>
                <c:pt idx="84">
                  <c:v>357.48</c:v>
                </c:pt>
                <c:pt idx="85">
                  <c:v>342.74</c:v>
                </c:pt>
                <c:pt idx="86">
                  <c:v>339.75</c:v>
                </c:pt>
                <c:pt idx="90">
                  <c:v>270.56</c:v>
                </c:pt>
                <c:pt idx="91">
                  <c:v>358.71</c:v>
                </c:pt>
                <c:pt idx="92">
                  <c:v>351.72</c:v>
                </c:pt>
                <c:pt idx="93">
                  <c:v>357.44</c:v>
                </c:pt>
                <c:pt idx="94">
                  <c:v>221.51</c:v>
                </c:pt>
                <c:pt idx="98">
                  <c:v>236.91</c:v>
                </c:pt>
                <c:pt idx="99">
                  <c:v>381.34</c:v>
                </c:pt>
                <c:pt idx="100">
                  <c:v>375.01</c:v>
                </c:pt>
                <c:pt idx="101">
                  <c:v>338.84</c:v>
                </c:pt>
                <c:pt idx="105">
                  <c:v>273.85000000000002</c:v>
                </c:pt>
                <c:pt idx="106">
                  <c:v>362.16</c:v>
                </c:pt>
                <c:pt idx="107">
                  <c:v>344.41</c:v>
                </c:pt>
                <c:pt idx="111">
                  <c:v>283.89999999999998</c:v>
                </c:pt>
                <c:pt idx="112">
                  <c:v>345.88</c:v>
                </c:pt>
                <c:pt idx="113">
                  <c:v>318.66000000000003</c:v>
                </c:pt>
                <c:pt idx="114">
                  <c:v>181.05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4C-44BF-8A17-01885B1CE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79536"/>
        <c:axId val="483984112"/>
      </c:scatterChart>
      <c:valAx>
        <c:axId val="48397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4112"/>
        <c:crosses val="autoZero"/>
        <c:crossBetween val="midCat"/>
      </c:valAx>
      <c:valAx>
        <c:axId val="483984112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7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All!$T$6:$T$124</c:f>
              <c:numCache>
                <c:formatCode>General</c:formatCode>
                <c:ptCount val="119"/>
                <c:pt idx="0">
                  <c:v>60.11</c:v>
                </c:pt>
                <c:pt idx="1">
                  <c:v>72.61</c:v>
                </c:pt>
                <c:pt idx="2">
                  <c:v>82.45</c:v>
                </c:pt>
                <c:pt idx="3">
                  <c:v>84.31</c:v>
                </c:pt>
                <c:pt idx="7">
                  <c:v>64.930000000000007</c:v>
                </c:pt>
                <c:pt idx="8">
                  <c:v>73.52</c:v>
                </c:pt>
                <c:pt idx="9">
                  <c:v>74.78</c:v>
                </c:pt>
                <c:pt idx="10">
                  <c:v>80.75</c:v>
                </c:pt>
                <c:pt idx="11">
                  <c:v>81.36</c:v>
                </c:pt>
                <c:pt idx="12">
                  <c:v>67.95</c:v>
                </c:pt>
                <c:pt idx="13">
                  <c:v>77.42</c:v>
                </c:pt>
                <c:pt idx="17">
                  <c:v>54.2</c:v>
                </c:pt>
                <c:pt idx="18">
                  <c:v>70.56</c:v>
                </c:pt>
                <c:pt idx="19">
                  <c:v>77.45</c:v>
                </c:pt>
                <c:pt idx="20">
                  <c:v>63.98</c:v>
                </c:pt>
                <c:pt idx="21">
                  <c:v>78.040000000000006</c:v>
                </c:pt>
                <c:pt idx="22">
                  <c:v>72.489999999999995</c:v>
                </c:pt>
                <c:pt idx="26">
                  <c:v>71.260000000000005</c:v>
                </c:pt>
                <c:pt idx="27">
                  <c:v>79.319999999999993</c:v>
                </c:pt>
                <c:pt idx="28">
                  <c:v>89.89</c:v>
                </c:pt>
                <c:pt idx="29">
                  <c:v>78.040000000000006</c:v>
                </c:pt>
                <c:pt idx="30">
                  <c:v>89.11</c:v>
                </c:pt>
                <c:pt idx="31">
                  <c:v>85.58</c:v>
                </c:pt>
                <c:pt idx="35">
                  <c:v>67.56</c:v>
                </c:pt>
                <c:pt idx="36">
                  <c:v>78.88</c:v>
                </c:pt>
                <c:pt idx="37">
                  <c:v>86.41</c:v>
                </c:pt>
                <c:pt idx="38">
                  <c:v>67.55</c:v>
                </c:pt>
                <c:pt idx="42">
                  <c:v>62.64</c:v>
                </c:pt>
                <c:pt idx="43">
                  <c:v>55.7</c:v>
                </c:pt>
                <c:pt idx="44">
                  <c:v>73.34</c:v>
                </c:pt>
                <c:pt idx="45">
                  <c:v>76.94</c:v>
                </c:pt>
                <c:pt idx="46">
                  <c:v>74</c:v>
                </c:pt>
                <c:pt idx="50">
                  <c:v>60.56</c:v>
                </c:pt>
                <c:pt idx="51">
                  <c:v>75.22</c:v>
                </c:pt>
                <c:pt idx="52">
                  <c:v>58.52</c:v>
                </c:pt>
                <c:pt idx="53">
                  <c:v>71.42</c:v>
                </c:pt>
                <c:pt idx="54">
                  <c:v>78.14</c:v>
                </c:pt>
                <c:pt idx="55">
                  <c:v>56</c:v>
                </c:pt>
                <c:pt idx="59">
                  <c:v>20.65</c:v>
                </c:pt>
                <c:pt idx="60">
                  <c:v>69.61</c:v>
                </c:pt>
                <c:pt idx="61">
                  <c:v>87.06</c:v>
                </c:pt>
                <c:pt idx="62">
                  <c:v>93.72</c:v>
                </c:pt>
                <c:pt idx="63">
                  <c:v>88.02</c:v>
                </c:pt>
                <c:pt idx="67">
                  <c:v>58.38</c:v>
                </c:pt>
                <c:pt idx="68">
                  <c:v>73.55</c:v>
                </c:pt>
                <c:pt idx="69">
                  <c:v>82.72</c:v>
                </c:pt>
                <c:pt idx="70">
                  <c:v>75.09</c:v>
                </c:pt>
                <c:pt idx="74">
                  <c:v>69</c:v>
                </c:pt>
                <c:pt idx="75">
                  <c:v>80.97</c:v>
                </c:pt>
                <c:pt idx="76">
                  <c:v>73.19</c:v>
                </c:pt>
                <c:pt idx="77">
                  <c:v>90.5</c:v>
                </c:pt>
                <c:pt idx="78">
                  <c:v>84.18</c:v>
                </c:pt>
                <c:pt idx="82">
                  <c:v>59.75</c:v>
                </c:pt>
                <c:pt idx="83">
                  <c:v>63.63</c:v>
                </c:pt>
                <c:pt idx="84">
                  <c:v>72.66</c:v>
                </c:pt>
                <c:pt idx="85">
                  <c:v>70.56</c:v>
                </c:pt>
                <c:pt idx="86">
                  <c:v>74.3</c:v>
                </c:pt>
                <c:pt idx="90">
                  <c:v>55.09</c:v>
                </c:pt>
                <c:pt idx="91">
                  <c:v>62.41</c:v>
                </c:pt>
                <c:pt idx="92">
                  <c:v>73.3</c:v>
                </c:pt>
                <c:pt idx="93">
                  <c:v>76.39</c:v>
                </c:pt>
                <c:pt idx="94">
                  <c:v>75.92</c:v>
                </c:pt>
                <c:pt idx="98">
                  <c:v>76.14</c:v>
                </c:pt>
                <c:pt idx="99">
                  <c:v>84.45</c:v>
                </c:pt>
                <c:pt idx="100">
                  <c:v>91.27</c:v>
                </c:pt>
                <c:pt idx="101">
                  <c:v>83.06</c:v>
                </c:pt>
                <c:pt idx="105">
                  <c:v>65.28</c:v>
                </c:pt>
                <c:pt idx="106">
                  <c:v>78.73</c:v>
                </c:pt>
                <c:pt idx="107">
                  <c:v>75.36</c:v>
                </c:pt>
                <c:pt idx="111">
                  <c:v>59.96</c:v>
                </c:pt>
                <c:pt idx="112">
                  <c:v>71.72</c:v>
                </c:pt>
                <c:pt idx="113">
                  <c:v>71.569999999999993</c:v>
                </c:pt>
                <c:pt idx="114">
                  <c:v>72.13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0-447E-9BD4-81CDE0348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82448"/>
        <c:axId val="483989104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All!$U$6:$U$124</c:f>
              <c:numCache>
                <c:formatCode>General</c:formatCode>
                <c:ptCount val="119"/>
                <c:pt idx="0">
                  <c:v>60.767000000000003</c:v>
                </c:pt>
                <c:pt idx="1">
                  <c:v>60.295000000000002</c:v>
                </c:pt>
                <c:pt idx="2">
                  <c:v>60.222000000000001</c:v>
                </c:pt>
                <c:pt idx="3">
                  <c:v>60.162999999999997</c:v>
                </c:pt>
                <c:pt idx="7">
                  <c:v>60.720999999999997</c:v>
                </c:pt>
                <c:pt idx="8">
                  <c:v>60.109000000000002</c:v>
                </c:pt>
                <c:pt idx="9">
                  <c:v>60.107999999999997</c:v>
                </c:pt>
                <c:pt idx="10">
                  <c:v>60.061</c:v>
                </c:pt>
                <c:pt idx="11">
                  <c:v>60.134999999999998</c:v>
                </c:pt>
                <c:pt idx="12">
                  <c:v>60.131999999999998</c:v>
                </c:pt>
                <c:pt idx="13">
                  <c:v>60.1</c:v>
                </c:pt>
                <c:pt idx="17">
                  <c:v>60.009</c:v>
                </c:pt>
                <c:pt idx="18">
                  <c:v>60.012</c:v>
                </c:pt>
                <c:pt idx="19">
                  <c:v>60.12</c:v>
                </c:pt>
                <c:pt idx="20">
                  <c:v>60.404000000000003</c:v>
                </c:pt>
                <c:pt idx="21">
                  <c:v>60.267000000000003</c:v>
                </c:pt>
                <c:pt idx="22">
                  <c:v>60.418999999999997</c:v>
                </c:pt>
                <c:pt idx="26">
                  <c:v>60.533000000000001</c:v>
                </c:pt>
                <c:pt idx="27">
                  <c:v>61.079000000000001</c:v>
                </c:pt>
                <c:pt idx="28">
                  <c:v>61.109000000000002</c:v>
                </c:pt>
                <c:pt idx="29">
                  <c:v>61.073</c:v>
                </c:pt>
                <c:pt idx="30">
                  <c:v>61.084000000000003</c:v>
                </c:pt>
                <c:pt idx="31">
                  <c:v>61.289000000000001</c:v>
                </c:pt>
                <c:pt idx="35">
                  <c:v>61.539000000000001</c:v>
                </c:pt>
                <c:pt idx="36">
                  <c:v>61.45</c:v>
                </c:pt>
                <c:pt idx="37">
                  <c:v>61.292999999999999</c:v>
                </c:pt>
                <c:pt idx="38">
                  <c:v>61.497999999999998</c:v>
                </c:pt>
                <c:pt idx="42">
                  <c:v>63.218000000000004</c:v>
                </c:pt>
                <c:pt idx="43">
                  <c:v>61.423999999999999</c:v>
                </c:pt>
                <c:pt idx="44">
                  <c:v>61.124000000000002</c:v>
                </c:pt>
                <c:pt idx="45">
                  <c:v>61.026000000000003</c:v>
                </c:pt>
                <c:pt idx="46">
                  <c:v>61.22</c:v>
                </c:pt>
                <c:pt idx="50">
                  <c:v>61.243000000000002</c:v>
                </c:pt>
                <c:pt idx="51">
                  <c:v>61.012</c:v>
                </c:pt>
                <c:pt idx="52">
                  <c:v>61.536999999999999</c:v>
                </c:pt>
                <c:pt idx="53">
                  <c:v>60.997</c:v>
                </c:pt>
                <c:pt idx="54">
                  <c:v>60.893000000000001</c:v>
                </c:pt>
                <c:pt idx="55">
                  <c:v>61.481000000000002</c:v>
                </c:pt>
                <c:pt idx="59">
                  <c:v>63.636000000000003</c:v>
                </c:pt>
                <c:pt idx="60">
                  <c:v>61.570999999999998</c:v>
                </c:pt>
                <c:pt idx="61">
                  <c:v>61.19</c:v>
                </c:pt>
                <c:pt idx="62">
                  <c:v>60.965000000000003</c:v>
                </c:pt>
                <c:pt idx="63">
                  <c:v>60.674999999999997</c:v>
                </c:pt>
                <c:pt idx="67">
                  <c:v>62.188000000000002</c:v>
                </c:pt>
                <c:pt idx="68">
                  <c:v>60.529000000000003</c:v>
                </c:pt>
                <c:pt idx="69">
                  <c:v>60.125</c:v>
                </c:pt>
                <c:pt idx="70">
                  <c:v>60.125</c:v>
                </c:pt>
                <c:pt idx="74">
                  <c:v>60.28</c:v>
                </c:pt>
                <c:pt idx="75">
                  <c:v>60.444000000000003</c:v>
                </c:pt>
                <c:pt idx="76">
                  <c:v>60.557000000000002</c:v>
                </c:pt>
                <c:pt idx="77">
                  <c:v>60.509</c:v>
                </c:pt>
                <c:pt idx="78">
                  <c:v>60.496000000000002</c:v>
                </c:pt>
                <c:pt idx="82">
                  <c:v>61.497999999999998</c:v>
                </c:pt>
                <c:pt idx="83">
                  <c:v>60.412999999999997</c:v>
                </c:pt>
                <c:pt idx="84">
                  <c:v>60.43</c:v>
                </c:pt>
                <c:pt idx="85">
                  <c:v>60.451999999999998</c:v>
                </c:pt>
                <c:pt idx="86">
                  <c:v>60.576000000000001</c:v>
                </c:pt>
                <c:pt idx="90">
                  <c:v>60.917000000000002</c:v>
                </c:pt>
                <c:pt idx="91">
                  <c:v>60.054000000000002</c:v>
                </c:pt>
                <c:pt idx="92">
                  <c:v>60.319000000000003</c:v>
                </c:pt>
                <c:pt idx="93">
                  <c:v>60.238</c:v>
                </c:pt>
                <c:pt idx="94">
                  <c:v>60.814999999999998</c:v>
                </c:pt>
                <c:pt idx="98">
                  <c:v>60.688000000000002</c:v>
                </c:pt>
                <c:pt idx="99">
                  <c:v>60.088000000000001</c:v>
                </c:pt>
                <c:pt idx="100">
                  <c:v>60.052999999999997</c:v>
                </c:pt>
                <c:pt idx="101">
                  <c:v>60.338000000000001</c:v>
                </c:pt>
                <c:pt idx="105">
                  <c:v>61.334000000000003</c:v>
                </c:pt>
                <c:pt idx="106">
                  <c:v>60.177</c:v>
                </c:pt>
                <c:pt idx="107">
                  <c:v>60.167000000000002</c:v>
                </c:pt>
                <c:pt idx="111">
                  <c:v>60.444000000000003</c:v>
                </c:pt>
                <c:pt idx="112">
                  <c:v>60.015000000000001</c:v>
                </c:pt>
                <c:pt idx="113">
                  <c:v>60.109000000000002</c:v>
                </c:pt>
                <c:pt idx="114">
                  <c:v>60.433999999999997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C0-447E-9BD4-81CDE0348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0016"/>
        <c:axId val="543736240"/>
      </c:scatterChart>
      <c:valAx>
        <c:axId val="48398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9104"/>
        <c:crosses val="autoZero"/>
        <c:crossBetween val="midCat"/>
      </c:valAx>
      <c:valAx>
        <c:axId val="483989104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2448"/>
        <c:crosses val="autoZero"/>
        <c:crossBetween val="midCat"/>
      </c:valAx>
      <c:valAx>
        <c:axId val="543736240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0016"/>
        <c:crosses val="max"/>
        <c:crossBetween val="midCat"/>
      </c:valAx>
      <c:valAx>
        <c:axId val="543720016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624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All!$BN$6:$BN$124</c:f>
              <c:numCache>
                <c:formatCode>General</c:formatCode>
                <c:ptCount val="119"/>
                <c:pt idx="0">
                  <c:v>83.24</c:v>
                </c:pt>
                <c:pt idx="1">
                  <c:v>113.592</c:v>
                </c:pt>
                <c:pt idx="2">
                  <c:v>115.64</c:v>
                </c:pt>
                <c:pt idx="3">
                  <c:v>120.328</c:v>
                </c:pt>
                <c:pt idx="7">
                  <c:v>151.94399999999999</c:v>
                </c:pt>
                <c:pt idx="8">
                  <c:v>104.84</c:v>
                </c:pt>
                <c:pt idx="9">
                  <c:v>108.16800000000001</c:v>
                </c:pt>
                <c:pt idx="10">
                  <c:v>107.57599999999999</c:v>
                </c:pt>
                <c:pt idx="11">
                  <c:v>117.83199999999999</c:v>
                </c:pt>
                <c:pt idx="12">
                  <c:v>105.16</c:v>
                </c:pt>
                <c:pt idx="13">
                  <c:v>116.376</c:v>
                </c:pt>
                <c:pt idx="17">
                  <c:v>146.792</c:v>
                </c:pt>
                <c:pt idx="18">
                  <c:v>96.263999999999996</c:v>
                </c:pt>
                <c:pt idx="19">
                  <c:v>99.08</c:v>
                </c:pt>
                <c:pt idx="20">
                  <c:v>101.70399999999999</c:v>
                </c:pt>
                <c:pt idx="21">
                  <c:v>103.624</c:v>
                </c:pt>
                <c:pt idx="22">
                  <c:v>116.28</c:v>
                </c:pt>
                <c:pt idx="26">
                  <c:v>137.59200000000001</c:v>
                </c:pt>
                <c:pt idx="27">
                  <c:v>104.93600000000001</c:v>
                </c:pt>
                <c:pt idx="28">
                  <c:v>108.312</c:v>
                </c:pt>
                <c:pt idx="29">
                  <c:v>112.264</c:v>
                </c:pt>
                <c:pt idx="30">
                  <c:v>111.048</c:v>
                </c:pt>
                <c:pt idx="31">
                  <c:v>112.904</c:v>
                </c:pt>
                <c:pt idx="35">
                  <c:v>130.71199999999999</c:v>
                </c:pt>
                <c:pt idx="36">
                  <c:v>97.272000000000006</c:v>
                </c:pt>
                <c:pt idx="37">
                  <c:v>104.29600000000001</c:v>
                </c:pt>
                <c:pt idx="38">
                  <c:v>113.32</c:v>
                </c:pt>
                <c:pt idx="42">
                  <c:v>108.712</c:v>
                </c:pt>
                <c:pt idx="43">
                  <c:v>103.208</c:v>
                </c:pt>
                <c:pt idx="44">
                  <c:v>97.272000000000006</c:v>
                </c:pt>
                <c:pt idx="45">
                  <c:v>102.744</c:v>
                </c:pt>
                <c:pt idx="46">
                  <c:v>111.44799999999999</c:v>
                </c:pt>
                <c:pt idx="50">
                  <c:v>81.831999999999994</c:v>
                </c:pt>
                <c:pt idx="51">
                  <c:v>110.488</c:v>
                </c:pt>
                <c:pt idx="52">
                  <c:v>99.975999999999999</c:v>
                </c:pt>
                <c:pt idx="53">
                  <c:v>94.52</c:v>
                </c:pt>
                <c:pt idx="54">
                  <c:v>98.087999999999994</c:v>
                </c:pt>
                <c:pt idx="55">
                  <c:v>114.504</c:v>
                </c:pt>
                <c:pt idx="59">
                  <c:v>124.664</c:v>
                </c:pt>
                <c:pt idx="60">
                  <c:v>139.24</c:v>
                </c:pt>
                <c:pt idx="61">
                  <c:v>97.975999999999999</c:v>
                </c:pt>
                <c:pt idx="62">
                  <c:v>99.64</c:v>
                </c:pt>
                <c:pt idx="63">
                  <c:v>117.24</c:v>
                </c:pt>
                <c:pt idx="67">
                  <c:v>151.352</c:v>
                </c:pt>
                <c:pt idx="68">
                  <c:v>107.72</c:v>
                </c:pt>
                <c:pt idx="69">
                  <c:v>105.896</c:v>
                </c:pt>
                <c:pt idx="70">
                  <c:v>117.83199999999999</c:v>
                </c:pt>
                <c:pt idx="74">
                  <c:v>77.944000000000003</c:v>
                </c:pt>
                <c:pt idx="75">
                  <c:v>94.567999999999998</c:v>
                </c:pt>
                <c:pt idx="76">
                  <c:v>95.927999999999997</c:v>
                </c:pt>
                <c:pt idx="77">
                  <c:v>94.712000000000003</c:v>
                </c:pt>
                <c:pt idx="78">
                  <c:v>109.496</c:v>
                </c:pt>
                <c:pt idx="82">
                  <c:v>132.63200000000001</c:v>
                </c:pt>
                <c:pt idx="83">
                  <c:v>98.903999999999996</c:v>
                </c:pt>
                <c:pt idx="84">
                  <c:v>99.944000000000003</c:v>
                </c:pt>
                <c:pt idx="85">
                  <c:v>103.032</c:v>
                </c:pt>
                <c:pt idx="86">
                  <c:v>117.464</c:v>
                </c:pt>
                <c:pt idx="90">
                  <c:v>133.672</c:v>
                </c:pt>
                <c:pt idx="91">
                  <c:v>128.072</c:v>
                </c:pt>
                <c:pt idx="92">
                  <c:v>115.048</c:v>
                </c:pt>
                <c:pt idx="93">
                  <c:v>102.392</c:v>
                </c:pt>
                <c:pt idx="94">
                  <c:v>118.92</c:v>
                </c:pt>
                <c:pt idx="98">
                  <c:v>80.391999999999996</c:v>
                </c:pt>
                <c:pt idx="99">
                  <c:v>95.671999999999997</c:v>
                </c:pt>
                <c:pt idx="100">
                  <c:v>97.24</c:v>
                </c:pt>
                <c:pt idx="101">
                  <c:v>109.176</c:v>
                </c:pt>
                <c:pt idx="105">
                  <c:v>128.66399999999999</c:v>
                </c:pt>
                <c:pt idx="106">
                  <c:v>100.47199999999999</c:v>
                </c:pt>
                <c:pt idx="107">
                  <c:v>115.91200000000001</c:v>
                </c:pt>
                <c:pt idx="111">
                  <c:v>131.99199999999999</c:v>
                </c:pt>
                <c:pt idx="112">
                  <c:v>96.855999999999995</c:v>
                </c:pt>
                <c:pt idx="113">
                  <c:v>98.792000000000002</c:v>
                </c:pt>
                <c:pt idx="114">
                  <c:v>107.72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4-4628-9EAF-1B95DF0892CD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All!$BO$6:$BO$124</c:f>
              <c:numCache>
                <c:formatCode>General</c:formatCode>
                <c:ptCount val="119"/>
                <c:pt idx="0">
                  <c:v>84.84</c:v>
                </c:pt>
                <c:pt idx="1">
                  <c:v>110.408</c:v>
                </c:pt>
                <c:pt idx="2">
                  <c:v>114.232</c:v>
                </c:pt>
                <c:pt idx="3">
                  <c:v>120.968</c:v>
                </c:pt>
                <c:pt idx="7">
                  <c:v>147.06399999999999</c:v>
                </c:pt>
                <c:pt idx="8">
                  <c:v>102.024</c:v>
                </c:pt>
                <c:pt idx="9">
                  <c:v>105.52800000000001</c:v>
                </c:pt>
                <c:pt idx="10">
                  <c:v>105.752</c:v>
                </c:pt>
                <c:pt idx="11">
                  <c:v>115.14400000000001</c:v>
                </c:pt>
                <c:pt idx="12">
                  <c:v>102.12</c:v>
                </c:pt>
                <c:pt idx="13">
                  <c:v>114.28</c:v>
                </c:pt>
                <c:pt idx="17">
                  <c:v>141.464</c:v>
                </c:pt>
                <c:pt idx="18">
                  <c:v>92.632000000000005</c:v>
                </c:pt>
                <c:pt idx="19">
                  <c:v>96.52</c:v>
                </c:pt>
                <c:pt idx="20">
                  <c:v>98.12</c:v>
                </c:pt>
                <c:pt idx="21">
                  <c:v>98.68</c:v>
                </c:pt>
                <c:pt idx="22">
                  <c:v>111.816</c:v>
                </c:pt>
                <c:pt idx="26">
                  <c:v>134.184</c:v>
                </c:pt>
                <c:pt idx="27">
                  <c:v>101.01600000000001</c:v>
                </c:pt>
                <c:pt idx="28">
                  <c:v>104.072</c:v>
                </c:pt>
                <c:pt idx="29">
                  <c:v>109.544</c:v>
                </c:pt>
                <c:pt idx="30">
                  <c:v>108.264</c:v>
                </c:pt>
                <c:pt idx="31">
                  <c:v>109.544</c:v>
                </c:pt>
                <c:pt idx="35">
                  <c:v>124.98399999999999</c:v>
                </c:pt>
                <c:pt idx="36">
                  <c:v>95.64</c:v>
                </c:pt>
                <c:pt idx="37">
                  <c:v>98.007999999999996</c:v>
                </c:pt>
                <c:pt idx="38">
                  <c:v>109.224</c:v>
                </c:pt>
                <c:pt idx="42">
                  <c:v>107.032</c:v>
                </c:pt>
                <c:pt idx="43">
                  <c:v>98.488</c:v>
                </c:pt>
                <c:pt idx="44">
                  <c:v>94.072000000000003</c:v>
                </c:pt>
                <c:pt idx="45">
                  <c:v>98.12</c:v>
                </c:pt>
                <c:pt idx="46">
                  <c:v>109.992</c:v>
                </c:pt>
                <c:pt idx="50">
                  <c:v>78.456000000000003</c:v>
                </c:pt>
                <c:pt idx="51">
                  <c:v>106.80800000000001</c:v>
                </c:pt>
                <c:pt idx="52">
                  <c:v>96.488</c:v>
                </c:pt>
                <c:pt idx="53">
                  <c:v>92.52</c:v>
                </c:pt>
                <c:pt idx="54">
                  <c:v>97.608000000000004</c:v>
                </c:pt>
                <c:pt idx="55">
                  <c:v>112.584</c:v>
                </c:pt>
                <c:pt idx="59">
                  <c:v>127.304</c:v>
                </c:pt>
                <c:pt idx="60">
                  <c:v>141.19200000000001</c:v>
                </c:pt>
                <c:pt idx="61">
                  <c:v>98.488</c:v>
                </c:pt>
                <c:pt idx="62">
                  <c:v>101.48</c:v>
                </c:pt>
                <c:pt idx="63">
                  <c:v>116.184</c:v>
                </c:pt>
                <c:pt idx="67">
                  <c:v>152.16800000000001</c:v>
                </c:pt>
                <c:pt idx="68">
                  <c:v>107.352</c:v>
                </c:pt>
                <c:pt idx="69">
                  <c:v>106.392</c:v>
                </c:pt>
                <c:pt idx="70">
                  <c:v>120.648</c:v>
                </c:pt>
                <c:pt idx="74">
                  <c:v>75.784000000000006</c:v>
                </c:pt>
                <c:pt idx="75">
                  <c:v>94.231999999999999</c:v>
                </c:pt>
                <c:pt idx="76">
                  <c:v>97.016000000000005</c:v>
                </c:pt>
                <c:pt idx="77">
                  <c:v>95.304000000000002</c:v>
                </c:pt>
                <c:pt idx="78">
                  <c:v>108.63200000000001</c:v>
                </c:pt>
                <c:pt idx="82">
                  <c:v>133.4</c:v>
                </c:pt>
                <c:pt idx="83">
                  <c:v>99.575999999999993</c:v>
                </c:pt>
                <c:pt idx="84">
                  <c:v>102.52</c:v>
                </c:pt>
                <c:pt idx="85">
                  <c:v>107.08</c:v>
                </c:pt>
                <c:pt idx="86">
                  <c:v>120.47199999999999</c:v>
                </c:pt>
                <c:pt idx="90">
                  <c:v>139.68799999999999</c:v>
                </c:pt>
                <c:pt idx="91">
                  <c:v>130.26400000000001</c:v>
                </c:pt>
                <c:pt idx="92">
                  <c:v>117.64</c:v>
                </c:pt>
                <c:pt idx="93">
                  <c:v>104.024</c:v>
                </c:pt>
                <c:pt idx="94">
                  <c:v>121.752</c:v>
                </c:pt>
                <c:pt idx="98">
                  <c:v>80.087999999999994</c:v>
                </c:pt>
                <c:pt idx="99">
                  <c:v>95.896000000000001</c:v>
                </c:pt>
                <c:pt idx="100">
                  <c:v>97.784000000000006</c:v>
                </c:pt>
                <c:pt idx="101">
                  <c:v>109.08</c:v>
                </c:pt>
                <c:pt idx="105">
                  <c:v>127.16</c:v>
                </c:pt>
                <c:pt idx="106">
                  <c:v>99.128</c:v>
                </c:pt>
                <c:pt idx="107">
                  <c:v>120.47199999999999</c:v>
                </c:pt>
                <c:pt idx="111">
                  <c:v>139.19200000000001</c:v>
                </c:pt>
                <c:pt idx="112">
                  <c:v>98.152000000000001</c:v>
                </c:pt>
                <c:pt idx="113">
                  <c:v>98.2</c:v>
                </c:pt>
                <c:pt idx="114">
                  <c:v>109.27200000000001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4-4628-9EAF-1B95DF0892CD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All!$BP$6:$BP$124</c:f>
              <c:numCache>
                <c:formatCode>General</c:formatCode>
                <c:ptCount val="119"/>
                <c:pt idx="0">
                  <c:v>87.367999999999995</c:v>
                </c:pt>
                <c:pt idx="1">
                  <c:v>145.75200000000001</c:v>
                </c:pt>
                <c:pt idx="2">
                  <c:v>151.94399999999999</c:v>
                </c:pt>
                <c:pt idx="3">
                  <c:v>165.06399999999999</c:v>
                </c:pt>
                <c:pt idx="7">
                  <c:v>140.82400000000001</c:v>
                </c:pt>
                <c:pt idx="8">
                  <c:v>139.01599999999999</c:v>
                </c:pt>
                <c:pt idx="9">
                  <c:v>144.66399999999999</c:v>
                </c:pt>
                <c:pt idx="10">
                  <c:v>145.33600000000001</c:v>
                </c:pt>
                <c:pt idx="11">
                  <c:v>149.84800000000001</c:v>
                </c:pt>
                <c:pt idx="12">
                  <c:v>132.584</c:v>
                </c:pt>
                <c:pt idx="13">
                  <c:v>140.42400000000001</c:v>
                </c:pt>
                <c:pt idx="17">
                  <c:v>126.072</c:v>
                </c:pt>
                <c:pt idx="18">
                  <c:v>115.32</c:v>
                </c:pt>
                <c:pt idx="19">
                  <c:v>127.48</c:v>
                </c:pt>
                <c:pt idx="20">
                  <c:v>126.44</c:v>
                </c:pt>
                <c:pt idx="21">
                  <c:v>120.328</c:v>
                </c:pt>
                <c:pt idx="22">
                  <c:v>132.77600000000001</c:v>
                </c:pt>
                <c:pt idx="26">
                  <c:v>125.16</c:v>
                </c:pt>
                <c:pt idx="27">
                  <c:v>129.624</c:v>
                </c:pt>
                <c:pt idx="28">
                  <c:v>131.864</c:v>
                </c:pt>
                <c:pt idx="29">
                  <c:v>137.048</c:v>
                </c:pt>
                <c:pt idx="30">
                  <c:v>137.59200000000001</c:v>
                </c:pt>
                <c:pt idx="31">
                  <c:v>138.87200000000001</c:v>
                </c:pt>
                <c:pt idx="35">
                  <c:v>120.47199999999999</c:v>
                </c:pt>
                <c:pt idx="36">
                  <c:v>114.232</c:v>
                </c:pt>
                <c:pt idx="37">
                  <c:v>123.208</c:v>
                </c:pt>
                <c:pt idx="38">
                  <c:v>130.76</c:v>
                </c:pt>
                <c:pt idx="42">
                  <c:v>95.224000000000004</c:v>
                </c:pt>
                <c:pt idx="43">
                  <c:v>88.135999999999996</c:v>
                </c:pt>
                <c:pt idx="44">
                  <c:v>110.904</c:v>
                </c:pt>
                <c:pt idx="45">
                  <c:v>127.4</c:v>
                </c:pt>
                <c:pt idx="46">
                  <c:v>128.392</c:v>
                </c:pt>
                <c:pt idx="50">
                  <c:v>91.703999999999994</c:v>
                </c:pt>
                <c:pt idx="51">
                  <c:v>126.80800000000001</c:v>
                </c:pt>
                <c:pt idx="52">
                  <c:v>114.68</c:v>
                </c:pt>
                <c:pt idx="53">
                  <c:v>108.80800000000001</c:v>
                </c:pt>
                <c:pt idx="54">
                  <c:v>125.928</c:v>
                </c:pt>
                <c:pt idx="55">
                  <c:v>133.17599999999999</c:v>
                </c:pt>
                <c:pt idx="59">
                  <c:v>110.08799999999999</c:v>
                </c:pt>
                <c:pt idx="60">
                  <c:v>106.80800000000001</c:v>
                </c:pt>
                <c:pt idx="61">
                  <c:v>117.36799999999999</c:v>
                </c:pt>
                <c:pt idx="62">
                  <c:v>129.72</c:v>
                </c:pt>
                <c:pt idx="63">
                  <c:v>140.28</c:v>
                </c:pt>
                <c:pt idx="67">
                  <c:v>128.66399999999999</c:v>
                </c:pt>
                <c:pt idx="68">
                  <c:v>130.71199999999999</c:v>
                </c:pt>
                <c:pt idx="69">
                  <c:v>135.91200000000001</c:v>
                </c:pt>
                <c:pt idx="70">
                  <c:v>140.376</c:v>
                </c:pt>
                <c:pt idx="74">
                  <c:v>92.6</c:v>
                </c:pt>
                <c:pt idx="75">
                  <c:v>112.04</c:v>
                </c:pt>
                <c:pt idx="76">
                  <c:v>111.91200000000001</c:v>
                </c:pt>
                <c:pt idx="77">
                  <c:v>114.872</c:v>
                </c:pt>
                <c:pt idx="78">
                  <c:v>127.4</c:v>
                </c:pt>
                <c:pt idx="82">
                  <c:v>126.248</c:v>
                </c:pt>
                <c:pt idx="83">
                  <c:v>116.42400000000001</c:v>
                </c:pt>
                <c:pt idx="84">
                  <c:v>121.752</c:v>
                </c:pt>
                <c:pt idx="85">
                  <c:v>122.024</c:v>
                </c:pt>
                <c:pt idx="86">
                  <c:v>132.77600000000001</c:v>
                </c:pt>
                <c:pt idx="90">
                  <c:v>129.72</c:v>
                </c:pt>
                <c:pt idx="91">
                  <c:v>148.52000000000001</c:v>
                </c:pt>
                <c:pt idx="92">
                  <c:v>137.36799999999999</c:v>
                </c:pt>
                <c:pt idx="93">
                  <c:v>124.712</c:v>
                </c:pt>
                <c:pt idx="94">
                  <c:v>144.24799999999999</c:v>
                </c:pt>
                <c:pt idx="98">
                  <c:v>96.936000000000007</c:v>
                </c:pt>
                <c:pt idx="99">
                  <c:v>124.84</c:v>
                </c:pt>
                <c:pt idx="100">
                  <c:v>128.93600000000001</c:v>
                </c:pt>
                <c:pt idx="101">
                  <c:v>125.8</c:v>
                </c:pt>
                <c:pt idx="105">
                  <c:v>127.032</c:v>
                </c:pt>
                <c:pt idx="106">
                  <c:v>123.11199999999999</c:v>
                </c:pt>
                <c:pt idx="107">
                  <c:v>134.55199999999999</c:v>
                </c:pt>
                <c:pt idx="111">
                  <c:v>134.584</c:v>
                </c:pt>
                <c:pt idx="112">
                  <c:v>117.464</c:v>
                </c:pt>
                <c:pt idx="113">
                  <c:v>115.416</c:v>
                </c:pt>
                <c:pt idx="114">
                  <c:v>118.872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24-4628-9EAF-1B95DF0892CD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All!$BQ$6:$BQ$124</c:f>
              <c:numCache>
                <c:formatCode>General</c:formatCode>
                <c:ptCount val="119"/>
                <c:pt idx="0">
                  <c:v>84.536000000000001</c:v>
                </c:pt>
                <c:pt idx="1">
                  <c:v>146.34399999999999</c:v>
                </c:pt>
                <c:pt idx="2">
                  <c:v>157.048</c:v>
                </c:pt>
                <c:pt idx="3">
                  <c:v>166.15199999999999</c:v>
                </c:pt>
                <c:pt idx="7">
                  <c:v>135.49600000000001</c:v>
                </c:pt>
                <c:pt idx="8">
                  <c:v>138.184</c:v>
                </c:pt>
                <c:pt idx="9">
                  <c:v>144.376</c:v>
                </c:pt>
                <c:pt idx="10">
                  <c:v>145.11199999999999</c:v>
                </c:pt>
                <c:pt idx="11">
                  <c:v>149.11199999999999</c:v>
                </c:pt>
                <c:pt idx="12">
                  <c:v>133.63999999999999</c:v>
                </c:pt>
                <c:pt idx="13">
                  <c:v>142.6</c:v>
                </c:pt>
                <c:pt idx="17">
                  <c:v>132.63200000000001</c:v>
                </c:pt>
                <c:pt idx="18">
                  <c:v>118.6</c:v>
                </c:pt>
                <c:pt idx="19">
                  <c:v>130.904</c:v>
                </c:pt>
                <c:pt idx="20">
                  <c:v>131.22399999999999</c:v>
                </c:pt>
                <c:pt idx="21">
                  <c:v>125.208</c:v>
                </c:pt>
                <c:pt idx="22">
                  <c:v>136.50399999999999</c:v>
                </c:pt>
                <c:pt idx="26">
                  <c:v>127.48</c:v>
                </c:pt>
                <c:pt idx="27">
                  <c:v>133.36799999999999</c:v>
                </c:pt>
                <c:pt idx="28">
                  <c:v>135.68799999999999</c:v>
                </c:pt>
                <c:pt idx="29">
                  <c:v>139.416</c:v>
                </c:pt>
                <c:pt idx="30">
                  <c:v>140.15199999999999</c:v>
                </c:pt>
                <c:pt idx="31">
                  <c:v>140.87200000000001</c:v>
                </c:pt>
                <c:pt idx="35">
                  <c:v>125.896</c:v>
                </c:pt>
                <c:pt idx="36">
                  <c:v>118.648</c:v>
                </c:pt>
                <c:pt idx="37">
                  <c:v>125.208</c:v>
                </c:pt>
                <c:pt idx="38">
                  <c:v>133.32</c:v>
                </c:pt>
                <c:pt idx="42">
                  <c:v>101.88</c:v>
                </c:pt>
                <c:pt idx="43">
                  <c:v>93.367999999999995</c:v>
                </c:pt>
                <c:pt idx="44">
                  <c:v>113.816</c:v>
                </c:pt>
                <c:pt idx="45">
                  <c:v>128.85599999999999</c:v>
                </c:pt>
                <c:pt idx="46">
                  <c:v>130.98400000000001</c:v>
                </c:pt>
                <c:pt idx="50">
                  <c:v>90.584000000000003</c:v>
                </c:pt>
                <c:pt idx="51">
                  <c:v>129.17599999999999</c:v>
                </c:pt>
                <c:pt idx="52">
                  <c:v>116.92</c:v>
                </c:pt>
                <c:pt idx="53">
                  <c:v>113.736</c:v>
                </c:pt>
                <c:pt idx="54">
                  <c:v>129.08000000000001</c:v>
                </c:pt>
                <c:pt idx="55">
                  <c:v>136.952</c:v>
                </c:pt>
                <c:pt idx="59">
                  <c:v>117.96</c:v>
                </c:pt>
                <c:pt idx="60">
                  <c:v>111.91200000000001</c:v>
                </c:pt>
                <c:pt idx="61">
                  <c:v>122.152</c:v>
                </c:pt>
                <c:pt idx="62">
                  <c:v>133.36799999999999</c:v>
                </c:pt>
                <c:pt idx="63">
                  <c:v>144.61600000000001</c:v>
                </c:pt>
                <c:pt idx="67">
                  <c:v>133.816</c:v>
                </c:pt>
                <c:pt idx="68">
                  <c:v>134.68</c:v>
                </c:pt>
                <c:pt idx="69">
                  <c:v>141.06399999999999</c:v>
                </c:pt>
                <c:pt idx="70">
                  <c:v>144.15199999999999</c:v>
                </c:pt>
                <c:pt idx="74">
                  <c:v>94.376000000000005</c:v>
                </c:pt>
                <c:pt idx="75">
                  <c:v>115.416</c:v>
                </c:pt>
                <c:pt idx="76">
                  <c:v>117.91200000000001</c:v>
                </c:pt>
                <c:pt idx="77">
                  <c:v>119.512</c:v>
                </c:pt>
                <c:pt idx="78">
                  <c:v>131.72</c:v>
                </c:pt>
                <c:pt idx="82">
                  <c:v>131.89599999999999</c:v>
                </c:pt>
                <c:pt idx="83">
                  <c:v>121.11199999999999</c:v>
                </c:pt>
                <c:pt idx="84">
                  <c:v>126.712</c:v>
                </c:pt>
                <c:pt idx="85">
                  <c:v>126.88800000000001</c:v>
                </c:pt>
                <c:pt idx="86">
                  <c:v>134.136</c:v>
                </c:pt>
                <c:pt idx="90">
                  <c:v>131.864</c:v>
                </c:pt>
                <c:pt idx="91">
                  <c:v>147.624</c:v>
                </c:pt>
                <c:pt idx="92">
                  <c:v>140.96799999999999</c:v>
                </c:pt>
                <c:pt idx="93">
                  <c:v>130.12</c:v>
                </c:pt>
                <c:pt idx="94">
                  <c:v>148.71199999999999</c:v>
                </c:pt>
                <c:pt idx="98">
                  <c:v>100.84</c:v>
                </c:pt>
                <c:pt idx="99">
                  <c:v>129.08000000000001</c:v>
                </c:pt>
                <c:pt idx="100">
                  <c:v>133.672</c:v>
                </c:pt>
                <c:pt idx="101">
                  <c:v>130.68</c:v>
                </c:pt>
                <c:pt idx="105">
                  <c:v>130.68</c:v>
                </c:pt>
                <c:pt idx="106">
                  <c:v>125.57599999999999</c:v>
                </c:pt>
                <c:pt idx="107">
                  <c:v>135</c:v>
                </c:pt>
                <c:pt idx="111">
                  <c:v>135.17599999999999</c:v>
                </c:pt>
                <c:pt idx="112">
                  <c:v>121.928</c:v>
                </c:pt>
                <c:pt idx="113">
                  <c:v>120.056</c:v>
                </c:pt>
                <c:pt idx="114">
                  <c:v>120.92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24-4628-9EAF-1B95DF0892CD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All!$CP$6:$CP$124</c:f>
              <c:numCache>
                <c:formatCode>General</c:formatCode>
                <c:ptCount val="119"/>
                <c:pt idx="0">
                  <c:v>30.044</c:v>
                </c:pt>
                <c:pt idx="1">
                  <c:v>96.628</c:v>
                </c:pt>
                <c:pt idx="2">
                  <c:v>107.658</c:v>
                </c:pt>
                <c:pt idx="3">
                  <c:v>105.88</c:v>
                </c:pt>
                <c:pt idx="7">
                  <c:v>112.173</c:v>
                </c:pt>
                <c:pt idx="8">
                  <c:v>98.147999999999996</c:v>
                </c:pt>
                <c:pt idx="9">
                  <c:v>102.562</c:v>
                </c:pt>
                <c:pt idx="10">
                  <c:v>100.651</c:v>
                </c:pt>
                <c:pt idx="11">
                  <c:v>99.960999999999999</c:v>
                </c:pt>
                <c:pt idx="12">
                  <c:v>98.646000000000001</c:v>
                </c:pt>
                <c:pt idx="13">
                  <c:v>102.851</c:v>
                </c:pt>
                <c:pt idx="17">
                  <c:v>108.494</c:v>
                </c:pt>
                <c:pt idx="18">
                  <c:v>91.522000000000006</c:v>
                </c:pt>
                <c:pt idx="19">
                  <c:v>95.63</c:v>
                </c:pt>
                <c:pt idx="20">
                  <c:v>97.882999999999996</c:v>
                </c:pt>
                <c:pt idx="21">
                  <c:v>98.186000000000007</c:v>
                </c:pt>
                <c:pt idx="22">
                  <c:v>101.333</c:v>
                </c:pt>
                <c:pt idx="26">
                  <c:v>104.854</c:v>
                </c:pt>
                <c:pt idx="27">
                  <c:v>99.71</c:v>
                </c:pt>
                <c:pt idx="28">
                  <c:v>102.26</c:v>
                </c:pt>
                <c:pt idx="29">
                  <c:v>104.61</c:v>
                </c:pt>
                <c:pt idx="30">
                  <c:v>103.941</c:v>
                </c:pt>
                <c:pt idx="31">
                  <c:v>103.35599999999999</c:v>
                </c:pt>
                <c:pt idx="35">
                  <c:v>110.116</c:v>
                </c:pt>
                <c:pt idx="36">
                  <c:v>91.938000000000002</c:v>
                </c:pt>
                <c:pt idx="37">
                  <c:v>96.620999999999995</c:v>
                </c:pt>
                <c:pt idx="38">
                  <c:v>88.221000000000004</c:v>
                </c:pt>
                <c:pt idx="42">
                  <c:v>95.415999999999997</c:v>
                </c:pt>
                <c:pt idx="43">
                  <c:v>76.325000000000003</c:v>
                </c:pt>
                <c:pt idx="44">
                  <c:v>90.174000000000007</c:v>
                </c:pt>
                <c:pt idx="45">
                  <c:v>98.191999999999993</c:v>
                </c:pt>
                <c:pt idx="46">
                  <c:v>99.453999999999994</c:v>
                </c:pt>
                <c:pt idx="50">
                  <c:v>36.561</c:v>
                </c:pt>
                <c:pt idx="51">
                  <c:v>94.4</c:v>
                </c:pt>
                <c:pt idx="52">
                  <c:v>68.572999999999993</c:v>
                </c:pt>
                <c:pt idx="53">
                  <c:v>83.349000000000004</c:v>
                </c:pt>
                <c:pt idx="54">
                  <c:v>94.599000000000004</c:v>
                </c:pt>
                <c:pt idx="55">
                  <c:v>98.081999999999994</c:v>
                </c:pt>
                <c:pt idx="59">
                  <c:v>121.321</c:v>
                </c:pt>
                <c:pt idx="60">
                  <c:v>104.815</c:v>
                </c:pt>
                <c:pt idx="61">
                  <c:v>93.863</c:v>
                </c:pt>
                <c:pt idx="62">
                  <c:v>95.903000000000006</c:v>
                </c:pt>
                <c:pt idx="63">
                  <c:v>98.706999999999994</c:v>
                </c:pt>
                <c:pt idx="67">
                  <c:v>113.97199999999999</c:v>
                </c:pt>
                <c:pt idx="68">
                  <c:v>102.34</c:v>
                </c:pt>
                <c:pt idx="69">
                  <c:v>98.921999999999997</c:v>
                </c:pt>
                <c:pt idx="70">
                  <c:v>100.038</c:v>
                </c:pt>
                <c:pt idx="74">
                  <c:v>35.908000000000001</c:v>
                </c:pt>
                <c:pt idx="75">
                  <c:v>86.096000000000004</c:v>
                </c:pt>
                <c:pt idx="76">
                  <c:v>91.620999999999995</c:v>
                </c:pt>
                <c:pt idx="77">
                  <c:v>91.215999999999994</c:v>
                </c:pt>
                <c:pt idx="78">
                  <c:v>93.465000000000003</c:v>
                </c:pt>
                <c:pt idx="82">
                  <c:v>105.851</c:v>
                </c:pt>
                <c:pt idx="83">
                  <c:v>94.066000000000003</c:v>
                </c:pt>
                <c:pt idx="84">
                  <c:v>95.63</c:v>
                </c:pt>
                <c:pt idx="85">
                  <c:v>96.852999999999994</c:v>
                </c:pt>
                <c:pt idx="86">
                  <c:v>96.768000000000001</c:v>
                </c:pt>
                <c:pt idx="90">
                  <c:v>109.23399999999999</c:v>
                </c:pt>
                <c:pt idx="91">
                  <c:v>109.16</c:v>
                </c:pt>
                <c:pt idx="92">
                  <c:v>100.672</c:v>
                </c:pt>
                <c:pt idx="93">
                  <c:v>95.433000000000007</c:v>
                </c:pt>
                <c:pt idx="94">
                  <c:v>94.742000000000004</c:v>
                </c:pt>
                <c:pt idx="98">
                  <c:v>60.435000000000002</c:v>
                </c:pt>
                <c:pt idx="99">
                  <c:v>86.918999999999997</c:v>
                </c:pt>
                <c:pt idx="100">
                  <c:v>92.492999999999995</c:v>
                </c:pt>
                <c:pt idx="101">
                  <c:v>94.141999999999996</c:v>
                </c:pt>
                <c:pt idx="105">
                  <c:v>105.846</c:v>
                </c:pt>
                <c:pt idx="106">
                  <c:v>95.4</c:v>
                </c:pt>
                <c:pt idx="107">
                  <c:v>97.188000000000002</c:v>
                </c:pt>
                <c:pt idx="111">
                  <c:v>105.282</c:v>
                </c:pt>
                <c:pt idx="112">
                  <c:v>92.578000000000003</c:v>
                </c:pt>
                <c:pt idx="113">
                  <c:v>93.757000000000005</c:v>
                </c:pt>
                <c:pt idx="114">
                  <c:v>87.899000000000001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24-4628-9EAF-1B95DF0892CD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All!$CQ$6:$CQ$124</c:f>
              <c:numCache>
                <c:formatCode>General</c:formatCode>
                <c:ptCount val="119"/>
                <c:pt idx="0">
                  <c:v>30.678999999999998</c:v>
                </c:pt>
                <c:pt idx="1">
                  <c:v>97.539000000000001</c:v>
                </c:pt>
                <c:pt idx="2">
                  <c:v>107.807</c:v>
                </c:pt>
                <c:pt idx="3">
                  <c:v>106.947</c:v>
                </c:pt>
                <c:pt idx="7">
                  <c:v>111.22499999999999</c:v>
                </c:pt>
                <c:pt idx="8">
                  <c:v>97.213999999999999</c:v>
                </c:pt>
                <c:pt idx="9">
                  <c:v>101.167</c:v>
                </c:pt>
                <c:pt idx="10">
                  <c:v>99.977999999999994</c:v>
                </c:pt>
                <c:pt idx="11">
                  <c:v>98.738</c:v>
                </c:pt>
                <c:pt idx="12">
                  <c:v>96.617000000000004</c:v>
                </c:pt>
                <c:pt idx="13">
                  <c:v>100.336</c:v>
                </c:pt>
                <c:pt idx="17">
                  <c:v>105.767</c:v>
                </c:pt>
                <c:pt idx="18">
                  <c:v>88.893000000000001</c:v>
                </c:pt>
                <c:pt idx="19">
                  <c:v>93.314999999999998</c:v>
                </c:pt>
                <c:pt idx="20">
                  <c:v>94.899000000000001</c:v>
                </c:pt>
                <c:pt idx="21">
                  <c:v>94.906000000000006</c:v>
                </c:pt>
                <c:pt idx="22">
                  <c:v>97.894000000000005</c:v>
                </c:pt>
                <c:pt idx="26">
                  <c:v>101.751</c:v>
                </c:pt>
                <c:pt idx="27">
                  <c:v>95.981999999999999</c:v>
                </c:pt>
                <c:pt idx="28">
                  <c:v>99.936000000000007</c:v>
                </c:pt>
                <c:pt idx="29">
                  <c:v>102.791</c:v>
                </c:pt>
                <c:pt idx="30">
                  <c:v>101.919</c:v>
                </c:pt>
                <c:pt idx="31">
                  <c:v>100.428</c:v>
                </c:pt>
                <c:pt idx="35">
                  <c:v>104.36199999999999</c:v>
                </c:pt>
                <c:pt idx="36">
                  <c:v>90.022000000000006</c:v>
                </c:pt>
                <c:pt idx="37">
                  <c:v>92.997</c:v>
                </c:pt>
                <c:pt idx="38">
                  <c:v>86.274000000000001</c:v>
                </c:pt>
                <c:pt idx="42">
                  <c:v>93.515000000000001</c:v>
                </c:pt>
                <c:pt idx="43">
                  <c:v>74.010999999999996</c:v>
                </c:pt>
                <c:pt idx="44">
                  <c:v>88.292000000000002</c:v>
                </c:pt>
                <c:pt idx="45">
                  <c:v>94.766000000000005</c:v>
                </c:pt>
                <c:pt idx="46">
                  <c:v>96.933999999999997</c:v>
                </c:pt>
                <c:pt idx="50">
                  <c:v>35.218000000000004</c:v>
                </c:pt>
                <c:pt idx="51">
                  <c:v>92.433999999999997</c:v>
                </c:pt>
                <c:pt idx="52">
                  <c:v>67.778000000000006</c:v>
                </c:pt>
                <c:pt idx="53">
                  <c:v>83.066000000000003</c:v>
                </c:pt>
                <c:pt idx="54">
                  <c:v>94.27</c:v>
                </c:pt>
                <c:pt idx="55">
                  <c:v>97.679000000000002</c:v>
                </c:pt>
                <c:pt idx="59">
                  <c:v>123.9</c:v>
                </c:pt>
                <c:pt idx="60">
                  <c:v>107.459</c:v>
                </c:pt>
                <c:pt idx="61">
                  <c:v>95.319000000000003</c:v>
                </c:pt>
                <c:pt idx="62">
                  <c:v>96.100999999999999</c:v>
                </c:pt>
                <c:pt idx="63">
                  <c:v>96.540999999999997</c:v>
                </c:pt>
                <c:pt idx="67">
                  <c:v>115.31399999999999</c:v>
                </c:pt>
                <c:pt idx="68">
                  <c:v>102.949</c:v>
                </c:pt>
                <c:pt idx="69">
                  <c:v>101.74299999999999</c:v>
                </c:pt>
                <c:pt idx="70">
                  <c:v>103.22799999999999</c:v>
                </c:pt>
                <c:pt idx="74">
                  <c:v>34.481000000000002</c:v>
                </c:pt>
                <c:pt idx="75">
                  <c:v>86.427000000000007</c:v>
                </c:pt>
                <c:pt idx="76">
                  <c:v>92.914000000000001</c:v>
                </c:pt>
                <c:pt idx="77">
                  <c:v>92.259</c:v>
                </c:pt>
                <c:pt idx="78">
                  <c:v>93.841999999999999</c:v>
                </c:pt>
                <c:pt idx="82">
                  <c:v>106.821</c:v>
                </c:pt>
                <c:pt idx="83">
                  <c:v>96</c:v>
                </c:pt>
                <c:pt idx="84">
                  <c:v>98.686000000000007</c:v>
                </c:pt>
                <c:pt idx="85">
                  <c:v>99.968999999999994</c:v>
                </c:pt>
                <c:pt idx="86">
                  <c:v>99.141000000000005</c:v>
                </c:pt>
                <c:pt idx="90">
                  <c:v>112.61799999999999</c:v>
                </c:pt>
                <c:pt idx="91">
                  <c:v>110.755</c:v>
                </c:pt>
                <c:pt idx="92">
                  <c:v>103.505</c:v>
                </c:pt>
                <c:pt idx="93">
                  <c:v>97.16</c:v>
                </c:pt>
                <c:pt idx="94">
                  <c:v>98.176000000000002</c:v>
                </c:pt>
                <c:pt idx="98">
                  <c:v>61.542999999999999</c:v>
                </c:pt>
                <c:pt idx="99">
                  <c:v>88.278999999999996</c:v>
                </c:pt>
                <c:pt idx="100">
                  <c:v>93.641000000000005</c:v>
                </c:pt>
                <c:pt idx="101">
                  <c:v>94.671999999999997</c:v>
                </c:pt>
                <c:pt idx="105">
                  <c:v>105.628</c:v>
                </c:pt>
                <c:pt idx="106">
                  <c:v>95.899000000000001</c:v>
                </c:pt>
                <c:pt idx="107">
                  <c:v>98.480999999999995</c:v>
                </c:pt>
                <c:pt idx="111">
                  <c:v>108.79900000000001</c:v>
                </c:pt>
                <c:pt idx="112">
                  <c:v>93.799000000000007</c:v>
                </c:pt>
                <c:pt idx="113">
                  <c:v>94.307000000000002</c:v>
                </c:pt>
                <c:pt idx="114">
                  <c:v>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924-4628-9EAF-1B95DF0892CD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All!$CR$6:$CR$124</c:f>
              <c:numCache>
                <c:formatCode>General</c:formatCode>
                <c:ptCount val="119"/>
                <c:pt idx="0">
                  <c:v>31.998000000000001</c:v>
                </c:pt>
                <c:pt idx="1">
                  <c:v>114.09399999999999</c:v>
                </c:pt>
                <c:pt idx="2">
                  <c:v>145.364</c:v>
                </c:pt>
                <c:pt idx="3">
                  <c:v>150.36099999999999</c:v>
                </c:pt>
                <c:pt idx="7">
                  <c:v>121.277</c:v>
                </c:pt>
                <c:pt idx="8">
                  <c:v>129.71600000000001</c:v>
                </c:pt>
                <c:pt idx="9">
                  <c:v>136.357</c:v>
                </c:pt>
                <c:pt idx="10">
                  <c:v>137.45400000000001</c:v>
                </c:pt>
                <c:pt idx="11">
                  <c:v>129.721</c:v>
                </c:pt>
                <c:pt idx="12">
                  <c:v>126.54</c:v>
                </c:pt>
                <c:pt idx="13">
                  <c:v>128.31299999999999</c:v>
                </c:pt>
                <c:pt idx="17">
                  <c:v>106.002</c:v>
                </c:pt>
                <c:pt idx="18">
                  <c:v>100.41800000000001</c:v>
                </c:pt>
                <c:pt idx="19">
                  <c:v>117.905</c:v>
                </c:pt>
                <c:pt idx="20">
                  <c:v>114.39100000000001</c:v>
                </c:pt>
                <c:pt idx="21">
                  <c:v>110.172</c:v>
                </c:pt>
                <c:pt idx="22">
                  <c:v>121.22</c:v>
                </c:pt>
                <c:pt idx="26">
                  <c:v>110.78700000000001</c:v>
                </c:pt>
                <c:pt idx="27">
                  <c:v>119.512</c:v>
                </c:pt>
                <c:pt idx="28">
                  <c:v>124.529</c:v>
                </c:pt>
                <c:pt idx="29">
                  <c:v>130.71</c:v>
                </c:pt>
                <c:pt idx="30">
                  <c:v>131.38999999999999</c:v>
                </c:pt>
                <c:pt idx="31">
                  <c:v>130.00299999999999</c:v>
                </c:pt>
                <c:pt idx="35">
                  <c:v>91.070999999999998</c:v>
                </c:pt>
                <c:pt idx="36">
                  <c:v>103.726</c:v>
                </c:pt>
                <c:pt idx="37">
                  <c:v>110.77200000000001</c:v>
                </c:pt>
                <c:pt idx="38">
                  <c:v>99.076999999999998</c:v>
                </c:pt>
                <c:pt idx="42">
                  <c:v>84.012</c:v>
                </c:pt>
                <c:pt idx="43">
                  <c:v>70.13</c:v>
                </c:pt>
                <c:pt idx="44">
                  <c:v>92.912999999999997</c:v>
                </c:pt>
                <c:pt idx="45">
                  <c:v>116.889</c:v>
                </c:pt>
                <c:pt idx="46">
                  <c:v>121.944</c:v>
                </c:pt>
                <c:pt idx="50">
                  <c:v>37.722999999999999</c:v>
                </c:pt>
                <c:pt idx="51">
                  <c:v>107.482</c:v>
                </c:pt>
                <c:pt idx="52">
                  <c:v>78.307000000000002</c:v>
                </c:pt>
                <c:pt idx="53">
                  <c:v>86.635999999999996</c:v>
                </c:pt>
                <c:pt idx="54">
                  <c:v>115.511</c:v>
                </c:pt>
                <c:pt idx="55">
                  <c:v>111.26</c:v>
                </c:pt>
                <c:pt idx="59">
                  <c:v>109.804</c:v>
                </c:pt>
                <c:pt idx="60">
                  <c:v>96.117999999999995</c:v>
                </c:pt>
                <c:pt idx="61">
                  <c:v>103.673</c:v>
                </c:pt>
                <c:pt idx="62">
                  <c:v>119.596</c:v>
                </c:pt>
                <c:pt idx="63">
                  <c:v>128.125</c:v>
                </c:pt>
                <c:pt idx="67">
                  <c:v>112.361</c:v>
                </c:pt>
                <c:pt idx="68">
                  <c:v>118.357</c:v>
                </c:pt>
                <c:pt idx="69">
                  <c:v>128.85499999999999</c:v>
                </c:pt>
                <c:pt idx="70">
                  <c:v>130.71799999999999</c:v>
                </c:pt>
                <c:pt idx="74">
                  <c:v>39.75</c:v>
                </c:pt>
                <c:pt idx="75">
                  <c:v>102.047</c:v>
                </c:pt>
                <c:pt idx="76">
                  <c:v>105.651</c:v>
                </c:pt>
                <c:pt idx="77">
                  <c:v>106.741</c:v>
                </c:pt>
                <c:pt idx="78">
                  <c:v>114.06100000000001</c:v>
                </c:pt>
                <c:pt idx="82">
                  <c:v>109.239</c:v>
                </c:pt>
                <c:pt idx="83">
                  <c:v>106.97799999999999</c:v>
                </c:pt>
                <c:pt idx="84">
                  <c:v>114.602</c:v>
                </c:pt>
                <c:pt idx="85">
                  <c:v>114.70399999999999</c:v>
                </c:pt>
                <c:pt idx="86">
                  <c:v>116.035</c:v>
                </c:pt>
                <c:pt idx="90">
                  <c:v>110.258</c:v>
                </c:pt>
                <c:pt idx="91">
                  <c:v>124.80800000000001</c:v>
                </c:pt>
                <c:pt idx="92">
                  <c:v>122.47799999999999</c:v>
                </c:pt>
                <c:pt idx="93">
                  <c:v>113.148</c:v>
                </c:pt>
                <c:pt idx="94">
                  <c:v>115.286</c:v>
                </c:pt>
                <c:pt idx="98">
                  <c:v>71.962999999999994</c:v>
                </c:pt>
                <c:pt idx="99">
                  <c:v>110.631</c:v>
                </c:pt>
                <c:pt idx="100">
                  <c:v>121.28</c:v>
                </c:pt>
                <c:pt idx="101">
                  <c:v>118.43</c:v>
                </c:pt>
                <c:pt idx="105">
                  <c:v>107.294</c:v>
                </c:pt>
                <c:pt idx="106">
                  <c:v>110.965</c:v>
                </c:pt>
                <c:pt idx="107">
                  <c:v>119.557</c:v>
                </c:pt>
                <c:pt idx="111">
                  <c:v>113.35</c:v>
                </c:pt>
                <c:pt idx="112">
                  <c:v>109.032</c:v>
                </c:pt>
                <c:pt idx="113">
                  <c:v>109.367</c:v>
                </c:pt>
                <c:pt idx="114">
                  <c:v>96.882999999999996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24-4628-9EAF-1B95DF0892CD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All!$CS$6:$CS$124</c:f>
              <c:numCache>
                <c:formatCode>General</c:formatCode>
                <c:ptCount val="119"/>
                <c:pt idx="0">
                  <c:v>30.033999999999999</c:v>
                </c:pt>
                <c:pt idx="1">
                  <c:v>115.142</c:v>
                </c:pt>
                <c:pt idx="2">
                  <c:v>150.673</c:v>
                </c:pt>
                <c:pt idx="3">
                  <c:v>156.30699999999999</c:v>
                </c:pt>
                <c:pt idx="7">
                  <c:v>118.735</c:v>
                </c:pt>
                <c:pt idx="8">
                  <c:v>130.286</c:v>
                </c:pt>
                <c:pt idx="9">
                  <c:v>137.52799999999999</c:v>
                </c:pt>
                <c:pt idx="10">
                  <c:v>139.46799999999999</c:v>
                </c:pt>
                <c:pt idx="11">
                  <c:v>131.69800000000001</c:v>
                </c:pt>
                <c:pt idx="12">
                  <c:v>129.273</c:v>
                </c:pt>
                <c:pt idx="13">
                  <c:v>132.41399999999999</c:v>
                </c:pt>
                <c:pt idx="17">
                  <c:v>111.01</c:v>
                </c:pt>
                <c:pt idx="18">
                  <c:v>105.55800000000001</c:v>
                </c:pt>
                <c:pt idx="19">
                  <c:v>122.992</c:v>
                </c:pt>
                <c:pt idx="20">
                  <c:v>120.95399999999999</c:v>
                </c:pt>
                <c:pt idx="21">
                  <c:v>117.88</c:v>
                </c:pt>
                <c:pt idx="22">
                  <c:v>126.944</c:v>
                </c:pt>
                <c:pt idx="26">
                  <c:v>114.694</c:v>
                </c:pt>
                <c:pt idx="27">
                  <c:v>124.489</c:v>
                </c:pt>
                <c:pt idx="28">
                  <c:v>130.33799999999999</c:v>
                </c:pt>
                <c:pt idx="29">
                  <c:v>135.142</c:v>
                </c:pt>
                <c:pt idx="30">
                  <c:v>135.20500000000001</c:v>
                </c:pt>
                <c:pt idx="31">
                  <c:v>131.92099999999999</c:v>
                </c:pt>
                <c:pt idx="35">
                  <c:v>93.119</c:v>
                </c:pt>
                <c:pt idx="36">
                  <c:v>109.252</c:v>
                </c:pt>
                <c:pt idx="37">
                  <c:v>116.11199999999999</c:v>
                </c:pt>
                <c:pt idx="38">
                  <c:v>101.996</c:v>
                </c:pt>
                <c:pt idx="42">
                  <c:v>88.71</c:v>
                </c:pt>
                <c:pt idx="43">
                  <c:v>74.073999999999998</c:v>
                </c:pt>
                <c:pt idx="44">
                  <c:v>99.350999999999999</c:v>
                </c:pt>
                <c:pt idx="45">
                  <c:v>120.59</c:v>
                </c:pt>
                <c:pt idx="46">
                  <c:v>126.39400000000001</c:v>
                </c:pt>
                <c:pt idx="50">
                  <c:v>35.43</c:v>
                </c:pt>
                <c:pt idx="51">
                  <c:v>110.176</c:v>
                </c:pt>
                <c:pt idx="52">
                  <c:v>79.286000000000001</c:v>
                </c:pt>
                <c:pt idx="53">
                  <c:v>93.518000000000001</c:v>
                </c:pt>
                <c:pt idx="54">
                  <c:v>121.003</c:v>
                </c:pt>
                <c:pt idx="55">
                  <c:v>117.74</c:v>
                </c:pt>
                <c:pt idx="59">
                  <c:v>116.13</c:v>
                </c:pt>
                <c:pt idx="60">
                  <c:v>102</c:v>
                </c:pt>
                <c:pt idx="61">
                  <c:v>109.34</c:v>
                </c:pt>
                <c:pt idx="62">
                  <c:v>125.05200000000001</c:v>
                </c:pt>
                <c:pt idx="63">
                  <c:v>133.369</c:v>
                </c:pt>
                <c:pt idx="67">
                  <c:v>118.261</c:v>
                </c:pt>
                <c:pt idx="68">
                  <c:v>124.435</c:v>
                </c:pt>
                <c:pt idx="69">
                  <c:v>134.90199999999999</c:v>
                </c:pt>
                <c:pt idx="70">
                  <c:v>136.501</c:v>
                </c:pt>
                <c:pt idx="74">
                  <c:v>37.417000000000002</c:v>
                </c:pt>
                <c:pt idx="75">
                  <c:v>106.348</c:v>
                </c:pt>
                <c:pt idx="76">
                  <c:v>112.014</c:v>
                </c:pt>
                <c:pt idx="77">
                  <c:v>113.67700000000001</c:v>
                </c:pt>
                <c:pt idx="78">
                  <c:v>120.34</c:v>
                </c:pt>
                <c:pt idx="82">
                  <c:v>115.483</c:v>
                </c:pt>
                <c:pt idx="83">
                  <c:v>114.32</c:v>
                </c:pt>
                <c:pt idx="84">
                  <c:v>120.753</c:v>
                </c:pt>
                <c:pt idx="85">
                  <c:v>120.866</c:v>
                </c:pt>
                <c:pt idx="86">
                  <c:v>121.15300000000001</c:v>
                </c:pt>
                <c:pt idx="90">
                  <c:v>113.425</c:v>
                </c:pt>
                <c:pt idx="91">
                  <c:v>126.488</c:v>
                </c:pt>
                <c:pt idx="92">
                  <c:v>127.776</c:v>
                </c:pt>
                <c:pt idx="93">
                  <c:v>120.87</c:v>
                </c:pt>
                <c:pt idx="94">
                  <c:v>120.45399999999999</c:v>
                </c:pt>
                <c:pt idx="98">
                  <c:v>73.867000000000004</c:v>
                </c:pt>
                <c:pt idx="99">
                  <c:v>116.056</c:v>
                </c:pt>
                <c:pt idx="100">
                  <c:v>127.18</c:v>
                </c:pt>
                <c:pt idx="101">
                  <c:v>124.753</c:v>
                </c:pt>
                <c:pt idx="105">
                  <c:v>111.90600000000001</c:v>
                </c:pt>
                <c:pt idx="106">
                  <c:v>116.298</c:v>
                </c:pt>
                <c:pt idx="107">
                  <c:v>122.593</c:v>
                </c:pt>
                <c:pt idx="111">
                  <c:v>116.307</c:v>
                </c:pt>
                <c:pt idx="112">
                  <c:v>115.566</c:v>
                </c:pt>
                <c:pt idx="113">
                  <c:v>113.54600000000001</c:v>
                </c:pt>
                <c:pt idx="114">
                  <c:v>99.947999999999993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924-4628-9EAF-1B95DF089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7008"/>
        <c:axId val="483995344"/>
      </c:scatterChart>
      <c:valAx>
        <c:axId val="48399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5344"/>
        <c:crosses val="autoZero"/>
        <c:crossBetween val="midCat"/>
      </c:valAx>
      <c:valAx>
        <c:axId val="483995344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All!$IQ$6:$IQ$124</c:f>
              <c:numCache>
                <c:formatCode>General</c:formatCode>
                <c:ptCount val="119"/>
                <c:pt idx="0">
                  <c:v>2.5000000000000001E-2</c:v>
                </c:pt>
                <c:pt idx="1">
                  <c:v>-1E-3</c:v>
                </c:pt>
                <c:pt idx="2">
                  <c:v>8.9999999999999993E-3</c:v>
                </c:pt>
                <c:pt idx="3">
                  <c:v>0</c:v>
                </c:pt>
                <c:pt idx="7">
                  <c:v>1.2999999999999999E-2</c:v>
                </c:pt>
                <c:pt idx="8">
                  <c:v>7.0000000000000001E-3</c:v>
                </c:pt>
                <c:pt idx="9">
                  <c:v>1.0999999999999999E-2</c:v>
                </c:pt>
                <c:pt idx="10">
                  <c:v>1.4E-2</c:v>
                </c:pt>
                <c:pt idx="11">
                  <c:v>6.0000000000000001E-3</c:v>
                </c:pt>
                <c:pt idx="12">
                  <c:v>8.9999999999999993E-3</c:v>
                </c:pt>
                <c:pt idx="13">
                  <c:v>0</c:v>
                </c:pt>
                <c:pt idx="17">
                  <c:v>1.6E-2</c:v>
                </c:pt>
                <c:pt idx="18">
                  <c:v>0.01</c:v>
                </c:pt>
                <c:pt idx="19">
                  <c:v>7.0000000000000001E-3</c:v>
                </c:pt>
                <c:pt idx="20">
                  <c:v>0.01</c:v>
                </c:pt>
                <c:pt idx="21">
                  <c:v>1.0999999999999999E-2</c:v>
                </c:pt>
                <c:pt idx="22">
                  <c:v>0</c:v>
                </c:pt>
                <c:pt idx="26">
                  <c:v>8.9999999999999993E-3</c:v>
                </c:pt>
                <c:pt idx="27">
                  <c:v>1.0999999999999999E-2</c:v>
                </c:pt>
                <c:pt idx="28">
                  <c:v>1.0999999999999999E-2</c:v>
                </c:pt>
                <c:pt idx="29">
                  <c:v>0.01</c:v>
                </c:pt>
                <c:pt idx="30">
                  <c:v>1.2999999999999999E-2</c:v>
                </c:pt>
                <c:pt idx="31">
                  <c:v>0</c:v>
                </c:pt>
                <c:pt idx="35">
                  <c:v>3.4000000000000002E-2</c:v>
                </c:pt>
                <c:pt idx="36">
                  <c:v>1.2E-2</c:v>
                </c:pt>
                <c:pt idx="37">
                  <c:v>1.0999999999999999E-2</c:v>
                </c:pt>
                <c:pt idx="38">
                  <c:v>0</c:v>
                </c:pt>
                <c:pt idx="42">
                  <c:v>5.0000000000000001E-3</c:v>
                </c:pt>
                <c:pt idx="43">
                  <c:v>4.0000000000000001E-3</c:v>
                </c:pt>
                <c:pt idx="44">
                  <c:v>1.7000000000000001E-2</c:v>
                </c:pt>
                <c:pt idx="45">
                  <c:v>1.2E-2</c:v>
                </c:pt>
                <c:pt idx="46">
                  <c:v>0</c:v>
                </c:pt>
                <c:pt idx="50">
                  <c:v>0.01</c:v>
                </c:pt>
                <c:pt idx="51">
                  <c:v>1.2E-2</c:v>
                </c:pt>
                <c:pt idx="52">
                  <c:v>1E-3</c:v>
                </c:pt>
                <c:pt idx="53">
                  <c:v>7.0000000000000001E-3</c:v>
                </c:pt>
                <c:pt idx="54">
                  <c:v>8.9999999999999993E-3</c:v>
                </c:pt>
                <c:pt idx="55">
                  <c:v>0</c:v>
                </c:pt>
                <c:pt idx="59">
                  <c:v>1E-3</c:v>
                </c:pt>
                <c:pt idx="60">
                  <c:v>8.9999999999999993E-3</c:v>
                </c:pt>
                <c:pt idx="61">
                  <c:v>1.2999999999999999E-2</c:v>
                </c:pt>
                <c:pt idx="62">
                  <c:v>0.01</c:v>
                </c:pt>
                <c:pt idx="63">
                  <c:v>0</c:v>
                </c:pt>
                <c:pt idx="67">
                  <c:v>1E-3</c:v>
                </c:pt>
                <c:pt idx="68">
                  <c:v>8.9999999999999993E-3</c:v>
                </c:pt>
                <c:pt idx="69">
                  <c:v>1.0999999999999999E-2</c:v>
                </c:pt>
                <c:pt idx="70">
                  <c:v>0</c:v>
                </c:pt>
                <c:pt idx="74">
                  <c:v>2.9000000000000001E-2</c:v>
                </c:pt>
                <c:pt idx="75">
                  <c:v>1.0999999999999999E-2</c:v>
                </c:pt>
                <c:pt idx="76">
                  <c:v>8.9999999999999993E-3</c:v>
                </c:pt>
                <c:pt idx="77">
                  <c:v>7.0000000000000001E-3</c:v>
                </c:pt>
                <c:pt idx="78">
                  <c:v>0</c:v>
                </c:pt>
                <c:pt idx="82">
                  <c:v>3.0000000000000001E-3</c:v>
                </c:pt>
                <c:pt idx="83">
                  <c:v>5.0000000000000001E-3</c:v>
                </c:pt>
                <c:pt idx="84">
                  <c:v>4.0000000000000001E-3</c:v>
                </c:pt>
                <c:pt idx="85">
                  <c:v>8.9999999999999993E-3</c:v>
                </c:pt>
                <c:pt idx="86">
                  <c:v>0</c:v>
                </c:pt>
                <c:pt idx="90">
                  <c:v>8.9999999999999993E-3</c:v>
                </c:pt>
                <c:pt idx="91">
                  <c:v>6.0000000000000001E-3</c:v>
                </c:pt>
                <c:pt idx="92">
                  <c:v>2E-3</c:v>
                </c:pt>
                <c:pt idx="93">
                  <c:v>1.2999999999999999E-2</c:v>
                </c:pt>
                <c:pt idx="94">
                  <c:v>0</c:v>
                </c:pt>
                <c:pt idx="98">
                  <c:v>1.4999999999999999E-2</c:v>
                </c:pt>
                <c:pt idx="99">
                  <c:v>1.2E-2</c:v>
                </c:pt>
                <c:pt idx="100">
                  <c:v>0.01</c:v>
                </c:pt>
                <c:pt idx="101">
                  <c:v>0</c:v>
                </c:pt>
                <c:pt idx="105">
                  <c:v>3.0000000000000001E-3</c:v>
                </c:pt>
                <c:pt idx="106">
                  <c:v>8.0000000000000002E-3</c:v>
                </c:pt>
                <c:pt idx="107">
                  <c:v>0</c:v>
                </c:pt>
                <c:pt idx="111">
                  <c:v>0.01</c:v>
                </c:pt>
                <c:pt idx="112">
                  <c:v>8.9999999999999993E-3</c:v>
                </c:pt>
                <c:pt idx="113">
                  <c:v>1.4999999999999999E-2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08-4D59-80E3-BC56276D9D1D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All!$IR$6:$IR$124</c:f>
              <c:numCache>
                <c:formatCode>General</c:formatCode>
                <c:ptCount val="119"/>
                <c:pt idx="0">
                  <c:v>7.4999999999999997E-2</c:v>
                </c:pt>
                <c:pt idx="1">
                  <c:v>1.2E-2</c:v>
                </c:pt>
                <c:pt idx="2">
                  <c:v>1.0999999999999999E-2</c:v>
                </c:pt>
                <c:pt idx="3">
                  <c:v>0</c:v>
                </c:pt>
                <c:pt idx="7">
                  <c:v>1.4999999999999999E-2</c:v>
                </c:pt>
                <c:pt idx="8">
                  <c:v>0.01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6.0000000000000001E-3</c:v>
                </c:pt>
                <c:pt idx="12">
                  <c:v>8.9999999999999993E-3</c:v>
                </c:pt>
                <c:pt idx="13">
                  <c:v>0</c:v>
                </c:pt>
                <c:pt idx="17">
                  <c:v>1.4E-2</c:v>
                </c:pt>
                <c:pt idx="18">
                  <c:v>5.0000000000000001E-3</c:v>
                </c:pt>
                <c:pt idx="19">
                  <c:v>8.0000000000000002E-3</c:v>
                </c:pt>
                <c:pt idx="20">
                  <c:v>6.0000000000000001E-3</c:v>
                </c:pt>
                <c:pt idx="21">
                  <c:v>0.01</c:v>
                </c:pt>
                <c:pt idx="22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0</c:v>
                </c:pt>
                <c:pt idx="35">
                  <c:v>3.4000000000000002E-2</c:v>
                </c:pt>
                <c:pt idx="36">
                  <c:v>8.9999999999999993E-3</c:v>
                </c:pt>
                <c:pt idx="37">
                  <c:v>1.7000000000000001E-2</c:v>
                </c:pt>
                <c:pt idx="38">
                  <c:v>0</c:v>
                </c:pt>
                <c:pt idx="42">
                  <c:v>1.2999999999999999E-2</c:v>
                </c:pt>
                <c:pt idx="43">
                  <c:v>5.0000000000000001E-3</c:v>
                </c:pt>
                <c:pt idx="44">
                  <c:v>7.0000000000000001E-3</c:v>
                </c:pt>
                <c:pt idx="45">
                  <c:v>0</c:v>
                </c:pt>
                <c:pt idx="46">
                  <c:v>0</c:v>
                </c:pt>
                <c:pt idx="50">
                  <c:v>-0.01</c:v>
                </c:pt>
                <c:pt idx="51">
                  <c:v>1.4E-2</c:v>
                </c:pt>
                <c:pt idx="52">
                  <c:v>-6.0000000000000001E-3</c:v>
                </c:pt>
                <c:pt idx="53">
                  <c:v>-5.0000000000000001E-3</c:v>
                </c:pt>
                <c:pt idx="54">
                  <c:v>8.0000000000000002E-3</c:v>
                </c:pt>
                <c:pt idx="55">
                  <c:v>0</c:v>
                </c:pt>
                <c:pt idx="59">
                  <c:v>5.0000000000000001E-3</c:v>
                </c:pt>
                <c:pt idx="60">
                  <c:v>5.0000000000000001E-3</c:v>
                </c:pt>
                <c:pt idx="61">
                  <c:v>6.0000000000000001E-3</c:v>
                </c:pt>
                <c:pt idx="62">
                  <c:v>4.0000000000000001E-3</c:v>
                </c:pt>
                <c:pt idx="63">
                  <c:v>0</c:v>
                </c:pt>
                <c:pt idx="67">
                  <c:v>0.01</c:v>
                </c:pt>
                <c:pt idx="68">
                  <c:v>4.0000000000000001E-3</c:v>
                </c:pt>
                <c:pt idx="69">
                  <c:v>6.0000000000000001E-3</c:v>
                </c:pt>
                <c:pt idx="70">
                  <c:v>0</c:v>
                </c:pt>
                <c:pt idx="74">
                  <c:v>4.2000000000000003E-2</c:v>
                </c:pt>
                <c:pt idx="75">
                  <c:v>0.01</c:v>
                </c:pt>
                <c:pt idx="76">
                  <c:v>6.0000000000000001E-3</c:v>
                </c:pt>
                <c:pt idx="77">
                  <c:v>5.0000000000000001E-3</c:v>
                </c:pt>
                <c:pt idx="78">
                  <c:v>0</c:v>
                </c:pt>
                <c:pt idx="82">
                  <c:v>-1E-3</c:v>
                </c:pt>
                <c:pt idx="83">
                  <c:v>7.0000000000000001E-3</c:v>
                </c:pt>
                <c:pt idx="84">
                  <c:v>1E-3</c:v>
                </c:pt>
                <c:pt idx="85">
                  <c:v>7.0000000000000001E-3</c:v>
                </c:pt>
                <c:pt idx="86">
                  <c:v>0</c:v>
                </c:pt>
                <c:pt idx="90">
                  <c:v>4.0000000000000001E-3</c:v>
                </c:pt>
                <c:pt idx="91">
                  <c:v>6.0000000000000001E-3</c:v>
                </c:pt>
                <c:pt idx="92">
                  <c:v>4.0000000000000001E-3</c:v>
                </c:pt>
                <c:pt idx="93">
                  <c:v>7.0000000000000001E-3</c:v>
                </c:pt>
                <c:pt idx="94">
                  <c:v>0</c:v>
                </c:pt>
                <c:pt idx="98">
                  <c:v>1E-3</c:v>
                </c:pt>
                <c:pt idx="99">
                  <c:v>0</c:v>
                </c:pt>
                <c:pt idx="100">
                  <c:v>7.0000000000000001E-3</c:v>
                </c:pt>
                <c:pt idx="101">
                  <c:v>0</c:v>
                </c:pt>
                <c:pt idx="105">
                  <c:v>4.0000000000000001E-3</c:v>
                </c:pt>
                <c:pt idx="106">
                  <c:v>4.0000000000000001E-3</c:v>
                </c:pt>
                <c:pt idx="107">
                  <c:v>0</c:v>
                </c:pt>
                <c:pt idx="111">
                  <c:v>5.0000000000000001E-3</c:v>
                </c:pt>
                <c:pt idx="112">
                  <c:v>6.0000000000000001E-3</c:v>
                </c:pt>
                <c:pt idx="113">
                  <c:v>8.0000000000000002E-3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08-4D59-80E3-BC56276D9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4928"/>
        <c:axId val="484002832"/>
      </c:scatterChart>
      <c:valAx>
        <c:axId val="48399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2832"/>
        <c:crosses val="autoZero"/>
        <c:crossBetween val="midCat"/>
      </c:valAx>
      <c:valAx>
        <c:axId val="48400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All!$IS$6:$IS$124</c:f>
              <c:numCache>
                <c:formatCode>General</c:formatCode>
                <c:ptCount val="119"/>
                <c:pt idx="0">
                  <c:v>2.5000000000000001E-2</c:v>
                </c:pt>
                <c:pt idx="1">
                  <c:v>0.22500000000000001</c:v>
                </c:pt>
                <c:pt idx="2">
                  <c:v>0.23400000000000001</c:v>
                </c:pt>
                <c:pt idx="3">
                  <c:v>0.23400000000000001</c:v>
                </c:pt>
                <c:pt idx="4">
                  <c:v>0.23400000000000001</c:v>
                </c:pt>
                <c:pt idx="5">
                  <c:v>0.23400000000000001</c:v>
                </c:pt>
                <c:pt idx="6">
                  <c:v>0.23400000000000001</c:v>
                </c:pt>
                <c:pt idx="7">
                  <c:v>0.23400000000000001</c:v>
                </c:pt>
                <c:pt idx="8">
                  <c:v>0.24100000000000002</c:v>
                </c:pt>
                <c:pt idx="9">
                  <c:v>0.252</c:v>
                </c:pt>
                <c:pt idx="10">
                  <c:v>0.26600000000000001</c:v>
                </c:pt>
                <c:pt idx="11">
                  <c:v>0.27200000000000002</c:v>
                </c:pt>
                <c:pt idx="12">
                  <c:v>0.28100000000000003</c:v>
                </c:pt>
                <c:pt idx="13">
                  <c:v>0.28100000000000003</c:v>
                </c:pt>
                <c:pt idx="14">
                  <c:v>0.28100000000000003</c:v>
                </c:pt>
                <c:pt idx="15">
                  <c:v>0.28100000000000003</c:v>
                </c:pt>
                <c:pt idx="16">
                  <c:v>0.28100000000000003</c:v>
                </c:pt>
                <c:pt idx="17">
                  <c:v>0.28100000000000003</c:v>
                </c:pt>
                <c:pt idx="18">
                  <c:v>0.29100000000000004</c:v>
                </c:pt>
                <c:pt idx="19">
                  <c:v>0.29800000000000004</c:v>
                </c:pt>
                <c:pt idx="20">
                  <c:v>0.30800000000000005</c:v>
                </c:pt>
                <c:pt idx="21">
                  <c:v>0.31900000000000006</c:v>
                </c:pt>
                <c:pt idx="22">
                  <c:v>0.31900000000000006</c:v>
                </c:pt>
                <c:pt idx="23">
                  <c:v>0.31900000000000006</c:v>
                </c:pt>
                <c:pt idx="24">
                  <c:v>0.31900000000000006</c:v>
                </c:pt>
                <c:pt idx="25">
                  <c:v>0.31900000000000006</c:v>
                </c:pt>
                <c:pt idx="26">
                  <c:v>0.31900000000000006</c:v>
                </c:pt>
                <c:pt idx="27">
                  <c:v>0.33000000000000007</c:v>
                </c:pt>
                <c:pt idx="28">
                  <c:v>0.34100000000000008</c:v>
                </c:pt>
                <c:pt idx="29">
                  <c:v>0.35100000000000009</c:v>
                </c:pt>
                <c:pt idx="30">
                  <c:v>0.3640000000000001</c:v>
                </c:pt>
                <c:pt idx="31">
                  <c:v>0.3640000000000001</c:v>
                </c:pt>
                <c:pt idx="32">
                  <c:v>0.3640000000000001</c:v>
                </c:pt>
                <c:pt idx="33">
                  <c:v>0.3640000000000001</c:v>
                </c:pt>
                <c:pt idx="34">
                  <c:v>0.3640000000000001</c:v>
                </c:pt>
                <c:pt idx="35">
                  <c:v>0.3640000000000001</c:v>
                </c:pt>
                <c:pt idx="36">
                  <c:v>0.37600000000000011</c:v>
                </c:pt>
                <c:pt idx="37">
                  <c:v>0.38700000000000012</c:v>
                </c:pt>
                <c:pt idx="38">
                  <c:v>0.38700000000000012</c:v>
                </c:pt>
                <c:pt idx="39">
                  <c:v>0.38700000000000012</c:v>
                </c:pt>
                <c:pt idx="40">
                  <c:v>0.38700000000000012</c:v>
                </c:pt>
                <c:pt idx="41">
                  <c:v>0.38700000000000012</c:v>
                </c:pt>
                <c:pt idx="42">
                  <c:v>0.38700000000000012</c:v>
                </c:pt>
                <c:pt idx="43">
                  <c:v>0.39100000000000013</c:v>
                </c:pt>
                <c:pt idx="44">
                  <c:v>0.40800000000000014</c:v>
                </c:pt>
                <c:pt idx="45">
                  <c:v>0.42000000000000015</c:v>
                </c:pt>
                <c:pt idx="46">
                  <c:v>0.42000000000000015</c:v>
                </c:pt>
                <c:pt idx="47">
                  <c:v>0.42000000000000015</c:v>
                </c:pt>
                <c:pt idx="48">
                  <c:v>0.42000000000000015</c:v>
                </c:pt>
                <c:pt idx="49">
                  <c:v>0.42000000000000015</c:v>
                </c:pt>
                <c:pt idx="50">
                  <c:v>0.42000000000000015</c:v>
                </c:pt>
                <c:pt idx="51">
                  <c:v>0.43200000000000016</c:v>
                </c:pt>
                <c:pt idx="52">
                  <c:v>0.43300000000000016</c:v>
                </c:pt>
                <c:pt idx="53">
                  <c:v>0.44000000000000017</c:v>
                </c:pt>
                <c:pt idx="54">
                  <c:v>0.44900000000000018</c:v>
                </c:pt>
                <c:pt idx="55">
                  <c:v>0.44900000000000018</c:v>
                </c:pt>
                <c:pt idx="56">
                  <c:v>0.44900000000000018</c:v>
                </c:pt>
                <c:pt idx="57">
                  <c:v>0.44900000000000018</c:v>
                </c:pt>
                <c:pt idx="58">
                  <c:v>0.44900000000000018</c:v>
                </c:pt>
                <c:pt idx="59">
                  <c:v>0.44900000000000018</c:v>
                </c:pt>
                <c:pt idx="60">
                  <c:v>0.45800000000000018</c:v>
                </c:pt>
                <c:pt idx="61">
                  <c:v>0.4710000000000002</c:v>
                </c:pt>
                <c:pt idx="62">
                  <c:v>0.48100000000000021</c:v>
                </c:pt>
                <c:pt idx="63">
                  <c:v>0.48100000000000021</c:v>
                </c:pt>
                <c:pt idx="64">
                  <c:v>0.48100000000000021</c:v>
                </c:pt>
                <c:pt idx="65">
                  <c:v>0.48100000000000021</c:v>
                </c:pt>
                <c:pt idx="66">
                  <c:v>0.48100000000000021</c:v>
                </c:pt>
                <c:pt idx="67">
                  <c:v>0.48100000000000021</c:v>
                </c:pt>
                <c:pt idx="68">
                  <c:v>0.49000000000000021</c:v>
                </c:pt>
                <c:pt idx="69">
                  <c:v>0.50100000000000022</c:v>
                </c:pt>
                <c:pt idx="70">
                  <c:v>0.50100000000000022</c:v>
                </c:pt>
                <c:pt idx="71">
                  <c:v>0.50100000000000022</c:v>
                </c:pt>
                <c:pt idx="72">
                  <c:v>0.50100000000000022</c:v>
                </c:pt>
                <c:pt idx="73">
                  <c:v>0.50100000000000022</c:v>
                </c:pt>
                <c:pt idx="74">
                  <c:v>0.50100000000000022</c:v>
                </c:pt>
                <c:pt idx="75">
                  <c:v>0.51200000000000023</c:v>
                </c:pt>
                <c:pt idx="76">
                  <c:v>0.52100000000000024</c:v>
                </c:pt>
                <c:pt idx="77">
                  <c:v>0.52800000000000025</c:v>
                </c:pt>
                <c:pt idx="78">
                  <c:v>0.52800000000000025</c:v>
                </c:pt>
                <c:pt idx="79">
                  <c:v>0.52800000000000025</c:v>
                </c:pt>
                <c:pt idx="80">
                  <c:v>0.52800000000000025</c:v>
                </c:pt>
                <c:pt idx="81">
                  <c:v>0.52800000000000025</c:v>
                </c:pt>
                <c:pt idx="82">
                  <c:v>0.52800000000000025</c:v>
                </c:pt>
                <c:pt idx="83">
                  <c:v>0.53300000000000025</c:v>
                </c:pt>
                <c:pt idx="84">
                  <c:v>0.53700000000000025</c:v>
                </c:pt>
                <c:pt idx="85">
                  <c:v>0.54600000000000026</c:v>
                </c:pt>
                <c:pt idx="86">
                  <c:v>0.54600000000000026</c:v>
                </c:pt>
                <c:pt idx="87">
                  <c:v>0.54600000000000026</c:v>
                </c:pt>
                <c:pt idx="88">
                  <c:v>0.54600000000000026</c:v>
                </c:pt>
                <c:pt idx="89">
                  <c:v>0.54600000000000026</c:v>
                </c:pt>
                <c:pt idx="90">
                  <c:v>0.54600000000000026</c:v>
                </c:pt>
                <c:pt idx="91">
                  <c:v>0.55200000000000027</c:v>
                </c:pt>
                <c:pt idx="92">
                  <c:v>0.55400000000000027</c:v>
                </c:pt>
                <c:pt idx="93">
                  <c:v>0.56700000000000028</c:v>
                </c:pt>
                <c:pt idx="94">
                  <c:v>0.56700000000000028</c:v>
                </c:pt>
                <c:pt idx="95">
                  <c:v>0.56700000000000028</c:v>
                </c:pt>
                <c:pt idx="96">
                  <c:v>0.56700000000000028</c:v>
                </c:pt>
                <c:pt idx="97">
                  <c:v>0.56700000000000028</c:v>
                </c:pt>
                <c:pt idx="98">
                  <c:v>0.56700000000000028</c:v>
                </c:pt>
                <c:pt idx="99">
                  <c:v>0.57900000000000029</c:v>
                </c:pt>
                <c:pt idx="100">
                  <c:v>0.5890000000000003</c:v>
                </c:pt>
                <c:pt idx="101">
                  <c:v>0.5890000000000003</c:v>
                </c:pt>
                <c:pt idx="102">
                  <c:v>0.5890000000000003</c:v>
                </c:pt>
                <c:pt idx="103">
                  <c:v>0.5890000000000003</c:v>
                </c:pt>
                <c:pt idx="104">
                  <c:v>0.5890000000000003</c:v>
                </c:pt>
                <c:pt idx="105">
                  <c:v>0.5890000000000003</c:v>
                </c:pt>
                <c:pt idx="106">
                  <c:v>0.59700000000000031</c:v>
                </c:pt>
                <c:pt idx="107">
                  <c:v>0.59700000000000031</c:v>
                </c:pt>
                <c:pt idx="108">
                  <c:v>0.59700000000000031</c:v>
                </c:pt>
                <c:pt idx="109">
                  <c:v>0.59700000000000031</c:v>
                </c:pt>
                <c:pt idx="110">
                  <c:v>0.59700000000000031</c:v>
                </c:pt>
                <c:pt idx="111">
                  <c:v>0.59700000000000031</c:v>
                </c:pt>
                <c:pt idx="112">
                  <c:v>0.60600000000000032</c:v>
                </c:pt>
                <c:pt idx="113">
                  <c:v>0.62100000000000033</c:v>
                </c:pt>
                <c:pt idx="114">
                  <c:v>0.62100000000000033</c:v>
                </c:pt>
                <c:pt idx="115">
                  <c:v>0.62100000000000033</c:v>
                </c:pt>
                <c:pt idx="116">
                  <c:v>0.62100000000000033</c:v>
                </c:pt>
                <c:pt idx="117">
                  <c:v>0.62100000000000033</c:v>
                </c:pt>
                <c:pt idx="118">
                  <c:v>0.62100000000000033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D-48DC-9188-75836708598A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All!$IT$6:$IT$124</c:f>
              <c:numCache>
                <c:formatCode>General</c:formatCode>
                <c:ptCount val="119"/>
                <c:pt idx="0">
                  <c:v>7.4999999999999997E-2</c:v>
                </c:pt>
                <c:pt idx="1">
                  <c:v>9.9000000000000005E-2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0.12</c:v>
                </c:pt>
                <c:pt idx="9">
                  <c:v>0.129</c:v>
                </c:pt>
                <c:pt idx="10">
                  <c:v>0.14100000000000001</c:v>
                </c:pt>
                <c:pt idx="11">
                  <c:v>0.14700000000000002</c:v>
                </c:pt>
                <c:pt idx="12">
                  <c:v>0.15600000000000003</c:v>
                </c:pt>
                <c:pt idx="13">
                  <c:v>0.15600000000000003</c:v>
                </c:pt>
                <c:pt idx="14">
                  <c:v>0.15600000000000003</c:v>
                </c:pt>
                <c:pt idx="15">
                  <c:v>0.15600000000000003</c:v>
                </c:pt>
                <c:pt idx="16">
                  <c:v>0.15600000000000003</c:v>
                </c:pt>
                <c:pt idx="17">
                  <c:v>0.15600000000000003</c:v>
                </c:pt>
                <c:pt idx="18">
                  <c:v>0.16100000000000003</c:v>
                </c:pt>
                <c:pt idx="19">
                  <c:v>0.16900000000000004</c:v>
                </c:pt>
                <c:pt idx="20">
                  <c:v>0.17500000000000004</c:v>
                </c:pt>
                <c:pt idx="21">
                  <c:v>0.18500000000000005</c:v>
                </c:pt>
                <c:pt idx="22">
                  <c:v>0.18500000000000005</c:v>
                </c:pt>
                <c:pt idx="23">
                  <c:v>0.18500000000000005</c:v>
                </c:pt>
                <c:pt idx="24">
                  <c:v>0.18500000000000005</c:v>
                </c:pt>
                <c:pt idx="25">
                  <c:v>0.18500000000000005</c:v>
                </c:pt>
                <c:pt idx="26">
                  <c:v>0.18500000000000005</c:v>
                </c:pt>
                <c:pt idx="27">
                  <c:v>0.19500000000000006</c:v>
                </c:pt>
                <c:pt idx="28">
                  <c:v>0.20300000000000007</c:v>
                </c:pt>
                <c:pt idx="29">
                  <c:v>0.21100000000000008</c:v>
                </c:pt>
                <c:pt idx="30">
                  <c:v>0.21900000000000008</c:v>
                </c:pt>
                <c:pt idx="31">
                  <c:v>0.21900000000000008</c:v>
                </c:pt>
                <c:pt idx="32">
                  <c:v>0.21900000000000008</c:v>
                </c:pt>
                <c:pt idx="33">
                  <c:v>0.21900000000000008</c:v>
                </c:pt>
                <c:pt idx="34">
                  <c:v>0.21900000000000008</c:v>
                </c:pt>
                <c:pt idx="35">
                  <c:v>0.21900000000000008</c:v>
                </c:pt>
                <c:pt idx="36">
                  <c:v>0.22800000000000009</c:v>
                </c:pt>
                <c:pt idx="37">
                  <c:v>0.24500000000000011</c:v>
                </c:pt>
                <c:pt idx="38">
                  <c:v>0.24500000000000011</c:v>
                </c:pt>
                <c:pt idx="39">
                  <c:v>0.24500000000000011</c:v>
                </c:pt>
                <c:pt idx="40">
                  <c:v>0.24500000000000011</c:v>
                </c:pt>
                <c:pt idx="41">
                  <c:v>0.24500000000000011</c:v>
                </c:pt>
                <c:pt idx="42">
                  <c:v>0.24500000000000011</c:v>
                </c:pt>
                <c:pt idx="43">
                  <c:v>0.25000000000000011</c:v>
                </c:pt>
                <c:pt idx="44">
                  <c:v>0.25700000000000012</c:v>
                </c:pt>
                <c:pt idx="45">
                  <c:v>0.25700000000000012</c:v>
                </c:pt>
                <c:pt idx="46">
                  <c:v>0.25700000000000012</c:v>
                </c:pt>
                <c:pt idx="47">
                  <c:v>0.25700000000000012</c:v>
                </c:pt>
                <c:pt idx="48">
                  <c:v>0.25700000000000012</c:v>
                </c:pt>
                <c:pt idx="49">
                  <c:v>0.25700000000000012</c:v>
                </c:pt>
                <c:pt idx="50">
                  <c:v>0.25700000000000012</c:v>
                </c:pt>
                <c:pt idx="51">
                  <c:v>0.27100000000000013</c:v>
                </c:pt>
                <c:pt idx="52">
                  <c:v>0.26500000000000012</c:v>
                </c:pt>
                <c:pt idx="53">
                  <c:v>0.26000000000000012</c:v>
                </c:pt>
                <c:pt idx="54">
                  <c:v>0.26800000000000013</c:v>
                </c:pt>
                <c:pt idx="55">
                  <c:v>0.26800000000000013</c:v>
                </c:pt>
                <c:pt idx="56">
                  <c:v>0.26800000000000013</c:v>
                </c:pt>
                <c:pt idx="57">
                  <c:v>0.26800000000000013</c:v>
                </c:pt>
                <c:pt idx="58">
                  <c:v>0.26800000000000013</c:v>
                </c:pt>
                <c:pt idx="59">
                  <c:v>0.26800000000000013</c:v>
                </c:pt>
                <c:pt idx="60">
                  <c:v>0.27300000000000013</c:v>
                </c:pt>
                <c:pt idx="61">
                  <c:v>0.27900000000000014</c:v>
                </c:pt>
                <c:pt idx="62">
                  <c:v>0.28300000000000014</c:v>
                </c:pt>
                <c:pt idx="63">
                  <c:v>0.28300000000000014</c:v>
                </c:pt>
                <c:pt idx="64">
                  <c:v>0.28300000000000014</c:v>
                </c:pt>
                <c:pt idx="65">
                  <c:v>0.28300000000000014</c:v>
                </c:pt>
                <c:pt idx="66">
                  <c:v>0.28300000000000014</c:v>
                </c:pt>
                <c:pt idx="67">
                  <c:v>0.28300000000000014</c:v>
                </c:pt>
                <c:pt idx="68">
                  <c:v>0.28700000000000014</c:v>
                </c:pt>
                <c:pt idx="69">
                  <c:v>0.29300000000000015</c:v>
                </c:pt>
                <c:pt idx="70">
                  <c:v>0.29300000000000015</c:v>
                </c:pt>
                <c:pt idx="71">
                  <c:v>0.29300000000000015</c:v>
                </c:pt>
                <c:pt idx="72">
                  <c:v>0.29300000000000015</c:v>
                </c:pt>
                <c:pt idx="73">
                  <c:v>0.29300000000000015</c:v>
                </c:pt>
                <c:pt idx="74">
                  <c:v>0.29300000000000015</c:v>
                </c:pt>
                <c:pt idx="75">
                  <c:v>0.30300000000000016</c:v>
                </c:pt>
                <c:pt idx="76">
                  <c:v>0.30900000000000016</c:v>
                </c:pt>
                <c:pt idx="77">
                  <c:v>0.31400000000000017</c:v>
                </c:pt>
                <c:pt idx="78">
                  <c:v>0.31400000000000017</c:v>
                </c:pt>
                <c:pt idx="79">
                  <c:v>0.31400000000000017</c:v>
                </c:pt>
                <c:pt idx="80">
                  <c:v>0.31400000000000017</c:v>
                </c:pt>
                <c:pt idx="81">
                  <c:v>0.31400000000000017</c:v>
                </c:pt>
                <c:pt idx="82">
                  <c:v>0.31400000000000017</c:v>
                </c:pt>
                <c:pt idx="83">
                  <c:v>0.32100000000000017</c:v>
                </c:pt>
                <c:pt idx="84">
                  <c:v>0.32200000000000017</c:v>
                </c:pt>
                <c:pt idx="85">
                  <c:v>0.32900000000000018</c:v>
                </c:pt>
                <c:pt idx="86">
                  <c:v>0.32900000000000018</c:v>
                </c:pt>
                <c:pt idx="87">
                  <c:v>0.32900000000000018</c:v>
                </c:pt>
                <c:pt idx="88">
                  <c:v>0.32900000000000018</c:v>
                </c:pt>
                <c:pt idx="89">
                  <c:v>0.32900000000000018</c:v>
                </c:pt>
                <c:pt idx="90">
                  <c:v>0.32900000000000018</c:v>
                </c:pt>
                <c:pt idx="91">
                  <c:v>0.33500000000000019</c:v>
                </c:pt>
                <c:pt idx="92">
                  <c:v>0.33900000000000019</c:v>
                </c:pt>
                <c:pt idx="93">
                  <c:v>0.3460000000000002</c:v>
                </c:pt>
                <c:pt idx="94">
                  <c:v>0.3460000000000002</c:v>
                </c:pt>
                <c:pt idx="95">
                  <c:v>0.3460000000000002</c:v>
                </c:pt>
                <c:pt idx="96">
                  <c:v>0.3460000000000002</c:v>
                </c:pt>
                <c:pt idx="97">
                  <c:v>0.3460000000000002</c:v>
                </c:pt>
                <c:pt idx="98">
                  <c:v>0.3460000000000002</c:v>
                </c:pt>
                <c:pt idx="99">
                  <c:v>0.3460000000000002</c:v>
                </c:pt>
                <c:pt idx="100">
                  <c:v>0.3530000000000002</c:v>
                </c:pt>
                <c:pt idx="101">
                  <c:v>0.3530000000000002</c:v>
                </c:pt>
                <c:pt idx="102">
                  <c:v>0.3530000000000002</c:v>
                </c:pt>
                <c:pt idx="103">
                  <c:v>0.3530000000000002</c:v>
                </c:pt>
                <c:pt idx="104">
                  <c:v>0.3530000000000002</c:v>
                </c:pt>
                <c:pt idx="105">
                  <c:v>0.3530000000000002</c:v>
                </c:pt>
                <c:pt idx="106">
                  <c:v>0.35700000000000021</c:v>
                </c:pt>
                <c:pt idx="107">
                  <c:v>0.35700000000000021</c:v>
                </c:pt>
                <c:pt idx="108">
                  <c:v>0.35700000000000021</c:v>
                </c:pt>
                <c:pt idx="109">
                  <c:v>0.35700000000000021</c:v>
                </c:pt>
                <c:pt idx="110">
                  <c:v>0.35700000000000021</c:v>
                </c:pt>
                <c:pt idx="111">
                  <c:v>0.35700000000000021</c:v>
                </c:pt>
                <c:pt idx="112">
                  <c:v>0.36300000000000021</c:v>
                </c:pt>
                <c:pt idx="113">
                  <c:v>0.37100000000000022</c:v>
                </c:pt>
                <c:pt idx="114">
                  <c:v>0.37100000000000022</c:v>
                </c:pt>
                <c:pt idx="115">
                  <c:v>0.37100000000000022</c:v>
                </c:pt>
                <c:pt idx="116">
                  <c:v>0.37100000000000022</c:v>
                </c:pt>
                <c:pt idx="117">
                  <c:v>0.37100000000000022</c:v>
                </c:pt>
                <c:pt idx="118">
                  <c:v>0.37100000000000022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7D-48DC-9188-758367085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0768"/>
        <c:axId val="483994512"/>
      </c:scatterChart>
      <c:valAx>
        <c:axId val="4839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4512"/>
        <c:crosses val="autoZero"/>
        <c:crossBetween val="midCat"/>
      </c:valAx>
      <c:valAx>
        <c:axId val="4839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All!$AV$6:$AV$124</c:f>
              <c:numCache>
                <c:formatCode>General</c:formatCode>
                <c:ptCount val="119"/>
                <c:pt idx="0">
                  <c:v>2.6145</c:v>
                </c:pt>
                <c:pt idx="1">
                  <c:v>3.234</c:v>
                </c:pt>
                <c:pt idx="2">
                  <c:v>2.641</c:v>
                </c:pt>
                <c:pt idx="3">
                  <c:v>2.4464999999999999</c:v>
                </c:pt>
                <c:pt idx="7">
                  <c:v>2.597</c:v>
                </c:pt>
                <c:pt idx="8">
                  <c:v>2.6145</c:v>
                </c:pt>
                <c:pt idx="9">
                  <c:v>2.3694999999999999</c:v>
                </c:pt>
                <c:pt idx="10">
                  <c:v>2.3290000000000002</c:v>
                </c:pt>
                <c:pt idx="11">
                  <c:v>2.3904999999999998</c:v>
                </c:pt>
                <c:pt idx="12">
                  <c:v>2.1259999999999999</c:v>
                </c:pt>
                <c:pt idx="13">
                  <c:v>2.2749999999999999</c:v>
                </c:pt>
                <c:pt idx="17">
                  <c:v>2.4255</c:v>
                </c:pt>
                <c:pt idx="18">
                  <c:v>2.254</c:v>
                </c:pt>
                <c:pt idx="19">
                  <c:v>1.9015</c:v>
                </c:pt>
                <c:pt idx="20">
                  <c:v>2.3744999999999998</c:v>
                </c:pt>
                <c:pt idx="21">
                  <c:v>2.2519999999999998</c:v>
                </c:pt>
                <c:pt idx="22">
                  <c:v>2.3815</c:v>
                </c:pt>
                <c:pt idx="26">
                  <c:v>2.2414999999999998</c:v>
                </c:pt>
                <c:pt idx="27">
                  <c:v>2.3065000000000002</c:v>
                </c:pt>
                <c:pt idx="28">
                  <c:v>2.177</c:v>
                </c:pt>
                <c:pt idx="29">
                  <c:v>2.1749999999999998</c:v>
                </c:pt>
                <c:pt idx="30">
                  <c:v>1.9355</c:v>
                </c:pt>
                <c:pt idx="31">
                  <c:v>2.3955000000000002</c:v>
                </c:pt>
                <c:pt idx="35">
                  <c:v>2.1644999999999999</c:v>
                </c:pt>
                <c:pt idx="36">
                  <c:v>1.9355</c:v>
                </c:pt>
                <c:pt idx="37">
                  <c:v>1.8640000000000001</c:v>
                </c:pt>
                <c:pt idx="38">
                  <c:v>2.4710000000000001</c:v>
                </c:pt>
                <c:pt idx="42">
                  <c:v>2.9580000000000002</c:v>
                </c:pt>
                <c:pt idx="43">
                  <c:v>2.2715000000000001</c:v>
                </c:pt>
                <c:pt idx="44">
                  <c:v>1.8185</c:v>
                </c:pt>
                <c:pt idx="45">
                  <c:v>1.7729999999999999</c:v>
                </c:pt>
                <c:pt idx="46">
                  <c:v>2.198</c:v>
                </c:pt>
                <c:pt idx="50">
                  <c:v>2.0575000000000001</c:v>
                </c:pt>
                <c:pt idx="51">
                  <c:v>2.5710000000000002</c:v>
                </c:pt>
                <c:pt idx="52">
                  <c:v>2.0910000000000002</c:v>
                </c:pt>
                <c:pt idx="53">
                  <c:v>1.7805</c:v>
                </c:pt>
                <c:pt idx="54">
                  <c:v>1.72</c:v>
                </c:pt>
                <c:pt idx="55">
                  <c:v>2.1154999999999999</c:v>
                </c:pt>
                <c:pt idx="59">
                  <c:v>3.8805000000000001</c:v>
                </c:pt>
                <c:pt idx="60">
                  <c:v>2.0489999999999999</c:v>
                </c:pt>
                <c:pt idx="61">
                  <c:v>1.7845</c:v>
                </c:pt>
                <c:pt idx="62">
                  <c:v>1.569</c:v>
                </c:pt>
                <c:pt idx="63">
                  <c:v>2.0225</c:v>
                </c:pt>
                <c:pt idx="67">
                  <c:v>1.9770000000000001</c:v>
                </c:pt>
                <c:pt idx="68">
                  <c:v>1.5765</c:v>
                </c:pt>
                <c:pt idx="69">
                  <c:v>1.482</c:v>
                </c:pt>
                <c:pt idx="70">
                  <c:v>1.6635</c:v>
                </c:pt>
                <c:pt idx="74">
                  <c:v>2.0085000000000002</c:v>
                </c:pt>
                <c:pt idx="75">
                  <c:v>1.8674999999999999</c:v>
                </c:pt>
                <c:pt idx="76">
                  <c:v>1.7769999999999999</c:v>
                </c:pt>
                <c:pt idx="77">
                  <c:v>1.69</c:v>
                </c:pt>
                <c:pt idx="78">
                  <c:v>1.6445000000000001</c:v>
                </c:pt>
                <c:pt idx="82">
                  <c:v>1.6975</c:v>
                </c:pt>
                <c:pt idx="83">
                  <c:v>1.6445000000000001</c:v>
                </c:pt>
                <c:pt idx="84">
                  <c:v>1.7430000000000001</c:v>
                </c:pt>
                <c:pt idx="85">
                  <c:v>1.6595</c:v>
                </c:pt>
                <c:pt idx="86">
                  <c:v>1.5085</c:v>
                </c:pt>
                <c:pt idx="90">
                  <c:v>1.5805</c:v>
                </c:pt>
                <c:pt idx="91">
                  <c:v>2.2519999999999998</c:v>
                </c:pt>
                <c:pt idx="92">
                  <c:v>1.8485</c:v>
                </c:pt>
                <c:pt idx="93">
                  <c:v>1.3839999999999999</c:v>
                </c:pt>
                <c:pt idx="94">
                  <c:v>2.3290000000000002</c:v>
                </c:pt>
                <c:pt idx="98">
                  <c:v>1.8109999999999999</c:v>
                </c:pt>
                <c:pt idx="99">
                  <c:v>1.3839999999999999</c:v>
                </c:pt>
                <c:pt idx="100">
                  <c:v>1.331</c:v>
                </c:pt>
                <c:pt idx="101">
                  <c:v>1.361</c:v>
                </c:pt>
                <c:pt idx="105">
                  <c:v>1.5385</c:v>
                </c:pt>
                <c:pt idx="106">
                  <c:v>1.244</c:v>
                </c:pt>
                <c:pt idx="107">
                  <c:v>1.331</c:v>
                </c:pt>
                <c:pt idx="111">
                  <c:v>1.4365000000000001</c:v>
                </c:pt>
                <c:pt idx="112">
                  <c:v>1.2855000000000001</c:v>
                </c:pt>
                <c:pt idx="113">
                  <c:v>1.3759999999999999</c:v>
                </c:pt>
                <c:pt idx="114">
                  <c:v>1.966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C-4CFE-ABAF-36B3ED968877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All!$AW$6:$AW$124</c:f>
              <c:numCache>
                <c:formatCode>General</c:formatCode>
                <c:ptCount val="119"/>
                <c:pt idx="0">
                  <c:v>6.0892999999999997</c:v>
                </c:pt>
                <c:pt idx="1">
                  <c:v>5.5739000000000001</c:v>
                </c:pt>
                <c:pt idx="2">
                  <c:v>5.5320999999999998</c:v>
                </c:pt>
                <c:pt idx="3">
                  <c:v>5.4074999999999998</c:v>
                </c:pt>
                <c:pt idx="7">
                  <c:v>5.3297999999999996</c:v>
                </c:pt>
                <c:pt idx="8">
                  <c:v>5.4661999999999997</c:v>
                </c:pt>
                <c:pt idx="9">
                  <c:v>5.4602000000000004</c:v>
                </c:pt>
                <c:pt idx="10">
                  <c:v>5.4340999999999999</c:v>
                </c:pt>
                <c:pt idx="11">
                  <c:v>5.2743000000000002</c:v>
                </c:pt>
                <c:pt idx="12">
                  <c:v>5.4131</c:v>
                </c:pt>
                <c:pt idx="13">
                  <c:v>5.3101000000000003</c:v>
                </c:pt>
                <c:pt idx="17">
                  <c:v>4.9034000000000004</c:v>
                </c:pt>
                <c:pt idx="18">
                  <c:v>5.3724999999999996</c:v>
                </c:pt>
                <c:pt idx="19">
                  <c:v>5.3471000000000002</c:v>
                </c:pt>
                <c:pt idx="20">
                  <c:v>5.3034999999999997</c:v>
                </c:pt>
                <c:pt idx="21">
                  <c:v>5.3287000000000004</c:v>
                </c:pt>
                <c:pt idx="22">
                  <c:v>5.2375999999999996</c:v>
                </c:pt>
                <c:pt idx="26">
                  <c:v>5.1563999999999997</c:v>
                </c:pt>
                <c:pt idx="27">
                  <c:v>5.2747999999999999</c:v>
                </c:pt>
                <c:pt idx="28">
                  <c:v>5.3071000000000002</c:v>
                </c:pt>
                <c:pt idx="29">
                  <c:v>5.1957000000000004</c:v>
                </c:pt>
                <c:pt idx="30">
                  <c:v>5.2820999999999998</c:v>
                </c:pt>
                <c:pt idx="31">
                  <c:v>5.1161000000000003</c:v>
                </c:pt>
                <c:pt idx="35">
                  <c:v>4.3868</c:v>
                </c:pt>
                <c:pt idx="36">
                  <c:v>5.1951000000000001</c:v>
                </c:pt>
                <c:pt idx="37">
                  <c:v>5.1772999999999998</c:v>
                </c:pt>
                <c:pt idx="38">
                  <c:v>5.1543000000000001</c:v>
                </c:pt>
                <c:pt idx="42">
                  <c:v>4.7058</c:v>
                </c:pt>
                <c:pt idx="43">
                  <c:v>4.9657</c:v>
                </c:pt>
                <c:pt idx="44">
                  <c:v>5.1310000000000002</c:v>
                </c:pt>
                <c:pt idx="45">
                  <c:v>5.1519000000000004</c:v>
                </c:pt>
                <c:pt idx="46">
                  <c:v>5.0594000000000001</c:v>
                </c:pt>
                <c:pt idx="50">
                  <c:v>5.5628000000000002</c:v>
                </c:pt>
                <c:pt idx="51">
                  <c:v>4.9010999999999996</c:v>
                </c:pt>
                <c:pt idx="52">
                  <c:v>5.2525000000000004</c:v>
                </c:pt>
                <c:pt idx="53">
                  <c:v>5.13</c:v>
                </c:pt>
                <c:pt idx="54">
                  <c:v>5.1241000000000003</c:v>
                </c:pt>
                <c:pt idx="55">
                  <c:v>4.7746000000000004</c:v>
                </c:pt>
                <c:pt idx="59">
                  <c:v>3.9009999999999998</c:v>
                </c:pt>
                <c:pt idx="60">
                  <c:v>4.8841000000000001</c:v>
                </c:pt>
                <c:pt idx="61">
                  <c:v>5.1044999999999998</c:v>
                </c:pt>
                <c:pt idx="62">
                  <c:v>5.0918000000000001</c:v>
                </c:pt>
                <c:pt idx="63">
                  <c:v>4.9574999999999996</c:v>
                </c:pt>
                <c:pt idx="67">
                  <c:v>4.7946999999999997</c:v>
                </c:pt>
                <c:pt idx="68">
                  <c:v>4.9851000000000001</c:v>
                </c:pt>
                <c:pt idx="69">
                  <c:v>5.0186000000000002</c:v>
                </c:pt>
                <c:pt idx="70">
                  <c:v>4.8334000000000001</c:v>
                </c:pt>
                <c:pt idx="74">
                  <c:v>5.3992000000000004</c:v>
                </c:pt>
                <c:pt idx="75">
                  <c:v>4.9352999999999998</c:v>
                </c:pt>
                <c:pt idx="76">
                  <c:v>4.9229000000000003</c:v>
                </c:pt>
                <c:pt idx="77">
                  <c:v>5.0046999999999997</c:v>
                </c:pt>
                <c:pt idx="78">
                  <c:v>4.7873000000000001</c:v>
                </c:pt>
                <c:pt idx="82">
                  <c:v>4.5468000000000002</c:v>
                </c:pt>
                <c:pt idx="83">
                  <c:v>4.8011999999999997</c:v>
                </c:pt>
                <c:pt idx="84">
                  <c:v>4.8494000000000002</c:v>
                </c:pt>
                <c:pt idx="85">
                  <c:v>4.8063000000000002</c:v>
                </c:pt>
                <c:pt idx="86">
                  <c:v>4.6585999999999999</c:v>
                </c:pt>
                <c:pt idx="90">
                  <c:v>4.4134000000000002</c:v>
                </c:pt>
                <c:pt idx="91">
                  <c:v>4.4794</c:v>
                </c:pt>
                <c:pt idx="92">
                  <c:v>4.5849000000000002</c:v>
                </c:pt>
                <c:pt idx="93">
                  <c:v>4.7634999999999996</c:v>
                </c:pt>
                <c:pt idx="94">
                  <c:v>4.6193999999999997</c:v>
                </c:pt>
                <c:pt idx="98">
                  <c:v>4.8564999999999996</c:v>
                </c:pt>
                <c:pt idx="99">
                  <c:v>4.7845000000000004</c:v>
                </c:pt>
                <c:pt idx="100">
                  <c:v>4.7579000000000002</c:v>
                </c:pt>
                <c:pt idx="101">
                  <c:v>4.5216000000000003</c:v>
                </c:pt>
                <c:pt idx="105">
                  <c:v>4.3726000000000003</c:v>
                </c:pt>
                <c:pt idx="106">
                  <c:v>4.7260999999999997</c:v>
                </c:pt>
                <c:pt idx="107">
                  <c:v>4.5163000000000002</c:v>
                </c:pt>
                <c:pt idx="111">
                  <c:v>4.3083</c:v>
                </c:pt>
                <c:pt idx="112">
                  <c:v>4.6193999999999997</c:v>
                </c:pt>
                <c:pt idx="113">
                  <c:v>4.5937000000000001</c:v>
                </c:pt>
                <c:pt idx="114">
                  <c:v>4.4268000000000001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6C-4CFE-ABAF-36B3ED968877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All!$FS$6:$FS$124</c:f>
              <c:numCache>
                <c:formatCode>General</c:formatCode>
                <c:ptCount val="119"/>
                <c:pt idx="0">
                  <c:v>7.1734999999999998</c:v>
                </c:pt>
                <c:pt idx="1">
                  <c:v>6.9249999999999998</c:v>
                </c:pt>
                <c:pt idx="2">
                  <c:v>6.84</c:v>
                </c:pt>
                <c:pt idx="3">
                  <c:v>6.8540000000000001</c:v>
                </c:pt>
                <c:pt idx="7">
                  <c:v>6.7774999999999999</c:v>
                </c:pt>
                <c:pt idx="8">
                  <c:v>6.8520000000000003</c:v>
                </c:pt>
                <c:pt idx="9">
                  <c:v>6.7670000000000003</c:v>
                </c:pt>
                <c:pt idx="10">
                  <c:v>6.8315000000000001</c:v>
                </c:pt>
                <c:pt idx="11">
                  <c:v>6.8470000000000004</c:v>
                </c:pt>
                <c:pt idx="12">
                  <c:v>6.8449999999999998</c:v>
                </c:pt>
                <c:pt idx="13">
                  <c:v>6.8414999999999999</c:v>
                </c:pt>
                <c:pt idx="17">
                  <c:v>6.5274999999999999</c:v>
                </c:pt>
                <c:pt idx="18">
                  <c:v>6.7774999999999999</c:v>
                </c:pt>
                <c:pt idx="19">
                  <c:v>6.9039999999999999</c:v>
                </c:pt>
                <c:pt idx="20">
                  <c:v>6.7565</c:v>
                </c:pt>
                <c:pt idx="21">
                  <c:v>6.7030000000000003</c:v>
                </c:pt>
                <c:pt idx="22">
                  <c:v>6.7634999999999996</c:v>
                </c:pt>
                <c:pt idx="26">
                  <c:v>6.5810000000000004</c:v>
                </c:pt>
                <c:pt idx="27">
                  <c:v>6.7859999999999996</c:v>
                </c:pt>
                <c:pt idx="28">
                  <c:v>6.7915000000000001</c:v>
                </c:pt>
                <c:pt idx="29">
                  <c:v>6.8540000000000001</c:v>
                </c:pt>
                <c:pt idx="30">
                  <c:v>6.7095000000000002</c:v>
                </c:pt>
                <c:pt idx="31">
                  <c:v>6.6835000000000004</c:v>
                </c:pt>
                <c:pt idx="35">
                  <c:v>6.6905000000000001</c:v>
                </c:pt>
                <c:pt idx="36">
                  <c:v>6.6974999999999998</c:v>
                </c:pt>
                <c:pt idx="37">
                  <c:v>6.7565</c:v>
                </c:pt>
                <c:pt idx="38">
                  <c:v>6.5345000000000004</c:v>
                </c:pt>
                <c:pt idx="42">
                  <c:v>6.2515000000000001</c:v>
                </c:pt>
                <c:pt idx="43">
                  <c:v>6.4649999999999999</c:v>
                </c:pt>
                <c:pt idx="44">
                  <c:v>6.6074999999999999</c:v>
                </c:pt>
                <c:pt idx="45">
                  <c:v>6.5345000000000004</c:v>
                </c:pt>
                <c:pt idx="46">
                  <c:v>6.7720000000000002</c:v>
                </c:pt>
                <c:pt idx="50">
                  <c:v>6.7424999999999997</c:v>
                </c:pt>
                <c:pt idx="51">
                  <c:v>6.7060000000000004</c:v>
                </c:pt>
                <c:pt idx="52">
                  <c:v>6.47</c:v>
                </c:pt>
                <c:pt idx="53">
                  <c:v>6.649</c:v>
                </c:pt>
                <c:pt idx="54">
                  <c:v>6.7115</c:v>
                </c:pt>
                <c:pt idx="55">
                  <c:v>6.63</c:v>
                </c:pt>
                <c:pt idx="59">
                  <c:v>3.9180000000000001</c:v>
                </c:pt>
                <c:pt idx="60">
                  <c:v>6.6890000000000001</c:v>
                </c:pt>
                <c:pt idx="61">
                  <c:v>6.8070000000000004</c:v>
                </c:pt>
                <c:pt idx="62">
                  <c:v>6.7619999999999996</c:v>
                </c:pt>
                <c:pt idx="63">
                  <c:v>6.7030000000000003</c:v>
                </c:pt>
                <c:pt idx="67">
                  <c:v>6.6074999999999999</c:v>
                </c:pt>
                <c:pt idx="68">
                  <c:v>6.5415000000000001</c:v>
                </c:pt>
                <c:pt idx="69">
                  <c:v>6.6315</c:v>
                </c:pt>
                <c:pt idx="70">
                  <c:v>6.5549999999999997</c:v>
                </c:pt>
                <c:pt idx="74">
                  <c:v>6.6455000000000002</c:v>
                </c:pt>
                <c:pt idx="75">
                  <c:v>6.694</c:v>
                </c:pt>
                <c:pt idx="76">
                  <c:v>6.7184999999999997</c:v>
                </c:pt>
                <c:pt idx="77">
                  <c:v>6.7220000000000004</c:v>
                </c:pt>
                <c:pt idx="78">
                  <c:v>6.6505000000000001</c:v>
                </c:pt>
                <c:pt idx="82">
                  <c:v>6.6455000000000002</c:v>
                </c:pt>
                <c:pt idx="83">
                  <c:v>6.6245000000000003</c:v>
                </c:pt>
                <c:pt idx="84">
                  <c:v>6.6820000000000004</c:v>
                </c:pt>
                <c:pt idx="85">
                  <c:v>6.6055000000000001</c:v>
                </c:pt>
                <c:pt idx="86">
                  <c:v>6.5759999999999996</c:v>
                </c:pt>
                <c:pt idx="90">
                  <c:v>6.5220000000000002</c:v>
                </c:pt>
                <c:pt idx="91">
                  <c:v>6.4335000000000004</c:v>
                </c:pt>
                <c:pt idx="92">
                  <c:v>6.3710000000000004</c:v>
                </c:pt>
                <c:pt idx="93">
                  <c:v>6.4489999999999998</c:v>
                </c:pt>
                <c:pt idx="94">
                  <c:v>6.4145000000000003</c:v>
                </c:pt>
                <c:pt idx="98">
                  <c:v>6.4335000000000004</c:v>
                </c:pt>
                <c:pt idx="99">
                  <c:v>6.6040000000000001</c:v>
                </c:pt>
                <c:pt idx="100">
                  <c:v>6.4995000000000003</c:v>
                </c:pt>
                <c:pt idx="101">
                  <c:v>6.5774999999999997</c:v>
                </c:pt>
                <c:pt idx="105">
                  <c:v>6.4684999999999997</c:v>
                </c:pt>
                <c:pt idx="106">
                  <c:v>6.4005000000000001</c:v>
                </c:pt>
                <c:pt idx="107">
                  <c:v>6.4390000000000001</c:v>
                </c:pt>
                <c:pt idx="111">
                  <c:v>6.5724999999999998</c:v>
                </c:pt>
                <c:pt idx="112">
                  <c:v>6.4820000000000002</c:v>
                </c:pt>
                <c:pt idx="113">
                  <c:v>6.6040000000000001</c:v>
                </c:pt>
                <c:pt idx="114">
                  <c:v>6.3765000000000001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6C-4CFE-ABAF-36B3ED968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79536"/>
        <c:axId val="483990352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All!$FT$6:$FT$124</c:f>
              <c:numCache>
                <c:formatCode>General</c:formatCode>
                <c:ptCount val="119"/>
                <c:pt idx="0">
                  <c:v>1074.2</c:v>
                </c:pt>
                <c:pt idx="1">
                  <c:v>1074.2</c:v>
                </c:pt>
                <c:pt idx="2">
                  <c:v>1070.8</c:v>
                </c:pt>
                <c:pt idx="3">
                  <c:v>1071.3</c:v>
                </c:pt>
                <c:pt idx="7">
                  <c:v>1078.2</c:v>
                </c:pt>
                <c:pt idx="8">
                  <c:v>1074.8</c:v>
                </c:pt>
                <c:pt idx="9">
                  <c:v>1071.5999999999999</c:v>
                </c:pt>
                <c:pt idx="10">
                  <c:v>1072.0999999999999</c:v>
                </c:pt>
                <c:pt idx="11">
                  <c:v>1078.5999999999999</c:v>
                </c:pt>
                <c:pt idx="12">
                  <c:v>1078.5999999999999</c:v>
                </c:pt>
                <c:pt idx="13">
                  <c:v>1075.3</c:v>
                </c:pt>
                <c:pt idx="17">
                  <c:v>1073</c:v>
                </c:pt>
                <c:pt idx="18">
                  <c:v>1071.9000000000001</c:v>
                </c:pt>
                <c:pt idx="19">
                  <c:v>1072</c:v>
                </c:pt>
                <c:pt idx="20">
                  <c:v>1076.7</c:v>
                </c:pt>
                <c:pt idx="21">
                  <c:v>1075.0999999999999</c:v>
                </c:pt>
                <c:pt idx="22">
                  <c:v>1074.9000000000001</c:v>
                </c:pt>
                <c:pt idx="26">
                  <c:v>1083.9000000000001</c:v>
                </c:pt>
                <c:pt idx="27">
                  <c:v>1077.4000000000001</c:v>
                </c:pt>
                <c:pt idx="28">
                  <c:v>1069.4000000000001</c:v>
                </c:pt>
                <c:pt idx="29">
                  <c:v>1066.8</c:v>
                </c:pt>
                <c:pt idx="30">
                  <c:v>1073.7</c:v>
                </c:pt>
                <c:pt idx="31">
                  <c:v>1079.8</c:v>
                </c:pt>
                <c:pt idx="35">
                  <c:v>1072.2</c:v>
                </c:pt>
                <c:pt idx="36">
                  <c:v>1079.5</c:v>
                </c:pt>
                <c:pt idx="37">
                  <c:v>1081.9000000000001</c:v>
                </c:pt>
                <c:pt idx="38">
                  <c:v>1065.8</c:v>
                </c:pt>
                <c:pt idx="42">
                  <c:v>1069.2</c:v>
                </c:pt>
                <c:pt idx="43">
                  <c:v>1076.3</c:v>
                </c:pt>
                <c:pt idx="44">
                  <c:v>1078.8</c:v>
                </c:pt>
                <c:pt idx="45">
                  <c:v>1079</c:v>
                </c:pt>
                <c:pt idx="46">
                  <c:v>1075.3</c:v>
                </c:pt>
                <c:pt idx="50">
                  <c:v>1069.2</c:v>
                </c:pt>
                <c:pt idx="51">
                  <c:v>1073.9000000000001</c:v>
                </c:pt>
                <c:pt idx="52">
                  <c:v>1077.3</c:v>
                </c:pt>
                <c:pt idx="53">
                  <c:v>1069.4000000000001</c:v>
                </c:pt>
                <c:pt idx="54">
                  <c:v>1069.0999999999999</c:v>
                </c:pt>
                <c:pt idx="55">
                  <c:v>1076.8</c:v>
                </c:pt>
                <c:pt idx="59">
                  <c:v>1030.2</c:v>
                </c:pt>
                <c:pt idx="60">
                  <c:v>1081.8</c:v>
                </c:pt>
                <c:pt idx="61">
                  <c:v>1077.4000000000001</c:v>
                </c:pt>
                <c:pt idx="62">
                  <c:v>1069.3</c:v>
                </c:pt>
                <c:pt idx="63">
                  <c:v>1069.9000000000001</c:v>
                </c:pt>
                <c:pt idx="67">
                  <c:v>1078.2</c:v>
                </c:pt>
                <c:pt idx="68">
                  <c:v>1086.8</c:v>
                </c:pt>
                <c:pt idx="69">
                  <c:v>1071.0999999999999</c:v>
                </c:pt>
                <c:pt idx="70">
                  <c:v>1075.5</c:v>
                </c:pt>
                <c:pt idx="74">
                  <c:v>1069.2</c:v>
                </c:pt>
                <c:pt idx="75">
                  <c:v>1073.9000000000001</c:v>
                </c:pt>
                <c:pt idx="76">
                  <c:v>1068.4000000000001</c:v>
                </c:pt>
                <c:pt idx="77">
                  <c:v>1075.3</c:v>
                </c:pt>
                <c:pt idx="78">
                  <c:v>1073.8</c:v>
                </c:pt>
                <c:pt idx="82">
                  <c:v>1073.5999999999999</c:v>
                </c:pt>
                <c:pt idx="83">
                  <c:v>1078.9000000000001</c:v>
                </c:pt>
                <c:pt idx="84">
                  <c:v>1069.8</c:v>
                </c:pt>
                <c:pt idx="85">
                  <c:v>1078.7</c:v>
                </c:pt>
                <c:pt idx="86">
                  <c:v>1071.5</c:v>
                </c:pt>
                <c:pt idx="90">
                  <c:v>1075.5</c:v>
                </c:pt>
                <c:pt idx="91">
                  <c:v>1076.3</c:v>
                </c:pt>
                <c:pt idx="92">
                  <c:v>1069.7</c:v>
                </c:pt>
                <c:pt idx="93">
                  <c:v>1071.7</c:v>
                </c:pt>
                <c:pt idx="94">
                  <c:v>1069.3</c:v>
                </c:pt>
                <c:pt idx="98">
                  <c:v>1071.4000000000001</c:v>
                </c:pt>
                <c:pt idx="99">
                  <c:v>1075.8</c:v>
                </c:pt>
                <c:pt idx="100">
                  <c:v>1077.4000000000001</c:v>
                </c:pt>
                <c:pt idx="101">
                  <c:v>1074</c:v>
                </c:pt>
                <c:pt idx="105">
                  <c:v>1071.2</c:v>
                </c:pt>
                <c:pt idx="106">
                  <c:v>1067.5</c:v>
                </c:pt>
                <c:pt idx="107">
                  <c:v>1069.7</c:v>
                </c:pt>
                <c:pt idx="111">
                  <c:v>1066.8</c:v>
                </c:pt>
                <c:pt idx="112">
                  <c:v>1068.5</c:v>
                </c:pt>
                <c:pt idx="113">
                  <c:v>1083</c:v>
                </c:pt>
                <c:pt idx="114">
                  <c:v>1073.5999999999999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6C-4CFE-ABAF-36B3ED968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5008"/>
        <c:axId val="543720432"/>
      </c:scatterChart>
      <c:valAx>
        <c:axId val="48397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0352"/>
        <c:crosses val="autoZero"/>
        <c:crossBetween val="midCat"/>
      </c:valAx>
      <c:valAx>
        <c:axId val="48399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79536"/>
        <c:crosses val="autoZero"/>
        <c:crossBetween val="midCat"/>
      </c:valAx>
      <c:valAx>
        <c:axId val="543720432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5008"/>
        <c:crosses val="max"/>
        <c:crossBetween val="midCat"/>
      </c:valAx>
      <c:valAx>
        <c:axId val="543725008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2043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All!$AT$6:$AT$124</c:f>
              <c:numCache>
                <c:formatCode>General</c:formatCode>
                <c:ptCount val="119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7">
                  <c:v>87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6">
                  <c:v>84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5">
                  <c:v>85</c:v>
                </c:pt>
                <c:pt idx="36">
                  <c:v>83</c:v>
                </c:pt>
                <c:pt idx="37">
                  <c:v>83</c:v>
                </c:pt>
                <c:pt idx="38">
                  <c:v>82</c:v>
                </c:pt>
                <c:pt idx="42">
                  <c:v>83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83</c:v>
                </c:pt>
                <c:pt idx="54">
                  <c:v>83</c:v>
                </c:pt>
                <c:pt idx="55">
                  <c:v>82</c:v>
                </c:pt>
                <c:pt idx="59">
                  <c:v>82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7">
                  <c:v>86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82">
                  <c:v>85</c:v>
                </c:pt>
                <c:pt idx="83">
                  <c:v>82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90">
                  <c:v>84</c:v>
                </c:pt>
                <c:pt idx="91">
                  <c:v>83</c:v>
                </c:pt>
                <c:pt idx="92">
                  <c:v>82</c:v>
                </c:pt>
                <c:pt idx="93">
                  <c:v>83</c:v>
                </c:pt>
                <c:pt idx="94">
                  <c:v>83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5">
                  <c:v>84</c:v>
                </c:pt>
                <c:pt idx="106">
                  <c:v>83</c:v>
                </c:pt>
                <c:pt idx="107">
                  <c:v>83</c:v>
                </c:pt>
                <c:pt idx="111">
                  <c:v>85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3-4774-9C1A-E06AF758062A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All!$FL$6:$FL$124</c:f>
              <c:numCache>
                <c:formatCode>General</c:formatCode>
                <c:ptCount val="119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7">
                  <c:v>87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6">
                  <c:v>85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5">
                  <c:v>85</c:v>
                </c:pt>
                <c:pt idx="36">
                  <c:v>83</c:v>
                </c:pt>
                <c:pt idx="37">
                  <c:v>83</c:v>
                </c:pt>
                <c:pt idx="38">
                  <c:v>82</c:v>
                </c:pt>
                <c:pt idx="42">
                  <c:v>84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9">
                  <c:v>81</c:v>
                </c:pt>
                <c:pt idx="60">
                  <c:v>85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7">
                  <c:v>87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82">
                  <c:v>85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90">
                  <c:v>86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5">
                  <c:v>84</c:v>
                </c:pt>
                <c:pt idx="106">
                  <c:v>83</c:v>
                </c:pt>
                <c:pt idx="107">
                  <c:v>83</c:v>
                </c:pt>
                <c:pt idx="111">
                  <c:v>86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43-4774-9C1A-E06AF758062A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All!$AU$6:$AU$124</c:f>
              <c:numCache>
                <c:formatCode>General</c:formatCode>
                <c:ptCount val="119"/>
                <c:pt idx="0">
                  <c:v>85</c:v>
                </c:pt>
                <c:pt idx="1">
                  <c:v>102</c:v>
                </c:pt>
                <c:pt idx="2">
                  <c:v>112</c:v>
                </c:pt>
                <c:pt idx="3">
                  <c:v>117</c:v>
                </c:pt>
                <c:pt idx="7">
                  <c:v>111</c:v>
                </c:pt>
                <c:pt idx="8">
                  <c:v>116</c:v>
                </c:pt>
                <c:pt idx="9">
                  <c:v>119</c:v>
                </c:pt>
                <c:pt idx="10">
                  <c:v>120</c:v>
                </c:pt>
                <c:pt idx="11">
                  <c:v>119</c:v>
                </c:pt>
                <c:pt idx="12">
                  <c:v>120</c:v>
                </c:pt>
                <c:pt idx="13">
                  <c:v>121</c:v>
                </c:pt>
                <c:pt idx="17">
                  <c:v>108</c:v>
                </c:pt>
                <c:pt idx="18">
                  <c:v>115</c:v>
                </c:pt>
                <c:pt idx="19">
                  <c:v>118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6">
                  <c:v>115</c:v>
                </c:pt>
                <c:pt idx="27">
                  <c:v>117</c:v>
                </c:pt>
                <c:pt idx="28">
                  <c:v>119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5">
                  <c:v>109</c:v>
                </c:pt>
                <c:pt idx="36">
                  <c:v>113</c:v>
                </c:pt>
                <c:pt idx="37">
                  <c:v>117</c:v>
                </c:pt>
                <c:pt idx="38">
                  <c:v>115</c:v>
                </c:pt>
                <c:pt idx="42">
                  <c:v>103</c:v>
                </c:pt>
                <c:pt idx="43">
                  <c:v>98</c:v>
                </c:pt>
                <c:pt idx="44">
                  <c:v>110</c:v>
                </c:pt>
                <c:pt idx="45">
                  <c:v>116</c:v>
                </c:pt>
                <c:pt idx="46">
                  <c:v>119</c:v>
                </c:pt>
                <c:pt idx="50">
                  <c:v>88</c:v>
                </c:pt>
                <c:pt idx="51">
                  <c:v>102</c:v>
                </c:pt>
                <c:pt idx="52">
                  <c:v>93</c:v>
                </c:pt>
                <c:pt idx="53">
                  <c:v>109</c:v>
                </c:pt>
                <c:pt idx="54">
                  <c:v>115</c:v>
                </c:pt>
                <c:pt idx="55">
                  <c:v>116</c:v>
                </c:pt>
                <c:pt idx="59">
                  <c:v>109</c:v>
                </c:pt>
                <c:pt idx="60">
                  <c:v>111</c:v>
                </c:pt>
                <c:pt idx="61">
                  <c:v>116</c:v>
                </c:pt>
                <c:pt idx="62">
                  <c:v>119</c:v>
                </c:pt>
                <c:pt idx="63">
                  <c:v>120</c:v>
                </c:pt>
                <c:pt idx="67">
                  <c:v>115</c:v>
                </c:pt>
                <c:pt idx="68">
                  <c:v>119</c:v>
                </c:pt>
                <c:pt idx="69">
                  <c:v>121</c:v>
                </c:pt>
                <c:pt idx="70">
                  <c:v>122</c:v>
                </c:pt>
                <c:pt idx="74">
                  <c:v>90</c:v>
                </c:pt>
                <c:pt idx="75">
                  <c:v>104</c:v>
                </c:pt>
                <c:pt idx="76">
                  <c:v>110</c:v>
                </c:pt>
                <c:pt idx="77">
                  <c:v>116</c:v>
                </c:pt>
                <c:pt idx="78">
                  <c:v>118</c:v>
                </c:pt>
                <c:pt idx="82">
                  <c:v>114</c:v>
                </c:pt>
                <c:pt idx="83">
                  <c:v>117</c:v>
                </c:pt>
                <c:pt idx="84">
                  <c:v>119</c:v>
                </c:pt>
                <c:pt idx="85">
                  <c:v>119</c:v>
                </c:pt>
                <c:pt idx="86">
                  <c:v>120</c:v>
                </c:pt>
                <c:pt idx="90">
                  <c:v>116</c:v>
                </c:pt>
                <c:pt idx="91">
                  <c:v>118</c:v>
                </c:pt>
                <c:pt idx="92">
                  <c:v>115</c:v>
                </c:pt>
                <c:pt idx="93">
                  <c:v>115</c:v>
                </c:pt>
                <c:pt idx="94">
                  <c:v>117</c:v>
                </c:pt>
                <c:pt idx="98">
                  <c:v>100</c:v>
                </c:pt>
                <c:pt idx="99">
                  <c:v>112</c:v>
                </c:pt>
                <c:pt idx="100">
                  <c:v>117</c:v>
                </c:pt>
                <c:pt idx="101">
                  <c:v>119</c:v>
                </c:pt>
                <c:pt idx="105">
                  <c:v>116</c:v>
                </c:pt>
                <c:pt idx="106">
                  <c:v>120</c:v>
                </c:pt>
                <c:pt idx="107">
                  <c:v>122</c:v>
                </c:pt>
                <c:pt idx="111">
                  <c:v>118</c:v>
                </c:pt>
                <c:pt idx="112">
                  <c:v>120</c:v>
                </c:pt>
                <c:pt idx="113">
                  <c:v>121</c:v>
                </c:pt>
                <c:pt idx="114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43-4774-9C1A-E06AF758062A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All!$IC$6:$IC$124</c:f>
              <c:numCache>
                <c:formatCode>General</c:formatCode>
                <c:ptCount val="119"/>
                <c:pt idx="0">
                  <c:v>4.5720000000000001</c:v>
                </c:pt>
                <c:pt idx="1">
                  <c:v>22.102</c:v>
                </c:pt>
                <c:pt idx="2">
                  <c:v>22.658999999999999</c:v>
                </c:pt>
                <c:pt idx="3">
                  <c:v>23.016999999999999</c:v>
                </c:pt>
                <c:pt idx="7">
                  <c:v>18.283999999999999</c:v>
                </c:pt>
                <c:pt idx="8">
                  <c:v>22.917999999999999</c:v>
                </c:pt>
                <c:pt idx="9">
                  <c:v>22.895</c:v>
                </c:pt>
                <c:pt idx="10">
                  <c:v>23.055</c:v>
                </c:pt>
                <c:pt idx="11">
                  <c:v>21.777000000000001</c:v>
                </c:pt>
                <c:pt idx="12">
                  <c:v>22.841999999999999</c:v>
                </c:pt>
                <c:pt idx="13">
                  <c:v>22.786000000000001</c:v>
                </c:pt>
                <c:pt idx="17">
                  <c:v>17.736999999999998</c:v>
                </c:pt>
                <c:pt idx="18">
                  <c:v>22.41</c:v>
                </c:pt>
                <c:pt idx="19">
                  <c:v>22.917999999999999</c:v>
                </c:pt>
                <c:pt idx="20">
                  <c:v>22.852</c:v>
                </c:pt>
                <c:pt idx="21">
                  <c:v>22.756</c:v>
                </c:pt>
                <c:pt idx="22">
                  <c:v>22.667000000000002</c:v>
                </c:pt>
                <c:pt idx="26">
                  <c:v>20.016999999999999</c:v>
                </c:pt>
                <c:pt idx="27">
                  <c:v>22.327000000000002</c:v>
                </c:pt>
                <c:pt idx="28">
                  <c:v>22.542000000000002</c:v>
                </c:pt>
                <c:pt idx="29">
                  <c:v>22.393000000000001</c:v>
                </c:pt>
                <c:pt idx="30">
                  <c:v>22.606000000000002</c:v>
                </c:pt>
                <c:pt idx="31">
                  <c:v>22.239000000000001</c:v>
                </c:pt>
                <c:pt idx="35">
                  <c:v>16.997</c:v>
                </c:pt>
                <c:pt idx="36">
                  <c:v>22.163</c:v>
                </c:pt>
                <c:pt idx="37">
                  <c:v>22.349</c:v>
                </c:pt>
                <c:pt idx="38">
                  <c:v>16.343</c:v>
                </c:pt>
                <c:pt idx="42">
                  <c:v>18.274000000000001</c:v>
                </c:pt>
                <c:pt idx="43">
                  <c:v>16.071999999999999</c:v>
                </c:pt>
                <c:pt idx="44">
                  <c:v>22.239000000000001</c:v>
                </c:pt>
                <c:pt idx="45">
                  <c:v>22.786999999999999</c:v>
                </c:pt>
                <c:pt idx="46">
                  <c:v>22.731999999999999</c:v>
                </c:pt>
                <c:pt idx="50">
                  <c:v>6.867</c:v>
                </c:pt>
                <c:pt idx="51">
                  <c:v>19.879000000000001</c:v>
                </c:pt>
                <c:pt idx="52">
                  <c:v>14.771000000000001</c:v>
                </c:pt>
                <c:pt idx="53">
                  <c:v>22.341999999999999</c:v>
                </c:pt>
                <c:pt idx="54">
                  <c:v>23.01</c:v>
                </c:pt>
                <c:pt idx="55">
                  <c:v>21.337</c:v>
                </c:pt>
                <c:pt idx="59">
                  <c:v>14.978999999999999</c:v>
                </c:pt>
                <c:pt idx="60">
                  <c:v>19.428999999999998</c:v>
                </c:pt>
                <c:pt idx="61">
                  <c:v>22.228000000000002</c:v>
                </c:pt>
                <c:pt idx="62">
                  <c:v>22.783999999999999</c:v>
                </c:pt>
                <c:pt idx="63">
                  <c:v>22.675000000000001</c:v>
                </c:pt>
                <c:pt idx="67">
                  <c:v>19.253</c:v>
                </c:pt>
                <c:pt idx="68">
                  <c:v>22.715</c:v>
                </c:pt>
                <c:pt idx="69">
                  <c:v>22.952999999999999</c:v>
                </c:pt>
                <c:pt idx="70">
                  <c:v>22.678999999999998</c:v>
                </c:pt>
                <c:pt idx="74">
                  <c:v>5.556</c:v>
                </c:pt>
                <c:pt idx="75">
                  <c:v>21.74</c:v>
                </c:pt>
                <c:pt idx="76">
                  <c:v>21.888999999999999</c:v>
                </c:pt>
                <c:pt idx="77">
                  <c:v>22.193999999999999</c:v>
                </c:pt>
                <c:pt idx="78">
                  <c:v>22.233000000000001</c:v>
                </c:pt>
                <c:pt idx="82">
                  <c:v>18.878</c:v>
                </c:pt>
                <c:pt idx="83">
                  <c:v>22.029</c:v>
                </c:pt>
                <c:pt idx="84">
                  <c:v>22.186</c:v>
                </c:pt>
                <c:pt idx="85">
                  <c:v>22.08</c:v>
                </c:pt>
                <c:pt idx="86">
                  <c:v>21.882999999999999</c:v>
                </c:pt>
                <c:pt idx="90">
                  <c:v>19.13</c:v>
                </c:pt>
                <c:pt idx="91">
                  <c:v>20.940999999999999</c:v>
                </c:pt>
                <c:pt idx="92">
                  <c:v>20.481000000000002</c:v>
                </c:pt>
                <c:pt idx="93">
                  <c:v>21.436</c:v>
                </c:pt>
                <c:pt idx="94">
                  <c:v>15.797000000000001</c:v>
                </c:pt>
                <c:pt idx="98">
                  <c:v>16.544</c:v>
                </c:pt>
                <c:pt idx="99">
                  <c:v>22.102</c:v>
                </c:pt>
                <c:pt idx="100">
                  <c:v>22.375</c:v>
                </c:pt>
                <c:pt idx="101">
                  <c:v>22.172999999999998</c:v>
                </c:pt>
                <c:pt idx="105">
                  <c:v>19.143000000000001</c:v>
                </c:pt>
                <c:pt idx="106">
                  <c:v>22.454000000000001</c:v>
                </c:pt>
                <c:pt idx="107">
                  <c:v>22.143999999999998</c:v>
                </c:pt>
                <c:pt idx="111">
                  <c:v>19.155000000000001</c:v>
                </c:pt>
                <c:pt idx="112">
                  <c:v>22.446999999999999</c:v>
                </c:pt>
                <c:pt idx="113">
                  <c:v>22.472000000000001</c:v>
                </c:pt>
                <c:pt idx="114">
                  <c:v>16.716000000000001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43-4774-9C1A-E06AF7580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9504"/>
        <c:axId val="483979536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All!$EK$6:$EK$124</c:f>
              <c:numCache>
                <c:formatCode>General</c:formatCode>
                <c:ptCount val="119"/>
                <c:pt idx="0">
                  <c:v>51.935000000000002</c:v>
                </c:pt>
                <c:pt idx="1">
                  <c:v>58.734000000000002</c:v>
                </c:pt>
                <c:pt idx="2">
                  <c:v>59.246000000000002</c:v>
                </c:pt>
                <c:pt idx="3">
                  <c:v>59.073</c:v>
                </c:pt>
                <c:pt idx="7">
                  <c:v>57.231000000000002</c:v>
                </c:pt>
                <c:pt idx="8">
                  <c:v>58.555</c:v>
                </c:pt>
                <c:pt idx="9">
                  <c:v>58.738999999999997</c:v>
                </c:pt>
                <c:pt idx="10">
                  <c:v>59.183</c:v>
                </c:pt>
                <c:pt idx="11">
                  <c:v>58.720999999999997</c:v>
                </c:pt>
                <c:pt idx="12">
                  <c:v>58.875999999999998</c:v>
                </c:pt>
                <c:pt idx="13">
                  <c:v>58.853000000000002</c:v>
                </c:pt>
                <c:pt idx="17">
                  <c:v>58.271000000000001</c:v>
                </c:pt>
                <c:pt idx="18">
                  <c:v>59.465000000000003</c:v>
                </c:pt>
                <c:pt idx="19">
                  <c:v>59.610999999999997</c:v>
                </c:pt>
                <c:pt idx="20">
                  <c:v>58.445</c:v>
                </c:pt>
                <c:pt idx="21">
                  <c:v>59.329000000000001</c:v>
                </c:pt>
                <c:pt idx="22">
                  <c:v>59.164000000000001</c:v>
                </c:pt>
                <c:pt idx="26">
                  <c:v>58.798000000000002</c:v>
                </c:pt>
                <c:pt idx="27">
                  <c:v>59.252000000000002</c:v>
                </c:pt>
                <c:pt idx="28">
                  <c:v>59.732999999999997</c:v>
                </c:pt>
                <c:pt idx="29">
                  <c:v>59.878999999999998</c:v>
                </c:pt>
                <c:pt idx="30">
                  <c:v>59.720999999999997</c:v>
                </c:pt>
                <c:pt idx="31">
                  <c:v>59.45</c:v>
                </c:pt>
                <c:pt idx="35">
                  <c:v>51.146000000000001</c:v>
                </c:pt>
                <c:pt idx="36">
                  <c:v>59.274000000000001</c:v>
                </c:pt>
                <c:pt idx="37">
                  <c:v>59.902999999999999</c:v>
                </c:pt>
                <c:pt idx="38">
                  <c:v>58.131999999999998</c:v>
                </c:pt>
                <c:pt idx="42">
                  <c:v>58.49</c:v>
                </c:pt>
                <c:pt idx="43">
                  <c:v>58.558999999999997</c:v>
                </c:pt>
                <c:pt idx="44">
                  <c:v>60.029000000000003</c:v>
                </c:pt>
                <c:pt idx="45">
                  <c:v>60.030999999999999</c:v>
                </c:pt>
                <c:pt idx="46">
                  <c:v>59.854999999999997</c:v>
                </c:pt>
                <c:pt idx="50">
                  <c:v>49.033999999999999</c:v>
                </c:pt>
                <c:pt idx="51">
                  <c:v>59.865000000000002</c:v>
                </c:pt>
                <c:pt idx="52">
                  <c:v>59.247999999999998</c:v>
                </c:pt>
                <c:pt idx="53">
                  <c:v>60.378999999999998</c:v>
                </c:pt>
                <c:pt idx="54">
                  <c:v>60.732999999999997</c:v>
                </c:pt>
                <c:pt idx="55">
                  <c:v>60.374000000000002</c:v>
                </c:pt>
                <c:pt idx="59">
                  <c:v>61.334000000000003</c:v>
                </c:pt>
                <c:pt idx="60">
                  <c:v>59.765999999999998</c:v>
                </c:pt>
                <c:pt idx="61">
                  <c:v>61.185000000000002</c:v>
                </c:pt>
                <c:pt idx="62">
                  <c:v>60.924999999999997</c:v>
                </c:pt>
                <c:pt idx="63">
                  <c:v>61</c:v>
                </c:pt>
                <c:pt idx="67">
                  <c:v>60.603000000000002</c:v>
                </c:pt>
                <c:pt idx="68">
                  <c:v>61.347999999999999</c:v>
                </c:pt>
                <c:pt idx="69">
                  <c:v>61.427999999999997</c:v>
                </c:pt>
                <c:pt idx="70">
                  <c:v>61.683999999999997</c:v>
                </c:pt>
                <c:pt idx="74">
                  <c:v>55.771000000000001</c:v>
                </c:pt>
                <c:pt idx="75">
                  <c:v>62.201999999999998</c:v>
                </c:pt>
                <c:pt idx="76">
                  <c:v>62.148000000000003</c:v>
                </c:pt>
                <c:pt idx="77">
                  <c:v>62.828000000000003</c:v>
                </c:pt>
                <c:pt idx="78">
                  <c:v>62.624000000000002</c:v>
                </c:pt>
                <c:pt idx="82">
                  <c:v>62.186999999999998</c:v>
                </c:pt>
                <c:pt idx="83">
                  <c:v>62.843000000000004</c:v>
                </c:pt>
                <c:pt idx="84">
                  <c:v>62.466000000000001</c:v>
                </c:pt>
                <c:pt idx="85">
                  <c:v>62.48</c:v>
                </c:pt>
                <c:pt idx="86">
                  <c:v>62.610999999999997</c:v>
                </c:pt>
                <c:pt idx="90">
                  <c:v>61.942999999999998</c:v>
                </c:pt>
                <c:pt idx="91">
                  <c:v>62.25</c:v>
                </c:pt>
                <c:pt idx="92">
                  <c:v>62.633000000000003</c:v>
                </c:pt>
                <c:pt idx="93">
                  <c:v>62.843000000000004</c:v>
                </c:pt>
                <c:pt idx="94">
                  <c:v>61.542999999999999</c:v>
                </c:pt>
                <c:pt idx="98">
                  <c:v>61.331000000000003</c:v>
                </c:pt>
                <c:pt idx="99">
                  <c:v>62.902999999999999</c:v>
                </c:pt>
                <c:pt idx="100">
                  <c:v>62.969000000000001</c:v>
                </c:pt>
                <c:pt idx="101">
                  <c:v>62.567999999999998</c:v>
                </c:pt>
                <c:pt idx="105">
                  <c:v>62.448</c:v>
                </c:pt>
                <c:pt idx="106">
                  <c:v>62.978000000000002</c:v>
                </c:pt>
                <c:pt idx="107">
                  <c:v>62.896000000000001</c:v>
                </c:pt>
                <c:pt idx="111">
                  <c:v>62.445999999999998</c:v>
                </c:pt>
                <c:pt idx="112">
                  <c:v>62.820999999999998</c:v>
                </c:pt>
                <c:pt idx="113">
                  <c:v>62.526000000000003</c:v>
                </c:pt>
                <c:pt idx="114">
                  <c:v>61.936999999999998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43-4774-9C1A-E06AF758062A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All!$IC$6:$IC$124</c:f>
              <c:numCache>
                <c:formatCode>General</c:formatCode>
                <c:ptCount val="119"/>
                <c:pt idx="0">
                  <c:v>4.5720000000000001</c:v>
                </c:pt>
                <c:pt idx="1">
                  <c:v>22.102</c:v>
                </c:pt>
                <c:pt idx="2">
                  <c:v>22.658999999999999</c:v>
                </c:pt>
                <c:pt idx="3">
                  <c:v>23.016999999999999</c:v>
                </c:pt>
                <c:pt idx="7">
                  <c:v>18.283999999999999</c:v>
                </c:pt>
                <c:pt idx="8">
                  <c:v>22.917999999999999</c:v>
                </c:pt>
                <c:pt idx="9">
                  <c:v>22.895</c:v>
                </c:pt>
                <c:pt idx="10">
                  <c:v>23.055</c:v>
                </c:pt>
                <c:pt idx="11">
                  <c:v>21.777000000000001</c:v>
                </c:pt>
                <c:pt idx="12">
                  <c:v>22.841999999999999</c:v>
                </c:pt>
                <c:pt idx="13">
                  <c:v>22.786000000000001</c:v>
                </c:pt>
                <c:pt idx="17">
                  <c:v>17.736999999999998</c:v>
                </c:pt>
                <c:pt idx="18">
                  <c:v>22.41</c:v>
                </c:pt>
                <c:pt idx="19">
                  <c:v>22.917999999999999</c:v>
                </c:pt>
                <c:pt idx="20">
                  <c:v>22.852</c:v>
                </c:pt>
                <c:pt idx="21">
                  <c:v>22.756</c:v>
                </c:pt>
                <c:pt idx="22">
                  <c:v>22.667000000000002</c:v>
                </c:pt>
                <c:pt idx="26">
                  <c:v>20.016999999999999</c:v>
                </c:pt>
                <c:pt idx="27">
                  <c:v>22.327000000000002</c:v>
                </c:pt>
                <c:pt idx="28">
                  <c:v>22.542000000000002</c:v>
                </c:pt>
                <c:pt idx="29">
                  <c:v>22.393000000000001</c:v>
                </c:pt>
                <c:pt idx="30">
                  <c:v>22.606000000000002</c:v>
                </c:pt>
                <c:pt idx="31">
                  <c:v>22.239000000000001</c:v>
                </c:pt>
                <c:pt idx="35">
                  <c:v>16.997</c:v>
                </c:pt>
                <c:pt idx="36">
                  <c:v>22.163</c:v>
                </c:pt>
                <c:pt idx="37">
                  <c:v>22.349</c:v>
                </c:pt>
                <c:pt idx="38">
                  <c:v>16.343</c:v>
                </c:pt>
                <c:pt idx="42">
                  <c:v>18.274000000000001</c:v>
                </c:pt>
                <c:pt idx="43">
                  <c:v>16.071999999999999</c:v>
                </c:pt>
                <c:pt idx="44">
                  <c:v>22.239000000000001</c:v>
                </c:pt>
                <c:pt idx="45">
                  <c:v>22.786999999999999</c:v>
                </c:pt>
                <c:pt idx="46">
                  <c:v>22.731999999999999</c:v>
                </c:pt>
                <c:pt idx="50">
                  <c:v>6.867</c:v>
                </c:pt>
                <c:pt idx="51">
                  <c:v>19.879000000000001</c:v>
                </c:pt>
                <c:pt idx="52">
                  <c:v>14.771000000000001</c:v>
                </c:pt>
                <c:pt idx="53">
                  <c:v>22.341999999999999</c:v>
                </c:pt>
                <c:pt idx="54">
                  <c:v>23.01</c:v>
                </c:pt>
                <c:pt idx="55">
                  <c:v>21.337</c:v>
                </c:pt>
                <c:pt idx="59">
                  <c:v>14.978999999999999</c:v>
                </c:pt>
                <c:pt idx="60">
                  <c:v>19.428999999999998</c:v>
                </c:pt>
                <c:pt idx="61">
                  <c:v>22.228000000000002</c:v>
                </c:pt>
                <c:pt idx="62">
                  <c:v>22.783999999999999</c:v>
                </c:pt>
                <c:pt idx="63">
                  <c:v>22.675000000000001</c:v>
                </c:pt>
                <c:pt idx="67">
                  <c:v>19.253</c:v>
                </c:pt>
                <c:pt idx="68">
                  <c:v>22.715</c:v>
                </c:pt>
                <c:pt idx="69">
                  <c:v>22.952999999999999</c:v>
                </c:pt>
                <c:pt idx="70">
                  <c:v>22.678999999999998</c:v>
                </c:pt>
                <c:pt idx="74">
                  <c:v>5.556</c:v>
                </c:pt>
                <c:pt idx="75">
                  <c:v>21.74</c:v>
                </c:pt>
                <c:pt idx="76">
                  <c:v>21.888999999999999</c:v>
                </c:pt>
                <c:pt idx="77">
                  <c:v>22.193999999999999</c:v>
                </c:pt>
                <c:pt idx="78">
                  <c:v>22.233000000000001</c:v>
                </c:pt>
                <c:pt idx="82">
                  <c:v>18.878</c:v>
                </c:pt>
                <c:pt idx="83">
                  <c:v>22.029</c:v>
                </c:pt>
                <c:pt idx="84">
                  <c:v>22.186</c:v>
                </c:pt>
                <c:pt idx="85">
                  <c:v>22.08</c:v>
                </c:pt>
                <c:pt idx="86">
                  <c:v>21.882999999999999</c:v>
                </c:pt>
                <c:pt idx="90">
                  <c:v>19.13</c:v>
                </c:pt>
                <c:pt idx="91">
                  <c:v>20.940999999999999</c:v>
                </c:pt>
                <c:pt idx="92">
                  <c:v>20.481000000000002</c:v>
                </c:pt>
                <c:pt idx="93">
                  <c:v>21.436</c:v>
                </c:pt>
                <c:pt idx="94">
                  <c:v>15.797000000000001</c:v>
                </c:pt>
                <c:pt idx="98">
                  <c:v>16.544</c:v>
                </c:pt>
                <c:pt idx="99">
                  <c:v>22.102</c:v>
                </c:pt>
                <c:pt idx="100">
                  <c:v>22.375</c:v>
                </c:pt>
                <c:pt idx="101">
                  <c:v>22.172999999999998</c:v>
                </c:pt>
                <c:pt idx="105">
                  <c:v>19.143000000000001</c:v>
                </c:pt>
                <c:pt idx="106">
                  <c:v>22.454000000000001</c:v>
                </c:pt>
                <c:pt idx="107">
                  <c:v>22.143999999999998</c:v>
                </c:pt>
                <c:pt idx="111">
                  <c:v>19.155000000000001</c:v>
                </c:pt>
                <c:pt idx="112">
                  <c:v>22.446999999999999</c:v>
                </c:pt>
                <c:pt idx="113">
                  <c:v>22.472000000000001</c:v>
                </c:pt>
                <c:pt idx="114">
                  <c:v>16.716000000000001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43-4774-9C1A-E06AF7580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8768"/>
        <c:axId val="543727504"/>
      </c:scatterChart>
      <c:valAx>
        <c:axId val="48399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79536"/>
        <c:crosses val="autoZero"/>
        <c:crossBetween val="midCat"/>
      </c:valAx>
      <c:valAx>
        <c:axId val="483979536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9504"/>
        <c:crosses val="autoZero"/>
        <c:crossBetween val="midCat"/>
      </c:valAx>
      <c:valAx>
        <c:axId val="543727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8768"/>
        <c:crosses val="max"/>
        <c:crossBetween val="midCat"/>
      </c:valAx>
      <c:valAx>
        <c:axId val="543718768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2750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All!$CU$6:$CU$124</c:f>
              <c:numCache>
                <c:formatCode>General</c:formatCode>
                <c:ptCount val="119"/>
                <c:pt idx="0">
                  <c:v>0.999</c:v>
                </c:pt>
                <c:pt idx="1">
                  <c:v>1.099</c:v>
                </c:pt>
                <c:pt idx="2">
                  <c:v>0.499</c:v>
                </c:pt>
                <c:pt idx="3">
                  <c:v>1.1000000000000001</c:v>
                </c:pt>
                <c:pt idx="7">
                  <c:v>0.998</c:v>
                </c:pt>
                <c:pt idx="8">
                  <c:v>1</c:v>
                </c:pt>
                <c:pt idx="9">
                  <c:v>0.7</c:v>
                </c:pt>
                <c:pt idx="10">
                  <c:v>0.59899999999999998</c:v>
                </c:pt>
                <c:pt idx="11">
                  <c:v>1.4</c:v>
                </c:pt>
                <c:pt idx="12">
                  <c:v>1.0009999999999999</c:v>
                </c:pt>
                <c:pt idx="13">
                  <c:v>3.6219999999999999</c:v>
                </c:pt>
                <c:pt idx="17">
                  <c:v>1.198</c:v>
                </c:pt>
                <c:pt idx="18">
                  <c:v>1.3</c:v>
                </c:pt>
                <c:pt idx="19">
                  <c:v>0.7</c:v>
                </c:pt>
                <c:pt idx="20">
                  <c:v>1.0980000000000001</c:v>
                </c:pt>
                <c:pt idx="21">
                  <c:v>0.9</c:v>
                </c:pt>
                <c:pt idx="22">
                  <c:v>8.0779999999999994</c:v>
                </c:pt>
                <c:pt idx="26">
                  <c:v>1.0980000000000001</c:v>
                </c:pt>
                <c:pt idx="27">
                  <c:v>0.89900000000000002</c:v>
                </c:pt>
                <c:pt idx="28">
                  <c:v>0.90200000000000002</c:v>
                </c:pt>
                <c:pt idx="29">
                  <c:v>1.3029999999999999</c:v>
                </c:pt>
                <c:pt idx="30">
                  <c:v>1.302</c:v>
                </c:pt>
                <c:pt idx="31">
                  <c:v>4.2009999999999996</c:v>
                </c:pt>
                <c:pt idx="35">
                  <c:v>1.097</c:v>
                </c:pt>
                <c:pt idx="36">
                  <c:v>1.196</c:v>
                </c:pt>
                <c:pt idx="37">
                  <c:v>0.80200000000000005</c:v>
                </c:pt>
                <c:pt idx="38">
                  <c:v>6.24</c:v>
                </c:pt>
                <c:pt idx="42">
                  <c:v>0.79900000000000004</c:v>
                </c:pt>
                <c:pt idx="43">
                  <c:v>0.999</c:v>
                </c:pt>
                <c:pt idx="44">
                  <c:v>0.89600000000000002</c:v>
                </c:pt>
                <c:pt idx="45">
                  <c:v>0.5</c:v>
                </c:pt>
                <c:pt idx="46">
                  <c:v>0.59899999999999998</c:v>
                </c:pt>
                <c:pt idx="50">
                  <c:v>1.3</c:v>
                </c:pt>
                <c:pt idx="51">
                  <c:v>0.29799999999999999</c:v>
                </c:pt>
                <c:pt idx="52">
                  <c:v>0.90100000000000002</c:v>
                </c:pt>
                <c:pt idx="53">
                  <c:v>1.1000000000000001</c:v>
                </c:pt>
                <c:pt idx="54">
                  <c:v>1.2969999999999999</c:v>
                </c:pt>
                <c:pt idx="55">
                  <c:v>0.89900000000000002</c:v>
                </c:pt>
                <c:pt idx="59">
                  <c:v>0</c:v>
                </c:pt>
                <c:pt idx="60">
                  <c:v>1.1990000000000001</c:v>
                </c:pt>
                <c:pt idx="61">
                  <c:v>1.2</c:v>
                </c:pt>
                <c:pt idx="62">
                  <c:v>0.499</c:v>
                </c:pt>
                <c:pt idx="63">
                  <c:v>3.3380000000000001</c:v>
                </c:pt>
                <c:pt idx="67">
                  <c:v>1.6970000000000001</c:v>
                </c:pt>
                <c:pt idx="68">
                  <c:v>1</c:v>
                </c:pt>
                <c:pt idx="69">
                  <c:v>0.79900000000000004</c:v>
                </c:pt>
                <c:pt idx="70">
                  <c:v>0.79800000000000004</c:v>
                </c:pt>
                <c:pt idx="74">
                  <c:v>1.296</c:v>
                </c:pt>
                <c:pt idx="75">
                  <c:v>0.70199999999999996</c:v>
                </c:pt>
                <c:pt idx="76">
                  <c:v>1.7010000000000001</c:v>
                </c:pt>
                <c:pt idx="77">
                  <c:v>0.80200000000000005</c:v>
                </c:pt>
                <c:pt idx="78">
                  <c:v>0.89700000000000002</c:v>
                </c:pt>
                <c:pt idx="82">
                  <c:v>0.996</c:v>
                </c:pt>
                <c:pt idx="83">
                  <c:v>0.6</c:v>
                </c:pt>
                <c:pt idx="84">
                  <c:v>0.60099999999999998</c:v>
                </c:pt>
                <c:pt idx="85">
                  <c:v>1.1040000000000001</c:v>
                </c:pt>
                <c:pt idx="86">
                  <c:v>0.70099999999999996</c:v>
                </c:pt>
                <c:pt idx="90">
                  <c:v>1.5</c:v>
                </c:pt>
                <c:pt idx="91">
                  <c:v>0.79800000000000004</c:v>
                </c:pt>
                <c:pt idx="92">
                  <c:v>0.89900000000000002</c:v>
                </c:pt>
                <c:pt idx="93">
                  <c:v>0.79700000000000004</c:v>
                </c:pt>
                <c:pt idx="94">
                  <c:v>0.6</c:v>
                </c:pt>
                <c:pt idx="98">
                  <c:v>1.099</c:v>
                </c:pt>
                <c:pt idx="99">
                  <c:v>1.099</c:v>
                </c:pt>
                <c:pt idx="100">
                  <c:v>0.79900000000000004</c:v>
                </c:pt>
                <c:pt idx="101">
                  <c:v>1.0980000000000001</c:v>
                </c:pt>
                <c:pt idx="105">
                  <c:v>1.1990000000000001</c:v>
                </c:pt>
                <c:pt idx="106">
                  <c:v>1.1000000000000001</c:v>
                </c:pt>
                <c:pt idx="107">
                  <c:v>1.3029999999999999</c:v>
                </c:pt>
                <c:pt idx="111">
                  <c:v>0.79900000000000004</c:v>
                </c:pt>
                <c:pt idx="112">
                  <c:v>0.59799999999999998</c:v>
                </c:pt>
                <c:pt idx="113">
                  <c:v>1.2969999999999999</c:v>
                </c:pt>
                <c:pt idx="114">
                  <c:v>0.70099999999999996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D-4FF6-B019-CBBDB274BC0E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All!$CV$6:$CV$124</c:f>
              <c:numCache>
                <c:formatCode>General</c:formatCode>
                <c:ptCount val="119"/>
                <c:pt idx="0">
                  <c:v>1.595</c:v>
                </c:pt>
                <c:pt idx="1">
                  <c:v>1.4</c:v>
                </c:pt>
                <c:pt idx="2">
                  <c:v>1.6990000000000001</c:v>
                </c:pt>
                <c:pt idx="3">
                  <c:v>1.5980000000000001</c:v>
                </c:pt>
                <c:pt idx="7">
                  <c:v>1.5029999999999999</c:v>
                </c:pt>
                <c:pt idx="8">
                  <c:v>0.997</c:v>
                </c:pt>
                <c:pt idx="9">
                  <c:v>1.599</c:v>
                </c:pt>
                <c:pt idx="10">
                  <c:v>1.7030000000000001</c:v>
                </c:pt>
                <c:pt idx="11">
                  <c:v>1.1020000000000001</c:v>
                </c:pt>
                <c:pt idx="12">
                  <c:v>1.3</c:v>
                </c:pt>
                <c:pt idx="13">
                  <c:v>4.016</c:v>
                </c:pt>
                <c:pt idx="17">
                  <c:v>1.298</c:v>
                </c:pt>
                <c:pt idx="18">
                  <c:v>1.099</c:v>
                </c:pt>
                <c:pt idx="19">
                  <c:v>0.998</c:v>
                </c:pt>
                <c:pt idx="20">
                  <c:v>0.998</c:v>
                </c:pt>
                <c:pt idx="21">
                  <c:v>0.997</c:v>
                </c:pt>
                <c:pt idx="22">
                  <c:v>8.6809999999999992</c:v>
                </c:pt>
                <c:pt idx="26">
                  <c:v>1.093</c:v>
                </c:pt>
                <c:pt idx="27">
                  <c:v>1.2969999999999999</c:v>
                </c:pt>
                <c:pt idx="28">
                  <c:v>1.2969999999999999</c:v>
                </c:pt>
                <c:pt idx="29">
                  <c:v>1.202</c:v>
                </c:pt>
                <c:pt idx="30">
                  <c:v>1.194</c:v>
                </c:pt>
                <c:pt idx="31">
                  <c:v>4.5960000000000001</c:v>
                </c:pt>
                <c:pt idx="35">
                  <c:v>1.694</c:v>
                </c:pt>
                <c:pt idx="36">
                  <c:v>1.196</c:v>
                </c:pt>
                <c:pt idx="37">
                  <c:v>0.99299999999999999</c:v>
                </c:pt>
                <c:pt idx="38">
                  <c:v>5.7389999999999999</c:v>
                </c:pt>
                <c:pt idx="42">
                  <c:v>1.4</c:v>
                </c:pt>
                <c:pt idx="43">
                  <c:v>1.498</c:v>
                </c:pt>
                <c:pt idx="44">
                  <c:v>1.0980000000000001</c:v>
                </c:pt>
                <c:pt idx="45">
                  <c:v>1.196</c:v>
                </c:pt>
                <c:pt idx="46">
                  <c:v>1.296</c:v>
                </c:pt>
                <c:pt idx="50">
                  <c:v>0.9</c:v>
                </c:pt>
                <c:pt idx="51">
                  <c:v>0.80200000000000005</c:v>
                </c:pt>
                <c:pt idx="52">
                  <c:v>0.79900000000000004</c:v>
                </c:pt>
                <c:pt idx="53">
                  <c:v>0.79800000000000004</c:v>
                </c:pt>
                <c:pt idx="54">
                  <c:v>1.5980000000000001</c:v>
                </c:pt>
                <c:pt idx="55">
                  <c:v>1.6970000000000001</c:v>
                </c:pt>
                <c:pt idx="59">
                  <c:v>0</c:v>
                </c:pt>
                <c:pt idx="60">
                  <c:v>1.5</c:v>
                </c:pt>
                <c:pt idx="61">
                  <c:v>0.995</c:v>
                </c:pt>
                <c:pt idx="62">
                  <c:v>0.7</c:v>
                </c:pt>
                <c:pt idx="63">
                  <c:v>4.1369999999999996</c:v>
                </c:pt>
                <c:pt idx="67">
                  <c:v>2.5</c:v>
                </c:pt>
                <c:pt idx="68">
                  <c:v>1.4</c:v>
                </c:pt>
                <c:pt idx="69">
                  <c:v>1.103</c:v>
                </c:pt>
                <c:pt idx="70">
                  <c:v>0.90100000000000002</c:v>
                </c:pt>
                <c:pt idx="74">
                  <c:v>1.2969999999999999</c:v>
                </c:pt>
                <c:pt idx="75">
                  <c:v>0.9</c:v>
                </c:pt>
                <c:pt idx="76">
                  <c:v>1.4970000000000001</c:v>
                </c:pt>
                <c:pt idx="77">
                  <c:v>1.3959999999999999</c:v>
                </c:pt>
                <c:pt idx="78">
                  <c:v>0.9</c:v>
                </c:pt>
                <c:pt idx="82">
                  <c:v>2.0920000000000001</c:v>
                </c:pt>
                <c:pt idx="83">
                  <c:v>1.198</c:v>
                </c:pt>
                <c:pt idx="84">
                  <c:v>1.5940000000000001</c:v>
                </c:pt>
                <c:pt idx="85">
                  <c:v>2.101</c:v>
                </c:pt>
                <c:pt idx="86">
                  <c:v>1.2010000000000001</c:v>
                </c:pt>
                <c:pt idx="90">
                  <c:v>2.0939999999999999</c:v>
                </c:pt>
                <c:pt idx="91">
                  <c:v>1.198</c:v>
                </c:pt>
                <c:pt idx="92">
                  <c:v>1.9990000000000001</c:v>
                </c:pt>
                <c:pt idx="93">
                  <c:v>1.4990000000000001</c:v>
                </c:pt>
                <c:pt idx="94">
                  <c:v>1.401</c:v>
                </c:pt>
                <c:pt idx="98">
                  <c:v>1.599</c:v>
                </c:pt>
                <c:pt idx="99">
                  <c:v>1.2</c:v>
                </c:pt>
                <c:pt idx="100">
                  <c:v>1.5009999999999999</c:v>
                </c:pt>
                <c:pt idx="101">
                  <c:v>2.1</c:v>
                </c:pt>
                <c:pt idx="105">
                  <c:v>1.6990000000000001</c:v>
                </c:pt>
                <c:pt idx="106">
                  <c:v>1.4</c:v>
                </c:pt>
                <c:pt idx="107">
                  <c:v>1.7050000000000001</c:v>
                </c:pt>
                <c:pt idx="111">
                  <c:v>0.30199999999999999</c:v>
                </c:pt>
                <c:pt idx="112">
                  <c:v>0.60199999999999998</c:v>
                </c:pt>
                <c:pt idx="113">
                  <c:v>1.897</c:v>
                </c:pt>
                <c:pt idx="114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ED-4FF6-B019-CBBDB274BC0E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All!$CW$6:$CW$124</c:f>
              <c:numCache>
                <c:formatCode>General</c:formatCode>
                <c:ptCount val="119"/>
                <c:pt idx="0">
                  <c:v>0.89800000000000002</c:v>
                </c:pt>
                <c:pt idx="1">
                  <c:v>1.002</c:v>
                </c:pt>
                <c:pt idx="2">
                  <c:v>1.7969999999999999</c:v>
                </c:pt>
                <c:pt idx="3">
                  <c:v>0.79700000000000004</c:v>
                </c:pt>
                <c:pt idx="7">
                  <c:v>1.3</c:v>
                </c:pt>
                <c:pt idx="8">
                  <c:v>1.198</c:v>
                </c:pt>
                <c:pt idx="9">
                  <c:v>1.302</c:v>
                </c:pt>
                <c:pt idx="10">
                  <c:v>1.9019999999999999</c:v>
                </c:pt>
                <c:pt idx="11">
                  <c:v>1.9</c:v>
                </c:pt>
                <c:pt idx="12">
                  <c:v>1.002</c:v>
                </c:pt>
                <c:pt idx="13">
                  <c:v>4.0209999999999999</c:v>
                </c:pt>
                <c:pt idx="17">
                  <c:v>1.7989999999999999</c:v>
                </c:pt>
                <c:pt idx="18">
                  <c:v>1.1990000000000001</c:v>
                </c:pt>
                <c:pt idx="19">
                  <c:v>0.998</c:v>
                </c:pt>
                <c:pt idx="20">
                  <c:v>1.298</c:v>
                </c:pt>
                <c:pt idx="21">
                  <c:v>0.80200000000000005</c:v>
                </c:pt>
                <c:pt idx="22">
                  <c:v>8.0790000000000006</c:v>
                </c:pt>
                <c:pt idx="26">
                  <c:v>1.5960000000000001</c:v>
                </c:pt>
                <c:pt idx="27">
                  <c:v>0.89800000000000002</c:v>
                </c:pt>
                <c:pt idx="28">
                  <c:v>0.498</c:v>
                </c:pt>
                <c:pt idx="29">
                  <c:v>0.80200000000000005</c:v>
                </c:pt>
                <c:pt idx="30">
                  <c:v>1.399</c:v>
                </c:pt>
                <c:pt idx="31">
                  <c:v>4.4989999999999997</c:v>
                </c:pt>
                <c:pt idx="35">
                  <c:v>0.8</c:v>
                </c:pt>
                <c:pt idx="36">
                  <c:v>1.2010000000000001</c:v>
                </c:pt>
                <c:pt idx="37">
                  <c:v>0.79900000000000004</c:v>
                </c:pt>
                <c:pt idx="38">
                  <c:v>5.7389999999999999</c:v>
                </c:pt>
                <c:pt idx="42">
                  <c:v>1.5</c:v>
                </c:pt>
                <c:pt idx="43">
                  <c:v>1.296</c:v>
                </c:pt>
                <c:pt idx="44">
                  <c:v>0.998</c:v>
                </c:pt>
                <c:pt idx="45">
                  <c:v>0.79900000000000004</c:v>
                </c:pt>
                <c:pt idx="46">
                  <c:v>1.0940000000000001</c:v>
                </c:pt>
                <c:pt idx="50">
                  <c:v>1.3939999999999999</c:v>
                </c:pt>
                <c:pt idx="51">
                  <c:v>0.6</c:v>
                </c:pt>
                <c:pt idx="52">
                  <c:v>1.5980000000000001</c:v>
                </c:pt>
                <c:pt idx="53">
                  <c:v>0.7</c:v>
                </c:pt>
                <c:pt idx="54">
                  <c:v>1.3</c:v>
                </c:pt>
                <c:pt idx="55">
                  <c:v>1.3029999999999999</c:v>
                </c:pt>
                <c:pt idx="59">
                  <c:v>0</c:v>
                </c:pt>
                <c:pt idx="60">
                  <c:v>0.60099999999999998</c:v>
                </c:pt>
                <c:pt idx="61">
                  <c:v>1.099</c:v>
                </c:pt>
                <c:pt idx="62">
                  <c:v>0.90200000000000002</c:v>
                </c:pt>
                <c:pt idx="63">
                  <c:v>3.44</c:v>
                </c:pt>
                <c:pt idx="67">
                  <c:v>1.7010000000000001</c:v>
                </c:pt>
                <c:pt idx="68">
                  <c:v>0.79800000000000004</c:v>
                </c:pt>
                <c:pt idx="69">
                  <c:v>1.202</c:v>
                </c:pt>
                <c:pt idx="70">
                  <c:v>1.7010000000000001</c:v>
                </c:pt>
                <c:pt idx="74">
                  <c:v>0.69799999999999995</c:v>
                </c:pt>
                <c:pt idx="75">
                  <c:v>1.298</c:v>
                </c:pt>
                <c:pt idx="76">
                  <c:v>0.999</c:v>
                </c:pt>
                <c:pt idx="77">
                  <c:v>1.103</c:v>
                </c:pt>
                <c:pt idx="78">
                  <c:v>0.9</c:v>
                </c:pt>
                <c:pt idx="82">
                  <c:v>1.298</c:v>
                </c:pt>
                <c:pt idx="83">
                  <c:v>1.1020000000000001</c:v>
                </c:pt>
                <c:pt idx="84">
                  <c:v>0.999</c:v>
                </c:pt>
                <c:pt idx="85">
                  <c:v>1.4970000000000001</c:v>
                </c:pt>
                <c:pt idx="86">
                  <c:v>1.198</c:v>
                </c:pt>
                <c:pt idx="90">
                  <c:v>1.8009999999999999</c:v>
                </c:pt>
                <c:pt idx="91">
                  <c:v>1.796</c:v>
                </c:pt>
                <c:pt idx="92">
                  <c:v>1.9019999999999999</c:v>
                </c:pt>
                <c:pt idx="93">
                  <c:v>1.401</c:v>
                </c:pt>
                <c:pt idx="94">
                  <c:v>2.8010000000000002</c:v>
                </c:pt>
                <c:pt idx="98">
                  <c:v>1.202</c:v>
                </c:pt>
                <c:pt idx="99">
                  <c:v>1.2010000000000001</c:v>
                </c:pt>
                <c:pt idx="100">
                  <c:v>1.2010000000000001</c:v>
                </c:pt>
                <c:pt idx="101">
                  <c:v>0.9</c:v>
                </c:pt>
                <c:pt idx="105">
                  <c:v>1.7</c:v>
                </c:pt>
                <c:pt idx="106">
                  <c:v>0.70099999999999996</c:v>
                </c:pt>
                <c:pt idx="107">
                  <c:v>1.099</c:v>
                </c:pt>
                <c:pt idx="111">
                  <c:v>1.202</c:v>
                </c:pt>
                <c:pt idx="112">
                  <c:v>0.90100000000000002</c:v>
                </c:pt>
                <c:pt idx="113">
                  <c:v>1.399</c:v>
                </c:pt>
                <c:pt idx="11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ED-4FF6-B019-CBBDB274BC0E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All!$CX$6:$CX$124</c:f>
              <c:numCache>
                <c:formatCode>General</c:formatCode>
                <c:ptCount val="119"/>
                <c:pt idx="0">
                  <c:v>0.79900000000000004</c:v>
                </c:pt>
                <c:pt idx="1">
                  <c:v>1.5009999999999999</c:v>
                </c:pt>
                <c:pt idx="2">
                  <c:v>0.998</c:v>
                </c:pt>
                <c:pt idx="3">
                  <c:v>1.5029999999999999</c:v>
                </c:pt>
                <c:pt idx="7">
                  <c:v>1.7989999999999999</c:v>
                </c:pt>
                <c:pt idx="8">
                  <c:v>1.1000000000000001</c:v>
                </c:pt>
                <c:pt idx="9">
                  <c:v>1.7969999999999999</c:v>
                </c:pt>
                <c:pt idx="10">
                  <c:v>1.4970000000000001</c:v>
                </c:pt>
                <c:pt idx="11">
                  <c:v>1.4930000000000001</c:v>
                </c:pt>
                <c:pt idx="12">
                  <c:v>1.1020000000000001</c:v>
                </c:pt>
                <c:pt idx="13">
                  <c:v>3.72</c:v>
                </c:pt>
                <c:pt idx="17">
                  <c:v>1.796</c:v>
                </c:pt>
                <c:pt idx="18">
                  <c:v>1.397</c:v>
                </c:pt>
                <c:pt idx="19">
                  <c:v>1.597</c:v>
                </c:pt>
                <c:pt idx="20">
                  <c:v>1.6970000000000001</c:v>
                </c:pt>
                <c:pt idx="21">
                  <c:v>1.4950000000000001</c:v>
                </c:pt>
                <c:pt idx="22">
                  <c:v>8.3740000000000006</c:v>
                </c:pt>
                <c:pt idx="26">
                  <c:v>1.595</c:v>
                </c:pt>
                <c:pt idx="27">
                  <c:v>1.401</c:v>
                </c:pt>
                <c:pt idx="28">
                  <c:v>1.5940000000000001</c:v>
                </c:pt>
                <c:pt idx="29">
                  <c:v>1.399</c:v>
                </c:pt>
                <c:pt idx="30">
                  <c:v>0.89800000000000002</c:v>
                </c:pt>
                <c:pt idx="31">
                  <c:v>4.5990000000000002</c:v>
                </c:pt>
                <c:pt idx="35">
                  <c:v>1.097</c:v>
                </c:pt>
                <c:pt idx="36">
                  <c:v>1.5980000000000001</c:v>
                </c:pt>
                <c:pt idx="37">
                  <c:v>1.401</c:v>
                </c:pt>
                <c:pt idx="38">
                  <c:v>6.2380000000000004</c:v>
                </c:pt>
                <c:pt idx="42">
                  <c:v>1.298</c:v>
                </c:pt>
                <c:pt idx="43">
                  <c:v>1.796</c:v>
                </c:pt>
                <c:pt idx="44">
                  <c:v>1.696</c:v>
                </c:pt>
                <c:pt idx="45">
                  <c:v>2.1920000000000002</c:v>
                </c:pt>
                <c:pt idx="46">
                  <c:v>1.2</c:v>
                </c:pt>
                <c:pt idx="50">
                  <c:v>1.502</c:v>
                </c:pt>
                <c:pt idx="51">
                  <c:v>1.6020000000000001</c:v>
                </c:pt>
                <c:pt idx="52">
                  <c:v>1.403</c:v>
                </c:pt>
                <c:pt idx="53">
                  <c:v>1.2969999999999999</c:v>
                </c:pt>
                <c:pt idx="54">
                  <c:v>1.2949999999999999</c:v>
                </c:pt>
                <c:pt idx="55">
                  <c:v>1.0980000000000001</c:v>
                </c:pt>
                <c:pt idx="59">
                  <c:v>0</c:v>
                </c:pt>
                <c:pt idx="60">
                  <c:v>1.399</c:v>
                </c:pt>
                <c:pt idx="61">
                  <c:v>0.997</c:v>
                </c:pt>
                <c:pt idx="62">
                  <c:v>1.4</c:v>
                </c:pt>
                <c:pt idx="63">
                  <c:v>3.7389999999999999</c:v>
                </c:pt>
                <c:pt idx="67">
                  <c:v>1.597</c:v>
                </c:pt>
                <c:pt idx="68">
                  <c:v>1.097</c:v>
                </c:pt>
                <c:pt idx="69">
                  <c:v>1.6990000000000001</c:v>
                </c:pt>
                <c:pt idx="70">
                  <c:v>1.7989999999999999</c:v>
                </c:pt>
                <c:pt idx="74">
                  <c:v>0.999</c:v>
                </c:pt>
                <c:pt idx="75">
                  <c:v>1.2030000000000001</c:v>
                </c:pt>
                <c:pt idx="76">
                  <c:v>1.095</c:v>
                </c:pt>
                <c:pt idx="77">
                  <c:v>1.296</c:v>
                </c:pt>
                <c:pt idx="78">
                  <c:v>0.8</c:v>
                </c:pt>
                <c:pt idx="82">
                  <c:v>1.796</c:v>
                </c:pt>
                <c:pt idx="83">
                  <c:v>1.6020000000000001</c:v>
                </c:pt>
                <c:pt idx="84">
                  <c:v>1.9</c:v>
                </c:pt>
                <c:pt idx="85">
                  <c:v>1.8</c:v>
                </c:pt>
                <c:pt idx="86">
                  <c:v>1.5</c:v>
                </c:pt>
                <c:pt idx="90">
                  <c:v>2.194</c:v>
                </c:pt>
                <c:pt idx="91">
                  <c:v>2.0009999999999999</c:v>
                </c:pt>
                <c:pt idx="92">
                  <c:v>1.8979999999999999</c:v>
                </c:pt>
                <c:pt idx="93">
                  <c:v>1.8029999999999999</c:v>
                </c:pt>
                <c:pt idx="94">
                  <c:v>0.998</c:v>
                </c:pt>
                <c:pt idx="98">
                  <c:v>1.4</c:v>
                </c:pt>
                <c:pt idx="99">
                  <c:v>1.4</c:v>
                </c:pt>
                <c:pt idx="100">
                  <c:v>2</c:v>
                </c:pt>
                <c:pt idx="101">
                  <c:v>1.702</c:v>
                </c:pt>
                <c:pt idx="105">
                  <c:v>2.097</c:v>
                </c:pt>
                <c:pt idx="106">
                  <c:v>1.099</c:v>
                </c:pt>
                <c:pt idx="107">
                  <c:v>0.79900000000000004</c:v>
                </c:pt>
                <c:pt idx="111">
                  <c:v>1.1990000000000001</c:v>
                </c:pt>
                <c:pt idx="112">
                  <c:v>1.1000000000000001</c:v>
                </c:pt>
                <c:pt idx="113">
                  <c:v>1.401</c:v>
                </c:pt>
                <c:pt idx="114">
                  <c:v>0.90100000000000002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ED-4FF6-B019-CBBDB274BC0E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All!$CY$6:$CY$124</c:f>
              <c:numCache>
                <c:formatCode>General</c:formatCode>
                <c:ptCount val="119"/>
                <c:pt idx="0">
                  <c:v>0.79600000000000004</c:v>
                </c:pt>
                <c:pt idx="1">
                  <c:v>0.70199999999999996</c:v>
                </c:pt>
                <c:pt idx="2">
                  <c:v>0.5</c:v>
                </c:pt>
                <c:pt idx="3">
                  <c:v>0.59799999999999998</c:v>
                </c:pt>
                <c:pt idx="7">
                  <c:v>0.7</c:v>
                </c:pt>
                <c:pt idx="8">
                  <c:v>0.79900000000000004</c:v>
                </c:pt>
                <c:pt idx="9">
                  <c:v>1.0980000000000001</c:v>
                </c:pt>
                <c:pt idx="10">
                  <c:v>1.0029999999999999</c:v>
                </c:pt>
                <c:pt idx="11">
                  <c:v>1.1040000000000001</c:v>
                </c:pt>
                <c:pt idx="12">
                  <c:v>1.298</c:v>
                </c:pt>
                <c:pt idx="13">
                  <c:v>3.419</c:v>
                </c:pt>
                <c:pt idx="17">
                  <c:v>1.1950000000000001</c:v>
                </c:pt>
                <c:pt idx="18">
                  <c:v>1.002</c:v>
                </c:pt>
                <c:pt idx="19">
                  <c:v>1.595</c:v>
                </c:pt>
                <c:pt idx="20">
                  <c:v>0.89700000000000002</c:v>
                </c:pt>
                <c:pt idx="21">
                  <c:v>0.69799999999999995</c:v>
                </c:pt>
                <c:pt idx="22">
                  <c:v>8.375</c:v>
                </c:pt>
                <c:pt idx="26">
                  <c:v>1.7989999999999999</c:v>
                </c:pt>
                <c:pt idx="27">
                  <c:v>0.39700000000000002</c:v>
                </c:pt>
                <c:pt idx="28">
                  <c:v>0.6</c:v>
                </c:pt>
                <c:pt idx="29">
                  <c:v>1.103</c:v>
                </c:pt>
                <c:pt idx="30">
                  <c:v>0.59899999999999998</c:v>
                </c:pt>
                <c:pt idx="31">
                  <c:v>4.4009999999999998</c:v>
                </c:pt>
                <c:pt idx="35">
                  <c:v>1.3959999999999999</c:v>
                </c:pt>
                <c:pt idx="36">
                  <c:v>1.0960000000000001</c:v>
                </c:pt>
                <c:pt idx="37">
                  <c:v>0.79800000000000004</c:v>
                </c:pt>
                <c:pt idx="38">
                  <c:v>5.5359999999999996</c:v>
                </c:pt>
                <c:pt idx="42">
                  <c:v>0.90200000000000002</c:v>
                </c:pt>
                <c:pt idx="43">
                  <c:v>1.6930000000000001</c:v>
                </c:pt>
                <c:pt idx="44">
                  <c:v>0.499</c:v>
                </c:pt>
                <c:pt idx="45">
                  <c:v>0.80100000000000005</c:v>
                </c:pt>
                <c:pt idx="46">
                  <c:v>1.1020000000000001</c:v>
                </c:pt>
                <c:pt idx="50">
                  <c:v>0.7</c:v>
                </c:pt>
                <c:pt idx="51">
                  <c:v>0.1</c:v>
                </c:pt>
                <c:pt idx="52">
                  <c:v>1.097</c:v>
                </c:pt>
                <c:pt idx="53">
                  <c:v>0.79700000000000004</c:v>
                </c:pt>
                <c:pt idx="54">
                  <c:v>0.499</c:v>
                </c:pt>
                <c:pt idx="55">
                  <c:v>0.79900000000000004</c:v>
                </c:pt>
                <c:pt idx="59">
                  <c:v>0</c:v>
                </c:pt>
                <c:pt idx="60">
                  <c:v>1.304</c:v>
                </c:pt>
                <c:pt idx="61">
                  <c:v>0.89800000000000002</c:v>
                </c:pt>
                <c:pt idx="62">
                  <c:v>0.9</c:v>
                </c:pt>
                <c:pt idx="63">
                  <c:v>3.2370000000000001</c:v>
                </c:pt>
                <c:pt idx="67">
                  <c:v>0.998</c:v>
                </c:pt>
                <c:pt idx="68">
                  <c:v>0.79600000000000004</c:v>
                </c:pt>
                <c:pt idx="69">
                  <c:v>0.998</c:v>
                </c:pt>
                <c:pt idx="70">
                  <c:v>0.89900000000000002</c:v>
                </c:pt>
                <c:pt idx="74">
                  <c:v>0.1</c:v>
                </c:pt>
                <c:pt idx="75">
                  <c:v>0.6</c:v>
                </c:pt>
                <c:pt idx="76">
                  <c:v>0.503</c:v>
                </c:pt>
                <c:pt idx="77">
                  <c:v>0.30199999999999999</c:v>
                </c:pt>
                <c:pt idx="78">
                  <c:v>0.70099999999999996</c:v>
                </c:pt>
                <c:pt idx="82">
                  <c:v>0.995</c:v>
                </c:pt>
                <c:pt idx="83">
                  <c:v>0.3</c:v>
                </c:pt>
                <c:pt idx="84">
                  <c:v>0.89700000000000002</c:v>
                </c:pt>
                <c:pt idx="85">
                  <c:v>1.2050000000000001</c:v>
                </c:pt>
                <c:pt idx="86">
                  <c:v>1.002</c:v>
                </c:pt>
                <c:pt idx="90">
                  <c:v>0.89800000000000002</c:v>
                </c:pt>
                <c:pt idx="91">
                  <c:v>0.998</c:v>
                </c:pt>
                <c:pt idx="92">
                  <c:v>0.7</c:v>
                </c:pt>
                <c:pt idx="93">
                  <c:v>0.80100000000000005</c:v>
                </c:pt>
                <c:pt idx="94">
                  <c:v>0.6</c:v>
                </c:pt>
                <c:pt idx="98">
                  <c:v>0.2</c:v>
                </c:pt>
                <c:pt idx="99">
                  <c:v>0.499</c:v>
                </c:pt>
                <c:pt idx="100">
                  <c:v>1.5980000000000001</c:v>
                </c:pt>
                <c:pt idx="101">
                  <c:v>0.89800000000000002</c:v>
                </c:pt>
                <c:pt idx="105">
                  <c:v>1.298</c:v>
                </c:pt>
                <c:pt idx="106">
                  <c:v>0.30099999999999999</c:v>
                </c:pt>
                <c:pt idx="107">
                  <c:v>0.498</c:v>
                </c:pt>
                <c:pt idx="111">
                  <c:v>0.5</c:v>
                </c:pt>
                <c:pt idx="112">
                  <c:v>1.3</c:v>
                </c:pt>
                <c:pt idx="113">
                  <c:v>1.1000000000000001</c:v>
                </c:pt>
                <c:pt idx="114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6ED-4FF6-B019-CBBDB274BC0E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All!$CZ$6:$CZ$124</c:f>
              <c:numCache>
                <c:formatCode>General</c:formatCode>
                <c:ptCount val="119"/>
                <c:pt idx="0">
                  <c:v>1.101</c:v>
                </c:pt>
                <c:pt idx="1">
                  <c:v>1.9</c:v>
                </c:pt>
                <c:pt idx="2">
                  <c:v>1.2969999999999999</c:v>
                </c:pt>
                <c:pt idx="3">
                  <c:v>0.89800000000000002</c:v>
                </c:pt>
                <c:pt idx="7">
                  <c:v>1.895</c:v>
                </c:pt>
                <c:pt idx="8">
                  <c:v>0.79800000000000004</c:v>
                </c:pt>
                <c:pt idx="9">
                  <c:v>1.3029999999999999</c:v>
                </c:pt>
                <c:pt idx="10">
                  <c:v>1.4</c:v>
                </c:pt>
                <c:pt idx="11">
                  <c:v>1.6020000000000001</c:v>
                </c:pt>
                <c:pt idx="12">
                  <c:v>0.90300000000000002</c:v>
                </c:pt>
                <c:pt idx="13">
                  <c:v>3.42</c:v>
                </c:pt>
                <c:pt idx="17">
                  <c:v>1.2969999999999999</c:v>
                </c:pt>
                <c:pt idx="18">
                  <c:v>1.298</c:v>
                </c:pt>
                <c:pt idx="19">
                  <c:v>1.498</c:v>
                </c:pt>
                <c:pt idx="20">
                  <c:v>1.5960000000000001</c:v>
                </c:pt>
                <c:pt idx="21">
                  <c:v>1.3979999999999999</c:v>
                </c:pt>
                <c:pt idx="22">
                  <c:v>8.5790000000000006</c:v>
                </c:pt>
                <c:pt idx="26">
                  <c:v>1.1930000000000001</c:v>
                </c:pt>
                <c:pt idx="27">
                  <c:v>0.79700000000000004</c:v>
                </c:pt>
                <c:pt idx="28">
                  <c:v>0.998</c:v>
                </c:pt>
                <c:pt idx="29">
                  <c:v>1.4</c:v>
                </c:pt>
                <c:pt idx="30">
                  <c:v>0.89700000000000002</c:v>
                </c:pt>
                <c:pt idx="31">
                  <c:v>4.5990000000000002</c:v>
                </c:pt>
                <c:pt idx="35">
                  <c:v>1.2949999999999999</c:v>
                </c:pt>
                <c:pt idx="36">
                  <c:v>1.101</c:v>
                </c:pt>
                <c:pt idx="37">
                  <c:v>0.90300000000000002</c:v>
                </c:pt>
                <c:pt idx="38">
                  <c:v>6.0369999999999999</c:v>
                </c:pt>
                <c:pt idx="42">
                  <c:v>1.099</c:v>
                </c:pt>
                <c:pt idx="43">
                  <c:v>0.501</c:v>
                </c:pt>
                <c:pt idx="44">
                  <c:v>1.099</c:v>
                </c:pt>
                <c:pt idx="45">
                  <c:v>1.401</c:v>
                </c:pt>
                <c:pt idx="46">
                  <c:v>0.89700000000000002</c:v>
                </c:pt>
                <c:pt idx="50">
                  <c:v>1.296</c:v>
                </c:pt>
                <c:pt idx="51">
                  <c:v>0.79900000000000004</c:v>
                </c:pt>
                <c:pt idx="52">
                  <c:v>0.8</c:v>
                </c:pt>
                <c:pt idx="53">
                  <c:v>0.80100000000000005</c:v>
                </c:pt>
                <c:pt idx="54">
                  <c:v>1.0009999999999999</c:v>
                </c:pt>
                <c:pt idx="55">
                  <c:v>1</c:v>
                </c:pt>
                <c:pt idx="59">
                  <c:v>0</c:v>
                </c:pt>
                <c:pt idx="60">
                  <c:v>1.6950000000000001</c:v>
                </c:pt>
                <c:pt idx="61">
                  <c:v>0.59899999999999998</c:v>
                </c:pt>
                <c:pt idx="62">
                  <c:v>1</c:v>
                </c:pt>
                <c:pt idx="63">
                  <c:v>3.04</c:v>
                </c:pt>
                <c:pt idx="67">
                  <c:v>1.3</c:v>
                </c:pt>
                <c:pt idx="68">
                  <c:v>1.2989999999999999</c:v>
                </c:pt>
                <c:pt idx="69">
                  <c:v>1.198</c:v>
                </c:pt>
                <c:pt idx="70">
                  <c:v>1.0009999999999999</c:v>
                </c:pt>
                <c:pt idx="74">
                  <c:v>0.79900000000000004</c:v>
                </c:pt>
                <c:pt idx="75">
                  <c:v>0.9</c:v>
                </c:pt>
                <c:pt idx="76">
                  <c:v>0.89800000000000002</c:v>
                </c:pt>
                <c:pt idx="77">
                  <c:v>0.79700000000000004</c:v>
                </c:pt>
                <c:pt idx="78">
                  <c:v>1.198</c:v>
                </c:pt>
                <c:pt idx="82">
                  <c:v>1.4950000000000001</c:v>
                </c:pt>
                <c:pt idx="83">
                  <c:v>1.403</c:v>
                </c:pt>
                <c:pt idx="84">
                  <c:v>1.2010000000000001</c:v>
                </c:pt>
                <c:pt idx="85">
                  <c:v>0.9</c:v>
                </c:pt>
                <c:pt idx="86">
                  <c:v>1.7989999999999999</c:v>
                </c:pt>
                <c:pt idx="90">
                  <c:v>1.6</c:v>
                </c:pt>
                <c:pt idx="91">
                  <c:v>1.595</c:v>
                </c:pt>
                <c:pt idx="92">
                  <c:v>1.6</c:v>
                </c:pt>
                <c:pt idx="93">
                  <c:v>2.198</c:v>
                </c:pt>
                <c:pt idx="94">
                  <c:v>0.80500000000000005</c:v>
                </c:pt>
                <c:pt idx="98">
                  <c:v>1.3009999999999999</c:v>
                </c:pt>
                <c:pt idx="99">
                  <c:v>1.0980000000000001</c:v>
                </c:pt>
                <c:pt idx="100">
                  <c:v>1.296</c:v>
                </c:pt>
                <c:pt idx="101">
                  <c:v>1.202</c:v>
                </c:pt>
                <c:pt idx="105">
                  <c:v>1.202</c:v>
                </c:pt>
                <c:pt idx="106">
                  <c:v>1.204</c:v>
                </c:pt>
                <c:pt idx="107">
                  <c:v>1.0009999999999999</c:v>
                </c:pt>
                <c:pt idx="111">
                  <c:v>1.897</c:v>
                </c:pt>
                <c:pt idx="112">
                  <c:v>1.4990000000000001</c:v>
                </c:pt>
                <c:pt idx="113">
                  <c:v>1.097</c:v>
                </c:pt>
                <c:pt idx="114">
                  <c:v>0.70099999999999996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6ED-4FF6-B019-CBBDB274BC0E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All!$DA$6:$DA$124</c:f>
              <c:numCache>
                <c:formatCode>General</c:formatCode>
                <c:ptCount val="119"/>
                <c:pt idx="0">
                  <c:v>0.9</c:v>
                </c:pt>
                <c:pt idx="1">
                  <c:v>1.0009999999999999</c:v>
                </c:pt>
                <c:pt idx="2">
                  <c:v>0.5</c:v>
                </c:pt>
                <c:pt idx="3">
                  <c:v>1.0009999999999999</c:v>
                </c:pt>
                <c:pt idx="7">
                  <c:v>0.89800000000000002</c:v>
                </c:pt>
                <c:pt idx="8">
                  <c:v>0.5</c:v>
                </c:pt>
                <c:pt idx="9">
                  <c:v>1.099</c:v>
                </c:pt>
                <c:pt idx="10">
                  <c:v>1</c:v>
                </c:pt>
                <c:pt idx="11">
                  <c:v>0.8</c:v>
                </c:pt>
                <c:pt idx="12">
                  <c:v>0.7</c:v>
                </c:pt>
                <c:pt idx="13">
                  <c:v>3.121</c:v>
                </c:pt>
                <c:pt idx="17">
                  <c:v>0.59799999999999998</c:v>
                </c:pt>
                <c:pt idx="18">
                  <c:v>0.90100000000000002</c:v>
                </c:pt>
                <c:pt idx="19">
                  <c:v>0.80100000000000005</c:v>
                </c:pt>
                <c:pt idx="20">
                  <c:v>0.90100000000000002</c:v>
                </c:pt>
                <c:pt idx="21">
                  <c:v>0.70099999999999996</c:v>
                </c:pt>
                <c:pt idx="22">
                  <c:v>7.6790000000000003</c:v>
                </c:pt>
                <c:pt idx="26">
                  <c:v>0.9</c:v>
                </c:pt>
                <c:pt idx="27">
                  <c:v>1.1950000000000001</c:v>
                </c:pt>
                <c:pt idx="28">
                  <c:v>0.60299999999999998</c:v>
                </c:pt>
                <c:pt idx="29">
                  <c:v>0.69899999999999995</c:v>
                </c:pt>
                <c:pt idx="30">
                  <c:v>0.60199999999999998</c:v>
                </c:pt>
                <c:pt idx="31">
                  <c:v>3.899</c:v>
                </c:pt>
                <c:pt idx="35">
                  <c:v>0.69699999999999995</c:v>
                </c:pt>
                <c:pt idx="36">
                  <c:v>0.6</c:v>
                </c:pt>
                <c:pt idx="37">
                  <c:v>0.59899999999999998</c:v>
                </c:pt>
                <c:pt idx="38">
                  <c:v>5.742</c:v>
                </c:pt>
                <c:pt idx="42">
                  <c:v>0.59899999999999998</c:v>
                </c:pt>
                <c:pt idx="43">
                  <c:v>0.69899999999999995</c:v>
                </c:pt>
                <c:pt idx="44">
                  <c:v>1.103</c:v>
                </c:pt>
                <c:pt idx="45">
                  <c:v>1.198</c:v>
                </c:pt>
                <c:pt idx="46">
                  <c:v>0.7</c:v>
                </c:pt>
                <c:pt idx="50">
                  <c:v>0.7</c:v>
                </c:pt>
                <c:pt idx="51">
                  <c:v>0.60299999999999998</c:v>
                </c:pt>
                <c:pt idx="52">
                  <c:v>1.1000000000000001</c:v>
                </c:pt>
                <c:pt idx="53">
                  <c:v>0.70199999999999996</c:v>
                </c:pt>
                <c:pt idx="54">
                  <c:v>0.995</c:v>
                </c:pt>
                <c:pt idx="55">
                  <c:v>0.499</c:v>
                </c:pt>
                <c:pt idx="59">
                  <c:v>0</c:v>
                </c:pt>
                <c:pt idx="60">
                  <c:v>0.80100000000000005</c:v>
                </c:pt>
                <c:pt idx="61">
                  <c:v>0.59899999999999998</c:v>
                </c:pt>
                <c:pt idx="62">
                  <c:v>0.90100000000000002</c:v>
                </c:pt>
                <c:pt idx="63">
                  <c:v>3.04</c:v>
                </c:pt>
                <c:pt idx="67">
                  <c:v>0.59899999999999998</c:v>
                </c:pt>
                <c:pt idx="68">
                  <c:v>1.3009999999999999</c:v>
                </c:pt>
                <c:pt idx="69">
                  <c:v>0.79900000000000004</c:v>
                </c:pt>
                <c:pt idx="70">
                  <c:v>0.3</c:v>
                </c:pt>
                <c:pt idx="74">
                  <c:v>0.499</c:v>
                </c:pt>
                <c:pt idx="75">
                  <c:v>0.90100000000000002</c:v>
                </c:pt>
                <c:pt idx="76">
                  <c:v>0.4</c:v>
                </c:pt>
                <c:pt idx="77">
                  <c:v>0.4</c:v>
                </c:pt>
                <c:pt idx="78">
                  <c:v>0.89800000000000002</c:v>
                </c:pt>
                <c:pt idx="82">
                  <c:v>0.60099999999999998</c:v>
                </c:pt>
                <c:pt idx="83">
                  <c:v>0.89700000000000002</c:v>
                </c:pt>
                <c:pt idx="84">
                  <c:v>0.4</c:v>
                </c:pt>
                <c:pt idx="85">
                  <c:v>1.5</c:v>
                </c:pt>
                <c:pt idx="86">
                  <c:v>0.79900000000000004</c:v>
                </c:pt>
                <c:pt idx="90">
                  <c:v>0.89900000000000002</c:v>
                </c:pt>
                <c:pt idx="91">
                  <c:v>1</c:v>
                </c:pt>
                <c:pt idx="92">
                  <c:v>1.3009999999999999</c:v>
                </c:pt>
                <c:pt idx="93">
                  <c:v>0.9</c:v>
                </c:pt>
                <c:pt idx="94">
                  <c:v>0.59599999999999997</c:v>
                </c:pt>
                <c:pt idx="98">
                  <c:v>0.70099999999999996</c:v>
                </c:pt>
                <c:pt idx="99">
                  <c:v>0.4</c:v>
                </c:pt>
                <c:pt idx="100">
                  <c:v>1.3959999999999999</c:v>
                </c:pt>
                <c:pt idx="101">
                  <c:v>0.69899999999999995</c:v>
                </c:pt>
                <c:pt idx="105">
                  <c:v>1.101</c:v>
                </c:pt>
                <c:pt idx="106">
                  <c:v>0.499</c:v>
                </c:pt>
                <c:pt idx="107">
                  <c:v>0.60099999999999998</c:v>
                </c:pt>
                <c:pt idx="111">
                  <c:v>0.80200000000000005</c:v>
                </c:pt>
                <c:pt idx="112">
                  <c:v>0.70299999999999996</c:v>
                </c:pt>
                <c:pt idx="113">
                  <c:v>0.998</c:v>
                </c:pt>
                <c:pt idx="1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6ED-4FF6-B019-CBBDB274BC0E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All!$DB$6:$DB$124</c:f>
              <c:numCache>
                <c:formatCode>General</c:formatCode>
                <c:ptCount val="119"/>
                <c:pt idx="0">
                  <c:v>0.998</c:v>
                </c:pt>
                <c:pt idx="1">
                  <c:v>1.105</c:v>
                </c:pt>
                <c:pt idx="2">
                  <c:v>1.1020000000000001</c:v>
                </c:pt>
                <c:pt idx="3">
                  <c:v>1.1000000000000001</c:v>
                </c:pt>
                <c:pt idx="7">
                  <c:v>0.60299999999999998</c:v>
                </c:pt>
                <c:pt idx="8">
                  <c:v>1.504</c:v>
                </c:pt>
                <c:pt idx="9">
                  <c:v>1.401</c:v>
                </c:pt>
                <c:pt idx="10">
                  <c:v>0.999</c:v>
                </c:pt>
                <c:pt idx="11">
                  <c:v>2.1970000000000001</c:v>
                </c:pt>
                <c:pt idx="12">
                  <c:v>1.3979999999999999</c:v>
                </c:pt>
                <c:pt idx="13">
                  <c:v>4.1189999999999998</c:v>
                </c:pt>
                <c:pt idx="17">
                  <c:v>1.397</c:v>
                </c:pt>
                <c:pt idx="18">
                  <c:v>1.099</c:v>
                </c:pt>
                <c:pt idx="19">
                  <c:v>1.698</c:v>
                </c:pt>
                <c:pt idx="20">
                  <c:v>1.6990000000000001</c:v>
                </c:pt>
                <c:pt idx="21">
                  <c:v>1.7010000000000001</c:v>
                </c:pt>
                <c:pt idx="22">
                  <c:v>8.9809999999999999</c:v>
                </c:pt>
                <c:pt idx="26">
                  <c:v>1.8009999999999999</c:v>
                </c:pt>
                <c:pt idx="27">
                  <c:v>1.794</c:v>
                </c:pt>
                <c:pt idx="28">
                  <c:v>1.496</c:v>
                </c:pt>
                <c:pt idx="29">
                  <c:v>1.9990000000000001</c:v>
                </c:pt>
                <c:pt idx="30">
                  <c:v>1.8049999999999999</c:v>
                </c:pt>
                <c:pt idx="31">
                  <c:v>4.601</c:v>
                </c:pt>
                <c:pt idx="35">
                  <c:v>1.8939999999999999</c:v>
                </c:pt>
                <c:pt idx="36">
                  <c:v>1.5980000000000001</c:v>
                </c:pt>
                <c:pt idx="37">
                  <c:v>1.3959999999999999</c:v>
                </c:pt>
                <c:pt idx="38">
                  <c:v>6.54</c:v>
                </c:pt>
                <c:pt idx="42">
                  <c:v>1.5</c:v>
                </c:pt>
                <c:pt idx="43">
                  <c:v>1.498</c:v>
                </c:pt>
                <c:pt idx="44">
                  <c:v>1.298</c:v>
                </c:pt>
                <c:pt idx="45">
                  <c:v>1.2969999999999999</c:v>
                </c:pt>
                <c:pt idx="46">
                  <c:v>1.996</c:v>
                </c:pt>
                <c:pt idx="50">
                  <c:v>1.4970000000000001</c:v>
                </c:pt>
                <c:pt idx="51">
                  <c:v>0.9</c:v>
                </c:pt>
                <c:pt idx="52">
                  <c:v>1.6970000000000001</c:v>
                </c:pt>
                <c:pt idx="53">
                  <c:v>0.998</c:v>
                </c:pt>
                <c:pt idx="54">
                  <c:v>1.298</c:v>
                </c:pt>
                <c:pt idx="55">
                  <c:v>1.4990000000000001</c:v>
                </c:pt>
                <c:pt idx="59">
                  <c:v>0</c:v>
                </c:pt>
                <c:pt idx="60">
                  <c:v>1.099</c:v>
                </c:pt>
                <c:pt idx="61">
                  <c:v>1.496</c:v>
                </c:pt>
                <c:pt idx="62">
                  <c:v>1.3</c:v>
                </c:pt>
                <c:pt idx="63">
                  <c:v>3.8370000000000002</c:v>
                </c:pt>
                <c:pt idx="67">
                  <c:v>2.5950000000000002</c:v>
                </c:pt>
                <c:pt idx="68">
                  <c:v>1.296</c:v>
                </c:pt>
                <c:pt idx="69">
                  <c:v>1.8</c:v>
                </c:pt>
                <c:pt idx="70">
                  <c:v>2.4009999999999998</c:v>
                </c:pt>
                <c:pt idx="74">
                  <c:v>0.9</c:v>
                </c:pt>
                <c:pt idx="75">
                  <c:v>1.7050000000000001</c:v>
                </c:pt>
                <c:pt idx="76">
                  <c:v>2.496</c:v>
                </c:pt>
                <c:pt idx="77">
                  <c:v>1.5</c:v>
                </c:pt>
                <c:pt idx="78">
                  <c:v>1.3979999999999999</c:v>
                </c:pt>
                <c:pt idx="82">
                  <c:v>1.8959999999999999</c:v>
                </c:pt>
                <c:pt idx="83">
                  <c:v>1.3979999999999999</c:v>
                </c:pt>
                <c:pt idx="84">
                  <c:v>1.198</c:v>
                </c:pt>
                <c:pt idx="85">
                  <c:v>2.0979999999999999</c:v>
                </c:pt>
                <c:pt idx="86">
                  <c:v>1.7030000000000001</c:v>
                </c:pt>
                <c:pt idx="90">
                  <c:v>1.8</c:v>
                </c:pt>
                <c:pt idx="91">
                  <c:v>1.5029999999999999</c:v>
                </c:pt>
                <c:pt idx="92">
                  <c:v>2.2050000000000001</c:v>
                </c:pt>
                <c:pt idx="93">
                  <c:v>1.298</c:v>
                </c:pt>
                <c:pt idx="94">
                  <c:v>0.999</c:v>
                </c:pt>
                <c:pt idx="98">
                  <c:v>1.798</c:v>
                </c:pt>
                <c:pt idx="99">
                  <c:v>2.2010000000000001</c:v>
                </c:pt>
                <c:pt idx="100">
                  <c:v>1.7989999999999999</c:v>
                </c:pt>
                <c:pt idx="101">
                  <c:v>1.1970000000000001</c:v>
                </c:pt>
                <c:pt idx="105">
                  <c:v>2.1989999999999998</c:v>
                </c:pt>
                <c:pt idx="106">
                  <c:v>1.2989999999999999</c:v>
                </c:pt>
                <c:pt idx="107">
                  <c:v>1.599</c:v>
                </c:pt>
                <c:pt idx="111">
                  <c:v>1.399</c:v>
                </c:pt>
                <c:pt idx="112">
                  <c:v>1.3979999999999999</c:v>
                </c:pt>
                <c:pt idx="113">
                  <c:v>1.4990000000000001</c:v>
                </c:pt>
                <c:pt idx="11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6ED-4FF6-B019-CBBDB274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9904"/>
        <c:axId val="484021968"/>
      </c:scatterChart>
      <c:valAx>
        <c:axId val="48400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1968"/>
        <c:crosses val="autoZero"/>
        <c:crossBetween val="midCat"/>
      </c:valAx>
      <c:valAx>
        <c:axId val="4840219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All!$AZ$6:$AZ$124</c:f>
              <c:numCache>
                <c:formatCode>General</c:formatCode>
                <c:ptCount val="119"/>
                <c:pt idx="0">
                  <c:v>0.22</c:v>
                </c:pt>
                <c:pt idx="1">
                  <c:v>5.75</c:v>
                </c:pt>
                <c:pt idx="2">
                  <c:v>5.37</c:v>
                </c:pt>
                <c:pt idx="3">
                  <c:v>5.78</c:v>
                </c:pt>
                <c:pt idx="7">
                  <c:v>5.7</c:v>
                </c:pt>
                <c:pt idx="8">
                  <c:v>5.76</c:v>
                </c:pt>
                <c:pt idx="9">
                  <c:v>5.65</c:v>
                </c:pt>
                <c:pt idx="10">
                  <c:v>5.73</c:v>
                </c:pt>
                <c:pt idx="11">
                  <c:v>5.54</c:v>
                </c:pt>
                <c:pt idx="12">
                  <c:v>5.21</c:v>
                </c:pt>
                <c:pt idx="13">
                  <c:v>5.74</c:v>
                </c:pt>
                <c:pt idx="17">
                  <c:v>5.7</c:v>
                </c:pt>
                <c:pt idx="18">
                  <c:v>5.62</c:v>
                </c:pt>
                <c:pt idx="19">
                  <c:v>5.69</c:v>
                </c:pt>
                <c:pt idx="20">
                  <c:v>5.35</c:v>
                </c:pt>
                <c:pt idx="21">
                  <c:v>5.35</c:v>
                </c:pt>
                <c:pt idx="22">
                  <c:v>5.68</c:v>
                </c:pt>
                <c:pt idx="26">
                  <c:v>5.66</c:v>
                </c:pt>
                <c:pt idx="27">
                  <c:v>5.39</c:v>
                </c:pt>
                <c:pt idx="28">
                  <c:v>5.73</c:v>
                </c:pt>
                <c:pt idx="29">
                  <c:v>5.76</c:v>
                </c:pt>
                <c:pt idx="30">
                  <c:v>5.69</c:v>
                </c:pt>
                <c:pt idx="31">
                  <c:v>5.85</c:v>
                </c:pt>
                <c:pt idx="35">
                  <c:v>5.7</c:v>
                </c:pt>
                <c:pt idx="36">
                  <c:v>5.68</c:v>
                </c:pt>
                <c:pt idx="37">
                  <c:v>5.74</c:v>
                </c:pt>
                <c:pt idx="38">
                  <c:v>5.69</c:v>
                </c:pt>
                <c:pt idx="42">
                  <c:v>5.66</c:v>
                </c:pt>
                <c:pt idx="43">
                  <c:v>5.59</c:v>
                </c:pt>
                <c:pt idx="44">
                  <c:v>5.37</c:v>
                </c:pt>
                <c:pt idx="45">
                  <c:v>5.63</c:v>
                </c:pt>
                <c:pt idx="46">
                  <c:v>5.25</c:v>
                </c:pt>
                <c:pt idx="50">
                  <c:v>0.23</c:v>
                </c:pt>
                <c:pt idx="51">
                  <c:v>5.68</c:v>
                </c:pt>
                <c:pt idx="52">
                  <c:v>5.76</c:v>
                </c:pt>
                <c:pt idx="53">
                  <c:v>5.6</c:v>
                </c:pt>
                <c:pt idx="54">
                  <c:v>5.62</c:v>
                </c:pt>
                <c:pt idx="55">
                  <c:v>5.61</c:v>
                </c:pt>
                <c:pt idx="59">
                  <c:v>6.15</c:v>
                </c:pt>
                <c:pt idx="60">
                  <c:v>5.57</c:v>
                </c:pt>
                <c:pt idx="61">
                  <c:v>5.6</c:v>
                </c:pt>
                <c:pt idx="62">
                  <c:v>5.55</c:v>
                </c:pt>
                <c:pt idx="63">
                  <c:v>5.58</c:v>
                </c:pt>
                <c:pt idx="67">
                  <c:v>4.9000000000000004</c:v>
                </c:pt>
                <c:pt idx="68">
                  <c:v>4.74</c:v>
                </c:pt>
                <c:pt idx="69">
                  <c:v>4.9400000000000004</c:v>
                </c:pt>
                <c:pt idx="70">
                  <c:v>5.05</c:v>
                </c:pt>
                <c:pt idx="74">
                  <c:v>0.76</c:v>
                </c:pt>
                <c:pt idx="75">
                  <c:v>5.65</c:v>
                </c:pt>
                <c:pt idx="76">
                  <c:v>5.64</c:v>
                </c:pt>
                <c:pt idx="77">
                  <c:v>5.73</c:v>
                </c:pt>
                <c:pt idx="78">
                  <c:v>5.64</c:v>
                </c:pt>
                <c:pt idx="82">
                  <c:v>5.71</c:v>
                </c:pt>
                <c:pt idx="83">
                  <c:v>5.5</c:v>
                </c:pt>
                <c:pt idx="84">
                  <c:v>5.71</c:v>
                </c:pt>
                <c:pt idx="85">
                  <c:v>5.53</c:v>
                </c:pt>
                <c:pt idx="86">
                  <c:v>5.64</c:v>
                </c:pt>
                <c:pt idx="90">
                  <c:v>4.41</c:v>
                </c:pt>
                <c:pt idx="91">
                  <c:v>4.8899999999999997</c:v>
                </c:pt>
                <c:pt idx="92">
                  <c:v>4.8600000000000003</c:v>
                </c:pt>
                <c:pt idx="93">
                  <c:v>4.8899999999999997</c:v>
                </c:pt>
                <c:pt idx="94">
                  <c:v>5.16</c:v>
                </c:pt>
                <c:pt idx="98">
                  <c:v>4.46</c:v>
                </c:pt>
                <c:pt idx="99">
                  <c:v>4.87</c:v>
                </c:pt>
                <c:pt idx="100">
                  <c:v>5.07</c:v>
                </c:pt>
                <c:pt idx="101">
                  <c:v>5.0599999999999996</c:v>
                </c:pt>
                <c:pt idx="105">
                  <c:v>4.82</c:v>
                </c:pt>
                <c:pt idx="106">
                  <c:v>4.66</c:v>
                </c:pt>
                <c:pt idx="107">
                  <c:v>5.08</c:v>
                </c:pt>
                <c:pt idx="111">
                  <c:v>4.79</c:v>
                </c:pt>
                <c:pt idx="112">
                  <c:v>4.79</c:v>
                </c:pt>
                <c:pt idx="113">
                  <c:v>4.33</c:v>
                </c:pt>
                <c:pt idx="114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6-452C-81C6-CBDAE2AE9FDD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All!$FO$6:$FO$124</c:f>
              <c:numCache>
                <c:formatCode>General</c:formatCode>
                <c:ptCount val="119"/>
                <c:pt idx="0">
                  <c:v>0.22</c:v>
                </c:pt>
                <c:pt idx="1">
                  <c:v>5.56</c:v>
                </c:pt>
                <c:pt idx="2">
                  <c:v>5.41</c:v>
                </c:pt>
                <c:pt idx="3">
                  <c:v>5.46</c:v>
                </c:pt>
                <c:pt idx="7">
                  <c:v>5.44</c:v>
                </c:pt>
                <c:pt idx="8">
                  <c:v>5.49</c:v>
                </c:pt>
                <c:pt idx="9">
                  <c:v>5.5</c:v>
                </c:pt>
                <c:pt idx="10">
                  <c:v>5.48</c:v>
                </c:pt>
                <c:pt idx="11">
                  <c:v>5.49</c:v>
                </c:pt>
                <c:pt idx="12">
                  <c:v>5.12</c:v>
                </c:pt>
                <c:pt idx="13">
                  <c:v>5.39</c:v>
                </c:pt>
                <c:pt idx="17">
                  <c:v>5.42</c:v>
                </c:pt>
                <c:pt idx="18">
                  <c:v>5.42</c:v>
                </c:pt>
                <c:pt idx="19">
                  <c:v>5.4</c:v>
                </c:pt>
                <c:pt idx="20">
                  <c:v>5.36</c:v>
                </c:pt>
                <c:pt idx="21">
                  <c:v>5.3</c:v>
                </c:pt>
                <c:pt idx="22">
                  <c:v>5.42</c:v>
                </c:pt>
                <c:pt idx="26">
                  <c:v>5.36</c:v>
                </c:pt>
                <c:pt idx="27">
                  <c:v>5.41</c:v>
                </c:pt>
                <c:pt idx="28">
                  <c:v>5.48</c:v>
                </c:pt>
                <c:pt idx="29">
                  <c:v>5.44</c:v>
                </c:pt>
                <c:pt idx="30">
                  <c:v>5.44</c:v>
                </c:pt>
                <c:pt idx="31">
                  <c:v>5.38</c:v>
                </c:pt>
                <c:pt idx="35">
                  <c:v>5.53</c:v>
                </c:pt>
                <c:pt idx="36">
                  <c:v>5.43</c:v>
                </c:pt>
                <c:pt idx="37">
                  <c:v>5.46</c:v>
                </c:pt>
                <c:pt idx="38">
                  <c:v>5.46</c:v>
                </c:pt>
                <c:pt idx="42">
                  <c:v>5.44</c:v>
                </c:pt>
                <c:pt idx="43">
                  <c:v>5.45</c:v>
                </c:pt>
                <c:pt idx="44">
                  <c:v>5.26</c:v>
                </c:pt>
                <c:pt idx="45">
                  <c:v>5.38</c:v>
                </c:pt>
                <c:pt idx="46">
                  <c:v>5.22</c:v>
                </c:pt>
                <c:pt idx="50">
                  <c:v>0.23</c:v>
                </c:pt>
                <c:pt idx="51">
                  <c:v>5.5</c:v>
                </c:pt>
                <c:pt idx="52">
                  <c:v>5.35</c:v>
                </c:pt>
                <c:pt idx="53">
                  <c:v>5.49</c:v>
                </c:pt>
                <c:pt idx="54">
                  <c:v>5.45</c:v>
                </c:pt>
                <c:pt idx="55">
                  <c:v>5.31</c:v>
                </c:pt>
                <c:pt idx="59">
                  <c:v>6.14</c:v>
                </c:pt>
                <c:pt idx="60">
                  <c:v>5.36</c:v>
                </c:pt>
                <c:pt idx="61">
                  <c:v>5.4</c:v>
                </c:pt>
                <c:pt idx="62">
                  <c:v>5.35</c:v>
                </c:pt>
                <c:pt idx="63">
                  <c:v>5.47</c:v>
                </c:pt>
                <c:pt idx="67">
                  <c:v>4.83</c:v>
                </c:pt>
                <c:pt idx="68">
                  <c:v>4.7300000000000004</c:v>
                </c:pt>
                <c:pt idx="69">
                  <c:v>4.92</c:v>
                </c:pt>
                <c:pt idx="70">
                  <c:v>4.97</c:v>
                </c:pt>
                <c:pt idx="74">
                  <c:v>0.76</c:v>
                </c:pt>
                <c:pt idx="75">
                  <c:v>5.49</c:v>
                </c:pt>
                <c:pt idx="76">
                  <c:v>5.46</c:v>
                </c:pt>
                <c:pt idx="77">
                  <c:v>5.52</c:v>
                </c:pt>
                <c:pt idx="78">
                  <c:v>5.45</c:v>
                </c:pt>
                <c:pt idx="82">
                  <c:v>5.49</c:v>
                </c:pt>
                <c:pt idx="83">
                  <c:v>5.31</c:v>
                </c:pt>
                <c:pt idx="84">
                  <c:v>5.39</c:v>
                </c:pt>
                <c:pt idx="85">
                  <c:v>5.5</c:v>
                </c:pt>
                <c:pt idx="86">
                  <c:v>5.28</c:v>
                </c:pt>
                <c:pt idx="90">
                  <c:v>4.4400000000000004</c:v>
                </c:pt>
                <c:pt idx="91">
                  <c:v>4.99</c:v>
                </c:pt>
                <c:pt idx="92">
                  <c:v>5.16</c:v>
                </c:pt>
                <c:pt idx="93">
                  <c:v>4.83</c:v>
                </c:pt>
                <c:pt idx="94">
                  <c:v>5.2</c:v>
                </c:pt>
                <c:pt idx="98">
                  <c:v>4.34</c:v>
                </c:pt>
                <c:pt idx="99">
                  <c:v>4.9800000000000004</c:v>
                </c:pt>
                <c:pt idx="100">
                  <c:v>4.29</c:v>
                </c:pt>
                <c:pt idx="101">
                  <c:v>4.8099999999999996</c:v>
                </c:pt>
                <c:pt idx="105">
                  <c:v>4.82</c:v>
                </c:pt>
                <c:pt idx="106">
                  <c:v>4.79</c:v>
                </c:pt>
                <c:pt idx="107">
                  <c:v>5.09</c:v>
                </c:pt>
                <c:pt idx="111">
                  <c:v>4.75</c:v>
                </c:pt>
                <c:pt idx="112">
                  <c:v>4.83</c:v>
                </c:pt>
                <c:pt idx="113">
                  <c:v>4.37</c:v>
                </c:pt>
                <c:pt idx="114">
                  <c:v>4.8899999999999997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F6-452C-81C6-CBDAE2AE9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6944"/>
        <c:axId val="484038608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All!$BA$6:$BA$124</c:f>
              <c:numCache>
                <c:formatCode>General</c:formatCode>
                <c:ptCount val="119"/>
                <c:pt idx="0">
                  <c:v>135.893</c:v>
                </c:pt>
                <c:pt idx="1">
                  <c:v>140.916</c:v>
                </c:pt>
                <c:pt idx="2">
                  <c:v>108.381</c:v>
                </c:pt>
                <c:pt idx="3">
                  <c:v>69.2</c:v>
                </c:pt>
                <c:pt idx="7">
                  <c:v>67.099999999999994</c:v>
                </c:pt>
                <c:pt idx="8">
                  <c:v>97.081000000000003</c:v>
                </c:pt>
                <c:pt idx="9">
                  <c:v>105.259</c:v>
                </c:pt>
                <c:pt idx="10">
                  <c:v>112.649</c:v>
                </c:pt>
                <c:pt idx="11">
                  <c:v>64.099999999999994</c:v>
                </c:pt>
                <c:pt idx="12">
                  <c:v>85.896000000000001</c:v>
                </c:pt>
                <c:pt idx="13">
                  <c:v>69.5</c:v>
                </c:pt>
                <c:pt idx="17">
                  <c:v>66.599999999999994</c:v>
                </c:pt>
                <c:pt idx="18">
                  <c:v>93.8</c:v>
                </c:pt>
                <c:pt idx="19">
                  <c:v>132.767</c:v>
                </c:pt>
                <c:pt idx="20">
                  <c:v>113.342</c:v>
                </c:pt>
                <c:pt idx="21">
                  <c:v>93.856999999999999</c:v>
                </c:pt>
                <c:pt idx="22">
                  <c:v>92.93</c:v>
                </c:pt>
                <c:pt idx="26">
                  <c:v>65.3</c:v>
                </c:pt>
                <c:pt idx="27">
                  <c:v>97.691000000000003</c:v>
                </c:pt>
                <c:pt idx="28">
                  <c:v>124.22</c:v>
                </c:pt>
                <c:pt idx="29">
                  <c:v>137.81299999999999</c:v>
                </c:pt>
                <c:pt idx="30">
                  <c:v>138.66800000000001</c:v>
                </c:pt>
                <c:pt idx="31">
                  <c:v>141.44999999999999</c:v>
                </c:pt>
                <c:pt idx="35">
                  <c:v>66.900000000000006</c:v>
                </c:pt>
                <c:pt idx="36">
                  <c:v>139.71600000000001</c:v>
                </c:pt>
                <c:pt idx="37">
                  <c:v>77.802999999999997</c:v>
                </c:pt>
                <c:pt idx="38">
                  <c:v>72.798000000000002</c:v>
                </c:pt>
                <c:pt idx="42">
                  <c:v>71.305999999999997</c:v>
                </c:pt>
                <c:pt idx="43">
                  <c:v>72.599999999999994</c:v>
                </c:pt>
                <c:pt idx="44">
                  <c:v>125.59699999999999</c:v>
                </c:pt>
                <c:pt idx="45">
                  <c:v>140.352</c:v>
                </c:pt>
                <c:pt idx="46">
                  <c:v>69.3</c:v>
                </c:pt>
                <c:pt idx="50">
                  <c:v>66.207999999999998</c:v>
                </c:pt>
                <c:pt idx="51">
                  <c:v>70.798000000000002</c:v>
                </c:pt>
                <c:pt idx="52">
                  <c:v>72.623000000000005</c:v>
                </c:pt>
                <c:pt idx="53">
                  <c:v>132.15</c:v>
                </c:pt>
                <c:pt idx="54">
                  <c:v>118.392</c:v>
                </c:pt>
                <c:pt idx="55">
                  <c:v>69.296999999999997</c:v>
                </c:pt>
                <c:pt idx="60">
                  <c:v>69.8</c:v>
                </c:pt>
                <c:pt idx="61">
                  <c:v>139.24600000000001</c:v>
                </c:pt>
                <c:pt idx="62">
                  <c:v>140.92400000000001</c:v>
                </c:pt>
                <c:pt idx="63">
                  <c:v>69.203000000000003</c:v>
                </c:pt>
                <c:pt idx="67">
                  <c:v>69.7</c:v>
                </c:pt>
                <c:pt idx="68">
                  <c:v>118.717</c:v>
                </c:pt>
                <c:pt idx="69">
                  <c:v>106.441</c:v>
                </c:pt>
                <c:pt idx="70">
                  <c:v>68.900000000000006</c:v>
                </c:pt>
                <c:pt idx="74">
                  <c:v>69.701999999999998</c:v>
                </c:pt>
                <c:pt idx="75">
                  <c:v>112.407</c:v>
                </c:pt>
                <c:pt idx="76">
                  <c:v>120.566</c:v>
                </c:pt>
                <c:pt idx="77">
                  <c:v>139.70599999999999</c:v>
                </c:pt>
                <c:pt idx="78">
                  <c:v>69.2</c:v>
                </c:pt>
                <c:pt idx="82">
                  <c:v>65.706000000000003</c:v>
                </c:pt>
                <c:pt idx="83">
                  <c:v>134.56100000000001</c:v>
                </c:pt>
                <c:pt idx="84">
                  <c:v>100.06699999999999</c:v>
                </c:pt>
                <c:pt idx="85">
                  <c:v>95.2</c:v>
                </c:pt>
                <c:pt idx="86">
                  <c:v>69.400000000000006</c:v>
                </c:pt>
                <c:pt idx="90">
                  <c:v>65.602000000000004</c:v>
                </c:pt>
                <c:pt idx="91">
                  <c:v>70.903000000000006</c:v>
                </c:pt>
                <c:pt idx="92">
                  <c:v>73.822000000000003</c:v>
                </c:pt>
                <c:pt idx="93">
                  <c:v>95.126000000000005</c:v>
                </c:pt>
                <c:pt idx="94">
                  <c:v>69.408000000000001</c:v>
                </c:pt>
                <c:pt idx="98">
                  <c:v>66.8</c:v>
                </c:pt>
                <c:pt idx="99">
                  <c:v>69.813999999999993</c:v>
                </c:pt>
                <c:pt idx="100">
                  <c:v>128.19999999999999</c:v>
                </c:pt>
                <c:pt idx="101">
                  <c:v>95.513999999999996</c:v>
                </c:pt>
                <c:pt idx="105">
                  <c:v>65.106999999999999</c:v>
                </c:pt>
                <c:pt idx="106">
                  <c:v>113.934</c:v>
                </c:pt>
                <c:pt idx="107">
                  <c:v>69.3</c:v>
                </c:pt>
                <c:pt idx="111">
                  <c:v>65.5</c:v>
                </c:pt>
                <c:pt idx="112">
                  <c:v>98.03</c:v>
                </c:pt>
                <c:pt idx="113">
                  <c:v>92.814999999999998</c:v>
                </c:pt>
                <c:pt idx="114">
                  <c:v>73.793000000000006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F6-452C-81C6-CBDAE2AE9FDD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All!$BB$6:$BB$124</c:f>
              <c:numCache>
                <c:formatCode>General</c:formatCode>
                <c:ptCount val="119"/>
                <c:pt idx="0">
                  <c:v>130.47499999999999</c:v>
                </c:pt>
                <c:pt idx="1">
                  <c:v>139.61099999999999</c:v>
                </c:pt>
                <c:pt idx="2">
                  <c:v>107.996</c:v>
                </c:pt>
                <c:pt idx="3">
                  <c:v>69.400000000000006</c:v>
                </c:pt>
                <c:pt idx="7">
                  <c:v>67.203000000000003</c:v>
                </c:pt>
                <c:pt idx="8">
                  <c:v>92.271000000000001</c:v>
                </c:pt>
                <c:pt idx="9">
                  <c:v>105.164</c:v>
                </c:pt>
                <c:pt idx="10">
                  <c:v>111.938</c:v>
                </c:pt>
                <c:pt idx="11">
                  <c:v>65.709000000000003</c:v>
                </c:pt>
                <c:pt idx="12">
                  <c:v>85.632999999999996</c:v>
                </c:pt>
                <c:pt idx="13">
                  <c:v>69.400000000000006</c:v>
                </c:pt>
                <c:pt idx="17">
                  <c:v>66.903999999999996</c:v>
                </c:pt>
                <c:pt idx="18">
                  <c:v>93.1</c:v>
                </c:pt>
                <c:pt idx="19">
                  <c:v>133.571</c:v>
                </c:pt>
                <c:pt idx="20">
                  <c:v>111.45</c:v>
                </c:pt>
                <c:pt idx="21">
                  <c:v>93.289000000000001</c:v>
                </c:pt>
                <c:pt idx="22">
                  <c:v>92.546999999999997</c:v>
                </c:pt>
                <c:pt idx="26">
                  <c:v>66.316999999999993</c:v>
                </c:pt>
                <c:pt idx="27">
                  <c:v>99.682000000000002</c:v>
                </c:pt>
                <c:pt idx="28">
                  <c:v>122.114</c:v>
                </c:pt>
                <c:pt idx="29">
                  <c:v>136.81</c:v>
                </c:pt>
                <c:pt idx="30">
                  <c:v>138.376</c:v>
                </c:pt>
                <c:pt idx="31">
                  <c:v>140.816</c:v>
                </c:pt>
                <c:pt idx="35">
                  <c:v>67</c:v>
                </c:pt>
                <c:pt idx="36">
                  <c:v>140.19800000000001</c:v>
                </c:pt>
                <c:pt idx="37">
                  <c:v>78.316999999999993</c:v>
                </c:pt>
                <c:pt idx="38">
                  <c:v>70.5</c:v>
                </c:pt>
                <c:pt idx="42">
                  <c:v>72.305999999999997</c:v>
                </c:pt>
                <c:pt idx="43">
                  <c:v>73.900000000000006</c:v>
                </c:pt>
                <c:pt idx="44">
                  <c:v>125.779</c:v>
                </c:pt>
                <c:pt idx="45">
                  <c:v>139.69200000000001</c:v>
                </c:pt>
                <c:pt idx="46">
                  <c:v>69.400000000000006</c:v>
                </c:pt>
                <c:pt idx="50">
                  <c:v>66.5</c:v>
                </c:pt>
                <c:pt idx="51">
                  <c:v>71.915999999999997</c:v>
                </c:pt>
                <c:pt idx="52">
                  <c:v>72.608999999999995</c:v>
                </c:pt>
                <c:pt idx="53">
                  <c:v>133.667</c:v>
                </c:pt>
                <c:pt idx="54">
                  <c:v>117.889</c:v>
                </c:pt>
                <c:pt idx="55">
                  <c:v>69.2</c:v>
                </c:pt>
                <c:pt idx="60">
                  <c:v>69.7</c:v>
                </c:pt>
                <c:pt idx="61">
                  <c:v>140.38499999999999</c:v>
                </c:pt>
                <c:pt idx="62">
                  <c:v>139.68799999999999</c:v>
                </c:pt>
                <c:pt idx="63">
                  <c:v>69.599999999999994</c:v>
                </c:pt>
                <c:pt idx="67">
                  <c:v>69.8</c:v>
                </c:pt>
                <c:pt idx="68">
                  <c:v>118.003</c:v>
                </c:pt>
                <c:pt idx="69">
                  <c:v>107.447</c:v>
                </c:pt>
                <c:pt idx="70">
                  <c:v>69.099999999999994</c:v>
                </c:pt>
                <c:pt idx="74">
                  <c:v>69.7</c:v>
                </c:pt>
                <c:pt idx="75">
                  <c:v>104.039</c:v>
                </c:pt>
                <c:pt idx="76">
                  <c:v>119.041</c:v>
                </c:pt>
                <c:pt idx="77">
                  <c:v>137.63900000000001</c:v>
                </c:pt>
                <c:pt idx="78">
                  <c:v>69.307000000000002</c:v>
                </c:pt>
                <c:pt idx="82">
                  <c:v>66.7</c:v>
                </c:pt>
                <c:pt idx="83">
                  <c:v>132.79400000000001</c:v>
                </c:pt>
                <c:pt idx="84">
                  <c:v>99.566999999999993</c:v>
                </c:pt>
                <c:pt idx="85">
                  <c:v>91.725999999999999</c:v>
                </c:pt>
                <c:pt idx="86">
                  <c:v>69.400000000000006</c:v>
                </c:pt>
                <c:pt idx="90">
                  <c:v>66.3</c:v>
                </c:pt>
                <c:pt idx="91">
                  <c:v>72.739000000000004</c:v>
                </c:pt>
                <c:pt idx="92">
                  <c:v>73.900000000000006</c:v>
                </c:pt>
                <c:pt idx="93">
                  <c:v>95.466999999999999</c:v>
                </c:pt>
                <c:pt idx="94">
                  <c:v>70.703999999999994</c:v>
                </c:pt>
                <c:pt idx="98">
                  <c:v>67.5</c:v>
                </c:pt>
                <c:pt idx="99">
                  <c:v>69.096999999999994</c:v>
                </c:pt>
                <c:pt idx="100">
                  <c:v>127</c:v>
                </c:pt>
                <c:pt idx="101">
                  <c:v>99.313999999999993</c:v>
                </c:pt>
                <c:pt idx="105">
                  <c:v>66.900000000000006</c:v>
                </c:pt>
                <c:pt idx="106">
                  <c:v>113.82599999999999</c:v>
                </c:pt>
                <c:pt idx="107">
                  <c:v>69.307000000000002</c:v>
                </c:pt>
                <c:pt idx="111">
                  <c:v>66.400000000000006</c:v>
                </c:pt>
                <c:pt idx="112">
                  <c:v>98.53</c:v>
                </c:pt>
                <c:pt idx="113">
                  <c:v>92.59</c:v>
                </c:pt>
                <c:pt idx="114">
                  <c:v>74.5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F6-452C-81C6-CBDAE2AE9FDD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All!$ID$6:$ID$124</c:f>
              <c:numCache>
                <c:formatCode>General</c:formatCode>
                <c:ptCount val="119"/>
                <c:pt idx="0">
                  <c:v>-1.7999999999999999E-2</c:v>
                </c:pt>
                <c:pt idx="1">
                  <c:v>-0.19700000000000001</c:v>
                </c:pt>
                <c:pt idx="2">
                  <c:v>-0.24299999999999999</c:v>
                </c:pt>
                <c:pt idx="3">
                  <c:v>-0.215</c:v>
                </c:pt>
                <c:pt idx="7">
                  <c:v>-0.151</c:v>
                </c:pt>
                <c:pt idx="8">
                  <c:v>-0.26400000000000001</c:v>
                </c:pt>
                <c:pt idx="9">
                  <c:v>-0.26</c:v>
                </c:pt>
                <c:pt idx="10">
                  <c:v>-0.25</c:v>
                </c:pt>
                <c:pt idx="11">
                  <c:v>-0.222</c:v>
                </c:pt>
                <c:pt idx="12">
                  <c:v>-0.28199999999999997</c:v>
                </c:pt>
                <c:pt idx="13">
                  <c:v>-0.23400000000000001</c:v>
                </c:pt>
                <c:pt idx="17">
                  <c:v>-0.11899999999999999</c:v>
                </c:pt>
                <c:pt idx="18">
                  <c:v>-0.28599999999999998</c:v>
                </c:pt>
                <c:pt idx="19">
                  <c:v>-0.28599999999999998</c:v>
                </c:pt>
                <c:pt idx="20">
                  <c:v>-0.28699999999999998</c:v>
                </c:pt>
                <c:pt idx="21">
                  <c:v>-0.30299999999999999</c:v>
                </c:pt>
                <c:pt idx="22">
                  <c:v>-0.24099999999999999</c:v>
                </c:pt>
                <c:pt idx="26">
                  <c:v>-0.189</c:v>
                </c:pt>
                <c:pt idx="27">
                  <c:v>-0.26900000000000002</c:v>
                </c:pt>
                <c:pt idx="28">
                  <c:v>-0.28199999999999997</c:v>
                </c:pt>
                <c:pt idx="29">
                  <c:v>-0.25900000000000001</c:v>
                </c:pt>
                <c:pt idx="30">
                  <c:v>-0.30399999999999999</c:v>
                </c:pt>
                <c:pt idx="31">
                  <c:v>-0.191</c:v>
                </c:pt>
                <c:pt idx="35">
                  <c:v>-4.2000000000000003E-2</c:v>
                </c:pt>
                <c:pt idx="36">
                  <c:v>-0.378</c:v>
                </c:pt>
                <c:pt idx="37">
                  <c:v>-0.32900000000000001</c:v>
                </c:pt>
                <c:pt idx="38">
                  <c:v>-5.3999999999999999E-2</c:v>
                </c:pt>
                <c:pt idx="42">
                  <c:v>-4.3999999999999997E-2</c:v>
                </c:pt>
                <c:pt idx="43">
                  <c:v>-0.11799999999999999</c:v>
                </c:pt>
                <c:pt idx="44">
                  <c:v>-0.315</c:v>
                </c:pt>
                <c:pt idx="45">
                  <c:v>-0.39100000000000001</c:v>
                </c:pt>
                <c:pt idx="46">
                  <c:v>-0.318</c:v>
                </c:pt>
                <c:pt idx="50">
                  <c:v>-5.8999999999999997E-2</c:v>
                </c:pt>
                <c:pt idx="51">
                  <c:v>-0.19700000000000001</c:v>
                </c:pt>
                <c:pt idx="52">
                  <c:v>-0.11799999999999999</c:v>
                </c:pt>
                <c:pt idx="53">
                  <c:v>-0.39300000000000002</c:v>
                </c:pt>
                <c:pt idx="54">
                  <c:v>-0.36399999999999999</c:v>
                </c:pt>
                <c:pt idx="55">
                  <c:v>-0.21099999999999999</c:v>
                </c:pt>
                <c:pt idx="59">
                  <c:v>0</c:v>
                </c:pt>
                <c:pt idx="60">
                  <c:v>-0.18</c:v>
                </c:pt>
                <c:pt idx="61">
                  <c:v>-0.36799999999999999</c:v>
                </c:pt>
                <c:pt idx="62">
                  <c:v>-0.40600000000000003</c:v>
                </c:pt>
                <c:pt idx="63">
                  <c:v>-0.31900000000000001</c:v>
                </c:pt>
                <c:pt idx="67">
                  <c:v>-0.19</c:v>
                </c:pt>
                <c:pt idx="68">
                  <c:v>-0.33500000000000002</c:v>
                </c:pt>
                <c:pt idx="69">
                  <c:v>-0.39900000000000002</c:v>
                </c:pt>
                <c:pt idx="70">
                  <c:v>-0.249</c:v>
                </c:pt>
                <c:pt idx="74">
                  <c:v>-8.1000000000000003E-2</c:v>
                </c:pt>
                <c:pt idx="75">
                  <c:v>-0.44600000000000001</c:v>
                </c:pt>
                <c:pt idx="76">
                  <c:v>-0.373</c:v>
                </c:pt>
                <c:pt idx="77">
                  <c:v>-0.46200000000000002</c:v>
                </c:pt>
                <c:pt idx="78">
                  <c:v>-0.36099999999999999</c:v>
                </c:pt>
                <c:pt idx="82">
                  <c:v>-0.23100000000000001</c:v>
                </c:pt>
                <c:pt idx="83">
                  <c:v>-0.39600000000000002</c:v>
                </c:pt>
                <c:pt idx="84">
                  <c:v>-0.42099999999999999</c:v>
                </c:pt>
                <c:pt idx="85">
                  <c:v>-0.41599999999999998</c:v>
                </c:pt>
                <c:pt idx="86">
                  <c:v>-0.30599999999999999</c:v>
                </c:pt>
                <c:pt idx="90">
                  <c:v>-0.154</c:v>
                </c:pt>
                <c:pt idx="91">
                  <c:v>-0.22600000000000001</c:v>
                </c:pt>
                <c:pt idx="92">
                  <c:v>-0.11700000000000001</c:v>
                </c:pt>
                <c:pt idx="93">
                  <c:v>-0.14299999999999999</c:v>
                </c:pt>
                <c:pt idx="94">
                  <c:v>-4.5999999999999999E-2</c:v>
                </c:pt>
                <c:pt idx="98">
                  <c:v>-0.34799999999999998</c:v>
                </c:pt>
                <c:pt idx="99">
                  <c:v>-0.50700000000000001</c:v>
                </c:pt>
                <c:pt idx="100">
                  <c:v>-0.45100000000000001</c:v>
                </c:pt>
                <c:pt idx="101">
                  <c:v>-0.373</c:v>
                </c:pt>
                <c:pt idx="105">
                  <c:v>-0.19700000000000001</c:v>
                </c:pt>
                <c:pt idx="106">
                  <c:v>-0.26500000000000001</c:v>
                </c:pt>
                <c:pt idx="107">
                  <c:v>-0.29799999999999999</c:v>
                </c:pt>
                <c:pt idx="111">
                  <c:v>-0.23300000000000001</c:v>
                </c:pt>
                <c:pt idx="112">
                  <c:v>-0.38700000000000001</c:v>
                </c:pt>
                <c:pt idx="113">
                  <c:v>-0.41199999999999998</c:v>
                </c:pt>
                <c:pt idx="11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F6-452C-81C6-CBDAE2AE9FDD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All!$IE$6:$IE$124</c:f>
              <c:numCache>
                <c:formatCode>General</c:formatCode>
                <c:ptCount val="119"/>
                <c:pt idx="0">
                  <c:v>-8.9999999999999993E-3</c:v>
                </c:pt>
                <c:pt idx="1">
                  <c:v>-7.2999999999999995E-2</c:v>
                </c:pt>
                <c:pt idx="2">
                  <c:v>-7.9000000000000001E-2</c:v>
                </c:pt>
                <c:pt idx="3">
                  <c:v>-7.0000000000000007E-2</c:v>
                </c:pt>
                <c:pt idx="7">
                  <c:v>-3.3000000000000002E-2</c:v>
                </c:pt>
                <c:pt idx="8">
                  <c:v>-8.5999999999999993E-2</c:v>
                </c:pt>
                <c:pt idx="9">
                  <c:v>-8.5999999999999993E-2</c:v>
                </c:pt>
                <c:pt idx="10">
                  <c:v>-7.3999999999999996E-2</c:v>
                </c:pt>
                <c:pt idx="11">
                  <c:v>-7.6999999999999999E-2</c:v>
                </c:pt>
                <c:pt idx="12">
                  <c:v>-8.6999999999999994E-2</c:v>
                </c:pt>
                <c:pt idx="13">
                  <c:v>-7.6999999999999999E-2</c:v>
                </c:pt>
                <c:pt idx="17">
                  <c:v>-3.9E-2</c:v>
                </c:pt>
                <c:pt idx="18">
                  <c:v>-0.108</c:v>
                </c:pt>
                <c:pt idx="19">
                  <c:v>-9.6000000000000002E-2</c:v>
                </c:pt>
                <c:pt idx="20">
                  <c:v>-0.08</c:v>
                </c:pt>
                <c:pt idx="21">
                  <c:v>-0.109</c:v>
                </c:pt>
                <c:pt idx="22">
                  <c:v>-8.7999999999999995E-2</c:v>
                </c:pt>
                <c:pt idx="26">
                  <c:v>-6.0999999999999999E-2</c:v>
                </c:pt>
                <c:pt idx="27">
                  <c:v>-0.10100000000000001</c:v>
                </c:pt>
                <c:pt idx="28">
                  <c:v>-0.106</c:v>
                </c:pt>
                <c:pt idx="29">
                  <c:v>-9.6000000000000002E-2</c:v>
                </c:pt>
                <c:pt idx="30">
                  <c:v>-0.11700000000000001</c:v>
                </c:pt>
                <c:pt idx="31">
                  <c:v>-7.5999999999999998E-2</c:v>
                </c:pt>
                <c:pt idx="35">
                  <c:v>-1.7999999999999999E-2</c:v>
                </c:pt>
                <c:pt idx="36">
                  <c:v>-0.16500000000000001</c:v>
                </c:pt>
                <c:pt idx="37">
                  <c:v>-0.14299999999999999</c:v>
                </c:pt>
                <c:pt idx="38">
                  <c:v>-2.4E-2</c:v>
                </c:pt>
                <c:pt idx="42">
                  <c:v>-1.7999999999999999E-2</c:v>
                </c:pt>
                <c:pt idx="43">
                  <c:v>-4.7E-2</c:v>
                </c:pt>
                <c:pt idx="44">
                  <c:v>-0.13800000000000001</c:v>
                </c:pt>
                <c:pt idx="45">
                  <c:v>-0.152</c:v>
                </c:pt>
                <c:pt idx="46">
                  <c:v>-0.129</c:v>
                </c:pt>
                <c:pt idx="50">
                  <c:v>-3.6999999999999998E-2</c:v>
                </c:pt>
                <c:pt idx="51">
                  <c:v>-0.111</c:v>
                </c:pt>
                <c:pt idx="52">
                  <c:v>-5.6000000000000001E-2</c:v>
                </c:pt>
                <c:pt idx="53">
                  <c:v>-0.20100000000000001</c:v>
                </c:pt>
                <c:pt idx="54">
                  <c:v>-0.17799999999999999</c:v>
                </c:pt>
                <c:pt idx="55">
                  <c:v>-0.10199999999999999</c:v>
                </c:pt>
                <c:pt idx="59">
                  <c:v>0</c:v>
                </c:pt>
                <c:pt idx="60">
                  <c:v>-8.3000000000000004E-2</c:v>
                </c:pt>
                <c:pt idx="61">
                  <c:v>-0.17799999999999999</c:v>
                </c:pt>
                <c:pt idx="62">
                  <c:v>-0.19800000000000001</c:v>
                </c:pt>
                <c:pt idx="63">
                  <c:v>-0.151</c:v>
                </c:pt>
                <c:pt idx="67">
                  <c:v>-7.6999999999999999E-2</c:v>
                </c:pt>
                <c:pt idx="68">
                  <c:v>-0.13600000000000001</c:v>
                </c:pt>
                <c:pt idx="69">
                  <c:v>-0.159</c:v>
                </c:pt>
                <c:pt idx="70">
                  <c:v>-0.11</c:v>
                </c:pt>
                <c:pt idx="74">
                  <c:v>-4.9000000000000002E-2</c:v>
                </c:pt>
                <c:pt idx="75">
                  <c:v>-0.26300000000000001</c:v>
                </c:pt>
                <c:pt idx="76">
                  <c:v>-0.222</c:v>
                </c:pt>
                <c:pt idx="77">
                  <c:v>-0.26800000000000002</c:v>
                </c:pt>
                <c:pt idx="78">
                  <c:v>-0.20300000000000001</c:v>
                </c:pt>
                <c:pt idx="82">
                  <c:v>-0.125</c:v>
                </c:pt>
                <c:pt idx="83">
                  <c:v>-0.23100000000000001</c:v>
                </c:pt>
                <c:pt idx="84">
                  <c:v>-0.23400000000000001</c:v>
                </c:pt>
                <c:pt idx="85">
                  <c:v>-0.23499999999999999</c:v>
                </c:pt>
                <c:pt idx="86">
                  <c:v>-0.17100000000000001</c:v>
                </c:pt>
                <c:pt idx="90">
                  <c:v>-8.1000000000000003E-2</c:v>
                </c:pt>
                <c:pt idx="91">
                  <c:v>-0.124</c:v>
                </c:pt>
                <c:pt idx="92">
                  <c:v>-6.3E-2</c:v>
                </c:pt>
                <c:pt idx="93">
                  <c:v>-8.4000000000000005E-2</c:v>
                </c:pt>
                <c:pt idx="94">
                  <c:v>-2.5999999999999999E-2</c:v>
                </c:pt>
                <c:pt idx="98">
                  <c:v>-0.193</c:v>
                </c:pt>
                <c:pt idx="99">
                  <c:v>-0.26600000000000001</c:v>
                </c:pt>
                <c:pt idx="100">
                  <c:v>-0.23</c:v>
                </c:pt>
                <c:pt idx="101">
                  <c:v>-0.191</c:v>
                </c:pt>
                <c:pt idx="105">
                  <c:v>-0.10100000000000001</c:v>
                </c:pt>
                <c:pt idx="106">
                  <c:v>-0.14499999999999999</c:v>
                </c:pt>
                <c:pt idx="107">
                  <c:v>-0.16200000000000001</c:v>
                </c:pt>
                <c:pt idx="111">
                  <c:v>-0.122</c:v>
                </c:pt>
                <c:pt idx="112">
                  <c:v>-0.215</c:v>
                </c:pt>
                <c:pt idx="113">
                  <c:v>-0.21099999999999999</c:v>
                </c:pt>
                <c:pt idx="114">
                  <c:v>-5.8999999999999997E-2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F6-452C-81C6-CBDAE2AE9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2112"/>
        <c:axId val="543735824"/>
      </c:scatterChart>
      <c:valAx>
        <c:axId val="48403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8608"/>
        <c:crosses val="autoZero"/>
        <c:crossBetween val="midCat"/>
      </c:valAx>
      <c:valAx>
        <c:axId val="48403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6944"/>
        <c:crosses val="autoZero"/>
        <c:crossBetween val="midCat"/>
      </c:valAx>
      <c:valAx>
        <c:axId val="543735824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2112"/>
        <c:crosses val="max"/>
        <c:crossBetween val="midCat"/>
      </c:valAx>
      <c:valAx>
        <c:axId val="54371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58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All!$EL$6:$EL$124</c:f>
              <c:numCache>
                <c:formatCode>General</c:formatCode>
                <c:ptCount val="119"/>
                <c:pt idx="0">
                  <c:v>1.7</c:v>
                </c:pt>
                <c:pt idx="1">
                  <c:v>1.6</c:v>
                </c:pt>
                <c:pt idx="2">
                  <c:v>1.55</c:v>
                </c:pt>
                <c:pt idx="3">
                  <c:v>1.75</c:v>
                </c:pt>
                <c:pt idx="7">
                  <c:v>2.25</c:v>
                </c:pt>
                <c:pt idx="8">
                  <c:v>1.7</c:v>
                </c:pt>
                <c:pt idx="9">
                  <c:v>1.75</c:v>
                </c:pt>
                <c:pt idx="10">
                  <c:v>1.9</c:v>
                </c:pt>
                <c:pt idx="11">
                  <c:v>1.8</c:v>
                </c:pt>
                <c:pt idx="12">
                  <c:v>1.9</c:v>
                </c:pt>
                <c:pt idx="13">
                  <c:v>1.95</c:v>
                </c:pt>
                <c:pt idx="17">
                  <c:v>2.2999999999999998</c:v>
                </c:pt>
                <c:pt idx="18">
                  <c:v>1.9</c:v>
                </c:pt>
                <c:pt idx="19">
                  <c:v>1.95</c:v>
                </c:pt>
                <c:pt idx="20">
                  <c:v>1.95</c:v>
                </c:pt>
                <c:pt idx="21">
                  <c:v>2</c:v>
                </c:pt>
                <c:pt idx="22">
                  <c:v>2</c:v>
                </c:pt>
                <c:pt idx="26">
                  <c:v>2.25</c:v>
                </c:pt>
                <c:pt idx="27">
                  <c:v>2.0499999999999998</c:v>
                </c:pt>
                <c:pt idx="28">
                  <c:v>2.0499999999999998</c:v>
                </c:pt>
                <c:pt idx="29">
                  <c:v>2.0499999999999998</c:v>
                </c:pt>
                <c:pt idx="30">
                  <c:v>2.0499999999999998</c:v>
                </c:pt>
                <c:pt idx="31">
                  <c:v>2.1</c:v>
                </c:pt>
                <c:pt idx="35">
                  <c:v>2.2000000000000002</c:v>
                </c:pt>
                <c:pt idx="36">
                  <c:v>2.1</c:v>
                </c:pt>
                <c:pt idx="37">
                  <c:v>2.0499999999999998</c:v>
                </c:pt>
                <c:pt idx="38">
                  <c:v>2.1</c:v>
                </c:pt>
                <c:pt idx="42">
                  <c:v>2.25</c:v>
                </c:pt>
                <c:pt idx="43">
                  <c:v>2</c:v>
                </c:pt>
                <c:pt idx="44">
                  <c:v>2.0499999999999998</c:v>
                </c:pt>
                <c:pt idx="45">
                  <c:v>2.15</c:v>
                </c:pt>
                <c:pt idx="46">
                  <c:v>2.15</c:v>
                </c:pt>
                <c:pt idx="50">
                  <c:v>2.2999999999999998</c:v>
                </c:pt>
                <c:pt idx="51">
                  <c:v>2.1</c:v>
                </c:pt>
                <c:pt idx="52">
                  <c:v>2.1</c:v>
                </c:pt>
                <c:pt idx="53">
                  <c:v>2.2000000000000002</c:v>
                </c:pt>
                <c:pt idx="54">
                  <c:v>2.15</c:v>
                </c:pt>
                <c:pt idx="55">
                  <c:v>2.2000000000000002</c:v>
                </c:pt>
                <c:pt idx="59">
                  <c:v>2.25</c:v>
                </c:pt>
                <c:pt idx="60">
                  <c:v>2.5499999999999998</c:v>
                </c:pt>
                <c:pt idx="61">
                  <c:v>2.15</c:v>
                </c:pt>
                <c:pt idx="62">
                  <c:v>2.2000000000000002</c:v>
                </c:pt>
                <c:pt idx="63">
                  <c:v>2.2000000000000002</c:v>
                </c:pt>
                <c:pt idx="67">
                  <c:v>2.6</c:v>
                </c:pt>
                <c:pt idx="68">
                  <c:v>2.15</c:v>
                </c:pt>
                <c:pt idx="69">
                  <c:v>2.25</c:v>
                </c:pt>
                <c:pt idx="70">
                  <c:v>2.2000000000000002</c:v>
                </c:pt>
                <c:pt idx="74">
                  <c:v>2.5499999999999998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2.2999999999999998</c:v>
                </c:pt>
                <c:pt idx="82">
                  <c:v>2.65</c:v>
                </c:pt>
                <c:pt idx="83">
                  <c:v>2.2000000000000002</c:v>
                </c:pt>
                <c:pt idx="84">
                  <c:v>2.25</c:v>
                </c:pt>
                <c:pt idx="85">
                  <c:v>2.25</c:v>
                </c:pt>
                <c:pt idx="86">
                  <c:v>2.2999999999999998</c:v>
                </c:pt>
                <c:pt idx="90">
                  <c:v>2.7</c:v>
                </c:pt>
                <c:pt idx="91">
                  <c:v>2.25</c:v>
                </c:pt>
                <c:pt idx="92">
                  <c:v>2.2000000000000002</c:v>
                </c:pt>
                <c:pt idx="93">
                  <c:v>2.2999999999999998</c:v>
                </c:pt>
                <c:pt idx="94">
                  <c:v>2.2999999999999998</c:v>
                </c:pt>
                <c:pt idx="98">
                  <c:v>2.2999999999999998</c:v>
                </c:pt>
                <c:pt idx="99">
                  <c:v>2.25</c:v>
                </c:pt>
                <c:pt idx="100">
                  <c:v>2.2999999999999998</c:v>
                </c:pt>
                <c:pt idx="101">
                  <c:v>2.35</c:v>
                </c:pt>
                <c:pt idx="105">
                  <c:v>2.65</c:v>
                </c:pt>
                <c:pt idx="106">
                  <c:v>2.2999999999999998</c:v>
                </c:pt>
                <c:pt idx="107">
                  <c:v>2.4</c:v>
                </c:pt>
                <c:pt idx="111">
                  <c:v>2.75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E-448C-A336-6B313A0FCD61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All!$EM$6:$EM$124</c:f>
              <c:numCache>
                <c:formatCode>General</c:formatCode>
                <c:ptCount val="119"/>
                <c:pt idx="0">
                  <c:v>1.1000000000000001</c:v>
                </c:pt>
                <c:pt idx="1">
                  <c:v>1.2</c:v>
                </c:pt>
                <c:pt idx="2">
                  <c:v>1.2</c:v>
                </c:pt>
                <c:pt idx="3">
                  <c:v>1.25</c:v>
                </c:pt>
                <c:pt idx="7">
                  <c:v>1.25</c:v>
                </c:pt>
                <c:pt idx="8">
                  <c:v>1.4</c:v>
                </c:pt>
                <c:pt idx="9">
                  <c:v>1.35</c:v>
                </c:pt>
                <c:pt idx="10">
                  <c:v>1.4</c:v>
                </c:pt>
                <c:pt idx="11">
                  <c:v>1.45</c:v>
                </c:pt>
                <c:pt idx="12">
                  <c:v>1.45</c:v>
                </c:pt>
                <c:pt idx="13">
                  <c:v>1.5</c:v>
                </c:pt>
                <c:pt idx="17">
                  <c:v>1.4</c:v>
                </c:pt>
                <c:pt idx="18">
                  <c:v>1.45</c:v>
                </c:pt>
                <c:pt idx="19">
                  <c:v>1.55</c:v>
                </c:pt>
                <c:pt idx="20">
                  <c:v>1.6</c:v>
                </c:pt>
                <c:pt idx="21">
                  <c:v>1.6</c:v>
                </c:pt>
                <c:pt idx="22">
                  <c:v>1.55</c:v>
                </c:pt>
                <c:pt idx="26">
                  <c:v>1.55</c:v>
                </c:pt>
                <c:pt idx="27">
                  <c:v>1.65</c:v>
                </c:pt>
                <c:pt idx="28">
                  <c:v>1.6</c:v>
                </c:pt>
                <c:pt idx="29">
                  <c:v>1.7</c:v>
                </c:pt>
                <c:pt idx="30">
                  <c:v>1.65</c:v>
                </c:pt>
                <c:pt idx="31">
                  <c:v>1.55</c:v>
                </c:pt>
                <c:pt idx="35">
                  <c:v>1.55</c:v>
                </c:pt>
                <c:pt idx="36">
                  <c:v>1.6</c:v>
                </c:pt>
                <c:pt idx="37">
                  <c:v>1.6</c:v>
                </c:pt>
                <c:pt idx="38">
                  <c:v>1.6</c:v>
                </c:pt>
                <c:pt idx="42">
                  <c:v>1.65</c:v>
                </c:pt>
                <c:pt idx="43">
                  <c:v>1.6</c:v>
                </c:pt>
                <c:pt idx="44">
                  <c:v>1.65</c:v>
                </c:pt>
                <c:pt idx="45">
                  <c:v>1.7</c:v>
                </c:pt>
                <c:pt idx="46">
                  <c:v>1.7</c:v>
                </c:pt>
                <c:pt idx="50">
                  <c:v>1.65</c:v>
                </c:pt>
                <c:pt idx="51">
                  <c:v>1.75</c:v>
                </c:pt>
                <c:pt idx="52">
                  <c:v>1.7</c:v>
                </c:pt>
                <c:pt idx="53">
                  <c:v>1.75</c:v>
                </c:pt>
                <c:pt idx="54">
                  <c:v>1.8</c:v>
                </c:pt>
                <c:pt idx="55">
                  <c:v>1.7</c:v>
                </c:pt>
                <c:pt idx="59">
                  <c:v>2.2000000000000002</c:v>
                </c:pt>
                <c:pt idx="60">
                  <c:v>1.7</c:v>
                </c:pt>
                <c:pt idx="61">
                  <c:v>1.75</c:v>
                </c:pt>
                <c:pt idx="62">
                  <c:v>1.8</c:v>
                </c:pt>
                <c:pt idx="63">
                  <c:v>1.75</c:v>
                </c:pt>
                <c:pt idx="67">
                  <c:v>1.75</c:v>
                </c:pt>
                <c:pt idx="68">
                  <c:v>1.75</c:v>
                </c:pt>
                <c:pt idx="69">
                  <c:v>1.75</c:v>
                </c:pt>
                <c:pt idx="70">
                  <c:v>1.75</c:v>
                </c:pt>
                <c:pt idx="74">
                  <c:v>1.7</c:v>
                </c:pt>
                <c:pt idx="75">
                  <c:v>1.8</c:v>
                </c:pt>
                <c:pt idx="76">
                  <c:v>1.75</c:v>
                </c:pt>
                <c:pt idx="77">
                  <c:v>1.85</c:v>
                </c:pt>
                <c:pt idx="78">
                  <c:v>1.85</c:v>
                </c:pt>
                <c:pt idx="82">
                  <c:v>1.85</c:v>
                </c:pt>
                <c:pt idx="83">
                  <c:v>1.8</c:v>
                </c:pt>
                <c:pt idx="84">
                  <c:v>1.85</c:v>
                </c:pt>
                <c:pt idx="85">
                  <c:v>1.85</c:v>
                </c:pt>
                <c:pt idx="86">
                  <c:v>1.85</c:v>
                </c:pt>
                <c:pt idx="90">
                  <c:v>1.85</c:v>
                </c:pt>
                <c:pt idx="91">
                  <c:v>1.8</c:v>
                </c:pt>
                <c:pt idx="92">
                  <c:v>1.75</c:v>
                </c:pt>
                <c:pt idx="93">
                  <c:v>1.85</c:v>
                </c:pt>
                <c:pt idx="94">
                  <c:v>1.9</c:v>
                </c:pt>
                <c:pt idx="98">
                  <c:v>1.8</c:v>
                </c:pt>
                <c:pt idx="99">
                  <c:v>1.9</c:v>
                </c:pt>
                <c:pt idx="100">
                  <c:v>1.85</c:v>
                </c:pt>
                <c:pt idx="101">
                  <c:v>1.85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11">
                  <c:v>1.9</c:v>
                </c:pt>
                <c:pt idx="112">
                  <c:v>1.95</c:v>
                </c:pt>
                <c:pt idx="113">
                  <c:v>1.95</c:v>
                </c:pt>
                <c:pt idx="1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AE-448C-A336-6B313A0FCD61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All!$FM$6:$FM$124</c:f>
              <c:numCache>
                <c:formatCode>General</c:formatCode>
                <c:ptCount val="119"/>
                <c:pt idx="0">
                  <c:v>2.7</c:v>
                </c:pt>
                <c:pt idx="1">
                  <c:v>2.87</c:v>
                </c:pt>
                <c:pt idx="2">
                  <c:v>3.07</c:v>
                </c:pt>
                <c:pt idx="3">
                  <c:v>3.19</c:v>
                </c:pt>
                <c:pt idx="7">
                  <c:v>3.51</c:v>
                </c:pt>
                <c:pt idx="8">
                  <c:v>3.28</c:v>
                </c:pt>
                <c:pt idx="9">
                  <c:v>3.31</c:v>
                </c:pt>
                <c:pt idx="10">
                  <c:v>3.31</c:v>
                </c:pt>
                <c:pt idx="11">
                  <c:v>3.36</c:v>
                </c:pt>
                <c:pt idx="12">
                  <c:v>3.35</c:v>
                </c:pt>
                <c:pt idx="13">
                  <c:v>3.37</c:v>
                </c:pt>
                <c:pt idx="17">
                  <c:v>3.27</c:v>
                </c:pt>
                <c:pt idx="18">
                  <c:v>3.37</c:v>
                </c:pt>
                <c:pt idx="19">
                  <c:v>3.42</c:v>
                </c:pt>
                <c:pt idx="20">
                  <c:v>3.48</c:v>
                </c:pt>
                <c:pt idx="21">
                  <c:v>3.44</c:v>
                </c:pt>
                <c:pt idx="22">
                  <c:v>3.48</c:v>
                </c:pt>
                <c:pt idx="26">
                  <c:v>3.41</c:v>
                </c:pt>
                <c:pt idx="27">
                  <c:v>3.53</c:v>
                </c:pt>
                <c:pt idx="28">
                  <c:v>3.64</c:v>
                </c:pt>
                <c:pt idx="29">
                  <c:v>3.52</c:v>
                </c:pt>
                <c:pt idx="30">
                  <c:v>3.58</c:v>
                </c:pt>
                <c:pt idx="31">
                  <c:v>3.53</c:v>
                </c:pt>
                <c:pt idx="35">
                  <c:v>3.58</c:v>
                </c:pt>
                <c:pt idx="36">
                  <c:v>3.67</c:v>
                </c:pt>
                <c:pt idx="37">
                  <c:v>3.6</c:v>
                </c:pt>
                <c:pt idx="38">
                  <c:v>3.46</c:v>
                </c:pt>
                <c:pt idx="42">
                  <c:v>3.33</c:v>
                </c:pt>
                <c:pt idx="43">
                  <c:v>3.56</c:v>
                </c:pt>
                <c:pt idx="44">
                  <c:v>3.69</c:v>
                </c:pt>
                <c:pt idx="45">
                  <c:v>3.73</c:v>
                </c:pt>
                <c:pt idx="46">
                  <c:v>3.76</c:v>
                </c:pt>
                <c:pt idx="50">
                  <c:v>3.69</c:v>
                </c:pt>
                <c:pt idx="51">
                  <c:v>3.74</c:v>
                </c:pt>
                <c:pt idx="52">
                  <c:v>3.75</c:v>
                </c:pt>
                <c:pt idx="53">
                  <c:v>3.81</c:v>
                </c:pt>
                <c:pt idx="54">
                  <c:v>3.79</c:v>
                </c:pt>
                <c:pt idx="55">
                  <c:v>3.76</c:v>
                </c:pt>
                <c:pt idx="59">
                  <c:v>2.1800000000000002</c:v>
                </c:pt>
                <c:pt idx="60">
                  <c:v>3.77</c:v>
                </c:pt>
                <c:pt idx="61">
                  <c:v>3.83</c:v>
                </c:pt>
                <c:pt idx="62">
                  <c:v>3.7</c:v>
                </c:pt>
                <c:pt idx="63">
                  <c:v>3.68</c:v>
                </c:pt>
                <c:pt idx="67">
                  <c:v>3.66</c:v>
                </c:pt>
                <c:pt idx="68">
                  <c:v>3.67</c:v>
                </c:pt>
                <c:pt idx="69">
                  <c:v>3.69</c:v>
                </c:pt>
                <c:pt idx="70">
                  <c:v>3.69</c:v>
                </c:pt>
                <c:pt idx="74">
                  <c:v>3.61</c:v>
                </c:pt>
                <c:pt idx="75">
                  <c:v>3.71</c:v>
                </c:pt>
                <c:pt idx="76">
                  <c:v>3.79</c:v>
                </c:pt>
                <c:pt idx="77">
                  <c:v>3.76</c:v>
                </c:pt>
                <c:pt idx="78">
                  <c:v>3.82</c:v>
                </c:pt>
                <c:pt idx="82">
                  <c:v>3.72</c:v>
                </c:pt>
                <c:pt idx="83">
                  <c:v>3.76</c:v>
                </c:pt>
                <c:pt idx="84">
                  <c:v>3.73</c:v>
                </c:pt>
                <c:pt idx="85">
                  <c:v>3.72</c:v>
                </c:pt>
                <c:pt idx="86">
                  <c:v>3.84</c:v>
                </c:pt>
                <c:pt idx="90">
                  <c:v>3.72</c:v>
                </c:pt>
                <c:pt idx="91">
                  <c:v>3.7</c:v>
                </c:pt>
                <c:pt idx="92">
                  <c:v>3.54</c:v>
                </c:pt>
                <c:pt idx="93">
                  <c:v>3.67</c:v>
                </c:pt>
                <c:pt idx="94">
                  <c:v>3.48</c:v>
                </c:pt>
                <c:pt idx="98">
                  <c:v>3.8</c:v>
                </c:pt>
                <c:pt idx="99">
                  <c:v>3.92</c:v>
                </c:pt>
                <c:pt idx="100">
                  <c:v>3.98</c:v>
                </c:pt>
                <c:pt idx="101">
                  <c:v>3.99</c:v>
                </c:pt>
                <c:pt idx="105">
                  <c:v>3.92</c:v>
                </c:pt>
                <c:pt idx="106">
                  <c:v>3.78</c:v>
                </c:pt>
                <c:pt idx="107">
                  <c:v>3.78</c:v>
                </c:pt>
                <c:pt idx="111">
                  <c:v>3.82</c:v>
                </c:pt>
                <c:pt idx="112">
                  <c:v>3.78</c:v>
                </c:pt>
                <c:pt idx="113">
                  <c:v>3.89</c:v>
                </c:pt>
                <c:pt idx="114">
                  <c:v>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AE-448C-A336-6B313A0FCD61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All!$FN$6:$FN$124</c:f>
              <c:numCache>
                <c:formatCode>General</c:formatCode>
                <c:ptCount val="119"/>
                <c:pt idx="0">
                  <c:v>-0.88</c:v>
                </c:pt>
                <c:pt idx="1">
                  <c:v>-0.83</c:v>
                </c:pt>
                <c:pt idx="2">
                  <c:v>-0.82</c:v>
                </c:pt>
                <c:pt idx="3">
                  <c:v>-0.6</c:v>
                </c:pt>
                <c:pt idx="7">
                  <c:v>-0.44</c:v>
                </c:pt>
                <c:pt idx="8">
                  <c:v>0.14000000000000001</c:v>
                </c:pt>
                <c:pt idx="9">
                  <c:v>2.1</c:v>
                </c:pt>
                <c:pt idx="10">
                  <c:v>2.0499999999999998</c:v>
                </c:pt>
                <c:pt idx="11">
                  <c:v>0.25</c:v>
                </c:pt>
                <c:pt idx="12">
                  <c:v>-0.41</c:v>
                </c:pt>
                <c:pt idx="13">
                  <c:v>-0.57999999999999996</c:v>
                </c:pt>
                <c:pt idx="17">
                  <c:v>-0.85</c:v>
                </c:pt>
                <c:pt idx="18">
                  <c:v>-0.78</c:v>
                </c:pt>
                <c:pt idx="19">
                  <c:v>-0.62</c:v>
                </c:pt>
                <c:pt idx="20">
                  <c:v>-0.57999999999999996</c:v>
                </c:pt>
                <c:pt idx="21">
                  <c:v>-0.64</c:v>
                </c:pt>
                <c:pt idx="22">
                  <c:v>-0.7</c:v>
                </c:pt>
                <c:pt idx="26">
                  <c:v>-0.84</c:v>
                </c:pt>
                <c:pt idx="27">
                  <c:v>-0.89</c:v>
                </c:pt>
                <c:pt idx="28">
                  <c:v>-0.56000000000000005</c:v>
                </c:pt>
                <c:pt idx="29">
                  <c:v>-0.52</c:v>
                </c:pt>
                <c:pt idx="30">
                  <c:v>-0.28000000000000003</c:v>
                </c:pt>
                <c:pt idx="31">
                  <c:v>-0.72</c:v>
                </c:pt>
                <c:pt idx="35">
                  <c:v>-0.93</c:v>
                </c:pt>
                <c:pt idx="36">
                  <c:v>0.13</c:v>
                </c:pt>
                <c:pt idx="37">
                  <c:v>0.06</c:v>
                </c:pt>
                <c:pt idx="38">
                  <c:v>-0.74</c:v>
                </c:pt>
                <c:pt idx="42">
                  <c:v>-0.67</c:v>
                </c:pt>
                <c:pt idx="43">
                  <c:v>-0.75</c:v>
                </c:pt>
                <c:pt idx="44">
                  <c:v>-0.54</c:v>
                </c:pt>
                <c:pt idx="45">
                  <c:v>2.13</c:v>
                </c:pt>
                <c:pt idx="46">
                  <c:v>2.0299999999999998</c:v>
                </c:pt>
                <c:pt idx="50">
                  <c:v>1.91</c:v>
                </c:pt>
                <c:pt idx="51">
                  <c:v>2.21</c:v>
                </c:pt>
                <c:pt idx="52">
                  <c:v>2.25</c:v>
                </c:pt>
                <c:pt idx="53">
                  <c:v>2.39</c:v>
                </c:pt>
                <c:pt idx="54">
                  <c:v>2.4300000000000002</c:v>
                </c:pt>
                <c:pt idx="55">
                  <c:v>2.1</c:v>
                </c:pt>
                <c:pt idx="59">
                  <c:v>2.15</c:v>
                </c:pt>
                <c:pt idx="60">
                  <c:v>2.2400000000000002</c:v>
                </c:pt>
                <c:pt idx="61">
                  <c:v>2.36</c:v>
                </c:pt>
                <c:pt idx="62">
                  <c:v>1.8</c:v>
                </c:pt>
                <c:pt idx="63">
                  <c:v>-0.05</c:v>
                </c:pt>
                <c:pt idx="67">
                  <c:v>-0.47</c:v>
                </c:pt>
                <c:pt idx="68">
                  <c:v>-0.35</c:v>
                </c:pt>
                <c:pt idx="69">
                  <c:v>0</c:v>
                </c:pt>
                <c:pt idx="70">
                  <c:v>-0.43</c:v>
                </c:pt>
                <c:pt idx="74">
                  <c:v>-0.9</c:v>
                </c:pt>
                <c:pt idx="75">
                  <c:v>-0.78</c:v>
                </c:pt>
                <c:pt idx="76">
                  <c:v>-0.56000000000000005</c:v>
                </c:pt>
                <c:pt idx="77">
                  <c:v>-0.25</c:v>
                </c:pt>
                <c:pt idx="78">
                  <c:v>0.84</c:v>
                </c:pt>
                <c:pt idx="82">
                  <c:v>-0.09</c:v>
                </c:pt>
                <c:pt idx="83">
                  <c:v>-0.22</c:v>
                </c:pt>
                <c:pt idx="84">
                  <c:v>-0.63</c:v>
                </c:pt>
                <c:pt idx="85">
                  <c:v>-0.56000000000000005</c:v>
                </c:pt>
                <c:pt idx="86">
                  <c:v>-0.37</c:v>
                </c:pt>
                <c:pt idx="90">
                  <c:v>-0.41</c:v>
                </c:pt>
                <c:pt idx="91">
                  <c:v>0.05</c:v>
                </c:pt>
                <c:pt idx="92">
                  <c:v>-0.71</c:v>
                </c:pt>
                <c:pt idx="93">
                  <c:v>-0.7</c:v>
                </c:pt>
                <c:pt idx="94">
                  <c:v>0.31</c:v>
                </c:pt>
                <c:pt idx="98">
                  <c:v>-0.22</c:v>
                </c:pt>
                <c:pt idx="99">
                  <c:v>1.33</c:v>
                </c:pt>
                <c:pt idx="100">
                  <c:v>2.58</c:v>
                </c:pt>
                <c:pt idx="101">
                  <c:v>2.21</c:v>
                </c:pt>
                <c:pt idx="105">
                  <c:v>1.63</c:v>
                </c:pt>
                <c:pt idx="106">
                  <c:v>1.29</c:v>
                </c:pt>
                <c:pt idx="107">
                  <c:v>0.78</c:v>
                </c:pt>
                <c:pt idx="111">
                  <c:v>1.07</c:v>
                </c:pt>
                <c:pt idx="112">
                  <c:v>0.49</c:v>
                </c:pt>
                <c:pt idx="113">
                  <c:v>0.19</c:v>
                </c:pt>
                <c:pt idx="114">
                  <c:v>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AE-448C-A336-6B313A0FCD61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All!$HV$6:$HV$124</c:f>
              <c:numCache>
                <c:formatCode>General</c:formatCode>
                <c:ptCount val="119"/>
                <c:pt idx="0">
                  <c:v>0.435</c:v>
                </c:pt>
                <c:pt idx="1">
                  <c:v>1E-3</c:v>
                </c:pt>
                <c:pt idx="2">
                  <c:v>0.27300000000000002</c:v>
                </c:pt>
                <c:pt idx="3">
                  <c:v>0.72399999999999998</c:v>
                </c:pt>
                <c:pt idx="7">
                  <c:v>0.20399999999999999</c:v>
                </c:pt>
                <c:pt idx="8">
                  <c:v>1.1879999999999999</c:v>
                </c:pt>
                <c:pt idx="9">
                  <c:v>1.304</c:v>
                </c:pt>
                <c:pt idx="10">
                  <c:v>1.321</c:v>
                </c:pt>
                <c:pt idx="11">
                  <c:v>0.73599999999999999</c:v>
                </c:pt>
                <c:pt idx="12">
                  <c:v>0.35399999999999998</c:v>
                </c:pt>
                <c:pt idx="13">
                  <c:v>-9.8000000000000004E-2</c:v>
                </c:pt>
                <c:pt idx="17">
                  <c:v>-0.95499999999999996</c:v>
                </c:pt>
                <c:pt idx="18">
                  <c:v>0.125</c:v>
                </c:pt>
                <c:pt idx="19">
                  <c:v>0.44600000000000001</c:v>
                </c:pt>
                <c:pt idx="20">
                  <c:v>0.434</c:v>
                </c:pt>
                <c:pt idx="21">
                  <c:v>0.193</c:v>
                </c:pt>
                <c:pt idx="22">
                  <c:v>-0.34100000000000003</c:v>
                </c:pt>
                <c:pt idx="26">
                  <c:v>-0.498</c:v>
                </c:pt>
                <c:pt idx="27">
                  <c:v>1.7999999999999999E-2</c:v>
                </c:pt>
                <c:pt idx="28">
                  <c:v>0.47499999999999998</c:v>
                </c:pt>
                <c:pt idx="29">
                  <c:v>0.127</c:v>
                </c:pt>
                <c:pt idx="30">
                  <c:v>0.63500000000000001</c:v>
                </c:pt>
                <c:pt idx="31">
                  <c:v>-0.13700000000000001</c:v>
                </c:pt>
                <c:pt idx="35">
                  <c:v>-0.32500000000000001</c:v>
                </c:pt>
                <c:pt idx="36">
                  <c:v>1.119</c:v>
                </c:pt>
                <c:pt idx="37">
                  <c:v>0.74199999999999999</c:v>
                </c:pt>
                <c:pt idx="38">
                  <c:v>-0.78</c:v>
                </c:pt>
                <c:pt idx="42">
                  <c:v>-0.61599999999999999</c:v>
                </c:pt>
                <c:pt idx="43">
                  <c:v>-0.81100000000000005</c:v>
                </c:pt>
                <c:pt idx="44">
                  <c:v>0.80100000000000005</c:v>
                </c:pt>
                <c:pt idx="45">
                  <c:v>1.2969999999999999</c:v>
                </c:pt>
                <c:pt idx="46">
                  <c:v>1.1819999999999999</c:v>
                </c:pt>
                <c:pt idx="50">
                  <c:v>0.216</c:v>
                </c:pt>
                <c:pt idx="51">
                  <c:v>0.91900000000000004</c:v>
                </c:pt>
                <c:pt idx="52">
                  <c:v>0.79600000000000004</c:v>
                </c:pt>
                <c:pt idx="53">
                  <c:v>1.3540000000000001</c:v>
                </c:pt>
                <c:pt idx="54">
                  <c:v>1.345</c:v>
                </c:pt>
                <c:pt idx="55">
                  <c:v>1.006</c:v>
                </c:pt>
                <c:pt idx="59">
                  <c:v>-5.8000000000000003E-2</c:v>
                </c:pt>
                <c:pt idx="60">
                  <c:v>1.0329999999999999</c:v>
                </c:pt>
                <c:pt idx="61">
                  <c:v>1.2669999999999999</c:v>
                </c:pt>
                <c:pt idx="62">
                  <c:v>1.0429999999999999</c:v>
                </c:pt>
                <c:pt idx="63">
                  <c:v>0.37</c:v>
                </c:pt>
                <c:pt idx="67">
                  <c:v>-8.1000000000000003E-2</c:v>
                </c:pt>
                <c:pt idx="68">
                  <c:v>0.30199999999999999</c:v>
                </c:pt>
                <c:pt idx="69">
                  <c:v>0.42</c:v>
                </c:pt>
                <c:pt idx="70">
                  <c:v>0.3</c:v>
                </c:pt>
                <c:pt idx="74">
                  <c:v>-1.7410000000000001</c:v>
                </c:pt>
                <c:pt idx="75">
                  <c:v>-1.2E-2</c:v>
                </c:pt>
                <c:pt idx="76">
                  <c:v>0.51300000000000001</c:v>
                </c:pt>
                <c:pt idx="77">
                  <c:v>0.63300000000000001</c:v>
                </c:pt>
                <c:pt idx="78">
                  <c:v>0.74099999999999999</c:v>
                </c:pt>
                <c:pt idx="82">
                  <c:v>0.13100000000000001</c:v>
                </c:pt>
                <c:pt idx="83">
                  <c:v>0.65400000000000003</c:v>
                </c:pt>
                <c:pt idx="84">
                  <c:v>0.73699999999999999</c:v>
                </c:pt>
                <c:pt idx="85">
                  <c:v>0.72399999999999998</c:v>
                </c:pt>
                <c:pt idx="86">
                  <c:v>0.40200000000000002</c:v>
                </c:pt>
                <c:pt idx="90">
                  <c:v>0.24199999999999999</c:v>
                </c:pt>
                <c:pt idx="91">
                  <c:v>0.442</c:v>
                </c:pt>
                <c:pt idx="92">
                  <c:v>9.6000000000000002E-2</c:v>
                </c:pt>
                <c:pt idx="93">
                  <c:v>0.374</c:v>
                </c:pt>
                <c:pt idx="94">
                  <c:v>0.114</c:v>
                </c:pt>
                <c:pt idx="98">
                  <c:v>0.497</c:v>
                </c:pt>
                <c:pt idx="99">
                  <c:v>1.206</c:v>
                </c:pt>
                <c:pt idx="100">
                  <c:v>1.3320000000000001</c:v>
                </c:pt>
                <c:pt idx="101">
                  <c:v>1.091</c:v>
                </c:pt>
                <c:pt idx="105">
                  <c:v>0.66600000000000004</c:v>
                </c:pt>
                <c:pt idx="106">
                  <c:v>0.97899999999999998</c:v>
                </c:pt>
                <c:pt idx="107">
                  <c:v>0.61399999999999999</c:v>
                </c:pt>
                <c:pt idx="111">
                  <c:v>0.54700000000000004</c:v>
                </c:pt>
                <c:pt idx="112">
                  <c:v>0.58299999999999996</c:v>
                </c:pt>
                <c:pt idx="113">
                  <c:v>0.751</c:v>
                </c:pt>
                <c:pt idx="114">
                  <c:v>0.40500000000000003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AE-448C-A336-6B313A0FC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6176"/>
        <c:axId val="483980368"/>
      </c:scatterChart>
      <c:valAx>
        <c:axId val="48399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0368"/>
        <c:crosses val="autoZero"/>
        <c:crossBetween val="midCat"/>
      </c:valAx>
      <c:valAx>
        <c:axId val="483980368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All!$FG$6:$FG$124</c:f>
              <c:numCache>
                <c:formatCode>General</c:formatCode>
                <c:ptCount val="119"/>
                <c:pt idx="0">
                  <c:v>1.0129999999999999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0.97299999999999998</c:v>
                </c:pt>
                <c:pt idx="7">
                  <c:v>1.0369999999999999</c:v>
                </c:pt>
                <c:pt idx="8">
                  <c:v>0.94499999999999995</c:v>
                </c:pt>
                <c:pt idx="9">
                  <c:v>0.94499999999999995</c:v>
                </c:pt>
                <c:pt idx="10">
                  <c:v>0.94499999999999995</c:v>
                </c:pt>
                <c:pt idx="11">
                  <c:v>0.94699999999999995</c:v>
                </c:pt>
                <c:pt idx="12">
                  <c:v>0.94399999999999995</c:v>
                </c:pt>
                <c:pt idx="13">
                  <c:v>0.97299999999999998</c:v>
                </c:pt>
                <c:pt idx="17">
                  <c:v>0.96099999999999997</c:v>
                </c:pt>
                <c:pt idx="18">
                  <c:v>0.93400000000000005</c:v>
                </c:pt>
                <c:pt idx="19">
                  <c:v>0.93400000000000005</c:v>
                </c:pt>
                <c:pt idx="20">
                  <c:v>0.93700000000000006</c:v>
                </c:pt>
                <c:pt idx="21">
                  <c:v>0.93500000000000005</c:v>
                </c:pt>
                <c:pt idx="22">
                  <c:v>0.99</c:v>
                </c:pt>
                <c:pt idx="26">
                  <c:v>0.95</c:v>
                </c:pt>
                <c:pt idx="27">
                  <c:v>0.93400000000000005</c:v>
                </c:pt>
                <c:pt idx="28">
                  <c:v>0.93300000000000005</c:v>
                </c:pt>
                <c:pt idx="29">
                  <c:v>0.93500000000000005</c:v>
                </c:pt>
                <c:pt idx="30">
                  <c:v>0.93200000000000005</c:v>
                </c:pt>
                <c:pt idx="31">
                  <c:v>0.94</c:v>
                </c:pt>
                <c:pt idx="35">
                  <c:v>1.016</c:v>
                </c:pt>
                <c:pt idx="36">
                  <c:v>0.91300000000000003</c:v>
                </c:pt>
                <c:pt idx="37">
                  <c:v>0.91800000000000004</c:v>
                </c:pt>
                <c:pt idx="38">
                  <c:v>0.98499999999999999</c:v>
                </c:pt>
                <c:pt idx="42">
                  <c:v>0.95599999999999996</c:v>
                </c:pt>
                <c:pt idx="43">
                  <c:v>0.92700000000000005</c:v>
                </c:pt>
                <c:pt idx="44">
                  <c:v>0.91900000000000004</c:v>
                </c:pt>
                <c:pt idx="45">
                  <c:v>0.91900000000000004</c:v>
                </c:pt>
                <c:pt idx="46">
                  <c:v>0.92300000000000004</c:v>
                </c:pt>
                <c:pt idx="50">
                  <c:v>1.0109999999999999</c:v>
                </c:pt>
                <c:pt idx="51">
                  <c:v>0.91600000000000004</c:v>
                </c:pt>
                <c:pt idx="52">
                  <c:v>0.92400000000000004</c:v>
                </c:pt>
                <c:pt idx="53">
                  <c:v>0.91600000000000004</c:v>
                </c:pt>
                <c:pt idx="54">
                  <c:v>0.91600000000000004</c:v>
                </c:pt>
                <c:pt idx="55">
                  <c:v>0.95899999999999996</c:v>
                </c:pt>
                <c:pt idx="59">
                  <c:v>1.206</c:v>
                </c:pt>
                <c:pt idx="60">
                  <c:v>0.96</c:v>
                </c:pt>
                <c:pt idx="61">
                  <c:v>0.91300000000000003</c:v>
                </c:pt>
                <c:pt idx="62">
                  <c:v>0.91200000000000003</c:v>
                </c:pt>
                <c:pt idx="63">
                  <c:v>0.91900000000000004</c:v>
                </c:pt>
                <c:pt idx="67">
                  <c:v>0.98799999999999999</c:v>
                </c:pt>
                <c:pt idx="68">
                  <c:v>0.91800000000000004</c:v>
                </c:pt>
                <c:pt idx="69">
                  <c:v>0.91800000000000004</c:v>
                </c:pt>
                <c:pt idx="70">
                  <c:v>0.92400000000000004</c:v>
                </c:pt>
                <c:pt idx="74">
                  <c:v>1.0089999999999999</c:v>
                </c:pt>
                <c:pt idx="75">
                  <c:v>0.91600000000000004</c:v>
                </c:pt>
                <c:pt idx="76">
                  <c:v>0.91800000000000004</c:v>
                </c:pt>
                <c:pt idx="77">
                  <c:v>0.91400000000000003</c:v>
                </c:pt>
                <c:pt idx="78">
                  <c:v>0.93100000000000005</c:v>
                </c:pt>
                <c:pt idx="82">
                  <c:v>0.96499999999999997</c:v>
                </c:pt>
                <c:pt idx="83">
                  <c:v>0.91700000000000004</c:v>
                </c:pt>
                <c:pt idx="84">
                  <c:v>0.91400000000000003</c:v>
                </c:pt>
                <c:pt idx="85">
                  <c:v>0.91600000000000004</c:v>
                </c:pt>
                <c:pt idx="86">
                  <c:v>0.98299999999999998</c:v>
                </c:pt>
                <c:pt idx="90">
                  <c:v>0.96299999999999997</c:v>
                </c:pt>
                <c:pt idx="91">
                  <c:v>0.91700000000000004</c:v>
                </c:pt>
                <c:pt idx="92">
                  <c:v>0.92300000000000004</c:v>
                </c:pt>
                <c:pt idx="93">
                  <c:v>0.92100000000000004</c:v>
                </c:pt>
                <c:pt idx="94">
                  <c:v>1.133</c:v>
                </c:pt>
                <c:pt idx="98">
                  <c:v>0.93500000000000005</c:v>
                </c:pt>
                <c:pt idx="99">
                  <c:v>0.91300000000000003</c:v>
                </c:pt>
                <c:pt idx="100">
                  <c:v>0.91600000000000004</c:v>
                </c:pt>
                <c:pt idx="101">
                  <c:v>0.97099999999999997</c:v>
                </c:pt>
                <c:pt idx="105">
                  <c:v>1</c:v>
                </c:pt>
                <c:pt idx="106">
                  <c:v>0.91700000000000004</c:v>
                </c:pt>
                <c:pt idx="107">
                  <c:v>1.06</c:v>
                </c:pt>
                <c:pt idx="111">
                  <c:v>0.96899999999999997</c:v>
                </c:pt>
                <c:pt idx="112">
                  <c:v>0.91600000000000004</c:v>
                </c:pt>
                <c:pt idx="113">
                  <c:v>0.91500000000000004</c:v>
                </c:pt>
                <c:pt idx="114">
                  <c:v>0.97199999999999998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5-4AF7-A65C-4BABACA698C0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All!$FH$6:$FH$124</c:f>
              <c:numCache>
                <c:formatCode>General</c:formatCode>
                <c:ptCount val="119"/>
                <c:pt idx="0">
                  <c:v>1.0169999999999999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0.97899999999999998</c:v>
                </c:pt>
                <c:pt idx="7">
                  <c:v>1.0469999999999999</c:v>
                </c:pt>
                <c:pt idx="8">
                  <c:v>0.94599999999999995</c:v>
                </c:pt>
                <c:pt idx="9">
                  <c:v>0.94499999999999995</c:v>
                </c:pt>
                <c:pt idx="10">
                  <c:v>0.94599999999999995</c:v>
                </c:pt>
                <c:pt idx="11">
                  <c:v>0.94699999999999995</c:v>
                </c:pt>
                <c:pt idx="12">
                  <c:v>0.94399999999999995</c:v>
                </c:pt>
                <c:pt idx="13">
                  <c:v>0.95399999999999996</c:v>
                </c:pt>
                <c:pt idx="17">
                  <c:v>0.96099999999999997</c:v>
                </c:pt>
                <c:pt idx="18">
                  <c:v>0.93500000000000005</c:v>
                </c:pt>
                <c:pt idx="19">
                  <c:v>0.93500000000000005</c:v>
                </c:pt>
                <c:pt idx="20">
                  <c:v>0.93799999999999994</c:v>
                </c:pt>
                <c:pt idx="21">
                  <c:v>0.93700000000000006</c:v>
                </c:pt>
                <c:pt idx="22">
                  <c:v>0.98899999999999999</c:v>
                </c:pt>
                <c:pt idx="26">
                  <c:v>0.95099999999999996</c:v>
                </c:pt>
                <c:pt idx="27">
                  <c:v>0.93500000000000005</c:v>
                </c:pt>
                <c:pt idx="28">
                  <c:v>0.93400000000000005</c:v>
                </c:pt>
                <c:pt idx="29">
                  <c:v>0.93500000000000005</c:v>
                </c:pt>
                <c:pt idx="30">
                  <c:v>0.93300000000000005</c:v>
                </c:pt>
                <c:pt idx="31">
                  <c:v>0.93899999999999995</c:v>
                </c:pt>
                <c:pt idx="35">
                  <c:v>1.016</c:v>
                </c:pt>
                <c:pt idx="36">
                  <c:v>0.91400000000000003</c:v>
                </c:pt>
                <c:pt idx="37">
                  <c:v>0.91800000000000004</c:v>
                </c:pt>
                <c:pt idx="38">
                  <c:v>0.93400000000000005</c:v>
                </c:pt>
                <c:pt idx="42">
                  <c:v>0.96</c:v>
                </c:pt>
                <c:pt idx="43">
                  <c:v>0.92700000000000005</c:v>
                </c:pt>
                <c:pt idx="44">
                  <c:v>0.91900000000000004</c:v>
                </c:pt>
                <c:pt idx="45">
                  <c:v>0.91900000000000004</c:v>
                </c:pt>
                <c:pt idx="46">
                  <c:v>0.92</c:v>
                </c:pt>
                <c:pt idx="50">
                  <c:v>1.01</c:v>
                </c:pt>
                <c:pt idx="51">
                  <c:v>0.91600000000000004</c:v>
                </c:pt>
                <c:pt idx="52">
                  <c:v>0.92400000000000004</c:v>
                </c:pt>
                <c:pt idx="53">
                  <c:v>0.91700000000000004</c:v>
                </c:pt>
                <c:pt idx="54">
                  <c:v>0.91700000000000004</c:v>
                </c:pt>
                <c:pt idx="55">
                  <c:v>0.94599999999999995</c:v>
                </c:pt>
                <c:pt idx="59">
                  <c:v>1.24</c:v>
                </c:pt>
                <c:pt idx="60">
                  <c:v>0.96199999999999997</c:v>
                </c:pt>
                <c:pt idx="61">
                  <c:v>0.91400000000000003</c:v>
                </c:pt>
                <c:pt idx="62">
                  <c:v>0.91300000000000003</c:v>
                </c:pt>
                <c:pt idx="63">
                  <c:v>0.91800000000000004</c:v>
                </c:pt>
                <c:pt idx="67">
                  <c:v>0.96599999999999997</c:v>
                </c:pt>
                <c:pt idx="68">
                  <c:v>0.91800000000000004</c:v>
                </c:pt>
                <c:pt idx="69">
                  <c:v>0.91800000000000004</c:v>
                </c:pt>
                <c:pt idx="70">
                  <c:v>0.94299999999999995</c:v>
                </c:pt>
                <c:pt idx="74">
                  <c:v>1.0089999999999999</c:v>
                </c:pt>
                <c:pt idx="75">
                  <c:v>0.91700000000000004</c:v>
                </c:pt>
                <c:pt idx="76">
                  <c:v>0.91800000000000004</c:v>
                </c:pt>
                <c:pt idx="77">
                  <c:v>0.91400000000000003</c:v>
                </c:pt>
                <c:pt idx="78">
                  <c:v>0.92500000000000004</c:v>
                </c:pt>
                <c:pt idx="82">
                  <c:v>0.97</c:v>
                </c:pt>
                <c:pt idx="83">
                  <c:v>0.91800000000000004</c:v>
                </c:pt>
                <c:pt idx="84">
                  <c:v>0.91400000000000003</c:v>
                </c:pt>
                <c:pt idx="85">
                  <c:v>0.91500000000000004</c:v>
                </c:pt>
                <c:pt idx="86">
                  <c:v>1.01</c:v>
                </c:pt>
                <c:pt idx="90">
                  <c:v>0.96799999999999997</c:v>
                </c:pt>
                <c:pt idx="91">
                  <c:v>0.91900000000000004</c:v>
                </c:pt>
                <c:pt idx="92">
                  <c:v>0.92300000000000004</c:v>
                </c:pt>
                <c:pt idx="93">
                  <c:v>0.92200000000000004</c:v>
                </c:pt>
                <c:pt idx="94">
                  <c:v>1.1240000000000001</c:v>
                </c:pt>
                <c:pt idx="98">
                  <c:v>0.93500000000000005</c:v>
                </c:pt>
                <c:pt idx="99">
                  <c:v>0.91300000000000003</c:v>
                </c:pt>
                <c:pt idx="100">
                  <c:v>0.91700000000000004</c:v>
                </c:pt>
                <c:pt idx="101">
                  <c:v>0.92400000000000004</c:v>
                </c:pt>
                <c:pt idx="105">
                  <c:v>1.012</c:v>
                </c:pt>
                <c:pt idx="106">
                  <c:v>0.91800000000000004</c:v>
                </c:pt>
                <c:pt idx="107">
                  <c:v>0.98099999999999998</c:v>
                </c:pt>
                <c:pt idx="111">
                  <c:v>0.97199999999999998</c:v>
                </c:pt>
                <c:pt idx="112">
                  <c:v>0.91600000000000004</c:v>
                </c:pt>
                <c:pt idx="113">
                  <c:v>0.91700000000000004</c:v>
                </c:pt>
                <c:pt idx="114">
                  <c:v>0.95599999999999996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D5-4AF7-A65C-4BABACA698C0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All!$FI$6:$FI$124</c:f>
              <c:numCache>
                <c:formatCode>General</c:formatCode>
                <c:ptCount val="119"/>
                <c:pt idx="0">
                  <c:v>1.0009999999999999</c:v>
                </c:pt>
                <c:pt idx="1">
                  <c:v>0.98499999999999999</c:v>
                </c:pt>
                <c:pt idx="2">
                  <c:v>0.98299999999999998</c:v>
                </c:pt>
                <c:pt idx="3">
                  <c:v>0.98399999999999999</c:v>
                </c:pt>
                <c:pt idx="7">
                  <c:v>0.996</c:v>
                </c:pt>
                <c:pt idx="8">
                  <c:v>0.98599999999999999</c:v>
                </c:pt>
                <c:pt idx="9">
                  <c:v>0.98599999999999999</c:v>
                </c:pt>
                <c:pt idx="10">
                  <c:v>0.98599999999999999</c:v>
                </c:pt>
                <c:pt idx="11">
                  <c:v>0.98799999999999999</c:v>
                </c:pt>
                <c:pt idx="12">
                  <c:v>0.98899999999999999</c:v>
                </c:pt>
                <c:pt idx="13">
                  <c:v>0.99</c:v>
                </c:pt>
                <c:pt idx="17">
                  <c:v>1.002</c:v>
                </c:pt>
                <c:pt idx="18">
                  <c:v>0.995</c:v>
                </c:pt>
                <c:pt idx="19">
                  <c:v>0.99299999999999999</c:v>
                </c:pt>
                <c:pt idx="20">
                  <c:v>0.99399999999999999</c:v>
                </c:pt>
                <c:pt idx="21">
                  <c:v>0.996</c:v>
                </c:pt>
                <c:pt idx="22">
                  <c:v>0.998</c:v>
                </c:pt>
                <c:pt idx="26">
                  <c:v>0.997</c:v>
                </c:pt>
                <c:pt idx="27">
                  <c:v>0.99099999999999999</c:v>
                </c:pt>
                <c:pt idx="28">
                  <c:v>0.98799999999999999</c:v>
                </c:pt>
                <c:pt idx="29">
                  <c:v>0.98899999999999999</c:v>
                </c:pt>
                <c:pt idx="30">
                  <c:v>0.98699999999999999</c:v>
                </c:pt>
                <c:pt idx="31">
                  <c:v>0.995</c:v>
                </c:pt>
                <c:pt idx="35">
                  <c:v>1.0009999999999999</c:v>
                </c:pt>
                <c:pt idx="36">
                  <c:v>0.996</c:v>
                </c:pt>
                <c:pt idx="37">
                  <c:v>0.997</c:v>
                </c:pt>
                <c:pt idx="38">
                  <c:v>1.0129999999999999</c:v>
                </c:pt>
                <c:pt idx="42">
                  <c:v>1.008</c:v>
                </c:pt>
                <c:pt idx="43">
                  <c:v>1.0109999999999999</c:v>
                </c:pt>
                <c:pt idx="44">
                  <c:v>1.004</c:v>
                </c:pt>
                <c:pt idx="45">
                  <c:v>1.002</c:v>
                </c:pt>
                <c:pt idx="46">
                  <c:v>1.0029999999999999</c:v>
                </c:pt>
                <c:pt idx="50">
                  <c:v>1.002</c:v>
                </c:pt>
                <c:pt idx="51">
                  <c:v>0.995</c:v>
                </c:pt>
                <c:pt idx="52">
                  <c:v>1.0029999999999999</c:v>
                </c:pt>
                <c:pt idx="53">
                  <c:v>0.995</c:v>
                </c:pt>
                <c:pt idx="54">
                  <c:v>0.99299999999999999</c:v>
                </c:pt>
                <c:pt idx="55">
                  <c:v>0.998</c:v>
                </c:pt>
                <c:pt idx="59">
                  <c:v>1</c:v>
                </c:pt>
                <c:pt idx="60">
                  <c:v>1.002</c:v>
                </c:pt>
                <c:pt idx="61">
                  <c:v>0.997</c:v>
                </c:pt>
                <c:pt idx="62">
                  <c:v>0.996</c:v>
                </c:pt>
                <c:pt idx="63">
                  <c:v>0.996</c:v>
                </c:pt>
                <c:pt idx="67">
                  <c:v>1.0009999999999999</c:v>
                </c:pt>
                <c:pt idx="68">
                  <c:v>0.996</c:v>
                </c:pt>
                <c:pt idx="69">
                  <c:v>0.996</c:v>
                </c:pt>
                <c:pt idx="70">
                  <c:v>0.997</c:v>
                </c:pt>
                <c:pt idx="74">
                  <c:v>1.0009999999999999</c:v>
                </c:pt>
                <c:pt idx="75">
                  <c:v>0.998</c:v>
                </c:pt>
                <c:pt idx="76">
                  <c:v>0.996</c:v>
                </c:pt>
                <c:pt idx="77">
                  <c:v>0.996</c:v>
                </c:pt>
                <c:pt idx="78">
                  <c:v>0.996</c:v>
                </c:pt>
                <c:pt idx="82">
                  <c:v>1</c:v>
                </c:pt>
                <c:pt idx="83">
                  <c:v>0.996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90">
                  <c:v>0.998</c:v>
                </c:pt>
                <c:pt idx="91">
                  <c:v>0.99299999999999999</c:v>
                </c:pt>
                <c:pt idx="92">
                  <c:v>0.998</c:v>
                </c:pt>
                <c:pt idx="93">
                  <c:v>0.997</c:v>
                </c:pt>
                <c:pt idx="94">
                  <c:v>1</c:v>
                </c:pt>
                <c:pt idx="98">
                  <c:v>1.0029999999999999</c:v>
                </c:pt>
                <c:pt idx="99">
                  <c:v>0.995</c:v>
                </c:pt>
                <c:pt idx="100">
                  <c:v>0.99399999999999999</c:v>
                </c:pt>
                <c:pt idx="101">
                  <c:v>0.995</c:v>
                </c:pt>
                <c:pt idx="105">
                  <c:v>1</c:v>
                </c:pt>
                <c:pt idx="106">
                  <c:v>0.997</c:v>
                </c:pt>
                <c:pt idx="107">
                  <c:v>0.997</c:v>
                </c:pt>
                <c:pt idx="111">
                  <c:v>1.002</c:v>
                </c:pt>
                <c:pt idx="112">
                  <c:v>0.997</c:v>
                </c:pt>
                <c:pt idx="113">
                  <c:v>0.997</c:v>
                </c:pt>
                <c:pt idx="114">
                  <c:v>1.0209999999999999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D5-4AF7-A65C-4BABACA698C0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All!$FJ$6:$FJ$124</c:f>
              <c:numCache>
                <c:formatCode>General</c:formatCode>
                <c:ptCount val="119"/>
                <c:pt idx="0">
                  <c:v>1.0009999999999999</c:v>
                </c:pt>
                <c:pt idx="1">
                  <c:v>0.98799999999999999</c:v>
                </c:pt>
                <c:pt idx="2">
                  <c:v>0.98699999999999999</c:v>
                </c:pt>
                <c:pt idx="3">
                  <c:v>0.98799999999999999</c:v>
                </c:pt>
                <c:pt idx="7">
                  <c:v>0.999</c:v>
                </c:pt>
                <c:pt idx="8">
                  <c:v>0.99</c:v>
                </c:pt>
                <c:pt idx="9">
                  <c:v>0.99099999999999999</c:v>
                </c:pt>
                <c:pt idx="10">
                  <c:v>0.99</c:v>
                </c:pt>
                <c:pt idx="11">
                  <c:v>0.99299999999999999</c:v>
                </c:pt>
                <c:pt idx="12">
                  <c:v>0.99399999999999999</c:v>
                </c:pt>
                <c:pt idx="13">
                  <c:v>0.995</c:v>
                </c:pt>
                <c:pt idx="17">
                  <c:v>1.0049999999999999</c:v>
                </c:pt>
                <c:pt idx="18">
                  <c:v>1</c:v>
                </c:pt>
                <c:pt idx="19">
                  <c:v>0.998</c:v>
                </c:pt>
                <c:pt idx="20">
                  <c:v>1</c:v>
                </c:pt>
                <c:pt idx="21">
                  <c:v>1.0009999999999999</c:v>
                </c:pt>
                <c:pt idx="22">
                  <c:v>1.004</c:v>
                </c:pt>
                <c:pt idx="26">
                  <c:v>1</c:v>
                </c:pt>
                <c:pt idx="27">
                  <c:v>0.995</c:v>
                </c:pt>
                <c:pt idx="28">
                  <c:v>0.99299999999999999</c:v>
                </c:pt>
                <c:pt idx="29">
                  <c:v>0.995</c:v>
                </c:pt>
                <c:pt idx="30">
                  <c:v>0.99299999999999999</c:v>
                </c:pt>
                <c:pt idx="31">
                  <c:v>1.0009999999999999</c:v>
                </c:pt>
                <c:pt idx="35">
                  <c:v>1.0009999999999999</c:v>
                </c:pt>
                <c:pt idx="36">
                  <c:v>0.999</c:v>
                </c:pt>
                <c:pt idx="37">
                  <c:v>1.0009999999999999</c:v>
                </c:pt>
                <c:pt idx="38">
                  <c:v>1.0149999999999999</c:v>
                </c:pt>
                <c:pt idx="42">
                  <c:v>1.0089999999999999</c:v>
                </c:pt>
                <c:pt idx="43">
                  <c:v>1.0129999999999999</c:v>
                </c:pt>
                <c:pt idx="44">
                  <c:v>1.0069999999999999</c:v>
                </c:pt>
                <c:pt idx="45">
                  <c:v>1.006</c:v>
                </c:pt>
                <c:pt idx="46">
                  <c:v>1.008</c:v>
                </c:pt>
                <c:pt idx="50">
                  <c:v>1.0029999999999999</c:v>
                </c:pt>
                <c:pt idx="51">
                  <c:v>0.998</c:v>
                </c:pt>
                <c:pt idx="52">
                  <c:v>1.0049999999999999</c:v>
                </c:pt>
                <c:pt idx="53">
                  <c:v>0.999</c:v>
                </c:pt>
                <c:pt idx="54">
                  <c:v>0.997</c:v>
                </c:pt>
                <c:pt idx="55">
                  <c:v>1.0009999999999999</c:v>
                </c:pt>
                <c:pt idx="59">
                  <c:v>1</c:v>
                </c:pt>
                <c:pt idx="60">
                  <c:v>1.004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7">
                  <c:v>1.004</c:v>
                </c:pt>
                <c:pt idx="68">
                  <c:v>1.002</c:v>
                </c:pt>
                <c:pt idx="69">
                  <c:v>1.0009999999999999</c:v>
                </c:pt>
                <c:pt idx="70">
                  <c:v>1</c:v>
                </c:pt>
                <c:pt idx="74">
                  <c:v>1.002</c:v>
                </c:pt>
                <c:pt idx="75">
                  <c:v>1</c:v>
                </c:pt>
                <c:pt idx="76">
                  <c:v>0.998</c:v>
                </c:pt>
                <c:pt idx="77">
                  <c:v>0.998</c:v>
                </c:pt>
                <c:pt idx="78">
                  <c:v>0.998</c:v>
                </c:pt>
                <c:pt idx="82">
                  <c:v>1.002</c:v>
                </c:pt>
                <c:pt idx="83">
                  <c:v>0.998</c:v>
                </c:pt>
                <c:pt idx="84">
                  <c:v>0.997</c:v>
                </c:pt>
                <c:pt idx="85">
                  <c:v>0.997</c:v>
                </c:pt>
                <c:pt idx="86">
                  <c:v>0.997</c:v>
                </c:pt>
                <c:pt idx="90">
                  <c:v>1.0009999999999999</c:v>
                </c:pt>
                <c:pt idx="91">
                  <c:v>0.998</c:v>
                </c:pt>
                <c:pt idx="92">
                  <c:v>1.002</c:v>
                </c:pt>
                <c:pt idx="93">
                  <c:v>1.002</c:v>
                </c:pt>
                <c:pt idx="94">
                  <c:v>1.0029999999999999</c:v>
                </c:pt>
                <c:pt idx="98">
                  <c:v>1.0049999999999999</c:v>
                </c:pt>
                <c:pt idx="99">
                  <c:v>1</c:v>
                </c:pt>
                <c:pt idx="100">
                  <c:v>0.999</c:v>
                </c:pt>
                <c:pt idx="101">
                  <c:v>0.999</c:v>
                </c:pt>
                <c:pt idx="105">
                  <c:v>1.004</c:v>
                </c:pt>
                <c:pt idx="106">
                  <c:v>1.0029999999999999</c:v>
                </c:pt>
                <c:pt idx="107">
                  <c:v>1.002</c:v>
                </c:pt>
                <c:pt idx="111">
                  <c:v>1.006</c:v>
                </c:pt>
                <c:pt idx="112">
                  <c:v>1.004</c:v>
                </c:pt>
                <c:pt idx="113">
                  <c:v>1.004</c:v>
                </c:pt>
                <c:pt idx="114">
                  <c:v>1.022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D5-4AF7-A65C-4BABACA69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2368"/>
        <c:axId val="484038192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All!$IL$6:$IL$124</c:f>
              <c:numCache>
                <c:formatCode>General</c:formatCode>
                <c:ptCount val="119"/>
                <c:pt idx="0">
                  <c:v>1299.348</c:v>
                </c:pt>
                <c:pt idx="1">
                  <c:v>74.271000000000001</c:v>
                </c:pt>
                <c:pt idx="2">
                  <c:v>67.009</c:v>
                </c:pt>
                <c:pt idx="3">
                  <c:v>71.942999999999998</c:v>
                </c:pt>
                <c:pt idx="7">
                  <c:v>134.124</c:v>
                </c:pt>
                <c:pt idx="8">
                  <c:v>73.87</c:v>
                </c:pt>
                <c:pt idx="9">
                  <c:v>71.332999999999998</c:v>
                </c:pt>
                <c:pt idx="10">
                  <c:v>70.33</c:v>
                </c:pt>
                <c:pt idx="11">
                  <c:v>112.23099999999999</c:v>
                </c:pt>
                <c:pt idx="12">
                  <c:v>69.664000000000001</c:v>
                </c:pt>
                <c:pt idx="13">
                  <c:v>79.326999999999998</c:v>
                </c:pt>
                <c:pt idx="17">
                  <c:v>293.90600000000001</c:v>
                </c:pt>
                <c:pt idx="18">
                  <c:v>70.850999999999999</c:v>
                </c:pt>
                <c:pt idx="19">
                  <c:v>68.41</c:v>
                </c:pt>
                <c:pt idx="20">
                  <c:v>80.905000000000001</c:v>
                </c:pt>
                <c:pt idx="21">
                  <c:v>71.688000000000002</c:v>
                </c:pt>
                <c:pt idx="22">
                  <c:v>85.578000000000003</c:v>
                </c:pt>
                <c:pt idx="26">
                  <c:v>107.622</c:v>
                </c:pt>
                <c:pt idx="27">
                  <c:v>77.968000000000004</c:v>
                </c:pt>
                <c:pt idx="28">
                  <c:v>71.198999999999998</c:v>
                </c:pt>
                <c:pt idx="29">
                  <c:v>72.393000000000001</c:v>
                </c:pt>
                <c:pt idx="30">
                  <c:v>71.751999999999995</c:v>
                </c:pt>
                <c:pt idx="31">
                  <c:v>80.736000000000004</c:v>
                </c:pt>
                <c:pt idx="35">
                  <c:v>1344.675</c:v>
                </c:pt>
                <c:pt idx="36">
                  <c:v>76.426000000000002</c:v>
                </c:pt>
                <c:pt idx="37">
                  <c:v>89.474999999999994</c:v>
                </c:pt>
                <c:pt idx="38">
                  <c:v>317.68900000000002</c:v>
                </c:pt>
                <c:pt idx="42">
                  <c:v>249.6</c:v>
                </c:pt>
                <c:pt idx="43">
                  <c:v>232.65600000000001</c:v>
                </c:pt>
                <c:pt idx="44">
                  <c:v>70.388000000000005</c:v>
                </c:pt>
                <c:pt idx="45">
                  <c:v>68.725999999999999</c:v>
                </c:pt>
                <c:pt idx="46">
                  <c:v>80.847999999999999</c:v>
                </c:pt>
                <c:pt idx="50">
                  <c:v>1149.307</c:v>
                </c:pt>
                <c:pt idx="51">
                  <c:v>201.03</c:v>
                </c:pt>
                <c:pt idx="52">
                  <c:v>299.63799999999998</c:v>
                </c:pt>
                <c:pt idx="53">
                  <c:v>71.811000000000007</c:v>
                </c:pt>
                <c:pt idx="54">
                  <c:v>68.850999999999999</c:v>
                </c:pt>
                <c:pt idx="55">
                  <c:v>126.509</c:v>
                </c:pt>
                <c:pt idx="59">
                  <c:v>29.047000000000001</c:v>
                </c:pt>
                <c:pt idx="60">
                  <c:v>164.12100000000001</c:v>
                </c:pt>
                <c:pt idx="61">
                  <c:v>67.149000000000001</c:v>
                </c:pt>
                <c:pt idx="62">
                  <c:v>66.528999999999996</c:v>
                </c:pt>
                <c:pt idx="63">
                  <c:v>80.989999999999995</c:v>
                </c:pt>
                <c:pt idx="67">
                  <c:v>229.57400000000001</c:v>
                </c:pt>
                <c:pt idx="68">
                  <c:v>66.849999999999994</c:v>
                </c:pt>
                <c:pt idx="69">
                  <c:v>64.703999999999994</c:v>
                </c:pt>
                <c:pt idx="70">
                  <c:v>78.893000000000001</c:v>
                </c:pt>
                <c:pt idx="74">
                  <c:v>737.86599999999999</c:v>
                </c:pt>
                <c:pt idx="75">
                  <c:v>78.742999999999995</c:v>
                </c:pt>
                <c:pt idx="76">
                  <c:v>85.325999999999993</c:v>
                </c:pt>
                <c:pt idx="77">
                  <c:v>73.025999999999996</c:v>
                </c:pt>
                <c:pt idx="78">
                  <c:v>84.573999999999998</c:v>
                </c:pt>
                <c:pt idx="82">
                  <c:v>160.32400000000001</c:v>
                </c:pt>
                <c:pt idx="83">
                  <c:v>76.902000000000001</c:v>
                </c:pt>
                <c:pt idx="84">
                  <c:v>76.620999999999995</c:v>
                </c:pt>
                <c:pt idx="85">
                  <c:v>77.326999999999998</c:v>
                </c:pt>
                <c:pt idx="86">
                  <c:v>95.932000000000002</c:v>
                </c:pt>
                <c:pt idx="90">
                  <c:v>154.096</c:v>
                </c:pt>
                <c:pt idx="91">
                  <c:v>153.63</c:v>
                </c:pt>
                <c:pt idx="92">
                  <c:v>105.727</c:v>
                </c:pt>
                <c:pt idx="93">
                  <c:v>75.084999999999994</c:v>
                </c:pt>
                <c:pt idx="94">
                  <c:v>393.89100000000002</c:v>
                </c:pt>
                <c:pt idx="98">
                  <c:v>234.11799999999999</c:v>
                </c:pt>
                <c:pt idx="99">
                  <c:v>72.873999999999995</c:v>
                </c:pt>
                <c:pt idx="100">
                  <c:v>72.069999999999993</c:v>
                </c:pt>
                <c:pt idx="101">
                  <c:v>88.605999999999995</c:v>
                </c:pt>
                <c:pt idx="105">
                  <c:v>141.631</c:v>
                </c:pt>
                <c:pt idx="106">
                  <c:v>66.807000000000002</c:v>
                </c:pt>
                <c:pt idx="107">
                  <c:v>87.584000000000003</c:v>
                </c:pt>
                <c:pt idx="111">
                  <c:v>143.334</c:v>
                </c:pt>
                <c:pt idx="112">
                  <c:v>72.774000000000001</c:v>
                </c:pt>
                <c:pt idx="113">
                  <c:v>78.507999999999996</c:v>
                </c:pt>
                <c:pt idx="114">
                  <c:v>336.43599999999998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D5-4AF7-A65C-4BABACA698C0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All!$IM$6:$IM$124</c:f>
              <c:numCache>
                <c:formatCode>General</c:formatCode>
                <c:ptCount val="119"/>
                <c:pt idx="0">
                  <c:v>1299.1679999999999</c:v>
                </c:pt>
                <c:pt idx="1">
                  <c:v>74.271000000000001</c:v>
                </c:pt>
                <c:pt idx="2">
                  <c:v>67.009</c:v>
                </c:pt>
                <c:pt idx="3">
                  <c:v>71.942999999999998</c:v>
                </c:pt>
                <c:pt idx="7">
                  <c:v>134.124</c:v>
                </c:pt>
                <c:pt idx="8">
                  <c:v>73.87</c:v>
                </c:pt>
                <c:pt idx="9">
                  <c:v>71.332999999999998</c:v>
                </c:pt>
                <c:pt idx="10">
                  <c:v>70.33</c:v>
                </c:pt>
                <c:pt idx="11">
                  <c:v>112.23099999999999</c:v>
                </c:pt>
                <c:pt idx="12">
                  <c:v>69.664000000000001</c:v>
                </c:pt>
                <c:pt idx="13">
                  <c:v>79.326999999999998</c:v>
                </c:pt>
                <c:pt idx="17">
                  <c:v>293.80500000000001</c:v>
                </c:pt>
                <c:pt idx="18">
                  <c:v>70.850999999999999</c:v>
                </c:pt>
                <c:pt idx="19">
                  <c:v>68.41</c:v>
                </c:pt>
                <c:pt idx="20">
                  <c:v>80.905000000000001</c:v>
                </c:pt>
                <c:pt idx="21">
                  <c:v>71.688000000000002</c:v>
                </c:pt>
                <c:pt idx="22">
                  <c:v>85.578000000000003</c:v>
                </c:pt>
                <c:pt idx="26">
                  <c:v>107.483</c:v>
                </c:pt>
                <c:pt idx="27">
                  <c:v>77.968000000000004</c:v>
                </c:pt>
                <c:pt idx="28">
                  <c:v>71.198999999999998</c:v>
                </c:pt>
                <c:pt idx="29">
                  <c:v>72.393000000000001</c:v>
                </c:pt>
                <c:pt idx="30">
                  <c:v>71.751999999999995</c:v>
                </c:pt>
                <c:pt idx="31">
                  <c:v>80.736000000000004</c:v>
                </c:pt>
                <c:pt idx="35">
                  <c:v>1344.5160000000001</c:v>
                </c:pt>
                <c:pt idx="36">
                  <c:v>76.426000000000002</c:v>
                </c:pt>
                <c:pt idx="37">
                  <c:v>89.474999999999994</c:v>
                </c:pt>
                <c:pt idx="38">
                  <c:v>317.68900000000002</c:v>
                </c:pt>
                <c:pt idx="42">
                  <c:v>249.6</c:v>
                </c:pt>
                <c:pt idx="43">
                  <c:v>232.65600000000001</c:v>
                </c:pt>
                <c:pt idx="44">
                  <c:v>70.388000000000005</c:v>
                </c:pt>
                <c:pt idx="45">
                  <c:v>68.725999999999999</c:v>
                </c:pt>
                <c:pt idx="46">
                  <c:v>80.847999999999999</c:v>
                </c:pt>
                <c:pt idx="50">
                  <c:v>1149.1079999999999</c:v>
                </c:pt>
                <c:pt idx="51">
                  <c:v>201.03</c:v>
                </c:pt>
                <c:pt idx="52">
                  <c:v>299.63799999999998</c:v>
                </c:pt>
                <c:pt idx="53">
                  <c:v>71.811000000000007</c:v>
                </c:pt>
                <c:pt idx="54">
                  <c:v>68.850999999999999</c:v>
                </c:pt>
                <c:pt idx="55">
                  <c:v>126.509</c:v>
                </c:pt>
                <c:pt idx="59">
                  <c:v>29.047000000000001</c:v>
                </c:pt>
                <c:pt idx="60">
                  <c:v>163.98</c:v>
                </c:pt>
                <c:pt idx="61">
                  <c:v>67.149000000000001</c:v>
                </c:pt>
                <c:pt idx="62">
                  <c:v>66.528999999999996</c:v>
                </c:pt>
                <c:pt idx="63">
                  <c:v>80.989999999999995</c:v>
                </c:pt>
                <c:pt idx="67">
                  <c:v>229.57400000000001</c:v>
                </c:pt>
                <c:pt idx="68">
                  <c:v>66.849999999999994</c:v>
                </c:pt>
                <c:pt idx="69">
                  <c:v>64.703999999999994</c:v>
                </c:pt>
                <c:pt idx="70">
                  <c:v>78.893000000000001</c:v>
                </c:pt>
                <c:pt idx="74">
                  <c:v>737.86599999999999</c:v>
                </c:pt>
                <c:pt idx="75">
                  <c:v>78.742999999999995</c:v>
                </c:pt>
                <c:pt idx="76">
                  <c:v>85.325999999999993</c:v>
                </c:pt>
                <c:pt idx="77">
                  <c:v>73.025999999999996</c:v>
                </c:pt>
                <c:pt idx="78">
                  <c:v>84.573999999999998</c:v>
                </c:pt>
                <c:pt idx="82">
                  <c:v>160.32400000000001</c:v>
                </c:pt>
                <c:pt idx="83">
                  <c:v>76.902000000000001</c:v>
                </c:pt>
                <c:pt idx="84">
                  <c:v>76.620999999999995</c:v>
                </c:pt>
                <c:pt idx="85">
                  <c:v>77.326999999999998</c:v>
                </c:pt>
                <c:pt idx="86">
                  <c:v>95.932000000000002</c:v>
                </c:pt>
                <c:pt idx="90">
                  <c:v>154.096</c:v>
                </c:pt>
                <c:pt idx="91">
                  <c:v>153.63</c:v>
                </c:pt>
                <c:pt idx="92">
                  <c:v>105.727</c:v>
                </c:pt>
                <c:pt idx="93">
                  <c:v>75.084999999999994</c:v>
                </c:pt>
                <c:pt idx="94">
                  <c:v>393.89100000000002</c:v>
                </c:pt>
                <c:pt idx="98">
                  <c:v>233.958</c:v>
                </c:pt>
                <c:pt idx="99">
                  <c:v>72.873999999999995</c:v>
                </c:pt>
                <c:pt idx="100">
                  <c:v>72.069999999999993</c:v>
                </c:pt>
                <c:pt idx="101">
                  <c:v>88.605999999999995</c:v>
                </c:pt>
                <c:pt idx="105">
                  <c:v>141.631</c:v>
                </c:pt>
                <c:pt idx="106">
                  <c:v>66.807000000000002</c:v>
                </c:pt>
                <c:pt idx="107">
                  <c:v>87.584000000000003</c:v>
                </c:pt>
                <c:pt idx="111">
                  <c:v>143.334</c:v>
                </c:pt>
                <c:pt idx="112">
                  <c:v>72.774000000000001</c:v>
                </c:pt>
                <c:pt idx="113">
                  <c:v>78.507999999999996</c:v>
                </c:pt>
                <c:pt idx="114">
                  <c:v>336.43599999999998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D5-4AF7-A65C-4BABACA69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4992"/>
        <c:axId val="543734576"/>
      </c:scatterChart>
      <c:valAx>
        <c:axId val="48403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8192"/>
        <c:crosses val="autoZero"/>
        <c:crossBetween val="midCat"/>
      </c:valAx>
      <c:valAx>
        <c:axId val="48403819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2368"/>
        <c:crosses val="autoZero"/>
        <c:crossBetween val="midCat"/>
      </c:valAx>
      <c:valAx>
        <c:axId val="543734576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4992"/>
        <c:crosses val="max"/>
        <c:crossBetween val="midCat"/>
      </c:valAx>
      <c:valAx>
        <c:axId val="543734992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457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All!$FP$6:$FP$124</c:f>
              <c:numCache>
                <c:formatCode>General</c:formatCode>
                <c:ptCount val="119"/>
                <c:pt idx="0">
                  <c:v>0.15</c:v>
                </c:pt>
                <c:pt idx="3">
                  <c:v>4.0999999999999996</c:v>
                </c:pt>
                <c:pt idx="7">
                  <c:v>0.4</c:v>
                </c:pt>
                <c:pt idx="10">
                  <c:v>4.5</c:v>
                </c:pt>
                <c:pt idx="11">
                  <c:v>3.8</c:v>
                </c:pt>
                <c:pt idx="13">
                  <c:v>3.9</c:v>
                </c:pt>
                <c:pt idx="17">
                  <c:v>0.75</c:v>
                </c:pt>
                <c:pt idx="22">
                  <c:v>4.0999999999999996</c:v>
                </c:pt>
                <c:pt idx="26">
                  <c:v>4.1500000000000004</c:v>
                </c:pt>
                <c:pt idx="27">
                  <c:v>4.2</c:v>
                </c:pt>
                <c:pt idx="31">
                  <c:v>3.8</c:v>
                </c:pt>
                <c:pt idx="35">
                  <c:v>0.15</c:v>
                </c:pt>
                <c:pt idx="37">
                  <c:v>4.1500000000000004</c:v>
                </c:pt>
                <c:pt idx="38">
                  <c:v>4.1500000000000004</c:v>
                </c:pt>
                <c:pt idx="42">
                  <c:v>4.55</c:v>
                </c:pt>
                <c:pt idx="43">
                  <c:v>4.6500000000000004</c:v>
                </c:pt>
                <c:pt idx="44">
                  <c:v>4.5999999999999996</c:v>
                </c:pt>
                <c:pt idx="46">
                  <c:v>3.8</c:v>
                </c:pt>
                <c:pt idx="50">
                  <c:v>0.6</c:v>
                </c:pt>
                <c:pt idx="51">
                  <c:v>4.2</c:v>
                </c:pt>
                <c:pt idx="55">
                  <c:v>3.85</c:v>
                </c:pt>
                <c:pt idx="59">
                  <c:v>5.3</c:v>
                </c:pt>
                <c:pt idx="60">
                  <c:v>3.9</c:v>
                </c:pt>
                <c:pt idx="63">
                  <c:v>3.8</c:v>
                </c:pt>
                <c:pt idx="67">
                  <c:v>0.4</c:v>
                </c:pt>
                <c:pt idx="70">
                  <c:v>2.95</c:v>
                </c:pt>
                <c:pt idx="74">
                  <c:v>0.2</c:v>
                </c:pt>
                <c:pt idx="76">
                  <c:v>4.1500000000000004</c:v>
                </c:pt>
                <c:pt idx="78">
                  <c:v>3.85</c:v>
                </c:pt>
                <c:pt idx="82">
                  <c:v>0.35</c:v>
                </c:pt>
                <c:pt idx="85">
                  <c:v>4.55</c:v>
                </c:pt>
                <c:pt idx="86">
                  <c:v>3.7</c:v>
                </c:pt>
                <c:pt idx="90">
                  <c:v>0.55000000000000004</c:v>
                </c:pt>
                <c:pt idx="91">
                  <c:v>4.3499999999999996</c:v>
                </c:pt>
                <c:pt idx="92">
                  <c:v>4.5999999999999996</c:v>
                </c:pt>
                <c:pt idx="94">
                  <c:v>4.3</c:v>
                </c:pt>
                <c:pt idx="98">
                  <c:v>4.5</c:v>
                </c:pt>
                <c:pt idx="101">
                  <c:v>3.7</c:v>
                </c:pt>
                <c:pt idx="105">
                  <c:v>0.45</c:v>
                </c:pt>
                <c:pt idx="107">
                  <c:v>3.9</c:v>
                </c:pt>
                <c:pt idx="111">
                  <c:v>0.8</c:v>
                </c:pt>
                <c:pt idx="114">
                  <c:v>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55-4574-BE0A-84D46234BC49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All!$FQ$6:$FQ$124</c:f>
              <c:numCache>
                <c:formatCode>General</c:formatCode>
                <c:ptCount val="119"/>
                <c:pt idx="0">
                  <c:v>0.55000000000000004</c:v>
                </c:pt>
                <c:pt idx="1">
                  <c:v>4.9000000000000004</c:v>
                </c:pt>
                <c:pt idx="2">
                  <c:v>4.95</c:v>
                </c:pt>
                <c:pt idx="3">
                  <c:v>4.3499999999999996</c:v>
                </c:pt>
                <c:pt idx="7">
                  <c:v>0.3</c:v>
                </c:pt>
                <c:pt idx="8">
                  <c:v>4.7</c:v>
                </c:pt>
                <c:pt idx="9">
                  <c:v>4.8499999999999996</c:v>
                </c:pt>
                <c:pt idx="10">
                  <c:v>4.8499999999999996</c:v>
                </c:pt>
                <c:pt idx="11">
                  <c:v>4.55</c:v>
                </c:pt>
                <c:pt idx="12">
                  <c:v>4.5999999999999996</c:v>
                </c:pt>
                <c:pt idx="13">
                  <c:v>4.45</c:v>
                </c:pt>
                <c:pt idx="17">
                  <c:v>4.75</c:v>
                </c:pt>
                <c:pt idx="18">
                  <c:v>4.5</c:v>
                </c:pt>
                <c:pt idx="19">
                  <c:v>4.9000000000000004</c:v>
                </c:pt>
                <c:pt idx="20">
                  <c:v>4.5999999999999996</c:v>
                </c:pt>
                <c:pt idx="21">
                  <c:v>4.5999999999999996</c:v>
                </c:pt>
                <c:pt idx="22">
                  <c:v>4.5</c:v>
                </c:pt>
                <c:pt idx="26">
                  <c:v>0.6</c:v>
                </c:pt>
                <c:pt idx="27">
                  <c:v>4.45</c:v>
                </c:pt>
                <c:pt idx="28">
                  <c:v>4.6500000000000004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4.55</c:v>
                </c:pt>
                <c:pt idx="35">
                  <c:v>0.7</c:v>
                </c:pt>
                <c:pt idx="36">
                  <c:v>4.7</c:v>
                </c:pt>
                <c:pt idx="37">
                  <c:v>4.5</c:v>
                </c:pt>
                <c:pt idx="38">
                  <c:v>4.5</c:v>
                </c:pt>
                <c:pt idx="42">
                  <c:v>3.65</c:v>
                </c:pt>
                <c:pt idx="43">
                  <c:v>4.5999999999999996</c:v>
                </c:pt>
                <c:pt idx="44">
                  <c:v>4.55</c:v>
                </c:pt>
                <c:pt idx="45">
                  <c:v>4.8499999999999996</c:v>
                </c:pt>
                <c:pt idx="46">
                  <c:v>4.5999999999999996</c:v>
                </c:pt>
                <c:pt idx="50">
                  <c:v>1.55</c:v>
                </c:pt>
                <c:pt idx="51">
                  <c:v>4.45</c:v>
                </c:pt>
                <c:pt idx="52">
                  <c:v>4.9000000000000004</c:v>
                </c:pt>
                <c:pt idx="53">
                  <c:v>4.75</c:v>
                </c:pt>
                <c:pt idx="54">
                  <c:v>4.55</c:v>
                </c:pt>
                <c:pt idx="55">
                  <c:v>4.45</c:v>
                </c:pt>
                <c:pt idx="59">
                  <c:v>0.55000000000000004</c:v>
                </c:pt>
                <c:pt idx="60">
                  <c:v>0.55000000000000004</c:v>
                </c:pt>
                <c:pt idx="61">
                  <c:v>4.75</c:v>
                </c:pt>
                <c:pt idx="62">
                  <c:v>4.6500000000000004</c:v>
                </c:pt>
                <c:pt idx="63">
                  <c:v>4.3499999999999996</c:v>
                </c:pt>
                <c:pt idx="67">
                  <c:v>1.85</c:v>
                </c:pt>
                <c:pt idx="68">
                  <c:v>4.9000000000000004</c:v>
                </c:pt>
                <c:pt idx="69">
                  <c:v>4.9000000000000004</c:v>
                </c:pt>
                <c:pt idx="70">
                  <c:v>4.55</c:v>
                </c:pt>
                <c:pt idx="74">
                  <c:v>4.7</c:v>
                </c:pt>
                <c:pt idx="75">
                  <c:v>4.7</c:v>
                </c:pt>
                <c:pt idx="76">
                  <c:v>4.4000000000000004</c:v>
                </c:pt>
                <c:pt idx="77">
                  <c:v>4.6500000000000004</c:v>
                </c:pt>
                <c:pt idx="78">
                  <c:v>4.5</c:v>
                </c:pt>
                <c:pt idx="82">
                  <c:v>1.8</c:v>
                </c:pt>
                <c:pt idx="83">
                  <c:v>4.55</c:v>
                </c:pt>
                <c:pt idx="84">
                  <c:v>4.55</c:v>
                </c:pt>
                <c:pt idx="85">
                  <c:v>4.5</c:v>
                </c:pt>
                <c:pt idx="86">
                  <c:v>4.55</c:v>
                </c:pt>
                <c:pt idx="90">
                  <c:v>4.3499999999999996</c:v>
                </c:pt>
                <c:pt idx="91">
                  <c:v>4.5</c:v>
                </c:pt>
                <c:pt idx="92">
                  <c:v>4.55</c:v>
                </c:pt>
                <c:pt idx="93">
                  <c:v>4.95</c:v>
                </c:pt>
                <c:pt idx="94">
                  <c:v>4.5999999999999996</c:v>
                </c:pt>
                <c:pt idx="98">
                  <c:v>0.45</c:v>
                </c:pt>
                <c:pt idx="99">
                  <c:v>4.55</c:v>
                </c:pt>
                <c:pt idx="100">
                  <c:v>4.55</c:v>
                </c:pt>
                <c:pt idx="101">
                  <c:v>4.5</c:v>
                </c:pt>
                <c:pt idx="105">
                  <c:v>4.75</c:v>
                </c:pt>
                <c:pt idx="106">
                  <c:v>4.6500000000000004</c:v>
                </c:pt>
                <c:pt idx="107">
                  <c:v>4.5</c:v>
                </c:pt>
                <c:pt idx="111">
                  <c:v>4.6500000000000004</c:v>
                </c:pt>
                <c:pt idx="112">
                  <c:v>4.5999999999999996</c:v>
                </c:pt>
                <c:pt idx="113">
                  <c:v>4.55</c:v>
                </c:pt>
                <c:pt idx="114">
                  <c:v>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55-4574-BE0A-84D46234BC49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All!$FR$6:$FR$124</c:f>
              <c:numCache>
                <c:formatCode>General</c:formatCode>
                <c:ptCount val="119"/>
                <c:pt idx="0">
                  <c:v>5.35</c:v>
                </c:pt>
                <c:pt idx="1">
                  <c:v>5.05</c:v>
                </c:pt>
                <c:pt idx="2">
                  <c:v>5.05</c:v>
                </c:pt>
                <c:pt idx="3">
                  <c:v>4.95</c:v>
                </c:pt>
                <c:pt idx="7">
                  <c:v>5.0999999999999996</c:v>
                </c:pt>
                <c:pt idx="8">
                  <c:v>5.2</c:v>
                </c:pt>
                <c:pt idx="9">
                  <c:v>5</c:v>
                </c:pt>
                <c:pt idx="10">
                  <c:v>5.05</c:v>
                </c:pt>
                <c:pt idx="11">
                  <c:v>5.0999999999999996</c:v>
                </c:pt>
                <c:pt idx="12">
                  <c:v>4.95</c:v>
                </c:pt>
                <c:pt idx="13">
                  <c:v>5</c:v>
                </c:pt>
                <c:pt idx="17">
                  <c:v>5.25</c:v>
                </c:pt>
                <c:pt idx="18">
                  <c:v>5.0999999999999996</c:v>
                </c:pt>
                <c:pt idx="19">
                  <c:v>5.05</c:v>
                </c:pt>
                <c:pt idx="20">
                  <c:v>5.05</c:v>
                </c:pt>
                <c:pt idx="21">
                  <c:v>5.0999999999999996</c:v>
                </c:pt>
                <c:pt idx="22">
                  <c:v>5.0999999999999996</c:v>
                </c:pt>
                <c:pt idx="26">
                  <c:v>5.15</c:v>
                </c:pt>
                <c:pt idx="27">
                  <c:v>5.0999999999999996</c:v>
                </c:pt>
                <c:pt idx="28">
                  <c:v>5.15</c:v>
                </c:pt>
                <c:pt idx="29">
                  <c:v>5.05</c:v>
                </c:pt>
                <c:pt idx="30">
                  <c:v>5</c:v>
                </c:pt>
                <c:pt idx="31">
                  <c:v>5.05</c:v>
                </c:pt>
                <c:pt idx="35">
                  <c:v>5.15</c:v>
                </c:pt>
                <c:pt idx="36">
                  <c:v>5</c:v>
                </c:pt>
                <c:pt idx="37">
                  <c:v>5</c:v>
                </c:pt>
                <c:pt idx="38">
                  <c:v>5.15</c:v>
                </c:pt>
                <c:pt idx="42">
                  <c:v>5.15</c:v>
                </c:pt>
                <c:pt idx="43">
                  <c:v>5.15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5.05</c:v>
                </c:pt>
                <c:pt idx="50">
                  <c:v>5.2</c:v>
                </c:pt>
                <c:pt idx="51">
                  <c:v>5.15</c:v>
                </c:pt>
                <c:pt idx="52">
                  <c:v>5.25</c:v>
                </c:pt>
                <c:pt idx="53">
                  <c:v>5</c:v>
                </c:pt>
                <c:pt idx="54">
                  <c:v>4.9000000000000004</c:v>
                </c:pt>
                <c:pt idx="55">
                  <c:v>5.0999999999999996</c:v>
                </c:pt>
                <c:pt idx="59">
                  <c:v>5.6</c:v>
                </c:pt>
                <c:pt idx="60">
                  <c:v>5.15</c:v>
                </c:pt>
                <c:pt idx="61">
                  <c:v>5.15</c:v>
                </c:pt>
                <c:pt idx="62">
                  <c:v>5.0999999999999996</c:v>
                </c:pt>
                <c:pt idx="63">
                  <c:v>5</c:v>
                </c:pt>
                <c:pt idx="67">
                  <c:v>5.05</c:v>
                </c:pt>
                <c:pt idx="68">
                  <c:v>5.15</c:v>
                </c:pt>
                <c:pt idx="69">
                  <c:v>4.95</c:v>
                </c:pt>
                <c:pt idx="70">
                  <c:v>4.95</c:v>
                </c:pt>
                <c:pt idx="74">
                  <c:v>5.2</c:v>
                </c:pt>
                <c:pt idx="75">
                  <c:v>5</c:v>
                </c:pt>
                <c:pt idx="76">
                  <c:v>5</c:v>
                </c:pt>
                <c:pt idx="77">
                  <c:v>4.95</c:v>
                </c:pt>
                <c:pt idx="78">
                  <c:v>5.05</c:v>
                </c:pt>
                <c:pt idx="82">
                  <c:v>5.15</c:v>
                </c:pt>
                <c:pt idx="83">
                  <c:v>4.95</c:v>
                </c:pt>
                <c:pt idx="84">
                  <c:v>4.75</c:v>
                </c:pt>
                <c:pt idx="85">
                  <c:v>5.05</c:v>
                </c:pt>
                <c:pt idx="86">
                  <c:v>4.8499999999999996</c:v>
                </c:pt>
                <c:pt idx="90">
                  <c:v>5</c:v>
                </c:pt>
                <c:pt idx="91">
                  <c:v>4.9000000000000004</c:v>
                </c:pt>
                <c:pt idx="92">
                  <c:v>5.05</c:v>
                </c:pt>
                <c:pt idx="93">
                  <c:v>5.05</c:v>
                </c:pt>
                <c:pt idx="94">
                  <c:v>5</c:v>
                </c:pt>
                <c:pt idx="98">
                  <c:v>5.0999999999999996</c:v>
                </c:pt>
                <c:pt idx="99">
                  <c:v>5</c:v>
                </c:pt>
                <c:pt idx="100">
                  <c:v>5.05</c:v>
                </c:pt>
                <c:pt idx="101">
                  <c:v>4.95</c:v>
                </c:pt>
                <c:pt idx="105">
                  <c:v>4.95</c:v>
                </c:pt>
                <c:pt idx="106">
                  <c:v>5</c:v>
                </c:pt>
                <c:pt idx="107">
                  <c:v>5.05</c:v>
                </c:pt>
                <c:pt idx="111">
                  <c:v>4.9000000000000004</c:v>
                </c:pt>
                <c:pt idx="112">
                  <c:v>5.05</c:v>
                </c:pt>
                <c:pt idx="113">
                  <c:v>5</c:v>
                </c:pt>
                <c:pt idx="114">
                  <c:v>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55-4574-BE0A-84D46234B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9920"/>
        <c:axId val="483999088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All!$FK$6:$FK$124</c:f>
              <c:numCache>
                <c:formatCode>General</c:formatCode>
                <c:ptCount val="119"/>
                <c:pt idx="0">
                  <c:v>0.30199999999999999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0.40300000000000002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0.20200000000000001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0.10199999999999999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0.40200000000000002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0.10100000000000001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0.20200000000000001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0.10100000000000001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0.30199999999999999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0.2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0.20100000000000001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0.10100000000000001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0.30299999999999999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0.20200000000000001</c:v>
                </c:pt>
                <c:pt idx="106">
                  <c:v>0</c:v>
                </c:pt>
                <c:pt idx="107">
                  <c:v>0</c:v>
                </c:pt>
                <c:pt idx="111">
                  <c:v>0.10299999999999999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5-4574-BE0A-84D46234B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8752"/>
        <c:axId val="543725424"/>
      </c:scatterChart>
      <c:valAx>
        <c:axId val="48399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9088"/>
        <c:crosses val="autoZero"/>
        <c:crossBetween val="midCat"/>
      </c:valAx>
      <c:valAx>
        <c:axId val="48399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99920"/>
        <c:crosses val="autoZero"/>
        <c:crossBetween val="midCat"/>
      </c:valAx>
      <c:valAx>
        <c:axId val="54372542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8752"/>
        <c:crosses val="max"/>
        <c:crossBetween val="midCat"/>
      </c:valAx>
      <c:valAx>
        <c:axId val="543728752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254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All!$GF$6:$GF$124</c:f>
              <c:numCache>
                <c:formatCode>General</c:formatCode>
                <c:ptCount val="119"/>
                <c:pt idx="0">
                  <c:v>1423.4219000000001</c:v>
                </c:pt>
                <c:pt idx="1">
                  <c:v>1293.5469000000001</c:v>
                </c:pt>
                <c:pt idx="2">
                  <c:v>1731.5625</c:v>
                </c:pt>
                <c:pt idx="3">
                  <c:v>1484.1094000000001</c:v>
                </c:pt>
                <c:pt idx="7">
                  <c:v>1380.7344000000001</c:v>
                </c:pt>
                <c:pt idx="8">
                  <c:v>1455.6094000000001</c:v>
                </c:pt>
                <c:pt idx="9">
                  <c:v>1273.7655999999999</c:v>
                </c:pt>
                <c:pt idx="10">
                  <c:v>1437.9219000000001</c:v>
                </c:pt>
                <c:pt idx="11">
                  <c:v>1375.5313000000001</c:v>
                </c:pt>
                <c:pt idx="12">
                  <c:v>1316</c:v>
                </c:pt>
                <c:pt idx="13">
                  <c:v>1161.6563000000001</c:v>
                </c:pt>
                <c:pt idx="17">
                  <c:v>1415</c:v>
                </c:pt>
                <c:pt idx="18">
                  <c:v>1464.0625</c:v>
                </c:pt>
                <c:pt idx="19">
                  <c:v>1143.6719000000001</c:v>
                </c:pt>
                <c:pt idx="20">
                  <c:v>1372.9375</c:v>
                </c:pt>
                <c:pt idx="21">
                  <c:v>1556.4530999999999</c:v>
                </c:pt>
                <c:pt idx="22">
                  <c:v>1443.2188000000001</c:v>
                </c:pt>
                <c:pt idx="26">
                  <c:v>1454.1405999999999</c:v>
                </c:pt>
                <c:pt idx="27">
                  <c:v>1273.0469000000001</c:v>
                </c:pt>
                <c:pt idx="28">
                  <c:v>1342.9688000000001</c:v>
                </c:pt>
                <c:pt idx="29">
                  <c:v>1353.0469000000001</c:v>
                </c:pt>
                <c:pt idx="30">
                  <c:v>1415.1719000000001</c:v>
                </c:pt>
                <c:pt idx="31">
                  <c:v>1242.5780999999999</c:v>
                </c:pt>
                <c:pt idx="35">
                  <c:v>1458.5</c:v>
                </c:pt>
                <c:pt idx="36">
                  <c:v>1216.5469000000001</c:v>
                </c:pt>
                <c:pt idx="37">
                  <c:v>1284.125</c:v>
                </c:pt>
                <c:pt idx="38">
                  <c:v>1594.3125</c:v>
                </c:pt>
                <c:pt idx="42">
                  <c:v>1542.25</c:v>
                </c:pt>
                <c:pt idx="43">
                  <c:v>1364.4530999999999</c:v>
                </c:pt>
                <c:pt idx="44">
                  <c:v>1592.7030999999999</c:v>
                </c:pt>
                <c:pt idx="45">
                  <c:v>1429.0625</c:v>
                </c:pt>
                <c:pt idx="46">
                  <c:v>1506.0625</c:v>
                </c:pt>
                <c:pt idx="50">
                  <c:v>1457.375</c:v>
                </c:pt>
                <c:pt idx="51">
                  <c:v>1385.9375</c:v>
                </c:pt>
                <c:pt idx="52">
                  <c:v>1347.3438000000001</c:v>
                </c:pt>
                <c:pt idx="53">
                  <c:v>1356.4844000000001</c:v>
                </c:pt>
                <c:pt idx="54">
                  <c:v>1443.375</c:v>
                </c:pt>
                <c:pt idx="55">
                  <c:v>1274.9530999999999</c:v>
                </c:pt>
                <c:pt idx="59">
                  <c:v>29.578099999999999</c:v>
                </c:pt>
                <c:pt idx="60">
                  <c:v>1387.2030999999999</c:v>
                </c:pt>
                <c:pt idx="61">
                  <c:v>1425.9375</c:v>
                </c:pt>
                <c:pt idx="62">
                  <c:v>1396.2344000000001</c:v>
                </c:pt>
                <c:pt idx="63">
                  <c:v>1359.5938000000001</c:v>
                </c:pt>
                <c:pt idx="67">
                  <c:v>1461.1719000000001</c:v>
                </c:pt>
                <c:pt idx="68">
                  <c:v>1395.1094000000001</c:v>
                </c:pt>
                <c:pt idx="69">
                  <c:v>1327.3905999999999</c:v>
                </c:pt>
                <c:pt idx="70">
                  <c:v>1373.9844000000001</c:v>
                </c:pt>
                <c:pt idx="74">
                  <c:v>1440.9530999999999</c:v>
                </c:pt>
                <c:pt idx="75">
                  <c:v>1401.75</c:v>
                </c:pt>
                <c:pt idx="76">
                  <c:v>1413.7655999999999</c:v>
                </c:pt>
                <c:pt idx="77">
                  <c:v>1363.4219000000001</c:v>
                </c:pt>
                <c:pt idx="78">
                  <c:v>1293.1875</c:v>
                </c:pt>
                <c:pt idx="82">
                  <c:v>1259.875</c:v>
                </c:pt>
                <c:pt idx="83">
                  <c:v>1479.4688000000001</c:v>
                </c:pt>
                <c:pt idx="84">
                  <c:v>1472.7969000000001</c:v>
                </c:pt>
                <c:pt idx="85">
                  <c:v>1621.5625</c:v>
                </c:pt>
                <c:pt idx="86">
                  <c:v>1357.8280999999999</c:v>
                </c:pt>
                <c:pt idx="90">
                  <c:v>1409.2655999999999</c:v>
                </c:pt>
                <c:pt idx="91">
                  <c:v>1527.5155999999999</c:v>
                </c:pt>
                <c:pt idx="92">
                  <c:v>1658.1719000000001</c:v>
                </c:pt>
                <c:pt idx="93">
                  <c:v>1381.9375</c:v>
                </c:pt>
                <c:pt idx="94">
                  <c:v>1391.5</c:v>
                </c:pt>
                <c:pt idx="98">
                  <c:v>1394.2655999999999</c:v>
                </c:pt>
                <c:pt idx="99">
                  <c:v>1329.7344000000001</c:v>
                </c:pt>
                <c:pt idx="100">
                  <c:v>1528.5313000000001</c:v>
                </c:pt>
                <c:pt idx="101">
                  <c:v>1268.5</c:v>
                </c:pt>
                <c:pt idx="105">
                  <c:v>1474.2813000000001</c:v>
                </c:pt>
                <c:pt idx="106">
                  <c:v>1289.0313000000001</c:v>
                </c:pt>
                <c:pt idx="107">
                  <c:v>1385.0625</c:v>
                </c:pt>
                <c:pt idx="111">
                  <c:v>1219.0938000000001</c:v>
                </c:pt>
                <c:pt idx="112">
                  <c:v>1555.9063000000001</c:v>
                </c:pt>
                <c:pt idx="113">
                  <c:v>1309.4530999999999</c:v>
                </c:pt>
                <c:pt idx="114">
                  <c:v>1300.0625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9-48CE-94A0-9B2DB63B1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0704"/>
        <c:axId val="484011568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All!$FU$6:$FU$124</c:f>
              <c:numCache>
                <c:formatCode>General</c:formatCode>
                <c:ptCount val="119"/>
                <c:pt idx="0">
                  <c:v>7.38</c:v>
                </c:pt>
                <c:pt idx="1">
                  <c:v>8.1</c:v>
                </c:pt>
                <c:pt idx="2">
                  <c:v>8.49</c:v>
                </c:pt>
                <c:pt idx="3">
                  <c:v>8.36</c:v>
                </c:pt>
                <c:pt idx="7">
                  <c:v>6.58</c:v>
                </c:pt>
                <c:pt idx="8">
                  <c:v>6.71</c:v>
                </c:pt>
                <c:pt idx="9">
                  <c:v>7.18</c:v>
                </c:pt>
                <c:pt idx="10">
                  <c:v>6.95</c:v>
                </c:pt>
                <c:pt idx="11">
                  <c:v>6.88</c:v>
                </c:pt>
                <c:pt idx="12">
                  <c:v>7.08</c:v>
                </c:pt>
                <c:pt idx="13">
                  <c:v>6.95</c:v>
                </c:pt>
                <c:pt idx="17">
                  <c:v>6.28</c:v>
                </c:pt>
                <c:pt idx="18">
                  <c:v>6.5</c:v>
                </c:pt>
                <c:pt idx="19">
                  <c:v>6.5</c:v>
                </c:pt>
                <c:pt idx="20">
                  <c:v>7.02</c:v>
                </c:pt>
                <c:pt idx="21">
                  <c:v>6.68</c:v>
                </c:pt>
                <c:pt idx="22">
                  <c:v>7.12</c:v>
                </c:pt>
                <c:pt idx="26">
                  <c:v>7.29</c:v>
                </c:pt>
                <c:pt idx="27">
                  <c:v>6.65</c:v>
                </c:pt>
                <c:pt idx="28">
                  <c:v>6.58</c:v>
                </c:pt>
                <c:pt idx="29">
                  <c:v>7.25</c:v>
                </c:pt>
                <c:pt idx="30">
                  <c:v>6.77</c:v>
                </c:pt>
                <c:pt idx="31">
                  <c:v>6.83</c:v>
                </c:pt>
                <c:pt idx="35">
                  <c:v>6.27</c:v>
                </c:pt>
                <c:pt idx="36">
                  <c:v>6.84</c:v>
                </c:pt>
                <c:pt idx="37">
                  <c:v>6.9</c:v>
                </c:pt>
                <c:pt idx="38">
                  <c:v>6.87</c:v>
                </c:pt>
                <c:pt idx="42">
                  <c:v>6.82</c:v>
                </c:pt>
                <c:pt idx="43">
                  <c:v>6.9</c:v>
                </c:pt>
                <c:pt idx="44">
                  <c:v>6.83</c:v>
                </c:pt>
                <c:pt idx="45">
                  <c:v>6.8</c:v>
                </c:pt>
                <c:pt idx="46">
                  <c:v>6.78</c:v>
                </c:pt>
                <c:pt idx="50">
                  <c:v>5.88</c:v>
                </c:pt>
                <c:pt idx="51">
                  <c:v>6.97</c:v>
                </c:pt>
                <c:pt idx="52">
                  <c:v>7.11</c:v>
                </c:pt>
                <c:pt idx="53">
                  <c:v>6.75</c:v>
                </c:pt>
                <c:pt idx="54">
                  <c:v>7.42</c:v>
                </c:pt>
                <c:pt idx="55">
                  <c:v>6.86</c:v>
                </c:pt>
                <c:pt idx="59">
                  <c:v>0</c:v>
                </c:pt>
                <c:pt idx="60">
                  <c:v>7.06</c:v>
                </c:pt>
                <c:pt idx="61">
                  <c:v>7.17</c:v>
                </c:pt>
                <c:pt idx="62">
                  <c:v>6.36</c:v>
                </c:pt>
                <c:pt idx="63">
                  <c:v>6.39</c:v>
                </c:pt>
                <c:pt idx="67">
                  <c:v>5.98</c:v>
                </c:pt>
                <c:pt idx="68">
                  <c:v>6.12</c:v>
                </c:pt>
                <c:pt idx="69">
                  <c:v>6.22</c:v>
                </c:pt>
                <c:pt idx="70">
                  <c:v>6.32</c:v>
                </c:pt>
                <c:pt idx="74">
                  <c:v>4.38</c:v>
                </c:pt>
                <c:pt idx="75">
                  <c:v>4.88</c:v>
                </c:pt>
                <c:pt idx="76">
                  <c:v>5.51</c:v>
                </c:pt>
                <c:pt idx="77">
                  <c:v>6.19</c:v>
                </c:pt>
                <c:pt idx="78">
                  <c:v>6.27</c:v>
                </c:pt>
                <c:pt idx="82">
                  <c:v>5.94</c:v>
                </c:pt>
                <c:pt idx="83">
                  <c:v>5.92</c:v>
                </c:pt>
                <c:pt idx="84">
                  <c:v>6.33</c:v>
                </c:pt>
                <c:pt idx="85">
                  <c:v>6.36</c:v>
                </c:pt>
                <c:pt idx="86">
                  <c:v>6.32</c:v>
                </c:pt>
                <c:pt idx="90">
                  <c:v>6.41</c:v>
                </c:pt>
                <c:pt idx="91">
                  <c:v>6.21</c:v>
                </c:pt>
                <c:pt idx="92">
                  <c:v>6.05</c:v>
                </c:pt>
                <c:pt idx="93">
                  <c:v>6.37</c:v>
                </c:pt>
                <c:pt idx="94">
                  <c:v>6.12</c:v>
                </c:pt>
                <c:pt idx="98">
                  <c:v>6.51</c:v>
                </c:pt>
                <c:pt idx="99">
                  <c:v>6.09</c:v>
                </c:pt>
                <c:pt idx="100">
                  <c:v>6.53</c:v>
                </c:pt>
                <c:pt idx="101">
                  <c:v>5.99</c:v>
                </c:pt>
                <c:pt idx="105">
                  <c:v>6.02</c:v>
                </c:pt>
                <c:pt idx="106">
                  <c:v>6.03</c:v>
                </c:pt>
                <c:pt idx="107">
                  <c:v>6.3</c:v>
                </c:pt>
                <c:pt idx="111">
                  <c:v>5.58</c:v>
                </c:pt>
                <c:pt idx="112">
                  <c:v>5.81</c:v>
                </c:pt>
                <c:pt idx="113">
                  <c:v>6.09</c:v>
                </c:pt>
                <c:pt idx="114">
                  <c:v>5.81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9-48CE-94A0-9B2DB63B1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4608"/>
        <c:axId val="543717104"/>
      </c:scatterChart>
      <c:valAx>
        <c:axId val="48403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11568"/>
        <c:crosses val="autoZero"/>
        <c:crossBetween val="midCat"/>
      </c:valAx>
      <c:valAx>
        <c:axId val="4840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0704"/>
        <c:crosses val="autoZero"/>
        <c:crossBetween val="midCat"/>
      </c:valAx>
      <c:valAx>
        <c:axId val="54371710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4608"/>
        <c:crosses val="max"/>
        <c:crossBetween val="midCat"/>
      </c:valAx>
      <c:valAx>
        <c:axId val="543714608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1710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All!$FW$6:$FW$124</c:f>
              <c:numCache>
                <c:formatCode>General</c:formatCode>
                <c:ptCount val="119"/>
                <c:pt idx="0">
                  <c:v>16383.5</c:v>
                </c:pt>
                <c:pt idx="1">
                  <c:v>3224.5</c:v>
                </c:pt>
                <c:pt idx="2">
                  <c:v>3373.5</c:v>
                </c:pt>
                <c:pt idx="3">
                  <c:v>3197.5</c:v>
                </c:pt>
                <c:pt idx="7">
                  <c:v>3254</c:v>
                </c:pt>
                <c:pt idx="8">
                  <c:v>3128.5</c:v>
                </c:pt>
                <c:pt idx="9">
                  <c:v>3194</c:v>
                </c:pt>
                <c:pt idx="10">
                  <c:v>3091</c:v>
                </c:pt>
                <c:pt idx="11">
                  <c:v>3050.5</c:v>
                </c:pt>
                <c:pt idx="12">
                  <c:v>3116.5</c:v>
                </c:pt>
                <c:pt idx="13">
                  <c:v>3110.5</c:v>
                </c:pt>
                <c:pt idx="17">
                  <c:v>3251</c:v>
                </c:pt>
                <c:pt idx="18">
                  <c:v>3188</c:v>
                </c:pt>
                <c:pt idx="19">
                  <c:v>3095.5</c:v>
                </c:pt>
                <c:pt idx="20">
                  <c:v>3105</c:v>
                </c:pt>
                <c:pt idx="21">
                  <c:v>3055.5</c:v>
                </c:pt>
                <c:pt idx="22">
                  <c:v>3047.5</c:v>
                </c:pt>
                <c:pt idx="26">
                  <c:v>3298</c:v>
                </c:pt>
                <c:pt idx="27">
                  <c:v>3299</c:v>
                </c:pt>
                <c:pt idx="28">
                  <c:v>3075</c:v>
                </c:pt>
                <c:pt idx="29">
                  <c:v>3111.5</c:v>
                </c:pt>
                <c:pt idx="30">
                  <c:v>3055.5</c:v>
                </c:pt>
                <c:pt idx="31">
                  <c:v>3067.5</c:v>
                </c:pt>
                <c:pt idx="35">
                  <c:v>3155.5</c:v>
                </c:pt>
                <c:pt idx="36">
                  <c:v>3163.5</c:v>
                </c:pt>
                <c:pt idx="37">
                  <c:v>3112.5</c:v>
                </c:pt>
                <c:pt idx="38">
                  <c:v>3130.5</c:v>
                </c:pt>
                <c:pt idx="42">
                  <c:v>3264.5</c:v>
                </c:pt>
                <c:pt idx="43">
                  <c:v>3047.5</c:v>
                </c:pt>
                <c:pt idx="44">
                  <c:v>3100</c:v>
                </c:pt>
                <c:pt idx="45">
                  <c:v>3137</c:v>
                </c:pt>
                <c:pt idx="46">
                  <c:v>3100.5</c:v>
                </c:pt>
                <c:pt idx="50">
                  <c:v>16383.5</c:v>
                </c:pt>
                <c:pt idx="51">
                  <c:v>3158</c:v>
                </c:pt>
                <c:pt idx="52">
                  <c:v>3067.5</c:v>
                </c:pt>
                <c:pt idx="53">
                  <c:v>3129</c:v>
                </c:pt>
                <c:pt idx="54">
                  <c:v>3169</c:v>
                </c:pt>
                <c:pt idx="55">
                  <c:v>3227.5</c:v>
                </c:pt>
                <c:pt idx="59">
                  <c:v>3.5</c:v>
                </c:pt>
                <c:pt idx="60">
                  <c:v>3072.5</c:v>
                </c:pt>
                <c:pt idx="61">
                  <c:v>3116</c:v>
                </c:pt>
                <c:pt idx="62">
                  <c:v>3125.5</c:v>
                </c:pt>
                <c:pt idx="63">
                  <c:v>3083.5</c:v>
                </c:pt>
                <c:pt idx="67">
                  <c:v>2952</c:v>
                </c:pt>
                <c:pt idx="68">
                  <c:v>2909.5</c:v>
                </c:pt>
                <c:pt idx="69">
                  <c:v>2902.5</c:v>
                </c:pt>
                <c:pt idx="70">
                  <c:v>3005</c:v>
                </c:pt>
                <c:pt idx="74">
                  <c:v>16383.5</c:v>
                </c:pt>
                <c:pt idx="75">
                  <c:v>3299</c:v>
                </c:pt>
                <c:pt idx="76">
                  <c:v>3205</c:v>
                </c:pt>
                <c:pt idx="77">
                  <c:v>3189.5</c:v>
                </c:pt>
                <c:pt idx="78">
                  <c:v>3141.5</c:v>
                </c:pt>
                <c:pt idx="82">
                  <c:v>3210</c:v>
                </c:pt>
                <c:pt idx="83">
                  <c:v>3213.5</c:v>
                </c:pt>
                <c:pt idx="84">
                  <c:v>3049.5</c:v>
                </c:pt>
                <c:pt idx="85">
                  <c:v>3189.5</c:v>
                </c:pt>
                <c:pt idx="86">
                  <c:v>3158.5</c:v>
                </c:pt>
                <c:pt idx="90">
                  <c:v>3046</c:v>
                </c:pt>
                <c:pt idx="91">
                  <c:v>2888.5</c:v>
                </c:pt>
                <c:pt idx="92">
                  <c:v>2961.5</c:v>
                </c:pt>
                <c:pt idx="93">
                  <c:v>2962.5</c:v>
                </c:pt>
                <c:pt idx="94">
                  <c:v>2860</c:v>
                </c:pt>
                <c:pt idx="98">
                  <c:v>3204</c:v>
                </c:pt>
                <c:pt idx="99">
                  <c:v>3014</c:v>
                </c:pt>
                <c:pt idx="100">
                  <c:v>2990.5</c:v>
                </c:pt>
                <c:pt idx="101">
                  <c:v>3058</c:v>
                </c:pt>
                <c:pt idx="105">
                  <c:v>2904.5</c:v>
                </c:pt>
                <c:pt idx="106">
                  <c:v>2911.5</c:v>
                </c:pt>
                <c:pt idx="107">
                  <c:v>2953.5</c:v>
                </c:pt>
                <c:pt idx="111">
                  <c:v>3088.5</c:v>
                </c:pt>
                <c:pt idx="112">
                  <c:v>2907</c:v>
                </c:pt>
                <c:pt idx="113">
                  <c:v>3190</c:v>
                </c:pt>
                <c:pt idx="114">
                  <c:v>2872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F1-4CFF-AC66-B20273DD1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9072"/>
        <c:axId val="484009904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All!$FV$6:$FV$124</c:f>
              <c:numCache>
                <c:formatCode>General</c:formatCode>
                <c:ptCount val="119"/>
                <c:pt idx="0">
                  <c:v>5.3</c:v>
                </c:pt>
                <c:pt idx="1">
                  <c:v>11.11</c:v>
                </c:pt>
                <c:pt idx="2">
                  <c:v>17.079999999999998</c:v>
                </c:pt>
                <c:pt idx="3">
                  <c:v>22.96</c:v>
                </c:pt>
                <c:pt idx="7">
                  <c:v>5.62</c:v>
                </c:pt>
                <c:pt idx="8">
                  <c:v>11.38</c:v>
                </c:pt>
                <c:pt idx="9">
                  <c:v>17.22</c:v>
                </c:pt>
                <c:pt idx="10">
                  <c:v>23.08</c:v>
                </c:pt>
                <c:pt idx="11">
                  <c:v>28.69</c:v>
                </c:pt>
                <c:pt idx="12">
                  <c:v>34.5</c:v>
                </c:pt>
                <c:pt idx="13">
                  <c:v>40.130000000000003</c:v>
                </c:pt>
                <c:pt idx="17">
                  <c:v>4.96</c:v>
                </c:pt>
                <c:pt idx="18">
                  <c:v>10.8</c:v>
                </c:pt>
                <c:pt idx="19">
                  <c:v>16.75</c:v>
                </c:pt>
                <c:pt idx="20">
                  <c:v>22.39</c:v>
                </c:pt>
                <c:pt idx="21">
                  <c:v>28.27</c:v>
                </c:pt>
                <c:pt idx="22">
                  <c:v>33.92</c:v>
                </c:pt>
                <c:pt idx="26">
                  <c:v>5.65</c:v>
                </c:pt>
                <c:pt idx="27">
                  <c:v>11.37</c:v>
                </c:pt>
                <c:pt idx="28">
                  <c:v>17.22</c:v>
                </c:pt>
                <c:pt idx="29">
                  <c:v>23.15</c:v>
                </c:pt>
                <c:pt idx="30">
                  <c:v>29.05</c:v>
                </c:pt>
                <c:pt idx="31">
                  <c:v>34.53</c:v>
                </c:pt>
                <c:pt idx="35">
                  <c:v>5.7</c:v>
                </c:pt>
                <c:pt idx="36">
                  <c:v>11.48</c:v>
                </c:pt>
                <c:pt idx="37">
                  <c:v>17.32</c:v>
                </c:pt>
                <c:pt idx="38">
                  <c:v>21.18</c:v>
                </c:pt>
                <c:pt idx="42">
                  <c:v>4.72</c:v>
                </c:pt>
                <c:pt idx="43">
                  <c:v>9.52</c:v>
                </c:pt>
                <c:pt idx="44">
                  <c:v>15.56</c:v>
                </c:pt>
                <c:pt idx="45">
                  <c:v>21.66</c:v>
                </c:pt>
                <c:pt idx="46">
                  <c:v>27.5</c:v>
                </c:pt>
                <c:pt idx="50">
                  <c:v>5.53</c:v>
                </c:pt>
                <c:pt idx="51">
                  <c:v>10.55</c:v>
                </c:pt>
                <c:pt idx="52">
                  <c:v>14.95</c:v>
                </c:pt>
                <c:pt idx="53">
                  <c:v>20.93</c:v>
                </c:pt>
                <c:pt idx="54">
                  <c:v>26.97</c:v>
                </c:pt>
                <c:pt idx="55">
                  <c:v>32.340000000000003</c:v>
                </c:pt>
                <c:pt idx="59">
                  <c:v>0</c:v>
                </c:pt>
                <c:pt idx="60">
                  <c:v>5.57</c:v>
                </c:pt>
                <c:pt idx="61">
                  <c:v>11.64</c:v>
                </c:pt>
                <c:pt idx="62">
                  <c:v>17.71</c:v>
                </c:pt>
                <c:pt idx="63">
                  <c:v>23.65</c:v>
                </c:pt>
                <c:pt idx="67">
                  <c:v>29.56</c:v>
                </c:pt>
                <c:pt idx="68">
                  <c:v>35.72</c:v>
                </c:pt>
                <c:pt idx="69">
                  <c:v>41.89</c:v>
                </c:pt>
                <c:pt idx="70">
                  <c:v>47.88</c:v>
                </c:pt>
                <c:pt idx="74">
                  <c:v>5.76</c:v>
                </c:pt>
                <c:pt idx="75">
                  <c:v>11.54</c:v>
                </c:pt>
                <c:pt idx="76">
                  <c:v>17.25</c:v>
                </c:pt>
                <c:pt idx="77">
                  <c:v>23.23</c:v>
                </c:pt>
                <c:pt idx="78">
                  <c:v>29.1</c:v>
                </c:pt>
                <c:pt idx="82">
                  <c:v>5.74</c:v>
                </c:pt>
                <c:pt idx="83">
                  <c:v>11.69</c:v>
                </c:pt>
                <c:pt idx="84">
                  <c:v>17.61</c:v>
                </c:pt>
                <c:pt idx="85">
                  <c:v>23.51</c:v>
                </c:pt>
                <c:pt idx="86">
                  <c:v>29.36</c:v>
                </c:pt>
                <c:pt idx="90">
                  <c:v>5.76</c:v>
                </c:pt>
                <c:pt idx="91">
                  <c:v>11.35</c:v>
                </c:pt>
                <c:pt idx="92">
                  <c:v>17.09</c:v>
                </c:pt>
                <c:pt idx="93">
                  <c:v>23.13</c:v>
                </c:pt>
                <c:pt idx="94">
                  <c:v>27.1</c:v>
                </c:pt>
                <c:pt idx="98">
                  <c:v>5.73</c:v>
                </c:pt>
                <c:pt idx="99">
                  <c:v>11.76</c:v>
                </c:pt>
                <c:pt idx="100">
                  <c:v>17.8</c:v>
                </c:pt>
                <c:pt idx="101">
                  <c:v>23.56</c:v>
                </c:pt>
                <c:pt idx="105">
                  <c:v>29.38</c:v>
                </c:pt>
                <c:pt idx="106">
                  <c:v>35.47</c:v>
                </c:pt>
                <c:pt idx="107">
                  <c:v>41.46</c:v>
                </c:pt>
                <c:pt idx="111">
                  <c:v>47.3</c:v>
                </c:pt>
                <c:pt idx="112">
                  <c:v>53.32</c:v>
                </c:pt>
                <c:pt idx="113">
                  <c:v>59.24</c:v>
                </c:pt>
                <c:pt idx="114">
                  <c:v>63.09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F1-4CFF-AC66-B20273DD1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4160"/>
        <c:axId val="543712528"/>
      </c:scatterChart>
      <c:valAx>
        <c:axId val="48400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904"/>
        <c:crosses val="autoZero"/>
        <c:crossBetween val="midCat"/>
      </c:valAx>
      <c:valAx>
        <c:axId val="48400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9072"/>
        <c:crosses val="autoZero"/>
        <c:crossBetween val="midCat"/>
      </c:valAx>
      <c:valAx>
        <c:axId val="543712528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4160"/>
        <c:crosses val="max"/>
        <c:crossBetween val="midCat"/>
      </c:valAx>
      <c:valAx>
        <c:axId val="543734160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1252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All!$FX$6:$FX$124</c:f>
              <c:numCache>
                <c:formatCode>General</c:formatCode>
                <c:ptCount val="119"/>
                <c:pt idx="0">
                  <c:v>164900</c:v>
                </c:pt>
                <c:pt idx="1">
                  <c:v>163100</c:v>
                </c:pt>
                <c:pt idx="2">
                  <c:v>165400</c:v>
                </c:pt>
                <c:pt idx="3">
                  <c:v>168400</c:v>
                </c:pt>
                <c:pt idx="7">
                  <c:v>168000</c:v>
                </c:pt>
                <c:pt idx="8">
                  <c:v>166800</c:v>
                </c:pt>
                <c:pt idx="9">
                  <c:v>162700</c:v>
                </c:pt>
                <c:pt idx="10">
                  <c:v>166900</c:v>
                </c:pt>
                <c:pt idx="11">
                  <c:v>164300</c:v>
                </c:pt>
                <c:pt idx="12">
                  <c:v>169900</c:v>
                </c:pt>
                <c:pt idx="13">
                  <c:v>163800</c:v>
                </c:pt>
                <c:pt idx="17">
                  <c:v>168500</c:v>
                </c:pt>
                <c:pt idx="18">
                  <c:v>166800</c:v>
                </c:pt>
                <c:pt idx="19">
                  <c:v>168600</c:v>
                </c:pt>
                <c:pt idx="20">
                  <c:v>173700</c:v>
                </c:pt>
                <c:pt idx="21">
                  <c:v>168600</c:v>
                </c:pt>
                <c:pt idx="22">
                  <c:v>165900</c:v>
                </c:pt>
                <c:pt idx="26">
                  <c:v>174700</c:v>
                </c:pt>
                <c:pt idx="27">
                  <c:v>173200</c:v>
                </c:pt>
                <c:pt idx="28">
                  <c:v>165600</c:v>
                </c:pt>
                <c:pt idx="29">
                  <c:v>161700</c:v>
                </c:pt>
                <c:pt idx="30">
                  <c:v>165000</c:v>
                </c:pt>
                <c:pt idx="31">
                  <c:v>162600</c:v>
                </c:pt>
                <c:pt idx="35">
                  <c:v>164800</c:v>
                </c:pt>
                <c:pt idx="36">
                  <c:v>162400</c:v>
                </c:pt>
                <c:pt idx="37">
                  <c:v>163500</c:v>
                </c:pt>
                <c:pt idx="38">
                  <c:v>167500</c:v>
                </c:pt>
                <c:pt idx="42">
                  <c:v>164100</c:v>
                </c:pt>
                <c:pt idx="43">
                  <c:v>163800</c:v>
                </c:pt>
                <c:pt idx="44">
                  <c:v>164300</c:v>
                </c:pt>
                <c:pt idx="45">
                  <c:v>167700</c:v>
                </c:pt>
                <c:pt idx="46">
                  <c:v>166700</c:v>
                </c:pt>
                <c:pt idx="50">
                  <c:v>165200</c:v>
                </c:pt>
                <c:pt idx="51">
                  <c:v>166900</c:v>
                </c:pt>
                <c:pt idx="52">
                  <c:v>172800</c:v>
                </c:pt>
                <c:pt idx="53">
                  <c:v>167500</c:v>
                </c:pt>
                <c:pt idx="54">
                  <c:v>164500</c:v>
                </c:pt>
                <c:pt idx="55">
                  <c:v>162700</c:v>
                </c:pt>
                <c:pt idx="59">
                  <c:v>0</c:v>
                </c:pt>
                <c:pt idx="60">
                  <c:v>166000</c:v>
                </c:pt>
                <c:pt idx="61">
                  <c:v>170100</c:v>
                </c:pt>
                <c:pt idx="62">
                  <c:v>166500</c:v>
                </c:pt>
                <c:pt idx="63">
                  <c:v>168900</c:v>
                </c:pt>
                <c:pt idx="67">
                  <c:v>165100</c:v>
                </c:pt>
                <c:pt idx="68">
                  <c:v>166000</c:v>
                </c:pt>
                <c:pt idx="69">
                  <c:v>162700</c:v>
                </c:pt>
                <c:pt idx="70">
                  <c:v>161900</c:v>
                </c:pt>
                <c:pt idx="74">
                  <c:v>160300</c:v>
                </c:pt>
                <c:pt idx="75">
                  <c:v>165400</c:v>
                </c:pt>
                <c:pt idx="76">
                  <c:v>164400</c:v>
                </c:pt>
                <c:pt idx="77">
                  <c:v>160800</c:v>
                </c:pt>
                <c:pt idx="78">
                  <c:v>162000</c:v>
                </c:pt>
                <c:pt idx="82">
                  <c:v>166500</c:v>
                </c:pt>
                <c:pt idx="83">
                  <c:v>162700</c:v>
                </c:pt>
                <c:pt idx="84">
                  <c:v>163000</c:v>
                </c:pt>
                <c:pt idx="85">
                  <c:v>162700</c:v>
                </c:pt>
                <c:pt idx="86">
                  <c:v>165000</c:v>
                </c:pt>
                <c:pt idx="90">
                  <c:v>163000</c:v>
                </c:pt>
                <c:pt idx="91">
                  <c:v>159400</c:v>
                </c:pt>
                <c:pt idx="92">
                  <c:v>160700</c:v>
                </c:pt>
                <c:pt idx="93">
                  <c:v>160400</c:v>
                </c:pt>
                <c:pt idx="94">
                  <c:v>160900</c:v>
                </c:pt>
                <c:pt idx="98">
                  <c:v>159900</c:v>
                </c:pt>
                <c:pt idx="99">
                  <c:v>163600</c:v>
                </c:pt>
                <c:pt idx="100">
                  <c:v>161800</c:v>
                </c:pt>
                <c:pt idx="101">
                  <c:v>163500</c:v>
                </c:pt>
                <c:pt idx="105">
                  <c:v>161400</c:v>
                </c:pt>
                <c:pt idx="106">
                  <c:v>164800</c:v>
                </c:pt>
                <c:pt idx="107">
                  <c:v>163400</c:v>
                </c:pt>
                <c:pt idx="111">
                  <c:v>163400</c:v>
                </c:pt>
                <c:pt idx="112">
                  <c:v>170200</c:v>
                </c:pt>
                <c:pt idx="113">
                  <c:v>167300</c:v>
                </c:pt>
                <c:pt idx="114">
                  <c:v>165300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C3-4538-96B8-17356E0E1755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All!$FY$6:$FY$124</c:f>
              <c:numCache>
                <c:formatCode>General</c:formatCode>
                <c:ptCount val="119"/>
                <c:pt idx="0">
                  <c:v>165700</c:v>
                </c:pt>
                <c:pt idx="1">
                  <c:v>166000</c:v>
                </c:pt>
                <c:pt idx="2">
                  <c:v>167300</c:v>
                </c:pt>
                <c:pt idx="3">
                  <c:v>168800</c:v>
                </c:pt>
                <c:pt idx="7">
                  <c:v>171200</c:v>
                </c:pt>
                <c:pt idx="8">
                  <c:v>168000</c:v>
                </c:pt>
                <c:pt idx="9">
                  <c:v>163600</c:v>
                </c:pt>
                <c:pt idx="10">
                  <c:v>167800</c:v>
                </c:pt>
                <c:pt idx="11">
                  <c:v>163800</c:v>
                </c:pt>
                <c:pt idx="12">
                  <c:v>171000</c:v>
                </c:pt>
                <c:pt idx="13">
                  <c:v>165100</c:v>
                </c:pt>
                <c:pt idx="17">
                  <c:v>172000</c:v>
                </c:pt>
                <c:pt idx="18">
                  <c:v>168300</c:v>
                </c:pt>
                <c:pt idx="19">
                  <c:v>169000</c:v>
                </c:pt>
                <c:pt idx="20">
                  <c:v>175000</c:v>
                </c:pt>
                <c:pt idx="21">
                  <c:v>170700</c:v>
                </c:pt>
                <c:pt idx="22">
                  <c:v>166800</c:v>
                </c:pt>
                <c:pt idx="26">
                  <c:v>177600</c:v>
                </c:pt>
                <c:pt idx="27">
                  <c:v>174400</c:v>
                </c:pt>
                <c:pt idx="28">
                  <c:v>167400</c:v>
                </c:pt>
                <c:pt idx="29">
                  <c:v>162300</c:v>
                </c:pt>
                <c:pt idx="30">
                  <c:v>166300</c:v>
                </c:pt>
                <c:pt idx="31">
                  <c:v>162900</c:v>
                </c:pt>
                <c:pt idx="35">
                  <c:v>165000</c:v>
                </c:pt>
                <c:pt idx="36">
                  <c:v>162900</c:v>
                </c:pt>
                <c:pt idx="37">
                  <c:v>164700</c:v>
                </c:pt>
                <c:pt idx="38">
                  <c:v>169200</c:v>
                </c:pt>
                <c:pt idx="42">
                  <c:v>165700</c:v>
                </c:pt>
                <c:pt idx="43">
                  <c:v>164800</c:v>
                </c:pt>
                <c:pt idx="44">
                  <c:v>165400</c:v>
                </c:pt>
                <c:pt idx="45">
                  <c:v>168300</c:v>
                </c:pt>
                <c:pt idx="46">
                  <c:v>166900</c:v>
                </c:pt>
                <c:pt idx="50">
                  <c:v>165600</c:v>
                </c:pt>
                <c:pt idx="51">
                  <c:v>167000</c:v>
                </c:pt>
                <c:pt idx="52">
                  <c:v>175000</c:v>
                </c:pt>
                <c:pt idx="53">
                  <c:v>169300</c:v>
                </c:pt>
                <c:pt idx="54">
                  <c:v>165100</c:v>
                </c:pt>
                <c:pt idx="55">
                  <c:v>163200</c:v>
                </c:pt>
                <c:pt idx="59">
                  <c:v>0</c:v>
                </c:pt>
                <c:pt idx="60">
                  <c:v>167300</c:v>
                </c:pt>
                <c:pt idx="61">
                  <c:v>172500</c:v>
                </c:pt>
                <c:pt idx="62">
                  <c:v>168000</c:v>
                </c:pt>
                <c:pt idx="63">
                  <c:v>170600</c:v>
                </c:pt>
                <c:pt idx="67">
                  <c:v>165700</c:v>
                </c:pt>
                <c:pt idx="68">
                  <c:v>166100</c:v>
                </c:pt>
                <c:pt idx="69">
                  <c:v>164300</c:v>
                </c:pt>
                <c:pt idx="70">
                  <c:v>163100</c:v>
                </c:pt>
                <c:pt idx="74">
                  <c:v>161100</c:v>
                </c:pt>
                <c:pt idx="75">
                  <c:v>165500</c:v>
                </c:pt>
                <c:pt idx="76">
                  <c:v>166200</c:v>
                </c:pt>
                <c:pt idx="77">
                  <c:v>163100</c:v>
                </c:pt>
                <c:pt idx="78">
                  <c:v>163100</c:v>
                </c:pt>
                <c:pt idx="82">
                  <c:v>168300</c:v>
                </c:pt>
                <c:pt idx="83">
                  <c:v>163800</c:v>
                </c:pt>
                <c:pt idx="84">
                  <c:v>164800</c:v>
                </c:pt>
                <c:pt idx="85">
                  <c:v>163200</c:v>
                </c:pt>
                <c:pt idx="86">
                  <c:v>164300</c:v>
                </c:pt>
                <c:pt idx="90">
                  <c:v>163900</c:v>
                </c:pt>
                <c:pt idx="91">
                  <c:v>161300</c:v>
                </c:pt>
                <c:pt idx="92">
                  <c:v>161200</c:v>
                </c:pt>
                <c:pt idx="93">
                  <c:v>162500</c:v>
                </c:pt>
                <c:pt idx="94">
                  <c:v>162600</c:v>
                </c:pt>
                <c:pt idx="98">
                  <c:v>160700</c:v>
                </c:pt>
                <c:pt idx="99">
                  <c:v>163600</c:v>
                </c:pt>
                <c:pt idx="100">
                  <c:v>162200</c:v>
                </c:pt>
                <c:pt idx="101">
                  <c:v>164700</c:v>
                </c:pt>
                <c:pt idx="105">
                  <c:v>162500</c:v>
                </c:pt>
                <c:pt idx="106">
                  <c:v>166100</c:v>
                </c:pt>
                <c:pt idx="107">
                  <c:v>164900</c:v>
                </c:pt>
                <c:pt idx="111">
                  <c:v>164300</c:v>
                </c:pt>
                <c:pt idx="112">
                  <c:v>171000</c:v>
                </c:pt>
                <c:pt idx="113">
                  <c:v>167900</c:v>
                </c:pt>
                <c:pt idx="114">
                  <c:v>165800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C3-4538-96B8-17356E0E1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27792"/>
        <c:axId val="484032368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All!$FZ$6:$FZ$124</c:f>
              <c:numCache>
                <c:formatCode>General</c:formatCode>
                <c:ptCount val="119"/>
                <c:pt idx="0">
                  <c:v>49.674999999999997</c:v>
                </c:pt>
                <c:pt idx="1">
                  <c:v>47.648000000000003</c:v>
                </c:pt>
                <c:pt idx="2">
                  <c:v>47.47</c:v>
                </c:pt>
                <c:pt idx="3">
                  <c:v>47.250999999999998</c:v>
                </c:pt>
                <c:pt idx="7">
                  <c:v>49.442999999999998</c:v>
                </c:pt>
                <c:pt idx="8">
                  <c:v>48.354999999999997</c:v>
                </c:pt>
                <c:pt idx="9">
                  <c:v>48.19</c:v>
                </c:pt>
                <c:pt idx="10">
                  <c:v>47.944000000000003</c:v>
                </c:pt>
                <c:pt idx="11">
                  <c:v>48.716000000000001</c:v>
                </c:pt>
                <c:pt idx="12">
                  <c:v>48.274999999999999</c:v>
                </c:pt>
                <c:pt idx="13">
                  <c:v>48.276000000000003</c:v>
                </c:pt>
                <c:pt idx="17">
                  <c:v>50.787999999999997</c:v>
                </c:pt>
                <c:pt idx="18">
                  <c:v>48.162999999999997</c:v>
                </c:pt>
                <c:pt idx="19">
                  <c:v>48.183999999999997</c:v>
                </c:pt>
                <c:pt idx="20">
                  <c:v>48.875999999999998</c:v>
                </c:pt>
                <c:pt idx="21">
                  <c:v>48.414000000000001</c:v>
                </c:pt>
                <c:pt idx="22">
                  <c:v>48.548999999999999</c:v>
                </c:pt>
                <c:pt idx="26">
                  <c:v>49.188000000000002</c:v>
                </c:pt>
                <c:pt idx="27">
                  <c:v>48.707999999999998</c:v>
                </c:pt>
                <c:pt idx="28">
                  <c:v>48.27</c:v>
                </c:pt>
                <c:pt idx="29">
                  <c:v>48.27</c:v>
                </c:pt>
                <c:pt idx="30">
                  <c:v>48.308</c:v>
                </c:pt>
                <c:pt idx="31">
                  <c:v>48.499000000000002</c:v>
                </c:pt>
                <c:pt idx="35">
                  <c:v>49.418999999999997</c:v>
                </c:pt>
                <c:pt idx="36">
                  <c:v>48.268000000000001</c:v>
                </c:pt>
                <c:pt idx="37">
                  <c:v>47.792999999999999</c:v>
                </c:pt>
                <c:pt idx="38">
                  <c:v>51.923999999999999</c:v>
                </c:pt>
                <c:pt idx="42">
                  <c:v>49.765000000000001</c:v>
                </c:pt>
                <c:pt idx="43">
                  <c:v>50.255000000000003</c:v>
                </c:pt>
                <c:pt idx="44">
                  <c:v>48.118000000000002</c:v>
                </c:pt>
                <c:pt idx="45">
                  <c:v>48.290999999999997</c:v>
                </c:pt>
                <c:pt idx="46">
                  <c:v>48.293999999999997</c:v>
                </c:pt>
                <c:pt idx="50">
                  <c:v>48.514000000000003</c:v>
                </c:pt>
                <c:pt idx="51">
                  <c:v>47.436</c:v>
                </c:pt>
                <c:pt idx="52">
                  <c:v>54.341000000000001</c:v>
                </c:pt>
                <c:pt idx="53">
                  <c:v>47.895000000000003</c:v>
                </c:pt>
                <c:pt idx="54">
                  <c:v>47.631</c:v>
                </c:pt>
                <c:pt idx="55">
                  <c:v>48.689</c:v>
                </c:pt>
                <c:pt idx="60">
                  <c:v>48.637999999999998</c:v>
                </c:pt>
                <c:pt idx="61">
                  <c:v>47.570999999999998</c:v>
                </c:pt>
                <c:pt idx="62">
                  <c:v>47.305</c:v>
                </c:pt>
                <c:pt idx="63">
                  <c:v>47.597000000000001</c:v>
                </c:pt>
                <c:pt idx="67">
                  <c:v>48.505000000000003</c:v>
                </c:pt>
                <c:pt idx="68">
                  <c:v>47.570999999999998</c:v>
                </c:pt>
                <c:pt idx="69">
                  <c:v>47.253999999999998</c:v>
                </c:pt>
                <c:pt idx="70">
                  <c:v>47.307000000000002</c:v>
                </c:pt>
                <c:pt idx="74">
                  <c:v>48.447000000000003</c:v>
                </c:pt>
                <c:pt idx="75">
                  <c:v>47.786999999999999</c:v>
                </c:pt>
                <c:pt idx="76">
                  <c:v>47.911000000000001</c:v>
                </c:pt>
                <c:pt idx="77">
                  <c:v>47.406999999999996</c:v>
                </c:pt>
                <c:pt idx="78">
                  <c:v>47.183</c:v>
                </c:pt>
                <c:pt idx="82">
                  <c:v>47.725000000000001</c:v>
                </c:pt>
                <c:pt idx="83">
                  <c:v>47.283000000000001</c:v>
                </c:pt>
                <c:pt idx="84">
                  <c:v>47.055</c:v>
                </c:pt>
                <c:pt idx="85">
                  <c:v>47.341000000000001</c:v>
                </c:pt>
                <c:pt idx="86">
                  <c:v>47.021999999999998</c:v>
                </c:pt>
                <c:pt idx="90">
                  <c:v>47.970999999999997</c:v>
                </c:pt>
                <c:pt idx="91">
                  <c:v>47.689</c:v>
                </c:pt>
                <c:pt idx="92">
                  <c:v>47.750999999999998</c:v>
                </c:pt>
                <c:pt idx="93">
                  <c:v>46.911000000000001</c:v>
                </c:pt>
                <c:pt idx="94">
                  <c:v>46.679000000000002</c:v>
                </c:pt>
                <c:pt idx="98">
                  <c:v>47.633000000000003</c:v>
                </c:pt>
                <c:pt idx="99">
                  <c:v>47.302</c:v>
                </c:pt>
                <c:pt idx="100">
                  <c:v>46.904000000000003</c:v>
                </c:pt>
                <c:pt idx="101">
                  <c:v>47.238999999999997</c:v>
                </c:pt>
                <c:pt idx="105">
                  <c:v>47.887</c:v>
                </c:pt>
                <c:pt idx="106">
                  <c:v>46.765999999999998</c:v>
                </c:pt>
                <c:pt idx="107">
                  <c:v>46.707000000000001</c:v>
                </c:pt>
                <c:pt idx="111">
                  <c:v>47.831000000000003</c:v>
                </c:pt>
                <c:pt idx="112">
                  <c:v>47.274999999999999</c:v>
                </c:pt>
                <c:pt idx="113">
                  <c:v>47.360999999999997</c:v>
                </c:pt>
                <c:pt idx="114">
                  <c:v>47.023000000000003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C3-4538-96B8-17356E0E1755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All!$GA$6:$GA$124</c:f>
              <c:numCache>
                <c:formatCode>General</c:formatCode>
                <c:ptCount val="119"/>
                <c:pt idx="0">
                  <c:v>48.9</c:v>
                </c:pt>
                <c:pt idx="1">
                  <c:v>47.018000000000001</c:v>
                </c:pt>
                <c:pt idx="2">
                  <c:v>46.723999999999997</c:v>
                </c:pt>
                <c:pt idx="3">
                  <c:v>46.601999999999997</c:v>
                </c:pt>
                <c:pt idx="7">
                  <c:v>48.405000000000001</c:v>
                </c:pt>
                <c:pt idx="8">
                  <c:v>47.106000000000002</c:v>
                </c:pt>
                <c:pt idx="9">
                  <c:v>47.231999999999999</c:v>
                </c:pt>
                <c:pt idx="10">
                  <c:v>46.993000000000002</c:v>
                </c:pt>
                <c:pt idx="11">
                  <c:v>47.823999999999998</c:v>
                </c:pt>
                <c:pt idx="12">
                  <c:v>47.316000000000003</c:v>
                </c:pt>
                <c:pt idx="13">
                  <c:v>47.244999999999997</c:v>
                </c:pt>
                <c:pt idx="17">
                  <c:v>49.610999999999997</c:v>
                </c:pt>
                <c:pt idx="18">
                  <c:v>47.366999999999997</c:v>
                </c:pt>
                <c:pt idx="19">
                  <c:v>47.210999999999999</c:v>
                </c:pt>
                <c:pt idx="20">
                  <c:v>47.753</c:v>
                </c:pt>
                <c:pt idx="21">
                  <c:v>47.581000000000003</c:v>
                </c:pt>
                <c:pt idx="22">
                  <c:v>47.601999999999997</c:v>
                </c:pt>
                <c:pt idx="26">
                  <c:v>48.18</c:v>
                </c:pt>
                <c:pt idx="27">
                  <c:v>47.783999999999999</c:v>
                </c:pt>
                <c:pt idx="28">
                  <c:v>47.232999999999997</c:v>
                </c:pt>
                <c:pt idx="29">
                  <c:v>47.177</c:v>
                </c:pt>
                <c:pt idx="30">
                  <c:v>47.360999999999997</c:v>
                </c:pt>
                <c:pt idx="31">
                  <c:v>47.616</c:v>
                </c:pt>
                <c:pt idx="35">
                  <c:v>48.834000000000003</c:v>
                </c:pt>
                <c:pt idx="36">
                  <c:v>47.744999999999997</c:v>
                </c:pt>
                <c:pt idx="37">
                  <c:v>47.201999999999998</c:v>
                </c:pt>
                <c:pt idx="38">
                  <c:v>51.548000000000002</c:v>
                </c:pt>
                <c:pt idx="42">
                  <c:v>49.281999999999996</c:v>
                </c:pt>
                <c:pt idx="43">
                  <c:v>49.554000000000002</c:v>
                </c:pt>
                <c:pt idx="44">
                  <c:v>47.378999999999998</c:v>
                </c:pt>
                <c:pt idx="45">
                  <c:v>47.610999999999997</c:v>
                </c:pt>
                <c:pt idx="46">
                  <c:v>47.43</c:v>
                </c:pt>
                <c:pt idx="50">
                  <c:v>47.607999999999997</c:v>
                </c:pt>
                <c:pt idx="51">
                  <c:v>47.216000000000001</c:v>
                </c:pt>
                <c:pt idx="52">
                  <c:v>53.667999999999999</c:v>
                </c:pt>
                <c:pt idx="53">
                  <c:v>47.392000000000003</c:v>
                </c:pt>
                <c:pt idx="54">
                  <c:v>47.255000000000003</c:v>
                </c:pt>
                <c:pt idx="55">
                  <c:v>48.383000000000003</c:v>
                </c:pt>
                <c:pt idx="60">
                  <c:v>48.68</c:v>
                </c:pt>
                <c:pt idx="61">
                  <c:v>47.698</c:v>
                </c:pt>
                <c:pt idx="62">
                  <c:v>47.585000000000001</c:v>
                </c:pt>
                <c:pt idx="63">
                  <c:v>47.69</c:v>
                </c:pt>
                <c:pt idx="67">
                  <c:v>48.457999999999998</c:v>
                </c:pt>
                <c:pt idx="68">
                  <c:v>47.747</c:v>
                </c:pt>
                <c:pt idx="69">
                  <c:v>47.280999999999999</c:v>
                </c:pt>
                <c:pt idx="70">
                  <c:v>47.378999999999998</c:v>
                </c:pt>
                <c:pt idx="74">
                  <c:v>48.341000000000001</c:v>
                </c:pt>
                <c:pt idx="75">
                  <c:v>47.89</c:v>
                </c:pt>
                <c:pt idx="76">
                  <c:v>47.88</c:v>
                </c:pt>
                <c:pt idx="77">
                  <c:v>47.581000000000003</c:v>
                </c:pt>
                <c:pt idx="78">
                  <c:v>47.557000000000002</c:v>
                </c:pt>
                <c:pt idx="82">
                  <c:v>48.034999999999997</c:v>
                </c:pt>
                <c:pt idx="83">
                  <c:v>47.927</c:v>
                </c:pt>
                <c:pt idx="84">
                  <c:v>47.64</c:v>
                </c:pt>
                <c:pt idx="85">
                  <c:v>47.637999999999998</c:v>
                </c:pt>
                <c:pt idx="86">
                  <c:v>47.345999999999997</c:v>
                </c:pt>
                <c:pt idx="90">
                  <c:v>48.171999999999997</c:v>
                </c:pt>
                <c:pt idx="91">
                  <c:v>48.408999999999999</c:v>
                </c:pt>
                <c:pt idx="92">
                  <c:v>48.534999999999997</c:v>
                </c:pt>
                <c:pt idx="93">
                  <c:v>47.918999999999997</c:v>
                </c:pt>
                <c:pt idx="94">
                  <c:v>47.765000000000001</c:v>
                </c:pt>
                <c:pt idx="98">
                  <c:v>48.204000000000001</c:v>
                </c:pt>
                <c:pt idx="99">
                  <c:v>47.9</c:v>
                </c:pt>
                <c:pt idx="100">
                  <c:v>47.741999999999997</c:v>
                </c:pt>
                <c:pt idx="101">
                  <c:v>47.627000000000002</c:v>
                </c:pt>
                <c:pt idx="105">
                  <c:v>48.317</c:v>
                </c:pt>
                <c:pt idx="106">
                  <c:v>47.186999999999998</c:v>
                </c:pt>
                <c:pt idx="107">
                  <c:v>47.112000000000002</c:v>
                </c:pt>
                <c:pt idx="111">
                  <c:v>48.027999999999999</c:v>
                </c:pt>
                <c:pt idx="112">
                  <c:v>47.651000000000003</c:v>
                </c:pt>
                <c:pt idx="113">
                  <c:v>47.817</c:v>
                </c:pt>
                <c:pt idx="114">
                  <c:v>47.509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C3-4538-96B8-17356E0E1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0848"/>
        <c:axId val="543722512"/>
      </c:scatterChart>
      <c:valAx>
        <c:axId val="48402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32368"/>
        <c:crosses val="autoZero"/>
        <c:crossBetween val="midCat"/>
      </c:valAx>
      <c:valAx>
        <c:axId val="48403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27792"/>
        <c:crosses val="autoZero"/>
        <c:crossBetween val="midCat"/>
      </c:valAx>
      <c:valAx>
        <c:axId val="543722512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0848"/>
        <c:crosses val="max"/>
        <c:crossBetween val="midCat"/>
      </c:valAx>
      <c:valAx>
        <c:axId val="543720848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2251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All!$GB$6:$GB$124</c:f>
              <c:numCache>
                <c:formatCode>General</c:formatCode>
                <c:ptCount val="119"/>
                <c:pt idx="0">
                  <c:v>2241</c:v>
                </c:pt>
                <c:pt idx="1">
                  <c:v>2246.6999999999998</c:v>
                </c:pt>
                <c:pt idx="2">
                  <c:v>2280.6999999999998</c:v>
                </c:pt>
                <c:pt idx="3">
                  <c:v>2190.5</c:v>
                </c:pt>
                <c:pt idx="7">
                  <c:v>2473.8000000000002</c:v>
                </c:pt>
                <c:pt idx="8">
                  <c:v>2171.1</c:v>
                </c:pt>
                <c:pt idx="9">
                  <c:v>2157.5</c:v>
                </c:pt>
                <c:pt idx="10">
                  <c:v>2178.8000000000002</c:v>
                </c:pt>
                <c:pt idx="11">
                  <c:v>2278.4</c:v>
                </c:pt>
                <c:pt idx="12">
                  <c:v>2192.3000000000002</c:v>
                </c:pt>
                <c:pt idx="13">
                  <c:v>2178</c:v>
                </c:pt>
                <c:pt idx="17">
                  <c:v>2214.5</c:v>
                </c:pt>
                <c:pt idx="18">
                  <c:v>2174.8000000000002</c:v>
                </c:pt>
                <c:pt idx="19">
                  <c:v>2202.9</c:v>
                </c:pt>
                <c:pt idx="20">
                  <c:v>2182.4</c:v>
                </c:pt>
                <c:pt idx="21">
                  <c:v>2301.1</c:v>
                </c:pt>
                <c:pt idx="22">
                  <c:v>2445.6</c:v>
                </c:pt>
                <c:pt idx="26">
                  <c:v>2179.4</c:v>
                </c:pt>
                <c:pt idx="27">
                  <c:v>2176.3000000000002</c:v>
                </c:pt>
                <c:pt idx="28">
                  <c:v>2250.8000000000002</c:v>
                </c:pt>
                <c:pt idx="29">
                  <c:v>2164.3000000000002</c:v>
                </c:pt>
                <c:pt idx="30">
                  <c:v>2166.8000000000002</c:v>
                </c:pt>
                <c:pt idx="31">
                  <c:v>2189.4</c:v>
                </c:pt>
                <c:pt idx="35">
                  <c:v>2156.5</c:v>
                </c:pt>
                <c:pt idx="36">
                  <c:v>2223.6999999999998</c:v>
                </c:pt>
                <c:pt idx="37">
                  <c:v>2194.5</c:v>
                </c:pt>
                <c:pt idx="38">
                  <c:v>2130.1999999999998</c:v>
                </c:pt>
                <c:pt idx="42">
                  <c:v>2356.6999999999998</c:v>
                </c:pt>
                <c:pt idx="43">
                  <c:v>2171.6</c:v>
                </c:pt>
                <c:pt idx="44">
                  <c:v>2215.9</c:v>
                </c:pt>
                <c:pt idx="45">
                  <c:v>2181.1999999999998</c:v>
                </c:pt>
                <c:pt idx="46">
                  <c:v>2285</c:v>
                </c:pt>
                <c:pt idx="50">
                  <c:v>2166.3000000000002</c:v>
                </c:pt>
                <c:pt idx="51">
                  <c:v>2233</c:v>
                </c:pt>
                <c:pt idx="52">
                  <c:v>2170.9</c:v>
                </c:pt>
                <c:pt idx="53">
                  <c:v>2168.8000000000002</c:v>
                </c:pt>
                <c:pt idx="54">
                  <c:v>2205.1</c:v>
                </c:pt>
                <c:pt idx="55">
                  <c:v>2178.8000000000002</c:v>
                </c:pt>
                <c:pt idx="59">
                  <c:v>2116.1</c:v>
                </c:pt>
                <c:pt idx="60">
                  <c:v>2146.1999999999998</c:v>
                </c:pt>
                <c:pt idx="61">
                  <c:v>2253.1</c:v>
                </c:pt>
                <c:pt idx="62">
                  <c:v>2146.1</c:v>
                </c:pt>
                <c:pt idx="63">
                  <c:v>2142.1999999999998</c:v>
                </c:pt>
                <c:pt idx="67">
                  <c:v>2142.6999999999998</c:v>
                </c:pt>
                <c:pt idx="68">
                  <c:v>2149</c:v>
                </c:pt>
                <c:pt idx="69">
                  <c:v>2143.6</c:v>
                </c:pt>
                <c:pt idx="70">
                  <c:v>2156.8000000000002</c:v>
                </c:pt>
                <c:pt idx="74">
                  <c:v>2128.4</c:v>
                </c:pt>
                <c:pt idx="75">
                  <c:v>2211.1</c:v>
                </c:pt>
                <c:pt idx="76">
                  <c:v>2151.1999999999998</c:v>
                </c:pt>
                <c:pt idx="77">
                  <c:v>2150</c:v>
                </c:pt>
                <c:pt idx="78">
                  <c:v>2145</c:v>
                </c:pt>
                <c:pt idx="82">
                  <c:v>2185.1</c:v>
                </c:pt>
                <c:pt idx="83">
                  <c:v>2142.5</c:v>
                </c:pt>
                <c:pt idx="84">
                  <c:v>2135.6</c:v>
                </c:pt>
                <c:pt idx="85">
                  <c:v>2156.6</c:v>
                </c:pt>
                <c:pt idx="86">
                  <c:v>2169</c:v>
                </c:pt>
                <c:pt idx="90">
                  <c:v>2162.4</c:v>
                </c:pt>
                <c:pt idx="91">
                  <c:v>2145.6</c:v>
                </c:pt>
                <c:pt idx="92">
                  <c:v>2151.3000000000002</c:v>
                </c:pt>
                <c:pt idx="93">
                  <c:v>2166.6</c:v>
                </c:pt>
                <c:pt idx="94">
                  <c:v>2141.4</c:v>
                </c:pt>
                <c:pt idx="98">
                  <c:v>2131.5</c:v>
                </c:pt>
                <c:pt idx="99">
                  <c:v>2166.1</c:v>
                </c:pt>
                <c:pt idx="100">
                  <c:v>2218.3000000000002</c:v>
                </c:pt>
                <c:pt idx="101">
                  <c:v>2301.1</c:v>
                </c:pt>
                <c:pt idx="105">
                  <c:v>2181.1</c:v>
                </c:pt>
                <c:pt idx="106">
                  <c:v>2154.3000000000002</c:v>
                </c:pt>
                <c:pt idx="107">
                  <c:v>2146.8000000000002</c:v>
                </c:pt>
                <c:pt idx="111">
                  <c:v>2143.4</c:v>
                </c:pt>
                <c:pt idx="112">
                  <c:v>2141.8000000000002</c:v>
                </c:pt>
                <c:pt idx="113">
                  <c:v>2228.3000000000002</c:v>
                </c:pt>
                <c:pt idx="114">
                  <c:v>2152.6999999999998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18-41A3-8B07-C037C14E4733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All!$GC$6:$GC$124</c:f>
              <c:numCache>
                <c:formatCode>General</c:formatCode>
                <c:ptCount val="119"/>
                <c:pt idx="0">
                  <c:v>2198.5</c:v>
                </c:pt>
                <c:pt idx="1">
                  <c:v>2269.6999999999998</c:v>
                </c:pt>
                <c:pt idx="2">
                  <c:v>2280.3000000000002</c:v>
                </c:pt>
                <c:pt idx="3">
                  <c:v>2158.8000000000002</c:v>
                </c:pt>
                <c:pt idx="7">
                  <c:v>2260.6999999999998</c:v>
                </c:pt>
                <c:pt idx="8">
                  <c:v>2222.8000000000002</c:v>
                </c:pt>
                <c:pt idx="9">
                  <c:v>2161.5</c:v>
                </c:pt>
                <c:pt idx="10">
                  <c:v>2350.6999999999998</c:v>
                </c:pt>
                <c:pt idx="11">
                  <c:v>2196.1</c:v>
                </c:pt>
                <c:pt idx="12">
                  <c:v>2177.4</c:v>
                </c:pt>
                <c:pt idx="13">
                  <c:v>2251.8000000000002</c:v>
                </c:pt>
                <c:pt idx="17">
                  <c:v>2208.1</c:v>
                </c:pt>
                <c:pt idx="18">
                  <c:v>2176.6999999999998</c:v>
                </c:pt>
                <c:pt idx="19">
                  <c:v>2186.9</c:v>
                </c:pt>
                <c:pt idx="20">
                  <c:v>2178.6999999999998</c:v>
                </c:pt>
                <c:pt idx="21">
                  <c:v>2256.3000000000002</c:v>
                </c:pt>
                <c:pt idx="22">
                  <c:v>2339.9</c:v>
                </c:pt>
                <c:pt idx="26">
                  <c:v>2204.9</c:v>
                </c:pt>
                <c:pt idx="27">
                  <c:v>2176.6999999999998</c:v>
                </c:pt>
                <c:pt idx="28">
                  <c:v>2386</c:v>
                </c:pt>
                <c:pt idx="29">
                  <c:v>2166.5</c:v>
                </c:pt>
                <c:pt idx="30">
                  <c:v>2177.1999999999998</c:v>
                </c:pt>
                <c:pt idx="31">
                  <c:v>2163.3000000000002</c:v>
                </c:pt>
                <c:pt idx="35">
                  <c:v>2329.5</c:v>
                </c:pt>
                <c:pt idx="36">
                  <c:v>2151.3000000000002</c:v>
                </c:pt>
                <c:pt idx="37">
                  <c:v>2216.1999999999998</c:v>
                </c:pt>
                <c:pt idx="38">
                  <c:v>2132.1999999999998</c:v>
                </c:pt>
                <c:pt idx="42">
                  <c:v>2255.6999999999998</c:v>
                </c:pt>
                <c:pt idx="43">
                  <c:v>2171.3000000000002</c:v>
                </c:pt>
                <c:pt idx="44">
                  <c:v>2141.9</c:v>
                </c:pt>
                <c:pt idx="45">
                  <c:v>2181.8000000000002</c:v>
                </c:pt>
                <c:pt idx="46">
                  <c:v>2277.3000000000002</c:v>
                </c:pt>
                <c:pt idx="50">
                  <c:v>2167.3000000000002</c:v>
                </c:pt>
                <c:pt idx="51">
                  <c:v>2157.8000000000002</c:v>
                </c:pt>
                <c:pt idx="52">
                  <c:v>2171.8000000000002</c:v>
                </c:pt>
                <c:pt idx="53">
                  <c:v>2158.9</c:v>
                </c:pt>
                <c:pt idx="54">
                  <c:v>2172.6</c:v>
                </c:pt>
                <c:pt idx="55">
                  <c:v>2180.6999999999998</c:v>
                </c:pt>
                <c:pt idx="59">
                  <c:v>2116.6999999999998</c:v>
                </c:pt>
                <c:pt idx="60">
                  <c:v>2278</c:v>
                </c:pt>
                <c:pt idx="61">
                  <c:v>2205.9</c:v>
                </c:pt>
                <c:pt idx="62">
                  <c:v>2147.8000000000002</c:v>
                </c:pt>
                <c:pt idx="63">
                  <c:v>2212.1</c:v>
                </c:pt>
                <c:pt idx="67">
                  <c:v>2197</c:v>
                </c:pt>
                <c:pt idx="68">
                  <c:v>2158.1999999999998</c:v>
                </c:pt>
                <c:pt idx="69">
                  <c:v>2147.6</c:v>
                </c:pt>
                <c:pt idx="70">
                  <c:v>2157.8000000000002</c:v>
                </c:pt>
                <c:pt idx="74">
                  <c:v>2133.6</c:v>
                </c:pt>
                <c:pt idx="75">
                  <c:v>2152.5</c:v>
                </c:pt>
                <c:pt idx="76">
                  <c:v>2241.9</c:v>
                </c:pt>
                <c:pt idx="77">
                  <c:v>2151.8000000000002</c:v>
                </c:pt>
                <c:pt idx="78">
                  <c:v>2147.1999999999998</c:v>
                </c:pt>
                <c:pt idx="82">
                  <c:v>2185.9</c:v>
                </c:pt>
                <c:pt idx="83">
                  <c:v>2137.4</c:v>
                </c:pt>
                <c:pt idx="84">
                  <c:v>2352.4</c:v>
                </c:pt>
                <c:pt idx="85">
                  <c:v>2168.3000000000002</c:v>
                </c:pt>
                <c:pt idx="86">
                  <c:v>2171.6</c:v>
                </c:pt>
                <c:pt idx="90">
                  <c:v>2164</c:v>
                </c:pt>
                <c:pt idx="91">
                  <c:v>2146.1</c:v>
                </c:pt>
                <c:pt idx="92">
                  <c:v>2154.1999999999998</c:v>
                </c:pt>
                <c:pt idx="93">
                  <c:v>2166.4</c:v>
                </c:pt>
                <c:pt idx="94">
                  <c:v>2188.4</c:v>
                </c:pt>
                <c:pt idx="98">
                  <c:v>2136.3000000000002</c:v>
                </c:pt>
                <c:pt idx="99">
                  <c:v>2167.5</c:v>
                </c:pt>
                <c:pt idx="100">
                  <c:v>2146.1999999999998</c:v>
                </c:pt>
                <c:pt idx="101">
                  <c:v>2136.6</c:v>
                </c:pt>
                <c:pt idx="105">
                  <c:v>2141.8000000000002</c:v>
                </c:pt>
                <c:pt idx="106">
                  <c:v>2154.1</c:v>
                </c:pt>
                <c:pt idx="107">
                  <c:v>2151.9</c:v>
                </c:pt>
                <c:pt idx="111">
                  <c:v>2145.8000000000002</c:v>
                </c:pt>
                <c:pt idx="112">
                  <c:v>2427.1</c:v>
                </c:pt>
                <c:pt idx="113">
                  <c:v>2153.9</c:v>
                </c:pt>
                <c:pt idx="114">
                  <c:v>2166.1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8-41A3-8B07-C037C14E4733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All!$GD$6:$GD$124</c:f>
              <c:numCache>
                <c:formatCode>General</c:formatCode>
                <c:ptCount val="119"/>
                <c:pt idx="0">
                  <c:v>2247.5</c:v>
                </c:pt>
                <c:pt idx="1">
                  <c:v>2298</c:v>
                </c:pt>
                <c:pt idx="2">
                  <c:v>2372.1999999999998</c:v>
                </c:pt>
                <c:pt idx="3">
                  <c:v>2406.8000000000002</c:v>
                </c:pt>
                <c:pt idx="7">
                  <c:v>2473.8000000000002</c:v>
                </c:pt>
                <c:pt idx="8">
                  <c:v>2199.4</c:v>
                </c:pt>
                <c:pt idx="9">
                  <c:v>2202.3000000000002</c:v>
                </c:pt>
                <c:pt idx="10">
                  <c:v>2221.1</c:v>
                </c:pt>
                <c:pt idx="11">
                  <c:v>2278.4</c:v>
                </c:pt>
                <c:pt idx="12">
                  <c:v>2330.8000000000002</c:v>
                </c:pt>
                <c:pt idx="13">
                  <c:v>2214.3000000000002</c:v>
                </c:pt>
                <c:pt idx="17">
                  <c:v>2244</c:v>
                </c:pt>
                <c:pt idx="18">
                  <c:v>2206</c:v>
                </c:pt>
                <c:pt idx="19">
                  <c:v>2221.1999999999998</c:v>
                </c:pt>
                <c:pt idx="20">
                  <c:v>2351.8000000000002</c:v>
                </c:pt>
                <c:pt idx="21">
                  <c:v>2355.6999999999998</c:v>
                </c:pt>
                <c:pt idx="22">
                  <c:v>2549.6999999999998</c:v>
                </c:pt>
                <c:pt idx="26">
                  <c:v>2223.5</c:v>
                </c:pt>
                <c:pt idx="27">
                  <c:v>2189.4</c:v>
                </c:pt>
                <c:pt idx="28">
                  <c:v>2250.8000000000002</c:v>
                </c:pt>
                <c:pt idx="29">
                  <c:v>2278.5</c:v>
                </c:pt>
                <c:pt idx="30">
                  <c:v>2213.6999999999998</c:v>
                </c:pt>
                <c:pt idx="31">
                  <c:v>2223.3000000000002</c:v>
                </c:pt>
                <c:pt idx="35">
                  <c:v>2277.6</c:v>
                </c:pt>
                <c:pt idx="36">
                  <c:v>2223.6999999999998</c:v>
                </c:pt>
                <c:pt idx="37">
                  <c:v>2203.6999999999998</c:v>
                </c:pt>
                <c:pt idx="38">
                  <c:v>2184</c:v>
                </c:pt>
                <c:pt idx="42">
                  <c:v>2356.6999999999998</c:v>
                </c:pt>
                <c:pt idx="43">
                  <c:v>2191.9</c:v>
                </c:pt>
                <c:pt idx="44">
                  <c:v>2269.9</c:v>
                </c:pt>
                <c:pt idx="45">
                  <c:v>2221.4</c:v>
                </c:pt>
                <c:pt idx="46">
                  <c:v>2318.3000000000002</c:v>
                </c:pt>
                <c:pt idx="50">
                  <c:v>2205.6999999999998</c:v>
                </c:pt>
                <c:pt idx="51">
                  <c:v>2233</c:v>
                </c:pt>
                <c:pt idx="52">
                  <c:v>2246.5</c:v>
                </c:pt>
                <c:pt idx="53">
                  <c:v>2212.6999999999998</c:v>
                </c:pt>
                <c:pt idx="54">
                  <c:v>2284</c:v>
                </c:pt>
                <c:pt idx="55">
                  <c:v>2201.6999999999998</c:v>
                </c:pt>
                <c:pt idx="59">
                  <c:v>1014.3</c:v>
                </c:pt>
                <c:pt idx="60">
                  <c:v>2190.6999999999998</c:v>
                </c:pt>
                <c:pt idx="61">
                  <c:v>2253.1</c:v>
                </c:pt>
                <c:pt idx="62">
                  <c:v>2221</c:v>
                </c:pt>
                <c:pt idx="63">
                  <c:v>2188.4</c:v>
                </c:pt>
                <c:pt idx="67">
                  <c:v>2179.1</c:v>
                </c:pt>
                <c:pt idx="68">
                  <c:v>2202</c:v>
                </c:pt>
                <c:pt idx="69">
                  <c:v>2390.8000000000002</c:v>
                </c:pt>
                <c:pt idx="70">
                  <c:v>2270</c:v>
                </c:pt>
                <c:pt idx="74">
                  <c:v>2145.4</c:v>
                </c:pt>
                <c:pt idx="75">
                  <c:v>2345.5</c:v>
                </c:pt>
                <c:pt idx="76">
                  <c:v>2232.8000000000002</c:v>
                </c:pt>
                <c:pt idx="77">
                  <c:v>2163.6</c:v>
                </c:pt>
                <c:pt idx="78">
                  <c:v>2198.5</c:v>
                </c:pt>
                <c:pt idx="82">
                  <c:v>2185.1</c:v>
                </c:pt>
                <c:pt idx="83">
                  <c:v>2187.5</c:v>
                </c:pt>
                <c:pt idx="84">
                  <c:v>2258.1999999999998</c:v>
                </c:pt>
                <c:pt idx="85">
                  <c:v>2215.1999999999998</c:v>
                </c:pt>
                <c:pt idx="86">
                  <c:v>2179.6999999999998</c:v>
                </c:pt>
                <c:pt idx="90">
                  <c:v>2263.8000000000002</c:v>
                </c:pt>
                <c:pt idx="91">
                  <c:v>2162.6</c:v>
                </c:pt>
                <c:pt idx="92">
                  <c:v>2170.3000000000002</c:v>
                </c:pt>
                <c:pt idx="93">
                  <c:v>2206.4</c:v>
                </c:pt>
                <c:pt idx="94">
                  <c:v>2404.5</c:v>
                </c:pt>
                <c:pt idx="98">
                  <c:v>2155.4</c:v>
                </c:pt>
                <c:pt idx="99">
                  <c:v>2295.4</c:v>
                </c:pt>
                <c:pt idx="100">
                  <c:v>2265.3000000000002</c:v>
                </c:pt>
                <c:pt idx="101">
                  <c:v>2358.3000000000002</c:v>
                </c:pt>
                <c:pt idx="105">
                  <c:v>2186</c:v>
                </c:pt>
                <c:pt idx="106">
                  <c:v>2172.1</c:v>
                </c:pt>
                <c:pt idx="107">
                  <c:v>2384.5</c:v>
                </c:pt>
                <c:pt idx="111">
                  <c:v>2174.5</c:v>
                </c:pt>
                <c:pt idx="112">
                  <c:v>2169.6</c:v>
                </c:pt>
                <c:pt idx="113">
                  <c:v>2263.9</c:v>
                </c:pt>
                <c:pt idx="114">
                  <c:v>2222.1999999999998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18-41A3-8B07-C037C14E4733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All!$GE$6:$GE$124</c:f>
              <c:numCache>
                <c:formatCode>General</c:formatCode>
                <c:ptCount val="119"/>
                <c:pt idx="0">
                  <c:v>2898.3</c:v>
                </c:pt>
                <c:pt idx="1">
                  <c:v>2350.9</c:v>
                </c:pt>
                <c:pt idx="2">
                  <c:v>2280.3000000000002</c:v>
                </c:pt>
                <c:pt idx="3">
                  <c:v>2315.9</c:v>
                </c:pt>
                <c:pt idx="7">
                  <c:v>2260.6999999999998</c:v>
                </c:pt>
                <c:pt idx="8">
                  <c:v>2331.4</c:v>
                </c:pt>
                <c:pt idx="9">
                  <c:v>2204.1999999999998</c:v>
                </c:pt>
                <c:pt idx="10">
                  <c:v>2350.6999999999998</c:v>
                </c:pt>
                <c:pt idx="11">
                  <c:v>2203.3000000000002</c:v>
                </c:pt>
                <c:pt idx="12">
                  <c:v>2227.5</c:v>
                </c:pt>
                <c:pt idx="13">
                  <c:v>2330.1999999999998</c:v>
                </c:pt>
                <c:pt idx="17">
                  <c:v>2208.3000000000002</c:v>
                </c:pt>
                <c:pt idx="18">
                  <c:v>2208.1999999999998</c:v>
                </c:pt>
                <c:pt idx="19">
                  <c:v>2225.1999999999998</c:v>
                </c:pt>
                <c:pt idx="20">
                  <c:v>2405.4</c:v>
                </c:pt>
                <c:pt idx="21">
                  <c:v>2563.9</c:v>
                </c:pt>
                <c:pt idx="22">
                  <c:v>2341.4</c:v>
                </c:pt>
                <c:pt idx="26">
                  <c:v>2257.6999999999998</c:v>
                </c:pt>
                <c:pt idx="27">
                  <c:v>2276.4</c:v>
                </c:pt>
                <c:pt idx="28">
                  <c:v>2386</c:v>
                </c:pt>
                <c:pt idx="29">
                  <c:v>2323.3000000000002</c:v>
                </c:pt>
                <c:pt idx="30">
                  <c:v>2219.6</c:v>
                </c:pt>
                <c:pt idx="31">
                  <c:v>2225.1</c:v>
                </c:pt>
                <c:pt idx="35">
                  <c:v>2329.5</c:v>
                </c:pt>
                <c:pt idx="36">
                  <c:v>2185.8000000000002</c:v>
                </c:pt>
                <c:pt idx="37">
                  <c:v>2216.1999999999998</c:v>
                </c:pt>
                <c:pt idx="38">
                  <c:v>2184.9</c:v>
                </c:pt>
                <c:pt idx="42">
                  <c:v>2255.6999999999998</c:v>
                </c:pt>
                <c:pt idx="43">
                  <c:v>2189.5</c:v>
                </c:pt>
                <c:pt idx="44">
                  <c:v>2177.1999999999998</c:v>
                </c:pt>
                <c:pt idx="45">
                  <c:v>2316.3000000000002</c:v>
                </c:pt>
                <c:pt idx="46">
                  <c:v>2277.3000000000002</c:v>
                </c:pt>
                <c:pt idx="50">
                  <c:v>2204.5</c:v>
                </c:pt>
                <c:pt idx="51">
                  <c:v>2209.1</c:v>
                </c:pt>
                <c:pt idx="52">
                  <c:v>2247.8000000000002</c:v>
                </c:pt>
                <c:pt idx="53">
                  <c:v>2213.8000000000002</c:v>
                </c:pt>
                <c:pt idx="54">
                  <c:v>2210.3000000000002</c:v>
                </c:pt>
                <c:pt idx="55">
                  <c:v>2206.8000000000002</c:v>
                </c:pt>
                <c:pt idx="59">
                  <c:v>1014.8</c:v>
                </c:pt>
                <c:pt idx="60">
                  <c:v>2487.4</c:v>
                </c:pt>
                <c:pt idx="61">
                  <c:v>2205.9</c:v>
                </c:pt>
                <c:pt idx="62">
                  <c:v>2174.8000000000002</c:v>
                </c:pt>
                <c:pt idx="63">
                  <c:v>2212.1</c:v>
                </c:pt>
                <c:pt idx="67">
                  <c:v>2197</c:v>
                </c:pt>
                <c:pt idx="68">
                  <c:v>2201.8000000000002</c:v>
                </c:pt>
                <c:pt idx="69">
                  <c:v>2179.1999999999998</c:v>
                </c:pt>
                <c:pt idx="70">
                  <c:v>2173.4</c:v>
                </c:pt>
                <c:pt idx="74">
                  <c:v>2236.3000000000002</c:v>
                </c:pt>
                <c:pt idx="75">
                  <c:v>2234.8000000000002</c:v>
                </c:pt>
                <c:pt idx="76">
                  <c:v>2241.9</c:v>
                </c:pt>
                <c:pt idx="77">
                  <c:v>2275.5</c:v>
                </c:pt>
                <c:pt idx="78">
                  <c:v>2201.9</c:v>
                </c:pt>
                <c:pt idx="82">
                  <c:v>2185.9</c:v>
                </c:pt>
                <c:pt idx="83">
                  <c:v>2170.5</c:v>
                </c:pt>
                <c:pt idx="84">
                  <c:v>2352.4</c:v>
                </c:pt>
                <c:pt idx="85">
                  <c:v>2217</c:v>
                </c:pt>
                <c:pt idx="86">
                  <c:v>2262.9</c:v>
                </c:pt>
                <c:pt idx="90">
                  <c:v>2262.1999999999998</c:v>
                </c:pt>
                <c:pt idx="91">
                  <c:v>2305.4</c:v>
                </c:pt>
                <c:pt idx="92">
                  <c:v>2172.6999999999998</c:v>
                </c:pt>
                <c:pt idx="93">
                  <c:v>2207.9</c:v>
                </c:pt>
                <c:pt idx="94">
                  <c:v>2225.4</c:v>
                </c:pt>
                <c:pt idx="98">
                  <c:v>2155.6</c:v>
                </c:pt>
                <c:pt idx="99">
                  <c:v>2219.1999999999998</c:v>
                </c:pt>
                <c:pt idx="100">
                  <c:v>2266.1999999999998</c:v>
                </c:pt>
                <c:pt idx="101">
                  <c:v>2224.9</c:v>
                </c:pt>
                <c:pt idx="105">
                  <c:v>2186.3000000000002</c:v>
                </c:pt>
                <c:pt idx="106">
                  <c:v>2173.5</c:v>
                </c:pt>
                <c:pt idx="107">
                  <c:v>2201.8000000000002</c:v>
                </c:pt>
                <c:pt idx="111">
                  <c:v>2203.1999999999998</c:v>
                </c:pt>
                <c:pt idx="112">
                  <c:v>2428.8000000000002</c:v>
                </c:pt>
                <c:pt idx="113">
                  <c:v>2245</c:v>
                </c:pt>
                <c:pt idx="114">
                  <c:v>2222.6999999999998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18-41A3-8B07-C037C14E4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87856"/>
        <c:axId val="484002416"/>
      </c:scatterChart>
      <c:valAx>
        <c:axId val="48398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002416"/>
        <c:crosses val="autoZero"/>
        <c:crossBetween val="midCat"/>
      </c:valAx>
      <c:valAx>
        <c:axId val="48400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All!$GG$6:$GG$124</c:f>
              <c:numCache>
                <c:formatCode>General</c:formatCode>
                <c:ptCount val="119"/>
                <c:pt idx="0">
                  <c:v>32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7">
                  <c:v>30</c:v>
                </c:pt>
                <c:pt idx="8">
                  <c:v>27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29</c:v>
                </c:pt>
                <c:pt idx="13">
                  <c:v>30</c:v>
                </c:pt>
                <c:pt idx="17">
                  <c:v>32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6">
                  <c:v>37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29</c:v>
                </c:pt>
                <c:pt idx="35">
                  <c:v>36</c:v>
                </c:pt>
                <c:pt idx="36">
                  <c:v>31</c:v>
                </c:pt>
                <c:pt idx="37">
                  <c:v>32</c:v>
                </c:pt>
                <c:pt idx="38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50">
                  <c:v>40</c:v>
                </c:pt>
                <c:pt idx="51">
                  <c:v>28</c:v>
                </c:pt>
                <c:pt idx="52">
                  <c:v>28</c:v>
                </c:pt>
                <c:pt idx="53">
                  <c:v>29</c:v>
                </c:pt>
                <c:pt idx="54">
                  <c:v>29</c:v>
                </c:pt>
                <c:pt idx="55">
                  <c:v>30</c:v>
                </c:pt>
                <c:pt idx="59">
                  <c:v>30</c:v>
                </c:pt>
                <c:pt idx="60">
                  <c:v>31</c:v>
                </c:pt>
                <c:pt idx="61">
                  <c:v>29</c:v>
                </c:pt>
                <c:pt idx="62">
                  <c:v>29</c:v>
                </c:pt>
                <c:pt idx="63">
                  <c:v>30</c:v>
                </c:pt>
                <c:pt idx="67">
                  <c:v>31</c:v>
                </c:pt>
                <c:pt idx="68">
                  <c:v>32</c:v>
                </c:pt>
                <c:pt idx="69">
                  <c:v>33</c:v>
                </c:pt>
                <c:pt idx="70">
                  <c:v>33</c:v>
                </c:pt>
                <c:pt idx="74">
                  <c:v>38</c:v>
                </c:pt>
                <c:pt idx="75">
                  <c:v>26</c:v>
                </c:pt>
                <c:pt idx="76">
                  <c:v>27</c:v>
                </c:pt>
                <c:pt idx="77">
                  <c:v>27</c:v>
                </c:pt>
                <c:pt idx="78">
                  <c:v>28</c:v>
                </c:pt>
                <c:pt idx="82">
                  <c:v>29</c:v>
                </c:pt>
                <c:pt idx="83">
                  <c:v>28</c:v>
                </c:pt>
                <c:pt idx="84">
                  <c:v>28</c:v>
                </c:pt>
                <c:pt idx="85">
                  <c:v>29</c:v>
                </c:pt>
                <c:pt idx="86">
                  <c:v>29</c:v>
                </c:pt>
                <c:pt idx="90">
                  <c:v>30</c:v>
                </c:pt>
                <c:pt idx="91">
                  <c:v>29</c:v>
                </c:pt>
                <c:pt idx="92">
                  <c:v>29</c:v>
                </c:pt>
                <c:pt idx="93">
                  <c:v>29</c:v>
                </c:pt>
                <c:pt idx="94">
                  <c:v>30</c:v>
                </c:pt>
                <c:pt idx="98">
                  <c:v>32</c:v>
                </c:pt>
                <c:pt idx="99">
                  <c:v>29</c:v>
                </c:pt>
                <c:pt idx="100">
                  <c:v>30</c:v>
                </c:pt>
                <c:pt idx="101">
                  <c:v>30</c:v>
                </c:pt>
                <c:pt idx="105">
                  <c:v>31</c:v>
                </c:pt>
                <c:pt idx="106">
                  <c:v>32</c:v>
                </c:pt>
                <c:pt idx="107">
                  <c:v>33</c:v>
                </c:pt>
                <c:pt idx="111">
                  <c:v>33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E3-45BC-A438-AB10BCD27C3A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All!$GH$6:$GH$124</c:f>
              <c:numCache>
                <c:formatCode>General</c:formatCode>
                <c:ptCount val="119"/>
                <c:pt idx="0">
                  <c:v>32.1</c:v>
                </c:pt>
                <c:pt idx="1">
                  <c:v>23.5</c:v>
                </c:pt>
                <c:pt idx="2">
                  <c:v>24.2</c:v>
                </c:pt>
                <c:pt idx="3">
                  <c:v>25.3</c:v>
                </c:pt>
                <c:pt idx="7">
                  <c:v>29.5</c:v>
                </c:pt>
                <c:pt idx="8">
                  <c:v>26.8</c:v>
                </c:pt>
                <c:pt idx="9">
                  <c:v>27.3</c:v>
                </c:pt>
                <c:pt idx="10">
                  <c:v>27.9</c:v>
                </c:pt>
                <c:pt idx="11">
                  <c:v>28.5</c:v>
                </c:pt>
                <c:pt idx="12">
                  <c:v>29.2</c:v>
                </c:pt>
                <c:pt idx="13">
                  <c:v>29.9</c:v>
                </c:pt>
                <c:pt idx="17">
                  <c:v>32.200000000000003</c:v>
                </c:pt>
                <c:pt idx="18">
                  <c:v>32.5</c:v>
                </c:pt>
                <c:pt idx="19">
                  <c:v>33.4</c:v>
                </c:pt>
                <c:pt idx="20">
                  <c:v>34.5</c:v>
                </c:pt>
                <c:pt idx="21">
                  <c:v>35.6</c:v>
                </c:pt>
                <c:pt idx="22">
                  <c:v>36.799999999999997</c:v>
                </c:pt>
                <c:pt idx="26">
                  <c:v>36.6</c:v>
                </c:pt>
                <c:pt idx="27">
                  <c:v>26.3</c:v>
                </c:pt>
                <c:pt idx="28">
                  <c:v>27</c:v>
                </c:pt>
                <c:pt idx="29">
                  <c:v>27.6</c:v>
                </c:pt>
                <c:pt idx="30">
                  <c:v>28.2</c:v>
                </c:pt>
                <c:pt idx="31">
                  <c:v>29</c:v>
                </c:pt>
                <c:pt idx="35">
                  <c:v>35.700000000000003</c:v>
                </c:pt>
                <c:pt idx="36">
                  <c:v>31.4</c:v>
                </c:pt>
                <c:pt idx="37">
                  <c:v>32.200000000000003</c:v>
                </c:pt>
                <c:pt idx="38">
                  <c:v>33.799999999999997</c:v>
                </c:pt>
                <c:pt idx="42">
                  <c:v>34.6</c:v>
                </c:pt>
                <c:pt idx="43">
                  <c:v>36.299999999999997</c:v>
                </c:pt>
                <c:pt idx="44">
                  <c:v>37</c:v>
                </c:pt>
                <c:pt idx="45">
                  <c:v>37.9</c:v>
                </c:pt>
                <c:pt idx="46">
                  <c:v>38.9</c:v>
                </c:pt>
                <c:pt idx="50">
                  <c:v>40.299999999999997</c:v>
                </c:pt>
                <c:pt idx="51">
                  <c:v>27.5</c:v>
                </c:pt>
                <c:pt idx="52">
                  <c:v>28.1</c:v>
                </c:pt>
                <c:pt idx="53">
                  <c:v>28.5</c:v>
                </c:pt>
                <c:pt idx="54">
                  <c:v>29</c:v>
                </c:pt>
                <c:pt idx="55">
                  <c:v>29.8</c:v>
                </c:pt>
                <c:pt idx="59">
                  <c:v>30.3</c:v>
                </c:pt>
                <c:pt idx="60">
                  <c:v>30.9</c:v>
                </c:pt>
                <c:pt idx="61">
                  <c:v>28.9</c:v>
                </c:pt>
                <c:pt idx="62">
                  <c:v>29.4</c:v>
                </c:pt>
                <c:pt idx="63">
                  <c:v>30</c:v>
                </c:pt>
                <c:pt idx="67">
                  <c:v>31.4</c:v>
                </c:pt>
                <c:pt idx="68">
                  <c:v>31.8</c:v>
                </c:pt>
                <c:pt idx="69">
                  <c:v>32.5</c:v>
                </c:pt>
                <c:pt idx="70">
                  <c:v>33.299999999999997</c:v>
                </c:pt>
                <c:pt idx="74">
                  <c:v>37.9</c:v>
                </c:pt>
                <c:pt idx="75">
                  <c:v>26.3</c:v>
                </c:pt>
                <c:pt idx="76">
                  <c:v>26.9</c:v>
                </c:pt>
                <c:pt idx="77">
                  <c:v>27.4</c:v>
                </c:pt>
                <c:pt idx="78">
                  <c:v>28.3</c:v>
                </c:pt>
                <c:pt idx="82">
                  <c:v>29</c:v>
                </c:pt>
                <c:pt idx="83">
                  <c:v>27.6</c:v>
                </c:pt>
                <c:pt idx="84">
                  <c:v>28.1</c:v>
                </c:pt>
                <c:pt idx="85">
                  <c:v>28.6</c:v>
                </c:pt>
                <c:pt idx="86">
                  <c:v>29.2</c:v>
                </c:pt>
                <c:pt idx="90">
                  <c:v>29.7</c:v>
                </c:pt>
                <c:pt idx="91">
                  <c:v>28.6</c:v>
                </c:pt>
                <c:pt idx="92">
                  <c:v>29.1</c:v>
                </c:pt>
                <c:pt idx="93">
                  <c:v>29.5</c:v>
                </c:pt>
                <c:pt idx="94">
                  <c:v>30.4</c:v>
                </c:pt>
                <c:pt idx="98">
                  <c:v>31.7</c:v>
                </c:pt>
                <c:pt idx="99">
                  <c:v>29.3</c:v>
                </c:pt>
                <c:pt idx="100">
                  <c:v>29.8</c:v>
                </c:pt>
                <c:pt idx="101">
                  <c:v>30.4</c:v>
                </c:pt>
                <c:pt idx="105">
                  <c:v>31.2</c:v>
                </c:pt>
                <c:pt idx="106">
                  <c:v>31.8</c:v>
                </c:pt>
                <c:pt idx="107">
                  <c:v>32.5</c:v>
                </c:pt>
                <c:pt idx="111">
                  <c:v>33.4</c:v>
                </c:pt>
                <c:pt idx="112">
                  <c:v>34.200000000000003</c:v>
                </c:pt>
                <c:pt idx="113">
                  <c:v>35</c:v>
                </c:pt>
                <c:pt idx="114">
                  <c:v>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E3-45BC-A438-AB10BCD27C3A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All!$GI$6:$GI$124</c:f>
              <c:numCache>
                <c:formatCode>General</c:formatCode>
                <c:ptCount val="119"/>
                <c:pt idx="0">
                  <c:v>71.400000000000006</c:v>
                </c:pt>
                <c:pt idx="1">
                  <c:v>49.2</c:v>
                </c:pt>
                <c:pt idx="2">
                  <c:v>47</c:v>
                </c:pt>
                <c:pt idx="3">
                  <c:v>47.1</c:v>
                </c:pt>
                <c:pt idx="7">
                  <c:v>70.3</c:v>
                </c:pt>
                <c:pt idx="8">
                  <c:v>52.7</c:v>
                </c:pt>
                <c:pt idx="9">
                  <c:v>48.2</c:v>
                </c:pt>
                <c:pt idx="10">
                  <c:v>48</c:v>
                </c:pt>
                <c:pt idx="11">
                  <c:v>48.2</c:v>
                </c:pt>
                <c:pt idx="12">
                  <c:v>48.2</c:v>
                </c:pt>
                <c:pt idx="13">
                  <c:v>48.5</c:v>
                </c:pt>
                <c:pt idx="17">
                  <c:v>60.5</c:v>
                </c:pt>
                <c:pt idx="18">
                  <c:v>51.1</c:v>
                </c:pt>
                <c:pt idx="19">
                  <c:v>48.6</c:v>
                </c:pt>
                <c:pt idx="20">
                  <c:v>49.2</c:v>
                </c:pt>
                <c:pt idx="21">
                  <c:v>49.4</c:v>
                </c:pt>
                <c:pt idx="22">
                  <c:v>49.4</c:v>
                </c:pt>
                <c:pt idx="26">
                  <c:v>56.1</c:v>
                </c:pt>
                <c:pt idx="27">
                  <c:v>48.8</c:v>
                </c:pt>
                <c:pt idx="28">
                  <c:v>47.6</c:v>
                </c:pt>
                <c:pt idx="29">
                  <c:v>47.7</c:v>
                </c:pt>
                <c:pt idx="30">
                  <c:v>47.6</c:v>
                </c:pt>
                <c:pt idx="31">
                  <c:v>47.9</c:v>
                </c:pt>
                <c:pt idx="35">
                  <c:v>82.2</c:v>
                </c:pt>
                <c:pt idx="36">
                  <c:v>55</c:v>
                </c:pt>
                <c:pt idx="37">
                  <c:v>48.9</c:v>
                </c:pt>
                <c:pt idx="38">
                  <c:v>50</c:v>
                </c:pt>
                <c:pt idx="42">
                  <c:v>50.8</c:v>
                </c:pt>
                <c:pt idx="43">
                  <c:v>51.7</c:v>
                </c:pt>
                <c:pt idx="44">
                  <c:v>48.7</c:v>
                </c:pt>
                <c:pt idx="45">
                  <c:v>49.3</c:v>
                </c:pt>
                <c:pt idx="46">
                  <c:v>49.7</c:v>
                </c:pt>
                <c:pt idx="50">
                  <c:v>77.2</c:v>
                </c:pt>
                <c:pt idx="51">
                  <c:v>50.1</c:v>
                </c:pt>
                <c:pt idx="52">
                  <c:v>49.4</c:v>
                </c:pt>
                <c:pt idx="53">
                  <c:v>46.6</c:v>
                </c:pt>
                <c:pt idx="54">
                  <c:v>46.8</c:v>
                </c:pt>
                <c:pt idx="55">
                  <c:v>47.3</c:v>
                </c:pt>
                <c:pt idx="59">
                  <c:v>48.1</c:v>
                </c:pt>
                <c:pt idx="60">
                  <c:v>53.2</c:v>
                </c:pt>
                <c:pt idx="61">
                  <c:v>47.8</c:v>
                </c:pt>
                <c:pt idx="62">
                  <c:v>46.8</c:v>
                </c:pt>
                <c:pt idx="63">
                  <c:v>47.1</c:v>
                </c:pt>
                <c:pt idx="67">
                  <c:v>55.7</c:v>
                </c:pt>
                <c:pt idx="68">
                  <c:v>48.8</c:v>
                </c:pt>
                <c:pt idx="69">
                  <c:v>47.6</c:v>
                </c:pt>
                <c:pt idx="70">
                  <c:v>47.8</c:v>
                </c:pt>
                <c:pt idx="74">
                  <c:v>74.2</c:v>
                </c:pt>
                <c:pt idx="75">
                  <c:v>48.7</c:v>
                </c:pt>
                <c:pt idx="76">
                  <c:v>44.9</c:v>
                </c:pt>
                <c:pt idx="77">
                  <c:v>44.8</c:v>
                </c:pt>
                <c:pt idx="78">
                  <c:v>44.8</c:v>
                </c:pt>
                <c:pt idx="82">
                  <c:v>49.8</c:v>
                </c:pt>
                <c:pt idx="83">
                  <c:v>45.8</c:v>
                </c:pt>
                <c:pt idx="84">
                  <c:v>45.2</c:v>
                </c:pt>
                <c:pt idx="85">
                  <c:v>45.6</c:v>
                </c:pt>
                <c:pt idx="86">
                  <c:v>45.5</c:v>
                </c:pt>
                <c:pt idx="90">
                  <c:v>50.5</c:v>
                </c:pt>
                <c:pt idx="91">
                  <c:v>46.7</c:v>
                </c:pt>
                <c:pt idx="92">
                  <c:v>46.9</c:v>
                </c:pt>
                <c:pt idx="93">
                  <c:v>45.7</c:v>
                </c:pt>
                <c:pt idx="94">
                  <c:v>50.5</c:v>
                </c:pt>
                <c:pt idx="98">
                  <c:v>63</c:v>
                </c:pt>
                <c:pt idx="99">
                  <c:v>48</c:v>
                </c:pt>
                <c:pt idx="100">
                  <c:v>45.8</c:v>
                </c:pt>
                <c:pt idx="101">
                  <c:v>45.9</c:v>
                </c:pt>
                <c:pt idx="105">
                  <c:v>49.7</c:v>
                </c:pt>
                <c:pt idx="106">
                  <c:v>46.9</c:v>
                </c:pt>
                <c:pt idx="107">
                  <c:v>46.4</c:v>
                </c:pt>
                <c:pt idx="111">
                  <c:v>50.5</c:v>
                </c:pt>
                <c:pt idx="112">
                  <c:v>47.1</c:v>
                </c:pt>
                <c:pt idx="113">
                  <c:v>46.9</c:v>
                </c:pt>
                <c:pt idx="114">
                  <c:v>49.6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E3-45BC-A438-AB10BCD27C3A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All!$GJ$6:$GJ$124</c:f>
              <c:numCache>
                <c:formatCode>General</c:formatCode>
                <c:ptCount val="119"/>
                <c:pt idx="0">
                  <c:v>71.599999999999994</c:v>
                </c:pt>
                <c:pt idx="1">
                  <c:v>53.6</c:v>
                </c:pt>
                <c:pt idx="2">
                  <c:v>51.4</c:v>
                </c:pt>
                <c:pt idx="3">
                  <c:v>51.7</c:v>
                </c:pt>
                <c:pt idx="7">
                  <c:v>75.099999999999994</c:v>
                </c:pt>
                <c:pt idx="8">
                  <c:v>57.6</c:v>
                </c:pt>
                <c:pt idx="9">
                  <c:v>53</c:v>
                </c:pt>
                <c:pt idx="10">
                  <c:v>52.7</c:v>
                </c:pt>
                <c:pt idx="11">
                  <c:v>53.4</c:v>
                </c:pt>
                <c:pt idx="12">
                  <c:v>53</c:v>
                </c:pt>
                <c:pt idx="13">
                  <c:v>53.3</c:v>
                </c:pt>
                <c:pt idx="17">
                  <c:v>65.8</c:v>
                </c:pt>
                <c:pt idx="18">
                  <c:v>56.6</c:v>
                </c:pt>
                <c:pt idx="19">
                  <c:v>53.4</c:v>
                </c:pt>
                <c:pt idx="20">
                  <c:v>54.2</c:v>
                </c:pt>
                <c:pt idx="21">
                  <c:v>54.4</c:v>
                </c:pt>
                <c:pt idx="22">
                  <c:v>54.7</c:v>
                </c:pt>
                <c:pt idx="26">
                  <c:v>60.3</c:v>
                </c:pt>
                <c:pt idx="27">
                  <c:v>54.3</c:v>
                </c:pt>
                <c:pt idx="28">
                  <c:v>52.6</c:v>
                </c:pt>
                <c:pt idx="29">
                  <c:v>52.8</c:v>
                </c:pt>
                <c:pt idx="30">
                  <c:v>52.8</c:v>
                </c:pt>
                <c:pt idx="31">
                  <c:v>53.3</c:v>
                </c:pt>
                <c:pt idx="35">
                  <c:v>83.6</c:v>
                </c:pt>
                <c:pt idx="36">
                  <c:v>58.7</c:v>
                </c:pt>
                <c:pt idx="37">
                  <c:v>54.1</c:v>
                </c:pt>
                <c:pt idx="38">
                  <c:v>56.5</c:v>
                </c:pt>
                <c:pt idx="42">
                  <c:v>56.8</c:v>
                </c:pt>
                <c:pt idx="43">
                  <c:v>58</c:v>
                </c:pt>
                <c:pt idx="44">
                  <c:v>54.5</c:v>
                </c:pt>
                <c:pt idx="45">
                  <c:v>54.3</c:v>
                </c:pt>
                <c:pt idx="46">
                  <c:v>54.8</c:v>
                </c:pt>
                <c:pt idx="50">
                  <c:v>77.5</c:v>
                </c:pt>
                <c:pt idx="51">
                  <c:v>54.3</c:v>
                </c:pt>
                <c:pt idx="52">
                  <c:v>56.1</c:v>
                </c:pt>
                <c:pt idx="53">
                  <c:v>52.3</c:v>
                </c:pt>
                <c:pt idx="54">
                  <c:v>51.6</c:v>
                </c:pt>
                <c:pt idx="55">
                  <c:v>52.7</c:v>
                </c:pt>
                <c:pt idx="59">
                  <c:v>53.4</c:v>
                </c:pt>
                <c:pt idx="60">
                  <c:v>58.1</c:v>
                </c:pt>
                <c:pt idx="61">
                  <c:v>53.2</c:v>
                </c:pt>
                <c:pt idx="62">
                  <c:v>51.5</c:v>
                </c:pt>
                <c:pt idx="63">
                  <c:v>51.9</c:v>
                </c:pt>
                <c:pt idx="67">
                  <c:v>59.9</c:v>
                </c:pt>
                <c:pt idx="68">
                  <c:v>54.2</c:v>
                </c:pt>
                <c:pt idx="69">
                  <c:v>52.5</c:v>
                </c:pt>
                <c:pt idx="70">
                  <c:v>52.7</c:v>
                </c:pt>
                <c:pt idx="74">
                  <c:v>75.5</c:v>
                </c:pt>
                <c:pt idx="75">
                  <c:v>53.5</c:v>
                </c:pt>
                <c:pt idx="76">
                  <c:v>49.9</c:v>
                </c:pt>
                <c:pt idx="77">
                  <c:v>50</c:v>
                </c:pt>
                <c:pt idx="78">
                  <c:v>50.2</c:v>
                </c:pt>
                <c:pt idx="82">
                  <c:v>55.8</c:v>
                </c:pt>
                <c:pt idx="83">
                  <c:v>51.2</c:v>
                </c:pt>
                <c:pt idx="84">
                  <c:v>50</c:v>
                </c:pt>
                <c:pt idx="85">
                  <c:v>50.5</c:v>
                </c:pt>
                <c:pt idx="86">
                  <c:v>50.9</c:v>
                </c:pt>
                <c:pt idx="90">
                  <c:v>55.8</c:v>
                </c:pt>
                <c:pt idx="91">
                  <c:v>52.4</c:v>
                </c:pt>
                <c:pt idx="92">
                  <c:v>52.4</c:v>
                </c:pt>
                <c:pt idx="93">
                  <c:v>51.3</c:v>
                </c:pt>
                <c:pt idx="94">
                  <c:v>57.2</c:v>
                </c:pt>
                <c:pt idx="98">
                  <c:v>68.099999999999994</c:v>
                </c:pt>
                <c:pt idx="99">
                  <c:v>53.6</c:v>
                </c:pt>
                <c:pt idx="100">
                  <c:v>50.6</c:v>
                </c:pt>
                <c:pt idx="101">
                  <c:v>51.2</c:v>
                </c:pt>
                <c:pt idx="105">
                  <c:v>55.3</c:v>
                </c:pt>
                <c:pt idx="106">
                  <c:v>52.1</c:v>
                </c:pt>
                <c:pt idx="107">
                  <c:v>51.2</c:v>
                </c:pt>
                <c:pt idx="111">
                  <c:v>55.7</c:v>
                </c:pt>
                <c:pt idx="112">
                  <c:v>52</c:v>
                </c:pt>
                <c:pt idx="113">
                  <c:v>51.8</c:v>
                </c:pt>
                <c:pt idx="114">
                  <c:v>56.4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E3-45BC-A438-AB10BCD27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99200"/>
        <c:axId val="423092960"/>
      </c:scatterChart>
      <c:valAx>
        <c:axId val="42309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092960"/>
        <c:crosses val="autoZero"/>
        <c:crossBetween val="midCat"/>
      </c:valAx>
      <c:valAx>
        <c:axId val="423092960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09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All!$ID$6:$ID$124</c:f>
              <c:numCache>
                <c:formatCode>General</c:formatCode>
                <c:ptCount val="119"/>
                <c:pt idx="0">
                  <c:v>-1.7999999999999999E-2</c:v>
                </c:pt>
                <c:pt idx="1">
                  <c:v>-0.19700000000000001</c:v>
                </c:pt>
                <c:pt idx="2">
                  <c:v>-0.24299999999999999</c:v>
                </c:pt>
                <c:pt idx="3">
                  <c:v>-0.215</c:v>
                </c:pt>
                <c:pt idx="7">
                  <c:v>-0.151</c:v>
                </c:pt>
                <c:pt idx="8">
                  <c:v>-0.26400000000000001</c:v>
                </c:pt>
                <c:pt idx="9">
                  <c:v>-0.26</c:v>
                </c:pt>
                <c:pt idx="10">
                  <c:v>-0.25</c:v>
                </c:pt>
                <c:pt idx="11">
                  <c:v>-0.222</c:v>
                </c:pt>
                <c:pt idx="12">
                  <c:v>-0.28199999999999997</c:v>
                </c:pt>
                <c:pt idx="13">
                  <c:v>-0.23400000000000001</c:v>
                </c:pt>
                <c:pt idx="17">
                  <c:v>-0.11899999999999999</c:v>
                </c:pt>
                <c:pt idx="18">
                  <c:v>-0.28599999999999998</c:v>
                </c:pt>
                <c:pt idx="19">
                  <c:v>-0.28599999999999998</c:v>
                </c:pt>
                <c:pt idx="20">
                  <c:v>-0.28699999999999998</c:v>
                </c:pt>
                <c:pt idx="21">
                  <c:v>-0.30299999999999999</c:v>
                </c:pt>
                <c:pt idx="22">
                  <c:v>-0.24099999999999999</c:v>
                </c:pt>
                <c:pt idx="26">
                  <c:v>-0.189</c:v>
                </c:pt>
                <c:pt idx="27">
                  <c:v>-0.26900000000000002</c:v>
                </c:pt>
                <c:pt idx="28">
                  <c:v>-0.28199999999999997</c:v>
                </c:pt>
                <c:pt idx="29">
                  <c:v>-0.25900000000000001</c:v>
                </c:pt>
                <c:pt idx="30">
                  <c:v>-0.30399999999999999</c:v>
                </c:pt>
                <c:pt idx="31">
                  <c:v>-0.191</c:v>
                </c:pt>
                <c:pt idx="35">
                  <c:v>-4.2000000000000003E-2</c:v>
                </c:pt>
                <c:pt idx="36">
                  <c:v>-0.378</c:v>
                </c:pt>
                <c:pt idx="37">
                  <c:v>-0.32900000000000001</c:v>
                </c:pt>
                <c:pt idx="38">
                  <c:v>-5.3999999999999999E-2</c:v>
                </c:pt>
                <c:pt idx="42">
                  <c:v>-4.3999999999999997E-2</c:v>
                </c:pt>
                <c:pt idx="43">
                  <c:v>-0.11799999999999999</c:v>
                </c:pt>
                <c:pt idx="44">
                  <c:v>-0.315</c:v>
                </c:pt>
                <c:pt idx="45">
                  <c:v>-0.39100000000000001</c:v>
                </c:pt>
                <c:pt idx="46">
                  <c:v>-0.318</c:v>
                </c:pt>
                <c:pt idx="50">
                  <c:v>-5.8999999999999997E-2</c:v>
                </c:pt>
                <c:pt idx="51">
                  <c:v>-0.19700000000000001</c:v>
                </c:pt>
                <c:pt idx="52">
                  <c:v>-0.11799999999999999</c:v>
                </c:pt>
                <c:pt idx="53">
                  <c:v>-0.39300000000000002</c:v>
                </c:pt>
                <c:pt idx="54">
                  <c:v>-0.36399999999999999</c:v>
                </c:pt>
                <c:pt idx="55">
                  <c:v>-0.21099999999999999</c:v>
                </c:pt>
                <c:pt idx="59">
                  <c:v>0</c:v>
                </c:pt>
                <c:pt idx="60">
                  <c:v>-0.18</c:v>
                </c:pt>
                <c:pt idx="61">
                  <c:v>-0.36799999999999999</c:v>
                </c:pt>
                <c:pt idx="62">
                  <c:v>-0.40600000000000003</c:v>
                </c:pt>
                <c:pt idx="63">
                  <c:v>-0.31900000000000001</c:v>
                </c:pt>
                <c:pt idx="67">
                  <c:v>-0.19</c:v>
                </c:pt>
                <c:pt idx="68">
                  <c:v>-0.33500000000000002</c:v>
                </c:pt>
                <c:pt idx="69">
                  <c:v>-0.39900000000000002</c:v>
                </c:pt>
                <c:pt idx="70">
                  <c:v>-0.249</c:v>
                </c:pt>
                <c:pt idx="74">
                  <c:v>-8.1000000000000003E-2</c:v>
                </c:pt>
                <c:pt idx="75">
                  <c:v>-0.44600000000000001</c:v>
                </c:pt>
                <c:pt idx="76">
                  <c:v>-0.373</c:v>
                </c:pt>
                <c:pt idx="77">
                  <c:v>-0.46200000000000002</c:v>
                </c:pt>
                <c:pt idx="78">
                  <c:v>-0.36099999999999999</c:v>
                </c:pt>
                <c:pt idx="82">
                  <c:v>-0.23100000000000001</c:v>
                </c:pt>
                <c:pt idx="83">
                  <c:v>-0.39600000000000002</c:v>
                </c:pt>
                <c:pt idx="84">
                  <c:v>-0.42099999999999999</c:v>
                </c:pt>
                <c:pt idx="85">
                  <c:v>-0.41599999999999998</c:v>
                </c:pt>
                <c:pt idx="86">
                  <c:v>-0.30599999999999999</c:v>
                </c:pt>
                <c:pt idx="90">
                  <c:v>-0.154</c:v>
                </c:pt>
                <c:pt idx="91">
                  <c:v>-0.22600000000000001</c:v>
                </c:pt>
                <c:pt idx="92">
                  <c:v>-0.11700000000000001</c:v>
                </c:pt>
                <c:pt idx="93">
                  <c:v>-0.14299999999999999</c:v>
                </c:pt>
                <c:pt idx="94">
                  <c:v>-4.5999999999999999E-2</c:v>
                </c:pt>
                <c:pt idx="98">
                  <c:v>-0.34799999999999998</c:v>
                </c:pt>
                <c:pt idx="99">
                  <c:v>-0.50700000000000001</c:v>
                </c:pt>
                <c:pt idx="100">
                  <c:v>-0.45100000000000001</c:v>
                </c:pt>
                <c:pt idx="101">
                  <c:v>-0.373</c:v>
                </c:pt>
                <c:pt idx="105">
                  <c:v>-0.19700000000000001</c:v>
                </c:pt>
                <c:pt idx="106">
                  <c:v>-0.26500000000000001</c:v>
                </c:pt>
                <c:pt idx="107">
                  <c:v>-0.29799999999999999</c:v>
                </c:pt>
                <c:pt idx="111">
                  <c:v>-0.23300000000000001</c:v>
                </c:pt>
                <c:pt idx="112">
                  <c:v>-0.38700000000000001</c:v>
                </c:pt>
                <c:pt idx="113">
                  <c:v>-0.41199999999999998</c:v>
                </c:pt>
                <c:pt idx="11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4E-4CF7-8E2C-DCCA150660B7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All!$IE$6:$IE$124</c:f>
              <c:numCache>
                <c:formatCode>General</c:formatCode>
                <c:ptCount val="119"/>
                <c:pt idx="0">
                  <c:v>-8.9999999999999993E-3</c:v>
                </c:pt>
                <c:pt idx="1">
                  <c:v>-7.2999999999999995E-2</c:v>
                </c:pt>
                <c:pt idx="2">
                  <c:v>-7.9000000000000001E-2</c:v>
                </c:pt>
                <c:pt idx="3">
                  <c:v>-7.0000000000000007E-2</c:v>
                </c:pt>
                <c:pt idx="7">
                  <c:v>-3.3000000000000002E-2</c:v>
                </c:pt>
                <c:pt idx="8">
                  <c:v>-8.5999999999999993E-2</c:v>
                </c:pt>
                <c:pt idx="9">
                  <c:v>-8.5999999999999993E-2</c:v>
                </c:pt>
                <c:pt idx="10">
                  <c:v>-7.3999999999999996E-2</c:v>
                </c:pt>
                <c:pt idx="11">
                  <c:v>-7.6999999999999999E-2</c:v>
                </c:pt>
                <c:pt idx="12">
                  <c:v>-8.6999999999999994E-2</c:v>
                </c:pt>
                <c:pt idx="13">
                  <c:v>-7.6999999999999999E-2</c:v>
                </c:pt>
                <c:pt idx="17">
                  <c:v>-3.9E-2</c:v>
                </c:pt>
                <c:pt idx="18">
                  <c:v>-0.108</c:v>
                </c:pt>
                <c:pt idx="19">
                  <c:v>-9.6000000000000002E-2</c:v>
                </c:pt>
                <c:pt idx="20">
                  <c:v>-0.08</c:v>
                </c:pt>
                <c:pt idx="21">
                  <c:v>-0.109</c:v>
                </c:pt>
                <c:pt idx="22">
                  <c:v>-8.7999999999999995E-2</c:v>
                </c:pt>
                <c:pt idx="26">
                  <c:v>-6.0999999999999999E-2</c:v>
                </c:pt>
                <c:pt idx="27">
                  <c:v>-0.10100000000000001</c:v>
                </c:pt>
                <c:pt idx="28">
                  <c:v>-0.106</c:v>
                </c:pt>
                <c:pt idx="29">
                  <c:v>-9.6000000000000002E-2</c:v>
                </c:pt>
                <c:pt idx="30">
                  <c:v>-0.11700000000000001</c:v>
                </c:pt>
                <c:pt idx="31">
                  <c:v>-7.5999999999999998E-2</c:v>
                </c:pt>
                <c:pt idx="35">
                  <c:v>-1.7999999999999999E-2</c:v>
                </c:pt>
                <c:pt idx="36">
                  <c:v>-0.16500000000000001</c:v>
                </c:pt>
                <c:pt idx="37">
                  <c:v>-0.14299999999999999</c:v>
                </c:pt>
                <c:pt idx="38">
                  <c:v>-2.4E-2</c:v>
                </c:pt>
                <c:pt idx="42">
                  <c:v>-1.7999999999999999E-2</c:v>
                </c:pt>
                <c:pt idx="43">
                  <c:v>-4.7E-2</c:v>
                </c:pt>
                <c:pt idx="44">
                  <c:v>-0.13800000000000001</c:v>
                </c:pt>
                <c:pt idx="45">
                  <c:v>-0.152</c:v>
                </c:pt>
                <c:pt idx="46">
                  <c:v>-0.129</c:v>
                </c:pt>
                <c:pt idx="50">
                  <c:v>-3.6999999999999998E-2</c:v>
                </c:pt>
                <c:pt idx="51">
                  <c:v>-0.111</c:v>
                </c:pt>
                <c:pt idx="52">
                  <c:v>-5.6000000000000001E-2</c:v>
                </c:pt>
                <c:pt idx="53">
                  <c:v>-0.20100000000000001</c:v>
                </c:pt>
                <c:pt idx="54">
                  <c:v>-0.17799999999999999</c:v>
                </c:pt>
                <c:pt idx="55">
                  <c:v>-0.10199999999999999</c:v>
                </c:pt>
                <c:pt idx="59">
                  <c:v>0</c:v>
                </c:pt>
                <c:pt idx="60">
                  <c:v>-8.3000000000000004E-2</c:v>
                </c:pt>
                <c:pt idx="61">
                  <c:v>-0.17799999999999999</c:v>
                </c:pt>
                <c:pt idx="62">
                  <c:v>-0.19800000000000001</c:v>
                </c:pt>
                <c:pt idx="63">
                  <c:v>-0.151</c:v>
                </c:pt>
                <c:pt idx="67">
                  <c:v>-7.6999999999999999E-2</c:v>
                </c:pt>
                <c:pt idx="68">
                  <c:v>-0.13600000000000001</c:v>
                </c:pt>
                <c:pt idx="69">
                  <c:v>-0.159</c:v>
                </c:pt>
                <c:pt idx="70">
                  <c:v>-0.11</c:v>
                </c:pt>
                <c:pt idx="74">
                  <c:v>-4.9000000000000002E-2</c:v>
                </c:pt>
                <c:pt idx="75">
                  <c:v>-0.26300000000000001</c:v>
                </c:pt>
                <c:pt idx="76">
                  <c:v>-0.222</c:v>
                </c:pt>
                <c:pt idx="77">
                  <c:v>-0.26800000000000002</c:v>
                </c:pt>
                <c:pt idx="78">
                  <c:v>-0.20300000000000001</c:v>
                </c:pt>
                <c:pt idx="82">
                  <c:v>-0.125</c:v>
                </c:pt>
                <c:pt idx="83">
                  <c:v>-0.23100000000000001</c:v>
                </c:pt>
                <c:pt idx="84">
                  <c:v>-0.23400000000000001</c:v>
                </c:pt>
                <c:pt idx="85">
                  <c:v>-0.23499999999999999</c:v>
                </c:pt>
                <c:pt idx="86">
                  <c:v>-0.17100000000000001</c:v>
                </c:pt>
                <c:pt idx="90">
                  <c:v>-8.1000000000000003E-2</c:v>
                </c:pt>
                <c:pt idx="91">
                  <c:v>-0.124</c:v>
                </c:pt>
                <c:pt idx="92">
                  <c:v>-6.3E-2</c:v>
                </c:pt>
                <c:pt idx="93">
                  <c:v>-8.4000000000000005E-2</c:v>
                </c:pt>
                <c:pt idx="94">
                  <c:v>-2.5999999999999999E-2</c:v>
                </c:pt>
                <c:pt idx="98">
                  <c:v>-0.193</c:v>
                </c:pt>
                <c:pt idx="99">
                  <c:v>-0.26600000000000001</c:v>
                </c:pt>
                <c:pt idx="100">
                  <c:v>-0.23</c:v>
                </c:pt>
                <c:pt idx="101">
                  <c:v>-0.191</c:v>
                </c:pt>
                <c:pt idx="105">
                  <c:v>-0.10100000000000001</c:v>
                </c:pt>
                <c:pt idx="106">
                  <c:v>-0.14499999999999999</c:v>
                </c:pt>
                <c:pt idx="107">
                  <c:v>-0.16200000000000001</c:v>
                </c:pt>
                <c:pt idx="111">
                  <c:v>-0.122</c:v>
                </c:pt>
                <c:pt idx="112">
                  <c:v>-0.215</c:v>
                </c:pt>
                <c:pt idx="113">
                  <c:v>-0.21099999999999999</c:v>
                </c:pt>
                <c:pt idx="114">
                  <c:v>-5.8999999999999997E-2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4E-4CF7-8E2C-DCCA150660B7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All!$IJ$6:$IJ$124</c:f>
              <c:numCache>
                <c:formatCode>General</c:formatCode>
                <c:ptCount val="119"/>
                <c:pt idx="0">
                  <c:v>-1E-3</c:v>
                </c:pt>
                <c:pt idx="1">
                  <c:v>-7.3999999999999996E-2</c:v>
                </c:pt>
                <c:pt idx="2">
                  <c:v>-8.5000000000000006E-2</c:v>
                </c:pt>
                <c:pt idx="3">
                  <c:v>-6.7000000000000004E-2</c:v>
                </c:pt>
                <c:pt idx="7">
                  <c:v>8.4000000000000005E-2</c:v>
                </c:pt>
                <c:pt idx="8">
                  <c:v>1.0999999999999999E-2</c:v>
                </c:pt>
                <c:pt idx="9">
                  <c:v>-2.7E-2</c:v>
                </c:pt>
                <c:pt idx="10">
                  <c:v>-2.4E-2</c:v>
                </c:pt>
                <c:pt idx="11">
                  <c:v>6.0999999999999999E-2</c:v>
                </c:pt>
                <c:pt idx="12">
                  <c:v>2.1000000000000001E-2</c:v>
                </c:pt>
                <c:pt idx="13">
                  <c:v>8.0000000000000002E-3</c:v>
                </c:pt>
                <c:pt idx="17">
                  <c:v>5.2999999999999999E-2</c:v>
                </c:pt>
                <c:pt idx="18">
                  <c:v>-0.09</c:v>
                </c:pt>
                <c:pt idx="19">
                  <c:v>-0.111</c:v>
                </c:pt>
                <c:pt idx="20">
                  <c:v>-6.3E-2</c:v>
                </c:pt>
                <c:pt idx="21">
                  <c:v>-0.104</c:v>
                </c:pt>
                <c:pt idx="22">
                  <c:v>-0.09</c:v>
                </c:pt>
                <c:pt idx="26">
                  <c:v>-3.9E-2</c:v>
                </c:pt>
                <c:pt idx="27">
                  <c:v>-6.3E-2</c:v>
                </c:pt>
                <c:pt idx="28">
                  <c:v>-7.6999999999999999E-2</c:v>
                </c:pt>
                <c:pt idx="29">
                  <c:v>-7.9000000000000001E-2</c:v>
                </c:pt>
                <c:pt idx="30">
                  <c:v>-0.124</c:v>
                </c:pt>
                <c:pt idx="31">
                  <c:v>-5.3999999999999999E-2</c:v>
                </c:pt>
                <c:pt idx="35">
                  <c:v>2.1999999999999999E-2</c:v>
                </c:pt>
                <c:pt idx="36">
                  <c:v>0.107</c:v>
                </c:pt>
                <c:pt idx="37">
                  <c:v>9.9000000000000005E-2</c:v>
                </c:pt>
                <c:pt idx="38">
                  <c:v>5.7000000000000002E-2</c:v>
                </c:pt>
                <c:pt idx="42">
                  <c:v>1.9E-2</c:v>
                </c:pt>
                <c:pt idx="43">
                  <c:v>9.0999999999999998E-2</c:v>
                </c:pt>
                <c:pt idx="44">
                  <c:v>7.3999999999999996E-2</c:v>
                </c:pt>
                <c:pt idx="45">
                  <c:v>5.8000000000000003E-2</c:v>
                </c:pt>
                <c:pt idx="46">
                  <c:v>6.3E-2</c:v>
                </c:pt>
                <c:pt idx="50">
                  <c:v>7.0000000000000001E-3</c:v>
                </c:pt>
                <c:pt idx="51">
                  <c:v>8.9999999999999993E-3</c:v>
                </c:pt>
                <c:pt idx="52">
                  <c:v>7.0000000000000007E-2</c:v>
                </c:pt>
                <c:pt idx="53">
                  <c:v>3.2000000000000001E-2</c:v>
                </c:pt>
                <c:pt idx="54">
                  <c:v>-1.4999999999999999E-2</c:v>
                </c:pt>
                <c:pt idx="55">
                  <c:v>7.4999999999999997E-2</c:v>
                </c:pt>
                <c:pt idx="59">
                  <c:v>0</c:v>
                </c:pt>
                <c:pt idx="60">
                  <c:v>1.2E-2</c:v>
                </c:pt>
                <c:pt idx="61">
                  <c:v>1.6E-2</c:v>
                </c:pt>
                <c:pt idx="62">
                  <c:v>-0.01</c:v>
                </c:pt>
                <c:pt idx="63">
                  <c:v>-4.0000000000000001E-3</c:v>
                </c:pt>
                <c:pt idx="67">
                  <c:v>2.8000000000000001E-2</c:v>
                </c:pt>
                <c:pt idx="68">
                  <c:v>-2.1000000000000001E-2</c:v>
                </c:pt>
                <c:pt idx="69">
                  <c:v>-0.02</c:v>
                </c:pt>
                <c:pt idx="70">
                  <c:v>2E-3</c:v>
                </c:pt>
                <c:pt idx="74">
                  <c:v>-7.0000000000000001E-3</c:v>
                </c:pt>
                <c:pt idx="75">
                  <c:v>-2.3E-2</c:v>
                </c:pt>
                <c:pt idx="76">
                  <c:v>1.4E-2</c:v>
                </c:pt>
                <c:pt idx="77">
                  <c:v>-1.9E-2</c:v>
                </c:pt>
                <c:pt idx="78">
                  <c:v>-0.03</c:v>
                </c:pt>
                <c:pt idx="82">
                  <c:v>5.0000000000000001E-3</c:v>
                </c:pt>
                <c:pt idx="83">
                  <c:v>-3.1E-2</c:v>
                </c:pt>
                <c:pt idx="84">
                  <c:v>-3.3000000000000002E-2</c:v>
                </c:pt>
                <c:pt idx="85">
                  <c:v>-1.6E-2</c:v>
                </c:pt>
                <c:pt idx="86">
                  <c:v>-3.7999999999999999E-2</c:v>
                </c:pt>
                <c:pt idx="90">
                  <c:v>-1E-3</c:v>
                </c:pt>
                <c:pt idx="91">
                  <c:v>-8.0000000000000002E-3</c:v>
                </c:pt>
                <c:pt idx="92">
                  <c:v>2E-3</c:v>
                </c:pt>
                <c:pt idx="93">
                  <c:v>-2.3E-2</c:v>
                </c:pt>
                <c:pt idx="94">
                  <c:v>-1.4999999999999999E-2</c:v>
                </c:pt>
                <c:pt idx="98">
                  <c:v>-3.2000000000000001E-2</c:v>
                </c:pt>
                <c:pt idx="99">
                  <c:v>-0.06</c:v>
                </c:pt>
                <c:pt idx="100">
                  <c:v>-9.9000000000000005E-2</c:v>
                </c:pt>
                <c:pt idx="101">
                  <c:v>-4.5999999999999999E-2</c:v>
                </c:pt>
                <c:pt idx="105">
                  <c:v>-8.0000000000000002E-3</c:v>
                </c:pt>
                <c:pt idx="106">
                  <c:v>-6.0999999999999999E-2</c:v>
                </c:pt>
                <c:pt idx="107">
                  <c:v>-6.9000000000000006E-2</c:v>
                </c:pt>
                <c:pt idx="111">
                  <c:v>-1.2E-2</c:v>
                </c:pt>
                <c:pt idx="112">
                  <c:v>-5.0999999999999997E-2</c:v>
                </c:pt>
                <c:pt idx="113">
                  <c:v>-2.1000000000000001E-2</c:v>
                </c:pt>
                <c:pt idx="114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E-4CF7-8E2C-DCCA150660B7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All!$IK$6:$IK$124</c:f>
              <c:numCache>
                <c:formatCode>General</c:formatCode>
                <c:ptCount val="119"/>
                <c:pt idx="0">
                  <c:v>-6.0000000000000001E-3</c:v>
                </c:pt>
                <c:pt idx="1">
                  <c:v>-0.122</c:v>
                </c:pt>
                <c:pt idx="2">
                  <c:v>-0.16500000000000001</c:v>
                </c:pt>
                <c:pt idx="3">
                  <c:v>-0.14299999999999999</c:v>
                </c:pt>
                <c:pt idx="7">
                  <c:v>-5.0000000000000001E-3</c:v>
                </c:pt>
                <c:pt idx="8">
                  <c:v>-0.11600000000000001</c:v>
                </c:pt>
                <c:pt idx="9">
                  <c:v>-0.153</c:v>
                </c:pt>
                <c:pt idx="10">
                  <c:v>-0.13</c:v>
                </c:pt>
                <c:pt idx="11">
                  <c:v>-3.5999999999999997E-2</c:v>
                </c:pt>
                <c:pt idx="12">
                  <c:v>-8.4000000000000005E-2</c:v>
                </c:pt>
                <c:pt idx="13">
                  <c:v>-8.7999999999999995E-2</c:v>
                </c:pt>
                <c:pt idx="17">
                  <c:v>1E-3</c:v>
                </c:pt>
                <c:pt idx="18">
                  <c:v>-0.20200000000000001</c:v>
                </c:pt>
                <c:pt idx="19">
                  <c:v>-0.25600000000000001</c:v>
                </c:pt>
                <c:pt idx="20">
                  <c:v>-0.22700000000000001</c:v>
                </c:pt>
                <c:pt idx="21">
                  <c:v>-0.23100000000000001</c:v>
                </c:pt>
                <c:pt idx="22">
                  <c:v>-0.19400000000000001</c:v>
                </c:pt>
                <c:pt idx="26">
                  <c:v>-0.11899999999999999</c:v>
                </c:pt>
                <c:pt idx="27">
                  <c:v>-0.18</c:v>
                </c:pt>
                <c:pt idx="28">
                  <c:v>-0.20699999999999999</c:v>
                </c:pt>
                <c:pt idx="29">
                  <c:v>-0.20200000000000001</c:v>
                </c:pt>
                <c:pt idx="30">
                  <c:v>-0.23499999999999999</c:v>
                </c:pt>
                <c:pt idx="31">
                  <c:v>-0.11899999999999999</c:v>
                </c:pt>
                <c:pt idx="35">
                  <c:v>1.2999999999999999E-2</c:v>
                </c:pt>
                <c:pt idx="36">
                  <c:v>3.5999999999999997E-2</c:v>
                </c:pt>
                <c:pt idx="37">
                  <c:v>1.9E-2</c:v>
                </c:pt>
                <c:pt idx="38">
                  <c:v>5.3999999999999999E-2</c:v>
                </c:pt>
                <c:pt idx="42">
                  <c:v>0.01</c:v>
                </c:pt>
                <c:pt idx="43">
                  <c:v>6.2E-2</c:v>
                </c:pt>
                <c:pt idx="44">
                  <c:v>-8.0000000000000002E-3</c:v>
                </c:pt>
                <c:pt idx="45">
                  <c:v>-4.4999999999999998E-2</c:v>
                </c:pt>
                <c:pt idx="46">
                  <c:v>-3.4000000000000002E-2</c:v>
                </c:pt>
                <c:pt idx="50">
                  <c:v>-0.01</c:v>
                </c:pt>
                <c:pt idx="51">
                  <c:v>-4.0000000000000001E-3</c:v>
                </c:pt>
                <c:pt idx="52">
                  <c:v>0.04</c:v>
                </c:pt>
                <c:pt idx="53">
                  <c:v>-5.1999999999999998E-2</c:v>
                </c:pt>
                <c:pt idx="54">
                  <c:v>-7.0000000000000007E-2</c:v>
                </c:pt>
                <c:pt idx="55">
                  <c:v>4.9000000000000002E-2</c:v>
                </c:pt>
                <c:pt idx="59">
                  <c:v>0</c:v>
                </c:pt>
                <c:pt idx="60">
                  <c:v>2.8000000000000001E-2</c:v>
                </c:pt>
                <c:pt idx="61">
                  <c:v>2.5000000000000001E-2</c:v>
                </c:pt>
                <c:pt idx="62">
                  <c:v>3.9E-2</c:v>
                </c:pt>
                <c:pt idx="63">
                  <c:v>1.9E-2</c:v>
                </c:pt>
                <c:pt idx="67">
                  <c:v>2.7E-2</c:v>
                </c:pt>
                <c:pt idx="68">
                  <c:v>1.6E-2</c:v>
                </c:pt>
                <c:pt idx="69">
                  <c:v>0</c:v>
                </c:pt>
                <c:pt idx="70">
                  <c:v>0</c:v>
                </c:pt>
                <c:pt idx="74">
                  <c:v>-7.0000000000000001E-3</c:v>
                </c:pt>
                <c:pt idx="75">
                  <c:v>-1E-3</c:v>
                </c:pt>
                <c:pt idx="76">
                  <c:v>0.02</c:v>
                </c:pt>
                <c:pt idx="77">
                  <c:v>1E-3</c:v>
                </c:pt>
                <c:pt idx="78">
                  <c:v>2.1999999999999999E-2</c:v>
                </c:pt>
                <c:pt idx="82">
                  <c:v>2.5000000000000001E-2</c:v>
                </c:pt>
                <c:pt idx="83">
                  <c:v>4.8000000000000001E-2</c:v>
                </c:pt>
                <c:pt idx="84">
                  <c:v>5.7000000000000002E-2</c:v>
                </c:pt>
                <c:pt idx="85">
                  <c:v>3.7999999999999999E-2</c:v>
                </c:pt>
                <c:pt idx="86">
                  <c:v>2E-3</c:v>
                </c:pt>
                <c:pt idx="90">
                  <c:v>7.0000000000000001E-3</c:v>
                </c:pt>
                <c:pt idx="91">
                  <c:v>5.1999999999999998E-2</c:v>
                </c:pt>
                <c:pt idx="92">
                  <c:v>3.2000000000000001E-2</c:v>
                </c:pt>
                <c:pt idx="93">
                  <c:v>2.1000000000000001E-2</c:v>
                </c:pt>
                <c:pt idx="94">
                  <c:v>4.0000000000000001E-3</c:v>
                </c:pt>
                <c:pt idx="98">
                  <c:v>4.4999999999999998E-2</c:v>
                </c:pt>
                <c:pt idx="99">
                  <c:v>4.9000000000000002E-2</c:v>
                </c:pt>
                <c:pt idx="100">
                  <c:v>6.3E-2</c:v>
                </c:pt>
                <c:pt idx="101">
                  <c:v>1.2999999999999999E-2</c:v>
                </c:pt>
                <c:pt idx="105">
                  <c:v>2.1000000000000001E-2</c:v>
                </c:pt>
                <c:pt idx="106">
                  <c:v>-1.7999999999999999E-2</c:v>
                </c:pt>
                <c:pt idx="107">
                  <c:v>-1.7000000000000001E-2</c:v>
                </c:pt>
                <c:pt idx="111">
                  <c:v>8.0000000000000002E-3</c:v>
                </c:pt>
                <c:pt idx="112">
                  <c:v>3.0000000000000001E-3</c:v>
                </c:pt>
                <c:pt idx="113">
                  <c:v>4.4999999999999998E-2</c:v>
                </c:pt>
                <c:pt idx="114">
                  <c:v>7.0000000000000001E-3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E-4CF7-8E2C-DCCA150660B7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All!$IO$6:$IO$124</c:f>
              <c:numCache>
                <c:formatCode>General</c:formatCode>
                <c:ptCount val="119"/>
                <c:pt idx="0">
                  <c:v>8.2000000000000003E-2</c:v>
                </c:pt>
                <c:pt idx="1">
                  <c:v>0.41699999999999998</c:v>
                </c:pt>
                <c:pt idx="2">
                  <c:v>0.47499999999999998</c:v>
                </c:pt>
                <c:pt idx="3">
                  <c:v>0.374</c:v>
                </c:pt>
                <c:pt idx="7">
                  <c:v>0.39700000000000002</c:v>
                </c:pt>
                <c:pt idx="8">
                  <c:v>0.74399999999999999</c:v>
                </c:pt>
                <c:pt idx="9">
                  <c:v>0.59299999999999997</c:v>
                </c:pt>
                <c:pt idx="10">
                  <c:v>0.57399999999999995</c:v>
                </c:pt>
                <c:pt idx="11">
                  <c:v>0.42599999999999999</c:v>
                </c:pt>
                <c:pt idx="12">
                  <c:v>0.57199999999999995</c:v>
                </c:pt>
                <c:pt idx="13">
                  <c:v>0.54600000000000004</c:v>
                </c:pt>
                <c:pt idx="17">
                  <c:v>0.317</c:v>
                </c:pt>
                <c:pt idx="18">
                  <c:v>0.495</c:v>
                </c:pt>
                <c:pt idx="19">
                  <c:v>0.59699999999999998</c:v>
                </c:pt>
                <c:pt idx="20">
                  <c:v>0.58899999999999997</c:v>
                </c:pt>
                <c:pt idx="21">
                  <c:v>0.57499999999999996</c:v>
                </c:pt>
                <c:pt idx="22">
                  <c:v>0.45800000000000002</c:v>
                </c:pt>
                <c:pt idx="26">
                  <c:v>0.48799999999999999</c:v>
                </c:pt>
                <c:pt idx="27">
                  <c:v>0.51300000000000001</c:v>
                </c:pt>
                <c:pt idx="28">
                  <c:v>0.58699999999999997</c:v>
                </c:pt>
                <c:pt idx="29">
                  <c:v>0.621</c:v>
                </c:pt>
                <c:pt idx="30">
                  <c:v>0.60299999999999998</c:v>
                </c:pt>
                <c:pt idx="31">
                  <c:v>0.496</c:v>
                </c:pt>
                <c:pt idx="35">
                  <c:v>5.6000000000000001E-2</c:v>
                </c:pt>
                <c:pt idx="36">
                  <c:v>0.32200000000000001</c:v>
                </c:pt>
                <c:pt idx="37">
                  <c:v>0.32800000000000001</c:v>
                </c:pt>
                <c:pt idx="38">
                  <c:v>0.114</c:v>
                </c:pt>
                <c:pt idx="42">
                  <c:v>9.2999999999999999E-2</c:v>
                </c:pt>
                <c:pt idx="43">
                  <c:v>0.14099999999999999</c:v>
                </c:pt>
                <c:pt idx="44">
                  <c:v>0.32300000000000001</c:v>
                </c:pt>
                <c:pt idx="45">
                  <c:v>0.34399999999999997</c:v>
                </c:pt>
                <c:pt idx="46">
                  <c:v>0.32500000000000001</c:v>
                </c:pt>
                <c:pt idx="50">
                  <c:v>9.2999999999999999E-2</c:v>
                </c:pt>
                <c:pt idx="51">
                  <c:v>0.10100000000000001</c:v>
                </c:pt>
                <c:pt idx="52">
                  <c:v>0.106</c:v>
                </c:pt>
                <c:pt idx="53">
                  <c:v>0.26200000000000001</c:v>
                </c:pt>
                <c:pt idx="54">
                  <c:v>0.22800000000000001</c:v>
                </c:pt>
                <c:pt idx="55">
                  <c:v>0.14799999999999999</c:v>
                </c:pt>
                <c:pt idx="59">
                  <c:v>0</c:v>
                </c:pt>
                <c:pt idx="60">
                  <c:v>0.13600000000000001</c:v>
                </c:pt>
                <c:pt idx="61">
                  <c:v>0.26300000000000001</c:v>
                </c:pt>
                <c:pt idx="62">
                  <c:v>0.27300000000000002</c:v>
                </c:pt>
                <c:pt idx="63">
                  <c:v>0.23300000000000001</c:v>
                </c:pt>
                <c:pt idx="67">
                  <c:v>0.16300000000000001</c:v>
                </c:pt>
                <c:pt idx="68">
                  <c:v>0.23100000000000001</c:v>
                </c:pt>
                <c:pt idx="69">
                  <c:v>0.24399999999999999</c:v>
                </c:pt>
                <c:pt idx="70">
                  <c:v>0.17299999999999999</c:v>
                </c:pt>
                <c:pt idx="74">
                  <c:v>5.3999999999999999E-2</c:v>
                </c:pt>
                <c:pt idx="75">
                  <c:v>0.183</c:v>
                </c:pt>
                <c:pt idx="76">
                  <c:v>0.16600000000000001</c:v>
                </c:pt>
                <c:pt idx="77">
                  <c:v>0.25700000000000001</c:v>
                </c:pt>
                <c:pt idx="78">
                  <c:v>0.25900000000000001</c:v>
                </c:pt>
                <c:pt idx="82">
                  <c:v>0.19700000000000001</c:v>
                </c:pt>
                <c:pt idx="83">
                  <c:v>0.39500000000000002</c:v>
                </c:pt>
                <c:pt idx="84">
                  <c:v>0.35099999999999998</c:v>
                </c:pt>
                <c:pt idx="85">
                  <c:v>0.26800000000000002</c:v>
                </c:pt>
                <c:pt idx="86">
                  <c:v>0.22600000000000001</c:v>
                </c:pt>
                <c:pt idx="90">
                  <c:v>0.159</c:v>
                </c:pt>
                <c:pt idx="91">
                  <c:v>0.28899999999999998</c:v>
                </c:pt>
                <c:pt idx="92">
                  <c:v>0.36299999999999999</c:v>
                </c:pt>
                <c:pt idx="93">
                  <c:v>0.52400000000000002</c:v>
                </c:pt>
                <c:pt idx="94">
                  <c:v>0.129</c:v>
                </c:pt>
                <c:pt idx="98">
                  <c:v>0.249</c:v>
                </c:pt>
                <c:pt idx="99">
                  <c:v>0.442</c:v>
                </c:pt>
                <c:pt idx="100">
                  <c:v>0.53100000000000003</c:v>
                </c:pt>
                <c:pt idx="101">
                  <c:v>0.26500000000000001</c:v>
                </c:pt>
                <c:pt idx="105">
                  <c:v>0.22800000000000001</c:v>
                </c:pt>
                <c:pt idx="106">
                  <c:v>0.33</c:v>
                </c:pt>
                <c:pt idx="107">
                  <c:v>0.26</c:v>
                </c:pt>
                <c:pt idx="111">
                  <c:v>0.16800000000000001</c:v>
                </c:pt>
                <c:pt idx="112">
                  <c:v>0.308</c:v>
                </c:pt>
                <c:pt idx="113">
                  <c:v>0.33500000000000002</c:v>
                </c:pt>
                <c:pt idx="114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4E-4CF7-8E2C-DCCA15066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91712"/>
        <c:axId val="423105440"/>
      </c:scatterChart>
      <c:valAx>
        <c:axId val="42309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105440"/>
        <c:crosses val="autoZero"/>
        <c:crossBetween val="midCat"/>
      </c:valAx>
      <c:valAx>
        <c:axId val="4231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09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All!$IF$6:$IF$124</c:f>
              <c:numCache>
                <c:formatCode>General</c:formatCode>
                <c:ptCount val="119"/>
                <c:pt idx="0">
                  <c:v>823.1</c:v>
                </c:pt>
                <c:pt idx="1">
                  <c:v>816.7</c:v>
                </c:pt>
                <c:pt idx="2">
                  <c:v>823.2</c:v>
                </c:pt>
                <c:pt idx="3">
                  <c:v>821.9</c:v>
                </c:pt>
                <c:pt idx="7">
                  <c:v>817</c:v>
                </c:pt>
                <c:pt idx="8">
                  <c:v>823.9</c:v>
                </c:pt>
                <c:pt idx="9">
                  <c:v>822.9</c:v>
                </c:pt>
                <c:pt idx="10">
                  <c:v>821.5</c:v>
                </c:pt>
                <c:pt idx="11">
                  <c:v>833.7</c:v>
                </c:pt>
                <c:pt idx="12">
                  <c:v>821.1</c:v>
                </c:pt>
                <c:pt idx="13">
                  <c:v>821</c:v>
                </c:pt>
                <c:pt idx="17">
                  <c:v>807.4</c:v>
                </c:pt>
                <c:pt idx="18">
                  <c:v>818.1</c:v>
                </c:pt>
                <c:pt idx="19">
                  <c:v>818</c:v>
                </c:pt>
                <c:pt idx="20">
                  <c:v>811.9</c:v>
                </c:pt>
                <c:pt idx="21">
                  <c:v>815.6</c:v>
                </c:pt>
                <c:pt idx="22">
                  <c:v>817.7</c:v>
                </c:pt>
                <c:pt idx="26">
                  <c:v>822</c:v>
                </c:pt>
                <c:pt idx="27">
                  <c:v>818.3</c:v>
                </c:pt>
                <c:pt idx="28">
                  <c:v>820</c:v>
                </c:pt>
                <c:pt idx="29">
                  <c:v>819</c:v>
                </c:pt>
                <c:pt idx="30">
                  <c:v>819.1</c:v>
                </c:pt>
                <c:pt idx="31">
                  <c:v>839.9</c:v>
                </c:pt>
                <c:pt idx="35">
                  <c:v>795.1</c:v>
                </c:pt>
                <c:pt idx="36">
                  <c:v>807.8</c:v>
                </c:pt>
                <c:pt idx="37">
                  <c:v>804.3</c:v>
                </c:pt>
                <c:pt idx="38">
                  <c:v>808.7</c:v>
                </c:pt>
                <c:pt idx="42">
                  <c:v>797.2</c:v>
                </c:pt>
                <c:pt idx="43">
                  <c:v>793.9</c:v>
                </c:pt>
                <c:pt idx="44">
                  <c:v>798.6</c:v>
                </c:pt>
                <c:pt idx="45">
                  <c:v>802.9</c:v>
                </c:pt>
                <c:pt idx="46">
                  <c:v>804.4</c:v>
                </c:pt>
                <c:pt idx="50">
                  <c:v>837.2</c:v>
                </c:pt>
                <c:pt idx="51">
                  <c:v>801.7</c:v>
                </c:pt>
                <c:pt idx="52">
                  <c:v>789</c:v>
                </c:pt>
                <c:pt idx="53">
                  <c:v>802.7</c:v>
                </c:pt>
                <c:pt idx="54">
                  <c:v>816.9</c:v>
                </c:pt>
                <c:pt idx="55">
                  <c:v>795.2</c:v>
                </c:pt>
                <c:pt idx="59">
                  <c:v>491.1</c:v>
                </c:pt>
                <c:pt idx="60">
                  <c:v>812.9</c:v>
                </c:pt>
                <c:pt idx="61">
                  <c:v>805.5</c:v>
                </c:pt>
                <c:pt idx="62">
                  <c:v>803.2</c:v>
                </c:pt>
                <c:pt idx="63">
                  <c:v>803.2</c:v>
                </c:pt>
                <c:pt idx="67">
                  <c:v>794.4</c:v>
                </c:pt>
                <c:pt idx="68">
                  <c:v>802</c:v>
                </c:pt>
                <c:pt idx="69">
                  <c:v>804.4</c:v>
                </c:pt>
                <c:pt idx="70">
                  <c:v>805.2</c:v>
                </c:pt>
                <c:pt idx="74">
                  <c:v>805.5</c:v>
                </c:pt>
                <c:pt idx="75">
                  <c:v>805.5</c:v>
                </c:pt>
                <c:pt idx="76">
                  <c:v>803.6</c:v>
                </c:pt>
                <c:pt idx="77">
                  <c:v>808</c:v>
                </c:pt>
                <c:pt idx="78">
                  <c:v>817.5</c:v>
                </c:pt>
                <c:pt idx="82">
                  <c:v>817.7</c:v>
                </c:pt>
                <c:pt idx="83">
                  <c:v>830.6</c:v>
                </c:pt>
                <c:pt idx="84">
                  <c:v>820.1</c:v>
                </c:pt>
                <c:pt idx="85">
                  <c:v>802.3</c:v>
                </c:pt>
                <c:pt idx="86">
                  <c:v>819.2</c:v>
                </c:pt>
                <c:pt idx="90">
                  <c:v>805.9</c:v>
                </c:pt>
                <c:pt idx="91">
                  <c:v>806.3</c:v>
                </c:pt>
                <c:pt idx="92">
                  <c:v>807.1</c:v>
                </c:pt>
                <c:pt idx="93">
                  <c:v>807.4</c:v>
                </c:pt>
                <c:pt idx="94">
                  <c:v>804.6</c:v>
                </c:pt>
                <c:pt idx="98">
                  <c:v>801.3</c:v>
                </c:pt>
                <c:pt idx="99">
                  <c:v>805.5</c:v>
                </c:pt>
                <c:pt idx="100">
                  <c:v>807.6</c:v>
                </c:pt>
                <c:pt idx="101">
                  <c:v>807.5</c:v>
                </c:pt>
                <c:pt idx="105">
                  <c:v>802.3</c:v>
                </c:pt>
                <c:pt idx="106">
                  <c:v>805.1</c:v>
                </c:pt>
                <c:pt idx="107">
                  <c:v>808.7</c:v>
                </c:pt>
                <c:pt idx="111">
                  <c:v>803.8</c:v>
                </c:pt>
                <c:pt idx="112">
                  <c:v>818.2</c:v>
                </c:pt>
                <c:pt idx="113">
                  <c:v>804.1</c:v>
                </c:pt>
                <c:pt idx="114">
                  <c:v>802.6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0B-449B-BCB1-61FD2AF273F3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All!$IG$6:$IG$124</c:f>
              <c:numCache>
                <c:formatCode>General</c:formatCode>
                <c:ptCount val="119"/>
                <c:pt idx="0">
                  <c:v>243.6</c:v>
                </c:pt>
                <c:pt idx="1">
                  <c:v>769</c:v>
                </c:pt>
                <c:pt idx="2">
                  <c:v>775.6</c:v>
                </c:pt>
                <c:pt idx="3">
                  <c:v>764.5</c:v>
                </c:pt>
                <c:pt idx="7">
                  <c:v>641.29999999999995</c:v>
                </c:pt>
                <c:pt idx="8">
                  <c:v>771.4</c:v>
                </c:pt>
                <c:pt idx="9">
                  <c:v>775.2</c:v>
                </c:pt>
                <c:pt idx="10">
                  <c:v>774.3</c:v>
                </c:pt>
                <c:pt idx="11">
                  <c:v>751.3</c:v>
                </c:pt>
                <c:pt idx="12">
                  <c:v>771.9</c:v>
                </c:pt>
                <c:pt idx="13">
                  <c:v>759.6</c:v>
                </c:pt>
                <c:pt idx="17">
                  <c:v>641.29999999999995</c:v>
                </c:pt>
                <c:pt idx="18">
                  <c:v>768.2</c:v>
                </c:pt>
                <c:pt idx="19">
                  <c:v>770.6</c:v>
                </c:pt>
                <c:pt idx="20">
                  <c:v>762.1</c:v>
                </c:pt>
                <c:pt idx="21">
                  <c:v>769.7</c:v>
                </c:pt>
                <c:pt idx="22">
                  <c:v>751.4</c:v>
                </c:pt>
                <c:pt idx="26">
                  <c:v>722.3</c:v>
                </c:pt>
                <c:pt idx="27">
                  <c:v>768.4</c:v>
                </c:pt>
                <c:pt idx="28">
                  <c:v>769.8</c:v>
                </c:pt>
                <c:pt idx="29">
                  <c:v>770.1</c:v>
                </c:pt>
                <c:pt idx="30">
                  <c:v>774.2</c:v>
                </c:pt>
                <c:pt idx="31">
                  <c:v>761</c:v>
                </c:pt>
                <c:pt idx="35">
                  <c:v>314.60000000000002</c:v>
                </c:pt>
                <c:pt idx="36">
                  <c:v>752.2</c:v>
                </c:pt>
                <c:pt idx="37">
                  <c:v>750.2</c:v>
                </c:pt>
                <c:pt idx="38">
                  <c:v>587</c:v>
                </c:pt>
                <c:pt idx="42">
                  <c:v>640.4</c:v>
                </c:pt>
                <c:pt idx="43">
                  <c:v>630</c:v>
                </c:pt>
                <c:pt idx="44">
                  <c:v>753.7</c:v>
                </c:pt>
                <c:pt idx="45">
                  <c:v>758.7</c:v>
                </c:pt>
                <c:pt idx="46">
                  <c:v>746.2</c:v>
                </c:pt>
                <c:pt idx="50">
                  <c:v>236</c:v>
                </c:pt>
                <c:pt idx="51">
                  <c:v>662.4</c:v>
                </c:pt>
                <c:pt idx="52">
                  <c:v>604.5</c:v>
                </c:pt>
                <c:pt idx="53">
                  <c:v>748.9</c:v>
                </c:pt>
                <c:pt idx="54">
                  <c:v>755.3</c:v>
                </c:pt>
                <c:pt idx="55">
                  <c:v>705.2</c:v>
                </c:pt>
                <c:pt idx="59">
                  <c:v>475.8</c:v>
                </c:pt>
                <c:pt idx="60">
                  <c:v>697</c:v>
                </c:pt>
                <c:pt idx="61">
                  <c:v>759.6</c:v>
                </c:pt>
                <c:pt idx="62">
                  <c:v>761.4</c:v>
                </c:pt>
                <c:pt idx="63">
                  <c:v>748</c:v>
                </c:pt>
                <c:pt idx="67">
                  <c:v>672.3</c:v>
                </c:pt>
                <c:pt idx="68">
                  <c:v>756.7</c:v>
                </c:pt>
                <c:pt idx="69">
                  <c:v>756.8</c:v>
                </c:pt>
                <c:pt idx="70">
                  <c:v>740.2</c:v>
                </c:pt>
                <c:pt idx="74">
                  <c:v>265.7</c:v>
                </c:pt>
                <c:pt idx="75">
                  <c:v>755.8</c:v>
                </c:pt>
                <c:pt idx="76">
                  <c:v>751.4</c:v>
                </c:pt>
                <c:pt idx="77">
                  <c:v>758.8</c:v>
                </c:pt>
                <c:pt idx="78">
                  <c:v>746</c:v>
                </c:pt>
                <c:pt idx="82">
                  <c:v>670.3</c:v>
                </c:pt>
                <c:pt idx="83">
                  <c:v>761.2</c:v>
                </c:pt>
                <c:pt idx="84">
                  <c:v>759.7</c:v>
                </c:pt>
                <c:pt idx="85">
                  <c:v>757.4</c:v>
                </c:pt>
                <c:pt idx="86">
                  <c:v>734.1</c:v>
                </c:pt>
                <c:pt idx="90">
                  <c:v>670.6</c:v>
                </c:pt>
                <c:pt idx="91">
                  <c:v>694.2</c:v>
                </c:pt>
                <c:pt idx="92">
                  <c:v>739.4</c:v>
                </c:pt>
                <c:pt idx="93">
                  <c:v>757.1</c:v>
                </c:pt>
                <c:pt idx="94">
                  <c:v>560.79999999999995</c:v>
                </c:pt>
                <c:pt idx="98">
                  <c:v>668</c:v>
                </c:pt>
                <c:pt idx="99">
                  <c:v>764.5</c:v>
                </c:pt>
                <c:pt idx="100">
                  <c:v>760.4</c:v>
                </c:pt>
                <c:pt idx="101">
                  <c:v>741.4</c:v>
                </c:pt>
                <c:pt idx="105">
                  <c:v>678.1</c:v>
                </c:pt>
                <c:pt idx="106">
                  <c:v>758.1</c:v>
                </c:pt>
                <c:pt idx="107">
                  <c:v>736.4</c:v>
                </c:pt>
                <c:pt idx="111">
                  <c:v>677.7</c:v>
                </c:pt>
                <c:pt idx="112">
                  <c:v>760.2</c:v>
                </c:pt>
                <c:pt idx="113">
                  <c:v>755.6</c:v>
                </c:pt>
                <c:pt idx="114">
                  <c:v>600.1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B-449B-BCB1-61FD2AF273F3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All!$IH$6:$IH$124</c:f>
              <c:numCache>
                <c:formatCode>General</c:formatCode>
                <c:ptCount val="119"/>
                <c:pt idx="0">
                  <c:v>824.3</c:v>
                </c:pt>
                <c:pt idx="1">
                  <c:v>829</c:v>
                </c:pt>
                <c:pt idx="2">
                  <c:v>833.5</c:v>
                </c:pt>
                <c:pt idx="3">
                  <c:v>822.3</c:v>
                </c:pt>
                <c:pt idx="7">
                  <c:v>828.4</c:v>
                </c:pt>
                <c:pt idx="8">
                  <c:v>832.2</c:v>
                </c:pt>
                <c:pt idx="9">
                  <c:v>832.6</c:v>
                </c:pt>
                <c:pt idx="10">
                  <c:v>831.6</c:v>
                </c:pt>
                <c:pt idx="11">
                  <c:v>841.9</c:v>
                </c:pt>
                <c:pt idx="12">
                  <c:v>832.2</c:v>
                </c:pt>
                <c:pt idx="13">
                  <c:v>834.5</c:v>
                </c:pt>
                <c:pt idx="17">
                  <c:v>813.3</c:v>
                </c:pt>
                <c:pt idx="18">
                  <c:v>828.1</c:v>
                </c:pt>
                <c:pt idx="19">
                  <c:v>829.5</c:v>
                </c:pt>
                <c:pt idx="20">
                  <c:v>823.9</c:v>
                </c:pt>
                <c:pt idx="21">
                  <c:v>829.6</c:v>
                </c:pt>
                <c:pt idx="22">
                  <c:v>829.7</c:v>
                </c:pt>
                <c:pt idx="26">
                  <c:v>825</c:v>
                </c:pt>
                <c:pt idx="27">
                  <c:v>829.3</c:v>
                </c:pt>
                <c:pt idx="28">
                  <c:v>827.8</c:v>
                </c:pt>
                <c:pt idx="29">
                  <c:v>829.9</c:v>
                </c:pt>
                <c:pt idx="30">
                  <c:v>831.6</c:v>
                </c:pt>
                <c:pt idx="31">
                  <c:v>831.5</c:v>
                </c:pt>
                <c:pt idx="35">
                  <c:v>806.6</c:v>
                </c:pt>
                <c:pt idx="36">
                  <c:v>813</c:v>
                </c:pt>
                <c:pt idx="37">
                  <c:v>813.5</c:v>
                </c:pt>
                <c:pt idx="38">
                  <c:v>828.5</c:v>
                </c:pt>
                <c:pt idx="42">
                  <c:v>803.7</c:v>
                </c:pt>
                <c:pt idx="43">
                  <c:v>815.4</c:v>
                </c:pt>
                <c:pt idx="44">
                  <c:v>808.3</c:v>
                </c:pt>
                <c:pt idx="45">
                  <c:v>812</c:v>
                </c:pt>
                <c:pt idx="46">
                  <c:v>815.1</c:v>
                </c:pt>
                <c:pt idx="50">
                  <c:v>819.7</c:v>
                </c:pt>
                <c:pt idx="51">
                  <c:v>811.3</c:v>
                </c:pt>
                <c:pt idx="52">
                  <c:v>799</c:v>
                </c:pt>
                <c:pt idx="53">
                  <c:v>812.9</c:v>
                </c:pt>
                <c:pt idx="54">
                  <c:v>814.6</c:v>
                </c:pt>
                <c:pt idx="55">
                  <c:v>804.9</c:v>
                </c:pt>
                <c:pt idx="59">
                  <c:v>530.9</c:v>
                </c:pt>
                <c:pt idx="60">
                  <c:v>816.9</c:v>
                </c:pt>
                <c:pt idx="61">
                  <c:v>814.8</c:v>
                </c:pt>
                <c:pt idx="62">
                  <c:v>816</c:v>
                </c:pt>
                <c:pt idx="63">
                  <c:v>815</c:v>
                </c:pt>
                <c:pt idx="67">
                  <c:v>806</c:v>
                </c:pt>
                <c:pt idx="68">
                  <c:v>809.1</c:v>
                </c:pt>
                <c:pt idx="69">
                  <c:v>802.6</c:v>
                </c:pt>
                <c:pt idx="70">
                  <c:v>815.9</c:v>
                </c:pt>
                <c:pt idx="74">
                  <c:v>808.1</c:v>
                </c:pt>
                <c:pt idx="75">
                  <c:v>817.3</c:v>
                </c:pt>
                <c:pt idx="76">
                  <c:v>813.2</c:v>
                </c:pt>
                <c:pt idx="77">
                  <c:v>816</c:v>
                </c:pt>
                <c:pt idx="78">
                  <c:v>822.4</c:v>
                </c:pt>
                <c:pt idx="82">
                  <c:v>812.6</c:v>
                </c:pt>
                <c:pt idx="83">
                  <c:v>825</c:v>
                </c:pt>
                <c:pt idx="84">
                  <c:v>830.7</c:v>
                </c:pt>
                <c:pt idx="85">
                  <c:v>815.1</c:v>
                </c:pt>
                <c:pt idx="86">
                  <c:v>815.4</c:v>
                </c:pt>
                <c:pt idx="90">
                  <c:v>807.1</c:v>
                </c:pt>
                <c:pt idx="91">
                  <c:v>815.3</c:v>
                </c:pt>
                <c:pt idx="92">
                  <c:v>827.3</c:v>
                </c:pt>
                <c:pt idx="93">
                  <c:v>806.8</c:v>
                </c:pt>
                <c:pt idx="94">
                  <c:v>812.3</c:v>
                </c:pt>
                <c:pt idx="98">
                  <c:v>809</c:v>
                </c:pt>
                <c:pt idx="99">
                  <c:v>817.1</c:v>
                </c:pt>
                <c:pt idx="100">
                  <c:v>814.1</c:v>
                </c:pt>
                <c:pt idx="101">
                  <c:v>822</c:v>
                </c:pt>
                <c:pt idx="105">
                  <c:v>810.1</c:v>
                </c:pt>
                <c:pt idx="106">
                  <c:v>811.1</c:v>
                </c:pt>
                <c:pt idx="107">
                  <c:v>811.1</c:v>
                </c:pt>
                <c:pt idx="111">
                  <c:v>813</c:v>
                </c:pt>
                <c:pt idx="112">
                  <c:v>831.3</c:v>
                </c:pt>
                <c:pt idx="113">
                  <c:v>810.1</c:v>
                </c:pt>
                <c:pt idx="114">
                  <c:v>834.5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0B-449B-BCB1-61FD2AF273F3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All!$II$6:$II$124</c:f>
              <c:numCache>
                <c:formatCode>General</c:formatCode>
                <c:ptCount val="119"/>
                <c:pt idx="0">
                  <c:v>254.7</c:v>
                </c:pt>
                <c:pt idx="1">
                  <c:v>780.3</c:v>
                </c:pt>
                <c:pt idx="2">
                  <c:v>787.7</c:v>
                </c:pt>
                <c:pt idx="3">
                  <c:v>778.4</c:v>
                </c:pt>
                <c:pt idx="7">
                  <c:v>654</c:v>
                </c:pt>
                <c:pt idx="8">
                  <c:v>785.8</c:v>
                </c:pt>
                <c:pt idx="9">
                  <c:v>786.9</c:v>
                </c:pt>
                <c:pt idx="10">
                  <c:v>787.3</c:v>
                </c:pt>
                <c:pt idx="11">
                  <c:v>765.4</c:v>
                </c:pt>
                <c:pt idx="12">
                  <c:v>785.7</c:v>
                </c:pt>
                <c:pt idx="13">
                  <c:v>773.9</c:v>
                </c:pt>
                <c:pt idx="17">
                  <c:v>657.5</c:v>
                </c:pt>
                <c:pt idx="18">
                  <c:v>781.3</c:v>
                </c:pt>
                <c:pt idx="19">
                  <c:v>782.5</c:v>
                </c:pt>
                <c:pt idx="20">
                  <c:v>774.2</c:v>
                </c:pt>
                <c:pt idx="21">
                  <c:v>781.5</c:v>
                </c:pt>
                <c:pt idx="22">
                  <c:v>767.6</c:v>
                </c:pt>
                <c:pt idx="26">
                  <c:v>735.8</c:v>
                </c:pt>
                <c:pt idx="27">
                  <c:v>780.3</c:v>
                </c:pt>
                <c:pt idx="28">
                  <c:v>782.4</c:v>
                </c:pt>
                <c:pt idx="29">
                  <c:v>783.8</c:v>
                </c:pt>
                <c:pt idx="30">
                  <c:v>787.8</c:v>
                </c:pt>
                <c:pt idx="31">
                  <c:v>776.9</c:v>
                </c:pt>
                <c:pt idx="35">
                  <c:v>335.7</c:v>
                </c:pt>
                <c:pt idx="36">
                  <c:v>761.9</c:v>
                </c:pt>
                <c:pt idx="37">
                  <c:v>762.7</c:v>
                </c:pt>
                <c:pt idx="38">
                  <c:v>599.79999999999995</c:v>
                </c:pt>
                <c:pt idx="42">
                  <c:v>654.9</c:v>
                </c:pt>
                <c:pt idx="43">
                  <c:v>642.29999999999995</c:v>
                </c:pt>
                <c:pt idx="44">
                  <c:v>763</c:v>
                </c:pt>
                <c:pt idx="45">
                  <c:v>768.9</c:v>
                </c:pt>
                <c:pt idx="46">
                  <c:v>759.7</c:v>
                </c:pt>
                <c:pt idx="50">
                  <c:v>243.8</c:v>
                </c:pt>
                <c:pt idx="51">
                  <c:v>675.8</c:v>
                </c:pt>
                <c:pt idx="52">
                  <c:v>617.6</c:v>
                </c:pt>
                <c:pt idx="53">
                  <c:v>761.4</c:v>
                </c:pt>
                <c:pt idx="54">
                  <c:v>765.9</c:v>
                </c:pt>
                <c:pt idx="55">
                  <c:v>721.3</c:v>
                </c:pt>
                <c:pt idx="59">
                  <c:v>513.1</c:v>
                </c:pt>
                <c:pt idx="60">
                  <c:v>710</c:v>
                </c:pt>
                <c:pt idx="61">
                  <c:v>770.8</c:v>
                </c:pt>
                <c:pt idx="62">
                  <c:v>772.6</c:v>
                </c:pt>
                <c:pt idx="63">
                  <c:v>763.1</c:v>
                </c:pt>
                <c:pt idx="67">
                  <c:v>688.1</c:v>
                </c:pt>
                <c:pt idx="68">
                  <c:v>769.1</c:v>
                </c:pt>
                <c:pt idx="69">
                  <c:v>767.8</c:v>
                </c:pt>
                <c:pt idx="70">
                  <c:v>753.8</c:v>
                </c:pt>
                <c:pt idx="74">
                  <c:v>274.89999999999998</c:v>
                </c:pt>
                <c:pt idx="75">
                  <c:v>767.3</c:v>
                </c:pt>
                <c:pt idx="76">
                  <c:v>763.6</c:v>
                </c:pt>
                <c:pt idx="77">
                  <c:v>770.4</c:v>
                </c:pt>
                <c:pt idx="78">
                  <c:v>759.9</c:v>
                </c:pt>
                <c:pt idx="82">
                  <c:v>686.9</c:v>
                </c:pt>
                <c:pt idx="83">
                  <c:v>770.5</c:v>
                </c:pt>
                <c:pt idx="84">
                  <c:v>770.5</c:v>
                </c:pt>
                <c:pt idx="85">
                  <c:v>769.1</c:v>
                </c:pt>
                <c:pt idx="86">
                  <c:v>748.2</c:v>
                </c:pt>
                <c:pt idx="90">
                  <c:v>685.2</c:v>
                </c:pt>
                <c:pt idx="91">
                  <c:v>709.4</c:v>
                </c:pt>
                <c:pt idx="92">
                  <c:v>751.9</c:v>
                </c:pt>
                <c:pt idx="93">
                  <c:v>767.6</c:v>
                </c:pt>
                <c:pt idx="94">
                  <c:v>584.6</c:v>
                </c:pt>
                <c:pt idx="98">
                  <c:v>674.8</c:v>
                </c:pt>
                <c:pt idx="99">
                  <c:v>775.6</c:v>
                </c:pt>
                <c:pt idx="100">
                  <c:v>771.8</c:v>
                </c:pt>
                <c:pt idx="101">
                  <c:v>755</c:v>
                </c:pt>
                <c:pt idx="105">
                  <c:v>694.9</c:v>
                </c:pt>
                <c:pt idx="106">
                  <c:v>769.3</c:v>
                </c:pt>
                <c:pt idx="107">
                  <c:v>749.6</c:v>
                </c:pt>
                <c:pt idx="111">
                  <c:v>694</c:v>
                </c:pt>
                <c:pt idx="112">
                  <c:v>771.6</c:v>
                </c:pt>
                <c:pt idx="113">
                  <c:v>765</c:v>
                </c:pt>
                <c:pt idx="114">
                  <c:v>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0B-449B-BCB1-61FD2AF2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1728"/>
        <c:axId val="423082144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All!$IN$6:$IN$124</c:f>
              <c:numCache>
                <c:formatCode>General</c:formatCode>
                <c:ptCount val="119"/>
                <c:pt idx="0">
                  <c:v>11.567</c:v>
                </c:pt>
                <c:pt idx="1">
                  <c:v>11.332000000000001</c:v>
                </c:pt>
                <c:pt idx="2">
                  <c:v>12.127000000000001</c:v>
                </c:pt>
                <c:pt idx="3">
                  <c:v>13.936</c:v>
                </c:pt>
                <c:pt idx="7">
                  <c:v>13.132</c:v>
                </c:pt>
                <c:pt idx="8">
                  <c:v>14.423999999999999</c:v>
                </c:pt>
                <c:pt idx="9">
                  <c:v>11.933</c:v>
                </c:pt>
                <c:pt idx="10">
                  <c:v>13.01</c:v>
                </c:pt>
                <c:pt idx="11">
                  <c:v>14.512</c:v>
                </c:pt>
                <c:pt idx="12">
                  <c:v>13.765000000000001</c:v>
                </c:pt>
                <c:pt idx="13">
                  <c:v>14.5</c:v>
                </c:pt>
                <c:pt idx="17">
                  <c:v>16.298999999999999</c:v>
                </c:pt>
                <c:pt idx="18">
                  <c:v>13.236000000000001</c:v>
                </c:pt>
                <c:pt idx="19">
                  <c:v>12.061</c:v>
                </c:pt>
                <c:pt idx="20">
                  <c:v>12.753</c:v>
                </c:pt>
                <c:pt idx="21">
                  <c:v>11.942</c:v>
                </c:pt>
                <c:pt idx="22">
                  <c:v>16.283999999999999</c:v>
                </c:pt>
                <c:pt idx="26">
                  <c:v>13.871</c:v>
                </c:pt>
                <c:pt idx="27">
                  <c:v>11.981</c:v>
                </c:pt>
                <c:pt idx="28">
                  <c:v>12.627000000000001</c:v>
                </c:pt>
                <c:pt idx="29">
                  <c:v>13.78</c:v>
                </c:pt>
                <c:pt idx="30">
                  <c:v>13.831</c:v>
                </c:pt>
                <c:pt idx="31">
                  <c:v>16.419</c:v>
                </c:pt>
                <c:pt idx="35">
                  <c:v>21.2</c:v>
                </c:pt>
                <c:pt idx="36">
                  <c:v>10.122</c:v>
                </c:pt>
                <c:pt idx="37">
                  <c:v>12.76</c:v>
                </c:pt>
                <c:pt idx="38">
                  <c:v>13.379</c:v>
                </c:pt>
                <c:pt idx="42">
                  <c:v>14.72</c:v>
                </c:pt>
                <c:pt idx="43">
                  <c:v>12.865</c:v>
                </c:pt>
                <c:pt idx="44">
                  <c:v>9.9710000000000001</c:v>
                </c:pt>
                <c:pt idx="45">
                  <c:v>10.509</c:v>
                </c:pt>
                <c:pt idx="46">
                  <c:v>13.590999999999999</c:v>
                </c:pt>
                <c:pt idx="50">
                  <c:v>8.1180000000000003</c:v>
                </c:pt>
                <c:pt idx="51">
                  <c:v>13.439</c:v>
                </c:pt>
                <c:pt idx="52">
                  <c:v>13.276999999999999</c:v>
                </c:pt>
                <c:pt idx="53">
                  <c:v>12.606</c:v>
                </c:pt>
                <c:pt idx="54">
                  <c:v>10.904</c:v>
                </c:pt>
                <c:pt idx="55">
                  <c:v>16.076000000000001</c:v>
                </c:pt>
                <c:pt idx="59">
                  <c:v>37.353000000000002</c:v>
                </c:pt>
                <c:pt idx="60">
                  <c:v>13.13</c:v>
                </c:pt>
                <c:pt idx="61">
                  <c:v>11.327</c:v>
                </c:pt>
                <c:pt idx="62">
                  <c:v>11.247</c:v>
                </c:pt>
                <c:pt idx="63">
                  <c:v>15.064</c:v>
                </c:pt>
                <c:pt idx="67">
                  <c:v>15.933</c:v>
                </c:pt>
                <c:pt idx="68">
                  <c:v>12.394</c:v>
                </c:pt>
                <c:pt idx="69">
                  <c:v>11.096</c:v>
                </c:pt>
                <c:pt idx="70">
                  <c:v>13.632</c:v>
                </c:pt>
                <c:pt idx="74">
                  <c:v>9.7799999999999994</c:v>
                </c:pt>
                <c:pt idx="75">
                  <c:v>11.456</c:v>
                </c:pt>
                <c:pt idx="76">
                  <c:v>12.321999999999999</c:v>
                </c:pt>
                <c:pt idx="77">
                  <c:v>11.718999999999999</c:v>
                </c:pt>
                <c:pt idx="78">
                  <c:v>14.093999999999999</c:v>
                </c:pt>
                <c:pt idx="82">
                  <c:v>16.867000000000001</c:v>
                </c:pt>
                <c:pt idx="83">
                  <c:v>9.7200000000000006</c:v>
                </c:pt>
                <c:pt idx="84">
                  <c:v>11.426</c:v>
                </c:pt>
                <c:pt idx="85">
                  <c:v>11.754</c:v>
                </c:pt>
                <c:pt idx="86">
                  <c:v>14.2</c:v>
                </c:pt>
                <c:pt idx="90">
                  <c:v>14.9</c:v>
                </c:pt>
                <c:pt idx="91">
                  <c:v>15.512</c:v>
                </c:pt>
                <c:pt idx="92">
                  <c:v>12.699</c:v>
                </c:pt>
                <c:pt idx="93">
                  <c:v>10.516999999999999</c:v>
                </c:pt>
                <c:pt idx="94">
                  <c:v>23.931000000000001</c:v>
                </c:pt>
                <c:pt idx="98">
                  <c:v>8.5009999999999994</c:v>
                </c:pt>
                <c:pt idx="99">
                  <c:v>11.125</c:v>
                </c:pt>
                <c:pt idx="100">
                  <c:v>11.542</c:v>
                </c:pt>
                <c:pt idx="101">
                  <c:v>13.603999999999999</c:v>
                </c:pt>
                <c:pt idx="105">
                  <c:v>17.189</c:v>
                </c:pt>
                <c:pt idx="106">
                  <c:v>11.423999999999999</c:v>
                </c:pt>
                <c:pt idx="107">
                  <c:v>13.590999999999999</c:v>
                </c:pt>
                <c:pt idx="111">
                  <c:v>16.584</c:v>
                </c:pt>
                <c:pt idx="112">
                  <c:v>11.727</c:v>
                </c:pt>
                <c:pt idx="113">
                  <c:v>10.16</c:v>
                </c:pt>
                <c:pt idx="114">
                  <c:v>18.815999999999999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0B-449B-BCB1-61FD2AF2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0416"/>
        <c:axId val="543728336"/>
      </c:scatterChart>
      <c:valAx>
        <c:axId val="4230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082144"/>
        <c:crosses val="autoZero"/>
        <c:crossBetween val="midCat"/>
      </c:valAx>
      <c:valAx>
        <c:axId val="4230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081728"/>
        <c:crosses val="autoZero"/>
        <c:crossBetween val="midCat"/>
      </c:valAx>
      <c:valAx>
        <c:axId val="543728336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0416"/>
        <c:crosses val="max"/>
        <c:crossBetween val="midCat"/>
      </c:valAx>
      <c:valAx>
        <c:axId val="54373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2833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All!$IP$6:$IP$124</c:f>
              <c:numCache>
                <c:formatCode>General</c:formatCode>
                <c:ptCount val="119"/>
                <c:pt idx="0">
                  <c:v>12.92</c:v>
                </c:pt>
                <c:pt idx="1">
                  <c:v>11.07</c:v>
                </c:pt>
                <c:pt idx="2">
                  <c:v>10.5</c:v>
                </c:pt>
                <c:pt idx="3">
                  <c:v>10.79</c:v>
                </c:pt>
                <c:pt idx="7">
                  <c:v>11.2</c:v>
                </c:pt>
                <c:pt idx="8">
                  <c:v>11.1</c:v>
                </c:pt>
                <c:pt idx="9">
                  <c:v>10.97</c:v>
                </c:pt>
                <c:pt idx="10">
                  <c:v>10.81</c:v>
                </c:pt>
                <c:pt idx="11">
                  <c:v>10.94</c:v>
                </c:pt>
                <c:pt idx="12">
                  <c:v>10.9</c:v>
                </c:pt>
                <c:pt idx="13">
                  <c:v>10.71</c:v>
                </c:pt>
                <c:pt idx="17">
                  <c:v>10.75</c:v>
                </c:pt>
                <c:pt idx="18">
                  <c:v>10.65</c:v>
                </c:pt>
                <c:pt idx="19">
                  <c:v>10.46</c:v>
                </c:pt>
                <c:pt idx="20">
                  <c:v>10.42</c:v>
                </c:pt>
                <c:pt idx="21">
                  <c:v>10.41</c:v>
                </c:pt>
                <c:pt idx="22">
                  <c:v>10.44</c:v>
                </c:pt>
                <c:pt idx="26">
                  <c:v>10.42</c:v>
                </c:pt>
                <c:pt idx="27">
                  <c:v>10.39</c:v>
                </c:pt>
                <c:pt idx="28">
                  <c:v>10.37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10.210000000000001</c:v>
                </c:pt>
                <c:pt idx="35">
                  <c:v>10.52</c:v>
                </c:pt>
                <c:pt idx="36">
                  <c:v>9.99</c:v>
                </c:pt>
                <c:pt idx="37">
                  <c:v>9.91</c:v>
                </c:pt>
                <c:pt idx="38">
                  <c:v>10.039999999999999</c:v>
                </c:pt>
                <c:pt idx="42">
                  <c:v>10.119999999999999</c:v>
                </c:pt>
                <c:pt idx="43">
                  <c:v>10.11</c:v>
                </c:pt>
                <c:pt idx="44">
                  <c:v>9.94</c:v>
                </c:pt>
                <c:pt idx="45">
                  <c:v>9.85</c:v>
                </c:pt>
                <c:pt idx="46">
                  <c:v>9.9600000000000009</c:v>
                </c:pt>
                <c:pt idx="50">
                  <c:v>10.119999999999999</c:v>
                </c:pt>
                <c:pt idx="51">
                  <c:v>9.01</c:v>
                </c:pt>
                <c:pt idx="52">
                  <c:v>9.32</c:v>
                </c:pt>
                <c:pt idx="53">
                  <c:v>9.59</c:v>
                </c:pt>
                <c:pt idx="54">
                  <c:v>9.61</c:v>
                </c:pt>
                <c:pt idx="55">
                  <c:v>9.89</c:v>
                </c:pt>
                <c:pt idx="59">
                  <c:v>10.56</c:v>
                </c:pt>
                <c:pt idx="60">
                  <c:v>10.1</c:v>
                </c:pt>
                <c:pt idx="61">
                  <c:v>9.8699999999999992</c:v>
                </c:pt>
                <c:pt idx="62">
                  <c:v>9.77</c:v>
                </c:pt>
                <c:pt idx="63">
                  <c:v>9.73</c:v>
                </c:pt>
                <c:pt idx="67">
                  <c:v>9.83</c:v>
                </c:pt>
                <c:pt idx="68">
                  <c:v>9.5</c:v>
                </c:pt>
                <c:pt idx="69">
                  <c:v>9.48</c:v>
                </c:pt>
                <c:pt idx="70">
                  <c:v>9.4700000000000006</c:v>
                </c:pt>
                <c:pt idx="74">
                  <c:v>9.42</c:v>
                </c:pt>
                <c:pt idx="75">
                  <c:v>8.77</c:v>
                </c:pt>
                <c:pt idx="76">
                  <c:v>9</c:v>
                </c:pt>
                <c:pt idx="77">
                  <c:v>9.1300000000000008</c:v>
                </c:pt>
                <c:pt idx="78">
                  <c:v>9.32</c:v>
                </c:pt>
                <c:pt idx="82">
                  <c:v>9.6</c:v>
                </c:pt>
                <c:pt idx="83">
                  <c:v>9.5</c:v>
                </c:pt>
                <c:pt idx="84">
                  <c:v>9.3800000000000008</c:v>
                </c:pt>
                <c:pt idx="85">
                  <c:v>9.35</c:v>
                </c:pt>
                <c:pt idx="86">
                  <c:v>9.24</c:v>
                </c:pt>
                <c:pt idx="90">
                  <c:v>9.31</c:v>
                </c:pt>
                <c:pt idx="91">
                  <c:v>9.14</c:v>
                </c:pt>
                <c:pt idx="92">
                  <c:v>9.15</c:v>
                </c:pt>
                <c:pt idx="93">
                  <c:v>9.07</c:v>
                </c:pt>
                <c:pt idx="94">
                  <c:v>9.27</c:v>
                </c:pt>
                <c:pt idx="98">
                  <c:v>9.16</c:v>
                </c:pt>
                <c:pt idx="99">
                  <c:v>8.84</c:v>
                </c:pt>
                <c:pt idx="100">
                  <c:v>8.9499999999999993</c:v>
                </c:pt>
                <c:pt idx="101">
                  <c:v>9.1300000000000008</c:v>
                </c:pt>
                <c:pt idx="105">
                  <c:v>9.2899999999999991</c:v>
                </c:pt>
                <c:pt idx="106">
                  <c:v>9.19</c:v>
                </c:pt>
                <c:pt idx="107">
                  <c:v>9.07</c:v>
                </c:pt>
                <c:pt idx="111">
                  <c:v>9.09</c:v>
                </c:pt>
                <c:pt idx="112">
                  <c:v>9.0399999999999991</c:v>
                </c:pt>
                <c:pt idx="113">
                  <c:v>8.8699999999999992</c:v>
                </c:pt>
                <c:pt idx="11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0C-4CB2-BD6F-A72B883E3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27904"/>
        <c:axId val="423131648"/>
      </c:scatterChart>
      <c:valAx>
        <c:axId val="4231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131648"/>
        <c:crosses val="autoZero"/>
        <c:crossBetween val="midCat"/>
      </c:valAx>
      <c:valAx>
        <c:axId val="42313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1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All!$CG$6:$CG$124</c:f>
              <c:numCache>
                <c:formatCode>General</c:formatCode>
                <c:ptCount val="119"/>
                <c:pt idx="0">
                  <c:v>13.023</c:v>
                </c:pt>
                <c:pt idx="1">
                  <c:v>13.943</c:v>
                </c:pt>
                <c:pt idx="2">
                  <c:v>13.939</c:v>
                </c:pt>
                <c:pt idx="3">
                  <c:v>13.942</c:v>
                </c:pt>
                <c:pt idx="7">
                  <c:v>13.632999999999999</c:v>
                </c:pt>
                <c:pt idx="8">
                  <c:v>13.944000000000001</c:v>
                </c:pt>
                <c:pt idx="9">
                  <c:v>13.943</c:v>
                </c:pt>
                <c:pt idx="10">
                  <c:v>13.942</c:v>
                </c:pt>
                <c:pt idx="11">
                  <c:v>13.958</c:v>
                </c:pt>
                <c:pt idx="12">
                  <c:v>13.939</c:v>
                </c:pt>
                <c:pt idx="13">
                  <c:v>13.949</c:v>
                </c:pt>
                <c:pt idx="17">
                  <c:v>13.858000000000001</c:v>
                </c:pt>
                <c:pt idx="18">
                  <c:v>13.941000000000001</c:v>
                </c:pt>
                <c:pt idx="19">
                  <c:v>13.939</c:v>
                </c:pt>
                <c:pt idx="20">
                  <c:v>13.932</c:v>
                </c:pt>
                <c:pt idx="21">
                  <c:v>13.936</c:v>
                </c:pt>
                <c:pt idx="22">
                  <c:v>13.923</c:v>
                </c:pt>
                <c:pt idx="26">
                  <c:v>13.798</c:v>
                </c:pt>
                <c:pt idx="27">
                  <c:v>13.936999999999999</c:v>
                </c:pt>
                <c:pt idx="28">
                  <c:v>13.93</c:v>
                </c:pt>
                <c:pt idx="29">
                  <c:v>13.932</c:v>
                </c:pt>
                <c:pt idx="30">
                  <c:v>13.929</c:v>
                </c:pt>
                <c:pt idx="31">
                  <c:v>13.943</c:v>
                </c:pt>
                <c:pt idx="35">
                  <c:v>13.856999999999999</c:v>
                </c:pt>
                <c:pt idx="36">
                  <c:v>13.951000000000001</c:v>
                </c:pt>
                <c:pt idx="37">
                  <c:v>13.955</c:v>
                </c:pt>
                <c:pt idx="38">
                  <c:v>13.997999999999999</c:v>
                </c:pt>
                <c:pt idx="42">
                  <c:v>13.914999999999999</c:v>
                </c:pt>
                <c:pt idx="43">
                  <c:v>13.983000000000001</c:v>
                </c:pt>
                <c:pt idx="44">
                  <c:v>13.94</c:v>
                </c:pt>
                <c:pt idx="45">
                  <c:v>13.932</c:v>
                </c:pt>
                <c:pt idx="46">
                  <c:v>13.959</c:v>
                </c:pt>
                <c:pt idx="50">
                  <c:v>13.036</c:v>
                </c:pt>
                <c:pt idx="51">
                  <c:v>13.962</c:v>
                </c:pt>
                <c:pt idx="52">
                  <c:v>14.005000000000001</c:v>
                </c:pt>
                <c:pt idx="53">
                  <c:v>13.938000000000001</c:v>
                </c:pt>
                <c:pt idx="54">
                  <c:v>13.943</c:v>
                </c:pt>
                <c:pt idx="55">
                  <c:v>13.962</c:v>
                </c:pt>
                <c:pt idx="59">
                  <c:v>13.206</c:v>
                </c:pt>
                <c:pt idx="60">
                  <c:v>13.855</c:v>
                </c:pt>
                <c:pt idx="61">
                  <c:v>13.944000000000001</c:v>
                </c:pt>
                <c:pt idx="62">
                  <c:v>13.943</c:v>
                </c:pt>
                <c:pt idx="63">
                  <c:v>13.958</c:v>
                </c:pt>
                <c:pt idx="67">
                  <c:v>13.696999999999999</c:v>
                </c:pt>
                <c:pt idx="68">
                  <c:v>13.942</c:v>
                </c:pt>
                <c:pt idx="69">
                  <c:v>13.939</c:v>
                </c:pt>
                <c:pt idx="70">
                  <c:v>13.95</c:v>
                </c:pt>
                <c:pt idx="74">
                  <c:v>13.545</c:v>
                </c:pt>
                <c:pt idx="75">
                  <c:v>13.768000000000001</c:v>
                </c:pt>
                <c:pt idx="76">
                  <c:v>13.759</c:v>
                </c:pt>
                <c:pt idx="77">
                  <c:v>13.747</c:v>
                </c:pt>
                <c:pt idx="78">
                  <c:v>13.769</c:v>
                </c:pt>
                <c:pt idx="82">
                  <c:v>13.616</c:v>
                </c:pt>
                <c:pt idx="83">
                  <c:v>13.736000000000001</c:v>
                </c:pt>
                <c:pt idx="84">
                  <c:v>13.734</c:v>
                </c:pt>
                <c:pt idx="85">
                  <c:v>13.734</c:v>
                </c:pt>
                <c:pt idx="86">
                  <c:v>13.718999999999999</c:v>
                </c:pt>
                <c:pt idx="90">
                  <c:v>13.555</c:v>
                </c:pt>
                <c:pt idx="91">
                  <c:v>13.76</c:v>
                </c:pt>
                <c:pt idx="92">
                  <c:v>13.749000000000001</c:v>
                </c:pt>
                <c:pt idx="93">
                  <c:v>13.738</c:v>
                </c:pt>
                <c:pt idx="94">
                  <c:v>13.712999999999999</c:v>
                </c:pt>
                <c:pt idx="98">
                  <c:v>13.57</c:v>
                </c:pt>
                <c:pt idx="99">
                  <c:v>13.733000000000001</c:v>
                </c:pt>
                <c:pt idx="100">
                  <c:v>13.727</c:v>
                </c:pt>
                <c:pt idx="101">
                  <c:v>13.754</c:v>
                </c:pt>
                <c:pt idx="105">
                  <c:v>13.593999999999999</c:v>
                </c:pt>
                <c:pt idx="106">
                  <c:v>13.726000000000001</c:v>
                </c:pt>
                <c:pt idx="107">
                  <c:v>13.738</c:v>
                </c:pt>
                <c:pt idx="111">
                  <c:v>13.532</c:v>
                </c:pt>
                <c:pt idx="112">
                  <c:v>13.728999999999999</c:v>
                </c:pt>
                <c:pt idx="113">
                  <c:v>13.73</c:v>
                </c:pt>
                <c:pt idx="114">
                  <c:v>13.798999999999999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62-4C16-8F5B-7843D2D3885F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All!$CH$6:$CH$124</c:f>
              <c:numCache>
                <c:formatCode>General</c:formatCode>
                <c:ptCount val="119"/>
                <c:pt idx="0">
                  <c:v>9.9649999999999999</c:v>
                </c:pt>
                <c:pt idx="1">
                  <c:v>13.755000000000001</c:v>
                </c:pt>
                <c:pt idx="2">
                  <c:v>13.785</c:v>
                </c:pt>
                <c:pt idx="3">
                  <c:v>13.632</c:v>
                </c:pt>
                <c:pt idx="7">
                  <c:v>9.7759999999999998</c:v>
                </c:pt>
                <c:pt idx="8">
                  <c:v>13.779</c:v>
                </c:pt>
                <c:pt idx="9">
                  <c:v>13.789</c:v>
                </c:pt>
                <c:pt idx="10">
                  <c:v>13.781000000000001</c:v>
                </c:pt>
                <c:pt idx="11">
                  <c:v>13.792</c:v>
                </c:pt>
                <c:pt idx="12">
                  <c:v>13.782</c:v>
                </c:pt>
                <c:pt idx="13">
                  <c:v>13.667999999999999</c:v>
                </c:pt>
                <c:pt idx="17">
                  <c:v>10.02</c:v>
                </c:pt>
                <c:pt idx="18">
                  <c:v>13.803000000000001</c:v>
                </c:pt>
                <c:pt idx="19">
                  <c:v>13.781000000000001</c:v>
                </c:pt>
                <c:pt idx="20">
                  <c:v>13.786</c:v>
                </c:pt>
                <c:pt idx="21">
                  <c:v>13.794</c:v>
                </c:pt>
                <c:pt idx="22">
                  <c:v>10.493</c:v>
                </c:pt>
                <c:pt idx="26">
                  <c:v>9.9039999999999999</c:v>
                </c:pt>
                <c:pt idx="27">
                  <c:v>13.815</c:v>
                </c:pt>
                <c:pt idx="28">
                  <c:v>13.788</c:v>
                </c:pt>
                <c:pt idx="29">
                  <c:v>13.769</c:v>
                </c:pt>
                <c:pt idx="30">
                  <c:v>13.787000000000001</c:v>
                </c:pt>
                <c:pt idx="31">
                  <c:v>13.635999999999999</c:v>
                </c:pt>
                <c:pt idx="35">
                  <c:v>10.138999999999999</c:v>
                </c:pt>
                <c:pt idx="36">
                  <c:v>13.8</c:v>
                </c:pt>
                <c:pt idx="37">
                  <c:v>13.829000000000001</c:v>
                </c:pt>
                <c:pt idx="38">
                  <c:v>13.567</c:v>
                </c:pt>
                <c:pt idx="42">
                  <c:v>10.404999999999999</c:v>
                </c:pt>
                <c:pt idx="43">
                  <c:v>13.826000000000001</c:v>
                </c:pt>
                <c:pt idx="44">
                  <c:v>13.765000000000001</c:v>
                </c:pt>
                <c:pt idx="45">
                  <c:v>13.766999999999999</c:v>
                </c:pt>
                <c:pt idx="46">
                  <c:v>13.688000000000001</c:v>
                </c:pt>
                <c:pt idx="50">
                  <c:v>9.7460000000000004</c:v>
                </c:pt>
                <c:pt idx="51">
                  <c:v>13.56</c:v>
                </c:pt>
                <c:pt idx="52">
                  <c:v>13.826000000000001</c:v>
                </c:pt>
                <c:pt idx="53">
                  <c:v>13.775</c:v>
                </c:pt>
                <c:pt idx="54">
                  <c:v>13.795999999999999</c:v>
                </c:pt>
                <c:pt idx="55">
                  <c:v>10.569000000000001</c:v>
                </c:pt>
                <c:pt idx="59">
                  <c:v>12.936999999999999</c:v>
                </c:pt>
                <c:pt idx="60">
                  <c:v>10.446999999999999</c:v>
                </c:pt>
                <c:pt idx="61">
                  <c:v>13.778</c:v>
                </c:pt>
                <c:pt idx="62">
                  <c:v>13.759</c:v>
                </c:pt>
                <c:pt idx="63">
                  <c:v>13.746</c:v>
                </c:pt>
                <c:pt idx="67">
                  <c:v>10.012</c:v>
                </c:pt>
                <c:pt idx="68">
                  <c:v>13.8</c:v>
                </c:pt>
                <c:pt idx="69">
                  <c:v>13.781000000000001</c:v>
                </c:pt>
                <c:pt idx="70">
                  <c:v>13.507999999999999</c:v>
                </c:pt>
                <c:pt idx="74">
                  <c:v>10.327999999999999</c:v>
                </c:pt>
                <c:pt idx="75">
                  <c:v>13.651999999999999</c:v>
                </c:pt>
                <c:pt idx="76">
                  <c:v>13.624000000000001</c:v>
                </c:pt>
                <c:pt idx="77">
                  <c:v>13.587999999999999</c:v>
                </c:pt>
                <c:pt idx="78">
                  <c:v>13.388</c:v>
                </c:pt>
                <c:pt idx="82">
                  <c:v>10.093999999999999</c:v>
                </c:pt>
                <c:pt idx="83">
                  <c:v>13.553000000000001</c:v>
                </c:pt>
                <c:pt idx="84">
                  <c:v>13.557</c:v>
                </c:pt>
                <c:pt idx="85">
                  <c:v>13.602</c:v>
                </c:pt>
                <c:pt idx="86">
                  <c:v>10.382999999999999</c:v>
                </c:pt>
                <c:pt idx="90">
                  <c:v>9.91</c:v>
                </c:pt>
                <c:pt idx="91">
                  <c:v>13.574999999999999</c:v>
                </c:pt>
                <c:pt idx="92">
                  <c:v>13.56</c:v>
                </c:pt>
                <c:pt idx="93">
                  <c:v>13.531000000000001</c:v>
                </c:pt>
                <c:pt idx="94">
                  <c:v>10.504</c:v>
                </c:pt>
                <c:pt idx="98">
                  <c:v>9.9160000000000004</c:v>
                </c:pt>
                <c:pt idx="99">
                  <c:v>13.6</c:v>
                </c:pt>
                <c:pt idx="100">
                  <c:v>13.542999999999999</c:v>
                </c:pt>
                <c:pt idx="101">
                  <c:v>13.433</c:v>
                </c:pt>
                <c:pt idx="105">
                  <c:v>10.19</c:v>
                </c:pt>
                <c:pt idx="106">
                  <c:v>13.541</c:v>
                </c:pt>
                <c:pt idx="107">
                  <c:v>13.22</c:v>
                </c:pt>
                <c:pt idx="111">
                  <c:v>10.131</c:v>
                </c:pt>
                <c:pt idx="112">
                  <c:v>13.558999999999999</c:v>
                </c:pt>
                <c:pt idx="113">
                  <c:v>13.606</c:v>
                </c:pt>
                <c:pt idx="114">
                  <c:v>10.278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2-4C16-8F5B-7843D2D3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31232"/>
        <c:axId val="423129984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All!$GK$6:$GK$124</c:f>
              <c:numCache>
                <c:formatCode>General</c:formatCode>
                <c:ptCount val="119"/>
                <c:pt idx="0">
                  <c:v>77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7">
                  <c:v>95</c:v>
                </c:pt>
                <c:pt idx="8">
                  <c:v>99.5</c:v>
                </c:pt>
                <c:pt idx="9">
                  <c:v>99.5</c:v>
                </c:pt>
                <c:pt idx="10">
                  <c:v>99.5</c:v>
                </c:pt>
                <c:pt idx="11">
                  <c:v>99.5</c:v>
                </c:pt>
                <c:pt idx="12">
                  <c:v>99.5</c:v>
                </c:pt>
                <c:pt idx="13">
                  <c:v>99.5</c:v>
                </c:pt>
                <c:pt idx="17">
                  <c:v>97</c:v>
                </c:pt>
                <c:pt idx="18">
                  <c:v>99.5</c:v>
                </c:pt>
                <c:pt idx="19">
                  <c:v>99.5</c:v>
                </c:pt>
                <c:pt idx="20">
                  <c:v>99.5</c:v>
                </c:pt>
                <c:pt idx="21">
                  <c:v>99.5</c:v>
                </c:pt>
                <c:pt idx="22">
                  <c:v>99</c:v>
                </c:pt>
                <c:pt idx="26">
                  <c:v>97</c:v>
                </c:pt>
                <c:pt idx="27">
                  <c:v>99.5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5">
                  <c:v>96.5</c:v>
                </c:pt>
                <c:pt idx="36">
                  <c:v>99.5</c:v>
                </c:pt>
                <c:pt idx="37">
                  <c:v>99.5</c:v>
                </c:pt>
                <c:pt idx="38">
                  <c:v>99.5</c:v>
                </c:pt>
                <c:pt idx="42">
                  <c:v>98.5</c:v>
                </c:pt>
                <c:pt idx="43">
                  <c:v>99.5</c:v>
                </c:pt>
                <c:pt idx="44">
                  <c:v>99.5</c:v>
                </c:pt>
                <c:pt idx="45">
                  <c:v>99.5</c:v>
                </c:pt>
                <c:pt idx="46">
                  <c:v>99.5</c:v>
                </c:pt>
                <c:pt idx="50">
                  <c:v>63</c:v>
                </c:pt>
                <c:pt idx="51">
                  <c:v>87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9">
                  <c:v>89</c:v>
                </c:pt>
                <c:pt idx="60">
                  <c:v>98.5</c:v>
                </c:pt>
                <c:pt idx="61">
                  <c:v>99.5</c:v>
                </c:pt>
                <c:pt idx="62">
                  <c:v>99.5</c:v>
                </c:pt>
                <c:pt idx="63">
                  <c:v>99.5</c:v>
                </c:pt>
                <c:pt idx="67">
                  <c:v>95.5</c:v>
                </c:pt>
                <c:pt idx="68">
                  <c:v>99.5</c:v>
                </c:pt>
                <c:pt idx="69">
                  <c:v>99.5</c:v>
                </c:pt>
                <c:pt idx="70">
                  <c:v>99.5</c:v>
                </c:pt>
                <c:pt idx="74">
                  <c:v>96.5</c:v>
                </c:pt>
                <c:pt idx="75">
                  <c:v>99.5</c:v>
                </c:pt>
                <c:pt idx="76">
                  <c:v>99.5</c:v>
                </c:pt>
                <c:pt idx="77">
                  <c:v>99.5</c:v>
                </c:pt>
                <c:pt idx="78">
                  <c:v>99.5</c:v>
                </c:pt>
                <c:pt idx="82">
                  <c:v>98</c:v>
                </c:pt>
                <c:pt idx="83">
                  <c:v>99.5</c:v>
                </c:pt>
                <c:pt idx="84">
                  <c:v>99.5</c:v>
                </c:pt>
                <c:pt idx="85">
                  <c:v>99.5</c:v>
                </c:pt>
                <c:pt idx="86">
                  <c:v>98.5</c:v>
                </c:pt>
                <c:pt idx="90">
                  <c:v>97</c:v>
                </c:pt>
                <c:pt idx="91">
                  <c:v>99.5</c:v>
                </c:pt>
                <c:pt idx="92">
                  <c:v>99.5</c:v>
                </c:pt>
                <c:pt idx="93">
                  <c:v>99.5</c:v>
                </c:pt>
                <c:pt idx="94">
                  <c:v>97</c:v>
                </c:pt>
                <c:pt idx="98">
                  <c:v>95.5</c:v>
                </c:pt>
                <c:pt idx="99">
                  <c:v>99.5</c:v>
                </c:pt>
                <c:pt idx="100">
                  <c:v>99.5</c:v>
                </c:pt>
                <c:pt idx="101">
                  <c:v>99.5</c:v>
                </c:pt>
                <c:pt idx="105">
                  <c:v>98</c:v>
                </c:pt>
                <c:pt idx="106">
                  <c:v>99.5</c:v>
                </c:pt>
                <c:pt idx="107">
                  <c:v>99</c:v>
                </c:pt>
                <c:pt idx="111">
                  <c:v>97</c:v>
                </c:pt>
                <c:pt idx="112">
                  <c:v>99.5</c:v>
                </c:pt>
                <c:pt idx="113">
                  <c:v>99.5</c:v>
                </c:pt>
                <c:pt idx="114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62-4C16-8F5B-7843D2D3885F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All!$GL$6:$GL$124</c:f>
              <c:numCache>
                <c:formatCode>General</c:formatCode>
                <c:ptCount val="119"/>
                <c:pt idx="0">
                  <c:v>77.5</c:v>
                </c:pt>
                <c:pt idx="1">
                  <c:v>89.2</c:v>
                </c:pt>
                <c:pt idx="2">
                  <c:v>92.1</c:v>
                </c:pt>
                <c:pt idx="3">
                  <c:v>88.7</c:v>
                </c:pt>
                <c:pt idx="7">
                  <c:v>89.3</c:v>
                </c:pt>
                <c:pt idx="8">
                  <c:v>90</c:v>
                </c:pt>
                <c:pt idx="9">
                  <c:v>88.5</c:v>
                </c:pt>
                <c:pt idx="10">
                  <c:v>77.8</c:v>
                </c:pt>
                <c:pt idx="11">
                  <c:v>76</c:v>
                </c:pt>
                <c:pt idx="12">
                  <c:v>96.7</c:v>
                </c:pt>
                <c:pt idx="13">
                  <c:v>88.3</c:v>
                </c:pt>
                <c:pt idx="17">
                  <c:v>77.099999999999994</c:v>
                </c:pt>
                <c:pt idx="18">
                  <c:v>89.8</c:v>
                </c:pt>
                <c:pt idx="19">
                  <c:v>87.7</c:v>
                </c:pt>
                <c:pt idx="20">
                  <c:v>93.9</c:v>
                </c:pt>
                <c:pt idx="21">
                  <c:v>93.8</c:v>
                </c:pt>
                <c:pt idx="22">
                  <c:v>87.2</c:v>
                </c:pt>
                <c:pt idx="26">
                  <c:v>86.3</c:v>
                </c:pt>
                <c:pt idx="27">
                  <c:v>76.2</c:v>
                </c:pt>
                <c:pt idx="28">
                  <c:v>77.400000000000006</c:v>
                </c:pt>
                <c:pt idx="29">
                  <c:v>76.3</c:v>
                </c:pt>
                <c:pt idx="30">
                  <c:v>78.8</c:v>
                </c:pt>
                <c:pt idx="31">
                  <c:v>76.8</c:v>
                </c:pt>
                <c:pt idx="35">
                  <c:v>78.2</c:v>
                </c:pt>
                <c:pt idx="36">
                  <c:v>78.7</c:v>
                </c:pt>
                <c:pt idx="37">
                  <c:v>87.3</c:v>
                </c:pt>
                <c:pt idx="38">
                  <c:v>75.099999999999994</c:v>
                </c:pt>
                <c:pt idx="42">
                  <c:v>78.8</c:v>
                </c:pt>
                <c:pt idx="43">
                  <c:v>77</c:v>
                </c:pt>
                <c:pt idx="44">
                  <c:v>93.7</c:v>
                </c:pt>
                <c:pt idx="45">
                  <c:v>95.7</c:v>
                </c:pt>
                <c:pt idx="46">
                  <c:v>73.7</c:v>
                </c:pt>
                <c:pt idx="50">
                  <c:v>80</c:v>
                </c:pt>
                <c:pt idx="51">
                  <c:v>75.2</c:v>
                </c:pt>
                <c:pt idx="52">
                  <c:v>94.6</c:v>
                </c:pt>
                <c:pt idx="53">
                  <c:v>96.8</c:v>
                </c:pt>
                <c:pt idx="54">
                  <c:v>90.9</c:v>
                </c:pt>
                <c:pt idx="55">
                  <c:v>75.099999999999994</c:v>
                </c:pt>
                <c:pt idx="59">
                  <c:v>24</c:v>
                </c:pt>
                <c:pt idx="60">
                  <c:v>90.2</c:v>
                </c:pt>
                <c:pt idx="61">
                  <c:v>77.3</c:v>
                </c:pt>
                <c:pt idx="62">
                  <c:v>77.099999999999994</c:v>
                </c:pt>
                <c:pt idx="63">
                  <c:v>74.2</c:v>
                </c:pt>
                <c:pt idx="67">
                  <c:v>100.5</c:v>
                </c:pt>
                <c:pt idx="68">
                  <c:v>89.7</c:v>
                </c:pt>
                <c:pt idx="69">
                  <c:v>90.3</c:v>
                </c:pt>
                <c:pt idx="70">
                  <c:v>77.2</c:v>
                </c:pt>
                <c:pt idx="74">
                  <c:v>109.4</c:v>
                </c:pt>
                <c:pt idx="75">
                  <c:v>110.8</c:v>
                </c:pt>
                <c:pt idx="76">
                  <c:v>110.8</c:v>
                </c:pt>
                <c:pt idx="77">
                  <c:v>110.2</c:v>
                </c:pt>
                <c:pt idx="78">
                  <c:v>108.8</c:v>
                </c:pt>
                <c:pt idx="82">
                  <c:v>114</c:v>
                </c:pt>
                <c:pt idx="83">
                  <c:v>109.1</c:v>
                </c:pt>
                <c:pt idx="84">
                  <c:v>112.6</c:v>
                </c:pt>
                <c:pt idx="85">
                  <c:v>109.2</c:v>
                </c:pt>
                <c:pt idx="86">
                  <c:v>109.5</c:v>
                </c:pt>
                <c:pt idx="90">
                  <c:v>111.1</c:v>
                </c:pt>
                <c:pt idx="91">
                  <c:v>114.4</c:v>
                </c:pt>
                <c:pt idx="92">
                  <c:v>108.1</c:v>
                </c:pt>
                <c:pt idx="93">
                  <c:v>107.6</c:v>
                </c:pt>
                <c:pt idx="94">
                  <c:v>110.2</c:v>
                </c:pt>
                <c:pt idx="98">
                  <c:v>109.9</c:v>
                </c:pt>
                <c:pt idx="99">
                  <c:v>109.8</c:v>
                </c:pt>
                <c:pt idx="100">
                  <c:v>110.7</c:v>
                </c:pt>
                <c:pt idx="101">
                  <c:v>109.3</c:v>
                </c:pt>
                <c:pt idx="105">
                  <c:v>110.8</c:v>
                </c:pt>
                <c:pt idx="106">
                  <c:v>107.6</c:v>
                </c:pt>
                <c:pt idx="107">
                  <c:v>112</c:v>
                </c:pt>
                <c:pt idx="111">
                  <c:v>111.1</c:v>
                </c:pt>
                <c:pt idx="112">
                  <c:v>109.7</c:v>
                </c:pt>
                <c:pt idx="113">
                  <c:v>108.6</c:v>
                </c:pt>
                <c:pt idx="114">
                  <c:v>110.4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2-4C16-8F5B-7843D2D3885F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62-4C16-8F5B-7843D2D3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9168"/>
        <c:axId val="543736656"/>
      </c:scatterChart>
      <c:valAx>
        <c:axId val="42313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129984"/>
        <c:crosses val="autoZero"/>
        <c:crossBetween val="midCat"/>
      </c:valAx>
      <c:valAx>
        <c:axId val="423129984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3131232"/>
        <c:crosses val="autoZero"/>
        <c:crossBetween val="midCat"/>
      </c:valAx>
      <c:valAx>
        <c:axId val="543736656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9168"/>
        <c:crosses val="max"/>
        <c:crossBetween val="midCat"/>
      </c:valAx>
      <c:valAx>
        <c:axId val="543729168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665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All!$GN$6:$GN$124</c:f>
              <c:numCache>
                <c:formatCode>General</c:formatCode>
                <c:ptCount val="119"/>
                <c:pt idx="0">
                  <c:v>26.398</c:v>
                </c:pt>
                <c:pt idx="1">
                  <c:v>27.149000000000001</c:v>
                </c:pt>
                <c:pt idx="2">
                  <c:v>25.48</c:v>
                </c:pt>
                <c:pt idx="3">
                  <c:v>25.469000000000001</c:v>
                </c:pt>
                <c:pt idx="7">
                  <c:v>25.346</c:v>
                </c:pt>
                <c:pt idx="8">
                  <c:v>26.084</c:v>
                </c:pt>
                <c:pt idx="9">
                  <c:v>28.405999999999999</c:v>
                </c:pt>
                <c:pt idx="10">
                  <c:v>28.806000000000001</c:v>
                </c:pt>
                <c:pt idx="11">
                  <c:v>28.489000000000001</c:v>
                </c:pt>
                <c:pt idx="12">
                  <c:v>25.681999999999999</c:v>
                </c:pt>
                <c:pt idx="13">
                  <c:v>27.48</c:v>
                </c:pt>
                <c:pt idx="17">
                  <c:v>26.039000000000001</c:v>
                </c:pt>
                <c:pt idx="18">
                  <c:v>27.158999999999999</c:v>
                </c:pt>
                <c:pt idx="19">
                  <c:v>26.988</c:v>
                </c:pt>
                <c:pt idx="20">
                  <c:v>26.852</c:v>
                </c:pt>
                <c:pt idx="21">
                  <c:v>27.288</c:v>
                </c:pt>
                <c:pt idx="22">
                  <c:v>25.456</c:v>
                </c:pt>
                <c:pt idx="26">
                  <c:v>27.024999999999999</c:v>
                </c:pt>
                <c:pt idx="27">
                  <c:v>26.074999999999999</c:v>
                </c:pt>
                <c:pt idx="28">
                  <c:v>26.870999999999999</c:v>
                </c:pt>
                <c:pt idx="29">
                  <c:v>26.38</c:v>
                </c:pt>
                <c:pt idx="30">
                  <c:v>26.798999999999999</c:v>
                </c:pt>
                <c:pt idx="31">
                  <c:v>27.315999999999999</c:v>
                </c:pt>
                <c:pt idx="35">
                  <c:v>27.126000000000001</c:v>
                </c:pt>
                <c:pt idx="36">
                  <c:v>26.463999999999999</c:v>
                </c:pt>
                <c:pt idx="37">
                  <c:v>28.202000000000002</c:v>
                </c:pt>
                <c:pt idx="38">
                  <c:v>25.542999999999999</c:v>
                </c:pt>
                <c:pt idx="42">
                  <c:v>26.638000000000002</c:v>
                </c:pt>
                <c:pt idx="43">
                  <c:v>26.195</c:v>
                </c:pt>
                <c:pt idx="44">
                  <c:v>27.381</c:v>
                </c:pt>
                <c:pt idx="45">
                  <c:v>26.798999999999999</c:v>
                </c:pt>
                <c:pt idx="46">
                  <c:v>29.527999999999999</c:v>
                </c:pt>
                <c:pt idx="50">
                  <c:v>24.276</c:v>
                </c:pt>
                <c:pt idx="51">
                  <c:v>26.259</c:v>
                </c:pt>
                <c:pt idx="52">
                  <c:v>26.568000000000001</c:v>
                </c:pt>
                <c:pt idx="53">
                  <c:v>26.419</c:v>
                </c:pt>
                <c:pt idx="54">
                  <c:v>27.54</c:v>
                </c:pt>
                <c:pt idx="55">
                  <c:v>26.741</c:v>
                </c:pt>
                <c:pt idx="60">
                  <c:v>27.611000000000001</c:v>
                </c:pt>
                <c:pt idx="61">
                  <c:v>27.795999999999999</c:v>
                </c:pt>
                <c:pt idx="62">
                  <c:v>26.353000000000002</c:v>
                </c:pt>
                <c:pt idx="63">
                  <c:v>28.184000000000001</c:v>
                </c:pt>
                <c:pt idx="67">
                  <c:v>27.949000000000002</c:v>
                </c:pt>
                <c:pt idx="68">
                  <c:v>27.423999999999999</c:v>
                </c:pt>
                <c:pt idx="69">
                  <c:v>27.596</c:v>
                </c:pt>
                <c:pt idx="70">
                  <c:v>28.731000000000002</c:v>
                </c:pt>
                <c:pt idx="74">
                  <c:v>22.739000000000001</c:v>
                </c:pt>
                <c:pt idx="75">
                  <c:v>26.097999999999999</c:v>
                </c:pt>
                <c:pt idx="76">
                  <c:v>27.2</c:v>
                </c:pt>
                <c:pt idx="77">
                  <c:v>25.06</c:v>
                </c:pt>
                <c:pt idx="78">
                  <c:v>26.277000000000001</c:v>
                </c:pt>
                <c:pt idx="82">
                  <c:v>23.785</c:v>
                </c:pt>
                <c:pt idx="83">
                  <c:v>25.087</c:v>
                </c:pt>
                <c:pt idx="84">
                  <c:v>25.27</c:v>
                </c:pt>
                <c:pt idx="85">
                  <c:v>22.712</c:v>
                </c:pt>
                <c:pt idx="86">
                  <c:v>24.843</c:v>
                </c:pt>
                <c:pt idx="90">
                  <c:v>23.843</c:v>
                </c:pt>
                <c:pt idx="91">
                  <c:v>24.821000000000002</c:v>
                </c:pt>
                <c:pt idx="92">
                  <c:v>26.094000000000001</c:v>
                </c:pt>
                <c:pt idx="93">
                  <c:v>25.363</c:v>
                </c:pt>
                <c:pt idx="94">
                  <c:v>23.263000000000002</c:v>
                </c:pt>
                <c:pt idx="98">
                  <c:v>24.936</c:v>
                </c:pt>
                <c:pt idx="99">
                  <c:v>23.864000000000001</c:v>
                </c:pt>
                <c:pt idx="100">
                  <c:v>24.25</c:v>
                </c:pt>
                <c:pt idx="101">
                  <c:v>23.401</c:v>
                </c:pt>
                <c:pt idx="105">
                  <c:v>24.363</c:v>
                </c:pt>
                <c:pt idx="106">
                  <c:v>25.050999999999998</c:v>
                </c:pt>
                <c:pt idx="107">
                  <c:v>26.012</c:v>
                </c:pt>
                <c:pt idx="111">
                  <c:v>25.738</c:v>
                </c:pt>
                <c:pt idx="112">
                  <c:v>23.91</c:v>
                </c:pt>
                <c:pt idx="113">
                  <c:v>25.632000000000001</c:v>
                </c:pt>
                <c:pt idx="114">
                  <c:v>24.422000000000001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6-4D7E-BB71-1CFBE337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81216"/>
        <c:axId val="415870400"/>
      </c:scatterChart>
      <c:valAx>
        <c:axId val="41588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870400"/>
        <c:crosses val="autoZero"/>
        <c:crossBetween val="midCat"/>
      </c:valAx>
      <c:valAx>
        <c:axId val="4158704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88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All!$CT$6:$CT$124</c:f>
              <c:numCache>
                <c:formatCode>General</c:formatCode>
                <c:ptCount val="119"/>
                <c:pt idx="0">
                  <c:v>0.379</c:v>
                </c:pt>
                <c:pt idx="1">
                  <c:v>0.61599999999999999</c:v>
                </c:pt>
                <c:pt idx="2">
                  <c:v>0.27800000000000002</c:v>
                </c:pt>
                <c:pt idx="3">
                  <c:v>0.23200000000000001</c:v>
                </c:pt>
                <c:pt idx="7">
                  <c:v>1.3069999999999999</c:v>
                </c:pt>
                <c:pt idx="8">
                  <c:v>0.32300000000000001</c:v>
                </c:pt>
                <c:pt idx="9">
                  <c:v>0.36799999999999999</c:v>
                </c:pt>
                <c:pt idx="10">
                  <c:v>0.52200000000000002</c:v>
                </c:pt>
                <c:pt idx="11">
                  <c:v>0.308</c:v>
                </c:pt>
                <c:pt idx="12">
                  <c:v>0.22800000000000001</c:v>
                </c:pt>
                <c:pt idx="13">
                  <c:v>0.41399999999999998</c:v>
                </c:pt>
                <c:pt idx="17">
                  <c:v>0.375</c:v>
                </c:pt>
                <c:pt idx="18">
                  <c:v>0.312</c:v>
                </c:pt>
                <c:pt idx="19">
                  <c:v>0.32</c:v>
                </c:pt>
                <c:pt idx="20">
                  <c:v>0.27900000000000003</c:v>
                </c:pt>
                <c:pt idx="21">
                  <c:v>0.35199999999999998</c:v>
                </c:pt>
                <c:pt idx="22">
                  <c:v>0.23</c:v>
                </c:pt>
                <c:pt idx="26">
                  <c:v>0.627</c:v>
                </c:pt>
                <c:pt idx="27">
                  <c:v>0.33600000000000002</c:v>
                </c:pt>
                <c:pt idx="28">
                  <c:v>0.35499999999999998</c:v>
                </c:pt>
                <c:pt idx="29">
                  <c:v>0.33600000000000002</c:v>
                </c:pt>
                <c:pt idx="30">
                  <c:v>0.28399999999999997</c:v>
                </c:pt>
                <c:pt idx="31">
                  <c:v>0.246</c:v>
                </c:pt>
                <c:pt idx="35">
                  <c:v>0.34899999999999998</c:v>
                </c:pt>
                <c:pt idx="36">
                  <c:v>0.32400000000000001</c:v>
                </c:pt>
                <c:pt idx="37">
                  <c:v>0.504</c:v>
                </c:pt>
                <c:pt idx="38">
                  <c:v>0.22700000000000001</c:v>
                </c:pt>
                <c:pt idx="42">
                  <c:v>0.373</c:v>
                </c:pt>
                <c:pt idx="43">
                  <c:v>0.33600000000000002</c:v>
                </c:pt>
                <c:pt idx="44">
                  <c:v>0.29499999999999998</c:v>
                </c:pt>
                <c:pt idx="45">
                  <c:v>0.27700000000000002</c:v>
                </c:pt>
                <c:pt idx="46">
                  <c:v>0.496</c:v>
                </c:pt>
                <c:pt idx="50">
                  <c:v>0.24299999999999999</c:v>
                </c:pt>
                <c:pt idx="51">
                  <c:v>0.185</c:v>
                </c:pt>
                <c:pt idx="52">
                  <c:v>0.25600000000000001</c:v>
                </c:pt>
                <c:pt idx="53">
                  <c:v>0.313</c:v>
                </c:pt>
                <c:pt idx="54">
                  <c:v>0.42299999999999999</c:v>
                </c:pt>
                <c:pt idx="55">
                  <c:v>0.28599999999999998</c:v>
                </c:pt>
                <c:pt idx="59">
                  <c:v>0</c:v>
                </c:pt>
                <c:pt idx="60">
                  <c:v>0.34799999999999998</c:v>
                </c:pt>
                <c:pt idx="61">
                  <c:v>0.311</c:v>
                </c:pt>
                <c:pt idx="62">
                  <c:v>0.29099999999999998</c:v>
                </c:pt>
                <c:pt idx="63">
                  <c:v>0.40600000000000003</c:v>
                </c:pt>
                <c:pt idx="67">
                  <c:v>0.44900000000000001</c:v>
                </c:pt>
                <c:pt idx="68">
                  <c:v>0.379</c:v>
                </c:pt>
                <c:pt idx="69">
                  <c:v>0.39100000000000001</c:v>
                </c:pt>
                <c:pt idx="70">
                  <c:v>0.52</c:v>
                </c:pt>
                <c:pt idx="74">
                  <c:v>0.224</c:v>
                </c:pt>
                <c:pt idx="75">
                  <c:v>0.34899999999999998</c:v>
                </c:pt>
                <c:pt idx="76">
                  <c:v>0.39600000000000002</c:v>
                </c:pt>
                <c:pt idx="77">
                  <c:v>0.32200000000000001</c:v>
                </c:pt>
                <c:pt idx="78">
                  <c:v>0.61099999999999999</c:v>
                </c:pt>
                <c:pt idx="82">
                  <c:v>0.19700000000000001</c:v>
                </c:pt>
                <c:pt idx="83">
                  <c:v>0.32800000000000001</c:v>
                </c:pt>
                <c:pt idx="84">
                  <c:v>0.38200000000000001</c:v>
                </c:pt>
                <c:pt idx="85">
                  <c:v>0.252</c:v>
                </c:pt>
                <c:pt idx="86">
                  <c:v>0.312</c:v>
                </c:pt>
                <c:pt idx="90">
                  <c:v>0.27500000000000002</c:v>
                </c:pt>
                <c:pt idx="91">
                  <c:v>0.40300000000000002</c:v>
                </c:pt>
                <c:pt idx="92">
                  <c:v>0.47</c:v>
                </c:pt>
                <c:pt idx="93">
                  <c:v>0.40799999999999997</c:v>
                </c:pt>
                <c:pt idx="94">
                  <c:v>0.16</c:v>
                </c:pt>
                <c:pt idx="98">
                  <c:v>0.34</c:v>
                </c:pt>
                <c:pt idx="99">
                  <c:v>0.28599999999999998</c:v>
                </c:pt>
                <c:pt idx="100">
                  <c:v>0.33600000000000002</c:v>
                </c:pt>
                <c:pt idx="101">
                  <c:v>0.28499999999999998</c:v>
                </c:pt>
                <c:pt idx="105">
                  <c:v>0.49299999999999999</c:v>
                </c:pt>
                <c:pt idx="106">
                  <c:v>0.29799999999999999</c:v>
                </c:pt>
                <c:pt idx="107">
                  <c:v>0.38200000000000001</c:v>
                </c:pt>
                <c:pt idx="111">
                  <c:v>0.32400000000000001</c:v>
                </c:pt>
                <c:pt idx="112">
                  <c:v>0.38700000000000001</c:v>
                </c:pt>
                <c:pt idx="113">
                  <c:v>0.311</c:v>
                </c:pt>
                <c:pt idx="114">
                  <c:v>0.11700000000000001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66-4287-A497-47E785D86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65408"/>
        <c:axId val="415867072"/>
      </c:scatterChart>
      <c:valAx>
        <c:axId val="4158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867072"/>
        <c:crosses val="autoZero"/>
        <c:crossBetween val="midCat"/>
      </c:valAx>
      <c:valAx>
        <c:axId val="4158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8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All!$ER$6:$ER$124</c:f>
              <c:numCache>
                <c:formatCode>General</c:formatCode>
                <c:ptCount val="119"/>
                <c:pt idx="0">
                  <c:v>91.608000000000004</c:v>
                </c:pt>
                <c:pt idx="1">
                  <c:v>81.825999999999993</c:v>
                </c:pt>
                <c:pt idx="2">
                  <c:v>104.018</c:v>
                </c:pt>
                <c:pt idx="3">
                  <c:v>102.85</c:v>
                </c:pt>
                <c:pt idx="7">
                  <c:v>107.81399999999999</c:v>
                </c:pt>
                <c:pt idx="8">
                  <c:v>92.921999999999997</c:v>
                </c:pt>
                <c:pt idx="9">
                  <c:v>101.098</c:v>
                </c:pt>
                <c:pt idx="10">
                  <c:v>104.31</c:v>
                </c:pt>
                <c:pt idx="11">
                  <c:v>99.638000000000005</c:v>
                </c:pt>
                <c:pt idx="12">
                  <c:v>132.63399999999999</c:v>
                </c:pt>
                <c:pt idx="13">
                  <c:v>102.26600000000001</c:v>
                </c:pt>
                <c:pt idx="17">
                  <c:v>83.286000000000001</c:v>
                </c:pt>
                <c:pt idx="18">
                  <c:v>105.77</c:v>
                </c:pt>
                <c:pt idx="19">
                  <c:v>100.22199999999999</c:v>
                </c:pt>
                <c:pt idx="20">
                  <c:v>101.682</c:v>
                </c:pt>
                <c:pt idx="21">
                  <c:v>113.654</c:v>
                </c:pt>
                <c:pt idx="22">
                  <c:v>88.542000000000002</c:v>
                </c:pt>
                <c:pt idx="26">
                  <c:v>135.262</c:v>
                </c:pt>
                <c:pt idx="27">
                  <c:v>106.646</c:v>
                </c:pt>
                <c:pt idx="28">
                  <c:v>121.83</c:v>
                </c:pt>
                <c:pt idx="29">
                  <c:v>141.97800000000001</c:v>
                </c:pt>
                <c:pt idx="30">
                  <c:v>116.282</c:v>
                </c:pt>
                <c:pt idx="31">
                  <c:v>97.885999999999996</c:v>
                </c:pt>
                <c:pt idx="35">
                  <c:v>142.27000000000001</c:v>
                </c:pt>
                <c:pt idx="36">
                  <c:v>99.93</c:v>
                </c:pt>
                <c:pt idx="37">
                  <c:v>100.806</c:v>
                </c:pt>
                <c:pt idx="38">
                  <c:v>63.722000000000001</c:v>
                </c:pt>
                <c:pt idx="42">
                  <c:v>73.650000000000006</c:v>
                </c:pt>
                <c:pt idx="43">
                  <c:v>92.63</c:v>
                </c:pt>
                <c:pt idx="44">
                  <c:v>92.337999999999994</c:v>
                </c:pt>
                <c:pt idx="45">
                  <c:v>108.982</c:v>
                </c:pt>
                <c:pt idx="46">
                  <c:v>84.453999999999994</c:v>
                </c:pt>
                <c:pt idx="50">
                  <c:v>101.098</c:v>
                </c:pt>
                <c:pt idx="51">
                  <c:v>103.434</c:v>
                </c:pt>
                <c:pt idx="52">
                  <c:v>123.29</c:v>
                </c:pt>
                <c:pt idx="53">
                  <c:v>107.23</c:v>
                </c:pt>
                <c:pt idx="54">
                  <c:v>108.10599999999999</c:v>
                </c:pt>
                <c:pt idx="55">
                  <c:v>99.054000000000002</c:v>
                </c:pt>
                <c:pt idx="59">
                  <c:v>0.65</c:v>
                </c:pt>
                <c:pt idx="60">
                  <c:v>84.453999999999994</c:v>
                </c:pt>
                <c:pt idx="61">
                  <c:v>106.938</c:v>
                </c:pt>
                <c:pt idx="62">
                  <c:v>116.282</c:v>
                </c:pt>
                <c:pt idx="63">
                  <c:v>130.006</c:v>
                </c:pt>
                <c:pt idx="67">
                  <c:v>97.593999999999994</c:v>
                </c:pt>
                <c:pt idx="68">
                  <c:v>99.346000000000004</c:v>
                </c:pt>
                <c:pt idx="69">
                  <c:v>105.47799999999999</c:v>
                </c:pt>
                <c:pt idx="70">
                  <c:v>82.41</c:v>
                </c:pt>
                <c:pt idx="74">
                  <c:v>105.47799999999999</c:v>
                </c:pt>
                <c:pt idx="75">
                  <c:v>78.614000000000004</c:v>
                </c:pt>
                <c:pt idx="76">
                  <c:v>112.77800000000001</c:v>
                </c:pt>
                <c:pt idx="77">
                  <c:v>97.885999999999996</c:v>
                </c:pt>
                <c:pt idx="78">
                  <c:v>82.701999999999998</c:v>
                </c:pt>
                <c:pt idx="82">
                  <c:v>108.398</c:v>
                </c:pt>
                <c:pt idx="83">
                  <c:v>82.41</c:v>
                </c:pt>
                <c:pt idx="84">
                  <c:v>96.426000000000002</c:v>
                </c:pt>
                <c:pt idx="85">
                  <c:v>113.07</c:v>
                </c:pt>
                <c:pt idx="86">
                  <c:v>110.44199999999999</c:v>
                </c:pt>
                <c:pt idx="90">
                  <c:v>99.054000000000002</c:v>
                </c:pt>
                <c:pt idx="91">
                  <c:v>88.834000000000003</c:v>
                </c:pt>
                <c:pt idx="92">
                  <c:v>82.41</c:v>
                </c:pt>
                <c:pt idx="93">
                  <c:v>98.762</c:v>
                </c:pt>
                <c:pt idx="94">
                  <c:v>93.506</c:v>
                </c:pt>
                <c:pt idx="98">
                  <c:v>93.506</c:v>
                </c:pt>
                <c:pt idx="99">
                  <c:v>95.841999999999999</c:v>
                </c:pt>
                <c:pt idx="100">
                  <c:v>114.238</c:v>
                </c:pt>
                <c:pt idx="101">
                  <c:v>84.162000000000006</c:v>
                </c:pt>
                <c:pt idx="105">
                  <c:v>101.974</c:v>
                </c:pt>
                <c:pt idx="106">
                  <c:v>113.946</c:v>
                </c:pt>
                <c:pt idx="107">
                  <c:v>101.39</c:v>
                </c:pt>
                <c:pt idx="111">
                  <c:v>115.69799999999999</c:v>
                </c:pt>
                <c:pt idx="112">
                  <c:v>99.638000000000005</c:v>
                </c:pt>
                <c:pt idx="113">
                  <c:v>91.17</c:v>
                </c:pt>
                <c:pt idx="114">
                  <c:v>90.001999999999995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1-402E-B90E-9F6F39555EF1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All!$EQ$6:$EQ$124</c:f>
              <c:numCache>
                <c:formatCode>General</c:formatCode>
                <c:ptCount val="119"/>
                <c:pt idx="0">
                  <c:v>-0.21099999999999999</c:v>
                </c:pt>
                <c:pt idx="1">
                  <c:v>-2.6019999999999999</c:v>
                </c:pt>
                <c:pt idx="2">
                  <c:v>-2.468</c:v>
                </c:pt>
                <c:pt idx="3">
                  <c:v>-2.363</c:v>
                </c:pt>
                <c:pt idx="7">
                  <c:v>-1.1559999999999999</c:v>
                </c:pt>
                <c:pt idx="8">
                  <c:v>-2.6920000000000002</c:v>
                </c:pt>
                <c:pt idx="9">
                  <c:v>-2.5049999999999999</c:v>
                </c:pt>
                <c:pt idx="10">
                  <c:v>-2.29</c:v>
                </c:pt>
                <c:pt idx="11">
                  <c:v>-1.448</c:v>
                </c:pt>
                <c:pt idx="12">
                  <c:v>-2.2309999999999999</c:v>
                </c:pt>
                <c:pt idx="13">
                  <c:v>-2.2290000000000001</c:v>
                </c:pt>
                <c:pt idx="17">
                  <c:v>-0.52100000000000002</c:v>
                </c:pt>
                <c:pt idx="18">
                  <c:v>-2.423</c:v>
                </c:pt>
                <c:pt idx="19">
                  <c:v>-2.613</c:v>
                </c:pt>
                <c:pt idx="20">
                  <c:v>-2.3410000000000002</c:v>
                </c:pt>
                <c:pt idx="21">
                  <c:v>-2.2759999999999998</c:v>
                </c:pt>
                <c:pt idx="22">
                  <c:v>-1.7989999999999999</c:v>
                </c:pt>
                <c:pt idx="26">
                  <c:v>-1.0549999999999999</c:v>
                </c:pt>
                <c:pt idx="27">
                  <c:v>-2.512</c:v>
                </c:pt>
                <c:pt idx="28">
                  <c:v>-3.1680000000000001</c:v>
                </c:pt>
                <c:pt idx="29">
                  <c:v>-2.8580000000000001</c:v>
                </c:pt>
                <c:pt idx="30">
                  <c:v>-3.089</c:v>
                </c:pt>
                <c:pt idx="31">
                  <c:v>-2.2130000000000001</c:v>
                </c:pt>
                <c:pt idx="35">
                  <c:v>-0.375</c:v>
                </c:pt>
                <c:pt idx="36">
                  <c:v>-2.6909999999999998</c:v>
                </c:pt>
                <c:pt idx="37">
                  <c:v>-2.6829999999999998</c:v>
                </c:pt>
                <c:pt idx="38">
                  <c:v>-0.223</c:v>
                </c:pt>
                <c:pt idx="42">
                  <c:v>-1.07</c:v>
                </c:pt>
                <c:pt idx="43">
                  <c:v>-0.379</c:v>
                </c:pt>
                <c:pt idx="44">
                  <c:v>-3.1539999999999999</c:v>
                </c:pt>
                <c:pt idx="45">
                  <c:v>-2.8740000000000001</c:v>
                </c:pt>
                <c:pt idx="46">
                  <c:v>-2.504</c:v>
                </c:pt>
                <c:pt idx="50">
                  <c:v>-0.25700000000000001</c:v>
                </c:pt>
                <c:pt idx="51">
                  <c:v>-1.63</c:v>
                </c:pt>
                <c:pt idx="52">
                  <c:v>-6.8000000000000005E-2</c:v>
                </c:pt>
                <c:pt idx="53">
                  <c:v>-2.2509999999999999</c:v>
                </c:pt>
                <c:pt idx="54">
                  <c:v>-2.298</c:v>
                </c:pt>
                <c:pt idx="55">
                  <c:v>-0.86599999999999999</c:v>
                </c:pt>
                <c:pt idx="59">
                  <c:v>-0.14299999999999999</c:v>
                </c:pt>
                <c:pt idx="60">
                  <c:v>-1.0880000000000001</c:v>
                </c:pt>
                <c:pt idx="61">
                  <c:v>-2.274</c:v>
                </c:pt>
                <c:pt idx="62">
                  <c:v>-2.57</c:v>
                </c:pt>
                <c:pt idx="63">
                  <c:v>-2.3730000000000002</c:v>
                </c:pt>
                <c:pt idx="67">
                  <c:v>-1.6910000000000001</c:v>
                </c:pt>
                <c:pt idx="68">
                  <c:v>-2.7149999999999999</c:v>
                </c:pt>
                <c:pt idx="69">
                  <c:v>-2.621</c:v>
                </c:pt>
                <c:pt idx="70">
                  <c:v>-2.4129999999999998</c:v>
                </c:pt>
                <c:pt idx="74">
                  <c:v>-1.0940000000000001</c:v>
                </c:pt>
                <c:pt idx="75">
                  <c:v>-3.0009999999999999</c:v>
                </c:pt>
                <c:pt idx="76">
                  <c:v>-2.59</c:v>
                </c:pt>
                <c:pt idx="77">
                  <c:v>-2.9470000000000001</c:v>
                </c:pt>
                <c:pt idx="78">
                  <c:v>-2.63</c:v>
                </c:pt>
                <c:pt idx="82">
                  <c:v>-2.0049999999999999</c:v>
                </c:pt>
                <c:pt idx="83">
                  <c:v>-3.3410000000000002</c:v>
                </c:pt>
                <c:pt idx="84">
                  <c:v>-3.0760000000000001</c:v>
                </c:pt>
                <c:pt idx="85">
                  <c:v>-3.0550000000000002</c:v>
                </c:pt>
                <c:pt idx="86">
                  <c:v>-2.8220000000000001</c:v>
                </c:pt>
                <c:pt idx="90">
                  <c:v>-1.84</c:v>
                </c:pt>
                <c:pt idx="91">
                  <c:v>-2.3439999999999999</c:v>
                </c:pt>
                <c:pt idx="92">
                  <c:v>-2.617</c:v>
                </c:pt>
                <c:pt idx="93">
                  <c:v>-2.9950000000000001</c:v>
                </c:pt>
                <c:pt idx="94">
                  <c:v>-1.1120000000000001</c:v>
                </c:pt>
                <c:pt idx="98">
                  <c:v>-1.177</c:v>
                </c:pt>
                <c:pt idx="99">
                  <c:v>-2.38</c:v>
                </c:pt>
                <c:pt idx="100">
                  <c:v>-2.3140000000000001</c:v>
                </c:pt>
                <c:pt idx="101">
                  <c:v>-2.2410000000000001</c:v>
                </c:pt>
                <c:pt idx="105">
                  <c:v>-1.359</c:v>
                </c:pt>
                <c:pt idx="106">
                  <c:v>-2.484</c:v>
                </c:pt>
                <c:pt idx="107">
                  <c:v>-2.0139999999999998</c:v>
                </c:pt>
                <c:pt idx="111">
                  <c:v>-0.91500000000000004</c:v>
                </c:pt>
                <c:pt idx="112">
                  <c:v>-2.19</c:v>
                </c:pt>
                <c:pt idx="113">
                  <c:v>-2.117</c:v>
                </c:pt>
                <c:pt idx="114">
                  <c:v>-0.56699999999999995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91-402E-B90E-9F6F39555EF1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All!$EP$6:$EP$124</c:f>
              <c:numCache>
                <c:formatCode>General</c:formatCode>
                <c:ptCount val="119"/>
                <c:pt idx="0">
                  <c:v>-97.608000000000004</c:v>
                </c:pt>
                <c:pt idx="1">
                  <c:v>-125.494</c:v>
                </c:pt>
                <c:pt idx="2">
                  <c:v>-119.946</c:v>
                </c:pt>
                <c:pt idx="3">
                  <c:v>-118.486</c:v>
                </c:pt>
                <c:pt idx="7">
                  <c:v>-108.85</c:v>
                </c:pt>
                <c:pt idx="8">
                  <c:v>-104.178</c:v>
                </c:pt>
                <c:pt idx="9">
                  <c:v>-114.398</c:v>
                </c:pt>
                <c:pt idx="10">
                  <c:v>-105.054</c:v>
                </c:pt>
                <c:pt idx="11">
                  <c:v>-107.682</c:v>
                </c:pt>
                <c:pt idx="12">
                  <c:v>-111.77</c:v>
                </c:pt>
                <c:pt idx="13">
                  <c:v>-110.602</c:v>
                </c:pt>
                <c:pt idx="17">
                  <c:v>-109.142</c:v>
                </c:pt>
                <c:pt idx="18">
                  <c:v>-103.01</c:v>
                </c:pt>
                <c:pt idx="19">
                  <c:v>-105.346</c:v>
                </c:pt>
                <c:pt idx="20">
                  <c:v>-103.59399999999999</c:v>
                </c:pt>
                <c:pt idx="21">
                  <c:v>-102.134</c:v>
                </c:pt>
                <c:pt idx="22">
                  <c:v>-99.798000000000002</c:v>
                </c:pt>
                <c:pt idx="26">
                  <c:v>-102.426</c:v>
                </c:pt>
                <c:pt idx="27">
                  <c:v>-101.258</c:v>
                </c:pt>
                <c:pt idx="28">
                  <c:v>-108.55800000000001</c:v>
                </c:pt>
                <c:pt idx="29">
                  <c:v>-105.93</c:v>
                </c:pt>
                <c:pt idx="30">
                  <c:v>-102.718</c:v>
                </c:pt>
                <c:pt idx="31">
                  <c:v>-100.38200000000001</c:v>
                </c:pt>
                <c:pt idx="35">
                  <c:v>-107.682</c:v>
                </c:pt>
                <c:pt idx="36">
                  <c:v>-98.63</c:v>
                </c:pt>
                <c:pt idx="37">
                  <c:v>-106.22199999999999</c:v>
                </c:pt>
                <c:pt idx="38">
                  <c:v>-62.421999999999997</c:v>
                </c:pt>
                <c:pt idx="42">
                  <c:v>-97.462000000000003</c:v>
                </c:pt>
                <c:pt idx="43">
                  <c:v>-124.61799999999999</c:v>
                </c:pt>
                <c:pt idx="44">
                  <c:v>-119.946</c:v>
                </c:pt>
                <c:pt idx="45">
                  <c:v>-108.26600000000001</c:v>
                </c:pt>
                <c:pt idx="46">
                  <c:v>-98.63</c:v>
                </c:pt>
                <c:pt idx="50">
                  <c:v>-97.462000000000003</c:v>
                </c:pt>
                <c:pt idx="51">
                  <c:v>-103.886</c:v>
                </c:pt>
                <c:pt idx="52">
                  <c:v>-86.95</c:v>
                </c:pt>
                <c:pt idx="53">
                  <c:v>-122.282</c:v>
                </c:pt>
                <c:pt idx="54">
                  <c:v>-108.85</c:v>
                </c:pt>
                <c:pt idx="55">
                  <c:v>-100.96599999999999</c:v>
                </c:pt>
                <c:pt idx="59">
                  <c:v>-0.81</c:v>
                </c:pt>
                <c:pt idx="60">
                  <c:v>-84.76</c:v>
                </c:pt>
                <c:pt idx="61">
                  <c:v>-117.026</c:v>
                </c:pt>
                <c:pt idx="62">
                  <c:v>-118.77800000000001</c:v>
                </c:pt>
                <c:pt idx="63">
                  <c:v>-111.47799999999999</c:v>
                </c:pt>
                <c:pt idx="67">
                  <c:v>-108.26600000000001</c:v>
                </c:pt>
                <c:pt idx="68">
                  <c:v>-109.142</c:v>
                </c:pt>
                <c:pt idx="69">
                  <c:v>-113.52200000000001</c:v>
                </c:pt>
                <c:pt idx="70">
                  <c:v>-105.346</c:v>
                </c:pt>
                <c:pt idx="74">
                  <c:v>-103.886</c:v>
                </c:pt>
                <c:pt idx="75">
                  <c:v>-103.30200000000001</c:v>
                </c:pt>
                <c:pt idx="76">
                  <c:v>-91.622</c:v>
                </c:pt>
                <c:pt idx="77">
                  <c:v>-105.346</c:v>
                </c:pt>
                <c:pt idx="78">
                  <c:v>-93.665999999999997</c:v>
                </c:pt>
                <c:pt idx="82">
                  <c:v>-94.25</c:v>
                </c:pt>
                <c:pt idx="83">
                  <c:v>-105.054</c:v>
                </c:pt>
                <c:pt idx="84">
                  <c:v>-106.22199999999999</c:v>
                </c:pt>
                <c:pt idx="85">
                  <c:v>-112.062</c:v>
                </c:pt>
                <c:pt idx="86">
                  <c:v>-100.96599999999999</c:v>
                </c:pt>
                <c:pt idx="90">
                  <c:v>-101.842</c:v>
                </c:pt>
                <c:pt idx="91">
                  <c:v>-133.96199999999999</c:v>
                </c:pt>
                <c:pt idx="92">
                  <c:v>-98.046000000000006</c:v>
                </c:pt>
                <c:pt idx="93">
                  <c:v>-103.886</c:v>
                </c:pt>
                <c:pt idx="94">
                  <c:v>-118.194</c:v>
                </c:pt>
                <c:pt idx="98">
                  <c:v>-96.001999999999995</c:v>
                </c:pt>
                <c:pt idx="99">
                  <c:v>-97.754000000000005</c:v>
                </c:pt>
                <c:pt idx="100">
                  <c:v>-101.842</c:v>
                </c:pt>
                <c:pt idx="101">
                  <c:v>-103.886</c:v>
                </c:pt>
                <c:pt idx="105">
                  <c:v>-86.95</c:v>
                </c:pt>
                <c:pt idx="106">
                  <c:v>-106.514</c:v>
                </c:pt>
                <c:pt idx="107">
                  <c:v>-112.646</c:v>
                </c:pt>
                <c:pt idx="111">
                  <c:v>-99.213999999999999</c:v>
                </c:pt>
                <c:pt idx="112">
                  <c:v>-108.55800000000001</c:v>
                </c:pt>
                <c:pt idx="113">
                  <c:v>-109.726</c:v>
                </c:pt>
                <c:pt idx="114">
                  <c:v>-118.194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91-402E-B90E-9F6F39555EF1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All!$GO$6:$GO$124</c:f>
              <c:numCache>
                <c:formatCode>General</c:formatCode>
                <c:ptCount val="119"/>
                <c:pt idx="0">
                  <c:v>97.608000000000004</c:v>
                </c:pt>
                <c:pt idx="1">
                  <c:v>125.494</c:v>
                </c:pt>
                <c:pt idx="2">
                  <c:v>119.946</c:v>
                </c:pt>
                <c:pt idx="3">
                  <c:v>118.486</c:v>
                </c:pt>
                <c:pt idx="7">
                  <c:v>108.85</c:v>
                </c:pt>
                <c:pt idx="8">
                  <c:v>104.178</c:v>
                </c:pt>
                <c:pt idx="9">
                  <c:v>114.398</c:v>
                </c:pt>
                <c:pt idx="10">
                  <c:v>105.054</c:v>
                </c:pt>
                <c:pt idx="11">
                  <c:v>107.682</c:v>
                </c:pt>
                <c:pt idx="12">
                  <c:v>132.63399999999999</c:v>
                </c:pt>
                <c:pt idx="13">
                  <c:v>110.602</c:v>
                </c:pt>
                <c:pt idx="17">
                  <c:v>109.142</c:v>
                </c:pt>
                <c:pt idx="18">
                  <c:v>105.77</c:v>
                </c:pt>
                <c:pt idx="19">
                  <c:v>105.346</c:v>
                </c:pt>
                <c:pt idx="20">
                  <c:v>103.59399999999999</c:v>
                </c:pt>
                <c:pt idx="21">
                  <c:v>113.654</c:v>
                </c:pt>
                <c:pt idx="22">
                  <c:v>99.798000000000002</c:v>
                </c:pt>
                <c:pt idx="26">
                  <c:v>135.262</c:v>
                </c:pt>
                <c:pt idx="27">
                  <c:v>106.646</c:v>
                </c:pt>
                <c:pt idx="28">
                  <c:v>121.83</c:v>
                </c:pt>
                <c:pt idx="29">
                  <c:v>141.97800000000001</c:v>
                </c:pt>
                <c:pt idx="30">
                  <c:v>116.282</c:v>
                </c:pt>
                <c:pt idx="31">
                  <c:v>100.38200000000001</c:v>
                </c:pt>
                <c:pt idx="35">
                  <c:v>142.27000000000001</c:v>
                </c:pt>
                <c:pt idx="36">
                  <c:v>99.93</c:v>
                </c:pt>
                <c:pt idx="37">
                  <c:v>106.22199999999999</c:v>
                </c:pt>
                <c:pt idx="38">
                  <c:v>63.722000000000001</c:v>
                </c:pt>
                <c:pt idx="42">
                  <c:v>97.462000000000003</c:v>
                </c:pt>
                <c:pt idx="43">
                  <c:v>124.61799999999999</c:v>
                </c:pt>
                <c:pt idx="44">
                  <c:v>119.946</c:v>
                </c:pt>
                <c:pt idx="45">
                  <c:v>108.982</c:v>
                </c:pt>
                <c:pt idx="46">
                  <c:v>98.63</c:v>
                </c:pt>
                <c:pt idx="50">
                  <c:v>101.098</c:v>
                </c:pt>
                <c:pt idx="51">
                  <c:v>103.886</c:v>
                </c:pt>
                <c:pt idx="52">
                  <c:v>123.29</c:v>
                </c:pt>
                <c:pt idx="53">
                  <c:v>122.282</c:v>
                </c:pt>
                <c:pt idx="54">
                  <c:v>108.85</c:v>
                </c:pt>
                <c:pt idx="55">
                  <c:v>100.96599999999999</c:v>
                </c:pt>
                <c:pt idx="59">
                  <c:v>0.81</c:v>
                </c:pt>
                <c:pt idx="60">
                  <c:v>84.76</c:v>
                </c:pt>
                <c:pt idx="61">
                  <c:v>117.026</c:v>
                </c:pt>
                <c:pt idx="62">
                  <c:v>118.77800000000001</c:v>
                </c:pt>
                <c:pt idx="63">
                  <c:v>130.006</c:v>
                </c:pt>
                <c:pt idx="67">
                  <c:v>108.26600000000001</c:v>
                </c:pt>
                <c:pt idx="68">
                  <c:v>109.142</c:v>
                </c:pt>
                <c:pt idx="69">
                  <c:v>113.52200000000001</c:v>
                </c:pt>
                <c:pt idx="70">
                  <c:v>105.346</c:v>
                </c:pt>
                <c:pt idx="74">
                  <c:v>105.47799999999999</c:v>
                </c:pt>
                <c:pt idx="75">
                  <c:v>103.30200000000001</c:v>
                </c:pt>
                <c:pt idx="76">
                  <c:v>112.77800000000001</c:v>
                </c:pt>
                <c:pt idx="77">
                  <c:v>105.346</c:v>
                </c:pt>
                <c:pt idx="78">
                  <c:v>93.665999999999997</c:v>
                </c:pt>
                <c:pt idx="82">
                  <c:v>108.398</c:v>
                </c:pt>
                <c:pt idx="83">
                  <c:v>105.054</c:v>
                </c:pt>
                <c:pt idx="84">
                  <c:v>106.22199999999999</c:v>
                </c:pt>
                <c:pt idx="85">
                  <c:v>113.07</c:v>
                </c:pt>
                <c:pt idx="86">
                  <c:v>110.44199999999999</c:v>
                </c:pt>
                <c:pt idx="90">
                  <c:v>101.842</c:v>
                </c:pt>
                <c:pt idx="91">
                  <c:v>133.96199999999999</c:v>
                </c:pt>
                <c:pt idx="92">
                  <c:v>98.046000000000006</c:v>
                </c:pt>
                <c:pt idx="93">
                  <c:v>103.886</c:v>
                </c:pt>
                <c:pt idx="94">
                  <c:v>118.194</c:v>
                </c:pt>
                <c:pt idx="98">
                  <c:v>96.001999999999995</c:v>
                </c:pt>
                <c:pt idx="99">
                  <c:v>97.754000000000005</c:v>
                </c:pt>
                <c:pt idx="100">
                  <c:v>114.238</c:v>
                </c:pt>
                <c:pt idx="101">
                  <c:v>103.886</c:v>
                </c:pt>
                <c:pt idx="105">
                  <c:v>101.974</c:v>
                </c:pt>
                <c:pt idx="106">
                  <c:v>113.946</c:v>
                </c:pt>
                <c:pt idx="107">
                  <c:v>112.646</c:v>
                </c:pt>
                <c:pt idx="111">
                  <c:v>115.69799999999999</c:v>
                </c:pt>
                <c:pt idx="112">
                  <c:v>108.55800000000001</c:v>
                </c:pt>
                <c:pt idx="113">
                  <c:v>109.726</c:v>
                </c:pt>
                <c:pt idx="114">
                  <c:v>118.194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91-402E-B90E-9F6F39555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77888"/>
        <c:axId val="415872064"/>
      </c:scatterChart>
      <c:valAx>
        <c:axId val="41587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872064"/>
        <c:crosses val="autoZero"/>
        <c:crossBetween val="midCat"/>
      </c:valAx>
      <c:valAx>
        <c:axId val="41587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877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All!$GQ$6:$GQ$124</c:f>
              <c:numCache>
                <c:formatCode>General</c:formatCode>
                <c:ptCount val="119"/>
                <c:pt idx="0">
                  <c:v>5.782</c:v>
                </c:pt>
                <c:pt idx="1">
                  <c:v>1.9470000000000001</c:v>
                </c:pt>
                <c:pt idx="2">
                  <c:v>1.8879999999999999</c:v>
                </c:pt>
                <c:pt idx="3">
                  <c:v>1.9470000000000001</c:v>
                </c:pt>
                <c:pt idx="7">
                  <c:v>4.13</c:v>
                </c:pt>
                <c:pt idx="8">
                  <c:v>1.9470000000000001</c:v>
                </c:pt>
                <c:pt idx="9">
                  <c:v>1.9470000000000001</c:v>
                </c:pt>
                <c:pt idx="10">
                  <c:v>1.9470000000000001</c:v>
                </c:pt>
                <c:pt idx="11">
                  <c:v>1.9470000000000001</c:v>
                </c:pt>
                <c:pt idx="12">
                  <c:v>1.9470000000000001</c:v>
                </c:pt>
                <c:pt idx="13">
                  <c:v>1.9470000000000001</c:v>
                </c:pt>
                <c:pt idx="17">
                  <c:v>3.3039999999999998</c:v>
                </c:pt>
                <c:pt idx="18">
                  <c:v>1.9470000000000001</c:v>
                </c:pt>
                <c:pt idx="19">
                  <c:v>1.9470000000000001</c:v>
                </c:pt>
                <c:pt idx="20">
                  <c:v>1.9470000000000001</c:v>
                </c:pt>
                <c:pt idx="21">
                  <c:v>1.9470000000000001</c:v>
                </c:pt>
                <c:pt idx="22">
                  <c:v>5.6050000000000004</c:v>
                </c:pt>
                <c:pt idx="26">
                  <c:v>4.0119999999999996</c:v>
                </c:pt>
                <c:pt idx="27">
                  <c:v>1.9470000000000001</c:v>
                </c:pt>
                <c:pt idx="28">
                  <c:v>1.9470000000000001</c:v>
                </c:pt>
                <c:pt idx="29">
                  <c:v>1.9470000000000001</c:v>
                </c:pt>
                <c:pt idx="30">
                  <c:v>1.9470000000000001</c:v>
                </c:pt>
                <c:pt idx="31">
                  <c:v>1.9470000000000001</c:v>
                </c:pt>
                <c:pt idx="35">
                  <c:v>4.0119999999999996</c:v>
                </c:pt>
                <c:pt idx="36">
                  <c:v>2.0649999999999999</c:v>
                </c:pt>
                <c:pt idx="37">
                  <c:v>1.9470000000000001</c:v>
                </c:pt>
                <c:pt idx="38">
                  <c:v>1.9470000000000001</c:v>
                </c:pt>
                <c:pt idx="42">
                  <c:v>4.5430000000000001</c:v>
                </c:pt>
                <c:pt idx="43">
                  <c:v>1.9470000000000001</c:v>
                </c:pt>
                <c:pt idx="44">
                  <c:v>1.9470000000000001</c:v>
                </c:pt>
                <c:pt idx="45">
                  <c:v>1.8879999999999999</c:v>
                </c:pt>
                <c:pt idx="46">
                  <c:v>1.8879999999999999</c:v>
                </c:pt>
                <c:pt idx="50">
                  <c:v>5.31</c:v>
                </c:pt>
                <c:pt idx="51">
                  <c:v>1.9470000000000001</c:v>
                </c:pt>
                <c:pt idx="52">
                  <c:v>1.9470000000000001</c:v>
                </c:pt>
                <c:pt idx="53">
                  <c:v>1.8879999999999999</c:v>
                </c:pt>
                <c:pt idx="54">
                  <c:v>1.8879999999999999</c:v>
                </c:pt>
                <c:pt idx="55">
                  <c:v>5.133</c:v>
                </c:pt>
                <c:pt idx="59">
                  <c:v>1.77</c:v>
                </c:pt>
                <c:pt idx="60">
                  <c:v>4.2480000000000002</c:v>
                </c:pt>
                <c:pt idx="61">
                  <c:v>1.8879999999999999</c:v>
                </c:pt>
                <c:pt idx="62">
                  <c:v>1.9470000000000001</c:v>
                </c:pt>
                <c:pt idx="63">
                  <c:v>1.8879999999999999</c:v>
                </c:pt>
                <c:pt idx="67">
                  <c:v>4.13</c:v>
                </c:pt>
                <c:pt idx="68">
                  <c:v>1.8879999999999999</c:v>
                </c:pt>
                <c:pt idx="69">
                  <c:v>1.8879999999999999</c:v>
                </c:pt>
                <c:pt idx="70">
                  <c:v>1.9470000000000001</c:v>
                </c:pt>
                <c:pt idx="74">
                  <c:v>4.2480000000000002</c:v>
                </c:pt>
                <c:pt idx="75">
                  <c:v>1.8879999999999999</c:v>
                </c:pt>
                <c:pt idx="76">
                  <c:v>1.829</c:v>
                </c:pt>
                <c:pt idx="77">
                  <c:v>1.829</c:v>
                </c:pt>
                <c:pt idx="78">
                  <c:v>5.1920000000000002</c:v>
                </c:pt>
                <c:pt idx="82">
                  <c:v>3.4809999999999999</c:v>
                </c:pt>
                <c:pt idx="83">
                  <c:v>1.829</c:v>
                </c:pt>
                <c:pt idx="84">
                  <c:v>1.829</c:v>
                </c:pt>
                <c:pt idx="85">
                  <c:v>1.829</c:v>
                </c:pt>
                <c:pt idx="86">
                  <c:v>5.782</c:v>
                </c:pt>
                <c:pt idx="90">
                  <c:v>3.8940000000000001</c:v>
                </c:pt>
                <c:pt idx="91">
                  <c:v>1.8879999999999999</c:v>
                </c:pt>
                <c:pt idx="92">
                  <c:v>1.9470000000000001</c:v>
                </c:pt>
                <c:pt idx="93">
                  <c:v>1.8879999999999999</c:v>
                </c:pt>
                <c:pt idx="94">
                  <c:v>5.9</c:v>
                </c:pt>
                <c:pt idx="98">
                  <c:v>3.9529999999999998</c:v>
                </c:pt>
                <c:pt idx="99">
                  <c:v>1.8879999999999999</c:v>
                </c:pt>
                <c:pt idx="100">
                  <c:v>1.8879999999999999</c:v>
                </c:pt>
                <c:pt idx="101">
                  <c:v>1.8879999999999999</c:v>
                </c:pt>
                <c:pt idx="105">
                  <c:v>3.2450000000000001</c:v>
                </c:pt>
                <c:pt idx="106">
                  <c:v>1.829</c:v>
                </c:pt>
                <c:pt idx="107">
                  <c:v>1.8879999999999999</c:v>
                </c:pt>
                <c:pt idx="111">
                  <c:v>4.1890000000000001</c:v>
                </c:pt>
                <c:pt idx="112">
                  <c:v>1.829</c:v>
                </c:pt>
                <c:pt idx="113">
                  <c:v>1.829</c:v>
                </c:pt>
                <c:pt idx="114">
                  <c:v>1.9470000000000001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D-4970-869E-91378EBCA69E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All!$ES$6:$ES$124</c:f>
              <c:numCache>
                <c:formatCode>General</c:formatCode>
                <c:ptCount val="119"/>
                <c:pt idx="0">
                  <c:v>0.36399999999999999</c:v>
                </c:pt>
                <c:pt idx="1">
                  <c:v>1.583</c:v>
                </c:pt>
                <c:pt idx="2">
                  <c:v>1.577</c:v>
                </c:pt>
                <c:pt idx="3">
                  <c:v>1.5229999999999999</c:v>
                </c:pt>
                <c:pt idx="7">
                  <c:v>1.3620000000000001</c:v>
                </c:pt>
                <c:pt idx="8">
                  <c:v>1.5609999999999999</c:v>
                </c:pt>
                <c:pt idx="9">
                  <c:v>1.524</c:v>
                </c:pt>
                <c:pt idx="10">
                  <c:v>1.478</c:v>
                </c:pt>
                <c:pt idx="11">
                  <c:v>1.4990000000000001</c:v>
                </c:pt>
                <c:pt idx="12">
                  <c:v>1.462</c:v>
                </c:pt>
                <c:pt idx="13">
                  <c:v>1.452</c:v>
                </c:pt>
                <c:pt idx="17">
                  <c:v>1.4379999999999999</c:v>
                </c:pt>
                <c:pt idx="18">
                  <c:v>1.415</c:v>
                </c:pt>
                <c:pt idx="19">
                  <c:v>1.373</c:v>
                </c:pt>
                <c:pt idx="20">
                  <c:v>1.3420000000000001</c:v>
                </c:pt>
                <c:pt idx="21">
                  <c:v>1.288</c:v>
                </c:pt>
                <c:pt idx="22">
                  <c:v>0.95199999999999996</c:v>
                </c:pt>
                <c:pt idx="26">
                  <c:v>1.4730000000000001</c:v>
                </c:pt>
                <c:pt idx="27">
                  <c:v>1.6</c:v>
                </c:pt>
                <c:pt idx="28">
                  <c:v>1.5680000000000001</c:v>
                </c:pt>
                <c:pt idx="29">
                  <c:v>1.536</c:v>
                </c:pt>
                <c:pt idx="30">
                  <c:v>1.494</c:v>
                </c:pt>
                <c:pt idx="31">
                  <c:v>1.524</c:v>
                </c:pt>
                <c:pt idx="35">
                  <c:v>0.23400000000000001</c:v>
                </c:pt>
                <c:pt idx="36">
                  <c:v>1.474</c:v>
                </c:pt>
                <c:pt idx="37">
                  <c:v>1.458</c:v>
                </c:pt>
                <c:pt idx="38">
                  <c:v>1.5660000000000001</c:v>
                </c:pt>
                <c:pt idx="42">
                  <c:v>1.399</c:v>
                </c:pt>
                <c:pt idx="43">
                  <c:v>1.534</c:v>
                </c:pt>
                <c:pt idx="44">
                  <c:v>1.345</c:v>
                </c:pt>
                <c:pt idx="45">
                  <c:v>1.298</c:v>
                </c:pt>
                <c:pt idx="46">
                  <c:v>1.042</c:v>
                </c:pt>
                <c:pt idx="50">
                  <c:v>0.48799999999999999</c:v>
                </c:pt>
                <c:pt idx="51">
                  <c:v>1.5820000000000001</c:v>
                </c:pt>
                <c:pt idx="52">
                  <c:v>1.605</c:v>
                </c:pt>
                <c:pt idx="53">
                  <c:v>1.486</c:v>
                </c:pt>
                <c:pt idx="54">
                  <c:v>1.4510000000000001</c:v>
                </c:pt>
                <c:pt idx="55">
                  <c:v>1.5049999999999999</c:v>
                </c:pt>
                <c:pt idx="59">
                  <c:v>0.77600000000000002</c:v>
                </c:pt>
                <c:pt idx="60">
                  <c:v>1.2070000000000001</c:v>
                </c:pt>
                <c:pt idx="61">
                  <c:v>1.54</c:v>
                </c:pt>
                <c:pt idx="62">
                  <c:v>1.494</c:v>
                </c:pt>
                <c:pt idx="63">
                  <c:v>1.4990000000000001</c:v>
                </c:pt>
                <c:pt idx="67">
                  <c:v>1.3029999999999999</c:v>
                </c:pt>
                <c:pt idx="68">
                  <c:v>1.4279999999999999</c:v>
                </c:pt>
                <c:pt idx="69">
                  <c:v>1.3979999999999999</c:v>
                </c:pt>
                <c:pt idx="70">
                  <c:v>1.42</c:v>
                </c:pt>
                <c:pt idx="74">
                  <c:v>0.50900000000000001</c:v>
                </c:pt>
                <c:pt idx="75">
                  <c:v>1.5169999999999999</c:v>
                </c:pt>
                <c:pt idx="76">
                  <c:v>1.4830000000000001</c:v>
                </c:pt>
                <c:pt idx="77">
                  <c:v>1.4450000000000001</c:v>
                </c:pt>
                <c:pt idx="78">
                  <c:v>1.425</c:v>
                </c:pt>
                <c:pt idx="82">
                  <c:v>1.1870000000000001</c:v>
                </c:pt>
                <c:pt idx="83">
                  <c:v>1.52</c:v>
                </c:pt>
                <c:pt idx="84">
                  <c:v>1.4830000000000001</c:v>
                </c:pt>
                <c:pt idx="85">
                  <c:v>1.44</c:v>
                </c:pt>
                <c:pt idx="86">
                  <c:v>1.4259999999999999</c:v>
                </c:pt>
                <c:pt idx="90">
                  <c:v>1.244</c:v>
                </c:pt>
                <c:pt idx="91">
                  <c:v>1.5409999999999999</c:v>
                </c:pt>
                <c:pt idx="92">
                  <c:v>1.516</c:v>
                </c:pt>
                <c:pt idx="93">
                  <c:v>1.4670000000000001</c:v>
                </c:pt>
                <c:pt idx="94">
                  <c:v>1.498</c:v>
                </c:pt>
                <c:pt idx="98">
                  <c:v>1.423</c:v>
                </c:pt>
                <c:pt idx="99">
                  <c:v>1.5209999999999999</c:v>
                </c:pt>
                <c:pt idx="100">
                  <c:v>1.4690000000000001</c:v>
                </c:pt>
                <c:pt idx="101">
                  <c:v>1.4410000000000001</c:v>
                </c:pt>
                <c:pt idx="105">
                  <c:v>1.1479999999999999</c:v>
                </c:pt>
                <c:pt idx="106">
                  <c:v>1.401</c:v>
                </c:pt>
                <c:pt idx="107">
                  <c:v>1.329</c:v>
                </c:pt>
                <c:pt idx="111">
                  <c:v>1.097</c:v>
                </c:pt>
                <c:pt idx="112">
                  <c:v>1.337</c:v>
                </c:pt>
                <c:pt idx="113">
                  <c:v>1.3180000000000001</c:v>
                </c:pt>
                <c:pt idx="114">
                  <c:v>1.5169999999999999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2D-4970-869E-91378EBCA69E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All!$GP$6:$GP$124</c:f>
              <c:numCache>
                <c:formatCode>General</c:formatCode>
                <c:ptCount val="119"/>
                <c:pt idx="0">
                  <c:v>0</c:v>
                </c:pt>
                <c:pt idx="1">
                  <c:v>1.2390000000000001</c:v>
                </c:pt>
                <c:pt idx="2">
                  <c:v>1.0620000000000001</c:v>
                </c:pt>
                <c:pt idx="3">
                  <c:v>0</c:v>
                </c:pt>
                <c:pt idx="7">
                  <c:v>0</c:v>
                </c:pt>
                <c:pt idx="8">
                  <c:v>1.0029999999999999</c:v>
                </c:pt>
                <c:pt idx="9">
                  <c:v>0.82599999999999996</c:v>
                </c:pt>
                <c:pt idx="10">
                  <c:v>0.53100000000000003</c:v>
                </c:pt>
                <c:pt idx="11">
                  <c:v>0.53100000000000003</c:v>
                </c:pt>
                <c:pt idx="12">
                  <c:v>0.64900000000000002</c:v>
                </c:pt>
                <c:pt idx="13">
                  <c:v>0</c:v>
                </c:pt>
                <c:pt idx="17">
                  <c:v>0</c:v>
                </c:pt>
                <c:pt idx="18">
                  <c:v>0.35399999999999998</c:v>
                </c:pt>
                <c:pt idx="19">
                  <c:v>0.35399999999999998</c:v>
                </c:pt>
                <c:pt idx="20">
                  <c:v>0.35399999999999998</c:v>
                </c:pt>
                <c:pt idx="21">
                  <c:v>0.29499999999999998</c:v>
                </c:pt>
                <c:pt idx="22">
                  <c:v>0</c:v>
                </c:pt>
                <c:pt idx="26">
                  <c:v>0</c:v>
                </c:pt>
                <c:pt idx="27">
                  <c:v>1.121</c:v>
                </c:pt>
                <c:pt idx="28">
                  <c:v>1.0029999999999999</c:v>
                </c:pt>
                <c:pt idx="29">
                  <c:v>0.88500000000000001</c:v>
                </c:pt>
                <c:pt idx="30">
                  <c:v>0.53100000000000003</c:v>
                </c:pt>
                <c:pt idx="31">
                  <c:v>0</c:v>
                </c:pt>
                <c:pt idx="35">
                  <c:v>0</c:v>
                </c:pt>
                <c:pt idx="36">
                  <c:v>0.53100000000000003</c:v>
                </c:pt>
                <c:pt idx="37">
                  <c:v>0.53100000000000003</c:v>
                </c:pt>
                <c:pt idx="38">
                  <c:v>0</c:v>
                </c:pt>
                <c:pt idx="42">
                  <c:v>0</c:v>
                </c:pt>
                <c:pt idx="43">
                  <c:v>0.53100000000000003</c:v>
                </c:pt>
                <c:pt idx="44">
                  <c:v>0.35399999999999998</c:v>
                </c:pt>
                <c:pt idx="45">
                  <c:v>0.29499999999999998</c:v>
                </c:pt>
                <c:pt idx="46">
                  <c:v>0</c:v>
                </c:pt>
                <c:pt idx="50">
                  <c:v>0</c:v>
                </c:pt>
                <c:pt idx="51">
                  <c:v>1.0620000000000001</c:v>
                </c:pt>
                <c:pt idx="52">
                  <c:v>0.94399999999999995</c:v>
                </c:pt>
                <c:pt idx="53">
                  <c:v>0.53100000000000003</c:v>
                </c:pt>
                <c:pt idx="54">
                  <c:v>0.53100000000000003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0.88500000000000001</c:v>
                </c:pt>
                <c:pt idx="62">
                  <c:v>0.53100000000000003</c:v>
                </c:pt>
                <c:pt idx="63">
                  <c:v>0</c:v>
                </c:pt>
                <c:pt idx="67">
                  <c:v>0</c:v>
                </c:pt>
                <c:pt idx="68">
                  <c:v>0.53100000000000003</c:v>
                </c:pt>
                <c:pt idx="69">
                  <c:v>0.41299999999999998</c:v>
                </c:pt>
                <c:pt idx="70">
                  <c:v>0</c:v>
                </c:pt>
                <c:pt idx="74">
                  <c:v>0</c:v>
                </c:pt>
                <c:pt idx="75">
                  <c:v>0.94399999999999995</c:v>
                </c:pt>
                <c:pt idx="76">
                  <c:v>0.76700000000000002</c:v>
                </c:pt>
                <c:pt idx="77">
                  <c:v>0.53100000000000003</c:v>
                </c:pt>
                <c:pt idx="78">
                  <c:v>0</c:v>
                </c:pt>
                <c:pt idx="82">
                  <c:v>0</c:v>
                </c:pt>
                <c:pt idx="83">
                  <c:v>0.94399999999999995</c:v>
                </c:pt>
                <c:pt idx="84">
                  <c:v>0.76700000000000002</c:v>
                </c:pt>
                <c:pt idx="85">
                  <c:v>0.53100000000000003</c:v>
                </c:pt>
                <c:pt idx="86">
                  <c:v>0</c:v>
                </c:pt>
                <c:pt idx="90">
                  <c:v>0</c:v>
                </c:pt>
                <c:pt idx="91">
                  <c:v>0.94399999999999995</c:v>
                </c:pt>
                <c:pt idx="92">
                  <c:v>0.88500000000000001</c:v>
                </c:pt>
                <c:pt idx="93">
                  <c:v>0.76700000000000002</c:v>
                </c:pt>
                <c:pt idx="94">
                  <c:v>0</c:v>
                </c:pt>
                <c:pt idx="98">
                  <c:v>0</c:v>
                </c:pt>
                <c:pt idx="99">
                  <c:v>1.0029999999999999</c:v>
                </c:pt>
                <c:pt idx="100">
                  <c:v>0.47199999999999998</c:v>
                </c:pt>
                <c:pt idx="101">
                  <c:v>0</c:v>
                </c:pt>
                <c:pt idx="105">
                  <c:v>0</c:v>
                </c:pt>
                <c:pt idx="106">
                  <c:v>0.47199999999999998</c:v>
                </c:pt>
                <c:pt idx="107">
                  <c:v>0</c:v>
                </c:pt>
                <c:pt idx="111">
                  <c:v>0</c:v>
                </c:pt>
                <c:pt idx="112">
                  <c:v>0.29499999999999998</c:v>
                </c:pt>
                <c:pt idx="113">
                  <c:v>0.35399999999999998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2D-4970-869E-91378EBCA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85776"/>
        <c:axId val="483987856"/>
      </c:scatterChart>
      <c:valAx>
        <c:axId val="48398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7856"/>
        <c:crosses val="autoZero"/>
        <c:crossBetween val="midCat"/>
      </c:valAx>
      <c:valAx>
        <c:axId val="48398785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985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All!$GS$6:$GS$124</c:f>
              <c:numCache>
                <c:formatCode>General</c:formatCode>
                <c:ptCount val="119"/>
                <c:pt idx="0">
                  <c:v>6.0179999999999998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2.0059999999999998</c:v>
                </c:pt>
                <c:pt idx="7">
                  <c:v>4.0119999999999996</c:v>
                </c:pt>
                <c:pt idx="8">
                  <c:v>2.0059999999999998</c:v>
                </c:pt>
                <c:pt idx="9">
                  <c:v>2.0059999999999998</c:v>
                </c:pt>
                <c:pt idx="10">
                  <c:v>2.0059999999999998</c:v>
                </c:pt>
                <c:pt idx="11">
                  <c:v>2.0059999999999998</c:v>
                </c:pt>
                <c:pt idx="12">
                  <c:v>2.0059999999999998</c:v>
                </c:pt>
                <c:pt idx="13">
                  <c:v>1.9470000000000001</c:v>
                </c:pt>
                <c:pt idx="17">
                  <c:v>3.4220000000000002</c:v>
                </c:pt>
                <c:pt idx="18">
                  <c:v>2.0059999999999998</c:v>
                </c:pt>
                <c:pt idx="19">
                  <c:v>2.0059999999999998</c:v>
                </c:pt>
                <c:pt idx="20">
                  <c:v>1.9470000000000001</c:v>
                </c:pt>
                <c:pt idx="21">
                  <c:v>1.9470000000000001</c:v>
                </c:pt>
                <c:pt idx="22">
                  <c:v>5.3689999999999998</c:v>
                </c:pt>
                <c:pt idx="26">
                  <c:v>4.5430000000000001</c:v>
                </c:pt>
                <c:pt idx="27">
                  <c:v>2.0059999999999998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2.0059999999999998</c:v>
                </c:pt>
                <c:pt idx="35">
                  <c:v>4.5430000000000001</c:v>
                </c:pt>
                <c:pt idx="36">
                  <c:v>2.0059999999999998</c:v>
                </c:pt>
                <c:pt idx="37">
                  <c:v>2.0059999999999998</c:v>
                </c:pt>
                <c:pt idx="38">
                  <c:v>2.0059999999999998</c:v>
                </c:pt>
                <c:pt idx="42">
                  <c:v>4.8970000000000002</c:v>
                </c:pt>
                <c:pt idx="43">
                  <c:v>2.0059999999999998</c:v>
                </c:pt>
                <c:pt idx="44">
                  <c:v>2.0059999999999998</c:v>
                </c:pt>
                <c:pt idx="45">
                  <c:v>2.0059999999999998</c:v>
                </c:pt>
                <c:pt idx="46">
                  <c:v>1.9470000000000001</c:v>
                </c:pt>
                <c:pt idx="50">
                  <c:v>5.782</c:v>
                </c:pt>
                <c:pt idx="51">
                  <c:v>2.0059999999999998</c:v>
                </c:pt>
                <c:pt idx="52">
                  <c:v>2.0059999999999998</c:v>
                </c:pt>
                <c:pt idx="53">
                  <c:v>2.0059999999999998</c:v>
                </c:pt>
                <c:pt idx="54">
                  <c:v>2.0059999999999998</c:v>
                </c:pt>
                <c:pt idx="55">
                  <c:v>5.0739999999999998</c:v>
                </c:pt>
                <c:pt idx="59">
                  <c:v>1.77</c:v>
                </c:pt>
                <c:pt idx="60">
                  <c:v>5.1920000000000002</c:v>
                </c:pt>
                <c:pt idx="61">
                  <c:v>2.0649999999999999</c:v>
                </c:pt>
                <c:pt idx="62">
                  <c:v>2.0059999999999998</c:v>
                </c:pt>
                <c:pt idx="63">
                  <c:v>2.0059999999999998</c:v>
                </c:pt>
                <c:pt idx="67">
                  <c:v>4.13</c:v>
                </c:pt>
                <c:pt idx="68">
                  <c:v>2.0059999999999998</c:v>
                </c:pt>
                <c:pt idx="69">
                  <c:v>2.0059999999999998</c:v>
                </c:pt>
                <c:pt idx="70">
                  <c:v>2.0059999999999998</c:v>
                </c:pt>
                <c:pt idx="74">
                  <c:v>4.7789999999999999</c:v>
                </c:pt>
                <c:pt idx="75">
                  <c:v>2.0059999999999998</c:v>
                </c:pt>
                <c:pt idx="76">
                  <c:v>2.0059999999999998</c:v>
                </c:pt>
                <c:pt idx="77">
                  <c:v>1.9470000000000001</c:v>
                </c:pt>
                <c:pt idx="78">
                  <c:v>5.2510000000000003</c:v>
                </c:pt>
                <c:pt idx="82">
                  <c:v>3.6579999999999999</c:v>
                </c:pt>
                <c:pt idx="83">
                  <c:v>1.9470000000000001</c:v>
                </c:pt>
                <c:pt idx="84">
                  <c:v>1.9470000000000001</c:v>
                </c:pt>
                <c:pt idx="85">
                  <c:v>2.0059999999999998</c:v>
                </c:pt>
                <c:pt idx="86">
                  <c:v>4.8380000000000001</c:v>
                </c:pt>
                <c:pt idx="90">
                  <c:v>4.0119999999999996</c:v>
                </c:pt>
                <c:pt idx="91">
                  <c:v>2.0059999999999998</c:v>
                </c:pt>
                <c:pt idx="92">
                  <c:v>2.0059999999999998</c:v>
                </c:pt>
                <c:pt idx="93">
                  <c:v>2.0649999999999999</c:v>
                </c:pt>
                <c:pt idx="94">
                  <c:v>4.484</c:v>
                </c:pt>
                <c:pt idx="98">
                  <c:v>4.72</c:v>
                </c:pt>
                <c:pt idx="99">
                  <c:v>2.0059999999999998</c:v>
                </c:pt>
                <c:pt idx="100">
                  <c:v>1.9470000000000001</c:v>
                </c:pt>
                <c:pt idx="101">
                  <c:v>1.9470000000000001</c:v>
                </c:pt>
                <c:pt idx="105">
                  <c:v>3.363</c:v>
                </c:pt>
                <c:pt idx="106">
                  <c:v>2.0059999999999998</c:v>
                </c:pt>
                <c:pt idx="107">
                  <c:v>2.0059999999999998</c:v>
                </c:pt>
                <c:pt idx="111">
                  <c:v>3.4220000000000002</c:v>
                </c:pt>
                <c:pt idx="112">
                  <c:v>1.9470000000000001</c:v>
                </c:pt>
                <c:pt idx="113">
                  <c:v>1.9470000000000001</c:v>
                </c:pt>
                <c:pt idx="114">
                  <c:v>2.1240000000000001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37-4429-B898-6B141971DA57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All!$ET$6:$ET$124</c:f>
              <c:numCache>
                <c:formatCode>General</c:formatCode>
                <c:ptCount val="119"/>
                <c:pt idx="0">
                  <c:v>0.38100000000000001</c:v>
                </c:pt>
                <c:pt idx="1">
                  <c:v>1.647</c:v>
                </c:pt>
                <c:pt idx="2">
                  <c:v>1.6539999999999999</c:v>
                </c:pt>
                <c:pt idx="3">
                  <c:v>1.6220000000000001</c:v>
                </c:pt>
                <c:pt idx="7">
                  <c:v>1.4079999999999999</c:v>
                </c:pt>
                <c:pt idx="8">
                  <c:v>1.653</c:v>
                </c:pt>
                <c:pt idx="9">
                  <c:v>1.6559999999999999</c:v>
                </c:pt>
                <c:pt idx="10">
                  <c:v>1.6579999999999999</c:v>
                </c:pt>
                <c:pt idx="11">
                  <c:v>1.6559999999999999</c:v>
                </c:pt>
                <c:pt idx="12">
                  <c:v>1.629</c:v>
                </c:pt>
                <c:pt idx="13">
                  <c:v>1.6080000000000001</c:v>
                </c:pt>
                <c:pt idx="17">
                  <c:v>1.55</c:v>
                </c:pt>
                <c:pt idx="18">
                  <c:v>1.5760000000000001</c:v>
                </c:pt>
                <c:pt idx="19">
                  <c:v>1.51</c:v>
                </c:pt>
                <c:pt idx="20">
                  <c:v>1.431</c:v>
                </c:pt>
                <c:pt idx="21">
                  <c:v>1.3169999999999999</c:v>
                </c:pt>
                <c:pt idx="22">
                  <c:v>0.94399999999999995</c:v>
                </c:pt>
                <c:pt idx="26">
                  <c:v>1.4970000000000001</c:v>
                </c:pt>
                <c:pt idx="27">
                  <c:v>1.639</c:v>
                </c:pt>
                <c:pt idx="28">
                  <c:v>1.643</c:v>
                </c:pt>
                <c:pt idx="29">
                  <c:v>1.64</c:v>
                </c:pt>
                <c:pt idx="30">
                  <c:v>1.6439999999999999</c:v>
                </c:pt>
                <c:pt idx="31">
                  <c:v>1.629</c:v>
                </c:pt>
                <c:pt idx="35">
                  <c:v>0.253</c:v>
                </c:pt>
                <c:pt idx="36">
                  <c:v>1.6240000000000001</c:v>
                </c:pt>
                <c:pt idx="37">
                  <c:v>1.603</c:v>
                </c:pt>
                <c:pt idx="38">
                  <c:v>1.651</c:v>
                </c:pt>
                <c:pt idx="42">
                  <c:v>1.494</c:v>
                </c:pt>
                <c:pt idx="43">
                  <c:v>1.6419999999999999</c:v>
                </c:pt>
                <c:pt idx="44">
                  <c:v>1.4750000000000001</c:v>
                </c:pt>
                <c:pt idx="45">
                  <c:v>1.355</c:v>
                </c:pt>
                <c:pt idx="46">
                  <c:v>1.04</c:v>
                </c:pt>
                <c:pt idx="50">
                  <c:v>0.50700000000000001</c:v>
                </c:pt>
                <c:pt idx="51">
                  <c:v>1.649</c:v>
                </c:pt>
                <c:pt idx="52">
                  <c:v>1.6859999999999999</c:v>
                </c:pt>
                <c:pt idx="53">
                  <c:v>1.661</c:v>
                </c:pt>
                <c:pt idx="54">
                  <c:v>1.657</c:v>
                </c:pt>
                <c:pt idx="55">
                  <c:v>1.627</c:v>
                </c:pt>
                <c:pt idx="59">
                  <c:v>0.8</c:v>
                </c:pt>
                <c:pt idx="60">
                  <c:v>1.242</c:v>
                </c:pt>
                <c:pt idx="61">
                  <c:v>1.649</c:v>
                </c:pt>
                <c:pt idx="62">
                  <c:v>1.6459999999999999</c:v>
                </c:pt>
                <c:pt idx="63">
                  <c:v>1.63</c:v>
                </c:pt>
                <c:pt idx="67">
                  <c:v>1.4219999999999999</c:v>
                </c:pt>
                <c:pt idx="68">
                  <c:v>1.6259999999999999</c:v>
                </c:pt>
                <c:pt idx="69">
                  <c:v>1.6020000000000001</c:v>
                </c:pt>
                <c:pt idx="70">
                  <c:v>1.5960000000000001</c:v>
                </c:pt>
                <c:pt idx="74">
                  <c:v>0.52600000000000002</c:v>
                </c:pt>
                <c:pt idx="75">
                  <c:v>1.6</c:v>
                </c:pt>
                <c:pt idx="76">
                  <c:v>1.611</c:v>
                </c:pt>
                <c:pt idx="77">
                  <c:v>1.6140000000000001</c:v>
                </c:pt>
                <c:pt idx="78">
                  <c:v>1.579</c:v>
                </c:pt>
                <c:pt idx="82">
                  <c:v>1.2330000000000001</c:v>
                </c:pt>
                <c:pt idx="83">
                  <c:v>1.6120000000000001</c:v>
                </c:pt>
                <c:pt idx="84">
                  <c:v>1.6160000000000001</c:v>
                </c:pt>
                <c:pt idx="85">
                  <c:v>1.6220000000000001</c:v>
                </c:pt>
                <c:pt idx="86">
                  <c:v>1.59</c:v>
                </c:pt>
                <c:pt idx="90">
                  <c:v>1.304</c:v>
                </c:pt>
                <c:pt idx="91">
                  <c:v>1.6279999999999999</c:v>
                </c:pt>
                <c:pt idx="92">
                  <c:v>1.633</c:v>
                </c:pt>
                <c:pt idx="93">
                  <c:v>1.63</c:v>
                </c:pt>
                <c:pt idx="94">
                  <c:v>1.58</c:v>
                </c:pt>
                <c:pt idx="98">
                  <c:v>1.472</c:v>
                </c:pt>
                <c:pt idx="99">
                  <c:v>1.61</c:v>
                </c:pt>
                <c:pt idx="100">
                  <c:v>1.6140000000000001</c:v>
                </c:pt>
                <c:pt idx="101">
                  <c:v>1.5740000000000001</c:v>
                </c:pt>
                <c:pt idx="105">
                  <c:v>1.2629999999999999</c:v>
                </c:pt>
                <c:pt idx="106">
                  <c:v>1.5980000000000001</c:v>
                </c:pt>
                <c:pt idx="107">
                  <c:v>1.496</c:v>
                </c:pt>
                <c:pt idx="111">
                  <c:v>1.232</c:v>
                </c:pt>
                <c:pt idx="112">
                  <c:v>1.5289999999999999</c:v>
                </c:pt>
                <c:pt idx="113">
                  <c:v>1.4770000000000001</c:v>
                </c:pt>
                <c:pt idx="114">
                  <c:v>1.6220000000000001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7-4429-B898-6B141971DA57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All!$GR$6:$GR$124</c:f>
              <c:numCache>
                <c:formatCode>General</c:formatCode>
                <c:ptCount val="119"/>
                <c:pt idx="0">
                  <c:v>0</c:v>
                </c:pt>
                <c:pt idx="1">
                  <c:v>1.298</c:v>
                </c:pt>
                <c:pt idx="2">
                  <c:v>1.298</c:v>
                </c:pt>
                <c:pt idx="3">
                  <c:v>0</c:v>
                </c:pt>
                <c:pt idx="7">
                  <c:v>0</c:v>
                </c:pt>
                <c:pt idx="8">
                  <c:v>1.298</c:v>
                </c:pt>
                <c:pt idx="9">
                  <c:v>1.298</c:v>
                </c:pt>
                <c:pt idx="10">
                  <c:v>1.121</c:v>
                </c:pt>
                <c:pt idx="11">
                  <c:v>0.94399999999999995</c:v>
                </c:pt>
                <c:pt idx="12">
                  <c:v>0.82599999999999996</c:v>
                </c:pt>
                <c:pt idx="13">
                  <c:v>0</c:v>
                </c:pt>
                <c:pt idx="17">
                  <c:v>0</c:v>
                </c:pt>
                <c:pt idx="18">
                  <c:v>0.59</c:v>
                </c:pt>
                <c:pt idx="19">
                  <c:v>0.53100000000000003</c:v>
                </c:pt>
                <c:pt idx="20">
                  <c:v>0.53100000000000003</c:v>
                </c:pt>
                <c:pt idx="21">
                  <c:v>0.47199999999999998</c:v>
                </c:pt>
                <c:pt idx="22">
                  <c:v>0</c:v>
                </c:pt>
                <c:pt idx="26">
                  <c:v>0</c:v>
                </c:pt>
                <c:pt idx="27">
                  <c:v>1.298</c:v>
                </c:pt>
                <c:pt idx="28">
                  <c:v>1.298</c:v>
                </c:pt>
                <c:pt idx="29">
                  <c:v>1.298</c:v>
                </c:pt>
                <c:pt idx="30">
                  <c:v>1.298</c:v>
                </c:pt>
                <c:pt idx="31">
                  <c:v>0</c:v>
                </c:pt>
                <c:pt idx="35">
                  <c:v>0</c:v>
                </c:pt>
                <c:pt idx="36">
                  <c:v>0.82599999999999996</c:v>
                </c:pt>
                <c:pt idx="37">
                  <c:v>0.59</c:v>
                </c:pt>
                <c:pt idx="38">
                  <c:v>0</c:v>
                </c:pt>
                <c:pt idx="42">
                  <c:v>0</c:v>
                </c:pt>
                <c:pt idx="43">
                  <c:v>0.59</c:v>
                </c:pt>
                <c:pt idx="44">
                  <c:v>0.53100000000000003</c:v>
                </c:pt>
                <c:pt idx="45">
                  <c:v>0.35399999999999998</c:v>
                </c:pt>
                <c:pt idx="46">
                  <c:v>0</c:v>
                </c:pt>
                <c:pt idx="50">
                  <c:v>0</c:v>
                </c:pt>
                <c:pt idx="51">
                  <c:v>1.298</c:v>
                </c:pt>
                <c:pt idx="52">
                  <c:v>1.357</c:v>
                </c:pt>
                <c:pt idx="53">
                  <c:v>1.298</c:v>
                </c:pt>
                <c:pt idx="54">
                  <c:v>1.121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1.298</c:v>
                </c:pt>
                <c:pt idx="62">
                  <c:v>1.298</c:v>
                </c:pt>
                <c:pt idx="63">
                  <c:v>0</c:v>
                </c:pt>
                <c:pt idx="67">
                  <c:v>0</c:v>
                </c:pt>
                <c:pt idx="68">
                  <c:v>0.82599999999999996</c:v>
                </c:pt>
                <c:pt idx="69">
                  <c:v>0.70799999999999996</c:v>
                </c:pt>
                <c:pt idx="70">
                  <c:v>0</c:v>
                </c:pt>
                <c:pt idx="74">
                  <c:v>0</c:v>
                </c:pt>
                <c:pt idx="75">
                  <c:v>1.2390000000000001</c:v>
                </c:pt>
                <c:pt idx="76">
                  <c:v>1.298</c:v>
                </c:pt>
                <c:pt idx="77">
                  <c:v>1.121</c:v>
                </c:pt>
                <c:pt idx="78">
                  <c:v>0</c:v>
                </c:pt>
                <c:pt idx="82">
                  <c:v>0</c:v>
                </c:pt>
                <c:pt idx="83">
                  <c:v>1.2390000000000001</c:v>
                </c:pt>
                <c:pt idx="84">
                  <c:v>1.2390000000000001</c:v>
                </c:pt>
                <c:pt idx="85">
                  <c:v>1.298</c:v>
                </c:pt>
                <c:pt idx="86">
                  <c:v>0</c:v>
                </c:pt>
                <c:pt idx="90">
                  <c:v>0</c:v>
                </c:pt>
                <c:pt idx="91">
                  <c:v>1.298</c:v>
                </c:pt>
                <c:pt idx="92">
                  <c:v>1.298</c:v>
                </c:pt>
                <c:pt idx="93">
                  <c:v>1.2390000000000001</c:v>
                </c:pt>
                <c:pt idx="94">
                  <c:v>0</c:v>
                </c:pt>
                <c:pt idx="98">
                  <c:v>0</c:v>
                </c:pt>
                <c:pt idx="99">
                  <c:v>1.298</c:v>
                </c:pt>
                <c:pt idx="100">
                  <c:v>1.2390000000000001</c:v>
                </c:pt>
                <c:pt idx="101">
                  <c:v>0</c:v>
                </c:pt>
                <c:pt idx="105">
                  <c:v>0</c:v>
                </c:pt>
                <c:pt idx="106">
                  <c:v>0.76700000000000002</c:v>
                </c:pt>
                <c:pt idx="107">
                  <c:v>0</c:v>
                </c:pt>
                <c:pt idx="111">
                  <c:v>0</c:v>
                </c:pt>
                <c:pt idx="112">
                  <c:v>0.59</c:v>
                </c:pt>
                <c:pt idx="113">
                  <c:v>0.59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37-4429-B898-6B141971D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77056"/>
        <c:axId val="536165408"/>
      </c:scatterChart>
      <c:valAx>
        <c:axId val="53617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65408"/>
        <c:crosses val="autoZero"/>
        <c:crossBetween val="midCat"/>
      </c:valAx>
      <c:valAx>
        <c:axId val="536165408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7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All!$GU$6:$GU$124</c:f>
              <c:numCache>
                <c:formatCode>General</c:formatCode>
                <c:ptCount val="119"/>
                <c:pt idx="0">
                  <c:v>5.6050000000000004</c:v>
                </c:pt>
                <c:pt idx="1">
                  <c:v>1.829</c:v>
                </c:pt>
                <c:pt idx="2">
                  <c:v>1.829</c:v>
                </c:pt>
                <c:pt idx="3">
                  <c:v>1.8879999999999999</c:v>
                </c:pt>
                <c:pt idx="7">
                  <c:v>3.7170000000000001</c:v>
                </c:pt>
                <c:pt idx="8">
                  <c:v>1.829</c:v>
                </c:pt>
                <c:pt idx="9">
                  <c:v>1.8879999999999999</c:v>
                </c:pt>
                <c:pt idx="10">
                  <c:v>1.8879999999999999</c:v>
                </c:pt>
                <c:pt idx="11">
                  <c:v>1.829</c:v>
                </c:pt>
                <c:pt idx="12">
                  <c:v>1.829</c:v>
                </c:pt>
                <c:pt idx="13">
                  <c:v>1.829</c:v>
                </c:pt>
                <c:pt idx="17">
                  <c:v>3.1859999999999999</c:v>
                </c:pt>
                <c:pt idx="18">
                  <c:v>1.8879999999999999</c:v>
                </c:pt>
                <c:pt idx="19">
                  <c:v>1.8879999999999999</c:v>
                </c:pt>
                <c:pt idx="20">
                  <c:v>1.8879999999999999</c:v>
                </c:pt>
                <c:pt idx="21">
                  <c:v>1.8879999999999999</c:v>
                </c:pt>
                <c:pt idx="22">
                  <c:v>4.8380000000000001</c:v>
                </c:pt>
                <c:pt idx="26">
                  <c:v>4.4249999999999998</c:v>
                </c:pt>
                <c:pt idx="27">
                  <c:v>1.8879999999999999</c:v>
                </c:pt>
                <c:pt idx="28">
                  <c:v>1.8879999999999999</c:v>
                </c:pt>
                <c:pt idx="29">
                  <c:v>1.8879999999999999</c:v>
                </c:pt>
                <c:pt idx="30">
                  <c:v>1.8879999999999999</c:v>
                </c:pt>
                <c:pt idx="31">
                  <c:v>1.8879999999999999</c:v>
                </c:pt>
                <c:pt idx="35">
                  <c:v>4.0709999999999997</c:v>
                </c:pt>
                <c:pt idx="36">
                  <c:v>1.8879999999999999</c:v>
                </c:pt>
                <c:pt idx="37">
                  <c:v>1.8879999999999999</c:v>
                </c:pt>
                <c:pt idx="38">
                  <c:v>1.9470000000000001</c:v>
                </c:pt>
                <c:pt idx="42">
                  <c:v>4.3659999999999997</c:v>
                </c:pt>
                <c:pt idx="43">
                  <c:v>1.9470000000000001</c:v>
                </c:pt>
                <c:pt idx="44">
                  <c:v>1.8879999999999999</c:v>
                </c:pt>
                <c:pt idx="45">
                  <c:v>1.8879999999999999</c:v>
                </c:pt>
                <c:pt idx="46">
                  <c:v>1.8879999999999999</c:v>
                </c:pt>
                <c:pt idx="50">
                  <c:v>5.4870000000000001</c:v>
                </c:pt>
                <c:pt idx="51">
                  <c:v>1.829</c:v>
                </c:pt>
                <c:pt idx="52">
                  <c:v>1.8879999999999999</c:v>
                </c:pt>
                <c:pt idx="53">
                  <c:v>1.8879999999999999</c:v>
                </c:pt>
                <c:pt idx="54">
                  <c:v>1.8879999999999999</c:v>
                </c:pt>
                <c:pt idx="55">
                  <c:v>5.4279999999999999</c:v>
                </c:pt>
                <c:pt idx="59">
                  <c:v>1.7110000000000001</c:v>
                </c:pt>
                <c:pt idx="60">
                  <c:v>4.3659999999999997</c:v>
                </c:pt>
                <c:pt idx="61">
                  <c:v>1.8879999999999999</c:v>
                </c:pt>
                <c:pt idx="62">
                  <c:v>1.829</c:v>
                </c:pt>
                <c:pt idx="63">
                  <c:v>1.8879999999999999</c:v>
                </c:pt>
                <c:pt idx="67">
                  <c:v>3.9529999999999998</c:v>
                </c:pt>
                <c:pt idx="68">
                  <c:v>1.8879999999999999</c:v>
                </c:pt>
                <c:pt idx="69">
                  <c:v>1.8879999999999999</c:v>
                </c:pt>
                <c:pt idx="70">
                  <c:v>1.8879999999999999</c:v>
                </c:pt>
                <c:pt idx="74">
                  <c:v>5.0739999999999998</c:v>
                </c:pt>
                <c:pt idx="75">
                  <c:v>1.829</c:v>
                </c:pt>
                <c:pt idx="76">
                  <c:v>1.829</c:v>
                </c:pt>
                <c:pt idx="77">
                  <c:v>1.829</c:v>
                </c:pt>
                <c:pt idx="78">
                  <c:v>5.1920000000000002</c:v>
                </c:pt>
                <c:pt idx="82">
                  <c:v>4.4249999999999998</c:v>
                </c:pt>
                <c:pt idx="83">
                  <c:v>1.829</c:v>
                </c:pt>
                <c:pt idx="84">
                  <c:v>1.829</c:v>
                </c:pt>
                <c:pt idx="85">
                  <c:v>1.829</c:v>
                </c:pt>
                <c:pt idx="86">
                  <c:v>5.9589999999999996</c:v>
                </c:pt>
                <c:pt idx="90">
                  <c:v>4.1890000000000001</c:v>
                </c:pt>
                <c:pt idx="91">
                  <c:v>1.829</c:v>
                </c:pt>
                <c:pt idx="92">
                  <c:v>1.829</c:v>
                </c:pt>
                <c:pt idx="93">
                  <c:v>1.8879999999999999</c:v>
                </c:pt>
                <c:pt idx="94">
                  <c:v>6.1360000000000001</c:v>
                </c:pt>
                <c:pt idx="98">
                  <c:v>3.8940000000000001</c:v>
                </c:pt>
                <c:pt idx="99">
                  <c:v>1.829</c:v>
                </c:pt>
                <c:pt idx="100">
                  <c:v>1.8879999999999999</c:v>
                </c:pt>
                <c:pt idx="101">
                  <c:v>1.8879999999999999</c:v>
                </c:pt>
                <c:pt idx="105">
                  <c:v>4.484</c:v>
                </c:pt>
                <c:pt idx="106">
                  <c:v>1.829</c:v>
                </c:pt>
                <c:pt idx="107">
                  <c:v>1.829</c:v>
                </c:pt>
                <c:pt idx="111">
                  <c:v>3.5990000000000002</c:v>
                </c:pt>
                <c:pt idx="112">
                  <c:v>1.8879999999999999</c:v>
                </c:pt>
                <c:pt idx="113">
                  <c:v>1.829</c:v>
                </c:pt>
                <c:pt idx="114">
                  <c:v>2.1240000000000001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5-45A1-A3B6-B62F0C839A5F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All!$EU$6:$EU$124</c:f>
              <c:numCache>
                <c:formatCode>General</c:formatCode>
                <c:ptCount val="119"/>
                <c:pt idx="0">
                  <c:v>0.35599999999999998</c:v>
                </c:pt>
                <c:pt idx="1">
                  <c:v>1.5720000000000001</c:v>
                </c:pt>
                <c:pt idx="2">
                  <c:v>1.526</c:v>
                </c:pt>
                <c:pt idx="3">
                  <c:v>1.4510000000000001</c:v>
                </c:pt>
                <c:pt idx="7">
                  <c:v>1.3120000000000001</c:v>
                </c:pt>
                <c:pt idx="8">
                  <c:v>1.484</c:v>
                </c:pt>
                <c:pt idx="9">
                  <c:v>1.4610000000000001</c:v>
                </c:pt>
                <c:pt idx="10">
                  <c:v>1.4330000000000001</c:v>
                </c:pt>
                <c:pt idx="11">
                  <c:v>1.46</c:v>
                </c:pt>
                <c:pt idx="12">
                  <c:v>1.407</c:v>
                </c:pt>
                <c:pt idx="13">
                  <c:v>1.4079999999999999</c:v>
                </c:pt>
                <c:pt idx="17">
                  <c:v>1.4019999999999999</c:v>
                </c:pt>
                <c:pt idx="18">
                  <c:v>1.38</c:v>
                </c:pt>
                <c:pt idx="19">
                  <c:v>1.3240000000000001</c:v>
                </c:pt>
                <c:pt idx="20">
                  <c:v>1.258</c:v>
                </c:pt>
                <c:pt idx="21">
                  <c:v>1.1279999999999999</c:v>
                </c:pt>
                <c:pt idx="22">
                  <c:v>0.78300000000000003</c:v>
                </c:pt>
                <c:pt idx="26">
                  <c:v>1.448</c:v>
                </c:pt>
                <c:pt idx="27">
                  <c:v>1.573</c:v>
                </c:pt>
                <c:pt idx="28">
                  <c:v>1.5169999999999999</c:v>
                </c:pt>
                <c:pt idx="29">
                  <c:v>1.4870000000000001</c:v>
                </c:pt>
                <c:pt idx="30">
                  <c:v>1.4570000000000001</c:v>
                </c:pt>
                <c:pt idx="31">
                  <c:v>1.4690000000000001</c:v>
                </c:pt>
                <c:pt idx="35">
                  <c:v>0.22600000000000001</c:v>
                </c:pt>
                <c:pt idx="36">
                  <c:v>1.4379999999999999</c:v>
                </c:pt>
                <c:pt idx="37">
                  <c:v>1.45</c:v>
                </c:pt>
                <c:pt idx="38">
                  <c:v>1.554</c:v>
                </c:pt>
                <c:pt idx="42">
                  <c:v>1.3859999999999999</c:v>
                </c:pt>
                <c:pt idx="43">
                  <c:v>1.526</c:v>
                </c:pt>
                <c:pt idx="44">
                  <c:v>1.294</c:v>
                </c:pt>
                <c:pt idx="45">
                  <c:v>1.1639999999999999</c:v>
                </c:pt>
                <c:pt idx="46">
                  <c:v>0.874</c:v>
                </c:pt>
                <c:pt idx="50">
                  <c:v>0.47599999999999998</c:v>
                </c:pt>
                <c:pt idx="51">
                  <c:v>1.5489999999999999</c:v>
                </c:pt>
                <c:pt idx="52">
                  <c:v>1.5660000000000001</c:v>
                </c:pt>
                <c:pt idx="53">
                  <c:v>1.46</c:v>
                </c:pt>
                <c:pt idx="54">
                  <c:v>1.4279999999999999</c:v>
                </c:pt>
                <c:pt idx="55">
                  <c:v>1.5009999999999999</c:v>
                </c:pt>
                <c:pt idx="59">
                  <c:v>0.76400000000000001</c:v>
                </c:pt>
                <c:pt idx="60">
                  <c:v>1.175</c:v>
                </c:pt>
                <c:pt idx="61">
                  <c:v>1.478</c:v>
                </c:pt>
                <c:pt idx="62">
                  <c:v>1.4470000000000001</c:v>
                </c:pt>
                <c:pt idx="63">
                  <c:v>1.4419999999999999</c:v>
                </c:pt>
                <c:pt idx="67">
                  <c:v>1.266</c:v>
                </c:pt>
                <c:pt idx="68">
                  <c:v>1.4159999999999999</c:v>
                </c:pt>
                <c:pt idx="69">
                  <c:v>1.391</c:v>
                </c:pt>
                <c:pt idx="70">
                  <c:v>1.417</c:v>
                </c:pt>
                <c:pt idx="74">
                  <c:v>0.496</c:v>
                </c:pt>
                <c:pt idx="75">
                  <c:v>1.454</c:v>
                </c:pt>
                <c:pt idx="76">
                  <c:v>1.4370000000000001</c:v>
                </c:pt>
                <c:pt idx="77">
                  <c:v>1.4159999999999999</c:v>
                </c:pt>
                <c:pt idx="78">
                  <c:v>1.405</c:v>
                </c:pt>
                <c:pt idx="82">
                  <c:v>1.149</c:v>
                </c:pt>
                <c:pt idx="83">
                  <c:v>1.456</c:v>
                </c:pt>
                <c:pt idx="84">
                  <c:v>1.4259999999999999</c:v>
                </c:pt>
                <c:pt idx="85">
                  <c:v>1.4059999999999999</c:v>
                </c:pt>
                <c:pt idx="86">
                  <c:v>1.393</c:v>
                </c:pt>
                <c:pt idx="90">
                  <c:v>1.2130000000000001</c:v>
                </c:pt>
                <c:pt idx="91">
                  <c:v>1.5109999999999999</c:v>
                </c:pt>
                <c:pt idx="92">
                  <c:v>1.4810000000000001</c:v>
                </c:pt>
                <c:pt idx="93">
                  <c:v>1.4330000000000001</c:v>
                </c:pt>
                <c:pt idx="94">
                  <c:v>1.48</c:v>
                </c:pt>
                <c:pt idx="98">
                  <c:v>1.3859999999999999</c:v>
                </c:pt>
                <c:pt idx="99">
                  <c:v>1.4670000000000001</c:v>
                </c:pt>
                <c:pt idx="100">
                  <c:v>1.417</c:v>
                </c:pt>
                <c:pt idx="101">
                  <c:v>1.393</c:v>
                </c:pt>
                <c:pt idx="105">
                  <c:v>1.1080000000000001</c:v>
                </c:pt>
                <c:pt idx="106">
                  <c:v>1.381</c:v>
                </c:pt>
                <c:pt idx="107">
                  <c:v>1.3129999999999999</c:v>
                </c:pt>
                <c:pt idx="111">
                  <c:v>1.089</c:v>
                </c:pt>
                <c:pt idx="112">
                  <c:v>1.3280000000000001</c:v>
                </c:pt>
                <c:pt idx="113">
                  <c:v>1.292</c:v>
                </c:pt>
                <c:pt idx="114">
                  <c:v>1.512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5-45A1-A3B6-B62F0C839A5F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All!$GT$6:$GT$124</c:f>
              <c:numCache>
                <c:formatCode>General</c:formatCode>
                <c:ptCount val="119"/>
                <c:pt idx="0">
                  <c:v>0</c:v>
                </c:pt>
                <c:pt idx="1">
                  <c:v>1.2390000000000001</c:v>
                </c:pt>
                <c:pt idx="2">
                  <c:v>1.0029999999999999</c:v>
                </c:pt>
                <c:pt idx="3">
                  <c:v>0</c:v>
                </c:pt>
                <c:pt idx="7">
                  <c:v>0</c:v>
                </c:pt>
                <c:pt idx="8">
                  <c:v>0.82599999999999996</c:v>
                </c:pt>
                <c:pt idx="9">
                  <c:v>0.76700000000000002</c:v>
                </c:pt>
                <c:pt idx="10">
                  <c:v>0.70799999999999996</c:v>
                </c:pt>
                <c:pt idx="11">
                  <c:v>0.70799999999999996</c:v>
                </c:pt>
                <c:pt idx="12">
                  <c:v>0.53100000000000003</c:v>
                </c:pt>
                <c:pt idx="13">
                  <c:v>0</c:v>
                </c:pt>
                <c:pt idx="17">
                  <c:v>0</c:v>
                </c:pt>
                <c:pt idx="18">
                  <c:v>0.53100000000000003</c:v>
                </c:pt>
                <c:pt idx="19">
                  <c:v>0.53100000000000003</c:v>
                </c:pt>
                <c:pt idx="20">
                  <c:v>0.41299999999999998</c:v>
                </c:pt>
                <c:pt idx="21">
                  <c:v>0.41299999999999998</c:v>
                </c:pt>
                <c:pt idx="22">
                  <c:v>0</c:v>
                </c:pt>
                <c:pt idx="26">
                  <c:v>0</c:v>
                </c:pt>
                <c:pt idx="27">
                  <c:v>1.0620000000000001</c:v>
                </c:pt>
                <c:pt idx="28">
                  <c:v>0.94399999999999995</c:v>
                </c:pt>
                <c:pt idx="29">
                  <c:v>0.76700000000000002</c:v>
                </c:pt>
                <c:pt idx="30">
                  <c:v>0.76700000000000002</c:v>
                </c:pt>
                <c:pt idx="31">
                  <c:v>0</c:v>
                </c:pt>
                <c:pt idx="35">
                  <c:v>0</c:v>
                </c:pt>
                <c:pt idx="36">
                  <c:v>0.70799999999999996</c:v>
                </c:pt>
                <c:pt idx="37">
                  <c:v>0.59</c:v>
                </c:pt>
                <c:pt idx="38">
                  <c:v>0</c:v>
                </c:pt>
                <c:pt idx="42">
                  <c:v>0</c:v>
                </c:pt>
                <c:pt idx="43">
                  <c:v>0.64900000000000002</c:v>
                </c:pt>
                <c:pt idx="44">
                  <c:v>0.53100000000000003</c:v>
                </c:pt>
                <c:pt idx="45">
                  <c:v>0.41299999999999998</c:v>
                </c:pt>
                <c:pt idx="46">
                  <c:v>0</c:v>
                </c:pt>
                <c:pt idx="50">
                  <c:v>0</c:v>
                </c:pt>
                <c:pt idx="51">
                  <c:v>0.82599999999999996</c:v>
                </c:pt>
                <c:pt idx="52">
                  <c:v>0.82599999999999996</c:v>
                </c:pt>
                <c:pt idx="53">
                  <c:v>0.59</c:v>
                </c:pt>
                <c:pt idx="54">
                  <c:v>0.47199999999999998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0.76700000000000002</c:v>
                </c:pt>
                <c:pt idx="62">
                  <c:v>0.70799999999999996</c:v>
                </c:pt>
                <c:pt idx="63">
                  <c:v>0</c:v>
                </c:pt>
                <c:pt idx="67">
                  <c:v>0</c:v>
                </c:pt>
                <c:pt idx="68">
                  <c:v>0.59</c:v>
                </c:pt>
                <c:pt idx="69">
                  <c:v>0.53100000000000003</c:v>
                </c:pt>
                <c:pt idx="70">
                  <c:v>0</c:v>
                </c:pt>
                <c:pt idx="74">
                  <c:v>0</c:v>
                </c:pt>
                <c:pt idx="75">
                  <c:v>0.70799999999999996</c:v>
                </c:pt>
                <c:pt idx="76">
                  <c:v>0.70799999999999996</c:v>
                </c:pt>
                <c:pt idx="77">
                  <c:v>0.70799999999999996</c:v>
                </c:pt>
                <c:pt idx="78">
                  <c:v>0</c:v>
                </c:pt>
                <c:pt idx="82">
                  <c:v>0</c:v>
                </c:pt>
                <c:pt idx="83">
                  <c:v>0.76700000000000002</c:v>
                </c:pt>
                <c:pt idx="84">
                  <c:v>0.76700000000000002</c:v>
                </c:pt>
                <c:pt idx="85">
                  <c:v>0.70799999999999996</c:v>
                </c:pt>
                <c:pt idx="86">
                  <c:v>0</c:v>
                </c:pt>
                <c:pt idx="90">
                  <c:v>0</c:v>
                </c:pt>
                <c:pt idx="91">
                  <c:v>1.0029999999999999</c:v>
                </c:pt>
                <c:pt idx="92">
                  <c:v>0.76700000000000002</c:v>
                </c:pt>
                <c:pt idx="93">
                  <c:v>0.76700000000000002</c:v>
                </c:pt>
                <c:pt idx="94">
                  <c:v>0</c:v>
                </c:pt>
                <c:pt idx="98">
                  <c:v>0</c:v>
                </c:pt>
                <c:pt idx="99">
                  <c:v>0.82599999999999996</c:v>
                </c:pt>
                <c:pt idx="100">
                  <c:v>0.70799999999999996</c:v>
                </c:pt>
                <c:pt idx="101">
                  <c:v>0</c:v>
                </c:pt>
                <c:pt idx="105">
                  <c:v>0</c:v>
                </c:pt>
                <c:pt idx="106">
                  <c:v>0.53100000000000003</c:v>
                </c:pt>
                <c:pt idx="107">
                  <c:v>0</c:v>
                </c:pt>
                <c:pt idx="111">
                  <c:v>0</c:v>
                </c:pt>
                <c:pt idx="112">
                  <c:v>0.53100000000000003</c:v>
                </c:pt>
                <c:pt idx="113">
                  <c:v>0.53100000000000003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5-45A1-A3B6-B62F0C839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59584"/>
        <c:axId val="536174976"/>
      </c:scatterChart>
      <c:valAx>
        <c:axId val="53615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74976"/>
        <c:crosses val="autoZero"/>
        <c:crossBetween val="midCat"/>
      </c:valAx>
      <c:valAx>
        <c:axId val="53617497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59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All!$GV$6:$GV$124</c:f>
              <c:numCache>
                <c:formatCode>General</c:formatCode>
                <c:ptCount val="119"/>
                <c:pt idx="0">
                  <c:v>0</c:v>
                </c:pt>
                <c:pt idx="1">
                  <c:v>12.74</c:v>
                </c:pt>
                <c:pt idx="2">
                  <c:v>12.74</c:v>
                </c:pt>
                <c:pt idx="3">
                  <c:v>0</c:v>
                </c:pt>
                <c:pt idx="7">
                  <c:v>0</c:v>
                </c:pt>
                <c:pt idx="8">
                  <c:v>13.034000000000001</c:v>
                </c:pt>
                <c:pt idx="9">
                  <c:v>12.936</c:v>
                </c:pt>
                <c:pt idx="10">
                  <c:v>13.034000000000001</c:v>
                </c:pt>
                <c:pt idx="11">
                  <c:v>12.837999999999999</c:v>
                </c:pt>
                <c:pt idx="12">
                  <c:v>12.544</c:v>
                </c:pt>
                <c:pt idx="13">
                  <c:v>0</c:v>
                </c:pt>
                <c:pt idx="17">
                  <c:v>0</c:v>
                </c:pt>
                <c:pt idx="18">
                  <c:v>13.132</c:v>
                </c:pt>
                <c:pt idx="19">
                  <c:v>13.132</c:v>
                </c:pt>
                <c:pt idx="20">
                  <c:v>12.936</c:v>
                </c:pt>
                <c:pt idx="21">
                  <c:v>12.936</c:v>
                </c:pt>
                <c:pt idx="22">
                  <c:v>0</c:v>
                </c:pt>
                <c:pt idx="26">
                  <c:v>0</c:v>
                </c:pt>
                <c:pt idx="27">
                  <c:v>12.544</c:v>
                </c:pt>
                <c:pt idx="28">
                  <c:v>13.034000000000001</c:v>
                </c:pt>
                <c:pt idx="29">
                  <c:v>12.837999999999999</c:v>
                </c:pt>
                <c:pt idx="30">
                  <c:v>12.936</c:v>
                </c:pt>
                <c:pt idx="31">
                  <c:v>0</c:v>
                </c:pt>
                <c:pt idx="35">
                  <c:v>0</c:v>
                </c:pt>
                <c:pt idx="36">
                  <c:v>12.837999999999999</c:v>
                </c:pt>
                <c:pt idx="37">
                  <c:v>12.74</c:v>
                </c:pt>
                <c:pt idx="38">
                  <c:v>0</c:v>
                </c:pt>
                <c:pt idx="42">
                  <c:v>0</c:v>
                </c:pt>
                <c:pt idx="43">
                  <c:v>13.034000000000001</c:v>
                </c:pt>
                <c:pt idx="44">
                  <c:v>12.936</c:v>
                </c:pt>
                <c:pt idx="45">
                  <c:v>13.034000000000001</c:v>
                </c:pt>
                <c:pt idx="46">
                  <c:v>0</c:v>
                </c:pt>
                <c:pt idx="50">
                  <c:v>0</c:v>
                </c:pt>
                <c:pt idx="51">
                  <c:v>12.837999999999999</c:v>
                </c:pt>
                <c:pt idx="52">
                  <c:v>12.837999999999999</c:v>
                </c:pt>
                <c:pt idx="53">
                  <c:v>12.74</c:v>
                </c:pt>
                <c:pt idx="54">
                  <c:v>12.936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12.837999999999999</c:v>
                </c:pt>
                <c:pt idx="62">
                  <c:v>12.74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12.74</c:v>
                </c:pt>
                <c:pt idx="76">
                  <c:v>12.641999999999999</c:v>
                </c:pt>
                <c:pt idx="77">
                  <c:v>12.544</c:v>
                </c:pt>
                <c:pt idx="78">
                  <c:v>0</c:v>
                </c:pt>
                <c:pt idx="82">
                  <c:v>0</c:v>
                </c:pt>
                <c:pt idx="83">
                  <c:v>12.348000000000001</c:v>
                </c:pt>
                <c:pt idx="84">
                  <c:v>12.74</c:v>
                </c:pt>
                <c:pt idx="85">
                  <c:v>12.641999999999999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15-4C49-B49C-C1A0C22B421B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All!$GW$6:$GW$124</c:f>
              <c:numCache>
                <c:formatCode>General</c:formatCode>
                <c:ptCount val="119"/>
                <c:pt idx="0">
                  <c:v>3.0880000000000001</c:v>
                </c:pt>
                <c:pt idx="1">
                  <c:v>14.051</c:v>
                </c:pt>
                <c:pt idx="2">
                  <c:v>14.023</c:v>
                </c:pt>
                <c:pt idx="3">
                  <c:v>13.83</c:v>
                </c:pt>
                <c:pt idx="7">
                  <c:v>12.161</c:v>
                </c:pt>
                <c:pt idx="8">
                  <c:v>14.074</c:v>
                </c:pt>
                <c:pt idx="9">
                  <c:v>14.084</c:v>
                </c:pt>
                <c:pt idx="10">
                  <c:v>14.063000000000001</c:v>
                </c:pt>
                <c:pt idx="11">
                  <c:v>14.127000000000001</c:v>
                </c:pt>
                <c:pt idx="12">
                  <c:v>14.07</c:v>
                </c:pt>
                <c:pt idx="13">
                  <c:v>13.986000000000001</c:v>
                </c:pt>
                <c:pt idx="17">
                  <c:v>13.35</c:v>
                </c:pt>
                <c:pt idx="18">
                  <c:v>14.12</c:v>
                </c:pt>
                <c:pt idx="19">
                  <c:v>14.124000000000001</c:v>
                </c:pt>
                <c:pt idx="20">
                  <c:v>14.144</c:v>
                </c:pt>
                <c:pt idx="21">
                  <c:v>14.148999999999999</c:v>
                </c:pt>
                <c:pt idx="22">
                  <c:v>13.939</c:v>
                </c:pt>
                <c:pt idx="26">
                  <c:v>12.914999999999999</c:v>
                </c:pt>
                <c:pt idx="27">
                  <c:v>14.058999999999999</c:v>
                </c:pt>
                <c:pt idx="28">
                  <c:v>14.044</c:v>
                </c:pt>
                <c:pt idx="29">
                  <c:v>14.010999999999999</c:v>
                </c:pt>
                <c:pt idx="30">
                  <c:v>13.977</c:v>
                </c:pt>
                <c:pt idx="31">
                  <c:v>13.827</c:v>
                </c:pt>
                <c:pt idx="35">
                  <c:v>2.145</c:v>
                </c:pt>
                <c:pt idx="36">
                  <c:v>13.926</c:v>
                </c:pt>
                <c:pt idx="37">
                  <c:v>13.954000000000001</c:v>
                </c:pt>
                <c:pt idx="38">
                  <c:v>14.068</c:v>
                </c:pt>
                <c:pt idx="42">
                  <c:v>12.797000000000001</c:v>
                </c:pt>
                <c:pt idx="43">
                  <c:v>14.199</c:v>
                </c:pt>
                <c:pt idx="44">
                  <c:v>14.055999999999999</c:v>
                </c:pt>
                <c:pt idx="45">
                  <c:v>14.074</c:v>
                </c:pt>
                <c:pt idx="46">
                  <c:v>14.022</c:v>
                </c:pt>
                <c:pt idx="50">
                  <c:v>4.0609999999999999</c:v>
                </c:pt>
                <c:pt idx="51">
                  <c:v>14.1</c:v>
                </c:pt>
                <c:pt idx="52">
                  <c:v>14.137</c:v>
                </c:pt>
                <c:pt idx="53">
                  <c:v>13.913</c:v>
                </c:pt>
                <c:pt idx="54">
                  <c:v>13.897</c:v>
                </c:pt>
                <c:pt idx="55">
                  <c:v>13.776999999999999</c:v>
                </c:pt>
                <c:pt idx="59">
                  <c:v>0</c:v>
                </c:pt>
                <c:pt idx="60">
                  <c:v>10.52</c:v>
                </c:pt>
                <c:pt idx="61">
                  <c:v>13.866</c:v>
                </c:pt>
                <c:pt idx="62">
                  <c:v>13.87</c:v>
                </c:pt>
                <c:pt idx="63">
                  <c:v>13.788</c:v>
                </c:pt>
                <c:pt idx="67">
                  <c:v>2.1000000000000001E-2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4.1929999999999996</c:v>
                </c:pt>
                <c:pt idx="75">
                  <c:v>13.887</c:v>
                </c:pt>
                <c:pt idx="76">
                  <c:v>13.865</c:v>
                </c:pt>
                <c:pt idx="77">
                  <c:v>13.823</c:v>
                </c:pt>
                <c:pt idx="78">
                  <c:v>13.483000000000001</c:v>
                </c:pt>
                <c:pt idx="82">
                  <c:v>10.547000000000001</c:v>
                </c:pt>
                <c:pt idx="83">
                  <c:v>13.778</c:v>
                </c:pt>
                <c:pt idx="84">
                  <c:v>13.787000000000001</c:v>
                </c:pt>
                <c:pt idx="85">
                  <c:v>13.81</c:v>
                </c:pt>
                <c:pt idx="86">
                  <c:v>12.455</c:v>
                </c:pt>
                <c:pt idx="90">
                  <c:v>0.02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6.0000000000000001E-3</c:v>
                </c:pt>
                <c:pt idx="98">
                  <c:v>1.0999999999999999E-2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0.01</c:v>
                </c:pt>
                <c:pt idx="106">
                  <c:v>0</c:v>
                </c:pt>
                <c:pt idx="107">
                  <c:v>0</c:v>
                </c:pt>
                <c:pt idx="111">
                  <c:v>8.9999999999999993E-3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15-4C49-B49C-C1A0C22B421B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All!$GX$6:$GX$124</c:f>
              <c:numCache>
                <c:formatCode>General</c:formatCode>
                <c:ptCount val="119"/>
                <c:pt idx="0">
                  <c:v>24.99</c:v>
                </c:pt>
                <c:pt idx="1">
                  <c:v>15.385999999999999</c:v>
                </c:pt>
                <c:pt idx="2">
                  <c:v>15.19</c:v>
                </c:pt>
                <c:pt idx="3">
                  <c:v>16.170000000000002</c:v>
                </c:pt>
                <c:pt idx="7">
                  <c:v>22.54</c:v>
                </c:pt>
                <c:pt idx="8">
                  <c:v>15.385999999999999</c:v>
                </c:pt>
                <c:pt idx="9">
                  <c:v>15.68</c:v>
                </c:pt>
                <c:pt idx="10">
                  <c:v>15.092000000000001</c:v>
                </c:pt>
                <c:pt idx="11">
                  <c:v>15.484</c:v>
                </c:pt>
                <c:pt idx="12">
                  <c:v>15.385999999999999</c:v>
                </c:pt>
                <c:pt idx="13">
                  <c:v>15.974</c:v>
                </c:pt>
                <c:pt idx="17">
                  <c:v>17.934000000000001</c:v>
                </c:pt>
                <c:pt idx="18">
                  <c:v>15.875999999999999</c:v>
                </c:pt>
                <c:pt idx="19">
                  <c:v>15.19</c:v>
                </c:pt>
                <c:pt idx="20">
                  <c:v>15.484</c:v>
                </c:pt>
                <c:pt idx="21">
                  <c:v>16.071999999999999</c:v>
                </c:pt>
                <c:pt idx="22">
                  <c:v>15.875999999999999</c:v>
                </c:pt>
                <c:pt idx="26">
                  <c:v>22.05</c:v>
                </c:pt>
                <c:pt idx="27">
                  <c:v>15.385999999999999</c:v>
                </c:pt>
                <c:pt idx="28">
                  <c:v>15.385999999999999</c:v>
                </c:pt>
                <c:pt idx="29">
                  <c:v>15.875999999999999</c:v>
                </c:pt>
                <c:pt idx="30">
                  <c:v>15.582000000000001</c:v>
                </c:pt>
                <c:pt idx="31">
                  <c:v>15.19</c:v>
                </c:pt>
                <c:pt idx="35">
                  <c:v>22.54</c:v>
                </c:pt>
                <c:pt idx="36">
                  <c:v>14.994</c:v>
                </c:pt>
                <c:pt idx="37">
                  <c:v>15.19</c:v>
                </c:pt>
                <c:pt idx="38">
                  <c:v>16.170000000000002</c:v>
                </c:pt>
                <c:pt idx="42">
                  <c:v>20.09</c:v>
                </c:pt>
                <c:pt idx="43">
                  <c:v>16.366</c:v>
                </c:pt>
                <c:pt idx="44">
                  <c:v>15.974</c:v>
                </c:pt>
                <c:pt idx="45">
                  <c:v>15.19</c:v>
                </c:pt>
                <c:pt idx="46">
                  <c:v>15.484</c:v>
                </c:pt>
                <c:pt idx="50">
                  <c:v>24.99</c:v>
                </c:pt>
                <c:pt idx="51">
                  <c:v>15.68</c:v>
                </c:pt>
                <c:pt idx="52">
                  <c:v>16.170000000000002</c:v>
                </c:pt>
                <c:pt idx="53">
                  <c:v>16.170000000000002</c:v>
                </c:pt>
                <c:pt idx="54">
                  <c:v>15.288</c:v>
                </c:pt>
                <c:pt idx="55">
                  <c:v>24.99</c:v>
                </c:pt>
                <c:pt idx="59">
                  <c:v>0</c:v>
                </c:pt>
                <c:pt idx="60">
                  <c:v>23.911999999999999</c:v>
                </c:pt>
                <c:pt idx="61">
                  <c:v>15.092000000000001</c:v>
                </c:pt>
                <c:pt idx="62">
                  <c:v>15.288</c:v>
                </c:pt>
                <c:pt idx="63">
                  <c:v>15.288</c:v>
                </c:pt>
                <c:pt idx="67">
                  <c:v>22.245999999999999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24.99</c:v>
                </c:pt>
                <c:pt idx="75">
                  <c:v>15.778</c:v>
                </c:pt>
                <c:pt idx="76">
                  <c:v>15.582000000000001</c:v>
                </c:pt>
                <c:pt idx="77">
                  <c:v>14.896000000000001</c:v>
                </c:pt>
                <c:pt idx="78">
                  <c:v>15.092000000000001</c:v>
                </c:pt>
                <c:pt idx="82">
                  <c:v>17.835999999999999</c:v>
                </c:pt>
                <c:pt idx="83">
                  <c:v>15.19</c:v>
                </c:pt>
                <c:pt idx="84">
                  <c:v>14.896000000000001</c:v>
                </c:pt>
                <c:pt idx="85">
                  <c:v>14.994</c:v>
                </c:pt>
                <c:pt idx="86">
                  <c:v>20.972000000000001</c:v>
                </c:pt>
                <c:pt idx="90">
                  <c:v>19.795999999999999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19.501999999999999</c:v>
                </c:pt>
                <c:pt idx="98">
                  <c:v>19.501999999999999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21.56</c:v>
                </c:pt>
                <c:pt idx="106">
                  <c:v>0</c:v>
                </c:pt>
                <c:pt idx="107">
                  <c:v>0</c:v>
                </c:pt>
                <c:pt idx="111">
                  <c:v>20.678000000000001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15-4C49-B49C-C1A0C22B421B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12.054</c:v>
                </c:pt>
                <c:pt idx="69">
                  <c:v>12.544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12.25</c:v>
                </c:pt>
                <c:pt idx="92">
                  <c:v>11.858000000000001</c:v>
                </c:pt>
                <c:pt idx="93">
                  <c:v>12.151999999999999</c:v>
                </c:pt>
                <c:pt idx="94">
                  <c:v>0</c:v>
                </c:pt>
                <c:pt idx="98">
                  <c:v>0</c:v>
                </c:pt>
                <c:pt idx="99">
                  <c:v>11.956</c:v>
                </c:pt>
                <c:pt idx="100">
                  <c:v>11.76</c:v>
                </c:pt>
                <c:pt idx="101">
                  <c:v>0</c:v>
                </c:pt>
                <c:pt idx="105">
                  <c:v>0</c:v>
                </c:pt>
                <c:pt idx="106">
                  <c:v>11.76</c:v>
                </c:pt>
                <c:pt idx="107">
                  <c:v>0</c:v>
                </c:pt>
                <c:pt idx="111">
                  <c:v>0</c:v>
                </c:pt>
                <c:pt idx="112">
                  <c:v>11.858000000000001</c:v>
                </c:pt>
                <c:pt idx="113">
                  <c:v>11.27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15-4C49-B49C-C1A0C22B421B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12.233000000000001</c:v>
                </c:pt>
                <c:pt idx="68">
                  <c:v>13.901999999999999</c:v>
                </c:pt>
                <c:pt idx="69">
                  <c:v>13.866</c:v>
                </c:pt>
                <c:pt idx="70">
                  <c:v>13.804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0.68400000000000005</c:v>
                </c:pt>
                <c:pt idx="90">
                  <c:v>10.821999999999999</c:v>
                </c:pt>
                <c:pt idx="91">
                  <c:v>13.794</c:v>
                </c:pt>
                <c:pt idx="92">
                  <c:v>13.75</c:v>
                </c:pt>
                <c:pt idx="93">
                  <c:v>13.644</c:v>
                </c:pt>
                <c:pt idx="94">
                  <c:v>12.356</c:v>
                </c:pt>
                <c:pt idx="98">
                  <c:v>12.454000000000001</c:v>
                </c:pt>
                <c:pt idx="99">
                  <c:v>13.557</c:v>
                </c:pt>
                <c:pt idx="100">
                  <c:v>13.548</c:v>
                </c:pt>
                <c:pt idx="101">
                  <c:v>13.253</c:v>
                </c:pt>
                <c:pt idx="105">
                  <c:v>10.728999999999999</c:v>
                </c:pt>
                <c:pt idx="106">
                  <c:v>13.579000000000001</c:v>
                </c:pt>
                <c:pt idx="107">
                  <c:v>12.813000000000001</c:v>
                </c:pt>
                <c:pt idx="111">
                  <c:v>10.685</c:v>
                </c:pt>
                <c:pt idx="112">
                  <c:v>13.561</c:v>
                </c:pt>
                <c:pt idx="113">
                  <c:v>13.590999999999999</c:v>
                </c:pt>
                <c:pt idx="114">
                  <c:v>13.949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15-4C49-B49C-C1A0C22B421B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21.853999999999999</c:v>
                </c:pt>
                <c:pt idx="68">
                  <c:v>15.875999999999999</c:v>
                </c:pt>
                <c:pt idx="69">
                  <c:v>16.170000000000002</c:v>
                </c:pt>
                <c:pt idx="70">
                  <c:v>15.385999999999999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24.99</c:v>
                </c:pt>
                <c:pt idx="90">
                  <c:v>20.58</c:v>
                </c:pt>
                <c:pt idx="91">
                  <c:v>15.19</c:v>
                </c:pt>
                <c:pt idx="92">
                  <c:v>15.68</c:v>
                </c:pt>
                <c:pt idx="93">
                  <c:v>15.288</c:v>
                </c:pt>
                <c:pt idx="94">
                  <c:v>21.07</c:v>
                </c:pt>
                <c:pt idx="98">
                  <c:v>19.600000000000001</c:v>
                </c:pt>
                <c:pt idx="99">
                  <c:v>15.778</c:v>
                </c:pt>
                <c:pt idx="100">
                  <c:v>14.896000000000001</c:v>
                </c:pt>
                <c:pt idx="101">
                  <c:v>14.896000000000001</c:v>
                </c:pt>
                <c:pt idx="105">
                  <c:v>21.265999999999998</c:v>
                </c:pt>
                <c:pt idx="106">
                  <c:v>14.994</c:v>
                </c:pt>
                <c:pt idx="107">
                  <c:v>16.170000000000002</c:v>
                </c:pt>
                <c:pt idx="111">
                  <c:v>20.384</c:v>
                </c:pt>
                <c:pt idx="112">
                  <c:v>15.092000000000001</c:v>
                </c:pt>
                <c:pt idx="113">
                  <c:v>15.092000000000001</c:v>
                </c:pt>
                <c:pt idx="114">
                  <c:v>17.346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15-4C49-B49C-C1A0C22B4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81216"/>
        <c:axId val="536182048"/>
      </c:scatterChart>
      <c:valAx>
        <c:axId val="53618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82048"/>
        <c:crosses val="autoZero"/>
        <c:crossBetween val="midCat"/>
      </c:valAx>
      <c:valAx>
        <c:axId val="536182048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8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All!$BS$6:$BS$124</c:f>
              <c:numCache>
                <c:formatCode>General</c:formatCode>
                <c:ptCount val="119"/>
                <c:pt idx="0">
                  <c:v>23.8</c:v>
                </c:pt>
                <c:pt idx="1">
                  <c:v>26.7</c:v>
                </c:pt>
                <c:pt idx="2">
                  <c:v>27.6</c:v>
                </c:pt>
                <c:pt idx="3">
                  <c:v>28.3</c:v>
                </c:pt>
                <c:pt idx="7">
                  <c:v>28.5</c:v>
                </c:pt>
                <c:pt idx="8">
                  <c:v>28.9</c:v>
                </c:pt>
                <c:pt idx="9">
                  <c:v>29.1</c:v>
                </c:pt>
                <c:pt idx="10">
                  <c:v>29.1</c:v>
                </c:pt>
                <c:pt idx="11">
                  <c:v>29</c:v>
                </c:pt>
                <c:pt idx="12">
                  <c:v>29.1</c:v>
                </c:pt>
                <c:pt idx="13">
                  <c:v>29.3</c:v>
                </c:pt>
                <c:pt idx="17">
                  <c:v>28.9</c:v>
                </c:pt>
                <c:pt idx="18">
                  <c:v>29</c:v>
                </c:pt>
                <c:pt idx="19">
                  <c:v>29.1</c:v>
                </c:pt>
                <c:pt idx="20">
                  <c:v>29.5</c:v>
                </c:pt>
                <c:pt idx="21">
                  <c:v>29.7</c:v>
                </c:pt>
                <c:pt idx="22">
                  <c:v>29.5</c:v>
                </c:pt>
                <c:pt idx="26">
                  <c:v>28.9</c:v>
                </c:pt>
                <c:pt idx="27">
                  <c:v>29.1</c:v>
                </c:pt>
                <c:pt idx="28">
                  <c:v>29.2</c:v>
                </c:pt>
                <c:pt idx="29">
                  <c:v>29.2</c:v>
                </c:pt>
                <c:pt idx="30">
                  <c:v>29.1</c:v>
                </c:pt>
                <c:pt idx="31">
                  <c:v>29.2</c:v>
                </c:pt>
                <c:pt idx="35">
                  <c:v>25.9</c:v>
                </c:pt>
                <c:pt idx="36">
                  <c:v>27.7</c:v>
                </c:pt>
                <c:pt idx="37">
                  <c:v>28</c:v>
                </c:pt>
                <c:pt idx="38">
                  <c:v>27.5</c:v>
                </c:pt>
                <c:pt idx="42">
                  <c:v>27.4</c:v>
                </c:pt>
                <c:pt idx="43">
                  <c:v>27.3</c:v>
                </c:pt>
                <c:pt idx="44">
                  <c:v>27.7</c:v>
                </c:pt>
                <c:pt idx="45">
                  <c:v>28.2</c:v>
                </c:pt>
                <c:pt idx="46">
                  <c:v>28.3</c:v>
                </c:pt>
                <c:pt idx="50">
                  <c:v>26</c:v>
                </c:pt>
                <c:pt idx="51">
                  <c:v>26.4</c:v>
                </c:pt>
                <c:pt idx="52">
                  <c:v>25.9</c:v>
                </c:pt>
                <c:pt idx="53">
                  <c:v>26.4</c:v>
                </c:pt>
                <c:pt idx="54">
                  <c:v>26.9</c:v>
                </c:pt>
                <c:pt idx="55">
                  <c:v>27</c:v>
                </c:pt>
                <c:pt idx="59">
                  <c:v>26.7</c:v>
                </c:pt>
                <c:pt idx="60">
                  <c:v>26.7</c:v>
                </c:pt>
                <c:pt idx="61">
                  <c:v>26.8</c:v>
                </c:pt>
                <c:pt idx="62">
                  <c:v>26.9</c:v>
                </c:pt>
                <c:pt idx="63">
                  <c:v>27.1</c:v>
                </c:pt>
                <c:pt idx="67">
                  <c:v>26.9</c:v>
                </c:pt>
                <c:pt idx="68">
                  <c:v>26.9</c:v>
                </c:pt>
                <c:pt idx="69">
                  <c:v>27.1</c:v>
                </c:pt>
                <c:pt idx="70">
                  <c:v>27.1</c:v>
                </c:pt>
                <c:pt idx="74">
                  <c:v>22.8</c:v>
                </c:pt>
                <c:pt idx="75">
                  <c:v>24.1</c:v>
                </c:pt>
                <c:pt idx="76">
                  <c:v>24.8</c:v>
                </c:pt>
                <c:pt idx="77">
                  <c:v>25.1</c:v>
                </c:pt>
                <c:pt idx="78">
                  <c:v>25.1</c:v>
                </c:pt>
                <c:pt idx="82">
                  <c:v>25.1</c:v>
                </c:pt>
                <c:pt idx="83">
                  <c:v>25.1</c:v>
                </c:pt>
                <c:pt idx="84">
                  <c:v>25.3</c:v>
                </c:pt>
                <c:pt idx="85">
                  <c:v>25.5</c:v>
                </c:pt>
                <c:pt idx="86">
                  <c:v>25.4</c:v>
                </c:pt>
                <c:pt idx="90">
                  <c:v>25.3</c:v>
                </c:pt>
                <c:pt idx="91">
                  <c:v>25.4</c:v>
                </c:pt>
                <c:pt idx="92">
                  <c:v>25.2</c:v>
                </c:pt>
                <c:pt idx="93">
                  <c:v>25</c:v>
                </c:pt>
                <c:pt idx="94">
                  <c:v>24.8</c:v>
                </c:pt>
                <c:pt idx="98">
                  <c:v>24.4</c:v>
                </c:pt>
                <c:pt idx="99">
                  <c:v>25.1</c:v>
                </c:pt>
                <c:pt idx="100">
                  <c:v>25.4</c:v>
                </c:pt>
                <c:pt idx="101">
                  <c:v>25.7</c:v>
                </c:pt>
                <c:pt idx="105">
                  <c:v>25.7</c:v>
                </c:pt>
                <c:pt idx="106">
                  <c:v>25.8</c:v>
                </c:pt>
                <c:pt idx="107">
                  <c:v>25.9</c:v>
                </c:pt>
                <c:pt idx="111">
                  <c:v>25.6</c:v>
                </c:pt>
                <c:pt idx="112">
                  <c:v>25.5</c:v>
                </c:pt>
                <c:pt idx="113">
                  <c:v>25.8</c:v>
                </c:pt>
                <c:pt idx="114">
                  <c:v>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D40-88B5-5DA947C99958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All!$FB$6:$FB$124</c:f>
              <c:numCache>
                <c:formatCode>General</c:formatCode>
                <c:ptCount val="119"/>
                <c:pt idx="0">
                  <c:v>1.718</c:v>
                </c:pt>
                <c:pt idx="1">
                  <c:v>9.1120000000000001</c:v>
                </c:pt>
                <c:pt idx="2">
                  <c:v>9.1669999999999998</c:v>
                </c:pt>
                <c:pt idx="3">
                  <c:v>9.2319999999999993</c:v>
                </c:pt>
                <c:pt idx="7">
                  <c:v>8.99</c:v>
                </c:pt>
                <c:pt idx="8">
                  <c:v>9.1739999999999995</c:v>
                </c:pt>
                <c:pt idx="9">
                  <c:v>9.2059999999999995</c:v>
                </c:pt>
                <c:pt idx="10">
                  <c:v>9.2100000000000009</c:v>
                </c:pt>
                <c:pt idx="11">
                  <c:v>9.2810000000000006</c:v>
                </c:pt>
                <c:pt idx="12">
                  <c:v>9.1920000000000002</c:v>
                </c:pt>
                <c:pt idx="13">
                  <c:v>9.2520000000000007</c:v>
                </c:pt>
                <c:pt idx="17">
                  <c:v>9.3059999999999992</c:v>
                </c:pt>
                <c:pt idx="18">
                  <c:v>9.1829999999999998</c:v>
                </c:pt>
                <c:pt idx="19">
                  <c:v>9.1660000000000004</c:v>
                </c:pt>
                <c:pt idx="20">
                  <c:v>9.1679999999999993</c:v>
                </c:pt>
                <c:pt idx="21">
                  <c:v>9.157</c:v>
                </c:pt>
                <c:pt idx="22">
                  <c:v>9.1999999999999993</c:v>
                </c:pt>
                <c:pt idx="26">
                  <c:v>8.327</c:v>
                </c:pt>
                <c:pt idx="27">
                  <c:v>9.16</c:v>
                </c:pt>
                <c:pt idx="28">
                  <c:v>9.1259999999999994</c:v>
                </c:pt>
                <c:pt idx="29">
                  <c:v>9.2040000000000006</c:v>
                </c:pt>
                <c:pt idx="30">
                  <c:v>9.1630000000000003</c:v>
                </c:pt>
                <c:pt idx="31">
                  <c:v>9.1560000000000006</c:v>
                </c:pt>
                <c:pt idx="35">
                  <c:v>1.3740000000000001</c:v>
                </c:pt>
                <c:pt idx="36">
                  <c:v>9.09</c:v>
                </c:pt>
                <c:pt idx="37">
                  <c:v>9.1890000000000001</c:v>
                </c:pt>
                <c:pt idx="38">
                  <c:v>9.4550000000000001</c:v>
                </c:pt>
                <c:pt idx="42">
                  <c:v>8.7449999999999992</c:v>
                </c:pt>
                <c:pt idx="43">
                  <c:v>9.4269999999999996</c:v>
                </c:pt>
                <c:pt idx="44">
                  <c:v>9.1959999999999997</c:v>
                </c:pt>
                <c:pt idx="45">
                  <c:v>9.1780000000000008</c:v>
                </c:pt>
                <c:pt idx="46">
                  <c:v>9.2479999999999993</c:v>
                </c:pt>
                <c:pt idx="50">
                  <c:v>5.0410000000000004</c:v>
                </c:pt>
                <c:pt idx="51">
                  <c:v>9.2799999999999994</c:v>
                </c:pt>
                <c:pt idx="52">
                  <c:v>9.4169999999999998</c:v>
                </c:pt>
                <c:pt idx="53">
                  <c:v>9.1620000000000008</c:v>
                </c:pt>
                <c:pt idx="54">
                  <c:v>9.1660000000000004</c:v>
                </c:pt>
                <c:pt idx="55">
                  <c:v>9.3070000000000004</c:v>
                </c:pt>
                <c:pt idx="59">
                  <c:v>8.9190000000000005</c:v>
                </c:pt>
                <c:pt idx="60">
                  <c:v>7.7050000000000001</c:v>
                </c:pt>
                <c:pt idx="61">
                  <c:v>9.15</c:v>
                </c:pt>
                <c:pt idx="62">
                  <c:v>9.1430000000000007</c:v>
                </c:pt>
                <c:pt idx="63">
                  <c:v>9.2110000000000003</c:v>
                </c:pt>
                <c:pt idx="67">
                  <c:v>8.2959999999999994</c:v>
                </c:pt>
                <c:pt idx="68">
                  <c:v>9.1440000000000001</c:v>
                </c:pt>
                <c:pt idx="69">
                  <c:v>9.1359999999999992</c:v>
                </c:pt>
                <c:pt idx="70">
                  <c:v>9.2319999999999993</c:v>
                </c:pt>
                <c:pt idx="74">
                  <c:v>2.387</c:v>
                </c:pt>
                <c:pt idx="75">
                  <c:v>8.9429999999999996</c:v>
                </c:pt>
                <c:pt idx="76">
                  <c:v>9.0020000000000007</c:v>
                </c:pt>
                <c:pt idx="77">
                  <c:v>9.0129999999999999</c:v>
                </c:pt>
                <c:pt idx="78">
                  <c:v>9.0830000000000002</c:v>
                </c:pt>
                <c:pt idx="82">
                  <c:v>7.82</c:v>
                </c:pt>
                <c:pt idx="83">
                  <c:v>9</c:v>
                </c:pt>
                <c:pt idx="84">
                  <c:v>8.9879999999999995</c:v>
                </c:pt>
                <c:pt idx="85">
                  <c:v>8.9819999999999993</c:v>
                </c:pt>
                <c:pt idx="86">
                  <c:v>9.0470000000000006</c:v>
                </c:pt>
                <c:pt idx="90">
                  <c:v>7.9720000000000004</c:v>
                </c:pt>
                <c:pt idx="91">
                  <c:v>9.1010000000000009</c:v>
                </c:pt>
                <c:pt idx="92">
                  <c:v>9.0980000000000008</c:v>
                </c:pt>
                <c:pt idx="93">
                  <c:v>9.1120000000000001</c:v>
                </c:pt>
                <c:pt idx="94">
                  <c:v>9.2799999999999994</c:v>
                </c:pt>
                <c:pt idx="98">
                  <c:v>8.08</c:v>
                </c:pt>
                <c:pt idx="99">
                  <c:v>8.9469999999999992</c:v>
                </c:pt>
                <c:pt idx="100">
                  <c:v>8.9510000000000005</c:v>
                </c:pt>
                <c:pt idx="101">
                  <c:v>9.0459999999999994</c:v>
                </c:pt>
                <c:pt idx="105">
                  <c:v>8.02</c:v>
                </c:pt>
                <c:pt idx="106">
                  <c:v>8.9960000000000004</c:v>
                </c:pt>
                <c:pt idx="107">
                  <c:v>9.0790000000000006</c:v>
                </c:pt>
                <c:pt idx="111">
                  <c:v>7.8460000000000001</c:v>
                </c:pt>
                <c:pt idx="112">
                  <c:v>8.9949999999999992</c:v>
                </c:pt>
                <c:pt idx="113">
                  <c:v>8.9860000000000007</c:v>
                </c:pt>
                <c:pt idx="114">
                  <c:v>9.3249999999999993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52-4D40-88B5-5DA947C99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90368"/>
        <c:axId val="536188288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All!$EJ$6:$EJ$124</c:f>
              <c:numCache>
                <c:formatCode>General</c:formatCode>
                <c:ptCount val="119"/>
                <c:pt idx="0">
                  <c:v>2.2799999999999998</c:v>
                </c:pt>
                <c:pt idx="1">
                  <c:v>4.1360000000000001</c:v>
                </c:pt>
                <c:pt idx="2">
                  <c:v>5.4169999999999998</c:v>
                </c:pt>
                <c:pt idx="3">
                  <c:v>5.9390000000000001</c:v>
                </c:pt>
                <c:pt idx="7">
                  <c:v>5.1420000000000003</c:v>
                </c:pt>
                <c:pt idx="8">
                  <c:v>6.1529999999999996</c:v>
                </c:pt>
                <c:pt idx="9">
                  <c:v>6.3570000000000002</c:v>
                </c:pt>
                <c:pt idx="10">
                  <c:v>6.81</c:v>
                </c:pt>
                <c:pt idx="11">
                  <c:v>6.7290000000000001</c:v>
                </c:pt>
                <c:pt idx="12">
                  <c:v>6.3979999999999997</c:v>
                </c:pt>
                <c:pt idx="13">
                  <c:v>6.633</c:v>
                </c:pt>
                <c:pt idx="17">
                  <c:v>7.4349999999999996</c:v>
                </c:pt>
                <c:pt idx="18">
                  <c:v>7.1289999999999996</c:v>
                </c:pt>
                <c:pt idx="19">
                  <c:v>7.1580000000000004</c:v>
                </c:pt>
                <c:pt idx="20">
                  <c:v>6.5380000000000003</c:v>
                </c:pt>
                <c:pt idx="21">
                  <c:v>7.3520000000000003</c:v>
                </c:pt>
                <c:pt idx="22">
                  <c:v>7.3440000000000003</c:v>
                </c:pt>
                <c:pt idx="26">
                  <c:v>6.9</c:v>
                </c:pt>
                <c:pt idx="27">
                  <c:v>6.976</c:v>
                </c:pt>
                <c:pt idx="28">
                  <c:v>7.2939999999999996</c:v>
                </c:pt>
                <c:pt idx="29">
                  <c:v>7.3159999999999998</c:v>
                </c:pt>
                <c:pt idx="30">
                  <c:v>7.0919999999999996</c:v>
                </c:pt>
                <c:pt idx="31">
                  <c:v>7.3179999999999996</c:v>
                </c:pt>
                <c:pt idx="35">
                  <c:v>4.8289999999999997</c:v>
                </c:pt>
                <c:pt idx="36">
                  <c:v>5.5839999999999996</c:v>
                </c:pt>
                <c:pt idx="37">
                  <c:v>6.5279999999999996</c:v>
                </c:pt>
                <c:pt idx="38">
                  <c:v>6.5289999999999999</c:v>
                </c:pt>
                <c:pt idx="42">
                  <c:v>5.9589999999999996</c:v>
                </c:pt>
                <c:pt idx="43">
                  <c:v>6.3929999999999998</c:v>
                </c:pt>
                <c:pt idx="44">
                  <c:v>6.2889999999999997</c:v>
                </c:pt>
                <c:pt idx="45">
                  <c:v>6.4649999999999999</c:v>
                </c:pt>
                <c:pt idx="46">
                  <c:v>6.7039999999999997</c:v>
                </c:pt>
                <c:pt idx="50">
                  <c:v>4.633</c:v>
                </c:pt>
                <c:pt idx="51">
                  <c:v>6.2919999999999998</c:v>
                </c:pt>
                <c:pt idx="52">
                  <c:v>6.2729999999999997</c:v>
                </c:pt>
                <c:pt idx="53">
                  <c:v>5.6109999999999998</c:v>
                </c:pt>
                <c:pt idx="54">
                  <c:v>6.3090000000000002</c:v>
                </c:pt>
                <c:pt idx="55">
                  <c:v>6.7530000000000001</c:v>
                </c:pt>
                <c:pt idx="59">
                  <c:v>6.5039999999999996</c:v>
                </c:pt>
                <c:pt idx="60">
                  <c:v>5.8460000000000001</c:v>
                </c:pt>
                <c:pt idx="61">
                  <c:v>6.7039999999999997</c:v>
                </c:pt>
                <c:pt idx="62">
                  <c:v>6.4850000000000003</c:v>
                </c:pt>
                <c:pt idx="63">
                  <c:v>6.9059999999999997</c:v>
                </c:pt>
                <c:pt idx="67">
                  <c:v>6.4669999999999996</c:v>
                </c:pt>
                <c:pt idx="68">
                  <c:v>6.7649999999999997</c:v>
                </c:pt>
                <c:pt idx="69">
                  <c:v>6.851</c:v>
                </c:pt>
                <c:pt idx="70">
                  <c:v>7.33</c:v>
                </c:pt>
                <c:pt idx="74">
                  <c:v>4.6749999999999998</c:v>
                </c:pt>
                <c:pt idx="75">
                  <c:v>5.29</c:v>
                </c:pt>
                <c:pt idx="76">
                  <c:v>5.8940000000000001</c:v>
                </c:pt>
                <c:pt idx="77">
                  <c:v>6.681</c:v>
                </c:pt>
                <c:pt idx="78">
                  <c:v>6.6959999999999997</c:v>
                </c:pt>
                <c:pt idx="82">
                  <c:v>6.5659999999999998</c:v>
                </c:pt>
                <c:pt idx="83">
                  <c:v>6.7839999999999998</c:v>
                </c:pt>
                <c:pt idx="84">
                  <c:v>6.5659999999999998</c:v>
                </c:pt>
                <c:pt idx="85">
                  <c:v>6.734</c:v>
                </c:pt>
                <c:pt idx="86">
                  <c:v>6.8579999999999997</c:v>
                </c:pt>
                <c:pt idx="90">
                  <c:v>6.556</c:v>
                </c:pt>
                <c:pt idx="91">
                  <c:v>7.165</c:v>
                </c:pt>
                <c:pt idx="92">
                  <c:v>7.024</c:v>
                </c:pt>
                <c:pt idx="93">
                  <c:v>6.6779999999999999</c:v>
                </c:pt>
                <c:pt idx="94">
                  <c:v>7.2069999999999999</c:v>
                </c:pt>
                <c:pt idx="98">
                  <c:v>6.0510000000000002</c:v>
                </c:pt>
                <c:pt idx="99">
                  <c:v>6.6420000000000003</c:v>
                </c:pt>
                <c:pt idx="100">
                  <c:v>7.0289999999999999</c:v>
                </c:pt>
                <c:pt idx="101">
                  <c:v>7.1669999999999998</c:v>
                </c:pt>
                <c:pt idx="105">
                  <c:v>7.0149999999999997</c:v>
                </c:pt>
                <c:pt idx="106">
                  <c:v>7.476</c:v>
                </c:pt>
                <c:pt idx="107">
                  <c:v>7.6150000000000002</c:v>
                </c:pt>
                <c:pt idx="111">
                  <c:v>7.202</c:v>
                </c:pt>
                <c:pt idx="112">
                  <c:v>7.1230000000000002</c:v>
                </c:pt>
                <c:pt idx="113">
                  <c:v>7.1379999999999999</c:v>
                </c:pt>
                <c:pt idx="114">
                  <c:v>8.2680000000000007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52-4D40-88B5-5DA947C99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5024"/>
        <c:axId val="543713360"/>
      </c:scatterChart>
      <c:valAx>
        <c:axId val="53619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88288"/>
        <c:crosses val="autoZero"/>
        <c:crossBetween val="midCat"/>
      </c:valAx>
      <c:valAx>
        <c:axId val="536188288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6190368"/>
        <c:crosses val="autoZero"/>
        <c:crossBetween val="midCat"/>
      </c:valAx>
      <c:valAx>
        <c:axId val="54371336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5024"/>
        <c:crosses val="max"/>
        <c:crossBetween val="midCat"/>
      </c:valAx>
      <c:valAx>
        <c:axId val="543715024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133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All!$HB$6:$HB$124</c:f>
              <c:numCache>
                <c:formatCode>General</c:formatCode>
                <c:ptCount val="11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54-4F2C-9893-836CBD7CB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0016"/>
        <c:axId val="543716272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All!$HC$6:$HC$124</c:f>
              <c:numCache>
                <c:formatCode>General</c:formatCode>
                <c:ptCount val="119"/>
                <c:pt idx="0">
                  <c:v>19.847000000000001</c:v>
                </c:pt>
                <c:pt idx="1">
                  <c:v>24.309000000000001</c:v>
                </c:pt>
                <c:pt idx="2">
                  <c:v>23.974</c:v>
                </c:pt>
                <c:pt idx="3">
                  <c:v>23.864999999999998</c:v>
                </c:pt>
                <c:pt idx="7">
                  <c:v>27.405999999999999</c:v>
                </c:pt>
                <c:pt idx="8">
                  <c:v>23.37</c:v>
                </c:pt>
                <c:pt idx="9">
                  <c:v>23.276</c:v>
                </c:pt>
                <c:pt idx="10">
                  <c:v>23.283000000000001</c:v>
                </c:pt>
                <c:pt idx="11">
                  <c:v>23.105</c:v>
                </c:pt>
                <c:pt idx="12">
                  <c:v>23.369</c:v>
                </c:pt>
                <c:pt idx="13">
                  <c:v>23.29</c:v>
                </c:pt>
                <c:pt idx="17">
                  <c:v>24.971</c:v>
                </c:pt>
                <c:pt idx="18">
                  <c:v>23.175999999999998</c:v>
                </c:pt>
                <c:pt idx="19">
                  <c:v>23.146999999999998</c:v>
                </c:pt>
                <c:pt idx="20">
                  <c:v>23.507999999999999</c:v>
                </c:pt>
                <c:pt idx="21">
                  <c:v>23.285</c:v>
                </c:pt>
                <c:pt idx="22">
                  <c:v>22.715</c:v>
                </c:pt>
                <c:pt idx="26">
                  <c:v>25.673999999999999</c:v>
                </c:pt>
                <c:pt idx="27">
                  <c:v>23.475999999999999</c:v>
                </c:pt>
                <c:pt idx="28">
                  <c:v>23.616</c:v>
                </c:pt>
                <c:pt idx="29">
                  <c:v>23.626000000000001</c:v>
                </c:pt>
                <c:pt idx="30">
                  <c:v>23.696000000000002</c:v>
                </c:pt>
                <c:pt idx="31">
                  <c:v>23.64</c:v>
                </c:pt>
                <c:pt idx="35">
                  <c:v>16.163</c:v>
                </c:pt>
                <c:pt idx="36">
                  <c:v>23.097999999999999</c:v>
                </c:pt>
                <c:pt idx="37">
                  <c:v>23.331</c:v>
                </c:pt>
                <c:pt idx="38">
                  <c:v>23.675999999999998</c:v>
                </c:pt>
                <c:pt idx="42">
                  <c:v>22.771000000000001</c:v>
                </c:pt>
                <c:pt idx="43">
                  <c:v>23.119</c:v>
                </c:pt>
                <c:pt idx="44">
                  <c:v>23.216000000000001</c:v>
                </c:pt>
                <c:pt idx="45">
                  <c:v>23.66</c:v>
                </c:pt>
                <c:pt idx="46">
                  <c:v>22.738</c:v>
                </c:pt>
                <c:pt idx="50">
                  <c:v>22.268999999999998</c:v>
                </c:pt>
                <c:pt idx="51">
                  <c:v>25.294</c:v>
                </c:pt>
                <c:pt idx="52">
                  <c:v>22.62</c:v>
                </c:pt>
                <c:pt idx="53">
                  <c:v>23.47</c:v>
                </c:pt>
                <c:pt idx="54">
                  <c:v>23.201000000000001</c:v>
                </c:pt>
                <c:pt idx="55">
                  <c:v>22.85</c:v>
                </c:pt>
                <c:pt idx="59">
                  <c:v>14.71</c:v>
                </c:pt>
                <c:pt idx="60">
                  <c:v>21.991</c:v>
                </c:pt>
                <c:pt idx="61">
                  <c:v>23.164999999999999</c:v>
                </c:pt>
                <c:pt idx="62">
                  <c:v>23.216000000000001</c:v>
                </c:pt>
                <c:pt idx="63">
                  <c:v>23.672999999999998</c:v>
                </c:pt>
                <c:pt idx="67">
                  <c:v>26.664999999999999</c:v>
                </c:pt>
                <c:pt idx="68">
                  <c:v>23.393000000000001</c:v>
                </c:pt>
                <c:pt idx="69">
                  <c:v>23.425999999999998</c:v>
                </c:pt>
                <c:pt idx="70">
                  <c:v>23.404</c:v>
                </c:pt>
                <c:pt idx="74">
                  <c:v>18.702999999999999</c:v>
                </c:pt>
                <c:pt idx="75">
                  <c:v>35.014000000000003</c:v>
                </c:pt>
                <c:pt idx="76">
                  <c:v>35.799999999999997</c:v>
                </c:pt>
                <c:pt idx="77">
                  <c:v>36.133000000000003</c:v>
                </c:pt>
                <c:pt idx="78">
                  <c:v>34.386000000000003</c:v>
                </c:pt>
                <c:pt idx="82">
                  <c:v>32.238999999999997</c:v>
                </c:pt>
                <c:pt idx="83">
                  <c:v>36.371000000000002</c:v>
                </c:pt>
                <c:pt idx="84">
                  <c:v>36.348999999999997</c:v>
                </c:pt>
                <c:pt idx="85">
                  <c:v>36.390999999999998</c:v>
                </c:pt>
                <c:pt idx="86">
                  <c:v>33.935000000000002</c:v>
                </c:pt>
                <c:pt idx="90">
                  <c:v>33.64</c:v>
                </c:pt>
                <c:pt idx="91">
                  <c:v>36.237000000000002</c:v>
                </c:pt>
                <c:pt idx="92">
                  <c:v>36.314999999999998</c:v>
                </c:pt>
                <c:pt idx="93">
                  <c:v>36.124000000000002</c:v>
                </c:pt>
                <c:pt idx="94">
                  <c:v>33.271999999999998</c:v>
                </c:pt>
                <c:pt idx="98">
                  <c:v>38.941000000000003</c:v>
                </c:pt>
                <c:pt idx="99">
                  <c:v>36.207000000000001</c:v>
                </c:pt>
                <c:pt idx="100">
                  <c:v>36.398000000000003</c:v>
                </c:pt>
                <c:pt idx="101">
                  <c:v>34.704000000000001</c:v>
                </c:pt>
                <c:pt idx="105">
                  <c:v>33.119999999999997</c:v>
                </c:pt>
                <c:pt idx="106">
                  <c:v>36.558</c:v>
                </c:pt>
                <c:pt idx="107">
                  <c:v>34.106999999999999</c:v>
                </c:pt>
                <c:pt idx="111">
                  <c:v>33.783999999999999</c:v>
                </c:pt>
                <c:pt idx="112">
                  <c:v>36.188000000000002</c:v>
                </c:pt>
                <c:pt idx="113">
                  <c:v>36.148000000000003</c:v>
                </c:pt>
                <c:pt idx="114">
                  <c:v>35.215000000000003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54-4F2C-9893-836CBD7CB7D7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All!$HD$6:$HD$124</c:f>
              <c:numCache>
                <c:formatCode>General</c:formatCode>
                <c:ptCount val="119"/>
                <c:pt idx="0">
                  <c:v>78</c:v>
                </c:pt>
                <c:pt idx="1">
                  <c:v>82</c:v>
                </c:pt>
                <c:pt idx="2">
                  <c:v>82</c:v>
                </c:pt>
                <c:pt idx="3">
                  <c:v>86</c:v>
                </c:pt>
                <c:pt idx="7">
                  <c:v>90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86</c:v>
                </c:pt>
                <c:pt idx="12">
                  <c:v>82</c:v>
                </c:pt>
                <c:pt idx="13">
                  <c:v>86</c:v>
                </c:pt>
                <c:pt idx="17">
                  <c:v>90</c:v>
                </c:pt>
                <c:pt idx="18">
                  <c:v>78</c:v>
                </c:pt>
                <c:pt idx="19">
                  <c:v>78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6">
                  <c:v>90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86</c:v>
                </c:pt>
                <c:pt idx="35">
                  <c:v>86</c:v>
                </c:pt>
                <c:pt idx="36">
                  <c:v>78</c:v>
                </c:pt>
                <c:pt idx="37">
                  <c:v>82</c:v>
                </c:pt>
                <c:pt idx="38">
                  <c:v>86</c:v>
                </c:pt>
                <c:pt idx="42">
                  <c:v>86</c:v>
                </c:pt>
                <c:pt idx="43">
                  <c:v>82</c:v>
                </c:pt>
                <c:pt idx="44">
                  <c:v>78</c:v>
                </c:pt>
                <c:pt idx="45">
                  <c:v>78</c:v>
                </c:pt>
                <c:pt idx="46">
                  <c:v>82</c:v>
                </c:pt>
                <c:pt idx="50">
                  <c:v>78</c:v>
                </c:pt>
                <c:pt idx="51">
                  <c:v>82</c:v>
                </c:pt>
                <c:pt idx="52">
                  <c:v>82</c:v>
                </c:pt>
                <c:pt idx="53">
                  <c:v>74</c:v>
                </c:pt>
                <c:pt idx="54">
                  <c:v>78</c:v>
                </c:pt>
                <c:pt idx="55">
                  <c:v>82</c:v>
                </c:pt>
                <c:pt idx="59">
                  <c:v>82</c:v>
                </c:pt>
                <c:pt idx="60">
                  <c:v>86</c:v>
                </c:pt>
                <c:pt idx="61">
                  <c:v>78</c:v>
                </c:pt>
                <c:pt idx="62">
                  <c:v>78</c:v>
                </c:pt>
                <c:pt idx="63">
                  <c:v>82</c:v>
                </c:pt>
                <c:pt idx="67">
                  <c:v>90</c:v>
                </c:pt>
                <c:pt idx="68">
                  <c:v>78</c:v>
                </c:pt>
                <c:pt idx="69">
                  <c:v>78</c:v>
                </c:pt>
                <c:pt idx="70">
                  <c:v>82</c:v>
                </c:pt>
                <c:pt idx="74">
                  <c:v>74</c:v>
                </c:pt>
                <c:pt idx="75">
                  <c:v>78</c:v>
                </c:pt>
                <c:pt idx="76">
                  <c:v>78</c:v>
                </c:pt>
                <c:pt idx="77">
                  <c:v>82</c:v>
                </c:pt>
                <c:pt idx="78">
                  <c:v>82</c:v>
                </c:pt>
                <c:pt idx="82">
                  <c:v>90</c:v>
                </c:pt>
                <c:pt idx="83">
                  <c:v>82</c:v>
                </c:pt>
                <c:pt idx="84">
                  <c:v>78</c:v>
                </c:pt>
                <c:pt idx="85">
                  <c:v>82</c:v>
                </c:pt>
                <c:pt idx="86">
                  <c:v>86</c:v>
                </c:pt>
                <c:pt idx="90">
                  <c:v>90</c:v>
                </c:pt>
                <c:pt idx="91">
                  <c:v>90</c:v>
                </c:pt>
                <c:pt idx="92">
                  <c:v>86</c:v>
                </c:pt>
                <c:pt idx="93">
                  <c:v>82</c:v>
                </c:pt>
                <c:pt idx="94">
                  <c:v>90</c:v>
                </c:pt>
                <c:pt idx="98">
                  <c:v>86</c:v>
                </c:pt>
                <c:pt idx="99">
                  <c:v>78</c:v>
                </c:pt>
                <c:pt idx="100">
                  <c:v>82</c:v>
                </c:pt>
                <c:pt idx="101">
                  <c:v>86</c:v>
                </c:pt>
                <c:pt idx="105">
                  <c:v>90</c:v>
                </c:pt>
                <c:pt idx="106">
                  <c:v>82</c:v>
                </c:pt>
                <c:pt idx="107">
                  <c:v>82</c:v>
                </c:pt>
                <c:pt idx="111">
                  <c:v>90</c:v>
                </c:pt>
                <c:pt idx="112">
                  <c:v>82</c:v>
                </c:pt>
                <c:pt idx="113">
                  <c:v>82</c:v>
                </c:pt>
                <c:pt idx="1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54-4F2C-9893-836CBD7CB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7072"/>
        <c:axId val="543733328"/>
      </c:scatterChart>
      <c:valAx>
        <c:axId val="54372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6272"/>
        <c:crosses val="autoZero"/>
        <c:crossBetween val="midCat"/>
      </c:valAx>
      <c:valAx>
        <c:axId val="543716272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0016"/>
        <c:crosses val="autoZero"/>
        <c:crossBetween val="midCat"/>
      </c:valAx>
      <c:valAx>
        <c:axId val="543733328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7072"/>
        <c:crosses val="max"/>
        <c:crossBetween val="midCat"/>
      </c:valAx>
      <c:valAx>
        <c:axId val="543737072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332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C-4A06-975D-C10F4727A3F1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4C-4A06-975D-C10F4727A3F1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4C-4A06-975D-C10F4727A3F1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4C-4A06-975D-C10F4727A3F1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4C-4A06-975D-C10F4727A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34160"/>
        <c:axId val="543731664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All!$HG$6:$HG$124</c:f>
              <c:numCache>
                <c:formatCode>General</c:formatCode>
                <c:ptCount val="119"/>
                <c:pt idx="0">
                  <c:v>85.44</c:v>
                </c:pt>
                <c:pt idx="1">
                  <c:v>72.47</c:v>
                </c:pt>
                <c:pt idx="2">
                  <c:v>74.959999999999994</c:v>
                </c:pt>
                <c:pt idx="3">
                  <c:v>74.290000000000006</c:v>
                </c:pt>
                <c:pt idx="7">
                  <c:v>88.85</c:v>
                </c:pt>
                <c:pt idx="8">
                  <c:v>75.69</c:v>
                </c:pt>
                <c:pt idx="9">
                  <c:v>77.83</c:v>
                </c:pt>
                <c:pt idx="10">
                  <c:v>76.94</c:v>
                </c:pt>
                <c:pt idx="11">
                  <c:v>73.86</c:v>
                </c:pt>
                <c:pt idx="12">
                  <c:v>75.2</c:v>
                </c:pt>
                <c:pt idx="13">
                  <c:v>76.62</c:v>
                </c:pt>
                <c:pt idx="17">
                  <c:v>89.59</c:v>
                </c:pt>
                <c:pt idx="18">
                  <c:v>77.099999999999994</c:v>
                </c:pt>
                <c:pt idx="19">
                  <c:v>73.19</c:v>
                </c:pt>
                <c:pt idx="20">
                  <c:v>74.349999999999994</c:v>
                </c:pt>
                <c:pt idx="21">
                  <c:v>74.69</c:v>
                </c:pt>
                <c:pt idx="22">
                  <c:v>74.42</c:v>
                </c:pt>
                <c:pt idx="26">
                  <c:v>91.48</c:v>
                </c:pt>
                <c:pt idx="27">
                  <c:v>85.27</c:v>
                </c:pt>
                <c:pt idx="28">
                  <c:v>72.33</c:v>
                </c:pt>
                <c:pt idx="29">
                  <c:v>72.63</c:v>
                </c:pt>
                <c:pt idx="30">
                  <c:v>86.15</c:v>
                </c:pt>
                <c:pt idx="31">
                  <c:v>72.27</c:v>
                </c:pt>
                <c:pt idx="35">
                  <c:v>74.52</c:v>
                </c:pt>
                <c:pt idx="36">
                  <c:v>76.06</c:v>
                </c:pt>
                <c:pt idx="37">
                  <c:v>78.3</c:v>
                </c:pt>
                <c:pt idx="38">
                  <c:v>76.19</c:v>
                </c:pt>
                <c:pt idx="42">
                  <c:v>91.05</c:v>
                </c:pt>
                <c:pt idx="43">
                  <c:v>86.05</c:v>
                </c:pt>
                <c:pt idx="44">
                  <c:v>88.14</c:v>
                </c:pt>
                <c:pt idx="45">
                  <c:v>76.36</c:v>
                </c:pt>
                <c:pt idx="46">
                  <c:v>74.8</c:v>
                </c:pt>
                <c:pt idx="50">
                  <c:v>87.95</c:v>
                </c:pt>
                <c:pt idx="51">
                  <c:v>72.75</c:v>
                </c:pt>
                <c:pt idx="52">
                  <c:v>72.47</c:v>
                </c:pt>
                <c:pt idx="53">
                  <c:v>87.8</c:v>
                </c:pt>
                <c:pt idx="54">
                  <c:v>74.14</c:v>
                </c:pt>
                <c:pt idx="55">
                  <c:v>75.319999999999993</c:v>
                </c:pt>
                <c:pt idx="59">
                  <c:v>82.63</c:v>
                </c:pt>
                <c:pt idx="60">
                  <c:v>90.1</c:v>
                </c:pt>
                <c:pt idx="61">
                  <c:v>69.239999999999995</c:v>
                </c:pt>
                <c:pt idx="62">
                  <c:v>70.36</c:v>
                </c:pt>
                <c:pt idx="63">
                  <c:v>69.66</c:v>
                </c:pt>
                <c:pt idx="67">
                  <c:v>74.400000000000006</c:v>
                </c:pt>
                <c:pt idx="68">
                  <c:v>71.650000000000006</c:v>
                </c:pt>
                <c:pt idx="69">
                  <c:v>71.08</c:v>
                </c:pt>
                <c:pt idx="70">
                  <c:v>71.2</c:v>
                </c:pt>
                <c:pt idx="74">
                  <c:v>86.46</c:v>
                </c:pt>
                <c:pt idx="75">
                  <c:v>86.91</c:v>
                </c:pt>
                <c:pt idx="76">
                  <c:v>73.75</c:v>
                </c:pt>
                <c:pt idx="77">
                  <c:v>86.73</c:v>
                </c:pt>
                <c:pt idx="78">
                  <c:v>74.930000000000007</c:v>
                </c:pt>
                <c:pt idx="82">
                  <c:v>87.44</c:v>
                </c:pt>
                <c:pt idx="83">
                  <c:v>73.91</c:v>
                </c:pt>
                <c:pt idx="84">
                  <c:v>72.31</c:v>
                </c:pt>
                <c:pt idx="85">
                  <c:v>74.790000000000006</c:v>
                </c:pt>
                <c:pt idx="86">
                  <c:v>73.73</c:v>
                </c:pt>
                <c:pt idx="90">
                  <c:v>78.459999999999994</c:v>
                </c:pt>
                <c:pt idx="91">
                  <c:v>70.53</c:v>
                </c:pt>
                <c:pt idx="92">
                  <c:v>70.41</c:v>
                </c:pt>
                <c:pt idx="93">
                  <c:v>71.73</c:v>
                </c:pt>
                <c:pt idx="94">
                  <c:v>71.62</c:v>
                </c:pt>
                <c:pt idx="98">
                  <c:v>88.04</c:v>
                </c:pt>
                <c:pt idx="99">
                  <c:v>72.260000000000005</c:v>
                </c:pt>
                <c:pt idx="100">
                  <c:v>67.400000000000006</c:v>
                </c:pt>
                <c:pt idx="101">
                  <c:v>66.900000000000006</c:v>
                </c:pt>
                <c:pt idx="105">
                  <c:v>77.78</c:v>
                </c:pt>
                <c:pt idx="106">
                  <c:v>66.8</c:v>
                </c:pt>
                <c:pt idx="107">
                  <c:v>66.91</c:v>
                </c:pt>
                <c:pt idx="111">
                  <c:v>75.680000000000007</c:v>
                </c:pt>
                <c:pt idx="112">
                  <c:v>83.22</c:v>
                </c:pt>
                <c:pt idx="113">
                  <c:v>69.540000000000006</c:v>
                </c:pt>
                <c:pt idx="114">
                  <c:v>69.08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4C-4A06-975D-C10F4727A3F1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All!$HH$6:$HH$124</c:f>
              <c:numCache>
                <c:formatCode>General</c:formatCode>
                <c:ptCount val="119"/>
                <c:pt idx="0">
                  <c:v>80.36</c:v>
                </c:pt>
                <c:pt idx="1">
                  <c:v>80.260000000000005</c:v>
                </c:pt>
                <c:pt idx="2">
                  <c:v>80.489999999999995</c:v>
                </c:pt>
                <c:pt idx="3">
                  <c:v>80.709999999999994</c:v>
                </c:pt>
                <c:pt idx="7">
                  <c:v>82.58</c:v>
                </c:pt>
                <c:pt idx="8">
                  <c:v>82.5</c:v>
                </c:pt>
                <c:pt idx="9">
                  <c:v>82.87</c:v>
                </c:pt>
                <c:pt idx="10">
                  <c:v>82.74</c:v>
                </c:pt>
                <c:pt idx="11">
                  <c:v>82.75</c:v>
                </c:pt>
                <c:pt idx="12">
                  <c:v>82.81</c:v>
                </c:pt>
                <c:pt idx="13">
                  <c:v>82.94</c:v>
                </c:pt>
                <c:pt idx="17">
                  <c:v>78.41</c:v>
                </c:pt>
                <c:pt idx="18">
                  <c:v>78.099999999999994</c:v>
                </c:pt>
                <c:pt idx="19">
                  <c:v>78.790000000000006</c:v>
                </c:pt>
                <c:pt idx="20">
                  <c:v>78.2</c:v>
                </c:pt>
                <c:pt idx="21">
                  <c:v>78.56</c:v>
                </c:pt>
                <c:pt idx="22">
                  <c:v>78.5</c:v>
                </c:pt>
                <c:pt idx="26">
                  <c:v>82.85</c:v>
                </c:pt>
                <c:pt idx="27">
                  <c:v>82.85</c:v>
                </c:pt>
                <c:pt idx="28">
                  <c:v>82.91</c:v>
                </c:pt>
                <c:pt idx="29">
                  <c:v>82.51</c:v>
                </c:pt>
                <c:pt idx="30">
                  <c:v>83.98</c:v>
                </c:pt>
                <c:pt idx="31">
                  <c:v>82.39</c:v>
                </c:pt>
                <c:pt idx="35">
                  <c:v>100</c:v>
                </c:pt>
                <c:pt idx="36">
                  <c:v>82.76</c:v>
                </c:pt>
                <c:pt idx="37">
                  <c:v>83.22</c:v>
                </c:pt>
                <c:pt idx="38">
                  <c:v>82.61</c:v>
                </c:pt>
                <c:pt idx="42">
                  <c:v>94.09</c:v>
                </c:pt>
                <c:pt idx="43">
                  <c:v>83.66</c:v>
                </c:pt>
                <c:pt idx="44">
                  <c:v>84.52</c:v>
                </c:pt>
                <c:pt idx="45">
                  <c:v>83.06</c:v>
                </c:pt>
                <c:pt idx="46">
                  <c:v>82.84</c:v>
                </c:pt>
                <c:pt idx="50">
                  <c:v>82</c:v>
                </c:pt>
                <c:pt idx="51">
                  <c:v>81.66</c:v>
                </c:pt>
                <c:pt idx="52">
                  <c:v>81.81</c:v>
                </c:pt>
                <c:pt idx="53">
                  <c:v>82.88</c:v>
                </c:pt>
                <c:pt idx="54">
                  <c:v>82.5</c:v>
                </c:pt>
                <c:pt idx="55">
                  <c:v>82.5</c:v>
                </c:pt>
                <c:pt idx="59">
                  <c:v>58.79</c:v>
                </c:pt>
                <c:pt idx="60">
                  <c:v>81.39</c:v>
                </c:pt>
                <c:pt idx="61">
                  <c:v>81.59</c:v>
                </c:pt>
                <c:pt idx="62">
                  <c:v>81.180000000000007</c:v>
                </c:pt>
                <c:pt idx="63">
                  <c:v>81.459999999999994</c:v>
                </c:pt>
                <c:pt idx="67">
                  <c:v>83.61</c:v>
                </c:pt>
                <c:pt idx="68">
                  <c:v>83.81</c:v>
                </c:pt>
                <c:pt idx="69">
                  <c:v>83.5</c:v>
                </c:pt>
                <c:pt idx="70">
                  <c:v>83.39</c:v>
                </c:pt>
                <c:pt idx="74">
                  <c:v>78.58</c:v>
                </c:pt>
                <c:pt idx="75">
                  <c:v>79.790000000000006</c:v>
                </c:pt>
                <c:pt idx="76">
                  <c:v>79.19</c:v>
                </c:pt>
                <c:pt idx="77">
                  <c:v>79.430000000000007</c:v>
                </c:pt>
                <c:pt idx="78">
                  <c:v>78.510000000000005</c:v>
                </c:pt>
                <c:pt idx="82">
                  <c:v>80.7</c:v>
                </c:pt>
                <c:pt idx="83">
                  <c:v>80.63</c:v>
                </c:pt>
                <c:pt idx="84">
                  <c:v>80.55</c:v>
                </c:pt>
                <c:pt idx="85">
                  <c:v>80.97</c:v>
                </c:pt>
                <c:pt idx="86">
                  <c:v>80.81</c:v>
                </c:pt>
                <c:pt idx="90">
                  <c:v>100</c:v>
                </c:pt>
                <c:pt idx="91">
                  <c:v>80.099999999999994</c:v>
                </c:pt>
                <c:pt idx="92">
                  <c:v>79.760000000000005</c:v>
                </c:pt>
                <c:pt idx="93">
                  <c:v>80.22</c:v>
                </c:pt>
                <c:pt idx="94">
                  <c:v>79.69</c:v>
                </c:pt>
                <c:pt idx="98">
                  <c:v>77.650000000000006</c:v>
                </c:pt>
                <c:pt idx="99">
                  <c:v>77.13</c:v>
                </c:pt>
                <c:pt idx="100">
                  <c:v>76.739999999999995</c:v>
                </c:pt>
                <c:pt idx="101">
                  <c:v>76.47</c:v>
                </c:pt>
                <c:pt idx="105">
                  <c:v>100</c:v>
                </c:pt>
                <c:pt idx="106">
                  <c:v>78.010000000000005</c:v>
                </c:pt>
                <c:pt idx="107">
                  <c:v>78.27</c:v>
                </c:pt>
                <c:pt idx="111">
                  <c:v>77.900000000000006</c:v>
                </c:pt>
                <c:pt idx="112">
                  <c:v>78.95</c:v>
                </c:pt>
                <c:pt idx="113">
                  <c:v>78.28</c:v>
                </c:pt>
                <c:pt idx="114">
                  <c:v>78.37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4C-4A06-975D-C10F4727A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5856"/>
        <c:axId val="543737488"/>
      </c:scatterChart>
      <c:valAx>
        <c:axId val="54373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1664"/>
        <c:crosses val="autoZero"/>
        <c:crossBetween val="midCat"/>
      </c:valAx>
      <c:valAx>
        <c:axId val="543731664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34160"/>
        <c:crosses val="autoZero"/>
        <c:crossBetween val="midCat"/>
      </c:valAx>
      <c:valAx>
        <c:axId val="543737488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5856"/>
        <c:crosses val="max"/>
        <c:crossBetween val="midCat"/>
      </c:valAx>
      <c:valAx>
        <c:axId val="54371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748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All!$HL$6:$HL$124</c:f>
              <c:numCache>
                <c:formatCode>General</c:formatCode>
                <c:ptCount val="119"/>
                <c:pt idx="0">
                  <c:v>48</c:v>
                </c:pt>
                <c:pt idx="1">
                  <c:v>55</c:v>
                </c:pt>
                <c:pt idx="2">
                  <c:v>57</c:v>
                </c:pt>
                <c:pt idx="3">
                  <c:v>59</c:v>
                </c:pt>
                <c:pt idx="7">
                  <c:v>73</c:v>
                </c:pt>
                <c:pt idx="8">
                  <c:v>65</c:v>
                </c:pt>
                <c:pt idx="9">
                  <c:v>63</c:v>
                </c:pt>
                <c:pt idx="10">
                  <c:v>63</c:v>
                </c:pt>
                <c:pt idx="11">
                  <c:v>64</c:v>
                </c:pt>
                <c:pt idx="12">
                  <c:v>63</c:v>
                </c:pt>
                <c:pt idx="13">
                  <c:v>63</c:v>
                </c:pt>
                <c:pt idx="17">
                  <c:v>73</c:v>
                </c:pt>
                <c:pt idx="18">
                  <c:v>65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6">
                  <c:v>69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5">
                  <c:v>72</c:v>
                </c:pt>
                <c:pt idx="36">
                  <c:v>63</c:v>
                </c:pt>
                <c:pt idx="37">
                  <c:v>62</c:v>
                </c:pt>
                <c:pt idx="38">
                  <c:v>62</c:v>
                </c:pt>
                <c:pt idx="42">
                  <c:v>62</c:v>
                </c:pt>
                <c:pt idx="43">
                  <c:v>62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50">
                  <c:v>50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58</c:v>
                </c:pt>
                <c:pt idx="55">
                  <c:v>59</c:v>
                </c:pt>
                <c:pt idx="59">
                  <c:v>59</c:v>
                </c:pt>
                <c:pt idx="60">
                  <c:v>64</c:v>
                </c:pt>
                <c:pt idx="61">
                  <c:v>61</c:v>
                </c:pt>
                <c:pt idx="62">
                  <c:v>60</c:v>
                </c:pt>
                <c:pt idx="63">
                  <c:v>61</c:v>
                </c:pt>
                <c:pt idx="67">
                  <c:v>66</c:v>
                </c:pt>
                <c:pt idx="68">
                  <c:v>62</c:v>
                </c:pt>
                <c:pt idx="69">
                  <c:v>62</c:v>
                </c:pt>
                <c:pt idx="70">
                  <c:v>61</c:v>
                </c:pt>
                <c:pt idx="74">
                  <c:v>53</c:v>
                </c:pt>
                <c:pt idx="75">
                  <c:v>51</c:v>
                </c:pt>
                <c:pt idx="76">
                  <c:v>54</c:v>
                </c:pt>
                <c:pt idx="77">
                  <c:v>55</c:v>
                </c:pt>
                <c:pt idx="78">
                  <c:v>56</c:v>
                </c:pt>
                <c:pt idx="82">
                  <c:v>61</c:v>
                </c:pt>
                <c:pt idx="83">
                  <c:v>57</c:v>
                </c:pt>
                <c:pt idx="84">
                  <c:v>57</c:v>
                </c:pt>
                <c:pt idx="85">
                  <c:v>58</c:v>
                </c:pt>
                <c:pt idx="86">
                  <c:v>57</c:v>
                </c:pt>
                <c:pt idx="90">
                  <c:v>63</c:v>
                </c:pt>
                <c:pt idx="91">
                  <c:v>60</c:v>
                </c:pt>
                <c:pt idx="92">
                  <c:v>61</c:v>
                </c:pt>
                <c:pt idx="93">
                  <c:v>59</c:v>
                </c:pt>
                <c:pt idx="94">
                  <c:v>59</c:v>
                </c:pt>
                <c:pt idx="98">
                  <c:v>62</c:v>
                </c:pt>
                <c:pt idx="99">
                  <c:v>55</c:v>
                </c:pt>
                <c:pt idx="100">
                  <c:v>56</c:v>
                </c:pt>
                <c:pt idx="101">
                  <c:v>57</c:v>
                </c:pt>
                <c:pt idx="105">
                  <c:v>61</c:v>
                </c:pt>
                <c:pt idx="106">
                  <c:v>58</c:v>
                </c:pt>
                <c:pt idx="107">
                  <c:v>58</c:v>
                </c:pt>
                <c:pt idx="111">
                  <c:v>62</c:v>
                </c:pt>
                <c:pt idx="112">
                  <c:v>58</c:v>
                </c:pt>
                <c:pt idx="113">
                  <c:v>57</c:v>
                </c:pt>
                <c:pt idx="114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4E-4D92-83AD-9EA262AEBAB3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All!$HM$6:$HM$124</c:f>
              <c:numCache>
                <c:formatCode>General</c:formatCode>
                <c:ptCount val="119"/>
                <c:pt idx="0">
                  <c:v>50</c:v>
                </c:pt>
                <c:pt idx="1">
                  <c:v>49</c:v>
                </c:pt>
                <c:pt idx="2">
                  <c:v>50</c:v>
                </c:pt>
                <c:pt idx="3">
                  <c:v>50</c:v>
                </c:pt>
                <c:pt idx="7">
                  <c:v>55</c:v>
                </c:pt>
                <c:pt idx="8">
                  <c:v>54</c:v>
                </c:pt>
                <c:pt idx="9">
                  <c:v>54</c:v>
                </c:pt>
                <c:pt idx="10">
                  <c:v>53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7">
                  <c:v>56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6">
                  <c:v>56</c:v>
                </c:pt>
                <c:pt idx="27">
                  <c:v>56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5">
                  <c:v>56</c:v>
                </c:pt>
                <c:pt idx="36">
                  <c:v>55</c:v>
                </c:pt>
                <c:pt idx="37">
                  <c:v>54</c:v>
                </c:pt>
                <c:pt idx="38">
                  <c:v>53</c:v>
                </c:pt>
                <c:pt idx="42">
                  <c:v>53</c:v>
                </c:pt>
                <c:pt idx="43">
                  <c:v>53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50">
                  <c:v>51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7">
                  <c:v>53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4">
                  <c:v>50</c:v>
                </c:pt>
                <c:pt idx="75">
                  <c:v>49</c:v>
                </c:pt>
                <c:pt idx="76">
                  <c:v>48</c:v>
                </c:pt>
                <c:pt idx="77">
                  <c:v>48</c:v>
                </c:pt>
                <c:pt idx="78">
                  <c:v>49</c:v>
                </c:pt>
                <c:pt idx="82">
                  <c:v>50</c:v>
                </c:pt>
                <c:pt idx="83">
                  <c:v>49</c:v>
                </c:pt>
                <c:pt idx="84">
                  <c:v>49</c:v>
                </c:pt>
                <c:pt idx="85">
                  <c:v>50</c:v>
                </c:pt>
                <c:pt idx="86">
                  <c:v>50</c:v>
                </c:pt>
                <c:pt idx="90">
                  <c:v>51</c:v>
                </c:pt>
                <c:pt idx="91">
                  <c:v>51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8">
                  <c:v>51</c:v>
                </c:pt>
                <c:pt idx="99">
                  <c:v>51</c:v>
                </c:pt>
                <c:pt idx="100">
                  <c:v>50</c:v>
                </c:pt>
                <c:pt idx="101">
                  <c:v>50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11">
                  <c:v>52</c:v>
                </c:pt>
                <c:pt idx="112">
                  <c:v>51</c:v>
                </c:pt>
                <c:pt idx="113">
                  <c:v>51</c:v>
                </c:pt>
                <c:pt idx="11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4E-4D92-83AD-9EA262AEBAB3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All!$HN$6:$HN$124</c:f>
              <c:numCache>
                <c:formatCode>General</c:formatCode>
                <c:ptCount val="119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66</c:v>
                </c:pt>
                <c:pt idx="13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68</c:v>
                </c:pt>
                <c:pt idx="21">
                  <c:v>69</c:v>
                </c:pt>
                <c:pt idx="22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70</c:v>
                </c:pt>
                <c:pt idx="35">
                  <c:v>70</c:v>
                </c:pt>
                <c:pt idx="36">
                  <c:v>61</c:v>
                </c:pt>
                <c:pt idx="37">
                  <c:v>62</c:v>
                </c:pt>
                <c:pt idx="38">
                  <c:v>64</c:v>
                </c:pt>
                <c:pt idx="42">
                  <c:v>64</c:v>
                </c:pt>
                <c:pt idx="43">
                  <c:v>65</c:v>
                </c:pt>
                <c:pt idx="44">
                  <c:v>64</c:v>
                </c:pt>
                <c:pt idx="45">
                  <c:v>65</c:v>
                </c:pt>
                <c:pt idx="46">
                  <c:v>65</c:v>
                </c:pt>
                <c:pt idx="50">
                  <c:v>55</c:v>
                </c:pt>
                <c:pt idx="51">
                  <c:v>58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64</c:v>
                </c:pt>
                <c:pt idx="59">
                  <c:v>64</c:v>
                </c:pt>
                <c:pt idx="60">
                  <c:v>64</c:v>
                </c:pt>
                <c:pt idx="61">
                  <c:v>64</c:v>
                </c:pt>
                <c:pt idx="62">
                  <c:v>65</c:v>
                </c:pt>
                <c:pt idx="63">
                  <c:v>65</c:v>
                </c:pt>
                <c:pt idx="67">
                  <c:v>66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4">
                  <c:v>54</c:v>
                </c:pt>
                <c:pt idx="75">
                  <c:v>56</c:v>
                </c:pt>
                <c:pt idx="76">
                  <c:v>58</c:v>
                </c:pt>
                <c:pt idx="77">
                  <c:v>59</c:v>
                </c:pt>
                <c:pt idx="78">
                  <c:v>61</c:v>
                </c:pt>
                <c:pt idx="82">
                  <c:v>62</c:v>
                </c:pt>
                <c:pt idx="83">
                  <c:v>62</c:v>
                </c:pt>
                <c:pt idx="84">
                  <c:v>63</c:v>
                </c:pt>
                <c:pt idx="85">
                  <c:v>64</c:v>
                </c:pt>
                <c:pt idx="86">
                  <c:v>64</c:v>
                </c:pt>
                <c:pt idx="90">
                  <c:v>64</c:v>
                </c:pt>
                <c:pt idx="91">
                  <c:v>64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8">
                  <c:v>64</c:v>
                </c:pt>
                <c:pt idx="99">
                  <c:v>64</c:v>
                </c:pt>
                <c:pt idx="100">
                  <c:v>64</c:v>
                </c:pt>
                <c:pt idx="101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4E-4D92-83AD-9EA262AEBAB3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All!$HO$6:$HO$124</c:f>
              <c:numCache>
                <c:formatCode>General</c:formatCode>
                <c:ptCount val="119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60</c:v>
                </c:pt>
                <c:pt idx="13">
                  <c:v>61</c:v>
                </c:pt>
                <c:pt idx="17">
                  <c:v>60</c:v>
                </c:pt>
                <c:pt idx="18">
                  <c:v>61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63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64</c:v>
                </c:pt>
                <c:pt idx="30">
                  <c:v>63</c:v>
                </c:pt>
                <c:pt idx="31">
                  <c:v>64</c:v>
                </c:pt>
                <c:pt idx="35">
                  <c:v>61</c:v>
                </c:pt>
                <c:pt idx="36">
                  <c:v>55</c:v>
                </c:pt>
                <c:pt idx="37">
                  <c:v>57</c:v>
                </c:pt>
                <c:pt idx="38">
                  <c:v>58</c:v>
                </c:pt>
                <c:pt idx="42">
                  <c:v>58</c:v>
                </c:pt>
                <c:pt idx="43">
                  <c:v>58</c:v>
                </c:pt>
                <c:pt idx="44">
                  <c:v>59</c:v>
                </c:pt>
                <c:pt idx="45">
                  <c:v>59</c:v>
                </c:pt>
                <c:pt idx="46">
                  <c:v>60</c:v>
                </c:pt>
                <c:pt idx="50">
                  <c:v>49</c:v>
                </c:pt>
                <c:pt idx="51">
                  <c:v>51</c:v>
                </c:pt>
                <c:pt idx="52">
                  <c:v>53</c:v>
                </c:pt>
                <c:pt idx="53">
                  <c:v>56</c:v>
                </c:pt>
                <c:pt idx="54">
                  <c:v>56</c:v>
                </c:pt>
                <c:pt idx="55">
                  <c:v>57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58</c:v>
                </c:pt>
                <c:pt idx="63">
                  <c:v>59</c:v>
                </c:pt>
                <c:pt idx="67">
                  <c:v>58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4">
                  <c:v>47</c:v>
                </c:pt>
                <c:pt idx="75">
                  <c:v>49</c:v>
                </c:pt>
                <c:pt idx="76">
                  <c:v>51</c:v>
                </c:pt>
                <c:pt idx="77">
                  <c:v>53</c:v>
                </c:pt>
                <c:pt idx="78">
                  <c:v>54</c:v>
                </c:pt>
                <c:pt idx="82">
                  <c:v>55</c:v>
                </c:pt>
                <c:pt idx="83">
                  <c:v>56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90">
                  <c:v>57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8">
                  <c:v>56</c:v>
                </c:pt>
                <c:pt idx="99">
                  <c:v>57</c:v>
                </c:pt>
                <c:pt idx="100">
                  <c:v>58</c:v>
                </c:pt>
                <c:pt idx="101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11">
                  <c:v>58</c:v>
                </c:pt>
                <c:pt idx="112">
                  <c:v>58</c:v>
                </c:pt>
                <c:pt idx="113">
                  <c:v>58</c:v>
                </c:pt>
                <c:pt idx="114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4E-4D92-83AD-9EA262AEBAB3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All!$HP$6:$HP$124</c:f>
              <c:numCache>
                <c:formatCode>General</c:formatCode>
                <c:ptCount val="119"/>
                <c:pt idx="0">
                  <c:v>50</c:v>
                </c:pt>
                <c:pt idx="1">
                  <c:v>53</c:v>
                </c:pt>
                <c:pt idx="2">
                  <c:v>56</c:v>
                </c:pt>
                <c:pt idx="3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64</c:v>
                </c:pt>
                <c:pt idx="17">
                  <c:v>63</c:v>
                </c:pt>
                <c:pt idx="18">
                  <c:v>64</c:v>
                </c:pt>
                <c:pt idx="19">
                  <c:v>65</c:v>
                </c:pt>
                <c:pt idx="20">
                  <c:v>65</c:v>
                </c:pt>
                <c:pt idx="21">
                  <c:v>66</c:v>
                </c:pt>
                <c:pt idx="22">
                  <c:v>66</c:v>
                </c:pt>
                <c:pt idx="26">
                  <c:v>65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67</c:v>
                </c:pt>
                <c:pt idx="35">
                  <c:v>60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42">
                  <c:v>61</c:v>
                </c:pt>
                <c:pt idx="43">
                  <c:v>61</c:v>
                </c:pt>
                <c:pt idx="44">
                  <c:v>62</c:v>
                </c:pt>
                <c:pt idx="45">
                  <c:v>62</c:v>
                </c:pt>
                <c:pt idx="46">
                  <c:v>63</c:v>
                </c:pt>
                <c:pt idx="50">
                  <c:v>51</c:v>
                </c:pt>
                <c:pt idx="51">
                  <c:v>54</c:v>
                </c:pt>
                <c:pt idx="52">
                  <c:v>56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9">
                  <c:v>57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7">
                  <c:v>61</c:v>
                </c:pt>
                <c:pt idx="68">
                  <c:v>61</c:v>
                </c:pt>
                <c:pt idx="69">
                  <c:v>62</c:v>
                </c:pt>
                <c:pt idx="70">
                  <c:v>62</c:v>
                </c:pt>
                <c:pt idx="74">
                  <c:v>50</c:v>
                </c:pt>
                <c:pt idx="75">
                  <c:v>53</c:v>
                </c:pt>
                <c:pt idx="76">
                  <c:v>55</c:v>
                </c:pt>
                <c:pt idx="77">
                  <c:v>57</c:v>
                </c:pt>
                <c:pt idx="78">
                  <c:v>58</c:v>
                </c:pt>
                <c:pt idx="82">
                  <c:v>58</c:v>
                </c:pt>
                <c:pt idx="83">
                  <c:v>59</c:v>
                </c:pt>
                <c:pt idx="84">
                  <c:v>60</c:v>
                </c:pt>
                <c:pt idx="85">
                  <c:v>61</c:v>
                </c:pt>
                <c:pt idx="86">
                  <c:v>61</c:v>
                </c:pt>
                <c:pt idx="90">
                  <c:v>61</c:v>
                </c:pt>
                <c:pt idx="91">
                  <c:v>62</c:v>
                </c:pt>
                <c:pt idx="92">
                  <c:v>61</c:v>
                </c:pt>
                <c:pt idx="93">
                  <c:v>62</c:v>
                </c:pt>
                <c:pt idx="94">
                  <c:v>62</c:v>
                </c:pt>
                <c:pt idx="98">
                  <c:v>59</c:v>
                </c:pt>
                <c:pt idx="99">
                  <c:v>60</c:v>
                </c:pt>
                <c:pt idx="100">
                  <c:v>61</c:v>
                </c:pt>
                <c:pt idx="101">
                  <c:v>62</c:v>
                </c:pt>
                <c:pt idx="105">
                  <c:v>61</c:v>
                </c:pt>
                <c:pt idx="106">
                  <c:v>62</c:v>
                </c:pt>
                <c:pt idx="107">
                  <c:v>62</c:v>
                </c:pt>
                <c:pt idx="111">
                  <c:v>61</c:v>
                </c:pt>
                <c:pt idx="112">
                  <c:v>62</c:v>
                </c:pt>
                <c:pt idx="113">
                  <c:v>62</c:v>
                </c:pt>
                <c:pt idx="114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4E-4D92-83AD-9EA262AEBAB3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All!$HQ$6:$HQ$124</c:f>
              <c:numCache>
                <c:formatCode>General</c:formatCode>
                <c:ptCount val="119"/>
                <c:pt idx="0">
                  <c:v>48</c:v>
                </c:pt>
                <c:pt idx="1">
                  <c:v>51</c:v>
                </c:pt>
                <c:pt idx="2">
                  <c:v>54</c:v>
                </c:pt>
                <c:pt idx="3">
                  <c:v>56</c:v>
                </c:pt>
                <c:pt idx="7">
                  <c:v>56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62</c:v>
                </c:pt>
                <c:pt idx="17">
                  <c:v>61</c:v>
                </c:pt>
                <c:pt idx="18">
                  <c:v>62</c:v>
                </c:pt>
                <c:pt idx="19">
                  <c:v>62</c:v>
                </c:pt>
                <c:pt idx="20">
                  <c:v>63</c:v>
                </c:pt>
                <c:pt idx="21">
                  <c:v>64</c:v>
                </c:pt>
                <c:pt idx="22">
                  <c:v>64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5">
                  <c:v>59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60</c:v>
                </c:pt>
                <c:pt idx="46">
                  <c:v>60</c:v>
                </c:pt>
                <c:pt idx="50">
                  <c:v>50</c:v>
                </c:pt>
                <c:pt idx="51">
                  <c:v>52</c:v>
                </c:pt>
                <c:pt idx="52">
                  <c:v>54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9">
                  <c:v>56</c:v>
                </c:pt>
                <c:pt idx="60">
                  <c:v>57</c:v>
                </c:pt>
                <c:pt idx="61">
                  <c:v>59</c:v>
                </c:pt>
                <c:pt idx="62">
                  <c:v>59</c:v>
                </c:pt>
                <c:pt idx="63">
                  <c:v>60</c:v>
                </c:pt>
                <c:pt idx="67">
                  <c:v>59</c:v>
                </c:pt>
                <c:pt idx="68">
                  <c:v>59</c:v>
                </c:pt>
                <c:pt idx="69">
                  <c:v>60</c:v>
                </c:pt>
                <c:pt idx="70">
                  <c:v>60</c:v>
                </c:pt>
                <c:pt idx="74">
                  <c:v>48</c:v>
                </c:pt>
                <c:pt idx="75">
                  <c:v>51</c:v>
                </c:pt>
                <c:pt idx="76">
                  <c:v>53</c:v>
                </c:pt>
                <c:pt idx="77">
                  <c:v>55</c:v>
                </c:pt>
                <c:pt idx="78">
                  <c:v>56</c:v>
                </c:pt>
                <c:pt idx="82">
                  <c:v>56</c:v>
                </c:pt>
                <c:pt idx="83">
                  <c:v>57</c:v>
                </c:pt>
                <c:pt idx="84">
                  <c:v>58</c:v>
                </c:pt>
                <c:pt idx="85">
                  <c:v>59</c:v>
                </c:pt>
                <c:pt idx="86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8">
                  <c:v>57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4E-4D92-83AD-9EA262AEBAB3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All!$HR$6:$HR$124</c:f>
              <c:numCache>
                <c:formatCode>General</c:formatCode>
                <c:ptCount val="119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47</c:v>
                </c:pt>
                <c:pt idx="7">
                  <c:v>50</c:v>
                </c:pt>
                <c:pt idx="8">
                  <c:v>50</c:v>
                </c:pt>
                <c:pt idx="9">
                  <c:v>51</c:v>
                </c:pt>
                <c:pt idx="10">
                  <c:v>51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5">
                  <c:v>56</c:v>
                </c:pt>
                <c:pt idx="36">
                  <c:v>48</c:v>
                </c:pt>
                <c:pt idx="37">
                  <c:v>49</c:v>
                </c:pt>
                <c:pt idx="38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50">
                  <c:v>47</c:v>
                </c:pt>
                <c:pt idx="51">
                  <c:v>47</c:v>
                </c:pt>
                <c:pt idx="52">
                  <c:v>48</c:v>
                </c:pt>
                <c:pt idx="53">
                  <c:v>49</c:v>
                </c:pt>
                <c:pt idx="54">
                  <c:v>49</c:v>
                </c:pt>
                <c:pt idx="55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51</c:v>
                </c:pt>
                <c:pt idx="67">
                  <c:v>52</c:v>
                </c:pt>
                <c:pt idx="68">
                  <c:v>52</c:v>
                </c:pt>
                <c:pt idx="69">
                  <c:v>51</c:v>
                </c:pt>
                <c:pt idx="70">
                  <c:v>51</c:v>
                </c:pt>
                <c:pt idx="74">
                  <c:v>44</c:v>
                </c:pt>
                <c:pt idx="75">
                  <c:v>44</c:v>
                </c:pt>
                <c:pt idx="76">
                  <c:v>46</c:v>
                </c:pt>
                <c:pt idx="77">
                  <c:v>47</c:v>
                </c:pt>
                <c:pt idx="78">
                  <c:v>48</c:v>
                </c:pt>
                <c:pt idx="82">
                  <c:v>50</c:v>
                </c:pt>
                <c:pt idx="83">
                  <c:v>50</c:v>
                </c:pt>
                <c:pt idx="84">
                  <c:v>51</c:v>
                </c:pt>
                <c:pt idx="85">
                  <c:v>51</c:v>
                </c:pt>
                <c:pt idx="86">
                  <c:v>52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55</c:v>
                </c:pt>
                <c:pt idx="98">
                  <c:v>55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5">
                  <c:v>54</c:v>
                </c:pt>
                <c:pt idx="106">
                  <c:v>54</c:v>
                </c:pt>
                <c:pt idx="107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54</c:v>
                </c:pt>
                <c:pt idx="114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4E-4D92-83AD-9EA262AEBAB3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All!$HS$6:$HS$124</c:f>
              <c:numCache>
                <c:formatCode>General</c:formatCode>
                <c:ptCount val="119"/>
                <c:pt idx="0">
                  <c:v>56</c:v>
                </c:pt>
                <c:pt idx="1">
                  <c:v>70</c:v>
                </c:pt>
                <c:pt idx="2">
                  <c:v>62</c:v>
                </c:pt>
                <c:pt idx="3">
                  <c:v>70</c:v>
                </c:pt>
                <c:pt idx="7">
                  <c:v>62</c:v>
                </c:pt>
                <c:pt idx="8">
                  <c:v>62</c:v>
                </c:pt>
                <c:pt idx="9">
                  <c:v>70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7">
                  <c:v>62</c:v>
                </c:pt>
                <c:pt idx="18">
                  <c:v>62</c:v>
                </c:pt>
                <c:pt idx="19">
                  <c:v>64</c:v>
                </c:pt>
                <c:pt idx="20">
                  <c:v>64</c:v>
                </c:pt>
                <c:pt idx="21">
                  <c:v>70</c:v>
                </c:pt>
                <c:pt idx="22">
                  <c:v>64</c:v>
                </c:pt>
                <c:pt idx="26">
                  <c:v>70</c:v>
                </c:pt>
                <c:pt idx="27">
                  <c:v>70</c:v>
                </c:pt>
                <c:pt idx="28">
                  <c:v>64</c:v>
                </c:pt>
                <c:pt idx="29">
                  <c:v>70</c:v>
                </c:pt>
                <c:pt idx="30">
                  <c:v>70</c:v>
                </c:pt>
                <c:pt idx="31">
                  <c:v>64</c:v>
                </c:pt>
                <c:pt idx="35">
                  <c:v>62</c:v>
                </c:pt>
                <c:pt idx="36">
                  <c:v>62</c:v>
                </c:pt>
                <c:pt idx="37">
                  <c:v>62</c:v>
                </c:pt>
                <c:pt idx="38">
                  <c:v>62</c:v>
                </c:pt>
                <c:pt idx="42">
                  <c:v>58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64</c:v>
                </c:pt>
                <c:pt idx="50">
                  <c:v>62</c:v>
                </c:pt>
                <c:pt idx="51">
                  <c:v>62</c:v>
                </c:pt>
                <c:pt idx="52">
                  <c:v>70</c:v>
                </c:pt>
                <c:pt idx="53">
                  <c:v>62</c:v>
                </c:pt>
                <c:pt idx="54">
                  <c:v>70</c:v>
                </c:pt>
                <c:pt idx="55">
                  <c:v>62</c:v>
                </c:pt>
                <c:pt idx="59">
                  <c:v>54</c:v>
                </c:pt>
                <c:pt idx="60">
                  <c:v>70</c:v>
                </c:pt>
                <c:pt idx="61">
                  <c:v>62</c:v>
                </c:pt>
                <c:pt idx="62">
                  <c:v>64</c:v>
                </c:pt>
                <c:pt idx="63">
                  <c:v>70</c:v>
                </c:pt>
                <c:pt idx="67">
                  <c:v>62</c:v>
                </c:pt>
                <c:pt idx="68">
                  <c:v>66</c:v>
                </c:pt>
                <c:pt idx="69">
                  <c:v>70</c:v>
                </c:pt>
                <c:pt idx="70">
                  <c:v>66</c:v>
                </c:pt>
                <c:pt idx="74">
                  <c:v>54</c:v>
                </c:pt>
                <c:pt idx="75">
                  <c:v>70</c:v>
                </c:pt>
                <c:pt idx="76">
                  <c:v>62</c:v>
                </c:pt>
                <c:pt idx="77">
                  <c:v>70</c:v>
                </c:pt>
                <c:pt idx="78">
                  <c:v>62</c:v>
                </c:pt>
                <c:pt idx="82">
                  <c:v>62</c:v>
                </c:pt>
                <c:pt idx="83">
                  <c:v>70</c:v>
                </c:pt>
                <c:pt idx="84">
                  <c:v>70</c:v>
                </c:pt>
                <c:pt idx="85">
                  <c:v>82</c:v>
                </c:pt>
                <c:pt idx="86">
                  <c:v>62</c:v>
                </c:pt>
                <c:pt idx="90">
                  <c:v>70</c:v>
                </c:pt>
                <c:pt idx="91">
                  <c:v>70</c:v>
                </c:pt>
                <c:pt idx="92">
                  <c:v>62</c:v>
                </c:pt>
                <c:pt idx="93">
                  <c:v>62</c:v>
                </c:pt>
                <c:pt idx="94">
                  <c:v>60</c:v>
                </c:pt>
                <c:pt idx="98">
                  <c:v>58</c:v>
                </c:pt>
                <c:pt idx="99">
                  <c:v>62</c:v>
                </c:pt>
                <c:pt idx="100">
                  <c:v>62</c:v>
                </c:pt>
                <c:pt idx="101">
                  <c:v>70</c:v>
                </c:pt>
                <c:pt idx="105">
                  <c:v>64</c:v>
                </c:pt>
                <c:pt idx="106">
                  <c:v>62</c:v>
                </c:pt>
                <c:pt idx="107">
                  <c:v>64</c:v>
                </c:pt>
                <c:pt idx="111">
                  <c:v>70</c:v>
                </c:pt>
                <c:pt idx="112">
                  <c:v>62</c:v>
                </c:pt>
                <c:pt idx="113">
                  <c:v>62</c:v>
                </c:pt>
                <c:pt idx="114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D4E-4D92-83AD-9EA262AEB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22096"/>
        <c:axId val="543712944"/>
      </c:scatterChart>
      <c:valAx>
        <c:axId val="54372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2944"/>
        <c:crosses val="autoZero"/>
        <c:crossBetween val="midCat"/>
      </c:valAx>
      <c:valAx>
        <c:axId val="5437129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2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All!$HT$6:$HT$124</c:f>
              <c:numCache>
                <c:formatCode>General</c:formatCode>
                <c:ptCount val="119"/>
                <c:pt idx="0">
                  <c:v>-1.2035</c:v>
                </c:pt>
                <c:pt idx="1">
                  <c:v>-1.21</c:v>
                </c:pt>
                <c:pt idx="2">
                  <c:v>-1.22</c:v>
                </c:pt>
                <c:pt idx="3">
                  <c:v>-1.2244999999999999</c:v>
                </c:pt>
                <c:pt idx="7">
                  <c:v>-1.2989999999999999</c:v>
                </c:pt>
                <c:pt idx="8">
                  <c:v>-1.298</c:v>
                </c:pt>
                <c:pt idx="9">
                  <c:v>-1.2689999999999999</c:v>
                </c:pt>
                <c:pt idx="10">
                  <c:v>-1.27</c:v>
                </c:pt>
                <c:pt idx="11">
                  <c:v>-1.282</c:v>
                </c:pt>
                <c:pt idx="12">
                  <c:v>-1.2515000000000001</c:v>
                </c:pt>
                <c:pt idx="13">
                  <c:v>-1.2665</c:v>
                </c:pt>
                <c:pt idx="17">
                  <c:v>-1.3425</c:v>
                </c:pt>
                <c:pt idx="18">
                  <c:v>-1.3194999999999999</c:v>
                </c:pt>
                <c:pt idx="19">
                  <c:v>-1.2889999999999999</c:v>
                </c:pt>
                <c:pt idx="20">
                  <c:v>-1.2665</c:v>
                </c:pt>
                <c:pt idx="21">
                  <c:v>-1.276</c:v>
                </c:pt>
                <c:pt idx="22">
                  <c:v>-1.2535000000000001</c:v>
                </c:pt>
                <c:pt idx="26">
                  <c:v>-1.3109999999999999</c:v>
                </c:pt>
                <c:pt idx="27">
                  <c:v>-1.31</c:v>
                </c:pt>
                <c:pt idx="28">
                  <c:v>-1.3169999999999999</c:v>
                </c:pt>
                <c:pt idx="29">
                  <c:v>-1.3075000000000001</c:v>
                </c:pt>
                <c:pt idx="30">
                  <c:v>-1.2985</c:v>
                </c:pt>
                <c:pt idx="31">
                  <c:v>-1.2865</c:v>
                </c:pt>
                <c:pt idx="35">
                  <c:v>-1.3145</c:v>
                </c:pt>
                <c:pt idx="36">
                  <c:v>-1.323</c:v>
                </c:pt>
                <c:pt idx="37">
                  <c:v>-1.3125</c:v>
                </c:pt>
                <c:pt idx="38">
                  <c:v>-1.357</c:v>
                </c:pt>
                <c:pt idx="42">
                  <c:v>-1.3334999999999999</c:v>
                </c:pt>
                <c:pt idx="43">
                  <c:v>-1.3380000000000001</c:v>
                </c:pt>
                <c:pt idx="44">
                  <c:v>-1.357</c:v>
                </c:pt>
                <c:pt idx="45">
                  <c:v>-1.3274999999999999</c:v>
                </c:pt>
                <c:pt idx="46">
                  <c:v>-1.3334999999999999</c:v>
                </c:pt>
                <c:pt idx="50">
                  <c:v>-1.3140000000000001</c:v>
                </c:pt>
                <c:pt idx="51">
                  <c:v>-1.33</c:v>
                </c:pt>
                <c:pt idx="52">
                  <c:v>-1.3405</c:v>
                </c:pt>
                <c:pt idx="53">
                  <c:v>-1.3360000000000001</c:v>
                </c:pt>
                <c:pt idx="54">
                  <c:v>-1.3474999999999999</c:v>
                </c:pt>
                <c:pt idx="55">
                  <c:v>-1.3465</c:v>
                </c:pt>
                <c:pt idx="59">
                  <c:v>-0.995</c:v>
                </c:pt>
                <c:pt idx="60">
                  <c:v>-1.3660000000000001</c:v>
                </c:pt>
                <c:pt idx="61">
                  <c:v>-1.4015</c:v>
                </c:pt>
                <c:pt idx="62">
                  <c:v>-1.3859999999999999</c:v>
                </c:pt>
                <c:pt idx="63">
                  <c:v>-1.373</c:v>
                </c:pt>
                <c:pt idx="67">
                  <c:v>-1.3955</c:v>
                </c:pt>
                <c:pt idx="68">
                  <c:v>-1.4319999999999999</c:v>
                </c:pt>
                <c:pt idx="69">
                  <c:v>-1.4105000000000001</c:v>
                </c:pt>
                <c:pt idx="70">
                  <c:v>-1.3955</c:v>
                </c:pt>
                <c:pt idx="74">
                  <c:v>-1.3380000000000001</c:v>
                </c:pt>
                <c:pt idx="75">
                  <c:v>-1.3720000000000001</c:v>
                </c:pt>
                <c:pt idx="76">
                  <c:v>-1.3779999999999999</c:v>
                </c:pt>
                <c:pt idx="77">
                  <c:v>-1.3859999999999999</c:v>
                </c:pt>
                <c:pt idx="78">
                  <c:v>-1.407</c:v>
                </c:pt>
                <c:pt idx="82">
                  <c:v>-1.421</c:v>
                </c:pt>
                <c:pt idx="83">
                  <c:v>-1.4155</c:v>
                </c:pt>
                <c:pt idx="84">
                  <c:v>-1.4315</c:v>
                </c:pt>
                <c:pt idx="85">
                  <c:v>-1.4035</c:v>
                </c:pt>
                <c:pt idx="86">
                  <c:v>-1.407</c:v>
                </c:pt>
                <c:pt idx="90">
                  <c:v>-1.4139999999999999</c:v>
                </c:pt>
                <c:pt idx="91">
                  <c:v>-1.4515</c:v>
                </c:pt>
                <c:pt idx="92">
                  <c:v>-1.456</c:v>
                </c:pt>
                <c:pt idx="93">
                  <c:v>-1.4575</c:v>
                </c:pt>
                <c:pt idx="94">
                  <c:v>-1.4384999999999999</c:v>
                </c:pt>
                <c:pt idx="98">
                  <c:v>-1.4444999999999999</c:v>
                </c:pt>
                <c:pt idx="99">
                  <c:v>-1.454</c:v>
                </c:pt>
                <c:pt idx="100">
                  <c:v>-1.476</c:v>
                </c:pt>
                <c:pt idx="101">
                  <c:v>-1.4630000000000001</c:v>
                </c:pt>
                <c:pt idx="105">
                  <c:v>-1.4730000000000001</c:v>
                </c:pt>
                <c:pt idx="106">
                  <c:v>-1.5115000000000001</c:v>
                </c:pt>
                <c:pt idx="107">
                  <c:v>-1.5149999999999999</c:v>
                </c:pt>
                <c:pt idx="111">
                  <c:v>-1.4984999999999999</c:v>
                </c:pt>
                <c:pt idx="112">
                  <c:v>-1.4995000000000001</c:v>
                </c:pt>
                <c:pt idx="113">
                  <c:v>-1.518</c:v>
                </c:pt>
                <c:pt idx="114">
                  <c:v>-1.5089999999999999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1E-4323-9A2A-262018590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5440"/>
        <c:axId val="543716688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All!$HU$6:$HU$124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1E-4323-9A2A-262018590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14192"/>
        <c:axId val="543738320"/>
      </c:scatterChart>
      <c:valAx>
        <c:axId val="54371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6688"/>
        <c:crosses val="autoZero"/>
        <c:crossBetween val="midCat"/>
      </c:valAx>
      <c:valAx>
        <c:axId val="543716688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5440"/>
        <c:crosses val="autoZero"/>
        <c:crossBetween val="midCat"/>
      </c:valAx>
      <c:valAx>
        <c:axId val="54373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14192"/>
        <c:crosses val="max"/>
        <c:crossBetween val="midCat"/>
      </c:valAx>
      <c:valAx>
        <c:axId val="543714192"/>
        <c:scaling>
          <c:orientation val="minMax"/>
        </c:scaling>
        <c:delete val="1"/>
        <c:axPos val="b"/>
        <c:majorTickMark val="out"/>
        <c:minorTickMark val="none"/>
        <c:tickLblPos val="nextTo"/>
        <c:crossAx val="54373832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1'!$B$2:$B$23</c:f>
              <c:numCache>
                <c:formatCode>General</c:formatCode>
                <c:ptCount val="22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</c:numCache>
            </c:numRef>
          </c:xVal>
          <c:yVal>
            <c:numRef>
              <c:f>'Driver 1'!$C$2:$C$23</c:f>
              <c:numCache>
                <c:formatCode>General</c:formatCode>
                <c:ptCount val="22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4">
                  <c:v>4.72</c:v>
                </c:pt>
                <c:pt idx="5">
                  <c:v>4.8</c:v>
                </c:pt>
                <c:pt idx="6">
                  <c:v>6.04</c:v>
                </c:pt>
                <c:pt idx="7">
                  <c:v>6.1</c:v>
                </c:pt>
                <c:pt idx="8">
                  <c:v>5.84</c:v>
                </c:pt>
                <c:pt idx="9">
                  <c:v>5.91</c:v>
                </c:pt>
                <c:pt idx="10">
                  <c:v>6.16</c:v>
                </c:pt>
                <c:pt idx="11">
                  <c:v>6.18</c:v>
                </c:pt>
                <c:pt idx="12">
                  <c:v>5.98</c:v>
                </c:pt>
                <c:pt idx="13">
                  <c:v>5.76</c:v>
                </c:pt>
                <c:pt idx="14">
                  <c:v>5.59</c:v>
                </c:pt>
                <c:pt idx="15">
                  <c:v>5.74</c:v>
                </c:pt>
                <c:pt idx="16">
                  <c:v>6.04</c:v>
                </c:pt>
                <c:pt idx="17">
                  <c:v>-23.13</c:v>
                </c:pt>
                <c:pt idx="18">
                  <c:v>5.82</c:v>
                </c:pt>
                <c:pt idx="19">
                  <c:v>6.09</c:v>
                </c:pt>
                <c:pt idx="20">
                  <c:v>5.99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F1-434D-A51B-F8A2212ED48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2'!$B$2:$B$30</c:f>
              <c:numCache>
                <c:formatCode>General</c:formatCode>
                <c:ptCount val="2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</c:numCache>
            </c:numRef>
          </c:xVal>
          <c:yVal>
            <c:numRef>
              <c:f>'Driver 2'!$C$2:$C$30</c:f>
              <c:numCache>
                <c:formatCode>General</c:formatCode>
                <c:ptCount val="29"/>
                <c:pt idx="0">
                  <c:v>5.62</c:v>
                </c:pt>
                <c:pt idx="1">
                  <c:v>5.77</c:v>
                </c:pt>
                <c:pt idx="2">
                  <c:v>5.84</c:v>
                </c:pt>
                <c:pt idx="3">
                  <c:v>5.85</c:v>
                </c:pt>
                <c:pt idx="4">
                  <c:v>5.61</c:v>
                </c:pt>
                <c:pt idx="5">
                  <c:v>5.81</c:v>
                </c:pt>
                <c:pt idx="6">
                  <c:v>5.63</c:v>
                </c:pt>
                <c:pt idx="7">
                  <c:v>4.96</c:v>
                </c:pt>
                <c:pt idx="8">
                  <c:v>5.84</c:v>
                </c:pt>
                <c:pt idx="9">
                  <c:v>5.95</c:v>
                </c:pt>
                <c:pt idx="10">
                  <c:v>5.64</c:v>
                </c:pt>
                <c:pt idx="11">
                  <c:v>5.88</c:v>
                </c:pt>
                <c:pt idx="12">
                  <c:v>-28.27</c:v>
                </c:pt>
                <c:pt idx="13">
                  <c:v>5.53</c:v>
                </c:pt>
                <c:pt idx="14">
                  <c:v>5.0199999999999996</c:v>
                </c:pt>
                <c:pt idx="15">
                  <c:v>4.4000000000000004</c:v>
                </c:pt>
                <c:pt idx="16">
                  <c:v>5.98</c:v>
                </c:pt>
                <c:pt idx="17">
                  <c:v>6.04</c:v>
                </c:pt>
                <c:pt idx="18">
                  <c:v>-26.97</c:v>
                </c:pt>
                <c:pt idx="19">
                  <c:v>5.74</c:v>
                </c:pt>
                <c:pt idx="20">
                  <c:v>5.96</c:v>
                </c:pt>
                <c:pt idx="21">
                  <c:v>5.91</c:v>
                </c:pt>
                <c:pt idx="22">
                  <c:v>5.9</c:v>
                </c:pt>
                <c:pt idx="23">
                  <c:v>-23.51</c:v>
                </c:pt>
                <c:pt idx="24">
                  <c:v>5.84</c:v>
                </c:pt>
                <c:pt idx="25">
                  <c:v>6.02</c:v>
                </c:pt>
                <c:pt idx="26">
                  <c:v>5.93</c:v>
                </c:pt>
                <c:pt idx="27">
                  <c:v>3.84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F1-434D-A51B-F8A2212ED48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3'!$B$2:$B$26</c:f>
              <c:numCache>
                <c:formatCode>General</c:formatCode>
                <c:ptCount val="2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</c:numCache>
            </c:numRef>
          </c:xVal>
          <c:yVal>
            <c:numRef>
              <c:f>'Driver 3'!$C$2:$C$26</c:f>
              <c:numCache>
                <c:formatCode>General</c:formatCode>
                <c:ptCount val="25"/>
                <c:pt idx="0">
                  <c:v>5.65</c:v>
                </c:pt>
                <c:pt idx="1">
                  <c:v>5.72</c:v>
                </c:pt>
                <c:pt idx="2">
                  <c:v>5.86</c:v>
                </c:pt>
                <c:pt idx="3">
                  <c:v>5.92</c:v>
                </c:pt>
                <c:pt idx="4">
                  <c:v>5.91</c:v>
                </c:pt>
                <c:pt idx="5">
                  <c:v>5.47</c:v>
                </c:pt>
                <c:pt idx="6">
                  <c:v>5.71</c:v>
                </c:pt>
                <c:pt idx="7">
                  <c:v>5.78</c:v>
                </c:pt>
                <c:pt idx="8">
                  <c:v>5.84</c:v>
                </c:pt>
                <c:pt idx="9">
                  <c:v>-17.32</c:v>
                </c:pt>
                <c:pt idx="10">
                  <c:v>0</c:v>
                </c:pt>
                <c:pt idx="11">
                  <c:v>5.57</c:v>
                </c:pt>
                <c:pt idx="12">
                  <c:v>6.07</c:v>
                </c:pt>
                <c:pt idx="13">
                  <c:v>6.07</c:v>
                </c:pt>
                <c:pt idx="14">
                  <c:v>5.94</c:v>
                </c:pt>
                <c:pt idx="15">
                  <c:v>5.76</c:v>
                </c:pt>
                <c:pt idx="16">
                  <c:v>5.79</c:v>
                </c:pt>
                <c:pt idx="17">
                  <c:v>5.7</c:v>
                </c:pt>
                <c:pt idx="18">
                  <c:v>5.98</c:v>
                </c:pt>
                <c:pt idx="19">
                  <c:v>-23.23</c:v>
                </c:pt>
                <c:pt idx="20">
                  <c:v>5.73</c:v>
                </c:pt>
                <c:pt idx="21">
                  <c:v>6.03</c:v>
                </c:pt>
                <c:pt idx="22">
                  <c:v>6.04</c:v>
                </c:pt>
                <c:pt idx="23">
                  <c:v>5.76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F1-434D-A51B-F8A2212ED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43312"/>
        <c:axId val="543745808"/>
      </c:scatterChart>
      <c:valAx>
        <c:axId val="543743312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45808"/>
        <c:crosses val="autoZero"/>
        <c:crossBetween val="midCat"/>
      </c:valAx>
      <c:valAx>
        <c:axId val="543745808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43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1'!$B$2:$B$23</c:f>
              <c:numCache>
                <c:formatCode>General</c:formatCode>
                <c:ptCount val="22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</c:numCache>
            </c:numRef>
          </c:xVal>
          <c:yVal>
            <c:numRef>
              <c:f>'Driver 1'!$D$2:$D$23</c:f>
              <c:numCache>
                <c:formatCode>General</c:formatCode>
                <c:ptCount val="22"/>
                <c:pt idx="0">
                  <c:v>1.0369999999999999</c:v>
                </c:pt>
                <c:pt idx="1">
                  <c:v>1.4430000000000001</c:v>
                </c:pt>
                <c:pt idx="2">
                  <c:v>1.718</c:v>
                </c:pt>
                <c:pt idx="4">
                  <c:v>1.2949999999999999</c:v>
                </c:pt>
                <c:pt idx="5">
                  <c:v>1.504</c:v>
                </c:pt>
                <c:pt idx="6">
                  <c:v>1.655</c:v>
                </c:pt>
                <c:pt idx="7">
                  <c:v>1.522</c:v>
                </c:pt>
                <c:pt idx="9">
                  <c:v>1.4079999999999999</c:v>
                </c:pt>
                <c:pt idx="10">
                  <c:v>1.6479999999999999</c:v>
                </c:pt>
                <c:pt idx="11">
                  <c:v>1.456</c:v>
                </c:pt>
                <c:pt idx="13">
                  <c:v>1.0489999999999999</c:v>
                </c:pt>
                <c:pt idx="14">
                  <c:v>1.37</c:v>
                </c:pt>
                <c:pt idx="15">
                  <c:v>1.6619999999999999</c:v>
                </c:pt>
                <c:pt idx="16">
                  <c:v>1.1599999999999999</c:v>
                </c:pt>
                <c:pt idx="18">
                  <c:v>1.355</c:v>
                </c:pt>
                <c:pt idx="19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3-4531-8DDF-2060785E2F97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2'!$B$2:$B$30</c:f>
              <c:numCache>
                <c:formatCode>General</c:formatCode>
                <c:ptCount val="2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</c:numCache>
            </c:numRef>
          </c:xVal>
          <c:yVal>
            <c:numRef>
              <c:f>'Driver 2'!$D$2:$D$30</c:f>
              <c:numCache>
                <c:formatCode>General</c:formatCode>
                <c:ptCount val="29"/>
                <c:pt idx="0">
                  <c:v>1.58</c:v>
                </c:pt>
                <c:pt idx="1">
                  <c:v>1.6819999999999999</c:v>
                </c:pt>
                <c:pt idx="2">
                  <c:v>1.81</c:v>
                </c:pt>
                <c:pt idx="3">
                  <c:v>1.649</c:v>
                </c:pt>
                <c:pt idx="4">
                  <c:v>1.357</c:v>
                </c:pt>
                <c:pt idx="5">
                  <c:v>1.43</c:v>
                </c:pt>
                <c:pt idx="7">
                  <c:v>1.3839999999999999</c:v>
                </c:pt>
                <c:pt idx="8">
                  <c:v>1.63</c:v>
                </c:pt>
                <c:pt idx="9">
                  <c:v>1.641</c:v>
                </c:pt>
                <c:pt idx="10">
                  <c:v>1.615</c:v>
                </c:pt>
                <c:pt idx="11">
                  <c:v>1.417</c:v>
                </c:pt>
                <c:pt idx="13">
                  <c:v>1.0649999999999999</c:v>
                </c:pt>
                <c:pt idx="14">
                  <c:v>0.89200000000000002</c:v>
                </c:pt>
                <c:pt idx="15">
                  <c:v>1.31</c:v>
                </c:pt>
                <c:pt idx="16">
                  <c:v>1.702</c:v>
                </c:pt>
                <c:pt idx="17">
                  <c:v>1.3440000000000001</c:v>
                </c:pt>
                <c:pt idx="19">
                  <c:v>1.5580000000000001</c:v>
                </c:pt>
                <c:pt idx="20">
                  <c:v>1.548</c:v>
                </c:pt>
                <c:pt idx="21">
                  <c:v>1.611</c:v>
                </c:pt>
                <c:pt idx="22">
                  <c:v>1.603</c:v>
                </c:pt>
                <c:pt idx="24">
                  <c:v>1.4359999999999999</c:v>
                </c:pt>
                <c:pt idx="25">
                  <c:v>1.63</c:v>
                </c:pt>
                <c:pt idx="26">
                  <c:v>1.137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3-4531-8DDF-2060785E2F97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3'!$B$2:$B$26</c:f>
              <c:numCache>
                <c:formatCode>General</c:formatCode>
                <c:ptCount val="2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</c:numCache>
            </c:numRef>
          </c:xVal>
          <c:yVal>
            <c:numRef>
              <c:f>'Driver 3'!$D$2:$D$26</c:f>
              <c:numCache>
                <c:formatCode>General</c:formatCode>
                <c:ptCount val="25"/>
                <c:pt idx="0">
                  <c:v>1.083</c:v>
                </c:pt>
                <c:pt idx="1">
                  <c:v>1.363</c:v>
                </c:pt>
                <c:pt idx="2">
                  <c:v>1.4650000000000001</c:v>
                </c:pt>
                <c:pt idx="3">
                  <c:v>1.4830000000000001</c:v>
                </c:pt>
                <c:pt idx="4">
                  <c:v>1.19</c:v>
                </c:pt>
                <c:pt idx="6">
                  <c:v>1.018</c:v>
                </c:pt>
                <c:pt idx="7">
                  <c:v>1.4510000000000001</c:v>
                </c:pt>
                <c:pt idx="8">
                  <c:v>0.92900000000000005</c:v>
                </c:pt>
                <c:pt idx="11">
                  <c:v>1.4039999999999999</c:v>
                </c:pt>
                <c:pt idx="12">
                  <c:v>1.7509999999999999</c:v>
                </c:pt>
                <c:pt idx="13">
                  <c:v>1.7110000000000001</c:v>
                </c:pt>
                <c:pt idx="15">
                  <c:v>1.2090000000000001</c:v>
                </c:pt>
                <c:pt idx="16">
                  <c:v>1.5860000000000001</c:v>
                </c:pt>
                <c:pt idx="17">
                  <c:v>1.6779999999999999</c:v>
                </c:pt>
                <c:pt idx="18">
                  <c:v>1.47</c:v>
                </c:pt>
                <c:pt idx="20">
                  <c:v>1.29</c:v>
                </c:pt>
                <c:pt idx="21">
                  <c:v>1.659</c:v>
                </c:pt>
                <c:pt idx="22">
                  <c:v>1.5529999999999999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3-4531-8DDF-2060785E2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40400"/>
        <c:axId val="543706704"/>
      </c:scatterChart>
      <c:valAx>
        <c:axId val="543740400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06704"/>
        <c:crosses val="autoZero"/>
        <c:crossBetween val="midCat"/>
      </c:valAx>
      <c:valAx>
        <c:axId val="54370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4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1'!$B$2:$B$23</c:f>
              <c:numCache>
                <c:formatCode>General</c:formatCode>
                <c:ptCount val="22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</c:numCache>
            </c:numRef>
          </c:xVal>
          <c:yVal>
            <c:numRef>
              <c:f>'Driver 1'!$E$2:$E$23</c:f>
              <c:numCache>
                <c:formatCode>General</c:formatCode>
                <c:ptCount val="22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  <c:pt idx="9">
                  <c:v>4.508</c:v>
                </c:pt>
                <c:pt idx="10">
                  <c:v>5.0519999999999996</c:v>
                </c:pt>
                <c:pt idx="11">
                  <c:v>4.782</c:v>
                </c:pt>
                <c:pt idx="13">
                  <c:v>4.8250000000000002</c:v>
                </c:pt>
                <c:pt idx="14">
                  <c:v>4.4850000000000003</c:v>
                </c:pt>
                <c:pt idx="15">
                  <c:v>4.6950000000000003</c:v>
                </c:pt>
                <c:pt idx="16">
                  <c:v>3.3180000000000001</c:v>
                </c:pt>
                <c:pt idx="18">
                  <c:v>5.4059999999999997</c:v>
                </c:pt>
                <c:pt idx="19">
                  <c:v>4.1749999999999998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1-425A-88F9-CD36D25FA42A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2'!$B$2:$B$30</c:f>
              <c:numCache>
                <c:formatCode>General</c:formatCode>
                <c:ptCount val="2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</c:numCache>
            </c:numRef>
          </c:xVal>
          <c:yVal>
            <c:numRef>
              <c:f>'Driver 2'!$E$2:$E$30</c:f>
              <c:numCache>
                <c:formatCode>General</c:formatCode>
                <c:ptCount val="29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  <c:pt idx="13">
                  <c:v>4.5979999999999999</c:v>
                </c:pt>
                <c:pt idx="14">
                  <c:v>5.016</c:v>
                </c:pt>
                <c:pt idx="15">
                  <c:v>4.391</c:v>
                </c:pt>
                <c:pt idx="16">
                  <c:v>4.7679999999999998</c:v>
                </c:pt>
                <c:pt idx="17">
                  <c:v>4.2830000000000004</c:v>
                </c:pt>
                <c:pt idx="19">
                  <c:v>4.8680000000000003</c:v>
                </c:pt>
                <c:pt idx="20">
                  <c:v>4.7960000000000003</c:v>
                </c:pt>
                <c:pt idx="21">
                  <c:v>4.7279999999999998</c:v>
                </c:pt>
                <c:pt idx="22">
                  <c:v>4.5720000000000001</c:v>
                </c:pt>
                <c:pt idx="24">
                  <c:v>5.6210000000000004</c:v>
                </c:pt>
                <c:pt idx="25">
                  <c:v>5.6680000000000001</c:v>
                </c:pt>
                <c:pt idx="26">
                  <c:v>4.1589999999999998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1-425A-88F9-CD36D25FA42A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3'!$B$2:$B$26</c:f>
              <c:numCache>
                <c:formatCode>General</c:formatCode>
                <c:ptCount val="2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</c:numCache>
            </c:numRef>
          </c:xVal>
          <c:yVal>
            <c:numRef>
              <c:f>'Driver 3'!$E$2:$E$26</c:f>
              <c:numCache>
                <c:formatCode>General</c:formatCode>
                <c:ptCount val="25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  <c:pt idx="11">
                  <c:v>4.0919999999999996</c:v>
                </c:pt>
                <c:pt idx="12">
                  <c:v>3.9449999999999998</c:v>
                </c:pt>
                <c:pt idx="13">
                  <c:v>3.4740000000000002</c:v>
                </c:pt>
                <c:pt idx="15">
                  <c:v>4.5830000000000002</c:v>
                </c:pt>
                <c:pt idx="16">
                  <c:v>5.4950000000000001</c:v>
                </c:pt>
                <c:pt idx="17">
                  <c:v>4.6879999999999997</c:v>
                </c:pt>
                <c:pt idx="18">
                  <c:v>3.944</c:v>
                </c:pt>
                <c:pt idx="20">
                  <c:v>4.7690000000000001</c:v>
                </c:pt>
                <c:pt idx="21">
                  <c:v>4.5410000000000004</c:v>
                </c:pt>
                <c:pt idx="22">
                  <c:v>4.3419999999999996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E1-425A-88F9-CD36D25FA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694224"/>
        <c:axId val="543700048"/>
      </c:scatterChart>
      <c:valAx>
        <c:axId val="543694224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00048"/>
        <c:crosses val="autoZero"/>
        <c:crossBetween val="midCat"/>
      </c:valAx>
      <c:valAx>
        <c:axId val="5437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69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1'!$B$2:$B$23</c:f>
              <c:numCache>
                <c:formatCode>General</c:formatCode>
                <c:ptCount val="22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</c:numCache>
            </c:numRef>
          </c:xVal>
          <c:yVal>
            <c:numRef>
              <c:f>'Driver 1'!$F$2:$F$23</c:f>
              <c:numCache>
                <c:formatCode>General</c:formatCode>
                <c:ptCount val="22"/>
                <c:pt idx="0">
                  <c:v>15.163</c:v>
                </c:pt>
                <c:pt idx="1">
                  <c:v>3.3439999999999999</c:v>
                </c:pt>
                <c:pt idx="2">
                  <c:v>2.9060000000000001</c:v>
                </c:pt>
                <c:pt idx="4">
                  <c:v>2.2589999999999999</c:v>
                </c:pt>
                <c:pt idx="5">
                  <c:v>2.698</c:v>
                </c:pt>
                <c:pt idx="6">
                  <c:v>3.327</c:v>
                </c:pt>
                <c:pt idx="7">
                  <c:v>3.214</c:v>
                </c:pt>
                <c:pt idx="9">
                  <c:v>3.5339999999999998</c:v>
                </c:pt>
                <c:pt idx="10">
                  <c:v>3.6680000000000001</c:v>
                </c:pt>
                <c:pt idx="11">
                  <c:v>3.4980000000000002</c:v>
                </c:pt>
                <c:pt idx="13">
                  <c:v>4.01</c:v>
                </c:pt>
                <c:pt idx="14">
                  <c:v>3.2109999999999999</c:v>
                </c:pt>
                <c:pt idx="15">
                  <c:v>3.7309999999999999</c:v>
                </c:pt>
                <c:pt idx="16">
                  <c:v>2.8860000000000001</c:v>
                </c:pt>
                <c:pt idx="18">
                  <c:v>3.3319999999999999</c:v>
                </c:pt>
                <c:pt idx="19">
                  <c:v>3.472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D-465B-BECE-3558FE4AD47E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2'!$B$2:$B$30</c:f>
              <c:numCache>
                <c:formatCode>General</c:formatCode>
                <c:ptCount val="2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</c:numCache>
            </c:numRef>
          </c:xVal>
          <c:yVal>
            <c:numRef>
              <c:f>'Driver 2'!$F$2:$F$30</c:f>
              <c:numCache>
                <c:formatCode>General</c:formatCode>
                <c:ptCount val="29"/>
                <c:pt idx="0">
                  <c:v>3.3</c:v>
                </c:pt>
                <c:pt idx="1">
                  <c:v>3.415</c:v>
                </c:pt>
                <c:pt idx="2">
                  <c:v>3.3260000000000001</c:v>
                </c:pt>
                <c:pt idx="3">
                  <c:v>3.194</c:v>
                </c:pt>
                <c:pt idx="4">
                  <c:v>3.2109999999999999</c:v>
                </c:pt>
                <c:pt idx="5">
                  <c:v>3.2730000000000001</c:v>
                </c:pt>
                <c:pt idx="7">
                  <c:v>-573.15499999999997</c:v>
                </c:pt>
                <c:pt idx="8">
                  <c:v>-748.80399999999997</c:v>
                </c:pt>
                <c:pt idx="9">
                  <c:v>-103.21299999999999</c:v>
                </c:pt>
                <c:pt idx="10">
                  <c:v>-33.445</c:v>
                </c:pt>
                <c:pt idx="11">
                  <c:v>328.32900000000001</c:v>
                </c:pt>
                <c:pt idx="13">
                  <c:v>-930411.30900000001</c:v>
                </c:pt>
                <c:pt idx="14">
                  <c:v>-116.81699999999999</c:v>
                </c:pt>
                <c:pt idx="15">
                  <c:v>-92.903999999999996</c:v>
                </c:pt>
                <c:pt idx="16">
                  <c:v>-73.218999999999994</c:v>
                </c:pt>
                <c:pt idx="17">
                  <c:v>-90.393000000000001</c:v>
                </c:pt>
                <c:pt idx="19">
                  <c:v>3.3090000000000002</c:v>
                </c:pt>
                <c:pt idx="20">
                  <c:v>3.718</c:v>
                </c:pt>
                <c:pt idx="21">
                  <c:v>3.7160000000000002</c:v>
                </c:pt>
                <c:pt idx="22">
                  <c:v>3.5019999999999998</c:v>
                </c:pt>
                <c:pt idx="24">
                  <c:v>3.3879999999999999</c:v>
                </c:pt>
                <c:pt idx="25">
                  <c:v>3.8050000000000002</c:v>
                </c:pt>
                <c:pt idx="26">
                  <c:v>2.8420000000000001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FD-465B-BECE-3558FE4AD47E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3'!$B$2:$B$26</c:f>
              <c:numCache>
                <c:formatCode>General</c:formatCode>
                <c:ptCount val="2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</c:numCache>
            </c:numRef>
          </c:xVal>
          <c:yVal>
            <c:numRef>
              <c:f>'Driver 3'!$F$2:$F$26</c:f>
              <c:numCache>
                <c:formatCode>General</c:formatCode>
                <c:ptCount val="25"/>
                <c:pt idx="0">
                  <c:v>3.36</c:v>
                </c:pt>
                <c:pt idx="1">
                  <c:v>3.5779999999999998</c:v>
                </c:pt>
                <c:pt idx="2">
                  <c:v>3.504</c:v>
                </c:pt>
                <c:pt idx="3">
                  <c:v>3.5910000000000002</c:v>
                </c:pt>
                <c:pt idx="4">
                  <c:v>3.3</c:v>
                </c:pt>
                <c:pt idx="6">
                  <c:v>2.2810000000000001</c:v>
                </c:pt>
                <c:pt idx="7">
                  <c:v>3.41</c:v>
                </c:pt>
                <c:pt idx="8">
                  <c:v>2.476</c:v>
                </c:pt>
                <c:pt idx="10">
                  <c:v>1.895</c:v>
                </c:pt>
                <c:pt idx="11">
                  <c:v>3.5169999999999999</c:v>
                </c:pt>
                <c:pt idx="12">
                  <c:v>3.7210000000000001</c:v>
                </c:pt>
                <c:pt idx="13">
                  <c:v>3.774</c:v>
                </c:pt>
                <c:pt idx="15">
                  <c:v>2.5110000000000001</c:v>
                </c:pt>
                <c:pt idx="16">
                  <c:v>3.5779999999999998</c:v>
                </c:pt>
                <c:pt idx="17">
                  <c:v>3.6749999999999998</c:v>
                </c:pt>
                <c:pt idx="18">
                  <c:v>3.4580000000000002</c:v>
                </c:pt>
                <c:pt idx="20">
                  <c:v>3.544</c:v>
                </c:pt>
                <c:pt idx="21">
                  <c:v>3.7280000000000002</c:v>
                </c:pt>
                <c:pt idx="22">
                  <c:v>3.407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FD-465B-BECE-3558FE4AD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07120"/>
        <c:axId val="543704208"/>
      </c:scatterChart>
      <c:valAx>
        <c:axId val="543707120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04208"/>
        <c:crosses val="autoZero"/>
        <c:crossBetween val="midCat"/>
      </c:valAx>
      <c:valAx>
        <c:axId val="543704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07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1'!$E$2:$E$23</c:f>
              <c:numCache>
                <c:formatCode>General</c:formatCode>
                <c:ptCount val="22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  <c:pt idx="9">
                  <c:v>4.508</c:v>
                </c:pt>
                <c:pt idx="10">
                  <c:v>5.0519999999999996</c:v>
                </c:pt>
                <c:pt idx="11">
                  <c:v>4.782</c:v>
                </c:pt>
                <c:pt idx="13">
                  <c:v>4.8250000000000002</c:v>
                </c:pt>
                <c:pt idx="14">
                  <c:v>4.4850000000000003</c:v>
                </c:pt>
                <c:pt idx="15">
                  <c:v>4.6950000000000003</c:v>
                </c:pt>
                <c:pt idx="16">
                  <c:v>3.3180000000000001</c:v>
                </c:pt>
                <c:pt idx="18">
                  <c:v>5.4059999999999997</c:v>
                </c:pt>
                <c:pt idx="19">
                  <c:v>4.1749999999999998</c:v>
                </c:pt>
              </c:numCache>
            </c:numRef>
          </c:xVal>
          <c:yVal>
            <c:numRef>
              <c:f>'Driver 1'!$C$2:$C$23</c:f>
              <c:numCache>
                <c:formatCode>General</c:formatCode>
                <c:ptCount val="22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4">
                  <c:v>4.72</c:v>
                </c:pt>
                <c:pt idx="5">
                  <c:v>4.8</c:v>
                </c:pt>
                <c:pt idx="6">
                  <c:v>6.04</c:v>
                </c:pt>
                <c:pt idx="7">
                  <c:v>6.1</c:v>
                </c:pt>
                <c:pt idx="8">
                  <c:v>5.84</c:v>
                </c:pt>
                <c:pt idx="9">
                  <c:v>5.91</c:v>
                </c:pt>
                <c:pt idx="10">
                  <c:v>6.16</c:v>
                </c:pt>
                <c:pt idx="11">
                  <c:v>6.18</c:v>
                </c:pt>
                <c:pt idx="12">
                  <c:v>5.98</c:v>
                </c:pt>
                <c:pt idx="13">
                  <c:v>5.76</c:v>
                </c:pt>
                <c:pt idx="14">
                  <c:v>5.59</c:v>
                </c:pt>
                <c:pt idx="15">
                  <c:v>5.74</c:v>
                </c:pt>
                <c:pt idx="16">
                  <c:v>6.04</c:v>
                </c:pt>
                <c:pt idx="17">
                  <c:v>-23.13</c:v>
                </c:pt>
                <c:pt idx="18">
                  <c:v>5.82</c:v>
                </c:pt>
                <c:pt idx="19">
                  <c:v>6.09</c:v>
                </c:pt>
                <c:pt idx="20">
                  <c:v>5.99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8-48A9-AD80-575CE749078D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2'!$E$2:$E$30</c:f>
              <c:numCache>
                <c:formatCode>General</c:formatCode>
                <c:ptCount val="29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  <c:pt idx="13">
                  <c:v>4.5979999999999999</c:v>
                </c:pt>
                <c:pt idx="14">
                  <c:v>5.016</c:v>
                </c:pt>
                <c:pt idx="15">
                  <c:v>4.391</c:v>
                </c:pt>
                <c:pt idx="16">
                  <c:v>4.7679999999999998</c:v>
                </c:pt>
                <c:pt idx="17">
                  <c:v>4.2830000000000004</c:v>
                </c:pt>
                <c:pt idx="19">
                  <c:v>4.8680000000000003</c:v>
                </c:pt>
                <c:pt idx="20">
                  <c:v>4.7960000000000003</c:v>
                </c:pt>
                <c:pt idx="21">
                  <c:v>4.7279999999999998</c:v>
                </c:pt>
                <c:pt idx="22">
                  <c:v>4.5720000000000001</c:v>
                </c:pt>
                <c:pt idx="24">
                  <c:v>5.6210000000000004</c:v>
                </c:pt>
                <c:pt idx="25">
                  <c:v>5.6680000000000001</c:v>
                </c:pt>
                <c:pt idx="26">
                  <c:v>4.1589999999999998</c:v>
                </c:pt>
              </c:numCache>
            </c:numRef>
          </c:xVal>
          <c:yVal>
            <c:numRef>
              <c:f>'Driver 2'!$C$2:$C$30</c:f>
              <c:numCache>
                <c:formatCode>General</c:formatCode>
                <c:ptCount val="29"/>
                <c:pt idx="0">
                  <c:v>5.62</c:v>
                </c:pt>
                <c:pt idx="1">
                  <c:v>5.77</c:v>
                </c:pt>
                <c:pt idx="2">
                  <c:v>5.84</c:v>
                </c:pt>
                <c:pt idx="3">
                  <c:v>5.85</c:v>
                </c:pt>
                <c:pt idx="4">
                  <c:v>5.61</c:v>
                </c:pt>
                <c:pt idx="5">
                  <c:v>5.81</c:v>
                </c:pt>
                <c:pt idx="6">
                  <c:v>5.63</c:v>
                </c:pt>
                <c:pt idx="7">
                  <c:v>4.96</c:v>
                </c:pt>
                <c:pt idx="8">
                  <c:v>5.84</c:v>
                </c:pt>
                <c:pt idx="9">
                  <c:v>5.95</c:v>
                </c:pt>
                <c:pt idx="10">
                  <c:v>5.64</c:v>
                </c:pt>
                <c:pt idx="11">
                  <c:v>5.88</c:v>
                </c:pt>
                <c:pt idx="12">
                  <c:v>-28.27</c:v>
                </c:pt>
                <c:pt idx="13">
                  <c:v>5.53</c:v>
                </c:pt>
                <c:pt idx="14">
                  <c:v>5.0199999999999996</c:v>
                </c:pt>
                <c:pt idx="15">
                  <c:v>4.4000000000000004</c:v>
                </c:pt>
                <c:pt idx="16">
                  <c:v>5.98</c:v>
                </c:pt>
                <c:pt idx="17">
                  <c:v>6.04</c:v>
                </c:pt>
                <c:pt idx="18">
                  <c:v>-26.97</c:v>
                </c:pt>
                <c:pt idx="19">
                  <c:v>5.74</c:v>
                </c:pt>
                <c:pt idx="20">
                  <c:v>5.96</c:v>
                </c:pt>
                <c:pt idx="21">
                  <c:v>5.91</c:v>
                </c:pt>
                <c:pt idx="22">
                  <c:v>5.9</c:v>
                </c:pt>
                <c:pt idx="23">
                  <c:v>-23.51</c:v>
                </c:pt>
                <c:pt idx="24">
                  <c:v>5.84</c:v>
                </c:pt>
                <c:pt idx="25">
                  <c:v>6.02</c:v>
                </c:pt>
                <c:pt idx="26">
                  <c:v>5.93</c:v>
                </c:pt>
                <c:pt idx="27">
                  <c:v>3.84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68-48A9-AD80-575CE749078D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3'!$E$2:$E$26</c:f>
              <c:numCache>
                <c:formatCode>General</c:formatCode>
                <c:ptCount val="25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  <c:pt idx="11">
                  <c:v>4.0919999999999996</c:v>
                </c:pt>
                <c:pt idx="12">
                  <c:v>3.9449999999999998</c:v>
                </c:pt>
                <c:pt idx="13">
                  <c:v>3.4740000000000002</c:v>
                </c:pt>
                <c:pt idx="15">
                  <c:v>4.5830000000000002</c:v>
                </c:pt>
                <c:pt idx="16">
                  <c:v>5.4950000000000001</c:v>
                </c:pt>
                <c:pt idx="17">
                  <c:v>4.6879999999999997</c:v>
                </c:pt>
                <c:pt idx="18">
                  <c:v>3.944</c:v>
                </c:pt>
                <c:pt idx="20">
                  <c:v>4.7690000000000001</c:v>
                </c:pt>
                <c:pt idx="21">
                  <c:v>4.5410000000000004</c:v>
                </c:pt>
                <c:pt idx="22">
                  <c:v>4.3419999999999996</c:v>
                </c:pt>
              </c:numCache>
            </c:numRef>
          </c:xVal>
          <c:yVal>
            <c:numRef>
              <c:f>'Driver 3'!$C$2:$C$26</c:f>
              <c:numCache>
                <c:formatCode>General</c:formatCode>
                <c:ptCount val="25"/>
                <c:pt idx="0">
                  <c:v>5.65</c:v>
                </c:pt>
                <c:pt idx="1">
                  <c:v>5.72</c:v>
                </c:pt>
                <c:pt idx="2">
                  <c:v>5.86</c:v>
                </c:pt>
                <c:pt idx="3">
                  <c:v>5.92</c:v>
                </c:pt>
                <c:pt idx="4">
                  <c:v>5.91</c:v>
                </c:pt>
                <c:pt idx="5">
                  <c:v>5.47</c:v>
                </c:pt>
                <c:pt idx="6">
                  <c:v>5.71</c:v>
                </c:pt>
                <c:pt idx="7">
                  <c:v>5.78</c:v>
                </c:pt>
                <c:pt idx="8">
                  <c:v>5.84</c:v>
                </c:pt>
                <c:pt idx="9">
                  <c:v>-17.32</c:v>
                </c:pt>
                <c:pt idx="10">
                  <c:v>0</c:v>
                </c:pt>
                <c:pt idx="11">
                  <c:v>5.57</c:v>
                </c:pt>
                <c:pt idx="12">
                  <c:v>6.07</c:v>
                </c:pt>
                <c:pt idx="13">
                  <c:v>6.07</c:v>
                </c:pt>
                <c:pt idx="14">
                  <c:v>5.94</c:v>
                </c:pt>
                <c:pt idx="15">
                  <c:v>5.76</c:v>
                </c:pt>
                <c:pt idx="16">
                  <c:v>5.79</c:v>
                </c:pt>
                <c:pt idx="17">
                  <c:v>5.7</c:v>
                </c:pt>
                <c:pt idx="18">
                  <c:v>5.98</c:v>
                </c:pt>
                <c:pt idx="19">
                  <c:v>-23.23</c:v>
                </c:pt>
                <c:pt idx="20">
                  <c:v>5.73</c:v>
                </c:pt>
                <c:pt idx="21">
                  <c:v>6.03</c:v>
                </c:pt>
                <c:pt idx="22">
                  <c:v>6.04</c:v>
                </c:pt>
                <c:pt idx="23">
                  <c:v>5.76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68-48A9-AD80-575CE7490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701296"/>
        <c:axId val="543708784"/>
      </c:scatterChart>
      <c:valAx>
        <c:axId val="54370129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08784"/>
        <c:crosses val="autoZero"/>
        <c:crossBetween val="midCat"/>
      </c:valAx>
      <c:valAx>
        <c:axId val="543708784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701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1'!$E$2:$E$23</c:f>
              <c:numCache>
                <c:formatCode>General</c:formatCode>
                <c:ptCount val="22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  <c:pt idx="9">
                  <c:v>4.508</c:v>
                </c:pt>
                <c:pt idx="10">
                  <c:v>5.0519999999999996</c:v>
                </c:pt>
                <c:pt idx="11">
                  <c:v>4.782</c:v>
                </c:pt>
                <c:pt idx="13">
                  <c:v>4.8250000000000002</c:v>
                </c:pt>
                <c:pt idx="14">
                  <c:v>4.4850000000000003</c:v>
                </c:pt>
                <c:pt idx="15">
                  <c:v>4.6950000000000003</c:v>
                </c:pt>
                <c:pt idx="16">
                  <c:v>3.3180000000000001</c:v>
                </c:pt>
                <c:pt idx="18">
                  <c:v>5.4059999999999997</c:v>
                </c:pt>
                <c:pt idx="19">
                  <c:v>4.1749999999999998</c:v>
                </c:pt>
              </c:numCache>
            </c:numRef>
          </c:xVal>
          <c:yVal>
            <c:numRef>
              <c:f>'Driver 1'!$G$2:$G$23</c:f>
              <c:numCache>
                <c:formatCode>General</c:formatCode>
                <c:ptCount val="22"/>
                <c:pt idx="0">
                  <c:v>64.44</c:v>
                </c:pt>
                <c:pt idx="1">
                  <c:v>74.239999999999995</c:v>
                </c:pt>
                <c:pt idx="2">
                  <c:v>76.599999999999994</c:v>
                </c:pt>
                <c:pt idx="3">
                  <c:v>75</c:v>
                </c:pt>
                <c:pt idx="4">
                  <c:v>-196.62</c:v>
                </c:pt>
                <c:pt idx="5">
                  <c:v>52.7</c:v>
                </c:pt>
                <c:pt idx="6">
                  <c:v>74.34</c:v>
                </c:pt>
                <c:pt idx="7">
                  <c:v>74.94</c:v>
                </c:pt>
                <c:pt idx="8">
                  <c:v>70.28</c:v>
                </c:pt>
                <c:pt idx="9">
                  <c:v>71.55</c:v>
                </c:pt>
                <c:pt idx="10">
                  <c:v>76.66</c:v>
                </c:pt>
                <c:pt idx="11">
                  <c:v>76.84</c:v>
                </c:pt>
                <c:pt idx="12">
                  <c:v>71.25</c:v>
                </c:pt>
                <c:pt idx="13">
                  <c:v>-287.76</c:v>
                </c:pt>
                <c:pt idx="14">
                  <c:v>66.959999999999994</c:v>
                </c:pt>
                <c:pt idx="15">
                  <c:v>69.06</c:v>
                </c:pt>
                <c:pt idx="16">
                  <c:v>74.22</c:v>
                </c:pt>
                <c:pt idx="17">
                  <c:v>39.4</c:v>
                </c:pt>
                <c:pt idx="18">
                  <c:v>-215.48</c:v>
                </c:pt>
                <c:pt idx="19">
                  <c:v>75.239999999999995</c:v>
                </c:pt>
                <c:pt idx="20">
                  <c:v>72.739999999999995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1-41C5-8C41-9AAB694493C9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2'!$E$2:$E$30</c:f>
              <c:numCache>
                <c:formatCode>General</c:formatCode>
                <c:ptCount val="29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  <c:pt idx="13">
                  <c:v>4.5979999999999999</c:v>
                </c:pt>
                <c:pt idx="14">
                  <c:v>5.016</c:v>
                </c:pt>
                <c:pt idx="15">
                  <c:v>4.391</c:v>
                </c:pt>
                <c:pt idx="16">
                  <c:v>4.7679999999999998</c:v>
                </c:pt>
                <c:pt idx="17">
                  <c:v>4.2830000000000004</c:v>
                </c:pt>
                <c:pt idx="19">
                  <c:v>4.8680000000000003</c:v>
                </c:pt>
                <c:pt idx="20">
                  <c:v>4.7960000000000003</c:v>
                </c:pt>
                <c:pt idx="21">
                  <c:v>4.7279999999999998</c:v>
                </c:pt>
                <c:pt idx="22">
                  <c:v>4.5720000000000001</c:v>
                </c:pt>
                <c:pt idx="24">
                  <c:v>5.6210000000000004</c:v>
                </c:pt>
                <c:pt idx="25">
                  <c:v>5.6680000000000001</c:v>
                </c:pt>
                <c:pt idx="26">
                  <c:v>4.1589999999999998</c:v>
                </c:pt>
              </c:numCache>
            </c:numRef>
          </c:xVal>
          <c:yVal>
            <c:numRef>
              <c:f>'Driver 2'!$G$2:$G$30</c:f>
              <c:numCache>
                <c:formatCode>General</c:formatCode>
                <c:ptCount val="29"/>
                <c:pt idx="0">
                  <c:v>-221.12</c:v>
                </c:pt>
                <c:pt idx="1">
                  <c:v>73.64</c:v>
                </c:pt>
                <c:pt idx="2">
                  <c:v>74.64</c:v>
                </c:pt>
                <c:pt idx="3">
                  <c:v>74.94</c:v>
                </c:pt>
                <c:pt idx="4">
                  <c:v>70.36</c:v>
                </c:pt>
                <c:pt idx="5">
                  <c:v>74.2</c:v>
                </c:pt>
                <c:pt idx="6">
                  <c:v>70.94</c:v>
                </c:pt>
                <c:pt idx="7">
                  <c:v>-451.18</c:v>
                </c:pt>
                <c:pt idx="8">
                  <c:v>73.06</c:v>
                </c:pt>
                <c:pt idx="9">
                  <c:v>74.739999999999995</c:v>
                </c:pt>
                <c:pt idx="10">
                  <c:v>70</c:v>
                </c:pt>
                <c:pt idx="11">
                  <c:v>73.92</c:v>
                </c:pt>
                <c:pt idx="12">
                  <c:v>69.680000000000007</c:v>
                </c:pt>
                <c:pt idx="13">
                  <c:v>-258.95999999999998</c:v>
                </c:pt>
                <c:pt idx="14">
                  <c:v>58.04</c:v>
                </c:pt>
                <c:pt idx="15">
                  <c:v>45.22</c:v>
                </c:pt>
                <c:pt idx="16">
                  <c:v>74.22</c:v>
                </c:pt>
                <c:pt idx="17">
                  <c:v>75.319999999999993</c:v>
                </c:pt>
                <c:pt idx="18">
                  <c:v>64.400000000000006</c:v>
                </c:pt>
                <c:pt idx="19">
                  <c:v>-284.02</c:v>
                </c:pt>
                <c:pt idx="20">
                  <c:v>73.08</c:v>
                </c:pt>
                <c:pt idx="21">
                  <c:v>72.36</c:v>
                </c:pt>
                <c:pt idx="22">
                  <c:v>72.22</c:v>
                </c:pt>
                <c:pt idx="23">
                  <c:v>71.02</c:v>
                </c:pt>
                <c:pt idx="24">
                  <c:v>-148.04</c:v>
                </c:pt>
                <c:pt idx="25">
                  <c:v>73.5</c:v>
                </c:pt>
                <c:pt idx="26">
                  <c:v>72.040000000000006</c:v>
                </c:pt>
                <c:pt idx="27">
                  <c:v>35.840000000000003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B1-41C5-8C41-9AAB694493C9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3'!$E$2:$E$26</c:f>
              <c:numCache>
                <c:formatCode>General</c:formatCode>
                <c:ptCount val="25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  <c:pt idx="11">
                  <c:v>4.0919999999999996</c:v>
                </c:pt>
                <c:pt idx="12">
                  <c:v>3.9449999999999998</c:v>
                </c:pt>
                <c:pt idx="13">
                  <c:v>3.4740000000000002</c:v>
                </c:pt>
                <c:pt idx="15">
                  <c:v>4.5830000000000002</c:v>
                </c:pt>
                <c:pt idx="16">
                  <c:v>5.4950000000000001</c:v>
                </c:pt>
                <c:pt idx="17">
                  <c:v>4.6879999999999997</c:v>
                </c:pt>
                <c:pt idx="18">
                  <c:v>3.944</c:v>
                </c:pt>
                <c:pt idx="20">
                  <c:v>4.7690000000000001</c:v>
                </c:pt>
                <c:pt idx="21">
                  <c:v>4.5410000000000004</c:v>
                </c:pt>
                <c:pt idx="22">
                  <c:v>4.3419999999999996</c:v>
                </c:pt>
              </c:numCache>
            </c:numRef>
          </c:xVal>
          <c:yVal>
            <c:numRef>
              <c:f>'Driver 3'!$G$2:$G$26</c:f>
              <c:numCache>
                <c:formatCode>General</c:formatCode>
                <c:ptCount val="25"/>
                <c:pt idx="0">
                  <c:v>-348.8</c:v>
                </c:pt>
                <c:pt idx="1">
                  <c:v>72</c:v>
                </c:pt>
                <c:pt idx="2">
                  <c:v>73.98</c:v>
                </c:pt>
                <c:pt idx="3">
                  <c:v>75.02</c:v>
                </c:pt>
                <c:pt idx="4">
                  <c:v>74.900000000000006</c:v>
                </c:pt>
                <c:pt idx="5">
                  <c:v>66.86</c:v>
                </c:pt>
                <c:pt idx="6">
                  <c:v>-364.1</c:v>
                </c:pt>
                <c:pt idx="7">
                  <c:v>70.78</c:v>
                </c:pt>
                <c:pt idx="8">
                  <c:v>71.52</c:v>
                </c:pt>
                <c:pt idx="9">
                  <c:v>38.1</c:v>
                </c:pt>
                <c:pt idx="10">
                  <c:v>0</c:v>
                </c:pt>
                <c:pt idx="11">
                  <c:v>-315.3</c:v>
                </c:pt>
                <c:pt idx="12">
                  <c:v>75</c:v>
                </c:pt>
                <c:pt idx="13">
                  <c:v>75.010000000000005</c:v>
                </c:pt>
                <c:pt idx="14">
                  <c:v>72.53</c:v>
                </c:pt>
                <c:pt idx="15">
                  <c:v>-517.5</c:v>
                </c:pt>
                <c:pt idx="16">
                  <c:v>70.42</c:v>
                </c:pt>
                <c:pt idx="17">
                  <c:v>69.44</c:v>
                </c:pt>
                <c:pt idx="18">
                  <c:v>73.58</c:v>
                </c:pt>
                <c:pt idx="19">
                  <c:v>71.099999999999994</c:v>
                </c:pt>
                <c:pt idx="20">
                  <c:v>-250.82</c:v>
                </c:pt>
                <c:pt idx="21">
                  <c:v>73.66</c:v>
                </c:pt>
                <c:pt idx="22">
                  <c:v>74.28</c:v>
                </c:pt>
                <c:pt idx="23">
                  <c:v>69.28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B1-41C5-8C41-9AAB69449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691312"/>
        <c:axId val="543698800"/>
      </c:scatterChart>
      <c:valAx>
        <c:axId val="54369131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698800"/>
        <c:crosses val="autoZero"/>
        <c:crossBetween val="midCat"/>
      </c:valAx>
      <c:valAx>
        <c:axId val="543698800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369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All!$BE$6:$BE$186</c:f>
              <c:numCache>
                <c:formatCode>General</c:formatCode>
                <c:ptCount val="181"/>
                <c:pt idx="0">
                  <c:v>15.31</c:v>
                </c:pt>
                <c:pt idx="1">
                  <c:v>17.190000000000001</c:v>
                </c:pt>
                <c:pt idx="2">
                  <c:v>17.43</c:v>
                </c:pt>
                <c:pt idx="3">
                  <c:v>17.239999999999998</c:v>
                </c:pt>
                <c:pt idx="7">
                  <c:v>16.004999999999999</c:v>
                </c:pt>
                <c:pt idx="8">
                  <c:v>15.84</c:v>
                </c:pt>
                <c:pt idx="9">
                  <c:v>15.525</c:v>
                </c:pt>
                <c:pt idx="10">
                  <c:v>16.41</c:v>
                </c:pt>
                <c:pt idx="11">
                  <c:v>16.75</c:v>
                </c:pt>
                <c:pt idx="12">
                  <c:v>16.55</c:v>
                </c:pt>
                <c:pt idx="13">
                  <c:v>16.41</c:v>
                </c:pt>
                <c:pt idx="17">
                  <c:v>17.594999999999999</c:v>
                </c:pt>
                <c:pt idx="18">
                  <c:v>15.574999999999999</c:v>
                </c:pt>
                <c:pt idx="19">
                  <c:v>16.71</c:v>
                </c:pt>
                <c:pt idx="20">
                  <c:v>17</c:v>
                </c:pt>
                <c:pt idx="21">
                  <c:v>17.190000000000001</c:v>
                </c:pt>
                <c:pt idx="22">
                  <c:v>16.52</c:v>
                </c:pt>
                <c:pt idx="26">
                  <c:v>15.335000000000001</c:v>
                </c:pt>
                <c:pt idx="27">
                  <c:v>15.21</c:v>
                </c:pt>
                <c:pt idx="28">
                  <c:v>16.36</c:v>
                </c:pt>
                <c:pt idx="29">
                  <c:v>17.18</c:v>
                </c:pt>
                <c:pt idx="30">
                  <c:v>16.420000000000002</c:v>
                </c:pt>
                <c:pt idx="31">
                  <c:v>14.13</c:v>
                </c:pt>
                <c:pt idx="35">
                  <c:v>13.93</c:v>
                </c:pt>
                <c:pt idx="36">
                  <c:v>14.404999999999999</c:v>
                </c:pt>
                <c:pt idx="37">
                  <c:v>16.89</c:v>
                </c:pt>
                <c:pt idx="38">
                  <c:v>12.935</c:v>
                </c:pt>
                <c:pt idx="42">
                  <c:v>14.96</c:v>
                </c:pt>
                <c:pt idx="43">
                  <c:v>13.664999999999999</c:v>
                </c:pt>
                <c:pt idx="44">
                  <c:v>16.864999999999998</c:v>
                </c:pt>
                <c:pt idx="45">
                  <c:v>16.925000000000001</c:v>
                </c:pt>
                <c:pt idx="46">
                  <c:v>15.965</c:v>
                </c:pt>
                <c:pt idx="50">
                  <c:v>15.955</c:v>
                </c:pt>
                <c:pt idx="51">
                  <c:v>16.84</c:v>
                </c:pt>
                <c:pt idx="52">
                  <c:v>14.04</c:v>
                </c:pt>
                <c:pt idx="53">
                  <c:v>16.75</c:v>
                </c:pt>
                <c:pt idx="54">
                  <c:v>15.955</c:v>
                </c:pt>
                <c:pt idx="55">
                  <c:v>15.914999999999999</c:v>
                </c:pt>
                <c:pt idx="59">
                  <c:v>3.98</c:v>
                </c:pt>
                <c:pt idx="60">
                  <c:v>15.07</c:v>
                </c:pt>
                <c:pt idx="61">
                  <c:v>16.254999999999999</c:v>
                </c:pt>
                <c:pt idx="62">
                  <c:v>18.454999999999998</c:v>
                </c:pt>
                <c:pt idx="63">
                  <c:v>16.635000000000002</c:v>
                </c:pt>
                <c:pt idx="67">
                  <c:v>15.78</c:v>
                </c:pt>
                <c:pt idx="68">
                  <c:v>17.670000000000002</c:v>
                </c:pt>
                <c:pt idx="69">
                  <c:v>17.405000000000001</c:v>
                </c:pt>
                <c:pt idx="70">
                  <c:v>17.04</c:v>
                </c:pt>
                <c:pt idx="74">
                  <c:v>14.42</c:v>
                </c:pt>
                <c:pt idx="75">
                  <c:v>14.09</c:v>
                </c:pt>
                <c:pt idx="76">
                  <c:v>14.67</c:v>
                </c:pt>
                <c:pt idx="77">
                  <c:v>14.645</c:v>
                </c:pt>
                <c:pt idx="78">
                  <c:v>15.045</c:v>
                </c:pt>
                <c:pt idx="82">
                  <c:v>15.65</c:v>
                </c:pt>
                <c:pt idx="83">
                  <c:v>17.77</c:v>
                </c:pt>
                <c:pt idx="84">
                  <c:v>17.254999999999999</c:v>
                </c:pt>
                <c:pt idx="85">
                  <c:v>15.93</c:v>
                </c:pt>
                <c:pt idx="86">
                  <c:v>17.57</c:v>
                </c:pt>
                <c:pt idx="90">
                  <c:v>15.565</c:v>
                </c:pt>
                <c:pt idx="91">
                  <c:v>17</c:v>
                </c:pt>
                <c:pt idx="92">
                  <c:v>15.715</c:v>
                </c:pt>
                <c:pt idx="93">
                  <c:v>14.62</c:v>
                </c:pt>
                <c:pt idx="94">
                  <c:v>15.335000000000001</c:v>
                </c:pt>
                <c:pt idx="98">
                  <c:v>15.35</c:v>
                </c:pt>
                <c:pt idx="99">
                  <c:v>16.684999999999999</c:v>
                </c:pt>
                <c:pt idx="100">
                  <c:v>15.41</c:v>
                </c:pt>
                <c:pt idx="101">
                  <c:v>14.78</c:v>
                </c:pt>
                <c:pt idx="105">
                  <c:v>15.36</c:v>
                </c:pt>
                <c:pt idx="106">
                  <c:v>17.329999999999998</c:v>
                </c:pt>
                <c:pt idx="107">
                  <c:v>16.535</c:v>
                </c:pt>
                <c:pt idx="111">
                  <c:v>15.78</c:v>
                </c:pt>
                <c:pt idx="112">
                  <c:v>15.89</c:v>
                </c:pt>
                <c:pt idx="113">
                  <c:v>16.71</c:v>
                </c:pt>
                <c:pt idx="114">
                  <c:v>15.17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All!$BF$6:$BF$186</c:f>
              <c:numCache>
                <c:formatCode>General</c:formatCode>
                <c:ptCount val="181"/>
                <c:pt idx="0">
                  <c:v>12.705</c:v>
                </c:pt>
                <c:pt idx="1">
                  <c:v>12.565</c:v>
                </c:pt>
                <c:pt idx="2">
                  <c:v>13.835000000000001</c:v>
                </c:pt>
                <c:pt idx="3">
                  <c:v>14.17</c:v>
                </c:pt>
                <c:pt idx="7">
                  <c:v>13.48</c:v>
                </c:pt>
                <c:pt idx="8">
                  <c:v>12.465</c:v>
                </c:pt>
                <c:pt idx="9">
                  <c:v>12.115</c:v>
                </c:pt>
                <c:pt idx="10">
                  <c:v>13.255000000000001</c:v>
                </c:pt>
                <c:pt idx="11">
                  <c:v>14.12</c:v>
                </c:pt>
                <c:pt idx="12">
                  <c:v>14.22</c:v>
                </c:pt>
                <c:pt idx="13">
                  <c:v>14.195</c:v>
                </c:pt>
                <c:pt idx="17">
                  <c:v>12.855</c:v>
                </c:pt>
                <c:pt idx="18">
                  <c:v>14.71</c:v>
                </c:pt>
                <c:pt idx="19">
                  <c:v>14.525</c:v>
                </c:pt>
                <c:pt idx="20">
                  <c:v>14.775</c:v>
                </c:pt>
                <c:pt idx="21">
                  <c:v>15.19</c:v>
                </c:pt>
                <c:pt idx="22">
                  <c:v>13.645</c:v>
                </c:pt>
                <c:pt idx="26">
                  <c:v>13.585000000000001</c:v>
                </c:pt>
                <c:pt idx="27">
                  <c:v>12.845000000000001</c:v>
                </c:pt>
                <c:pt idx="28">
                  <c:v>14.4</c:v>
                </c:pt>
                <c:pt idx="29">
                  <c:v>13.045</c:v>
                </c:pt>
                <c:pt idx="30">
                  <c:v>13.77</c:v>
                </c:pt>
                <c:pt idx="31">
                  <c:v>12.53</c:v>
                </c:pt>
                <c:pt idx="35">
                  <c:v>12.98</c:v>
                </c:pt>
                <c:pt idx="36">
                  <c:v>13.305</c:v>
                </c:pt>
                <c:pt idx="37">
                  <c:v>15.025</c:v>
                </c:pt>
                <c:pt idx="38">
                  <c:v>12.955</c:v>
                </c:pt>
                <c:pt idx="42">
                  <c:v>11.16</c:v>
                </c:pt>
                <c:pt idx="43">
                  <c:v>11.525</c:v>
                </c:pt>
                <c:pt idx="44">
                  <c:v>14.07</c:v>
                </c:pt>
                <c:pt idx="45">
                  <c:v>15.225</c:v>
                </c:pt>
                <c:pt idx="46">
                  <c:v>11.675000000000001</c:v>
                </c:pt>
                <c:pt idx="50">
                  <c:v>13.71</c:v>
                </c:pt>
                <c:pt idx="51">
                  <c:v>11.775</c:v>
                </c:pt>
                <c:pt idx="52">
                  <c:v>12.43</c:v>
                </c:pt>
                <c:pt idx="53">
                  <c:v>15.025</c:v>
                </c:pt>
                <c:pt idx="54">
                  <c:v>15.305</c:v>
                </c:pt>
                <c:pt idx="55">
                  <c:v>13.08</c:v>
                </c:pt>
                <c:pt idx="59">
                  <c:v>3.06</c:v>
                </c:pt>
                <c:pt idx="60">
                  <c:v>12.74</c:v>
                </c:pt>
                <c:pt idx="61">
                  <c:v>14.335000000000001</c:v>
                </c:pt>
                <c:pt idx="62">
                  <c:v>15.645</c:v>
                </c:pt>
                <c:pt idx="63">
                  <c:v>14.76</c:v>
                </c:pt>
                <c:pt idx="67">
                  <c:v>13.23</c:v>
                </c:pt>
                <c:pt idx="68">
                  <c:v>15.14</c:v>
                </c:pt>
                <c:pt idx="69">
                  <c:v>15.34</c:v>
                </c:pt>
                <c:pt idx="70">
                  <c:v>12.97</c:v>
                </c:pt>
                <c:pt idx="74">
                  <c:v>12.09</c:v>
                </c:pt>
                <c:pt idx="75">
                  <c:v>12.53</c:v>
                </c:pt>
                <c:pt idx="76">
                  <c:v>13.645</c:v>
                </c:pt>
                <c:pt idx="77">
                  <c:v>13.23</c:v>
                </c:pt>
                <c:pt idx="78">
                  <c:v>13.345000000000001</c:v>
                </c:pt>
                <c:pt idx="82">
                  <c:v>12.87</c:v>
                </c:pt>
                <c:pt idx="83">
                  <c:v>13.445</c:v>
                </c:pt>
                <c:pt idx="84">
                  <c:v>13.395</c:v>
                </c:pt>
                <c:pt idx="85">
                  <c:v>14.9</c:v>
                </c:pt>
                <c:pt idx="86">
                  <c:v>15.065</c:v>
                </c:pt>
                <c:pt idx="90">
                  <c:v>13.205</c:v>
                </c:pt>
                <c:pt idx="91">
                  <c:v>15.654999999999999</c:v>
                </c:pt>
                <c:pt idx="92">
                  <c:v>14.22</c:v>
                </c:pt>
                <c:pt idx="93">
                  <c:v>11.74</c:v>
                </c:pt>
                <c:pt idx="94">
                  <c:v>13.02</c:v>
                </c:pt>
                <c:pt idx="98">
                  <c:v>12.68</c:v>
                </c:pt>
                <c:pt idx="99">
                  <c:v>11.715</c:v>
                </c:pt>
                <c:pt idx="100">
                  <c:v>15.705</c:v>
                </c:pt>
                <c:pt idx="101">
                  <c:v>13.535</c:v>
                </c:pt>
                <c:pt idx="105">
                  <c:v>14.375</c:v>
                </c:pt>
                <c:pt idx="106">
                  <c:v>14.234999999999999</c:v>
                </c:pt>
                <c:pt idx="107">
                  <c:v>14.885</c:v>
                </c:pt>
                <c:pt idx="111">
                  <c:v>14.65</c:v>
                </c:pt>
                <c:pt idx="112">
                  <c:v>14.55</c:v>
                </c:pt>
                <c:pt idx="113">
                  <c:v>14.01</c:v>
                </c:pt>
                <c:pt idx="114">
                  <c:v>11.715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All!$BG$6:$BG$186</c:f>
              <c:numCache>
                <c:formatCode>General</c:formatCode>
                <c:ptCount val="181"/>
                <c:pt idx="0">
                  <c:v>26.68</c:v>
                </c:pt>
                <c:pt idx="1">
                  <c:v>27.86</c:v>
                </c:pt>
                <c:pt idx="2">
                  <c:v>28.99</c:v>
                </c:pt>
                <c:pt idx="3">
                  <c:v>29.03</c:v>
                </c:pt>
                <c:pt idx="7">
                  <c:v>26.25</c:v>
                </c:pt>
                <c:pt idx="8">
                  <c:v>28.25</c:v>
                </c:pt>
                <c:pt idx="9">
                  <c:v>29.12</c:v>
                </c:pt>
                <c:pt idx="10">
                  <c:v>28.42</c:v>
                </c:pt>
                <c:pt idx="11">
                  <c:v>27.01</c:v>
                </c:pt>
                <c:pt idx="12">
                  <c:v>28.9</c:v>
                </c:pt>
                <c:pt idx="13">
                  <c:v>28.16</c:v>
                </c:pt>
                <c:pt idx="17">
                  <c:v>28.44</c:v>
                </c:pt>
                <c:pt idx="18">
                  <c:v>28.69</c:v>
                </c:pt>
                <c:pt idx="19">
                  <c:v>28.56</c:v>
                </c:pt>
                <c:pt idx="20">
                  <c:v>29.62</c:v>
                </c:pt>
                <c:pt idx="21">
                  <c:v>28.2</c:v>
                </c:pt>
                <c:pt idx="22">
                  <c:v>28.46</c:v>
                </c:pt>
                <c:pt idx="26">
                  <c:v>26.19</c:v>
                </c:pt>
                <c:pt idx="27">
                  <c:v>29.01</c:v>
                </c:pt>
                <c:pt idx="28">
                  <c:v>28.8</c:v>
                </c:pt>
                <c:pt idx="29">
                  <c:v>28.2</c:v>
                </c:pt>
                <c:pt idx="30">
                  <c:v>29.6</c:v>
                </c:pt>
                <c:pt idx="31">
                  <c:v>28.71</c:v>
                </c:pt>
                <c:pt idx="35">
                  <c:v>26.68</c:v>
                </c:pt>
                <c:pt idx="36">
                  <c:v>27.59</c:v>
                </c:pt>
                <c:pt idx="37">
                  <c:v>28.42</c:v>
                </c:pt>
                <c:pt idx="38">
                  <c:v>24.96</c:v>
                </c:pt>
                <c:pt idx="42">
                  <c:v>27.29</c:v>
                </c:pt>
                <c:pt idx="43">
                  <c:v>26.17</c:v>
                </c:pt>
                <c:pt idx="44">
                  <c:v>28.1</c:v>
                </c:pt>
                <c:pt idx="45">
                  <c:v>28.73</c:v>
                </c:pt>
                <c:pt idx="46">
                  <c:v>29.09</c:v>
                </c:pt>
                <c:pt idx="50">
                  <c:v>28.69</c:v>
                </c:pt>
                <c:pt idx="51">
                  <c:v>29.39</c:v>
                </c:pt>
                <c:pt idx="52">
                  <c:v>26.91</c:v>
                </c:pt>
                <c:pt idx="53">
                  <c:v>29.33</c:v>
                </c:pt>
                <c:pt idx="54">
                  <c:v>30.34</c:v>
                </c:pt>
                <c:pt idx="55">
                  <c:v>28.22</c:v>
                </c:pt>
                <c:pt idx="59">
                  <c:v>6.2</c:v>
                </c:pt>
                <c:pt idx="60">
                  <c:v>25.47</c:v>
                </c:pt>
                <c:pt idx="61">
                  <c:v>28.78</c:v>
                </c:pt>
                <c:pt idx="62">
                  <c:v>29.37</c:v>
                </c:pt>
                <c:pt idx="63">
                  <c:v>30.53</c:v>
                </c:pt>
                <c:pt idx="67">
                  <c:v>28.01</c:v>
                </c:pt>
                <c:pt idx="68">
                  <c:v>29.26</c:v>
                </c:pt>
                <c:pt idx="69">
                  <c:v>30.28</c:v>
                </c:pt>
                <c:pt idx="70">
                  <c:v>30.24</c:v>
                </c:pt>
                <c:pt idx="74">
                  <c:v>29.07</c:v>
                </c:pt>
                <c:pt idx="75">
                  <c:v>27.91</c:v>
                </c:pt>
                <c:pt idx="76">
                  <c:v>30.05</c:v>
                </c:pt>
                <c:pt idx="77">
                  <c:v>28.82</c:v>
                </c:pt>
                <c:pt idx="78">
                  <c:v>29.18</c:v>
                </c:pt>
                <c:pt idx="82">
                  <c:v>28.95</c:v>
                </c:pt>
                <c:pt idx="83">
                  <c:v>29.62</c:v>
                </c:pt>
                <c:pt idx="84">
                  <c:v>29.48</c:v>
                </c:pt>
                <c:pt idx="85">
                  <c:v>28.46</c:v>
                </c:pt>
                <c:pt idx="86">
                  <c:v>29.29</c:v>
                </c:pt>
                <c:pt idx="90">
                  <c:v>28.31</c:v>
                </c:pt>
                <c:pt idx="91">
                  <c:v>31.25</c:v>
                </c:pt>
                <c:pt idx="92">
                  <c:v>28.9</c:v>
                </c:pt>
                <c:pt idx="93">
                  <c:v>29.75</c:v>
                </c:pt>
                <c:pt idx="94">
                  <c:v>28.29</c:v>
                </c:pt>
                <c:pt idx="98">
                  <c:v>29.01</c:v>
                </c:pt>
                <c:pt idx="99">
                  <c:v>29.09</c:v>
                </c:pt>
                <c:pt idx="100">
                  <c:v>29.33</c:v>
                </c:pt>
                <c:pt idx="101">
                  <c:v>28.14</c:v>
                </c:pt>
                <c:pt idx="105">
                  <c:v>27.5</c:v>
                </c:pt>
                <c:pt idx="106">
                  <c:v>30.2</c:v>
                </c:pt>
                <c:pt idx="107">
                  <c:v>28.56</c:v>
                </c:pt>
                <c:pt idx="111">
                  <c:v>28.16</c:v>
                </c:pt>
                <c:pt idx="112">
                  <c:v>28.65</c:v>
                </c:pt>
                <c:pt idx="113">
                  <c:v>28.35</c:v>
                </c:pt>
                <c:pt idx="114">
                  <c:v>26.48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All!$BH$6:$BH$186</c:f>
              <c:numCache>
                <c:formatCode>General</c:formatCode>
                <c:ptCount val="181"/>
                <c:pt idx="0">
                  <c:v>26.42</c:v>
                </c:pt>
                <c:pt idx="1">
                  <c:v>26.32</c:v>
                </c:pt>
                <c:pt idx="2">
                  <c:v>26.62</c:v>
                </c:pt>
                <c:pt idx="3">
                  <c:v>26.95</c:v>
                </c:pt>
                <c:pt idx="7">
                  <c:v>25.53</c:v>
                </c:pt>
                <c:pt idx="8">
                  <c:v>25.26</c:v>
                </c:pt>
                <c:pt idx="9">
                  <c:v>25.83</c:v>
                </c:pt>
                <c:pt idx="10">
                  <c:v>26.13</c:v>
                </c:pt>
                <c:pt idx="11">
                  <c:v>27.36</c:v>
                </c:pt>
                <c:pt idx="12">
                  <c:v>26.79</c:v>
                </c:pt>
                <c:pt idx="13">
                  <c:v>27.42</c:v>
                </c:pt>
                <c:pt idx="17">
                  <c:v>25.24</c:v>
                </c:pt>
                <c:pt idx="18">
                  <c:v>30.91</c:v>
                </c:pt>
                <c:pt idx="19">
                  <c:v>28.54</c:v>
                </c:pt>
                <c:pt idx="20">
                  <c:v>25.13</c:v>
                </c:pt>
                <c:pt idx="21">
                  <c:v>26.3</c:v>
                </c:pt>
                <c:pt idx="22">
                  <c:v>26.57</c:v>
                </c:pt>
                <c:pt idx="26">
                  <c:v>26.13</c:v>
                </c:pt>
                <c:pt idx="27">
                  <c:v>28.08</c:v>
                </c:pt>
                <c:pt idx="28">
                  <c:v>28.86</c:v>
                </c:pt>
                <c:pt idx="29">
                  <c:v>27.55</c:v>
                </c:pt>
                <c:pt idx="30">
                  <c:v>30.13</c:v>
                </c:pt>
                <c:pt idx="31">
                  <c:v>27.29</c:v>
                </c:pt>
                <c:pt idx="35">
                  <c:v>26.49</c:v>
                </c:pt>
                <c:pt idx="36">
                  <c:v>25.56</c:v>
                </c:pt>
                <c:pt idx="37">
                  <c:v>27.53</c:v>
                </c:pt>
                <c:pt idx="38">
                  <c:v>25.2</c:v>
                </c:pt>
                <c:pt idx="42">
                  <c:v>26.85</c:v>
                </c:pt>
                <c:pt idx="43">
                  <c:v>25.94</c:v>
                </c:pt>
                <c:pt idx="44">
                  <c:v>26.34</c:v>
                </c:pt>
                <c:pt idx="45">
                  <c:v>28.06</c:v>
                </c:pt>
                <c:pt idx="46">
                  <c:v>24.26</c:v>
                </c:pt>
                <c:pt idx="50">
                  <c:v>27.55</c:v>
                </c:pt>
                <c:pt idx="51">
                  <c:v>27.91</c:v>
                </c:pt>
                <c:pt idx="52">
                  <c:v>26.09</c:v>
                </c:pt>
                <c:pt idx="53">
                  <c:v>27.61</c:v>
                </c:pt>
                <c:pt idx="54">
                  <c:v>28.1</c:v>
                </c:pt>
                <c:pt idx="55">
                  <c:v>27.12</c:v>
                </c:pt>
                <c:pt idx="59">
                  <c:v>6.5</c:v>
                </c:pt>
                <c:pt idx="60">
                  <c:v>26.06</c:v>
                </c:pt>
                <c:pt idx="61">
                  <c:v>27.44</c:v>
                </c:pt>
                <c:pt idx="62">
                  <c:v>27.89</c:v>
                </c:pt>
                <c:pt idx="63">
                  <c:v>28.35</c:v>
                </c:pt>
                <c:pt idx="67">
                  <c:v>27.51</c:v>
                </c:pt>
                <c:pt idx="68">
                  <c:v>28.01</c:v>
                </c:pt>
                <c:pt idx="69">
                  <c:v>29.58</c:v>
                </c:pt>
                <c:pt idx="70">
                  <c:v>26.21</c:v>
                </c:pt>
                <c:pt idx="74">
                  <c:v>28.29</c:v>
                </c:pt>
                <c:pt idx="75">
                  <c:v>27.74</c:v>
                </c:pt>
                <c:pt idx="76">
                  <c:v>28.08</c:v>
                </c:pt>
                <c:pt idx="77">
                  <c:v>27.97</c:v>
                </c:pt>
                <c:pt idx="78">
                  <c:v>29.86</c:v>
                </c:pt>
                <c:pt idx="82">
                  <c:v>27.89</c:v>
                </c:pt>
                <c:pt idx="83">
                  <c:v>28.21</c:v>
                </c:pt>
                <c:pt idx="84">
                  <c:v>27.97</c:v>
                </c:pt>
                <c:pt idx="85">
                  <c:v>31.4</c:v>
                </c:pt>
                <c:pt idx="86">
                  <c:v>27.78</c:v>
                </c:pt>
                <c:pt idx="90">
                  <c:v>29.84</c:v>
                </c:pt>
                <c:pt idx="91">
                  <c:v>29.46</c:v>
                </c:pt>
                <c:pt idx="92">
                  <c:v>26.04</c:v>
                </c:pt>
                <c:pt idx="93">
                  <c:v>29.03</c:v>
                </c:pt>
                <c:pt idx="94">
                  <c:v>24.09</c:v>
                </c:pt>
                <c:pt idx="98">
                  <c:v>28.42</c:v>
                </c:pt>
                <c:pt idx="99">
                  <c:v>28.46</c:v>
                </c:pt>
                <c:pt idx="100">
                  <c:v>28.63</c:v>
                </c:pt>
                <c:pt idx="101">
                  <c:v>31.23</c:v>
                </c:pt>
                <c:pt idx="105">
                  <c:v>28.63</c:v>
                </c:pt>
                <c:pt idx="106">
                  <c:v>29.99</c:v>
                </c:pt>
                <c:pt idx="107">
                  <c:v>29.6</c:v>
                </c:pt>
                <c:pt idx="111">
                  <c:v>32.049999999999997</c:v>
                </c:pt>
                <c:pt idx="112">
                  <c:v>31.61</c:v>
                </c:pt>
                <c:pt idx="113">
                  <c:v>31.34</c:v>
                </c:pt>
                <c:pt idx="114">
                  <c:v>23.44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24:32.10 &lt;</c:v>
                </c:pt>
                <c:pt idx="1">
                  <c:v>03:40.0</c:v>
                </c:pt>
                <c:pt idx="2">
                  <c:v>03:32.3</c:v>
                </c:pt>
                <c:pt idx="3">
                  <c:v>03:57.5</c:v>
                </c:pt>
                <c:pt idx="7">
                  <c:v>04:49.8</c:v>
                </c:pt>
                <c:pt idx="8">
                  <c:v>03:33.5</c:v>
                </c:pt>
                <c:pt idx="9">
                  <c:v>03:33.1</c:v>
                </c:pt>
                <c:pt idx="10">
                  <c:v>03:31.4</c:v>
                </c:pt>
                <c:pt idx="11">
                  <c:v>04:03.6</c:v>
                </c:pt>
                <c:pt idx="12">
                  <c:v>03:32.9</c:v>
                </c:pt>
                <c:pt idx="13">
                  <c:v>04:00.5</c:v>
                </c:pt>
                <c:pt idx="17">
                  <c:v>06:55.8</c:v>
                </c:pt>
                <c:pt idx="18">
                  <c:v>03:33.7</c:v>
                </c:pt>
                <c:pt idx="19">
                  <c:v>03:30.2</c:v>
                </c:pt>
                <c:pt idx="20">
                  <c:v>03:32.7</c:v>
                </c:pt>
                <c:pt idx="21">
                  <c:v>03:31.0</c:v>
                </c:pt>
                <c:pt idx="22">
                  <c:v>04:06.3</c:v>
                </c:pt>
                <c:pt idx="26">
                  <c:v>04:13.6</c:v>
                </c:pt>
                <c:pt idx="27">
                  <c:v>03:41.6</c:v>
                </c:pt>
                <c:pt idx="28">
                  <c:v>03:34.9</c:v>
                </c:pt>
                <c:pt idx="29">
                  <c:v>03:39.0</c:v>
                </c:pt>
                <c:pt idx="30">
                  <c:v>03:32.0</c:v>
                </c:pt>
                <c:pt idx="31">
                  <c:v>04:10.8</c:v>
                </c:pt>
                <c:pt idx="35">
                  <c:v>24:47.1</c:v>
                </c:pt>
                <c:pt idx="36">
                  <c:v>03:34.5</c:v>
                </c:pt>
                <c:pt idx="37">
                  <c:v>03:46.7</c:v>
                </c:pt>
                <c:pt idx="38">
                  <c:v>07:06.3</c:v>
                </c:pt>
                <c:pt idx="42">
                  <c:v>06:04.7</c:v>
                </c:pt>
                <c:pt idx="43">
                  <c:v>05:41.1</c:v>
                </c:pt>
                <c:pt idx="44">
                  <c:v>03:34.9</c:v>
                </c:pt>
                <c:pt idx="45">
                  <c:v>03:31.2</c:v>
                </c:pt>
                <c:pt idx="46">
                  <c:v>04:00.9</c:v>
                </c:pt>
                <c:pt idx="50">
                  <c:v>21:41.6</c:v>
                </c:pt>
                <c:pt idx="51">
                  <c:v>05:09.5</c:v>
                </c:pt>
                <c:pt idx="52">
                  <c:v>06:21.1</c:v>
                </c:pt>
                <c:pt idx="53">
                  <c:v>03:30.3</c:v>
                </c:pt>
                <c:pt idx="54">
                  <c:v>03:29.7</c:v>
                </c:pt>
                <c:pt idx="55">
                  <c:v>04:39.6</c:v>
                </c:pt>
                <c:pt idx="59">
                  <c:v>00:29.1</c:v>
                </c:pt>
                <c:pt idx="60">
                  <c:v>05:10.9</c:v>
                </c:pt>
                <c:pt idx="61">
                  <c:v>03:32.3</c:v>
                </c:pt>
                <c:pt idx="62">
                  <c:v>03:30.8</c:v>
                </c:pt>
                <c:pt idx="63">
                  <c:v>04:02.1</c:v>
                </c:pt>
                <c:pt idx="67">
                  <c:v>06:19.1</c:v>
                </c:pt>
                <c:pt idx="68">
                  <c:v>03:31.1</c:v>
                </c:pt>
                <c:pt idx="69">
                  <c:v>03:29.4</c:v>
                </c:pt>
                <c:pt idx="70">
                  <c:v>04:07.2</c:v>
                </c:pt>
                <c:pt idx="74">
                  <c:v>14:47.4</c:v>
                </c:pt>
                <c:pt idx="75">
                  <c:v>03:37.8</c:v>
                </c:pt>
                <c:pt idx="76">
                  <c:v>03:39.1</c:v>
                </c:pt>
                <c:pt idx="77">
                  <c:v>03:34.2</c:v>
                </c:pt>
                <c:pt idx="78">
                  <c:v>04:06.3</c:v>
                </c:pt>
                <c:pt idx="82">
                  <c:v>05:05.1</c:v>
                </c:pt>
                <c:pt idx="83">
                  <c:v>03:37.7</c:v>
                </c:pt>
                <c:pt idx="84">
                  <c:v>03:36.9</c:v>
                </c:pt>
                <c:pt idx="85">
                  <c:v>03:36.5</c:v>
                </c:pt>
                <c:pt idx="86">
                  <c:v>04:15.9</c:v>
                </c:pt>
                <c:pt idx="90">
                  <c:v>04:58.7</c:v>
                </c:pt>
                <c:pt idx="91">
                  <c:v>04:35.5</c:v>
                </c:pt>
                <c:pt idx="92">
                  <c:v>04:04.6</c:v>
                </c:pt>
                <c:pt idx="93">
                  <c:v>03:38.9</c:v>
                </c:pt>
                <c:pt idx="94">
                  <c:v>08:15.4</c:v>
                </c:pt>
                <c:pt idx="98">
                  <c:v>06:17.0</c:v>
                </c:pt>
                <c:pt idx="99">
                  <c:v>03:34.1</c:v>
                </c:pt>
                <c:pt idx="100">
                  <c:v>03:31.1</c:v>
                </c:pt>
                <c:pt idx="101">
                  <c:v>04:07.1</c:v>
                </c:pt>
                <c:pt idx="105">
                  <c:v>04:47.2</c:v>
                </c:pt>
                <c:pt idx="106">
                  <c:v>03:31.2</c:v>
                </c:pt>
                <c:pt idx="107">
                  <c:v>04:12.9</c:v>
                </c:pt>
                <c:pt idx="111">
                  <c:v>04:51.17 &lt;</c:v>
                </c:pt>
                <c:pt idx="112">
                  <c:v>03:31.90 *</c:v>
                </c:pt>
                <c:pt idx="113">
                  <c:v>03:34.2</c:v>
                </c:pt>
                <c:pt idx="114">
                  <c:v>07:42.07 &gt;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B2545D-0F61-41CC-A8C3-FAA2DFF2C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3D3191-D4E3-4C62-A3B6-A99B8D8BC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1358A5-D6EA-4445-AD2A-0D4FA53F6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0CFE32-B817-4CEE-87E0-65EC1B9A5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2A16D3-55C0-4BC2-8439-457973308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DDCBB02-5474-4EA6-AFB4-346F35D21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9D6B4A1-6126-401F-ACFE-D19B9D4BAE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6CCA5C8-55B8-4B8F-B27B-D295D5D0F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3ACB4AF-D5FF-45BE-9756-F34DF17975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1D33F7-47DD-4C22-87A0-10B2AC0C5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7961F0-3E4A-4F99-90AF-021AAFE07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4F528D5-3845-498E-AD86-1B7D4ADA7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F6BA29A-AB6C-45FE-AC05-AD94BD703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D006AEA-A4E4-42BE-AC46-06610806D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2D5EC68-4909-4AF5-A1A1-96CA5DDDF2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95D4D2E-65C5-4247-A2DA-DC0DDBD0D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1671324-2826-4F22-AFF9-11E86F244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F4A31F6-3C80-40E1-8F33-665E9C604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AC1F30E-0843-48D4-8F1E-3642AA7E4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FA45C972-BF28-4FC2-A5B5-16A6ABD597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3716417-E31E-4D96-95CF-1D2154073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CEF7594-3E53-4F6D-AAC0-E0C8B1FA6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3CDE011-8D04-446D-B5E7-C0655B391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A3E739F2-726C-406D-9DF6-F8C9A5583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37815466-125A-413E-9585-D30E0D9E2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E6AC516E-683D-4A58-BE9C-92D0CC0F5F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DD529E90-A9DF-4DFE-AF27-84E46E4E8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53043B48-4859-4805-8AFC-0D74B7334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4E6B7E2B-E312-4D4F-AA1B-2141F0F34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8AF65CD-D425-46E4-B1AB-E0B56B495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8B6B0AA9-C523-4D12-BBC5-0B0456DE76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4DF147B9-A9F1-445F-A1F6-DD1FD5255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3FDBA4FD-189C-48F8-B37F-5E8CD1F6A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1A4BCA40-4D3F-43C0-92A4-4250B207A0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C8C78F07-358B-49E8-BAA0-76A4E564F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42297706-D87E-41C9-9F90-D9860F06C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EB438B45-2B1B-4C02-8468-FF763458D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2CC1F8D8-C6CF-429E-8FE0-5EAC907CF9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EC9947E8-6C98-40E7-B5C7-AE293056B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7B21D68A-FBCD-433A-B41B-7C25E8D76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78B94417-4FE7-46AC-8C5F-B05D38D56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B6E28BFD-DCD0-46BF-94E7-4C9643637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125F1E22-13A0-417F-B999-CEB01736C3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5C8A83D4-9303-47DF-95E2-92CD31A11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86821A68-7E53-4EBE-A512-737BA13CCA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7A8CBD8-039D-43D8-B356-B5CF7F1050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13D05380-2519-416E-9711-CB155E70FB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B130EF8-BBED-496D-A27B-CC8D786355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B5D02EB6-45C5-487A-A373-8AF5332726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BFEB26E6-7E6F-4449-A8FA-FC103B827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8424C38D-BA2C-4146-8B40-A85312F5D1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6A515046-C921-4535-A095-56DDCCE8E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D3A6BF2C-FE88-4873-B1A5-34938C415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8F285D08-204A-4DAD-A937-CD00D9901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21A5835B-5B95-47DD-BBA6-A6F777F9E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3C4BA31-05D4-42D6-AB02-77684752DA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E3F6A09B-388F-4A9F-8022-0E8831D451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F8C99618-EEE5-4BC5-8E85-D8B4E1C84A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50EDAD-9F47-4A40-824D-BEB49796E3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38C8C9B-CEF8-4794-8CDD-3A3A0BBAD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21FB1C3E-3152-424E-A533-8FF8858B3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9714123-4494-45D8-8309-0892063BCA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9920" name="Chart 9919">
          <a:extLst>
            <a:ext uri="{FF2B5EF4-FFF2-40B4-BE49-F238E27FC236}">
              <a16:creationId xmlns:a16="http://schemas.microsoft.com/office/drawing/2014/main" id="{3FE6DE67-4546-406B-AD4E-1B82DA650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9921" name="Chart 9920">
          <a:extLst>
            <a:ext uri="{FF2B5EF4-FFF2-40B4-BE49-F238E27FC236}">
              <a16:creationId xmlns:a16="http://schemas.microsoft.com/office/drawing/2014/main" id="{37045989-1EB5-43ED-8F4E-1F45C6584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9922" name="Chart 9921">
          <a:extLst>
            <a:ext uri="{FF2B5EF4-FFF2-40B4-BE49-F238E27FC236}">
              <a16:creationId xmlns:a16="http://schemas.microsoft.com/office/drawing/2014/main" id="{67017F3F-5598-4AD6-A5E1-A8F960A81D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9923" name="Chart 9922">
          <a:extLst>
            <a:ext uri="{FF2B5EF4-FFF2-40B4-BE49-F238E27FC236}">
              <a16:creationId xmlns:a16="http://schemas.microsoft.com/office/drawing/2014/main" id="{607A627C-05BC-4F88-9BCA-10CFD9962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9924" name="Rectangle 9923">
          <a:extLst>
            <a:ext uri="{FF2B5EF4-FFF2-40B4-BE49-F238E27FC236}">
              <a16:creationId xmlns:a16="http://schemas.microsoft.com/office/drawing/2014/main" id="{AAB0061B-C0D7-4BF0-9314-181428832803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9925" name="Rectangle 9924">
          <a:extLst>
            <a:ext uri="{FF2B5EF4-FFF2-40B4-BE49-F238E27FC236}">
              <a16:creationId xmlns:a16="http://schemas.microsoft.com/office/drawing/2014/main" id="{E8A46D76-42E5-49B0-A929-46771E17AE8B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9926" name="Rectangle 9925">
          <a:extLst>
            <a:ext uri="{FF2B5EF4-FFF2-40B4-BE49-F238E27FC236}">
              <a16:creationId xmlns:a16="http://schemas.microsoft.com/office/drawing/2014/main" id="{F3363D66-0188-4DD1-8689-4F1708E2915E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9927" name="Rectangle 9926">
          <a:extLst>
            <a:ext uri="{FF2B5EF4-FFF2-40B4-BE49-F238E27FC236}">
              <a16:creationId xmlns:a16="http://schemas.microsoft.com/office/drawing/2014/main" id="{F75293D5-876C-4B50-B4EF-3B2779A15478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9928" name="Rectangle 9927">
          <a:extLst>
            <a:ext uri="{FF2B5EF4-FFF2-40B4-BE49-F238E27FC236}">
              <a16:creationId xmlns:a16="http://schemas.microsoft.com/office/drawing/2014/main" id="{AEB1F965-F12A-4227-A2A0-2C6727F2E431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9929" name="Rectangle 9928">
          <a:extLst>
            <a:ext uri="{FF2B5EF4-FFF2-40B4-BE49-F238E27FC236}">
              <a16:creationId xmlns:a16="http://schemas.microsoft.com/office/drawing/2014/main" id="{1952382B-C7F4-4091-B432-55FF7BB57941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9930" name="Rectangle 9929">
          <a:extLst>
            <a:ext uri="{FF2B5EF4-FFF2-40B4-BE49-F238E27FC236}">
              <a16:creationId xmlns:a16="http://schemas.microsoft.com/office/drawing/2014/main" id="{2ACFE32A-13CD-4CDB-BBB9-78951D17CF56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9931" name="Rectangle 9930">
          <a:extLst>
            <a:ext uri="{FF2B5EF4-FFF2-40B4-BE49-F238E27FC236}">
              <a16:creationId xmlns:a16="http://schemas.microsoft.com/office/drawing/2014/main" id="{D7A7FF22-CD06-451C-8BDB-6F192B085CD7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9932" name="Rectangle 9931">
          <a:extLst>
            <a:ext uri="{FF2B5EF4-FFF2-40B4-BE49-F238E27FC236}">
              <a16:creationId xmlns:a16="http://schemas.microsoft.com/office/drawing/2014/main" id="{BC155F8B-D824-49D3-B406-1FE5C0172BB5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9933" name="Rectangle 9932">
          <a:extLst>
            <a:ext uri="{FF2B5EF4-FFF2-40B4-BE49-F238E27FC236}">
              <a16:creationId xmlns:a16="http://schemas.microsoft.com/office/drawing/2014/main" id="{BC39C317-3422-4EE4-89BE-CA619E44CFFC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9934" name="Rectangle 9933">
          <a:extLst>
            <a:ext uri="{FF2B5EF4-FFF2-40B4-BE49-F238E27FC236}">
              <a16:creationId xmlns:a16="http://schemas.microsoft.com/office/drawing/2014/main" id="{257662C1-96DB-462E-911A-2633A5FE9873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9935" name="Rectangle 9934">
          <a:extLst>
            <a:ext uri="{FF2B5EF4-FFF2-40B4-BE49-F238E27FC236}">
              <a16:creationId xmlns:a16="http://schemas.microsoft.com/office/drawing/2014/main" id="{02C39B31-4433-42EE-929B-D9A13A693946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9936" name="Rectangle 9935">
          <a:extLst>
            <a:ext uri="{FF2B5EF4-FFF2-40B4-BE49-F238E27FC236}">
              <a16:creationId xmlns:a16="http://schemas.microsoft.com/office/drawing/2014/main" id="{EE58A62C-69B9-46F6-9C44-9E129E105D68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9937" name="Rectangle 9936">
          <a:extLst>
            <a:ext uri="{FF2B5EF4-FFF2-40B4-BE49-F238E27FC236}">
              <a16:creationId xmlns:a16="http://schemas.microsoft.com/office/drawing/2014/main" id="{4203F646-3964-4C20-9641-ECACF85168FE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9938" name="Rectangle 9937">
          <a:extLst>
            <a:ext uri="{FF2B5EF4-FFF2-40B4-BE49-F238E27FC236}">
              <a16:creationId xmlns:a16="http://schemas.microsoft.com/office/drawing/2014/main" id="{B1B2E7F5-6ABB-4902-BCA6-D69DE3DBC6D9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9939" name="Rectangle 9938">
          <a:extLst>
            <a:ext uri="{FF2B5EF4-FFF2-40B4-BE49-F238E27FC236}">
              <a16:creationId xmlns:a16="http://schemas.microsoft.com/office/drawing/2014/main" id="{1709B0C8-6629-4A8E-B849-B5E516A6316F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9940" name="Rectangle 9939">
          <a:extLst>
            <a:ext uri="{FF2B5EF4-FFF2-40B4-BE49-F238E27FC236}">
              <a16:creationId xmlns:a16="http://schemas.microsoft.com/office/drawing/2014/main" id="{6709E9D9-651D-4387-91C5-1B59DBA2730F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9941" name="Rectangle 9940">
          <a:extLst>
            <a:ext uri="{FF2B5EF4-FFF2-40B4-BE49-F238E27FC236}">
              <a16:creationId xmlns:a16="http://schemas.microsoft.com/office/drawing/2014/main" id="{95595D67-5057-486F-BE16-74F10909DDF5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0033" name="Rectangle 10032">
          <a:extLst>
            <a:ext uri="{FF2B5EF4-FFF2-40B4-BE49-F238E27FC236}">
              <a16:creationId xmlns:a16="http://schemas.microsoft.com/office/drawing/2014/main" id="{EC91EBA2-5F08-40CF-B6BD-179A6706935A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0034" name="Chart 10033">
          <a:extLst>
            <a:ext uri="{FF2B5EF4-FFF2-40B4-BE49-F238E27FC236}">
              <a16:creationId xmlns:a16="http://schemas.microsoft.com/office/drawing/2014/main" id="{2ACCA4B7-B91D-4293-A636-598E4521BD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0035" name="Chart 10034">
          <a:extLst>
            <a:ext uri="{FF2B5EF4-FFF2-40B4-BE49-F238E27FC236}">
              <a16:creationId xmlns:a16="http://schemas.microsoft.com/office/drawing/2014/main" id="{12139FFC-2CAC-4D26-BE62-72FFC20E6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0036" name="Chart 10035">
          <a:extLst>
            <a:ext uri="{FF2B5EF4-FFF2-40B4-BE49-F238E27FC236}">
              <a16:creationId xmlns:a16="http://schemas.microsoft.com/office/drawing/2014/main" id="{157D5C56-4492-47F5-8081-7C05D484D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0037" name="Chart 10036">
          <a:extLst>
            <a:ext uri="{FF2B5EF4-FFF2-40B4-BE49-F238E27FC236}">
              <a16:creationId xmlns:a16="http://schemas.microsoft.com/office/drawing/2014/main" id="{C5BD1C68-C5C4-4E69-9C59-1DCA48BDF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0038" name="Chart 10037">
          <a:extLst>
            <a:ext uri="{FF2B5EF4-FFF2-40B4-BE49-F238E27FC236}">
              <a16:creationId xmlns:a16="http://schemas.microsoft.com/office/drawing/2014/main" id="{E3BDAFE2-4126-4F89-A31C-27EFDE75A4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0039" name="Chart 10038">
          <a:extLst>
            <a:ext uri="{FF2B5EF4-FFF2-40B4-BE49-F238E27FC236}">
              <a16:creationId xmlns:a16="http://schemas.microsoft.com/office/drawing/2014/main" id="{03D7BE26-3982-4F98-9EFD-D54FCAD20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186" totalsRowShown="0" headerRowDxfId="2" headerRowBorderDxfId="1" tableBorderDxfId="0">
  <autoFilter ref="B5:BM186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B4" sqref="B4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8"/>
    </row>
    <row r="3" spans="1:20" ht="15.75" thickBot="1" x14ac:dyDescent="0.3">
      <c r="A3" s="28" t="s">
        <v>273</v>
      </c>
      <c r="B3" s="28">
        <v>15</v>
      </c>
    </row>
    <row r="4" spans="1:20" ht="15.75" thickBot="1" x14ac:dyDescent="0.3">
      <c r="A4" s="27" t="s">
        <v>274</v>
      </c>
      <c r="B4" s="27">
        <v>124</v>
      </c>
      <c r="O4" s="38" t="s">
        <v>374</v>
      </c>
      <c r="P4" s="39" t="s">
        <v>373</v>
      </c>
      <c r="Q4" s="40" t="s">
        <v>375</v>
      </c>
    </row>
    <row r="5" spans="1:20" x14ac:dyDescent="0.25">
      <c r="A5" s="27" t="s">
        <v>368</v>
      </c>
      <c r="B5" s="27">
        <v>23</v>
      </c>
      <c r="O5" s="35">
        <f>P5/86400</f>
        <v>2.3495370370370367E-3</v>
      </c>
      <c r="P5" s="36">
        <f>P6-10</f>
        <v>202.99999999999997</v>
      </c>
      <c r="Q5" s="37">
        <f>P5/86400</f>
        <v>2.3495370370370367E-3</v>
      </c>
    </row>
    <row r="6" spans="1:20" x14ac:dyDescent="0.25">
      <c r="A6" s="27" t="s">
        <v>369</v>
      </c>
      <c r="B6" s="27">
        <v>30</v>
      </c>
      <c r="O6" s="31">
        <v>2.4652777777777776E-3</v>
      </c>
      <c r="P6" s="29">
        <f>+O6*86400</f>
        <v>212.99999999999997</v>
      </c>
      <c r="Q6" s="30">
        <f t="shared" ref="Q6:Q7" si="0">P6/86400</f>
        <v>2.4652777777777776E-3</v>
      </c>
    </row>
    <row r="7" spans="1:20" ht="15.75" thickBot="1" x14ac:dyDescent="0.3">
      <c r="A7" s="27" t="s">
        <v>370</v>
      </c>
      <c r="B7" s="27">
        <v>26</v>
      </c>
      <c r="O7" s="32">
        <f>P7/86400</f>
        <v>2.5810185185185181E-3</v>
      </c>
      <c r="P7" s="33">
        <f>P6+10</f>
        <v>222.99999999999997</v>
      </c>
      <c r="Q7" s="34">
        <f t="shared" si="0"/>
        <v>2.5810185185185181E-3</v>
      </c>
    </row>
    <row r="8" spans="1:20" ht="15.75" thickBot="1" x14ac:dyDescent="0.3">
      <c r="O8" s="38" t="s">
        <v>376</v>
      </c>
      <c r="P8" s="39" t="s">
        <v>378</v>
      </c>
      <c r="Q8" s="40" t="s">
        <v>379</v>
      </c>
    </row>
    <row r="9" spans="1:20" ht="15.75" thickBot="1" x14ac:dyDescent="0.3">
      <c r="O9" s="41">
        <v>6</v>
      </c>
      <c r="P9" s="42">
        <f>O9+1</f>
        <v>7</v>
      </c>
      <c r="Q9" s="43">
        <f>O9-1</f>
        <v>5</v>
      </c>
    </row>
    <row r="10" spans="1:20" ht="15.75" thickBot="1" x14ac:dyDescent="0.3">
      <c r="O10" s="38" t="s">
        <v>377</v>
      </c>
      <c r="P10" s="39" t="s">
        <v>380</v>
      </c>
      <c r="Q10" s="40" t="s">
        <v>381</v>
      </c>
    </row>
    <row r="11" spans="1:20" ht="15.75" thickBot="1" x14ac:dyDescent="0.3">
      <c r="O11" s="44">
        <v>70</v>
      </c>
      <c r="P11" s="45">
        <f>O11+10</f>
        <v>80</v>
      </c>
      <c r="Q11" s="46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9" t="s">
        <v>275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1"/>
      <c r="N17" s="9" t="s">
        <v>348</v>
      </c>
      <c r="O17" s="10"/>
      <c r="P17" s="10"/>
      <c r="Q17" s="10"/>
      <c r="R17" s="11"/>
    </row>
    <row r="18" spans="1:24" ht="15.75" thickBot="1" x14ac:dyDescent="0.3">
      <c r="A18" s="17" t="s">
        <v>276</v>
      </c>
      <c r="B18" s="18" t="s">
        <v>277</v>
      </c>
      <c r="C18" s="18" t="s">
        <v>278</v>
      </c>
      <c r="D18" s="18" t="s">
        <v>279</v>
      </c>
      <c r="E18" s="18" t="s">
        <v>340</v>
      </c>
      <c r="F18" s="18" t="s">
        <v>341</v>
      </c>
      <c r="G18" s="18" t="s">
        <v>342</v>
      </c>
      <c r="H18" s="18" t="s">
        <v>343</v>
      </c>
      <c r="I18" s="18" t="s">
        <v>344</v>
      </c>
      <c r="J18" s="18" t="s">
        <v>345</v>
      </c>
      <c r="K18" s="18" t="s">
        <v>346</v>
      </c>
      <c r="L18" s="19" t="s">
        <v>347</v>
      </c>
      <c r="N18" s="17" t="s">
        <v>276</v>
      </c>
      <c r="O18" s="18" t="s">
        <v>349</v>
      </c>
      <c r="P18" s="18" t="s">
        <v>277</v>
      </c>
      <c r="Q18" s="18" t="s">
        <v>353</v>
      </c>
      <c r="R18" s="19" t="s">
        <v>279</v>
      </c>
    </row>
    <row r="19" spans="1:24" x14ac:dyDescent="0.25">
      <c r="A19" s="15">
        <v>1</v>
      </c>
      <c r="B19" s="16" t="s">
        <v>280</v>
      </c>
      <c r="C19" s="16">
        <v>932.5</v>
      </c>
      <c r="D19" s="16">
        <v>20</v>
      </c>
      <c r="E19" s="16">
        <v>4</v>
      </c>
      <c r="F19" s="16"/>
      <c r="G19" s="13"/>
      <c r="H19" s="13"/>
      <c r="I19" s="13"/>
      <c r="J19" s="13"/>
      <c r="K19" s="13"/>
      <c r="L19" s="14"/>
      <c r="N19" s="9">
        <v>1</v>
      </c>
      <c r="O19" s="10">
        <v>3</v>
      </c>
      <c r="P19" s="10" t="s">
        <v>67</v>
      </c>
      <c r="Q19" s="10">
        <v>982.5</v>
      </c>
      <c r="R19" s="11">
        <v>80</v>
      </c>
      <c r="X19">
        <v>932.5</v>
      </c>
    </row>
    <row r="20" spans="1:24" x14ac:dyDescent="0.25">
      <c r="A20" s="15">
        <v>2</v>
      </c>
      <c r="B20" s="16" t="s">
        <v>281</v>
      </c>
      <c r="C20" s="16">
        <v>932.5</v>
      </c>
      <c r="D20" s="16">
        <f>D19+180</f>
        <v>200</v>
      </c>
      <c r="E20" s="13">
        <f>COLUMN(G1)</f>
        <v>7</v>
      </c>
      <c r="F20" s="13">
        <f>COLUMN(EX1)</f>
        <v>154</v>
      </c>
      <c r="G20" s="13"/>
      <c r="H20" s="13"/>
      <c r="I20" s="13"/>
      <c r="J20" s="13"/>
      <c r="K20" s="13"/>
      <c r="L20" s="14"/>
      <c r="N20" s="12">
        <v>2</v>
      </c>
      <c r="O20" s="13">
        <v>4</v>
      </c>
      <c r="P20" s="13" t="s">
        <v>94</v>
      </c>
      <c r="Q20" s="13">
        <f>+Q19+466</f>
        <v>1448.5</v>
      </c>
      <c r="R20" s="14">
        <v>80</v>
      </c>
      <c r="X20">
        <f>+X19+465.75</f>
        <v>1398.25</v>
      </c>
    </row>
    <row r="21" spans="1:24" x14ac:dyDescent="0.25">
      <c r="A21" s="15">
        <v>3</v>
      </c>
      <c r="B21" s="16" t="s">
        <v>282</v>
      </c>
      <c r="C21" s="16">
        <v>932.5</v>
      </c>
      <c r="D21" s="16">
        <f>D20+180</f>
        <v>380</v>
      </c>
      <c r="E21" s="13">
        <f>COLUMN(BR1)</f>
        <v>70</v>
      </c>
      <c r="F21" s="13"/>
      <c r="G21" s="13"/>
      <c r="H21" s="13"/>
      <c r="I21" s="13"/>
      <c r="J21" s="13"/>
      <c r="K21" s="13"/>
      <c r="L21" s="14"/>
      <c r="N21" s="12">
        <v>3</v>
      </c>
      <c r="O21" s="13">
        <v>5</v>
      </c>
      <c r="P21" s="13" t="s">
        <v>262</v>
      </c>
      <c r="Q21" s="13">
        <f t="shared" ref="Q21:Q37" si="1">+Q20+466</f>
        <v>1914.5</v>
      </c>
      <c r="R21" s="14">
        <v>80</v>
      </c>
      <c r="X21">
        <f t="shared" ref="X21:X37" si="2">+X20+465.75</f>
        <v>1864</v>
      </c>
    </row>
    <row r="22" spans="1:24" x14ac:dyDescent="0.25">
      <c r="A22" s="15">
        <v>4</v>
      </c>
      <c r="B22" s="16" t="s">
        <v>283</v>
      </c>
      <c r="C22" s="16">
        <v>932.5</v>
      </c>
      <c r="D22" s="16">
        <f>D21+180</f>
        <v>560</v>
      </c>
      <c r="E22" s="13">
        <f>COLUMN(K1)</f>
        <v>11</v>
      </c>
      <c r="F22" s="13">
        <f>COLUMN(L1)</f>
        <v>12</v>
      </c>
      <c r="G22" s="13">
        <f>COLUMN(M1)</f>
        <v>13</v>
      </c>
      <c r="H22" s="13">
        <f>COLUMN(N1)</f>
        <v>14</v>
      </c>
      <c r="I22" s="13">
        <f>COLUMN(O1)</f>
        <v>15</v>
      </c>
      <c r="J22" s="13"/>
      <c r="K22" s="13"/>
      <c r="L22" s="14"/>
      <c r="N22" s="12">
        <v>4</v>
      </c>
      <c r="O22" s="13">
        <v>6</v>
      </c>
      <c r="P22" s="13" t="s">
        <v>93</v>
      </c>
      <c r="Q22" s="13">
        <f t="shared" si="1"/>
        <v>2380.5</v>
      </c>
      <c r="R22" s="14">
        <v>80</v>
      </c>
      <c r="X22">
        <f t="shared" si="2"/>
        <v>2329.75</v>
      </c>
    </row>
    <row r="23" spans="1:24" x14ac:dyDescent="0.25">
      <c r="A23" s="12">
        <v>5</v>
      </c>
      <c r="B23" s="13" t="s">
        <v>284</v>
      </c>
      <c r="C23" s="13">
        <f>$X$20</f>
        <v>1398.25</v>
      </c>
      <c r="D23" s="16">
        <v>20</v>
      </c>
      <c r="E23" s="13">
        <f>COLUMN(CI1)</f>
        <v>87</v>
      </c>
      <c r="F23" s="13">
        <f>COLUMN(CJ1)</f>
        <v>88</v>
      </c>
      <c r="G23" s="13">
        <f>COLUMN(CK1)</f>
        <v>89</v>
      </c>
      <c r="H23" s="13"/>
      <c r="I23" s="13"/>
      <c r="J23" s="13"/>
      <c r="K23" s="13"/>
      <c r="L23" s="14"/>
      <c r="N23" s="12">
        <v>5</v>
      </c>
      <c r="O23" s="13">
        <v>7</v>
      </c>
      <c r="P23" s="13" t="s">
        <v>350</v>
      </c>
      <c r="Q23" s="13">
        <f t="shared" si="1"/>
        <v>2846.5</v>
      </c>
      <c r="R23" s="14">
        <v>80</v>
      </c>
      <c r="X23">
        <f t="shared" si="2"/>
        <v>2795.5</v>
      </c>
    </row>
    <row r="24" spans="1:24" x14ac:dyDescent="0.25">
      <c r="A24" s="12">
        <v>6</v>
      </c>
      <c r="B24" s="13" t="s">
        <v>285</v>
      </c>
      <c r="C24" s="13">
        <f>$X$20</f>
        <v>1398.25</v>
      </c>
      <c r="D24" s="16">
        <f>D23+180</f>
        <v>200</v>
      </c>
      <c r="E24" s="13">
        <f>COLUMN(I1)</f>
        <v>9</v>
      </c>
      <c r="F24" s="13">
        <f>COLUMN(J1)</f>
        <v>10</v>
      </c>
      <c r="G24" s="13">
        <f>COLUMN(EY1)</f>
        <v>155</v>
      </c>
      <c r="H24" s="13"/>
      <c r="I24" s="13"/>
      <c r="J24" s="13"/>
      <c r="K24" s="13"/>
      <c r="L24" s="14"/>
      <c r="N24" s="12">
        <v>6</v>
      </c>
      <c r="O24" s="13">
        <v>8</v>
      </c>
      <c r="P24" s="13" t="s">
        <v>140</v>
      </c>
      <c r="Q24" s="13">
        <f t="shared" si="1"/>
        <v>3312.5</v>
      </c>
      <c r="R24" s="14">
        <v>80</v>
      </c>
      <c r="X24">
        <f t="shared" si="2"/>
        <v>3261.25</v>
      </c>
    </row>
    <row r="25" spans="1:24" x14ac:dyDescent="0.25">
      <c r="A25" s="12">
        <v>7</v>
      </c>
      <c r="B25" s="13" t="s">
        <v>286</v>
      </c>
      <c r="C25" s="13">
        <f>$X$20</f>
        <v>1398.25</v>
      </c>
      <c r="D25" s="16">
        <f>D24+180</f>
        <v>380</v>
      </c>
      <c r="E25" s="13">
        <f>COLUMN(BT1)</f>
        <v>72</v>
      </c>
      <c r="F25" s="13">
        <f>COLUMN(EZ1)</f>
        <v>156</v>
      </c>
      <c r="G25" s="13">
        <f>COLUMN(FA1)</f>
        <v>157</v>
      </c>
      <c r="H25" s="13"/>
      <c r="I25" s="13"/>
      <c r="J25" s="13"/>
      <c r="K25" s="13"/>
      <c r="L25" s="14"/>
      <c r="N25" s="12">
        <v>7</v>
      </c>
      <c r="O25" s="13">
        <v>9</v>
      </c>
      <c r="P25" s="13" t="s">
        <v>351</v>
      </c>
      <c r="Q25" s="13">
        <f t="shared" si="1"/>
        <v>3778.5</v>
      </c>
      <c r="R25" s="14">
        <v>80</v>
      </c>
      <c r="X25">
        <f t="shared" si="2"/>
        <v>3727</v>
      </c>
    </row>
    <row r="26" spans="1:24" x14ac:dyDescent="0.25">
      <c r="A26" s="12">
        <v>8</v>
      </c>
      <c r="B26" s="13" t="s">
        <v>287</v>
      </c>
      <c r="C26" s="13">
        <f>$X$20</f>
        <v>1398.25</v>
      </c>
      <c r="D26" s="16">
        <f>D25+180</f>
        <v>560</v>
      </c>
      <c r="E26" s="13">
        <f>COLUMN(BY1)</f>
        <v>77</v>
      </c>
      <c r="F26" s="13">
        <f>COLUMN(BZ1)</f>
        <v>78</v>
      </c>
      <c r="G26" s="13"/>
      <c r="H26" s="13"/>
      <c r="I26" s="13"/>
      <c r="J26" s="13"/>
      <c r="K26" s="13"/>
      <c r="L26" s="14"/>
      <c r="N26" s="12">
        <v>8</v>
      </c>
      <c r="O26" s="13">
        <v>10</v>
      </c>
      <c r="P26" s="13" t="s">
        <v>352</v>
      </c>
      <c r="Q26" s="13">
        <f t="shared" si="1"/>
        <v>4244.5</v>
      </c>
      <c r="R26" s="14">
        <v>80</v>
      </c>
      <c r="X26">
        <f t="shared" si="2"/>
        <v>4192.75</v>
      </c>
    </row>
    <row r="27" spans="1:24" x14ac:dyDescent="0.25">
      <c r="A27" s="15">
        <v>9</v>
      </c>
      <c r="B27" s="16" t="s">
        <v>288</v>
      </c>
      <c r="C27" s="16">
        <f>$X$21</f>
        <v>1864</v>
      </c>
      <c r="D27" s="16">
        <v>20</v>
      </c>
      <c r="E27" s="13">
        <f>COLUMN(BI2)</f>
        <v>61</v>
      </c>
      <c r="F27" s="13">
        <f>COLUMN(BJ2)</f>
        <v>62</v>
      </c>
      <c r="G27" s="13"/>
      <c r="H27" s="13"/>
      <c r="I27" s="13"/>
      <c r="J27" s="13"/>
      <c r="K27" s="13"/>
      <c r="L27" s="14"/>
      <c r="N27" s="12">
        <v>9</v>
      </c>
      <c r="O27" s="13">
        <v>11</v>
      </c>
      <c r="P27" s="13" t="s">
        <v>59</v>
      </c>
      <c r="Q27" s="13">
        <f t="shared" si="1"/>
        <v>4710.5</v>
      </c>
      <c r="R27" s="14">
        <v>80</v>
      </c>
      <c r="X27">
        <f t="shared" si="2"/>
        <v>4658.5</v>
      </c>
    </row>
    <row r="28" spans="1:24" x14ac:dyDescent="0.25">
      <c r="A28" s="15">
        <v>10</v>
      </c>
      <c r="B28" s="16" t="s">
        <v>289</v>
      </c>
      <c r="C28" s="16">
        <f>$X$21</f>
        <v>1864</v>
      </c>
      <c r="D28" s="16">
        <f>D27+180</f>
        <v>200</v>
      </c>
      <c r="E28" s="13">
        <f>COLUMN(AR3)</f>
        <v>44</v>
      </c>
      <c r="F28" s="13">
        <f>COLUMN(AS3)</f>
        <v>45</v>
      </c>
      <c r="G28" s="13"/>
      <c r="H28" s="13"/>
      <c r="I28" s="13"/>
      <c r="J28" s="13"/>
      <c r="K28" s="13"/>
      <c r="L28" s="14"/>
      <c r="N28" s="12">
        <v>10</v>
      </c>
      <c r="O28" s="13">
        <v>12</v>
      </c>
      <c r="P28" s="13" t="s">
        <v>60</v>
      </c>
      <c r="Q28" s="13">
        <f t="shared" si="1"/>
        <v>5176.5</v>
      </c>
      <c r="R28" s="14">
        <v>80</v>
      </c>
      <c r="X28">
        <f t="shared" si="2"/>
        <v>5124.25</v>
      </c>
    </row>
    <row r="29" spans="1:24" x14ac:dyDescent="0.25">
      <c r="A29" s="15">
        <v>11</v>
      </c>
      <c r="B29" s="16" t="s">
        <v>290</v>
      </c>
      <c r="C29" s="16">
        <f>$X$21</f>
        <v>1864</v>
      </c>
      <c r="D29" s="16">
        <f>D28+180</f>
        <v>380</v>
      </c>
      <c r="E29" s="13">
        <f>COLUMN(F4)</f>
        <v>6</v>
      </c>
      <c r="F29" s="13">
        <f>COLUMN(IA4)</f>
        <v>235</v>
      </c>
      <c r="G29" s="13"/>
      <c r="H29" s="13"/>
      <c r="I29" s="13"/>
      <c r="J29" s="13"/>
      <c r="K29" s="13"/>
      <c r="L29" s="14"/>
      <c r="N29" s="12">
        <v>11</v>
      </c>
      <c r="O29" s="13">
        <v>13</v>
      </c>
      <c r="P29" s="23" t="s">
        <v>408</v>
      </c>
      <c r="Q29" s="13">
        <f t="shared" si="1"/>
        <v>5642.5</v>
      </c>
      <c r="R29" s="24">
        <v>80</v>
      </c>
      <c r="X29">
        <f t="shared" si="2"/>
        <v>5590</v>
      </c>
    </row>
    <row r="30" spans="1:24" x14ac:dyDescent="0.25">
      <c r="A30" s="15">
        <v>12</v>
      </c>
      <c r="B30" s="16" t="s">
        <v>291</v>
      </c>
      <c r="C30" s="16">
        <f>$X$21</f>
        <v>1864</v>
      </c>
      <c r="D30" s="16">
        <f>D29+180</f>
        <v>560</v>
      </c>
      <c r="E30" s="13">
        <f>COLUMN(AP5)</f>
        <v>42</v>
      </c>
      <c r="F30" s="13">
        <f>COLUMN(AQ5)</f>
        <v>43</v>
      </c>
      <c r="G30" s="13"/>
      <c r="H30" s="13"/>
      <c r="I30" s="13"/>
      <c r="J30" s="13"/>
      <c r="K30" s="13"/>
      <c r="L30" s="14"/>
      <c r="N30" s="12">
        <v>12</v>
      </c>
      <c r="O30" s="13">
        <v>14</v>
      </c>
      <c r="P30" s="13" t="s">
        <v>61</v>
      </c>
      <c r="Q30" s="13">
        <f t="shared" si="1"/>
        <v>6108.5</v>
      </c>
      <c r="R30" s="14">
        <v>80</v>
      </c>
      <c r="X30">
        <f t="shared" si="2"/>
        <v>6055.75</v>
      </c>
    </row>
    <row r="31" spans="1:24" x14ac:dyDescent="0.25">
      <c r="A31" s="12">
        <v>13</v>
      </c>
      <c r="B31" s="13" t="s">
        <v>293</v>
      </c>
      <c r="C31" s="13">
        <f>$X$22</f>
        <v>2329.75</v>
      </c>
      <c r="D31" s="16">
        <v>20</v>
      </c>
      <c r="E31" s="13">
        <f>COLUMN(CC6)</f>
        <v>81</v>
      </c>
      <c r="F31" s="13">
        <f>COLUMN(CD6)</f>
        <v>82</v>
      </c>
      <c r="G31" s="13"/>
      <c r="H31" s="13"/>
      <c r="I31" s="13"/>
      <c r="J31" s="13"/>
      <c r="K31" s="13"/>
      <c r="L31" s="14"/>
      <c r="N31" s="12">
        <v>13</v>
      </c>
      <c r="O31" s="13">
        <v>15</v>
      </c>
      <c r="P31" s="13" t="s">
        <v>138</v>
      </c>
      <c r="Q31" s="13">
        <f t="shared" si="1"/>
        <v>6574.5</v>
      </c>
      <c r="R31" s="14">
        <v>80</v>
      </c>
      <c r="X31">
        <f t="shared" si="2"/>
        <v>6521.5</v>
      </c>
    </row>
    <row r="32" spans="1:24" x14ac:dyDescent="0.25">
      <c r="A32" s="12">
        <v>14</v>
      </c>
      <c r="B32" s="13" t="s">
        <v>294</v>
      </c>
      <c r="C32" s="13">
        <f>$X$22</f>
        <v>2329.75</v>
      </c>
      <c r="D32" s="16">
        <f>D31+180</f>
        <v>200</v>
      </c>
      <c r="E32" s="13">
        <f>COLUMN(CE7)</f>
        <v>83</v>
      </c>
      <c r="F32" s="13">
        <f>COLUMN(CF7)</f>
        <v>84</v>
      </c>
      <c r="G32" s="13"/>
      <c r="H32" s="13"/>
      <c r="I32" s="13"/>
      <c r="J32" s="13"/>
      <c r="K32" s="13"/>
      <c r="L32" s="14"/>
      <c r="N32" s="12">
        <v>14</v>
      </c>
      <c r="O32" s="13">
        <v>16</v>
      </c>
      <c r="P32" s="13" t="s">
        <v>268</v>
      </c>
      <c r="Q32" s="13">
        <f t="shared" si="1"/>
        <v>7040.5</v>
      </c>
      <c r="R32" s="14">
        <v>80</v>
      </c>
      <c r="X32">
        <f t="shared" si="2"/>
        <v>6987.25</v>
      </c>
    </row>
    <row r="33" spans="1:24" x14ac:dyDescent="0.25">
      <c r="A33" s="12">
        <v>15</v>
      </c>
      <c r="B33" s="13" t="s">
        <v>292</v>
      </c>
      <c r="C33" s="13">
        <f>$X$22</f>
        <v>2329.75</v>
      </c>
      <c r="D33" s="16">
        <f>D32+180</f>
        <v>380</v>
      </c>
      <c r="E33" s="13">
        <f>COLUMN(DP8)</f>
        <v>120</v>
      </c>
      <c r="F33" s="13">
        <f>COLUMN(DQ8)</f>
        <v>121</v>
      </c>
      <c r="G33" s="13">
        <f>COLUMN(DR8)</f>
        <v>122</v>
      </c>
      <c r="H33" s="13">
        <f>COLUMN(DS8)</f>
        <v>123</v>
      </c>
      <c r="I33" s="13"/>
      <c r="J33" s="13"/>
      <c r="K33" s="13"/>
      <c r="L33" s="14"/>
      <c r="N33" s="12">
        <v>15</v>
      </c>
      <c r="O33" s="13">
        <v>17</v>
      </c>
      <c r="P33" s="23" t="s">
        <v>398</v>
      </c>
      <c r="Q33" s="13">
        <f t="shared" si="1"/>
        <v>7506.5</v>
      </c>
      <c r="R33" s="24">
        <v>80</v>
      </c>
      <c r="X33">
        <f t="shared" si="2"/>
        <v>7453</v>
      </c>
    </row>
    <row r="34" spans="1:24" x14ac:dyDescent="0.25">
      <c r="A34" s="12">
        <v>16</v>
      </c>
      <c r="B34" s="13" t="s">
        <v>295</v>
      </c>
      <c r="C34" s="13">
        <f>$X$22</f>
        <v>2329.75</v>
      </c>
      <c r="D34" s="16">
        <f>D33+180</f>
        <v>560</v>
      </c>
      <c r="E34" s="13">
        <f>COLUMN(DL9)</f>
        <v>116</v>
      </c>
      <c r="F34" s="13">
        <f>COLUMN(DM9)</f>
        <v>117</v>
      </c>
      <c r="G34" s="13">
        <f>COLUMN(DN9)</f>
        <v>118</v>
      </c>
      <c r="H34" s="13">
        <f>COLUMN(DO9)</f>
        <v>119</v>
      </c>
      <c r="I34" s="13"/>
      <c r="J34" s="13"/>
      <c r="K34" s="13"/>
      <c r="L34" s="14"/>
      <c r="N34" s="12">
        <v>16</v>
      </c>
      <c r="O34" s="13">
        <v>18</v>
      </c>
      <c r="P34" s="13" t="s">
        <v>95</v>
      </c>
      <c r="Q34" s="13">
        <f t="shared" si="1"/>
        <v>7972.5</v>
      </c>
      <c r="R34" s="14">
        <v>80</v>
      </c>
      <c r="X34">
        <f t="shared" si="2"/>
        <v>7918.75</v>
      </c>
    </row>
    <row r="35" spans="1:24" x14ac:dyDescent="0.25">
      <c r="A35" s="15">
        <v>17</v>
      </c>
      <c r="B35" s="16" t="s">
        <v>296</v>
      </c>
      <c r="C35" s="16">
        <f>$X$23</f>
        <v>2795.5</v>
      </c>
      <c r="D35" s="16">
        <v>20</v>
      </c>
      <c r="E35" s="13">
        <f>COLUMN(HW10)</f>
        <v>231</v>
      </c>
      <c r="F35" s="13">
        <f>COLUMN(HX10)</f>
        <v>232</v>
      </c>
      <c r="G35" s="13"/>
      <c r="H35" s="13"/>
      <c r="I35" s="13"/>
      <c r="J35" s="13"/>
      <c r="K35" s="13"/>
      <c r="L35" s="14"/>
      <c r="N35" s="12">
        <v>17</v>
      </c>
      <c r="O35" s="13">
        <v>19</v>
      </c>
      <c r="P35" s="13" t="s">
        <v>139</v>
      </c>
      <c r="Q35" s="13">
        <f t="shared" si="1"/>
        <v>8438.5</v>
      </c>
      <c r="R35" s="14">
        <v>80</v>
      </c>
      <c r="X35">
        <f t="shared" si="2"/>
        <v>8384.5</v>
      </c>
    </row>
    <row r="36" spans="1:24" x14ac:dyDescent="0.25">
      <c r="A36" s="15">
        <v>18</v>
      </c>
      <c r="B36" s="16" t="s">
        <v>297</v>
      </c>
      <c r="C36" s="16">
        <f>$X$23</f>
        <v>2795.5</v>
      </c>
      <c r="D36" s="16">
        <v>200</v>
      </c>
      <c r="E36" s="13">
        <f>COLUMN(HY11)</f>
        <v>233</v>
      </c>
      <c r="F36" s="13">
        <f>COLUMN(HZ11)</f>
        <v>234</v>
      </c>
      <c r="G36" s="13"/>
      <c r="H36" s="13"/>
      <c r="I36" s="13"/>
      <c r="J36" s="13"/>
      <c r="K36" s="13"/>
      <c r="L36" s="14"/>
      <c r="N36" s="12">
        <v>18</v>
      </c>
      <c r="O36" s="13">
        <v>20</v>
      </c>
      <c r="P36" s="13" t="s">
        <v>269</v>
      </c>
      <c r="Q36" s="13">
        <f t="shared" si="1"/>
        <v>8904.5</v>
      </c>
      <c r="R36" s="14">
        <v>80</v>
      </c>
      <c r="X36">
        <f t="shared" si="2"/>
        <v>8850.25</v>
      </c>
    </row>
    <row r="37" spans="1:24" ht="15.75" thickBot="1" x14ac:dyDescent="0.3">
      <c r="A37" s="12">
        <v>19</v>
      </c>
      <c r="B37" s="13" t="s">
        <v>298</v>
      </c>
      <c r="C37" s="20">
        <f>$X$24</f>
        <v>3261.25</v>
      </c>
      <c r="D37" s="16">
        <v>20</v>
      </c>
      <c r="E37" s="13">
        <f>COLUMN(AL12)</f>
        <v>38</v>
      </c>
      <c r="F37" s="13">
        <f>COLUMN(AM12)</f>
        <v>39</v>
      </c>
      <c r="G37" s="13">
        <f>COLUMN(AN12)</f>
        <v>40</v>
      </c>
      <c r="H37" s="13">
        <f>COLUMN(AO12)</f>
        <v>41</v>
      </c>
      <c r="I37" s="13"/>
      <c r="J37" s="13"/>
      <c r="K37" s="13"/>
      <c r="L37" s="14"/>
      <c r="N37" s="17">
        <v>19</v>
      </c>
      <c r="O37" s="18">
        <v>21</v>
      </c>
      <c r="P37" s="18" t="s">
        <v>270</v>
      </c>
      <c r="Q37" s="18">
        <f t="shared" si="1"/>
        <v>9370.5</v>
      </c>
      <c r="R37" s="19">
        <v>80</v>
      </c>
      <c r="X37">
        <f t="shared" si="2"/>
        <v>9316</v>
      </c>
    </row>
    <row r="38" spans="1:24" ht="15.75" thickBot="1" x14ac:dyDescent="0.3">
      <c r="A38" s="12">
        <v>20</v>
      </c>
      <c r="B38" s="13" t="s">
        <v>299</v>
      </c>
      <c r="C38" s="20">
        <f>$X$24</f>
        <v>3261.25</v>
      </c>
      <c r="D38" s="16">
        <f>D37+180</f>
        <v>200</v>
      </c>
      <c r="E38" s="13">
        <f>COLUMN(BU13)</f>
        <v>73</v>
      </c>
      <c r="F38" s="13">
        <f>COLUMN(BV13)</f>
        <v>74</v>
      </c>
      <c r="G38" s="13">
        <f>COLUMN(BW13)</f>
        <v>75</v>
      </c>
      <c r="H38" s="13">
        <f>COLUMN(BX13)</f>
        <v>76</v>
      </c>
      <c r="I38" s="13"/>
      <c r="J38" s="13"/>
      <c r="K38" s="13"/>
      <c r="L38" s="14"/>
      <c r="T38" s="23"/>
      <c r="U38" s="23"/>
    </row>
    <row r="39" spans="1:24" x14ac:dyDescent="0.25">
      <c r="A39" s="12">
        <v>21</v>
      </c>
      <c r="B39" s="13" t="s">
        <v>300</v>
      </c>
      <c r="C39" s="20">
        <f>$X$24</f>
        <v>3261.25</v>
      </c>
      <c r="D39" s="16">
        <f>D38+180</f>
        <v>380</v>
      </c>
      <c r="E39" s="13">
        <f>COLUMN(CA14)</f>
        <v>79</v>
      </c>
      <c r="F39" s="13">
        <f>COLUMN(CB14)</f>
        <v>80</v>
      </c>
      <c r="G39" s="13"/>
      <c r="H39" s="13"/>
      <c r="I39" s="13"/>
      <c r="J39" s="13"/>
      <c r="K39" s="13"/>
      <c r="L39" s="14"/>
      <c r="N39" s="9" t="s">
        <v>354</v>
      </c>
      <c r="O39" s="10"/>
      <c r="P39" s="10"/>
      <c r="Q39" s="10"/>
      <c r="R39" s="10"/>
      <c r="S39" s="11"/>
    </row>
    <row r="40" spans="1:24" ht="15.75" thickBot="1" x14ac:dyDescent="0.3">
      <c r="A40" s="15">
        <v>22</v>
      </c>
      <c r="B40" s="16" t="s">
        <v>301</v>
      </c>
      <c r="C40" s="21">
        <f>$X$25</f>
        <v>3727</v>
      </c>
      <c r="D40" s="16">
        <v>20</v>
      </c>
      <c r="E40" s="13">
        <f>COLUMN(DF15)</f>
        <v>110</v>
      </c>
      <c r="F40" s="13"/>
      <c r="G40" s="13"/>
      <c r="H40" s="13"/>
      <c r="I40" s="13"/>
      <c r="J40" s="13"/>
      <c r="K40" s="13"/>
      <c r="L40" s="14"/>
      <c r="N40" s="17" t="s">
        <v>276</v>
      </c>
      <c r="O40" s="18" t="s">
        <v>277</v>
      </c>
      <c r="P40" s="18" t="s">
        <v>353</v>
      </c>
      <c r="Q40" s="18" t="s">
        <v>279</v>
      </c>
      <c r="R40" s="25" t="s">
        <v>366</v>
      </c>
      <c r="S40" s="26" t="s">
        <v>367</v>
      </c>
    </row>
    <row r="41" spans="1:24" x14ac:dyDescent="0.25">
      <c r="A41" s="15">
        <v>23</v>
      </c>
      <c r="B41" s="16" t="s">
        <v>302</v>
      </c>
      <c r="C41" s="21">
        <f>$X$25</f>
        <v>3727</v>
      </c>
      <c r="D41" s="16">
        <f>D40+180</f>
        <v>200</v>
      </c>
      <c r="E41" s="13">
        <f>COLUMN(DG16)</f>
        <v>111</v>
      </c>
      <c r="F41" s="13">
        <f>COLUMN(DH16)</f>
        <v>112</v>
      </c>
      <c r="G41" s="13">
        <f>COLUMN(DI16)</f>
        <v>113</v>
      </c>
      <c r="H41" s="13"/>
      <c r="I41" s="13"/>
      <c r="J41" s="13"/>
      <c r="K41" s="13"/>
      <c r="L41" s="14"/>
      <c r="N41" s="12">
        <v>1</v>
      </c>
      <c r="O41" s="13" t="s">
        <v>355</v>
      </c>
      <c r="P41" s="13">
        <v>0</v>
      </c>
      <c r="Q41" s="13">
        <v>0</v>
      </c>
      <c r="R41" s="23">
        <v>2</v>
      </c>
      <c r="S41" s="24">
        <v>3</v>
      </c>
    </row>
    <row r="42" spans="1:24" x14ac:dyDescent="0.25">
      <c r="A42" s="15">
        <v>24</v>
      </c>
      <c r="B42" s="16" t="s">
        <v>303</v>
      </c>
      <c r="C42" s="21">
        <f>$X$25</f>
        <v>3727</v>
      </c>
      <c r="D42" s="16">
        <f>D41+180</f>
        <v>380</v>
      </c>
      <c r="E42" s="13">
        <f>COLUMN(DJ17)</f>
        <v>114</v>
      </c>
      <c r="F42" s="13">
        <f>COLUMN(DK17)</f>
        <v>115</v>
      </c>
      <c r="G42" s="13"/>
      <c r="H42" s="13"/>
      <c r="I42" s="13"/>
      <c r="J42" s="13"/>
      <c r="K42" s="13"/>
      <c r="L42" s="14"/>
      <c r="N42" s="12">
        <v>2</v>
      </c>
      <c r="O42" s="13" t="s">
        <v>356</v>
      </c>
      <c r="P42" s="13">
        <v>0</v>
      </c>
      <c r="Q42" s="13">
        <v>240</v>
      </c>
      <c r="R42" s="23">
        <v>2</v>
      </c>
      <c r="S42" s="24">
        <v>4</v>
      </c>
    </row>
    <row r="43" spans="1:24" x14ac:dyDescent="0.25">
      <c r="A43" s="12">
        <v>25</v>
      </c>
      <c r="B43" s="13" t="s">
        <v>304</v>
      </c>
      <c r="C43" s="20">
        <f>$X$26</f>
        <v>4192.75</v>
      </c>
      <c r="D43" s="16">
        <v>20</v>
      </c>
      <c r="E43" s="13">
        <f>COLUMN(DT18)</f>
        <v>124</v>
      </c>
      <c r="F43" s="13">
        <f>COLUMN(DU18)</f>
        <v>125</v>
      </c>
      <c r="G43" s="13">
        <f>COLUMN(DV18)</f>
        <v>126</v>
      </c>
      <c r="H43" s="13">
        <f>COLUMN(DW18)</f>
        <v>127</v>
      </c>
      <c r="I43" s="13"/>
      <c r="J43" s="13"/>
      <c r="K43" s="13"/>
      <c r="L43" s="14"/>
      <c r="N43" s="12">
        <v>3</v>
      </c>
      <c r="O43" s="13" t="s">
        <v>357</v>
      </c>
      <c r="P43" s="13">
        <v>0</v>
      </c>
      <c r="Q43" s="13">
        <v>480</v>
      </c>
      <c r="R43" s="23">
        <v>2</v>
      </c>
      <c r="S43" s="24">
        <v>5</v>
      </c>
    </row>
    <row r="44" spans="1:24" x14ac:dyDescent="0.25">
      <c r="A44" s="12">
        <v>26</v>
      </c>
      <c r="B44" s="13" t="s">
        <v>305</v>
      </c>
      <c r="C44" s="20">
        <f>$X$26</f>
        <v>4192.75</v>
      </c>
      <c r="D44" s="16">
        <f>D43+180</f>
        <v>200</v>
      </c>
      <c r="E44" s="13">
        <f>COLUMN(DX19)</f>
        <v>128</v>
      </c>
      <c r="F44" s="13">
        <f>COLUMN(DY19)</f>
        <v>129</v>
      </c>
      <c r="G44" s="13">
        <f>COLUMN(DZ19)</f>
        <v>130</v>
      </c>
      <c r="H44" s="13">
        <f>COLUMN(EA19)</f>
        <v>131</v>
      </c>
      <c r="I44" s="13"/>
      <c r="J44" s="13"/>
      <c r="K44" s="13"/>
      <c r="L44" s="14"/>
      <c r="N44" s="12">
        <v>4</v>
      </c>
      <c r="O44" s="13" t="s">
        <v>371</v>
      </c>
      <c r="P44" s="13">
        <v>466.25</v>
      </c>
      <c r="Q44" s="13">
        <v>0</v>
      </c>
      <c r="R44" s="23">
        <v>2</v>
      </c>
      <c r="S44" s="24">
        <v>6</v>
      </c>
    </row>
    <row r="45" spans="1:24" x14ac:dyDescent="0.25">
      <c r="A45" s="12">
        <v>27</v>
      </c>
      <c r="B45" s="13" t="s">
        <v>306</v>
      </c>
      <c r="C45" s="20">
        <f>$X$26</f>
        <v>4192.75</v>
      </c>
      <c r="D45" s="16">
        <f>D44+180</f>
        <v>380</v>
      </c>
      <c r="E45" s="13">
        <f>COLUMN(EB20)</f>
        <v>132</v>
      </c>
      <c r="F45" s="13">
        <f>COLUMN(EC20)</f>
        <v>133</v>
      </c>
      <c r="G45" s="13">
        <f>COLUMN(ED20)</f>
        <v>134</v>
      </c>
      <c r="H45" s="13">
        <f>COLUMN(EE20)</f>
        <v>135</v>
      </c>
      <c r="I45" s="13"/>
      <c r="J45" s="13"/>
      <c r="K45" s="13"/>
      <c r="L45" s="14"/>
      <c r="N45" s="12">
        <v>5</v>
      </c>
      <c r="O45" s="13" t="s">
        <v>372</v>
      </c>
      <c r="P45" s="13">
        <v>466.25</v>
      </c>
      <c r="Q45" s="13">
        <v>240</v>
      </c>
      <c r="R45" s="23">
        <v>5</v>
      </c>
      <c r="S45" s="24">
        <v>3</v>
      </c>
    </row>
    <row r="46" spans="1:24" ht="15.75" thickBot="1" x14ac:dyDescent="0.3">
      <c r="A46" s="12">
        <v>28</v>
      </c>
      <c r="B46" s="13" t="s">
        <v>307</v>
      </c>
      <c r="C46" s="20">
        <f>$X$26</f>
        <v>4192.75</v>
      </c>
      <c r="D46" s="16">
        <f>D45+180</f>
        <v>560</v>
      </c>
      <c r="E46" s="13">
        <f>COLUMN(EF21)</f>
        <v>136</v>
      </c>
      <c r="F46" s="13">
        <f>COLUMN(EG21)</f>
        <v>137</v>
      </c>
      <c r="G46" s="13">
        <f>COLUMN(EH21)</f>
        <v>138</v>
      </c>
      <c r="H46" s="13">
        <f>COLUMN(EI21)</f>
        <v>139</v>
      </c>
      <c r="I46" s="13"/>
      <c r="J46" s="13"/>
      <c r="K46" s="13"/>
      <c r="L46" s="14"/>
      <c r="N46" s="17">
        <v>6</v>
      </c>
      <c r="O46" s="18" t="s">
        <v>358</v>
      </c>
      <c r="P46" s="18">
        <v>466.25</v>
      </c>
      <c r="Q46" s="18">
        <v>480</v>
      </c>
      <c r="R46" s="25">
        <v>5</v>
      </c>
      <c r="S46" s="26">
        <v>7</v>
      </c>
    </row>
    <row r="47" spans="1:24" ht="15.75" thickBot="1" x14ac:dyDescent="0.3">
      <c r="A47" s="15">
        <v>29</v>
      </c>
      <c r="B47" s="16" t="s">
        <v>308</v>
      </c>
      <c r="C47" s="16">
        <f>$X$27</f>
        <v>4658.5</v>
      </c>
      <c r="D47" s="16">
        <v>20</v>
      </c>
      <c r="E47" s="13">
        <f>COLUMN(AD22)</f>
        <v>30</v>
      </c>
      <c r="F47" s="13">
        <f>COLUMN(AE22)</f>
        <v>31</v>
      </c>
      <c r="G47" s="13">
        <f>COLUMN(AF22)</f>
        <v>32</v>
      </c>
      <c r="H47" s="13">
        <f>COLUMN(AG22)</f>
        <v>33</v>
      </c>
      <c r="I47" s="13"/>
      <c r="J47" s="13"/>
      <c r="K47" s="13"/>
      <c r="L47" s="14"/>
    </row>
    <row r="48" spans="1:24" x14ac:dyDescent="0.25">
      <c r="A48" s="15">
        <v>30</v>
      </c>
      <c r="B48" s="16" t="s">
        <v>312</v>
      </c>
      <c r="C48" s="16">
        <f>$X$27</f>
        <v>4658.5</v>
      </c>
      <c r="D48" s="16">
        <f>D47+180</f>
        <v>200</v>
      </c>
      <c r="E48" s="13">
        <f>COLUMN(AH23)</f>
        <v>34</v>
      </c>
      <c r="F48" s="13">
        <f>COLUMN(AI23)</f>
        <v>35</v>
      </c>
      <c r="G48" s="13">
        <f>COLUMN(AJ23)</f>
        <v>36</v>
      </c>
      <c r="H48" s="13">
        <f>COLUMN(AK23)</f>
        <v>37</v>
      </c>
      <c r="I48" s="13"/>
      <c r="J48" s="13"/>
      <c r="K48" s="13"/>
      <c r="L48" s="14"/>
      <c r="N48" s="9" t="s">
        <v>360</v>
      </c>
      <c r="O48" s="11"/>
    </row>
    <row r="49" spans="1:15" ht="15.75" thickBot="1" x14ac:dyDescent="0.3">
      <c r="A49" s="15">
        <v>31</v>
      </c>
      <c r="B49" s="16" t="s">
        <v>311</v>
      </c>
      <c r="C49" s="16">
        <f>$X$27</f>
        <v>4658.5</v>
      </c>
      <c r="D49" s="16">
        <f>D48+180</f>
        <v>380</v>
      </c>
      <c r="E49" s="13">
        <f>COLUMN(FC24)</f>
        <v>159</v>
      </c>
      <c r="F49" s="13">
        <f>COLUMN(FD24)</f>
        <v>160</v>
      </c>
      <c r="G49" s="13">
        <f>COLUMN(FE24)</f>
        <v>161</v>
      </c>
      <c r="H49" s="13">
        <f>COLUMN(FF24)</f>
        <v>162</v>
      </c>
      <c r="I49" s="13"/>
      <c r="J49" s="13"/>
      <c r="K49" s="13"/>
      <c r="L49" s="14"/>
      <c r="N49" s="17" t="s">
        <v>276</v>
      </c>
      <c r="O49" s="19"/>
    </row>
    <row r="50" spans="1:15" x14ac:dyDescent="0.25">
      <c r="A50" s="15">
        <v>32</v>
      </c>
      <c r="B50" s="16" t="s">
        <v>309</v>
      </c>
      <c r="C50" s="16">
        <f>$X$27</f>
        <v>4658.5</v>
      </c>
      <c r="D50" s="16">
        <f>D49+180</f>
        <v>560</v>
      </c>
      <c r="E50" s="13">
        <f>COLUMN(CL25)</f>
        <v>90</v>
      </c>
      <c r="F50" s="13">
        <f>COLUMN(CM25)</f>
        <v>91</v>
      </c>
      <c r="G50" s="13">
        <f>COLUMN(CN25)</f>
        <v>92</v>
      </c>
      <c r="H50" s="13">
        <f>COLUMN(CO25)</f>
        <v>93</v>
      </c>
      <c r="I50" s="13"/>
      <c r="J50" s="13"/>
      <c r="K50" s="13"/>
      <c r="L50" s="14"/>
      <c r="N50" s="12">
        <v>1</v>
      </c>
      <c r="O50" s="14" t="s">
        <v>416</v>
      </c>
    </row>
    <row r="51" spans="1:15" x14ac:dyDescent="0.25">
      <c r="A51" s="12">
        <v>33</v>
      </c>
      <c r="B51" s="13" t="s">
        <v>310</v>
      </c>
      <c r="C51" s="20">
        <f>$X$28</f>
        <v>5124.25</v>
      </c>
      <c r="D51" s="16">
        <v>20</v>
      </c>
      <c r="E51" s="13">
        <f>COLUMN(V26)</f>
        <v>22</v>
      </c>
      <c r="F51" s="13">
        <f>COLUMN(W26)</f>
        <v>23</v>
      </c>
      <c r="G51" s="13">
        <f>COLUMN(X26)</f>
        <v>24</v>
      </c>
      <c r="H51" s="13">
        <f>COLUMN(Y26)</f>
        <v>25</v>
      </c>
      <c r="I51" s="13"/>
      <c r="J51" s="13"/>
      <c r="K51" s="13"/>
      <c r="L51" s="14"/>
      <c r="N51" s="12">
        <v>2</v>
      </c>
      <c r="O51" s="14" t="s">
        <v>417</v>
      </c>
    </row>
    <row r="52" spans="1:15" ht="15.75" thickBot="1" x14ac:dyDescent="0.3">
      <c r="A52" s="12">
        <v>34</v>
      </c>
      <c r="B52" s="13" t="s">
        <v>313</v>
      </c>
      <c r="C52" s="20">
        <f>$X$28</f>
        <v>5124.25</v>
      </c>
      <c r="D52" s="16">
        <f>D51+180</f>
        <v>200</v>
      </c>
      <c r="E52" s="13">
        <f>COLUMN(Z27)</f>
        <v>26</v>
      </c>
      <c r="F52" s="13">
        <f>COLUMN(AA27)</f>
        <v>27</v>
      </c>
      <c r="G52" s="13">
        <f>COLUMN(AB27)</f>
        <v>28</v>
      </c>
      <c r="H52" s="13">
        <f>COLUMN(AC27)</f>
        <v>29</v>
      </c>
      <c r="I52" s="13"/>
      <c r="J52" s="13"/>
      <c r="K52" s="13"/>
      <c r="L52" s="14"/>
      <c r="N52" s="17">
        <v>3</v>
      </c>
      <c r="O52" s="19" t="s">
        <v>418</v>
      </c>
    </row>
    <row r="53" spans="1:15" x14ac:dyDescent="0.25">
      <c r="A53" s="12">
        <v>35</v>
      </c>
      <c r="B53" s="13" t="s">
        <v>314</v>
      </c>
      <c r="C53" s="20">
        <f>$X$28</f>
        <v>5124.25</v>
      </c>
      <c r="D53" s="16">
        <f>D52+180</f>
        <v>380</v>
      </c>
      <c r="E53" s="13">
        <f>COLUMN(T28)</f>
        <v>20</v>
      </c>
      <c r="F53" s="13">
        <f>COLUMN(U28)</f>
        <v>21</v>
      </c>
      <c r="G53" s="13"/>
      <c r="H53" s="13"/>
      <c r="I53" s="13"/>
      <c r="J53" s="13"/>
      <c r="K53" s="13"/>
      <c r="L53" s="14"/>
    </row>
    <row r="54" spans="1:15" x14ac:dyDescent="0.25">
      <c r="A54" s="12">
        <v>36</v>
      </c>
      <c r="B54" s="13" t="s">
        <v>315</v>
      </c>
      <c r="C54" s="20">
        <f>$X$28</f>
        <v>5124.25</v>
      </c>
      <c r="D54" s="16">
        <f>D53+180</f>
        <v>560</v>
      </c>
      <c r="E54" s="13">
        <f>COLUMN(BN29)</f>
        <v>66</v>
      </c>
      <c r="F54" s="13">
        <f>COLUMN(BO29)</f>
        <v>67</v>
      </c>
      <c r="G54" s="13">
        <f>COLUMN(BP29)</f>
        <v>68</v>
      </c>
      <c r="H54" s="13">
        <f>COLUMN(BQ29)</f>
        <v>69</v>
      </c>
      <c r="I54" s="13">
        <f>COLUMN(CP29)</f>
        <v>94</v>
      </c>
      <c r="J54" s="13">
        <f>COLUMN(CQ29)</f>
        <v>95</v>
      </c>
      <c r="K54" s="13">
        <f>COLUMN(CR29)</f>
        <v>96</v>
      </c>
      <c r="L54" s="14">
        <f>COLUMN(CS29)</f>
        <v>97</v>
      </c>
    </row>
    <row r="55" spans="1:15" x14ac:dyDescent="0.25">
      <c r="A55" s="15">
        <v>37</v>
      </c>
      <c r="B55" s="54" t="s">
        <v>402</v>
      </c>
      <c r="C55" s="16">
        <f>$X$29</f>
        <v>5590</v>
      </c>
      <c r="D55" s="16">
        <v>20</v>
      </c>
      <c r="E55" s="13">
        <v>251</v>
      </c>
      <c r="F55" s="54">
        <v>252</v>
      </c>
      <c r="G55" s="13"/>
      <c r="H55" s="13"/>
      <c r="I55" s="13"/>
      <c r="J55" s="13"/>
      <c r="K55" s="13"/>
      <c r="L55" s="14"/>
    </row>
    <row r="56" spans="1:15" x14ac:dyDescent="0.25">
      <c r="A56" s="15">
        <v>38</v>
      </c>
      <c r="B56" s="54" t="s">
        <v>403</v>
      </c>
      <c r="C56" s="16">
        <f>$X$29</f>
        <v>5590</v>
      </c>
      <c r="D56" s="16">
        <f>D55+180</f>
        <v>200</v>
      </c>
      <c r="E56" s="13">
        <v>253</v>
      </c>
      <c r="F56" s="13">
        <v>254</v>
      </c>
      <c r="G56" s="13"/>
      <c r="H56" s="13"/>
      <c r="I56" s="13"/>
      <c r="J56" s="13"/>
      <c r="K56" s="13"/>
      <c r="L56" s="14"/>
    </row>
    <row r="57" spans="1:15" x14ac:dyDescent="0.25">
      <c r="A57" s="12">
        <v>39</v>
      </c>
      <c r="B57" s="47" t="s">
        <v>316</v>
      </c>
      <c r="C57" s="48">
        <f>$X$30</f>
        <v>6055.75</v>
      </c>
      <c r="D57" s="47">
        <v>20</v>
      </c>
      <c r="E57" s="47">
        <f>COLUMN(AV30)</f>
        <v>48</v>
      </c>
      <c r="F57" s="13">
        <f>COLUMN(AW30)</f>
        <v>49</v>
      </c>
      <c r="G57" s="13">
        <f>COLUMN(FS30)</f>
        <v>175</v>
      </c>
      <c r="H57" s="13">
        <f>COLUMN(FT30)</f>
        <v>176</v>
      </c>
      <c r="I57" s="13"/>
      <c r="J57" s="13"/>
      <c r="K57" s="13"/>
      <c r="L57" s="14"/>
    </row>
    <row r="58" spans="1:15" x14ac:dyDescent="0.25">
      <c r="A58" s="12">
        <v>40</v>
      </c>
      <c r="B58" s="47" t="s">
        <v>317</v>
      </c>
      <c r="C58" s="48">
        <f>$X$30</f>
        <v>6055.75</v>
      </c>
      <c r="D58" s="47">
        <f>D57+180</f>
        <v>200</v>
      </c>
      <c r="E58" s="47">
        <f>COLUMN(AT31)</f>
        <v>46</v>
      </c>
      <c r="F58" s="13">
        <f>COLUMN(FL31)</f>
        <v>168</v>
      </c>
      <c r="G58" s="13">
        <f>COLUMN(AU31)</f>
        <v>47</v>
      </c>
      <c r="H58" s="13">
        <f>COLUMN(EK31)</f>
        <v>141</v>
      </c>
      <c r="I58" s="13">
        <v>237</v>
      </c>
      <c r="J58" s="13">
        <v>237</v>
      </c>
      <c r="K58" s="13"/>
      <c r="L58" s="14"/>
    </row>
    <row r="59" spans="1:15" x14ac:dyDescent="0.25">
      <c r="A59" s="12">
        <v>41</v>
      </c>
      <c r="B59" s="47" t="s">
        <v>318</v>
      </c>
      <c r="C59" s="48">
        <f>$X$30</f>
        <v>6055.75</v>
      </c>
      <c r="D59" s="47">
        <f>D58+180</f>
        <v>380</v>
      </c>
      <c r="E59" s="47">
        <f>COLUMN(CU32)</f>
        <v>99</v>
      </c>
      <c r="F59" s="13">
        <f t="shared" ref="F59:L59" si="3">COLUMN(CV32)</f>
        <v>100</v>
      </c>
      <c r="G59" s="13">
        <f t="shared" si="3"/>
        <v>101</v>
      </c>
      <c r="H59" s="13">
        <f t="shared" si="3"/>
        <v>102</v>
      </c>
      <c r="I59" s="13">
        <f t="shared" si="3"/>
        <v>103</v>
      </c>
      <c r="J59" s="13">
        <f t="shared" si="3"/>
        <v>104</v>
      </c>
      <c r="K59" s="13">
        <f t="shared" si="3"/>
        <v>105</v>
      </c>
      <c r="L59" s="14">
        <f t="shared" si="3"/>
        <v>106</v>
      </c>
    </row>
    <row r="60" spans="1:15" x14ac:dyDescent="0.25">
      <c r="A60" s="12">
        <v>42</v>
      </c>
      <c r="B60" s="47" t="s">
        <v>319</v>
      </c>
      <c r="C60" s="48">
        <f>$X$30</f>
        <v>6055.75</v>
      </c>
      <c r="D60" s="47">
        <f>D59+180</f>
        <v>560</v>
      </c>
      <c r="E60" s="47">
        <f>COLUMN(AZ33)</f>
        <v>52</v>
      </c>
      <c r="F60" s="13">
        <f>COLUMN(FO33)</f>
        <v>171</v>
      </c>
      <c r="G60" s="13">
        <f>COLUMN(BA33)</f>
        <v>53</v>
      </c>
      <c r="H60" s="13">
        <f>COLUMN(BB33)</f>
        <v>54</v>
      </c>
      <c r="I60" s="13">
        <v>238</v>
      </c>
      <c r="J60" s="13">
        <v>239</v>
      </c>
      <c r="K60" s="13"/>
      <c r="L60" s="14"/>
    </row>
    <row r="61" spans="1:15" x14ac:dyDescent="0.25">
      <c r="A61" s="15">
        <v>43</v>
      </c>
      <c r="B61" s="16" t="s">
        <v>320</v>
      </c>
      <c r="C61" s="22">
        <f>$X$31</f>
        <v>6521.5</v>
      </c>
      <c r="D61" s="16">
        <v>20</v>
      </c>
      <c r="E61" s="13">
        <f>COLUMN(EL34)</f>
        <v>142</v>
      </c>
      <c r="F61" s="13">
        <f>COLUMN(EM34)</f>
        <v>143</v>
      </c>
      <c r="G61" s="13">
        <f>COLUMN(FM34)</f>
        <v>169</v>
      </c>
      <c r="H61" s="13">
        <f>COLUMN(FN34)</f>
        <v>170</v>
      </c>
      <c r="I61" s="13">
        <f>COLUMN(HV34)</f>
        <v>230</v>
      </c>
      <c r="J61" s="13"/>
      <c r="K61" s="13"/>
      <c r="L61" s="14"/>
    </row>
    <row r="62" spans="1:15" x14ac:dyDescent="0.25">
      <c r="A62" s="15">
        <v>44</v>
      </c>
      <c r="B62" s="16" t="s">
        <v>321</v>
      </c>
      <c r="C62" s="22">
        <f>$X$31</f>
        <v>6521.5</v>
      </c>
      <c r="D62" s="16">
        <f>D61+180</f>
        <v>200</v>
      </c>
      <c r="E62" s="13">
        <f>COLUMN(FG35)</f>
        <v>163</v>
      </c>
      <c r="F62" s="13">
        <f>COLUMN(FH35)</f>
        <v>164</v>
      </c>
      <c r="G62" s="13">
        <f>COLUMN(FI35)</f>
        <v>165</v>
      </c>
      <c r="H62" s="13">
        <f>COLUMN(FJ35)</f>
        <v>166</v>
      </c>
      <c r="I62" s="13">
        <v>246</v>
      </c>
      <c r="J62" s="13">
        <v>247</v>
      </c>
      <c r="K62" s="13"/>
      <c r="L62" s="14"/>
    </row>
    <row r="63" spans="1:15" x14ac:dyDescent="0.25">
      <c r="A63" s="15">
        <v>45</v>
      </c>
      <c r="B63" s="16" t="s">
        <v>322</v>
      </c>
      <c r="C63" s="22">
        <f>$X$31</f>
        <v>6521.5</v>
      </c>
      <c r="D63" s="16">
        <f>D62+180</f>
        <v>380</v>
      </c>
      <c r="E63" s="13">
        <f>COLUMN(FK36)</f>
        <v>167</v>
      </c>
      <c r="F63" s="13">
        <f>COLUMN(FP36)</f>
        <v>172</v>
      </c>
      <c r="G63" s="13">
        <f>COLUMN(FQ36)</f>
        <v>173</v>
      </c>
      <c r="H63" s="13">
        <f>COLUMN(FR36)</f>
        <v>174</v>
      </c>
      <c r="I63" s="13"/>
      <c r="J63" s="13"/>
      <c r="K63" s="13"/>
      <c r="L63" s="14"/>
    </row>
    <row r="64" spans="1:15" x14ac:dyDescent="0.25">
      <c r="A64" s="15">
        <v>46</v>
      </c>
      <c r="B64" s="16" t="s">
        <v>323</v>
      </c>
      <c r="C64" s="22">
        <f>$X$31</f>
        <v>6521.5</v>
      </c>
      <c r="D64" s="16">
        <f>D63+180</f>
        <v>560</v>
      </c>
      <c r="E64" s="13">
        <f>COLUMN(FU37)</f>
        <v>177</v>
      </c>
      <c r="F64" s="13">
        <f>COLUMN(GF37)</f>
        <v>188</v>
      </c>
      <c r="G64" s="13"/>
      <c r="H64" s="13"/>
      <c r="I64" s="13"/>
      <c r="J64" s="13"/>
      <c r="K64" s="13"/>
      <c r="L64" s="14"/>
    </row>
    <row r="65" spans="1:12" x14ac:dyDescent="0.25">
      <c r="A65" s="12">
        <v>47</v>
      </c>
      <c r="B65" s="47" t="s">
        <v>324</v>
      </c>
      <c r="C65" s="48">
        <f>$X$32</f>
        <v>6987.25</v>
      </c>
      <c r="D65" s="47">
        <v>20</v>
      </c>
      <c r="E65" s="13">
        <f>COLUMN(FV38)</f>
        <v>178</v>
      </c>
      <c r="F65" s="13">
        <f>COLUMN(FW38)</f>
        <v>179</v>
      </c>
      <c r="G65" s="13"/>
      <c r="H65" s="13"/>
      <c r="I65" s="13"/>
      <c r="J65" s="13"/>
      <c r="K65" s="13"/>
      <c r="L65" s="14"/>
    </row>
    <row r="66" spans="1:12" x14ac:dyDescent="0.25">
      <c r="A66" s="12">
        <v>48</v>
      </c>
      <c r="B66" s="47" t="s">
        <v>325</v>
      </c>
      <c r="C66" s="48">
        <f>$X$32</f>
        <v>6987.25</v>
      </c>
      <c r="D66" s="47">
        <f>D65+180</f>
        <v>200</v>
      </c>
      <c r="E66" s="13">
        <f>COLUMN(FX39)</f>
        <v>180</v>
      </c>
      <c r="F66" s="13">
        <f>COLUMN(FY39)</f>
        <v>181</v>
      </c>
      <c r="G66" s="13">
        <f>COLUMN(FZ39)</f>
        <v>182</v>
      </c>
      <c r="H66" s="13">
        <f>COLUMN(GA39)</f>
        <v>183</v>
      </c>
      <c r="I66" s="13"/>
      <c r="J66" s="13"/>
      <c r="K66" s="13"/>
      <c r="L66" s="14"/>
    </row>
    <row r="67" spans="1:12" x14ac:dyDescent="0.25">
      <c r="A67" s="12">
        <v>49</v>
      </c>
      <c r="B67" s="47" t="s">
        <v>326</v>
      </c>
      <c r="C67" s="48">
        <f>$X$32</f>
        <v>6987.25</v>
      </c>
      <c r="D67" s="47">
        <f>D66+180</f>
        <v>380</v>
      </c>
      <c r="E67" s="13">
        <f>COLUMN(GB40)</f>
        <v>184</v>
      </c>
      <c r="F67" s="13">
        <f>COLUMN(GC40)</f>
        <v>185</v>
      </c>
      <c r="G67" s="13">
        <f>COLUMN(GD40)</f>
        <v>186</v>
      </c>
      <c r="H67" s="13">
        <f>COLUMN(GE40)</f>
        <v>187</v>
      </c>
      <c r="I67" s="13"/>
      <c r="J67" s="13"/>
      <c r="K67" s="13"/>
      <c r="L67" s="14"/>
    </row>
    <row r="68" spans="1:12" x14ac:dyDescent="0.25">
      <c r="A68" s="12">
        <v>50</v>
      </c>
      <c r="B68" s="47" t="s">
        <v>407</v>
      </c>
      <c r="C68" s="48">
        <f>$X$32</f>
        <v>6987.25</v>
      </c>
      <c r="D68" s="47">
        <f>D67+180</f>
        <v>560</v>
      </c>
      <c r="E68" s="13">
        <f>COLUMN(GG41)</f>
        <v>189</v>
      </c>
      <c r="F68" s="13">
        <f>COLUMN(GH41)</f>
        <v>190</v>
      </c>
      <c r="G68" s="13">
        <f>COLUMN(GI41)</f>
        <v>191</v>
      </c>
      <c r="H68" s="13">
        <f>COLUMN(GJ41)</f>
        <v>192</v>
      </c>
      <c r="I68" s="13"/>
      <c r="J68" s="13"/>
      <c r="K68" s="13"/>
      <c r="L68" s="14"/>
    </row>
    <row r="69" spans="1:12" x14ac:dyDescent="0.25">
      <c r="A69" s="15">
        <v>51</v>
      </c>
      <c r="B69" s="16" t="s">
        <v>396</v>
      </c>
      <c r="C69" s="16">
        <f>$X$33</f>
        <v>7453</v>
      </c>
      <c r="D69" s="16">
        <v>20</v>
      </c>
      <c r="E69" s="47">
        <v>238</v>
      </c>
      <c r="F69" s="55">
        <v>239</v>
      </c>
      <c r="G69" s="55">
        <v>244</v>
      </c>
      <c r="H69" s="55">
        <v>245</v>
      </c>
      <c r="I69" s="55">
        <v>249</v>
      </c>
      <c r="J69" s="47"/>
      <c r="K69" s="47"/>
      <c r="L69" s="56"/>
    </row>
    <row r="70" spans="1:12" x14ac:dyDescent="0.25">
      <c r="A70" s="15">
        <v>52</v>
      </c>
      <c r="B70" s="16" t="s">
        <v>397</v>
      </c>
      <c r="C70" s="16">
        <f>$X$33</f>
        <v>7453</v>
      </c>
      <c r="D70" s="16">
        <f>D69+180</f>
        <v>200</v>
      </c>
      <c r="E70" s="47">
        <v>240</v>
      </c>
      <c r="F70" s="47">
        <v>241</v>
      </c>
      <c r="G70" s="47">
        <v>242</v>
      </c>
      <c r="H70" s="55">
        <v>243</v>
      </c>
      <c r="I70" s="55">
        <v>248</v>
      </c>
      <c r="J70" s="47"/>
      <c r="K70" s="47"/>
      <c r="L70" s="56"/>
    </row>
    <row r="71" spans="1:12" x14ac:dyDescent="0.25">
      <c r="A71" s="15">
        <v>53</v>
      </c>
      <c r="B71" s="54" t="s">
        <v>401</v>
      </c>
      <c r="C71" s="16">
        <f>$X$33</f>
        <v>7453</v>
      </c>
      <c r="D71" s="4">
        <v>380</v>
      </c>
      <c r="E71" s="57">
        <v>250</v>
      </c>
      <c r="F71" s="57"/>
      <c r="G71" s="57"/>
      <c r="H71" s="57"/>
      <c r="I71" s="57"/>
      <c r="J71" s="57"/>
      <c r="K71" s="57"/>
      <c r="L71" s="57"/>
    </row>
    <row r="72" spans="1:12" x14ac:dyDescent="0.25">
      <c r="A72" s="12">
        <v>54</v>
      </c>
      <c r="B72" s="47" t="s">
        <v>327</v>
      </c>
      <c r="C72" s="48">
        <f>$X$34</f>
        <v>7918.75</v>
      </c>
      <c r="D72" s="47">
        <v>20</v>
      </c>
      <c r="E72" s="13">
        <f>COLUMN(CG42)</f>
        <v>85</v>
      </c>
      <c r="F72" s="13">
        <f>COLUMN(CH42)</f>
        <v>86</v>
      </c>
      <c r="G72" s="13">
        <f>COLUMN(GK42)</f>
        <v>193</v>
      </c>
      <c r="H72" s="13">
        <f>COLUMN(GL42)</f>
        <v>194</v>
      </c>
      <c r="I72" s="13">
        <f>COLUMN(GM42)</f>
        <v>195</v>
      </c>
      <c r="J72" s="13"/>
      <c r="K72" s="13"/>
      <c r="L72" s="14"/>
    </row>
    <row r="73" spans="1:12" x14ac:dyDescent="0.25">
      <c r="A73" s="12">
        <v>55</v>
      </c>
      <c r="B73" s="47" t="s">
        <v>328</v>
      </c>
      <c r="C73" s="48">
        <f>$X$34</f>
        <v>7918.75</v>
      </c>
      <c r="D73" s="47">
        <f>D72+180</f>
        <v>200</v>
      </c>
      <c r="E73" s="13">
        <f>COLUMN(GN43)</f>
        <v>196</v>
      </c>
      <c r="F73" s="13"/>
      <c r="G73" s="13"/>
      <c r="H73" s="13"/>
      <c r="I73" s="13"/>
      <c r="J73" s="13"/>
      <c r="K73" s="13"/>
      <c r="L73" s="14"/>
    </row>
    <row r="74" spans="1:12" x14ac:dyDescent="0.25">
      <c r="A74" s="12">
        <v>56</v>
      </c>
      <c r="B74" s="47" t="s">
        <v>329</v>
      </c>
      <c r="C74" s="48">
        <f>$X$34</f>
        <v>7918.75</v>
      </c>
      <c r="D74" s="47">
        <f>D73+180</f>
        <v>380</v>
      </c>
      <c r="E74" s="13">
        <f>COLUMN(CT44)</f>
        <v>98</v>
      </c>
      <c r="F74" s="13"/>
      <c r="G74" s="13"/>
      <c r="H74" s="13"/>
      <c r="I74" s="13"/>
      <c r="J74" s="13"/>
      <c r="K74" s="13"/>
      <c r="L74" s="14"/>
    </row>
    <row r="75" spans="1:12" x14ac:dyDescent="0.25">
      <c r="A75" s="12">
        <v>57</v>
      </c>
      <c r="B75" s="47" t="s">
        <v>330</v>
      </c>
      <c r="C75" s="48">
        <f>$X$34</f>
        <v>7918.75</v>
      </c>
      <c r="D75" s="47">
        <f>D74+180</f>
        <v>560</v>
      </c>
      <c r="E75" s="13">
        <f>COLUMN(ER45)</f>
        <v>148</v>
      </c>
      <c r="F75" s="13">
        <f>COLUMN(EQ45)</f>
        <v>147</v>
      </c>
      <c r="G75" s="13">
        <f>COLUMN(EP45)</f>
        <v>146</v>
      </c>
      <c r="H75" s="13">
        <f>COLUMN(GO45)</f>
        <v>197</v>
      </c>
      <c r="I75" s="13"/>
      <c r="J75" s="13"/>
      <c r="K75" s="13"/>
      <c r="L75" s="14"/>
    </row>
    <row r="76" spans="1:12" x14ac:dyDescent="0.25">
      <c r="A76" s="15">
        <v>58</v>
      </c>
      <c r="B76" s="16" t="s">
        <v>332</v>
      </c>
      <c r="C76" s="22">
        <f>$X$35</f>
        <v>8384.5</v>
      </c>
      <c r="D76" s="16">
        <v>20</v>
      </c>
      <c r="E76" s="13">
        <f>COLUMN(GQ46)</f>
        <v>199</v>
      </c>
      <c r="F76" s="13">
        <f>COLUMN(ES46)</f>
        <v>149</v>
      </c>
      <c r="G76" s="13">
        <f>COLUMN(GP46)</f>
        <v>198</v>
      </c>
      <c r="H76" s="13"/>
      <c r="I76" s="13"/>
      <c r="J76" s="13"/>
      <c r="K76" s="13"/>
      <c r="L76" s="14"/>
    </row>
    <row r="77" spans="1:12" x14ac:dyDescent="0.25">
      <c r="A77" s="15">
        <v>59</v>
      </c>
      <c r="B77" s="16" t="s">
        <v>333</v>
      </c>
      <c r="C77" s="22">
        <f t="shared" ref="C77:C79" si="4">$X$35</f>
        <v>8384.5</v>
      </c>
      <c r="D77" s="16">
        <f>D76+180</f>
        <v>200</v>
      </c>
      <c r="E77" s="13">
        <f>COLUMN(GS47)</f>
        <v>201</v>
      </c>
      <c r="F77" s="13">
        <f>COLUMN(ET47)</f>
        <v>150</v>
      </c>
      <c r="G77" s="13">
        <f>COLUMN(GR47)</f>
        <v>200</v>
      </c>
      <c r="H77" s="13"/>
      <c r="I77" s="13"/>
      <c r="J77" s="13"/>
      <c r="K77" s="13"/>
      <c r="L77" s="14"/>
    </row>
    <row r="78" spans="1:12" x14ac:dyDescent="0.25">
      <c r="A78" s="15">
        <v>60</v>
      </c>
      <c r="B78" s="16" t="s">
        <v>334</v>
      </c>
      <c r="C78" s="22">
        <f t="shared" si="4"/>
        <v>8384.5</v>
      </c>
      <c r="D78" s="16">
        <f>D77+180</f>
        <v>380</v>
      </c>
      <c r="E78" s="13">
        <f>COLUMN(GU48)</f>
        <v>203</v>
      </c>
      <c r="F78" s="13">
        <f>COLUMN(EU48)</f>
        <v>151</v>
      </c>
      <c r="G78" s="13">
        <f>COLUMN(GT48)</f>
        <v>202</v>
      </c>
      <c r="H78" s="13"/>
      <c r="I78" s="13"/>
      <c r="J78" s="13"/>
      <c r="K78" s="13"/>
      <c r="L78" s="14"/>
    </row>
    <row r="79" spans="1:12" x14ac:dyDescent="0.25">
      <c r="A79" s="15">
        <v>61</v>
      </c>
      <c r="B79" s="16" t="s">
        <v>331</v>
      </c>
      <c r="C79" s="22">
        <f t="shared" si="4"/>
        <v>8384.5</v>
      </c>
      <c r="D79" s="16">
        <f>D78+180</f>
        <v>560</v>
      </c>
      <c r="E79" s="13">
        <f t="shared" ref="E79:J79" si="5">COLUMN(GV49)</f>
        <v>204</v>
      </c>
      <c r="F79" s="13">
        <f t="shared" si="5"/>
        <v>205</v>
      </c>
      <c r="G79" s="13">
        <f t="shared" si="5"/>
        <v>206</v>
      </c>
      <c r="H79" s="13">
        <f t="shared" si="5"/>
        <v>207</v>
      </c>
      <c r="I79" s="13">
        <f t="shared" si="5"/>
        <v>208</v>
      </c>
      <c r="J79" s="13">
        <f t="shared" si="5"/>
        <v>209</v>
      </c>
      <c r="K79" s="13"/>
      <c r="L79" s="14"/>
    </row>
    <row r="80" spans="1:12" x14ac:dyDescent="0.25">
      <c r="A80" s="12">
        <v>62</v>
      </c>
      <c r="B80" s="47" t="s">
        <v>335</v>
      </c>
      <c r="C80" s="58">
        <f>$X$36</f>
        <v>8850.25</v>
      </c>
      <c r="D80" s="57">
        <v>20</v>
      </c>
      <c r="E80" s="13">
        <f>COLUMN(BS1)</f>
        <v>71</v>
      </c>
      <c r="F80" s="13">
        <f>COLUMN(EJ1)</f>
        <v>140</v>
      </c>
      <c r="G80" s="13">
        <f>COLUMN(FB1)</f>
        <v>158</v>
      </c>
      <c r="H80" s="13"/>
      <c r="I80" s="13"/>
      <c r="J80" s="13"/>
      <c r="K80" s="13"/>
      <c r="L80" s="14"/>
    </row>
    <row r="81" spans="1:12" x14ac:dyDescent="0.25">
      <c r="A81" s="12">
        <v>63</v>
      </c>
      <c r="B81" s="47" t="s">
        <v>336</v>
      </c>
      <c r="C81" s="58">
        <f t="shared" ref="C81:C83" si="6">$X$36</f>
        <v>8850.25</v>
      </c>
      <c r="D81" s="47">
        <f>D80+180</f>
        <v>200</v>
      </c>
      <c r="E81" s="13">
        <f>COLUMN(HB51)</f>
        <v>210</v>
      </c>
      <c r="F81" s="13">
        <f>COLUMN(HC51)</f>
        <v>211</v>
      </c>
      <c r="G81" s="13">
        <f>COLUMN(HD51)</f>
        <v>212</v>
      </c>
      <c r="H81" s="13"/>
      <c r="I81" s="13"/>
      <c r="J81" s="13"/>
      <c r="K81" s="13"/>
      <c r="L81" s="14"/>
    </row>
    <row r="82" spans="1:12" x14ac:dyDescent="0.25">
      <c r="A82" s="12">
        <v>64</v>
      </c>
      <c r="B82" s="47" t="s">
        <v>337</v>
      </c>
      <c r="C82" s="58">
        <f t="shared" si="6"/>
        <v>8850.25</v>
      </c>
      <c r="D82" s="47">
        <f>D81+180</f>
        <v>380</v>
      </c>
      <c r="E82" s="13">
        <f t="shared" ref="E82:K82" si="7">COLUMN(HE52)</f>
        <v>213</v>
      </c>
      <c r="F82" s="13">
        <f t="shared" si="7"/>
        <v>214</v>
      </c>
      <c r="G82" s="13">
        <f t="shared" si="7"/>
        <v>215</v>
      </c>
      <c r="H82" s="13">
        <f t="shared" si="7"/>
        <v>216</v>
      </c>
      <c r="I82" s="13">
        <f t="shared" si="7"/>
        <v>217</v>
      </c>
      <c r="J82" s="13">
        <f t="shared" si="7"/>
        <v>218</v>
      </c>
      <c r="K82" s="13">
        <f t="shared" si="7"/>
        <v>219</v>
      </c>
      <c r="L82" s="14"/>
    </row>
    <row r="83" spans="1:12" ht="15.75" thickBot="1" x14ac:dyDescent="0.3">
      <c r="A83" s="12">
        <v>65</v>
      </c>
      <c r="B83" s="59" t="s">
        <v>338</v>
      </c>
      <c r="C83" s="58">
        <f t="shared" si="6"/>
        <v>8850.25</v>
      </c>
      <c r="D83" s="47">
        <f>D82+180</f>
        <v>560</v>
      </c>
      <c r="E83" s="18">
        <f t="shared" ref="E83:L83" si="8">COLUMN(HL53)</f>
        <v>220</v>
      </c>
      <c r="F83" s="18">
        <f t="shared" si="8"/>
        <v>221</v>
      </c>
      <c r="G83" s="18">
        <f t="shared" si="8"/>
        <v>222</v>
      </c>
      <c r="H83" s="18">
        <f t="shared" si="8"/>
        <v>223</v>
      </c>
      <c r="I83" s="18">
        <f t="shared" si="8"/>
        <v>224</v>
      </c>
      <c r="J83" s="18">
        <f t="shared" si="8"/>
        <v>225</v>
      </c>
      <c r="K83" s="18">
        <f t="shared" si="8"/>
        <v>226</v>
      </c>
      <c r="L83" s="19">
        <f t="shared" si="8"/>
        <v>227</v>
      </c>
    </row>
    <row r="84" spans="1:12" x14ac:dyDescent="0.25">
      <c r="A84" s="15">
        <v>66</v>
      </c>
      <c r="B84" s="4" t="s">
        <v>339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tabSelected="1" view="pageLayout" zoomScale="85" zoomScaleNormal="50" zoomScaleSheetLayoutView="90" zoomScalePageLayoutView="85" workbookViewId="0">
      <selection activeCell="C49" sqref="C49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147"/>
  <sheetViews>
    <sheetView zoomScale="70" zoomScaleNormal="70" workbookViewId="0">
      <pane xSplit="1" topLeftCell="B1" activePane="topRight" state="frozen"/>
      <selection pane="topRight" activeCell="HL50" sqref="HL50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47</v>
      </c>
      <c r="C2">
        <f>MAX(C8:C108)</f>
        <v>0</v>
      </c>
      <c r="D2" s="5">
        <f>MAX(D8:D108)*3600*24</f>
        <v>1487.1000000000001</v>
      </c>
      <c r="E2">
        <f t="shared" ref="E2:BP2" si="0">MAX(E8:E108)</f>
        <v>1487.1030000000001</v>
      </c>
      <c r="F2">
        <f t="shared" si="0"/>
        <v>335.68</v>
      </c>
      <c r="G2">
        <f t="shared" si="0"/>
        <v>6.18</v>
      </c>
      <c r="H2">
        <f t="shared" si="0"/>
        <v>29.9</v>
      </c>
      <c r="I2">
        <f t="shared" si="0"/>
        <v>3.1190000000000002</v>
      </c>
      <c r="J2">
        <f t="shared" si="0"/>
        <v>1267.5999999999999</v>
      </c>
      <c r="K2">
        <f t="shared" si="0"/>
        <v>11</v>
      </c>
      <c r="L2">
        <f t="shared" si="0"/>
        <v>9</v>
      </c>
      <c r="M2">
        <f t="shared" si="0"/>
        <v>7</v>
      </c>
      <c r="N2">
        <f t="shared" si="0"/>
        <v>3</v>
      </c>
      <c r="O2">
        <f t="shared" si="0"/>
        <v>3</v>
      </c>
      <c r="P2">
        <f t="shared" si="0"/>
        <v>1.141</v>
      </c>
      <c r="Q2">
        <f t="shared" si="0"/>
        <v>1.9830000000000001</v>
      </c>
      <c r="R2">
        <f t="shared" si="0"/>
        <v>1.849</v>
      </c>
      <c r="S2">
        <f t="shared" si="0"/>
        <v>0.91700000000000004</v>
      </c>
      <c r="T2">
        <f t="shared" si="0"/>
        <v>93.72</v>
      </c>
      <c r="U2">
        <f t="shared" si="0"/>
        <v>63.636000000000003</v>
      </c>
      <c r="V2">
        <f t="shared" si="0"/>
        <v>306</v>
      </c>
      <c r="W2">
        <f t="shared" si="0"/>
        <v>320</v>
      </c>
      <c r="X2">
        <f t="shared" si="0"/>
        <v>246.66</v>
      </c>
      <c r="Y2">
        <f t="shared" si="0"/>
        <v>314</v>
      </c>
      <c r="Z2">
        <f t="shared" si="0"/>
        <v>440.72</v>
      </c>
      <c r="AA2">
        <f t="shared" si="0"/>
        <v>462.41</v>
      </c>
      <c r="AB2">
        <f t="shared" si="0"/>
        <v>386.89</v>
      </c>
      <c r="AC2">
        <f t="shared" si="0"/>
        <v>466.86</v>
      </c>
      <c r="AD2">
        <f t="shared" si="0"/>
        <v>1.9810000000000001</v>
      </c>
      <c r="AE2">
        <f t="shared" si="0"/>
        <v>2.085</v>
      </c>
      <c r="AF2">
        <f t="shared" si="0"/>
        <v>1.992</v>
      </c>
      <c r="AG2">
        <f t="shared" si="0"/>
        <v>2.0659999999999998</v>
      </c>
      <c r="AH2">
        <f t="shared" si="0"/>
        <v>85.22</v>
      </c>
      <c r="AI2">
        <f t="shared" si="0"/>
        <v>81.7</v>
      </c>
      <c r="AJ2">
        <f t="shared" si="0"/>
        <v>120.81</v>
      </c>
      <c r="AK2">
        <f t="shared" si="0"/>
        <v>114.42</v>
      </c>
      <c r="AL2">
        <f t="shared" si="0"/>
        <v>778.29700000000003</v>
      </c>
      <c r="AM2">
        <f t="shared" si="0"/>
        <v>999.16800000000001</v>
      </c>
      <c r="AN2">
        <f t="shared" si="0"/>
        <v>973.57799999999997</v>
      </c>
      <c r="AO2">
        <f t="shared" si="0"/>
        <v>912.87699999999995</v>
      </c>
      <c r="AP2">
        <f t="shared" si="0"/>
        <v>1.4830000000000001</v>
      </c>
      <c r="AQ2">
        <f t="shared" si="0"/>
        <v>1.9990000000000001</v>
      </c>
      <c r="AR2">
        <f t="shared" si="0"/>
        <v>44.110999999999997</v>
      </c>
      <c r="AS2">
        <f t="shared" si="0"/>
        <v>40.890999999999998</v>
      </c>
      <c r="AT2">
        <f t="shared" si="0"/>
        <v>87</v>
      </c>
      <c r="AU2">
        <f t="shared" si="0"/>
        <v>122</v>
      </c>
      <c r="AV2">
        <f t="shared" si="0"/>
        <v>3.8805000000000001</v>
      </c>
      <c r="AW2">
        <f t="shared" si="0"/>
        <v>5.5628000000000002</v>
      </c>
      <c r="AX2">
        <f t="shared" si="0"/>
        <v>1030</v>
      </c>
      <c r="AY2">
        <f t="shared" si="0"/>
        <v>2.93</v>
      </c>
      <c r="AZ2">
        <f t="shared" si="0"/>
        <v>6.15</v>
      </c>
      <c r="BA2">
        <f t="shared" si="0"/>
        <v>141.44999999999999</v>
      </c>
      <c r="BB2">
        <f t="shared" si="0"/>
        <v>140.816</v>
      </c>
      <c r="BC2">
        <f t="shared" si="0"/>
        <v>8054</v>
      </c>
      <c r="BD2">
        <f t="shared" si="0"/>
        <v>90.25</v>
      </c>
      <c r="BE2">
        <f t="shared" si="0"/>
        <v>18.454999999999998</v>
      </c>
      <c r="BF2">
        <f t="shared" si="0"/>
        <v>15.705</v>
      </c>
      <c r="BG2">
        <f t="shared" si="0"/>
        <v>31.25</v>
      </c>
      <c r="BH2">
        <f t="shared" si="0"/>
        <v>31.4</v>
      </c>
      <c r="BI2">
        <f t="shared" si="0"/>
        <v>66.48</v>
      </c>
      <c r="BJ2">
        <f t="shared" si="0"/>
        <v>82.686000000000007</v>
      </c>
      <c r="BK2">
        <f t="shared" si="0"/>
        <v>64.914000000000001</v>
      </c>
      <c r="BL2">
        <f t="shared" si="0"/>
        <v>79.932000000000002</v>
      </c>
      <c r="BM2">
        <f t="shared" si="0"/>
        <v>81.710999999999999</v>
      </c>
      <c r="BN2">
        <f t="shared" si="0"/>
        <v>151.94399999999999</v>
      </c>
      <c r="BO2">
        <f t="shared" si="0"/>
        <v>152.16800000000001</v>
      </c>
      <c r="BP2">
        <f t="shared" si="0"/>
        <v>165.06399999999999</v>
      </c>
      <c r="BQ2">
        <f t="shared" ref="BQ2:EB2" si="1">MAX(BQ8:BQ108)</f>
        <v>166.15199999999999</v>
      </c>
      <c r="BR2">
        <f t="shared" si="1"/>
        <v>61.386000000000003</v>
      </c>
      <c r="BS2">
        <f t="shared" si="1"/>
        <v>29.7</v>
      </c>
      <c r="BT2">
        <f t="shared" si="1"/>
        <v>7498.3580000000002</v>
      </c>
      <c r="BU2">
        <f t="shared" si="1"/>
        <v>71.588999999999999</v>
      </c>
      <c r="BV2">
        <f t="shared" si="1"/>
        <v>56.585999999999999</v>
      </c>
      <c r="BW2">
        <f t="shared" si="1"/>
        <v>58.741</v>
      </c>
      <c r="BX2">
        <f t="shared" si="1"/>
        <v>59.103999999999999</v>
      </c>
      <c r="BY2">
        <f t="shared" si="1"/>
        <v>1.879</v>
      </c>
      <c r="BZ2">
        <f t="shared" si="1"/>
        <v>3.3650000000000002</v>
      </c>
      <c r="CA2">
        <f t="shared" si="1"/>
        <v>4.1760000000000002</v>
      </c>
      <c r="CB2">
        <f t="shared" si="1"/>
        <v>4.1769999999999996</v>
      </c>
      <c r="CC2">
        <f t="shared" si="1"/>
        <v>1.474</v>
      </c>
      <c r="CD2">
        <f t="shared" si="1"/>
        <v>2.7970000000000002</v>
      </c>
      <c r="CE2">
        <f t="shared" si="1"/>
        <v>1.5149999999999999</v>
      </c>
      <c r="CF2">
        <f t="shared" si="1"/>
        <v>2.2959999999999998</v>
      </c>
      <c r="CG2">
        <f t="shared" si="1"/>
        <v>14.005000000000001</v>
      </c>
      <c r="CH2">
        <f t="shared" si="1"/>
        <v>13.829000000000001</v>
      </c>
      <c r="CI2">
        <f t="shared" si="1"/>
        <v>6.0579999999999998</v>
      </c>
      <c r="CJ2">
        <f t="shared" si="1"/>
        <v>328.32900000000001</v>
      </c>
      <c r="CK2">
        <f t="shared" si="1"/>
        <v>1.81</v>
      </c>
      <c r="CL2">
        <f t="shared" si="1"/>
        <v>2.1</v>
      </c>
      <c r="CM2">
        <f t="shared" si="1"/>
        <v>5.0999999999999996</v>
      </c>
      <c r="CN2">
        <f t="shared" si="1"/>
        <v>1.2</v>
      </c>
      <c r="CO2">
        <f t="shared" si="1"/>
        <v>1.2</v>
      </c>
      <c r="CP2">
        <f t="shared" si="1"/>
        <v>121.321</v>
      </c>
      <c r="CQ2">
        <f t="shared" si="1"/>
        <v>123.9</v>
      </c>
      <c r="CR2">
        <f t="shared" si="1"/>
        <v>150.36099999999999</v>
      </c>
      <c r="CS2">
        <f t="shared" si="1"/>
        <v>156.30699999999999</v>
      </c>
      <c r="CT2">
        <f t="shared" si="1"/>
        <v>1.3069999999999999</v>
      </c>
      <c r="CU2">
        <f t="shared" si="1"/>
        <v>8.0779999999999994</v>
      </c>
      <c r="CV2">
        <f t="shared" si="1"/>
        <v>8.6809999999999992</v>
      </c>
      <c r="CW2">
        <f t="shared" si="1"/>
        <v>8.0790000000000006</v>
      </c>
      <c r="CX2">
        <f t="shared" si="1"/>
        <v>8.3740000000000006</v>
      </c>
      <c r="CY2">
        <f t="shared" si="1"/>
        <v>8.375</v>
      </c>
      <c r="CZ2">
        <f t="shared" si="1"/>
        <v>8.5790000000000006</v>
      </c>
      <c r="DA2">
        <f t="shared" si="1"/>
        <v>7.6790000000000003</v>
      </c>
      <c r="DB2">
        <f t="shared" si="1"/>
        <v>8.9809999999999999</v>
      </c>
      <c r="DC2">
        <f t="shared" si="1"/>
        <v>8.0000000000000002E-3</v>
      </c>
      <c r="DD2">
        <f t="shared" si="1"/>
        <v>0</v>
      </c>
      <c r="DE2">
        <f t="shared" si="1"/>
        <v>0.36499999999999999</v>
      </c>
      <c r="DF2">
        <f t="shared" si="1"/>
        <v>0.20799999999999999</v>
      </c>
      <c r="DG2">
        <f t="shared" si="1"/>
        <v>1.3089999999999999</v>
      </c>
      <c r="DH2">
        <f t="shared" si="1"/>
        <v>3.7</v>
      </c>
      <c r="DI2">
        <f t="shared" si="1"/>
        <v>1.49</v>
      </c>
      <c r="DJ2">
        <f t="shared" si="1"/>
        <v>0.38500000000000001</v>
      </c>
      <c r="DK2">
        <f t="shared" si="1"/>
        <v>1.3839999999999999</v>
      </c>
      <c r="DL2">
        <f t="shared" si="1"/>
        <v>0.42099999999999999</v>
      </c>
      <c r="DM2">
        <f t="shared" si="1"/>
        <v>0.91700000000000004</v>
      </c>
      <c r="DN2">
        <f t="shared" si="1"/>
        <v>4.8659999999999997</v>
      </c>
      <c r="DO2">
        <f t="shared" si="1"/>
        <v>1.175</v>
      </c>
      <c r="DP2">
        <f t="shared" si="1"/>
        <v>70.597999999999999</v>
      </c>
      <c r="DQ2">
        <f t="shared" si="1"/>
        <v>64.287000000000006</v>
      </c>
      <c r="DR2">
        <f t="shared" si="1"/>
        <v>56.128999999999998</v>
      </c>
      <c r="DS2">
        <f t="shared" si="1"/>
        <v>55.134</v>
      </c>
      <c r="DT2">
        <f t="shared" si="1"/>
        <v>10.02</v>
      </c>
      <c r="DU2">
        <f t="shared" si="1"/>
        <v>19.77</v>
      </c>
      <c r="DV2">
        <f t="shared" si="1"/>
        <v>16.02</v>
      </c>
      <c r="DW2">
        <f t="shared" si="1"/>
        <v>13.51</v>
      </c>
      <c r="DX2">
        <f t="shared" si="1"/>
        <v>10.18</v>
      </c>
      <c r="DY2">
        <f t="shared" si="1"/>
        <v>20.04</v>
      </c>
      <c r="DZ2">
        <f t="shared" si="1"/>
        <v>15.72</v>
      </c>
      <c r="EA2">
        <f t="shared" si="1"/>
        <v>13.71</v>
      </c>
      <c r="EB2">
        <f t="shared" si="1"/>
        <v>43.84</v>
      </c>
      <c r="EC2">
        <f t="shared" ref="EC2:GN2" si="2">MAX(EC8:EC108)</f>
        <v>43.26</v>
      </c>
      <c r="ED2">
        <f t="shared" si="2"/>
        <v>36.17</v>
      </c>
      <c r="EE2">
        <f t="shared" si="2"/>
        <v>38.75</v>
      </c>
      <c r="EF2">
        <f t="shared" si="2"/>
        <v>88.78</v>
      </c>
      <c r="EG2">
        <f t="shared" si="2"/>
        <v>89.07</v>
      </c>
      <c r="EH2">
        <f t="shared" si="2"/>
        <v>95.3</v>
      </c>
      <c r="EI2">
        <f t="shared" si="2"/>
        <v>89.79</v>
      </c>
      <c r="EJ2">
        <f t="shared" si="2"/>
        <v>7.4349999999999996</v>
      </c>
      <c r="EK2">
        <f t="shared" si="2"/>
        <v>62.969000000000001</v>
      </c>
      <c r="EL2">
        <f t="shared" si="2"/>
        <v>2.7</v>
      </c>
      <c r="EM2">
        <f t="shared" si="2"/>
        <v>2.2000000000000002</v>
      </c>
      <c r="EN2">
        <f t="shared" si="2"/>
        <v>1.65</v>
      </c>
      <c r="EO2">
        <f t="shared" si="2"/>
        <v>1.64</v>
      </c>
      <c r="EP2">
        <f t="shared" si="2"/>
        <v>-0.81</v>
      </c>
      <c r="EQ2">
        <f t="shared" si="2"/>
        <v>-6.8000000000000005E-2</v>
      </c>
      <c r="ER2">
        <f t="shared" si="2"/>
        <v>142.27000000000001</v>
      </c>
      <c r="ES2">
        <f t="shared" si="2"/>
        <v>1.605</v>
      </c>
      <c r="ET2">
        <f t="shared" si="2"/>
        <v>1.6859999999999999</v>
      </c>
      <c r="EU2">
        <f t="shared" si="2"/>
        <v>1.573</v>
      </c>
      <c r="EV2">
        <f t="shared" si="2"/>
        <v>8.1470000000000002</v>
      </c>
      <c r="EW2">
        <f t="shared" si="2"/>
        <v>3.6539999999999999</v>
      </c>
      <c r="EX2">
        <f t="shared" si="2"/>
        <v>76.84</v>
      </c>
      <c r="EY2">
        <f t="shared" si="2"/>
        <v>9.8350000000000009</v>
      </c>
      <c r="EZ2">
        <f t="shared" si="2"/>
        <v>187.66499999999999</v>
      </c>
      <c r="FA2">
        <f t="shared" si="2"/>
        <v>0</v>
      </c>
      <c r="FB2">
        <f t="shared" si="2"/>
        <v>9.4550000000000001</v>
      </c>
      <c r="FC2">
        <f t="shared" si="2"/>
        <v>86.897000000000006</v>
      </c>
      <c r="FD2">
        <f t="shared" si="2"/>
        <v>86.981999999999999</v>
      </c>
      <c r="FE2">
        <f t="shared" si="2"/>
        <v>92.456999999999994</v>
      </c>
      <c r="FF2">
        <f t="shared" si="2"/>
        <v>89.846999999999994</v>
      </c>
      <c r="FG2">
        <f t="shared" si="2"/>
        <v>1.206</v>
      </c>
      <c r="FH2">
        <f t="shared" si="2"/>
        <v>1.24</v>
      </c>
      <c r="FI2">
        <f t="shared" si="2"/>
        <v>1.0129999999999999</v>
      </c>
      <c r="FJ2">
        <f t="shared" si="2"/>
        <v>1.0149999999999999</v>
      </c>
      <c r="FK2">
        <f t="shared" si="2"/>
        <v>0.40300000000000002</v>
      </c>
      <c r="FL2">
        <f t="shared" si="2"/>
        <v>87</v>
      </c>
      <c r="FM2">
        <f t="shared" si="2"/>
        <v>3.99</v>
      </c>
      <c r="FN2">
        <f t="shared" si="2"/>
        <v>2.58</v>
      </c>
      <c r="FO2">
        <f t="shared" si="2"/>
        <v>6.14</v>
      </c>
      <c r="FP2">
        <f t="shared" si="2"/>
        <v>5.3</v>
      </c>
      <c r="FQ2">
        <f t="shared" si="2"/>
        <v>4.95</v>
      </c>
      <c r="FR2">
        <f t="shared" si="2"/>
        <v>5.6</v>
      </c>
      <c r="FS2">
        <f t="shared" si="2"/>
        <v>6.9039999999999999</v>
      </c>
      <c r="FT2">
        <f t="shared" si="2"/>
        <v>1086.8</v>
      </c>
      <c r="FU2">
        <f t="shared" si="2"/>
        <v>8.49</v>
      </c>
      <c r="FV2">
        <f t="shared" si="2"/>
        <v>47.88</v>
      </c>
      <c r="FW2">
        <f t="shared" si="2"/>
        <v>16383.5</v>
      </c>
      <c r="FX2">
        <f t="shared" si="2"/>
        <v>174700</v>
      </c>
      <c r="FY2">
        <f t="shared" si="2"/>
        <v>177600</v>
      </c>
      <c r="FZ2">
        <f t="shared" si="2"/>
        <v>54.341000000000001</v>
      </c>
      <c r="GA2">
        <f t="shared" si="2"/>
        <v>53.667999999999999</v>
      </c>
      <c r="GB2">
        <f t="shared" si="2"/>
        <v>2473.8000000000002</v>
      </c>
      <c r="GC2">
        <f t="shared" si="2"/>
        <v>2386</v>
      </c>
      <c r="GD2">
        <f t="shared" si="2"/>
        <v>2549.6999999999998</v>
      </c>
      <c r="GE2">
        <f t="shared" si="2"/>
        <v>2563.9</v>
      </c>
      <c r="GF2">
        <f t="shared" si="2"/>
        <v>1731.5625</v>
      </c>
      <c r="GG2">
        <f t="shared" si="2"/>
        <v>40</v>
      </c>
      <c r="GH2">
        <f t="shared" si="2"/>
        <v>40.299999999999997</v>
      </c>
      <c r="GI2">
        <f t="shared" si="2"/>
        <v>82.2</v>
      </c>
      <c r="GJ2">
        <f t="shared" si="2"/>
        <v>83.6</v>
      </c>
      <c r="GK2">
        <f t="shared" si="2"/>
        <v>99.5</v>
      </c>
      <c r="GL2">
        <f t="shared" si="2"/>
        <v>114.4</v>
      </c>
      <c r="GM2">
        <f t="shared" si="2"/>
        <v>0</v>
      </c>
      <c r="GN2">
        <f t="shared" si="2"/>
        <v>29.527999999999999</v>
      </c>
      <c r="GO2">
        <f t="shared" ref="GO2:IA2" si="3">MAX(GO8:GO108)</f>
        <v>142.27000000000001</v>
      </c>
      <c r="GP2">
        <f t="shared" si="3"/>
        <v>1.121</v>
      </c>
      <c r="GQ2">
        <f t="shared" si="3"/>
        <v>5.9</v>
      </c>
      <c r="GR2">
        <f t="shared" si="3"/>
        <v>1.357</v>
      </c>
      <c r="GS2">
        <f t="shared" si="3"/>
        <v>5.782</v>
      </c>
      <c r="GT2">
        <f t="shared" si="3"/>
        <v>1.0620000000000001</v>
      </c>
      <c r="GU2">
        <f t="shared" si="3"/>
        <v>6.1360000000000001</v>
      </c>
      <c r="GV2">
        <f t="shared" si="3"/>
        <v>13.132</v>
      </c>
      <c r="GW2">
        <f t="shared" si="3"/>
        <v>14.199</v>
      </c>
      <c r="GX2">
        <f t="shared" si="3"/>
        <v>24.99</v>
      </c>
      <c r="GY2">
        <f t="shared" si="3"/>
        <v>12.544</v>
      </c>
      <c r="GZ2">
        <f t="shared" si="3"/>
        <v>13.901999999999999</v>
      </c>
      <c r="HA2">
        <f t="shared" si="3"/>
        <v>24.99</v>
      </c>
      <c r="HB2">
        <f t="shared" si="3"/>
        <v>1</v>
      </c>
      <c r="HC2">
        <f t="shared" si="3"/>
        <v>38.941000000000003</v>
      </c>
      <c r="HD2">
        <f t="shared" si="3"/>
        <v>90</v>
      </c>
      <c r="HE2">
        <f t="shared" si="3"/>
        <v>0</v>
      </c>
      <c r="HF2">
        <f t="shared" si="3"/>
        <v>0</v>
      </c>
      <c r="HG2">
        <f t="shared" si="3"/>
        <v>91.48</v>
      </c>
      <c r="HH2">
        <f t="shared" si="3"/>
        <v>100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73</v>
      </c>
      <c r="HM2">
        <f t="shared" si="3"/>
        <v>56</v>
      </c>
      <c r="HN2">
        <f t="shared" si="3"/>
        <v>70</v>
      </c>
      <c r="HO2">
        <f t="shared" si="3"/>
        <v>64</v>
      </c>
      <c r="HP2">
        <f t="shared" si="3"/>
        <v>67</v>
      </c>
      <c r="HQ2">
        <f t="shared" si="3"/>
        <v>64</v>
      </c>
      <c r="HR2">
        <f t="shared" si="3"/>
        <v>56</v>
      </c>
      <c r="HS2">
        <f t="shared" si="3"/>
        <v>82</v>
      </c>
      <c r="HT2">
        <f t="shared" si="3"/>
        <v>-0.995</v>
      </c>
      <c r="HU2">
        <f t="shared" si="3"/>
        <v>0</v>
      </c>
      <c r="HV2">
        <f t="shared" si="3"/>
        <v>1.3540000000000001</v>
      </c>
      <c r="HW2">
        <f t="shared" si="3"/>
        <v>53.99</v>
      </c>
      <c r="HX2">
        <f t="shared" si="3"/>
        <v>74.959999999999994</v>
      </c>
      <c r="HY2">
        <f t="shared" si="3"/>
        <v>56.22</v>
      </c>
      <c r="HZ2">
        <f t="shared" si="3"/>
        <v>65.47</v>
      </c>
      <c r="IA2">
        <f t="shared" si="3"/>
        <v>3.1110000000000002</v>
      </c>
    </row>
    <row r="3" spans="1:254" x14ac:dyDescent="0.25">
      <c r="B3" s="4" t="s">
        <v>48</v>
      </c>
      <c r="C3">
        <f>MIN(C8:C108)</f>
        <v>0</v>
      </c>
      <c r="D3" s="5">
        <f>MIN(D8:D108)*3600*24</f>
        <v>29.059999999999995</v>
      </c>
      <c r="E3">
        <f t="shared" ref="E3:BP3" si="4">MIN(E8:E108)</f>
        <v>29.062000000000001</v>
      </c>
      <c r="F3">
        <f t="shared" si="4"/>
        <v>0.01</v>
      </c>
      <c r="G3">
        <f t="shared" si="4"/>
        <v>-28.27</v>
      </c>
      <c r="H3">
        <f t="shared" si="4"/>
        <v>23.6</v>
      </c>
      <c r="I3">
        <f t="shared" si="4"/>
        <v>0</v>
      </c>
      <c r="J3">
        <f t="shared" si="4"/>
        <v>8.3000000000000007</v>
      </c>
      <c r="K3">
        <f t="shared" si="4"/>
        <v>6</v>
      </c>
      <c r="L3">
        <f t="shared" si="4"/>
        <v>2</v>
      </c>
      <c r="M3">
        <f t="shared" si="4"/>
        <v>5</v>
      </c>
      <c r="N3">
        <f t="shared" si="4"/>
        <v>2</v>
      </c>
      <c r="O3">
        <f t="shared" si="4"/>
        <v>3</v>
      </c>
      <c r="P3">
        <f t="shared" si="4"/>
        <v>0.23599999999999999</v>
      </c>
      <c r="Q3">
        <f t="shared" si="4"/>
        <v>0.72299999999999998</v>
      </c>
      <c r="R3">
        <f t="shared" si="4"/>
        <v>9.6000000000000002E-2</v>
      </c>
      <c r="S3">
        <f t="shared" si="4"/>
        <v>2.3E-2</v>
      </c>
      <c r="T3">
        <f t="shared" si="4"/>
        <v>20.65</v>
      </c>
      <c r="U3">
        <f t="shared" si="4"/>
        <v>60.009</v>
      </c>
      <c r="V3">
        <f t="shared" si="4"/>
        <v>50</v>
      </c>
      <c r="W3">
        <f t="shared" si="4"/>
        <v>40</v>
      </c>
      <c r="X3">
        <f t="shared" si="4"/>
        <v>80</v>
      </c>
      <c r="Y3">
        <f t="shared" si="4"/>
        <v>70</v>
      </c>
      <c r="Z3">
        <f t="shared" si="4"/>
        <v>124.77</v>
      </c>
      <c r="AA3">
        <f t="shared" si="4"/>
        <v>108.21</v>
      </c>
      <c r="AB3">
        <f t="shared" si="4"/>
        <v>105.39</v>
      </c>
      <c r="AC3">
        <f t="shared" si="4"/>
        <v>111.77</v>
      </c>
      <c r="AD3">
        <f t="shared" si="4"/>
        <v>0.496</v>
      </c>
      <c r="AE3">
        <f t="shared" si="4"/>
        <v>0.51</v>
      </c>
      <c r="AF3">
        <f t="shared" si="4"/>
        <v>0.45500000000000002</v>
      </c>
      <c r="AG3">
        <f t="shared" si="4"/>
        <v>0.504</v>
      </c>
      <c r="AH3">
        <f t="shared" si="4"/>
        <v>-15.46</v>
      </c>
      <c r="AI3">
        <f t="shared" si="4"/>
        <v>-11.92</v>
      </c>
      <c r="AJ3">
        <f t="shared" si="4"/>
        <v>-17.03</v>
      </c>
      <c r="AK3">
        <f t="shared" si="4"/>
        <v>-19.12</v>
      </c>
      <c r="AL3">
        <f t="shared" si="4"/>
        <v>504.18099999999998</v>
      </c>
      <c r="AM3">
        <f t="shared" si="4"/>
        <v>556.66800000000001</v>
      </c>
      <c r="AN3">
        <f t="shared" si="4"/>
        <v>614.90499999999997</v>
      </c>
      <c r="AO3">
        <f t="shared" si="4"/>
        <v>591.52499999999998</v>
      </c>
      <c r="AP3">
        <f t="shared" si="4"/>
        <v>1.2310000000000001</v>
      </c>
      <c r="AQ3">
        <f t="shared" si="4"/>
        <v>1.7430000000000001</v>
      </c>
      <c r="AR3">
        <f t="shared" si="4"/>
        <v>36.267000000000003</v>
      </c>
      <c r="AS3">
        <f t="shared" si="4"/>
        <v>31.879000000000001</v>
      </c>
      <c r="AT3">
        <f t="shared" si="4"/>
        <v>82</v>
      </c>
      <c r="AU3">
        <f t="shared" si="4"/>
        <v>88</v>
      </c>
      <c r="AV3">
        <f t="shared" si="4"/>
        <v>1.331</v>
      </c>
      <c r="AW3">
        <f t="shared" si="4"/>
        <v>3.9009999999999998</v>
      </c>
      <c r="AX3">
        <f t="shared" si="4"/>
        <v>1006</v>
      </c>
      <c r="AY3">
        <f t="shared" si="4"/>
        <v>1.85</v>
      </c>
      <c r="AZ3">
        <f t="shared" si="4"/>
        <v>0.23</v>
      </c>
      <c r="BA3">
        <f t="shared" si="4"/>
        <v>64.099999999999994</v>
      </c>
      <c r="BB3">
        <f t="shared" si="4"/>
        <v>65.709000000000003</v>
      </c>
      <c r="BC3">
        <f t="shared" si="4"/>
        <v>0</v>
      </c>
      <c r="BD3">
        <f t="shared" si="4"/>
        <v>0</v>
      </c>
      <c r="BE3">
        <f t="shared" si="4"/>
        <v>3.98</v>
      </c>
      <c r="BF3">
        <f t="shared" si="4"/>
        <v>3.06</v>
      </c>
      <c r="BG3">
        <f t="shared" si="4"/>
        <v>6.2</v>
      </c>
      <c r="BH3">
        <f t="shared" si="4"/>
        <v>6.5</v>
      </c>
      <c r="BI3">
        <f t="shared" si="4"/>
        <v>63.195</v>
      </c>
      <c r="BJ3">
        <f t="shared" si="4"/>
        <v>70.73</v>
      </c>
      <c r="BK3">
        <f t="shared" si="4"/>
        <v>61.938000000000002</v>
      </c>
      <c r="BL3">
        <f t="shared" si="4"/>
        <v>59.728000000000002</v>
      </c>
      <c r="BM3">
        <f t="shared" si="4"/>
        <v>77.313999999999993</v>
      </c>
      <c r="BN3">
        <f t="shared" si="4"/>
        <v>77.944000000000003</v>
      </c>
      <c r="BO3">
        <f t="shared" si="4"/>
        <v>75.784000000000006</v>
      </c>
      <c r="BP3">
        <f t="shared" si="4"/>
        <v>88.135999999999996</v>
      </c>
      <c r="BQ3">
        <f t="shared" ref="BQ3:EB3" si="5">MIN(BQ8:BQ108)</f>
        <v>90.584000000000003</v>
      </c>
      <c r="BR3">
        <f t="shared" si="5"/>
        <v>57.31</v>
      </c>
      <c r="BS3">
        <f t="shared" si="5"/>
        <v>22.8</v>
      </c>
      <c r="BT3">
        <f t="shared" si="5"/>
        <v>6255.1989999999996</v>
      </c>
      <c r="BU3">
        <f t="shared" si="5"/>
        <v>26.334</v>
      </c>
      <c r="BV3">
        <f t="shared" si="5"/>
        <v>50.57</v>
      </c>
      <c r="BW3">
        <f t="shared" si="5"/>
        <v>51.101999999999997</v>
      </c>
      <c r="BX3">
        <f t="shared" si="5"/>
        <v>52.25</v>
      </c>
      <c r="BY3">
        <f t="shared" si="5"/>
        <v>2.1999999999999999E-2</v>
      </c>
      <c r="BZ3">
        <f t="shared" si="5"/>
        <v>5.0000000000000001E-3</v>
      </c>
      <c r="CA3">
        <f t="shared" si="5"/>
        <v>2.4E-2</v>
      </c>
      <c r="CB3">
        <f t="shared" si="5"/>
        <v>2.1000000000000001E-2</v>
      </c>
      <c r="CC3">
        <f t="shared" si="5"/>
        <v>0.80100000000000005</v>
      </c>
      <c r="CD3">
        <f t="shared" si="5"/>
        <v>1.9790000000000001</v>
      </c>
      <c r="CE3">
        <f t="shared" si="5"/>
        <v>1.125</v>
      </c>
      <c r="CF3">
        <f t="shared" si="5"/>
        <v>1.925</v>
      </c>
      <c r="CG3">
        <f t="shared" si="5"/>
        <v>13.036</v>
      </c>
      <c r="CH3">
        <f t="shared" si="5"/>
        <v>9.7460000000000004</v>
      </c>
      <c r="CI3">
        <f t="shared" si="5"/>
        <v>2.3690000000000002</v>
      </c>
      <c r="CJ3">
        <f t="shared" si="5"/>
        <v>-930411.30900000001</v>
      </c>
      <c r="CK3">
        <f t="shared" si="5"/>
        <v>0.89200000000000002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35.908000000000001</v>
      </c>
      <c r="CQ3">
        <f t="shared" si="5"/>
        <v>34.481000000000002</v>
      </c>
      <c r="CR3">
        <f t="shared" si="5"/>
        <v>37.722999999999999</v>
      </c>
      <c r="CS3">
        <f t="shared" si="5"/>
        <v>35.43</v>
      </c>
      <c r="CT3">
        <f t="shared" si="5"/>
        <v>0</v>
      </c>
      <c r="CU3">
        <f t="shared" si="5"/>
        <v>0</v>
      </c>
      <c r="CV3">
        <f t="shared" si="5"/>
        <v>0</v>
      </c>
      <c r="CW3">
        <f t="shared" si="5"/>
        <v>0</v>
      </c>
      <c r="CX3">
        <f t="shared" si="5"/>
        <v>0</v>
      </c>
      <c r="CY3">
        <f t="shared" si="5"/>
        <v>0</v>
      </c>
      <c r="CZ3">
        <f t="shared" si="5"/>
        <v>0</v>
      </c>
      <c r="DA3">
        <f t="shared" si="5"/>
        <v>0</v>
      </c>
      <c r="DB3">
        <f t="shared" si="5"/>
        <v>0</v>
      </c>
      <c r="DC3">
        <f t="shared" si="5"/>
        <v>0</v>
      </c>
      <c r="DD3">
        <f t="shared" si="5"/>
        <v>0</v>
      </c>
      <c r="DE3">
        <f t="shared" si="5"/>
        <v>0</v>
      </c>
      <c r="DF3">
        <f t="shared" si="5"/>
        <v>-6.0000000000000001E-3</v>
      </c>
      <c r="DG3">
        <f t="shared" si="5"/>
        <v>0</v>
      </c>
      <c r="DH3">
        <f t="shared" si="5"/>
        <v>0.71799999999999997</v>
      </c>
      <c r="DI3">
        <f t="shared" si="5"/>
        <v>0.61899999999999999</v>
      </c>
      <c r="DJ3">
        <f t="shared" si="5"/>
        <v>-6.6000000000000003E-2</v>
      </c>
      <c r="DK3">
        <f t="shared" si="5"/>
        <v>0.45800000000000002</v>
      </c>
      <c r="DL3">
        <f t="shared" si="5"/>
        <v>0.34899999999999998</v>
      </c>
      <c r="DM3">
        <f t="shared" si="5"/>
        <v>-3.8029999999999999</v>
      </c>
      <c r="DN3">
        <f t="shared" si="5"/>
        <v>-11.182</v>
      </c>
      <c r="DO3">
        <f t="shared" si="5"/>
        <v>-0.30599999999999999</v>
      </c>
      <c r="DP3">
        <f t="shared" si="5"/>
        <v>59.966000000000001</v>
      </c>
      <c r="DQ3">
        <f t="shared" si="5"/>
        <v>56.326999999999998</v>
      </c>
      <c r="DR3">
        <f t="shared" si="5"/>
        <v>49.289000000000001</v>
      </c>
      <c r="DS3">
        <f t="shared" si="5"/>
        <v>48.881</v>
      </c>
      <c r="DT3">
        <f t="shared" si="5"/>
        <v>0</v>
      </c>
      <c r="DU3">
        <f t="shared" si="5"/>
        <v>0</v>
      </c>
      <c r="DV3">
        <f t="shared" si="5"/>
        <v>0</v>
      </c>
      <c r="DW3">
        <f t="shared" si="5"/>
        <v>0</v>
      </c>
      <c r="DX3">
        <f t="shared" si="5"/>
        <v>0</v>
      </c>
      <c r="DY3">
        <f t="shared" si="5"/>
        <v>0</v>
      </c>
      <c r="DZ3">
        <f t="shared" si="5"/>
        <v>0</v>
      </c>
      <c r="EA3">
        <f t="shared" si="5"/>
        <v>0</v>
      </c>
      <c r="EB3">
        <f t="shared" si="5"/>
        <v>9.67</v>
      </c>
      <c r="EC3">
        <f t="shared" ref="EC3:GN3" si="6">MIN(EC8:EC108)</f>
        <v>9.41</v>
      </c>
      <c r="ED3">
        <f t="shared" si="6"/>
        <v>4.7</v>
      </c>
      <c r="EE3">
        <f t="shared" si="6"/>
        <v>7.65</v>
      </c>
      <c r="EF3">
        <f t="shared" si="6"/>
        <v>41.32</v>
      </c>
      <c r="EG3">
        <f t="shared" si="6"/>
        <v>31.63</v>
      </c>
      <c r="EH3">
        <f t="shared" si="6"/>
        <v>37.56</v>
      </c>
      <c r="EI3">
        <f t="shared" si="6"/>
        <v>40.619999999999997</v>
      </c>
      <c r="EJ3">
        <f t="shared" si="6"/>
        <v>4.633</v>
      </c>
      <c r="EK3">
        <f t="shared" si="6"/>
        <v>49.033999999999999</v>
      </c>
      <c r="EL3">
        <f t="shared" si="6"/>
        <v>1.55</v>
      </c>
      <c r="EM3">
        <f t="shared" si="6"/>
        <v>1.2</v>
      </c>
      <c r="EN3">
        <f t="shared" si="6"/>
        <v>1.06</v>
      </c>
      <c r="EO3">
        <f t="shared" si="6"/>
        <v>1.06</v>
      </c>
      <c r="EP3">
        <f t="shared" si="6"/>
        <v>-133.96199999999999</v>
      </c>
      <c r="EQ3">
        <f t="shared" si="6"/>
        <v>-3.3410000000000002</v>
      </c>
      <c r="ER3">
        <f t="shared" si="6"/>
        <v>0.65</v>
      </c>
      <c r="ES3">
        <f t="shared" si="6"/>
        <v>0.23400000000000001</v>
      </c>
      <c r="ET3">
        <f t="shared" si="6"/>
        <v>0.253</v>
      </c>
      <c r="EU3">
        <f t="shared" si="6"/>
        <v>0.22600000000000001</v>
      </c>
      <c r="EV3">
        <f t="shared" si="6"/>
        <v>6.6539999999999999</v>
      </c>
      <c r="EW3">
        <f t="shared" si="6"/>
        <v>1.0999999999999999E-2</v>
      </c>
      <c r="EX3">
        <f t="shared" si="6"/>
        <v>-517.5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1.3740000000000001</v>
      </c>
      <c r="FC3">
        <f t="shared" si="6"/>
        <v>15.601000000000001</v>
      </c>
      <c r="FD3">
        <f t="shared" si="6"/>
        <v>17.725000000000001</v>
      </c>
      <c r="FE3">
        <f t="shared" si="6"/>
        <v>12.644</v>
      </c>
      <c r="FF3">
        <f t="shared" si="6"/>
        <v>11.505000000000001</v>
      </c>
      <c r="FG3">
        <f t="shared" si="6"/>
        <v>0.91200000000000003</v>
      </c>
      <c r="FH3">
        <f t="shared" si="6"/>
        <v>0.91300000000000003</v>
      </c>
      <c r="FI3">
        <f t="shared" si="6"/>
        <v>0.98299999999999998</v>
      </c>
      <c r="FJ3">
        <f t="shared" si="6"/>
        <v>0.98699999999999999</v>
      </c>
      <c r="FK3">
        <f t="shared" si="6"/>
        <v>0</v>
      </c>
      <c r="FL3">
        <f t="shared" si="6"/>
        <v>81</v>
      </c>
      <c r="FM3">
        <f t="shared" si="6"/>
        <v>2.1800000000000002</v>
      </c>
      <c r="FN3">
        <f t="shared" si="6"/>
        <v>-0.93</v>
      </c>
      <c r="FO3">
        <f t="shared" si="6"/>
        <v>0.23</v>
      </c>
      <c r="FP3">
        <f t="shared" si="6"/>
        <v>0.15</v>
      </c>
      <c r="FQ3">
        <f t="shared" si="6"/>
        <v>0.3</v>
      </c>
      <c r="FR3">
        <f t="shared" si="6"/>
        <v>4.75</v>
      </c>
      <c r="FS3">
        <f t="shared" si="6"/>
        <v>3.9180000000000001</v>
      </c>
      <c r="FT3">
        <f t="shared" si="6"/>
        <v>1030.2</v>
      </c>
      <c r="FU3">
        <f t="shared" si="6"/>
        <v>0</v>
      </c>
      <c r="FV3">
        <f t="shared" si="6"/>
        <v>0</v>
      </c>
      <c r="FW3">
        <f t="shared" si="6"/>
        <v>3.5</v>
      </c>
      <c r="FX3">
        <f t="shared" si="6"/>
        <v>0</v>
      </c>
      <c r="FY3">
        <f t="shared" si="6"/>
        <v>0</v>
      </c>
      <c r="FZ3">
        <f t="shared" si="6"/>
        <v>46.679000000000002</v>
      </c>
      <c r="GA3">
        <f t="shared" si="6"/>
        <v>46.601999999999997</v>
      </c>
      <c r="GB3">
        <f t="shared" si="6"/>
        <v>2116.1</v>
      </c>
      <c r="GC3">
        <f t="shared" si="6"/>
        <v>2116.6999999999998</v>
      </c>
      <c r="GD3">
        <f t="shared" si="6"/>
        <v>1014.3</v>
      </c>
      <c r="GE3">
        <f t="shared" si="6"/>
        <v>1014.8</v>
      </c>
      <c r="GF3">
        <f t="shared" si="6"/>
        <v>29.578099999999999</v>
      </c>
      <c r="GG3">
        <f t="shared" si="6"/>
        <v>24</v>
      </c>
      <c r="GH3">
        <f t="shared" si="6"/>
        <v>24.2</v>
      </c>
      <c r="GI3">
        <f t="shared" si="6"/>
        <v>44.8</v>
      </c>
      <c r="GJ3">
        <f t="shared" si="6"/>
        <v>49.9</v>
      </c>
      <c r="GK3">
        <f t="shared" si="6"/>
        <v>63</v>
      </c>
      <c r="GL3">
        <f t="shared" si="6"/>
        <v>24</v>
      </c>
      <c r="GM3">
        <f t="shared" si="6"/>
        <v>0</v>
      </c>
      <c r="GN3">
        <f t="shared" si="6"/>
        <v>22.712</v>
      </c>
      <c r="GO3">
        <f t="shared" ref="GO3:HM3" si="7">MIN(GO8:GO108)</f>
        <v>0.81</v>
      </c>
      <c r="GP3">
        <f t="shared" si="7"/>
        <v>0</v>
      </c>
      <c r="GQ3">
        <f t="shared" si="7"/>
        <v>1.77</v>
      </c>
      <c r="GR3">
        <f t="shared" si="7"/>
        <v>0</v>
      </c>
      <c r="GS3">
        <f t="shared" si="7"/>
        <v>1.77</v>
      </c>
      <c r="GT3">
        <f t="shared" si="7"/>
        <v>0</v>
      </c>
      <c r="GU3">
        <f t="shared" si="7"/>
        <v>1.7110000000000001</v>
      </c>
      <c r="GV3">
        <f t="shared" si="7"/>
        <v>0</v>
      </c>
      <c r="GW3">
        <f t="shared" si="7"/>
        <v>0</v>
      </c>
      <c r="GX3">
        <f t="shared" si="7"/>
        <v>0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14.71</v>
      </c>
      <c r="HD3">
        <f t="shared" si="7"/>
        <v>74</v>
      </c>
      <c r="HE3">
        <f t="shared" si="7"/>
        <v>0</v>
      </c>
      <c r="HF3">
        <f t="shared" si="7"/>
        <v>0</v>
      </c>
      <c r="HG3">
        <f t="shared" si="7"/>
        <v>66.900000000000006</v>
      </c>
      <c r="HH3">
        <f t="shared" si="7"/>
        <v>58.79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50</v>
      </c>
      <c r="HM3">
        <f t="shared" si="7"/>
        <v>48</v>
      </c>
      <c r="HN3">
        <f t="shared" ref="HN3:HZ3" si="8">MIN(HN8:HN108)</f>
        <v>54</v>
      </c>
      <c r="HO3">
        <f t="shared" si="8"/>
        <v>47</v>
      </c>
      <c r="HP3">
        <f t="shared" si="8"/>
        <v>50</v>
      </c>
      <c r="HQ3">
        <f t="shared" si="8"/>
        <v>48</v>
      </c>
      <c r="HR3">
        <f t="shared" si="8"/>
        <v>44</v>
      </c>
      <c r="HS3">
        <f t="shared" si="8"/>
        <v>54</v>
      </c>
      <c r="HT3">
        <f t="shared" si="8"/>
        <v>-1.476</v>
      </c>
      <c r="HU3">
        <f t="shared" si="8"/>
        <v>0</v>
      </c>
      <c r="HV3">
        <f t="shared" si="8"/>
        <v>-1.7410000000000001</v>
      </c>
      <c r="HW3">
        <f t="shared" si="8"/>
        <v>34.18</v>
      </c>
      <c r="HX3">
        <f t="shared" si="8"/>
        <v>37.36</v>
      </c>
      <c r="HY3">
        <f t="shared" si="8"/>
        <v>46.76</v>
      </c>
      <c r="HZ3">
        <f t="shared" si="8"/>
        <v>50.68</v>
      </c>
      <c r="IA3">
        <f>MIN(IA8:IA108)</f>
        <v>4.0000000000000001E-3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259</v>
      </c>
      <c r="AQ5" s="1" t="s">
        <v>260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249</v>
      </c>
      <c r="BW5" s="1" t="s">
        <v>250</v>
      </c>
      <c r="BX5" s="1" t="s">
        <v>251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252</v>
      </c>
      <c r="DF5" s="1" t="s">
        <v>253</v>
      </c>
      <c r="DG5" s="1" t="s">
        <v>254</v>
      </c>
      <c r="DH5" s="1" t="s">
        <v>255</v>
      </c>
      <c r="DI5" s="1" t="s">
        <v>256</v>
      </c>
      <c r="DJ5" s="1" t="s">
        <v>257</v>
      </c>
      <c r="DK5" s="1" t="s">
        <v>258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  <c r="IS5" s="60" t="s">
        <v>409</v>
      </c>
      <c r="IT5" s="60" t="s">
        <v>410</v>
      </c>
    </row>
    <row r="6" spans="1:254" x14ac:dyDescent="0.25">
      <c r="A6" s="6" t="s">
        <v>137</v>
      </c>
      <c r="B6" s="2" t="s">
        <v>412</v>
      </c>
      <c r="C6" s="2" t="s">
        <v>41</v>
      </c>
      <c r="D6" s="2" t="s">
        <v>413</v>
      </c>
      <c r="E6" s="50">
        <v>1472.097</v>
      </c>
      <c r="F6" s="49">
        <v>326.04000000000002</v>
      </c>
      <c r="G6" s="49">
        <v>4.92</v>
      </c>
      <c r="H6" s="49">
        <v>26</v>
      </c>
      <c r="I6" s="50">
        <v>0</v>
      </c>
      <c r="J6" s="50">
        <v>1216.7</v>
      </c>
      <c r="K6" s="50">
        <v>8</v>
      </c>
      <c r="L6" s="50">
        <v>5</v>
      </c>
      <c r="M6" s="49">
        <v>5</v>
      </c>
      <c r="N6" s="50">
        <v>3</v>
      </c>
      <c r="O6" s="50">
        <v>3</v>
      </c>
      <c r="P6" s="50">
        <v>0.73099999999999998</v>
      </c>
      <c r="Q6" s="49">
        <v>1.04</v>
      </c>
      <c r="R6" s="49">
        <v>0.65900000000000003</v>
      </c>
      <c r="S6" s="50">
        <v>0.47899999999999998</v>
      </c>
      <c r="T6" s="49">
        <v>60.11</v>
      </c>
      <c r="U6" s="50">
        <v>60.767000000000003</v>
      </c>
      <c r="V6" s="50">
        <v>50</v>
      </c>
      <c r="W6" s="50">
        <v>40</v>
      </c>
      <c r="X6" s="50">
        <v>80</v>
      </c>
      <c r="Y6" s="50">
        <v>80</v>
      </c>
      <c r="Z6" s="49">
        <v>108.87</v>
      </c>
      <c r="AA6" s="49">
        <v>107.16</v>
      </c>
      <c r="AB6" s="49">
        <v>99.85</v>
      </c>
      <c r="AC6" s="49">
        <v>101.82</v>
      </c>
      <c r="AD6" s="49">
        <v>0.35</v>
      </c>
      <c r="AE6" s="49">
        <v>0.36499999999999999</v>
      </c>
      <c r="AF6" s="49">
        <v>0.36</v>
      </c>
      <c r="AG6" s="49">
        <v>0.372</v>
      </c>
      <c r="AH6" s="49">
        <v>-17.22</v>
      </c>
      <c r="AI6" s="49">
        <v>-17.77</v>
      </c>
      <c r="AJ6" s="49">
        <v>-13.43</v>
      </c>
      <c r="AK6" s="49">
        <v>-14.09</v>
      </c>
      <c r="AL6" s="49">
        <v>601.20500000000004</v>
      </c>
      <c r="AM6" s="49">
        <v>608.875</v>
      </c>
      <c r="AN6" s="49">
        <v>741.46</v>
      </c>
      <c r="AO6" s="49">
        <v>749.947</v>
      </c>
      <c r="AP6" s="50">
        <v>1.44</v>
      </c>
      <c r="AQ6" s="50">
        <v>1.966</v>
      </c>
      <c r="AR6" s="49">
        <v>40.575000000000003</v>
      </c>
      <c r="AS6" s="49">
        <v>33.262</v>
      </c>
      <c r="AT6" s="49">
        <v>82</v>
      </c>
      <c r="AU6" s="49">
        <v>85</v>
      </c>
      <c r="AV6" s="49">
        <v>2.6145</v>
      </c>
      <c r="AW6" s="50">
        <v>6.0892999999999997</v>
      </c>
      <c r="AX6" s="50">
        <v>1026.2</v>
      </c>
      <c r="AY6" s="49">
        <v>1.77</v>
      </c>
      <c r="AZ6" s="50">
        <v>0.22</v>
      </c>
      <c r="BA6" s="49">
        <v>135.893</v>
      </c>
      <c r="BB6" s="49">
        <v>130.47499999999999</v>
      </c>
      <c r="BC6" s="49">
        <v>7620</v>
      </c>
      <c r="BD6" s="49">
        <v>88.25</v>
      </c>
      <c r="BE6" s="49">
        <v>15.31</v>
      </c>
      <c r="BF6" s="49">
        <v>12.705</v>
      </c>
      <c r="BG6" s="49">
        <v>26.68</v>
      </c>
      <c r="BH6" s="49">
        <v>26.42</v>
      </c>
      <c r="BI6" s="50">
        <v>64.873999999999995</v>
      </c>
      <c r="BJ6" s="50">
        <v>81.978999999999999</v>
      </c>
      <c r="BK6" s="50">
        <v>63.066000000000003</v>
      </c>
      <c r="BL6" s="50">
        <v>78.775999999999996</v>
      </c>
      <c r="BM6" s="50">
        <v>79.712000000000003</v>
      </c>
      <c r="BN6" s="49">
        <v>83.24</v>
      </c>
      <c r="BO6" s="49">
        <v>84.84</v>
      </c>
      <c r="BP6" s="49">
        <v>87.367999999999995</v>
      </c>
      <c r="BQ6" s="49">
        <v>84.536000000000001</v>
      </c>
      <c r="BR6" s="49">
        <v>58.305</v>
      </c>
      <c r="BS6" s="49">
        <v>23.8</v>
      </c>
      <c r="BT6" s="49">
        <v>6634.9539999999997</v>
      </c>
      <c r="BU6" s="50">
        <v>56.116999999999997</v>
      </c>
      <c r="BV6" s="50">
        <v>57.186999999999998</v>
      </c>
      <c r="BW6" s="50">
        <v>57.765000000000001</v>
      </c>
      <c r="BX6" s="49">
        <v>57.493000000000002</v>
      </c>
      <c r="BY6" s="49">
        <v>1.5469999999999999</v>
      </c>
      <c r="BZ6" s="49">
        <v>2.367</v>
      </c>
      <c r="CA6" s="49">
        <v>2.85</v>
      </c>
      <c r="CB6" s="49">
        <v>3.5710000000000002</v>
      </c>
      <c r="CC6" s="49">
        <v>1.2110000000000001</v>
      </c>
      <c r="CD6" s="49">
        <v>2.6070000000000002</v>
      </c>
      <c r="CE6" s="50">
        <v>1.498</v>
      </c>
      <c r="CF6" s="50">
        <v>2.3279999999999998</v>
      </c>
      <c r="CG6" s="49">
        <v>13.023</v>
      </c>
      <c r="CH6" s="50">
        <v>9.9649999999999999</v>
      </c>
      <c r="CI6" s="50">
        <v>14.084</v>
      </c>
      <c r="CJ6" s="50">
        <v>15.163</v>
      </c>
      <c r="CK6" s="49">
        <v>1.0369999999999999</v>
      </c>
      <c r="CL6" s="49">
        <v>0</v>
      </c>
      <c r="CM6" s="49">
        <v>0</v>
      </c>
      <c r="CN6" s="49">
        <v>0</v>
      </c>
      <c r="CO6" s="49">
        <v>0</v>
      </c>
      <c r="CP6" s="49">
        <v>30.044</v>
      </c>
      <c r="CQ6" s="49">
        <v>30.678999999999998</v>
      </c>
      <c r="CR6" s="49">
        <v>31.998000000000001</v>
      </c>
      <c r="CS6" s="49">
        <v>30.033999999999999</v>
      </c>
      <c r="CT6" s="49">
        <v>0.379</v>
      </c>
      <c r="CU6" s="49">
        <v>0.999</v>
      </c>
      <c r="CV6" s="49">
        <v>1.595</v>
      </c>
      <c r="CW6" s="49">
        <v>0.89800000000000002</v>
      </c>
      <c r="CX6" s="49">
        <v>0.79900000000000004</v>
      </c>
      <c r="CY6" s="50">
        <v>0.79600000000000004</v>
      </c>
      <c r="CZ6" s="49">
        <v>1.101</v>
      </c>
      <c r="DA6" s="49">
        <v>0.9</v>
      </c>
      <c r="DB6" s="49">
        <v>0.998</v>
      </c>
      <c r="DC6" s="50">
        <v>0</v>
      </c>
      <c r="DD6" s="50">
        <v>0</v>
      </c>
      <c r="DE6" s="49">
        <v>0.05</v>
      </c>
      <c r="DF6" s="50">
        <v>0.106</v>
      </c>
      <c r="DG6" s="49">
        <v>0.193</v>
      </c>
      <c r="DH6" s="49">
        <v>0.90300000000000002</v>
      </c>
      <c r="DI6" s="49">
        <v>0.97299999999999998</v>
      </c>
      <c r="DJ6" s="50">
        <v>0.129</v>
      </c>
      <c r="DK6" s="50">
        <v>0.93700000000000006</v>
      </c>
      <c r="DL6" s="50">
        <v>0.41399999999999998</v>
      </c>
      <c r="DM6" s="50">
        <v>0.54600000000000004</v>
      </c>
      <c r="DN6" s="49">
        <v>0.156</v>
      </c>
      <c r="DO6" s="50">
        <v>0.372</v>
      </c>
      <c r="DP6" s="49">
        <v>62.255000000000003</v>
      </c>
      <c r="DQ6" s="49">
        <v>60.051000000000002</v>
      </c>
      <c r="DR6" s="49">
        <v>50.404000000000003</v>
      </c>
      <c r="DS6" s="49">
        <v>50.787999999999997</v>
      </c>
      <c r="DT6" s="49">
        <v>0.62</v>
      </c>
      <c r="DU6" s="49">
        <v>0.63</v>
      </c>
      <c r="DV6" s="49">
        <v>1.34</v>
      </c>
      <c r="DW6" s="49">
        <v>1.32</v>
      </c>
      <c r="DX6" s="49">
        <v>0.66</v>
      </c>
      <c r="DY6" s="49">
        <v>0.65</v>
      </c>
      <c r="DZ6" s="49">
        <v>1.22</v>
      </c>
      <c r="EA6" s="49">
        <v>1.22</v>
      </c>
      <c r="EB6" s="49">
        <v>8.9600000000000009</v>
      </c>
      <c r="EC6" s="50">
        <v>74.16</v>
      </c>
      <c r="ED6" s="50">
        <v>72.349999999999994</v>
      </c>
      <c r="EE6" s="50">
        <v>72.62</v>
      </c>
      <c r="EF6" s="50">
        <v>89.75</v>
      </c>
      <c r="EG6" s="49">
        <v>24.56</v>
      </c>
      <c r="EH6" s="49">
        <v>25.08</v>
      </c>
      <c r="EI6" s="49">
        <v>24.84</v>
      </c>
      <c r="EJ6" s="49">
        <v>2.2799999999999998</v>
      </c>
      <c r="EK6" s="49">
        <v>51.935000000000002</v>
      </c>
      <c r="EL6" s="49">
        <v>1.7</v>
      </c>
      <c r="EM6" s="50">
        <v>1.1000000000000001</v>
      </c>
      <c r="EN6" s="49">
        <v>1.06</v>
      </c>
      <c r="EO6" s="49">
        <v>1.07</v>
      </c>
      <c r="EP6" s="49">
        <v>-97.608000000000004</v>
      </c>
      <c r="EQ6" s="50">
        <v>-0.21099999999999999</v>
      </c>
      <c r="ER6" s="49">
        <v>91.608000000000004</v>
      </c>
      <c r="ES6" s="49">
        <v>0.36399999999999999</v>
      </c>
      <c r="ET6" s="49">
        <v>0.38100000000000001</v>
      </c>
      <c r="EU6" s="49">
        <v>0.35599999999999998</v>
      </c>
      <c r="EV6" s="49">
        <v>7.5869999999999997</v>
      </c>
      <c r="EW6" s="49">
        <v>0.63100000000000001</v>
      </c>
      <c r="EX6" s="49">
        <v>64.44</v>
      </c>
      <c r="EY6" s="49">
        <v>0.06</v>
      </c>
      <c r="EZ6" s="49">
        <v>0</v>
      </c>
      <c r="FA6" s="50">
        <v>0</v>
      </c>
      <c r="FB6" s="49">
        <v>1.718</v>
      </c>
      <c r="FC6" s="49">
        <v>16.218</v>
      </c>
      <c r="FD6" s="49">
        <v>16.056999999999999</v>
      </c>
      <c r="FE6" s="49">
        <v>18.628</v>
      </c>
      <c r="FF6" s="49">
        <v>17.942</v>
      </c>
      <c r="FG6" s="50">
        <v>1.0129999999999999</v>
      </c>
      <c r="FH6" s="50">
        <v>1.0169999999999999</v>
      </c>
      <c r="FI6" s="50">
        <v>1.0009999999999999</v>
      </c>
      <c r="FJ6" s="50">
        <v>1.0009999999999999</v>
      </c>
      <c r="FK6" s="50">
        <v>0.30199999999999999</v>
      </c>
      <c r="FL6" s="49">
        <v>82</v>
      </c>
      <c r="FM6" s="49">
        <v>2.7</v>
      </c>
      <c r="FN6" s="50">
        <v>-0.88</v>
      </c>
      <c r="FO6" s="50">
        <v>0.22</v>
      </c>
      <c r="FP6" s="50">
        <v>0.15</v>
      </c>
      <c r="FQ6" s="50">
        <v>0.55000000000000004</v>
      </c>
      <c r="FR6" s="49">
        <v>5.35</v>
      </c>
      <c r="FS6" s="50">
        <v>7.1734999999999998</v>
      </c>
      <c r="FT6" s="50">
        <v>1074.2</v>
      </c>
      <c r="FU6" s="49">
        <v>7.38</v>
      </c>
      <c r="FV6" s="49">
        <v>5.3</v>
      </c>
      <c r="FW6" s="50">
        <v>16383.5</v>
      </c>
      <c r="FX6" s="49">
        <v>164900</v>
      </c>
      <c r="FY6" s="49">
        <v>165700</v>
      </c>
      <c r="FZ6" s="50">
        <v>49.674999999999997</v>
      </c>
      <c r="GA6" s="50">
        <v>48.9</v>
      </c>
      <c r="GB6" s="49">
        <v>2241</v>
      </c>
      <c r="GC6" s="49">
        <v>2198.5</v>
      </c>
      <c r="GD6" s="49">
        <v>2247.5</v>
      </c>
      <c r="GE6" s="50">
        <v>2898.3</v>
      </c>
      <c r="GF6" s="49">
        <v>1423.4219000000001</v>
      </c>
      <c r="GG6" s="50">
        <v>32</v>
      </c>
      <c r="GH6" s="50">
        <v>32.1</v>
      </c>
      <c r="GI6" s="50">
        <v>71.400000000000006</v>
      </c>
      <c r="GJ6" s="50">
        <v>71.599999999999994</v>
      </c>
      <c r="GK6" s="50">
        <v>77</v>
      </c>
      <c r="GL6" s="49">
        <v>77.5</v>
      </c>
      <c r="GM6" s="50">
        <v>0</v>
      </c>
      <c r="GN6" s="49">
        <v>26.398</v>
      </c>
      <c r="GO6" s="49">
        <v>97.608000000000004</v>
      </c>
      <c r="GP6" s="50">
        <v>0</v>
      </c>
      <c r="GQ6" s="50">
        <v>5.782</v>
      </c>
      <c r="GR6" s="50">
        <v>0</v>
      </c>
      <c r="GS6" s="50">
        <v>6.0179999999999998</v>
      </c>
      <c r="GT6" s="50">
        <v>0</v>
      </c>
      <c r="GU6" s="50">
        <v>5.6050000000000004</v>
      </c>
      <c r="GV6" s="50">
        <v>0</v>
      </c>
      <c r="GW6" s="49">
        <v>3.0880000000000001</v>
      </c>
      <c r="GX6" s="50">
        <v>24.99</v>
      </c>
      <c r="GY6" s="50">
        <v>0</v>
      </c>
      <c r="GZ6" s="50">
        <v>0</v>
      </c>
      <c r="HA6" s="50">
        <v>0</v>
      </c>
      <c r="HB6" s="50">
        <v>1</v>
      </c>
      <c r="HC6" s="49">
        <v>19.847000000000001</v>
      </c>
      <c r="HD6" s="49">
        <v>78</v>
      </c>
      <c r="HE6" s="7">
        <v>0</v>
      </c>
      <c r="HF6" s="7">
        <v>0</v>
      </c>
      <c r="HG6" s="7">
        <v>85.44</v>
      </c>
      <c r="HH6" s="7">
        <v>80.36</v>
      </c>
      <c r="HI6" s="7">
        <v>0</v>
      </c>
      <c r="HJ6" s="7">
        <v>0</v>
      </c>
      <c r="HK6" s="7">
        <v>0</v>
      </c>
      <c r="HL6" s="7">
        <v>48</v>
      </c>
      <c r="HM6" s="7">
        <v>50</v>
      </c>
      <c r="HN6" s="7">
        <v>54</v>
      </c>
      <c r="HO6" s="7">
        <v>47</v>
      </c>
      <c r="HP6" s="7">
        <v>50</v>
      </c>
      <c r="HQ6" s="7">
        <v>48</v>
      </c>
      <c r="HR6" s="7">
        <v>43</v>
      </c>
      <c r="HS6" s="7">
        <v>56</v>
      </c>
      <c r="HT6" s="7">
        <v>-1.2035</v>
      </c>
      <c r="HU6" s="7">
        <v>0</v>
      </c>
      <c r="HV6" s="7">
        <v>0.435</v>
      </c>
      <c r="HW6" s="7">
        <v>40.130000000000003</v>
      </c>
      <c r="HX6" s="7">
        <v>45.89</v>
      </c>
      <c r="HY6" s="3"/>
      <c r="HZ6" s="3"/>
      <c r="IA6" s="7">
        <v>2.754</v>
      </c>
      <c r="IB6" s="7">
        <v>74</v>
      </c>
      <c r="IC6" s="7">
        <v>4.5720000000000001</v>
      </c>
      <c r="ID6" s="7">
        <v>-1.7999999999999999E-2</v>
      </c>
      <c r="IE6" s="7">
        <v>-8.9999999999999993E-3</v>
      </c>
      <c r="IF6" s="7">
        <v>823.1</v>
      </c>
      <c r="IG6" s="7">
        <v>243.6</v>
      </c>
      <c r="IH6" s="7">
        <v>824.3</v>
      </c>
      <c r="II6" s="7">
        <v>254.7</v>
      </c>
      <c r="IJ6" s="7">
        <v>-1E-3</v>
      </c>
      <c r="IK6" s="7">
        <v>-6.0000000000000001E-3</v>
      </c>
      <c r="IL6" s="7">
        <v>1299.348</v>
      </c>
      <c r="IM6" s="7">
        <v>1299.1679999999999</v>
      </c>
      <c r="IN6" s="7">
        <v>11.567</v>
      </c>
      <c r="IO6" s="7">
        <v>8.2000000000000003E-2</v>
      </c>
      <c r="IP6" s="7">
        <v>12.92</v>
      </c>
      <c r="IQ6" s="7">
        <v>2.5000000000000001E-2</v>
      </c>
      <c r="IR6" s="7">
        <v>7.4999999999999997E-2</v>
      </c>
      <c r="IS6" s="7">
        <v>2.5000000000000001E-2</v>
      </c>
      <c r="IT6" s="7">
        <v>7.4999999999999997E-2</v>
      </c>
    </row>
    <row r="7" spans="1:254" x14ac:dyDescent="0.25">
      <c r="B7" s="2" t="s">
        <v>412</v>
      </c>
      <c r="C7" s="2" t="s">
        <v>42</v>
      </c>
      <c r="D7" s="61">
        <v>2.5464120370370371E-3</v>
      </c>
      <c r="E7" s="49">
        <v>220.05</v>
      </c>
      <c r="F7" s="50">
        <v>332.23</v>
      </c>
      <c r="G7" s="49">
        <v>5.82</v>
      </c>
      <c r="H7" s="49">
        <v>27.4</v>
      </c>
      <c r="I7" s="50">
        <v>0</v>
      </c>
      <c r="J7" s="49">
        <v>11.6</v>
      </c>
      <c r="K7" s="50">
        <v>8</v>
      </c>
      <c r="L7" s="50">
        <v>5</v>
      </c>
      <c r="M7" s="49">
        <v>5</v>
      </c>
      <c r="N7" s="50">
        <v>3</v>
      </c>
      <c r="O7" s="50">
        <v>3</v>
      </c>
      <c r="P7" s="49">
        <v>0.67100000000000004</v>
      </c>
      <c r="Q7" s="50">
        <v>1.1910000000000001</v>
      </c>
      <c r="R7" s="50">
        <v>0.66500000000000004</v>
      </c>
      <c r="S7" s="3"/>
      <c r="T7" s="49">
        <v>72.61</v>
      </c>
      <c r="U7" s="49">
        <v>60.295000000000002</v>
      </c>
      <c r="V7" s="49">
        <v>273.33999999999997</v>
      </c>
      <c r="W7" s="49">
        <v>291.66000000000003</v>
      </c>
      <c r="X7" s="49">
        <v>195</v>
      </c>
      <c r="Y7" s="49">
        <v>228.34</v>
      </c>
      <c r="Z7" s="49">
        <v>436.41</v>
      </c>
      <c r="AA7" s="49">
        <v>453.95</v>
      </c>
      <c r="AB7" s="49">
        <v>360.91</v>
      </c>
      <c r="AC7" s="49">
        <v>428.63</v>
      </c>
      <c r="AD7" s="49">
        <v>1.8759999999999999</v>
      </c>
      <c r="AE7" s="50">
        <v>1.944</v>
      </c>
      <c r="AF7" s="49">
        <v>1.865</v>
      </c>
      <c r="AG7" s="49">
        <v>1.9419999999999999</v>
      </c>
      <c r="AH7" s="49">
        <v>80.78</v>
      </c>
      <c r="AI7" s="49">
        <v>77.069999999999993</v>
      </c>
      <c r="AJ7" s="49">
        <v>105.36</v>
      </c>
      <c r="AK7" s="49">
        <v>100.5</v>
      </c>
      <c r="AL7" s="49">
        <v>649.10799999999995</v>
      </c>
      <c r="AM7" s="49">
        <v>645.976</v>
      </c>
      <c r="AN7" s="49">
        <v>757.55</v>
      </c>
      <c r="AO7" s="49">
        <v>724.42499999999995</v>
      </c>
      <c r="AP7" s="49">
        <v>1.4379999999999999</v>
      </c>
      <c r="AQ7" s="49">
        <v>1.944</v>
      </c>
      <c r="AR7" s="50">
        <v>40.889000000000003</v>
      </c>
      <c r="AS7" s="49">
        <v>34.375999999999998</v>
      </c>
      <c r="AT7" s="50">
        <v>83</v>
      </c>
      <c r="AU7" s="49">
        <v>102</v>
      </c>
      <c r="AV7" s="49">
        <v>3.234</v>
      </c>
      <c r="AW7" s="49">
        <v>5.5739000000000001</v>
      </c>
      <c r="AX7" s="49">
        <v>1017.9</v>
      </c>
      <c r="AY7" s="49">
        <v>1.76</v>
      </c>
      <c r="AZ7" s="49">
        <v>5.75</v>
      </c>
      <c r="BA7" s="49">
        <v>140.916</v>
      </c>
      <c r="BB7" s="49">
        <v>139.61099999999999</v>
      </c>
      <c r="BC7" s="49">
        <v>7706</v>
      </c>
      <c r="BD7" s="49">
        <v>89.5</v>
      </c>
      <c r="BE7" s="49">
        <v>17.190000000000001</v>
      </c>
      <c r="BF7" s="49">
        <v>12.565</v>
      </c>
      <c r="BG7" s="49">
        <v>27.86</v>
      </c>
      <c r="BH7" s="49">
        <v>26.32</v>
      </c>
      <c r="BI7" s="3"/>
      <c r="BJ7" s="3"/>
      <c r="BK7" s="3"/>
      <c r="BL7" s="3"/>
      <c r="BM7" s="3"/>
      <c r="BN7" s="49">
        <v>113.592</v>
      </c>
      <c r="BO7" s="49">
        <v>110.408</v>
      </c>
      <c r="BP7" s="49">
        <v>145.75200000000001</v>
      </c>
      <c r="BQ7" s="49">
        <v>146.34399999999999</v>
      </c>
      <c r="BR7" s="3"/>
      <c r="BS7" s="49">
        <v>26.7</v>
      </c>
      <c r="BT7" s="49">
        <v>7337.8980000000001</v>
      </c>
      <c r="BU7" s="49">
        <v>50.936999999999998</v>
      </c>
      <c r="BV7" s="49">
        <v>54.765999999999998</v>
      </c>
      <c r="BW7" s="49">
        <v>56.207999999999998</v>
      </c>
      <c r="BX7" s="49">
        <v>56.228999999999999</v>
      </c>
      <c r="BY7" s="49">
        <v>1.4179999999999999</v>
      </c>
      <c r="BZ7" s="49">
        <v>3.0409999999999999</v>
      </c>
      <c r="CA7" s="49">
        <v>2.9</v>
      </c>
      <c r="CB7" s="49">
        <v>3.4</v>
      </c>
      <c r="CC7" s="50">
        <v>1.288</v>
      </c>
      <c r="CD7" s="50">
        <v>2.6949999999999998</v>
      </c>
      <c r="CE7" s="49">
        <v>1.385</v>
      </c>
      <c r="CF7" s="49">
        <v>2.2400000000000002</v>
      </c>
      <c r="CG7" s="50">
        <v>13.943</v>
      </c>
      <c r="CH7" s="49">
        <v>13.755000000000001</v>
      </c>
      <c r="CI7" s="49">
        <v>4.8849999999999998</v>
      </c>
      <c r="CJ7" s="49">
        <v>3.3439999999999999</v>
      </c>
      <c r="CK7" s="49">
        <v>1.4430000000000001</v>
      </c>
      <c r="CL7" s="49">
        <v>0</v>
      </c>
      <c r="CM7" s="49">
        <v>0</v>
      </c>
      <c r="CN7" s="49">
        <v>0</v>
      </c>
      <c r="CO7" s="49">
        <v>0</v>
      </c>
      <c r="CP7" s="49">
        <v>96.628</v>
      </c>
      <c r="CQ7" s="49">
        <v>97.539000000000001</v>
      </c>
      <c r="CR7" s="49">
        <v>114.09399999999999</v>
      </c>
      <c r="CS7" s="49">
        <v>115.142</v>
      </c>
      <c r="CT7" s="50">
        <v>0.61599999999999999</v>
      </c>
      <c r="CU7" s="49">
        <v>1.099</v>
      </c>
      <c r="CV7" s="49">
        <v>1.4</v>
      </c>
      <c r="CW7" s="49">
        <v>1.002</v>
      </c>
      <c r="CX7" s="49">
        <v>1.5009999999999999</v>
      </c>
      <c r="CY7" s="49">
        <v>0.70199999999999996</v>
      </c>
      <c r="CZ7" s="50">
        <v>1.9</v>
      </c>
      <c r="DA7" s="50">
        <v>1.0009999999999999</v>
      </c>
      <c r="DB7" s="50">
        <v>1.105</v>
      </c>
      <c r="DC7" s="50">
        <v>0</v>
      </c>
      <c r="DD7" s="50">
        <v>0</v>
      </c>
      <c r="DE7" s="50">
        <v>0.24</v>
      </c>
      <c r="DF7" s="49">
        <v>5.8000000000000003E-2</v>
      </c>
      <c r="DG7" s="49">
        <v>0.375</v>
      </c>
      <c r="DH7" s="50">
        <v>2.077</v>
      </c>
      <c r="DI7" s="50">
        <v>1.0880000000000001</v>
      </c>
      <c r="DJ7" s="49">
        <v>0.11700000000000001</v>
      </c>
      <c r="DK7" s="49">
        <v>0.79300000000000004</v>
      </c>
      <c r="DL7" s="49">
        <v>0.41099999999999998</v>
      </c>
      <c r="DM7" s="49">
        <v>0.46400000000000002</v>
      </c>
      <c r="DN7" s="49">
        <v>0.432</v>
      </c>
      <c r="DO7" s="49">
        <v>0.35099999999999998</v>
      </c>
      <c r="DP7" s="50">
        <v>63.445</v>
      </c>
      <c r="DQ7" s="49">
        <v>60.402999999999999</v>
      </c>
      <c r="DR7" s="49">
        <v>52.779000000000003</v>
      </c>
      <c r="DS7" s="49">
        <v>51.923999999999999</v>
      </c>
      <c r="DT7" s="49">
        <v>5.54</v>
      </c>
      <c r="DU7" s="49">
        <v>5.12</v>
      </c>
      <c r="DV7" s="49">
        <v>11.67</v>
      </c>
      <c r="DW7" s="49">
        <v>10.11</v>
      </c>
      <c r="DX7" s="49">
        <v>5.8</v>
      </c>
      <c r="DY7" s="49">
        <v>5.0999999999999996</v>
      </c>
      <c r="DZ7" s="49">
        <v>11.1</v>
      </c>
      <c r="EA7" s="49">
        <v>9.86</v>
      </c>
      <c r="EB7" s="50">
        <v>43.05</v>
      </c>
      <c r="EC7" s="49">
        <v>42.9</v>
      </c>
      <c r="ED7" s="49">
        <v>34.18</v>
      </c>
      <c r="EE7" s="49">
        <v>36.409999999999997</v>
      </c>
      <c r="EF7" s="49">
        <v>45.61</v>
      </c>
      <c r="EG7" s="50">
        <v>46.87</v>
      </c>
      <c r="EH7" s="49">
        <v>43.05</v>
      </c>
      <c r="EI7" s="49">
        <v>43.61</v>
      </c>
      <c r="EJ7" s="49">
        <v>4.1360000000000001</v>
      </c>
      <c r="EK7" s="49">
        <v>58.734000000000002</v>
      </c>
      <c r="EL7" s="49">
        <v>1.6</v>
      </c>
      <c r="EM7" s="49">
        <v>1.2</v>
      </c>
      <c r="EN7" s="50">
        <v>1.23</v>
      </c>
      <c r="EO7" s="50">
        <v>1.23</v>
      </c>
      <c r="EP7" s="50">
        <v>-125.494</v>
      </c>
      <c r="EQ7" s="49">
        <v>-2.6019999999999999</v>
      </c>
      <c r="ER7" s="49">
        <v>81.825999999999993</v>
      </c>
      <c r="ES7" s="50">
        <v>1.583</v>
      </c>
      <c r="ET7" s="49">
        <v>1.647</v>
      </c>
      <c r="EU7" s="50">
        <v>1.5720000000000001</v>
      </c>
      <c r="EV7" s="49">
        <v>7.5270000000000001</v>
      </c>
      <c r="EW7" s="49">
        <v>0.70399999999999996</v>
      </c>
      <c r="EX7" s="49">
        <v>74.239999999999995</v>
      </c>
      <c r="EY7" s="49">
        <v>4.1000000000000002E-2</v>
      </c>
      <c r="EZ7" s="50">
        <v>0.27200000000000002</v>
      </c>
      <c r="FA7" s="50">
        <v>0</v>
      </c>
      <c r="FB7" s="49">
        <v>9.1120000000000001</v>
      </c>
      <c r="FC7" s="49">
        <v>75.572999999999993</v>
      </c>
      <c r="FD7" s="50">
        <v>72.694999999999993</v>
      </c>
      <c r="FE7" s="49">
        <v>80.703999999999994</v>
      </c>
      <c r="FF7" s="49">
        <v>77.906999999999996</v>
      </c>
      <c r="FG7" s="49">
        <v>0.94699999999999995</v>
      </c>
      <c r="FH7" s="49">
        <v>0.94699999999999995</v>
      </c>
      <c r="FI7" s="49">
        <v>0.98499999999999999</v>
      </c>
      <c r="FJ7" s="49">
        <v>0.98799999999999999</v>
      </c>
      <c r="FK7" s="49">
        <v>0</v>
      </c>
      <c r="FL7" s="50">
        <v>83</v>
      </c>
      <c r="FM7" s="49">
        <v>2.87</v>
      </c>
      <c r="FN7" s="49">
        <v>-0.83</v>
      </c>
      <c r="FO7" s="49">
        <v>5.56</v>
      </c>
      <c r="FP7" s="3"/>
      <c r="FQ7" s="49">
        <v>4.9000000000000004</v>
      </c>
      <c r="FR7" s="49">
        <v>5.05</v>
      </c>
      <c r="FS7" s="49">
        <v>6.9249999999999998</v>
      </c>
      <c r="FT7" s="50">
        <v>1074.2</v>
      </c>
      <c r="FU7" s="49">
        <v>8.1</v>
      </c>
      <c r="FV7" s="49">
        <v>11.11</v>
      </c>
      <c r="FW7" s="49">
        <v>3224.5</v>
      </c>
      <c r="FX7" s="49">
        <v>163100</v>
      </c>
      <c r="FY7" s="49">
        <v>166000</v>
      </c>
      <c r="FZ7" s="49">
        <v>47.648000000000003</v>
      </c>
      <c r="GA7" s="49">
        <v>47.018000000000001</v>
      </c>
      <c r="GB7" s="49">
        <v>2246.6999999999998</v>
      </c>
      <c r="GC7" s="49">
        <v>2269.6999999999998</v>
      </c>
      <c r="GD7" s="49">
        <v>2298</v>
      </c>
      <c r="GE7" s="49">
        <v>2350.9</v>
      </c>
      <c r="GF7" s="49">
        <v>1293.5469000000001</v>
      </c>
      <c r="GG7" s="49">
        <v>23</v>
      </c>
      <c r="GH7" s="49">
        <v>23.5</v>
      </c>
      <c r="GI7" s="49">
        <v>49.2</v>
      </c>
      <c r="GJ7" s="49">
        <v>53.6</v>
      </c>
      <c r="GK7" s="49">
        <v>99.5</v>
      </c>
      <c r="GL7" s="49">
        <v>89.2</v>
      </c>
      <c r="GM7" s="50">
        <v>0</v>
      </c>
      <c r="GN7" s="50">
        <v>27.149000000000001</v>
      </c>
      <c r="GO7" s="50">
        <v>125.494</v>
      </c>
      <c r="GP7" s="49">
        <v>1.2390000000000001</v>
      </c>
      <c r="GQ7" s="49">
        <v>1.9470000000000001</v>
      </c>
      <c r="GR7" s="49">
        <v>1.298</v>
      </c>
      <c r="GS7" s="49">
        <v>2.0059999999999998</v>
      </c>
      <c r="GT7" s="49">
        <v>1.2390000000000001</v>
      </c>
      <c r="GU7" s="49">
        <v>1.829</v>
      </c>
      <c r="GV7" s="49">
        <v>12.74</v>
      </c>
      <c r="GW7" s="50">
        <v>14.051</v>
      </c>
      <c r="GX7" s="49">
        <v>15.385999999999999</v>
      </c>
      <c r="GY7" s="50">
        <v>0</v>
      </c>
      <c r="GZ7" s="50">
        <v>0</v>
      </c>
      <c r="HA7" s="50">
        <v>0</v>
      </c>
      <c r="HB7" s="49">
        <v>0</v>
      </c>
      <c r="HC7" s="50">
        <v>24.309000000000001</v>
      </c>
      <c r="HD7" s="49">
        <v>82</v>
      </c>
      <c r="HE7" s="7">
        <v>0</v>
      </c>
      <c r="HF7" s="7">
        <v>0</v>
      </c>
      <c r="HG7" s="7">
        <v>72.47</v>
      </c>
      <c r="HH7" s="7">
        <v>80.260000000000005</v>
      </c>
      <c r="HI7" s="7">
        <v>0</v>
      </c>
      <c r="HJ7" s="7">
        <v>0</v>
      </c>
      <c r="HK7" s="7">
        <v>0</v>
      </c>
      <c r="HL7" s="7">
        <v>55</v>
      </c>
      <c r="HM7" s="7">
        <v>49</v>
      </c>
      <c r="HN7" s="7">
        <v>56</v>
      </c>
      <c r="HO7" s="7">
        <v>50</v>
      </c>
      <c r="HP7" s="7">
        <v>53</v>
      </c>
      <c r="HQ7" s="7">
        <v>51</v>
      </c>
      <c r="HR7" s="7">
        <v>44</v>
      </c>
      <c r="HS7" s="7">
        <v>70</v>
      </c>
      <c r="HT7" s="7">
        <v>-1.21</v>
      </c>
      <c r="HU7" s="7">
        <v>0</v>
      </c>
      <c r="HV7" s="7">
        <v>1E-3</v>
      </c>
      <c r="HW7" s="7">
        <v>39.18</v>
      </c>
      <c r="HX7" s="7">
        <v>37.36</v>
      </c>
      <c r="HY7" s="3"/>
      <c r="HZ7" s="3"/>
      <c r="IA7" s="7">
        <v>2.758</v>
      </c>
      <c r="IB7" s="7">
        <v>103</v>
      </c>
      <c r="IC7" s="7">
        <v>22.102</v>
      </c>
      <c r="ID7" s="7">
        <v>-0.19700000000000001</v>
      </c>
      <c r="IE7" s="7">
        <v>-7.2999999999999995E-2</v>
      </c>
      <c r="IF7" s="7">
        <v>816.7</v>
      </c>
      <c r="IG7" s="7">
        <v>769</v>
      </c>
      <c r="IH7" s="7">
        <v>829</v>
      </c>
      <c r="II7" s="7">
        <v>780.3</v>
      </c>
      <c r="IJ7" s="7">
        <v>-7.3999999999999996E-2</v>
      </c>
      <c r="IK7" s="7">
        <v>-0.122</v>
      </c>
      <c r="IL7" s="7">
        <v>74.271000000000001</v>
      </c>
      <c r="IM7" s="7">
        <v>74.271000000000001</v>
      </c>
      <c r="IN7" s="7">
        <v>11.332000000000001</v>
      </c>
      <c r="IO7" s="7">
        <v>0.41699999999999998</v>
      </c>
      <c r="IP7" s="7">
        <v>11.07</v>
      </c>
      <c r="IQ7" s="7">
        <v>-1E-3</v>
      </c>
      <c r="IR7" s="7">
        <v>1.2E-2</v>
      </c>
      <c r="IS7">
        <v>0.22500000000000001</v>
      </c>
      <c r="IT7">
        <v>9.9000000000000005E-2</v>
      </c>
    </row>
    <row r="8" spans="1:254" x14ac:dyDescent="0.25">
      <c r="B8" s="2" t="s">
        <v>412</v>
      </c>
      <c r="C8" s="62" t="s">
        <v>43</v>
      </c>
      <c r="D8" s="63">
        <v>2.457638888888889E-3</v>
      </c>
      <c r="E8" s="49">
        <v>212.38</v>
      </c>
      <c r="F8" s="49">
        <v>330.06</v>
      </c>
      <c r="G8" s="50">
        <v>5.96</v>
      </c>
      <c r="H8" s="49">
        <v>28.1</v>
      </c>
      <c r="I8" s="50">
        <v>0</v>
      </c>
      <c r="J8" s="49">
        <v>9.9</v>
      </c>
      <c r="K8" s="50">
        <v>8</v>
      </c>
      <c r="L8" s="50">
        <v>5</v>
      </c>
      <c r="M8" s="49">
        <v>5</v>
      </c>
      <c r="N8" s="50">
        <v>3</v>
      </c>
      <c r="O8" s="50">
        <v>3</v>
      </c>
      <c r="P8" s="49">
        <v>0.41699999999999998</v>
      </c>
      <c r="Q8" s="49">
        <v>1.0069999999999999</v>
      </c>
      <c r="R8" s="49">
        <v>0.35</v>
      </c>
      <c r="S8" s="49">
        <v>0.29099999999999998</v>
      </c>
      <c r="T8" s="49">
        <v>82.45</v>
      </c>
      <c r="U8" s="49">
        <v>60.222000000000001</v>
      </c>
      <c r="V8" s="49">
        <v>300</v>
      </c>
      <c r="W8" s="49">
        <v>316</v>
      </c>
      <c r="X8" s="49">
        <v>245</v>
      </c>
      <c r="Y8" s="49">
        <v>309</v>
      </c>
      <c r="Z8" s="50">
        <v>440.72</v>
      </c>
      <c r="AA8" s="50">
        <v>462.41</v>
      </c>
      <c r="AB8" s="50">
        <v>386.89</v>
      </c>
      <c r="AC8" s="50">
        <v>466.86</v>
      </c>
      <c r="AD8" s="49">
        <v>1.8740000000000001</v>
      </c>
      <c r="AE8" s="49">
        <v>1.9279999999999999</v>
      </c>
      <c r="AF8" s="49">
        <v>1.919</v>
      </c>
      <c r="AG8" s="49">
        <v>1.994</v>
      </c>
      <c r="AH8" s="49">
        <v>80.92</v>
      </c>
      <c r="AI8" s="49">
        <v>76.02</v>
      </c>
      <c r="AJ8" s="49">
        <v>112.94</v>
      </c>
      <c r="AK8" s="49">
        <v>107.31</v>
      </c>
      <c r="AL8" s="50">
        <v>694.78300000000002</v>
      </c>
      <c r="AM8" s="50">
        <v>697.58299999999997</v>
      </c>
      <c r="AN8" s="49">
        <v>834.03800000000001</v>
      </c>
      <c r="AO8" s="50">
        <v>818.44899999999996</v>
      </c>
      <c r="AP8" s="49">
        <v>1.425</v>
      </c>
      <c r="AQ8" s="49">
        <v>1.887</v>
      </c>
      <c r="AR8" s="49">
        <v>40.021000000000001</v>
      </c>
      <c r="AS8" s="49">
        <v>32.792999999999999</v>
      </c>
      <c r="AT8" s="50">
        <v>83</v>
      </c>
      <c r="AU8" s="49">
        <v>112</v>
      </c>
      <c r="AV8" s="49">
        <v>2.641</v>
      </c>
      <c r="AW8" s="49">
        <v>5.5320999999999998</v>
      </c>
      <c r="AX8" s="49">
        <v>1018.1</v>
      </c>
      <c r="AY8" s="49">
        <v>1.85</v>
      </c>
      <c r="AZ8" s="49">
        <v>5.37</v>
      </c>
      <c r="BA8" s="49">
        <v>108.381</v>
      </c>
      <c r="BB8" s="49">
        <v>107.996</v>
      </c>
      <c r="BC8" s="49">
        <v>7671</v>
      </c>
      <c r="BD8" s="50">
        <v>89.75</v>
      </c>
      <c r="BE8" s="50">
        <v>17.43</v>
      </c>
      <c r="BF8" s="49">
        <v>13.835000000000001</v>
      </c>
      <c r="BG8" s="49">
        <v>28.99</v>
      </c>
      <c r="BH8" s="49">
        <v>26.62</v>
      </c>
      <c r="BI8" s="3"/>
      <c r="BJ8" s="3"/>
      <c r="BK8" s="3"/>
      <c r="BL8" s="3"/>
      <c r="BM8" s="3"/>
      <c r="BN8" s="49">
        <v>115.64</v>
      </c>
      <c r="BO8" s="49">
        <v>114.232</v>
      </c>
      <c r="BP8" s="49">
        <v>151.94399999999999</v>
      </c>
      <c r="BQ8" s="49">
        <v>157.048</v>
      </c>
      <c r="BR8" s="3"/>
      <c r="BS8" s="49">
        <v>27.6</v>
      </c>
      <c r="BT8" s="49">
        <v>7390.33</v>
      </c>
      <c r="BU8" s="49">
        <v>51.197000000000003</v>
      </c>
      <c r="BV8" s="49">
        <v>53.688000000000002</v>
      </c>
      <c r="BW8" s="49">
        <v>56.600999999999999</v>
      </c>
      <c r="BX8" s="50">
        <v>57.865000000000002</v>
      </c>
      <c r="BY8" s="50">
        <v>1.5680000000000001</v>
      </c>
      <c r="BZ8" s="49">
        <v>2.9609999999999999</v>
      </c>
      <c r="CA8" s="49">
        <v>3.4049999999999998</v>
      </c>
      <c r="CB8" s="50">
        <v>4.1769999999999996</v>
      </c>
      <c r="CC8" s="49">
        <v>1.282</v>
      </c>
      <c r="CD8" s="49">
        <v>2.5059999999999998</v>
      </c>
      <c r="CE8" s="49">
        <v>1.3879999999999999</v>
      </c>
      <c r="CF8" s="49">
        <v>2.206</v>
      </c>
      <c r="CG8" s="49">
        <v>13.939</v>
      </c>
      <c r="CH8" s="49">
        <v>13.785</v>
      </c>
      <c r="CI8" s="49">
        <v>5.5789999999999997</v>
      </c>
      <c r="CJ8" s="49">
        <v>2.9060000000000001</v>
      </c>
      <c r="CK8" s="50">
        <v>1.718</v>
      </c>
      <c r="CL8" s="50">
        <v>0.1</v>
      </c>
      <c r="CM8" s="49">
        <v>0</v>
      </c>
      <c r="CN8" s="49">
        <v>0</v>
      </c>
      <c r="CO8" s="49">
        <v>0</v>
      </c>
      <c r="CP8" s="50">
        <v>107.658</v>
      </c>
      <c r="CQ8" s="50">
        <v>107.807</v>
      </c>
      <c r="CR8" s="49">
        <v>145.364</v>
      </c>
      <c r="CS8" s="49">
        <v>150.673</v>
      </c>
      <c r="CT8" s="49">
        <v>0.27800000000000002</v>
      </c>
      <c r="CU8" s="49">
        <v>0.499</v>
      </c>
      <c r="CV8" s="50">
        <v>1.6990000000000001</v>
      </c>
      <c r="CW8" s="50">
        <v>1.7969999999999999</v>
      </c>
      <c r="CX8" s="49">
        <v>0.998</v>
      </c>
      <c r="CY8" s="49">
        <v>0.5</v>
      </c>
      <c r="CZ8" s="49">
        <v>1.2969999999999999</v>
      </c>
      <c r="DA8" s="49">
        <v>0.5</v>
      </c>
      <c r="DB8" s="49">
        <v>1.1020000000000001</v>
      </c>
      <c r="DC8" s="50">
        <v>0</v>
      </c>
      <c r="DD8" s="50">
        <v>0</v>
      </c>
      <c r="DE8" s="49">
        <v>0.18099999999999999</v>
      </c>
      <c r="DF8" s="49">
        <v>6.8000000000000005E-2</v>
      </c>
      <c r="DG8" s="50">
        <v>0.433</v>
      </c>
      <c r="DH8" s="49">
        <v>1.8819999999999999</v>
      </c>
      <c r="DI8" s="49">
        <v>0.91200000000000003</v>
      </c>
      <c r="DJ8" s="49">
        <v>6.4000000000000001E-2</v>
      </c>
      <c r="DK8" s="49">
        <v>0.72</v>
      </c>
      <c r="DL8" s="49">
        <v>0.41299999999999998</v>
      </c>
      <c r="DM8" s="49">
        <v>0.436</v>
      </c>
      <c r="DN8" s="49">
        <v>0.29899999999999999</v>
      </c>
      <c r="DO8" s="49">
        <v>0.31</v>
      </c>
      <c r="DP8" s="49">
        <v>61.99</v>
      </c>
      <c r="DQ8" s="49">
        <v>58.801000000000002</v>
      </c>
      <c r="DR8" s="50">
        <v>53.167000000000002</v>
      </c>
      <c r="DS8" s="49">
        <v>52.003999999999998</v>
      </c>
      <c r="DT8" s="50">
        <v>6.17</v>
      </c>
      <c r="DU8" s="50">
        <v>6.32</v>
      </c>
      <c r="DV8" s="50">
        <v>14.12</v>
      </c>
      <c r="DW8" s="50">
        <v>12.05</v>
      </c>
      <c r="DX8" s="50">
        <v>6.37</v>
      </c>
      <c r="DY8" s="50">
        <v>6.49</v>
      </c>
      <c r="DZ8" s="50">
        <v>13.37</v>
      </c>
      <c r="EA8" s="50">
        <v>11.99</v>
      </c>
      <c r="EB8" s="49">
        <v>42.51</v>
      </c>
      <c r="EC8" s="49">
        <v>41.71</v>
      </c>
      <c r="ED8" s="49">
        <v>31.98</v>
      </c>
      <c r="EE8" s="49">
        <v>34.33</v>
      </c>
      <c r="EF8" s="49">
        <v>44.95</v>
      </c>
      <c r="EG8" s="49">
        <v>45.48</v>
      </c>
      <c r="EH8" s="49">
        <v>40.53</v>
      </c>
      <c r="EI8" s="49">
        <v>41.64</v>
      </c>
      <c r="EJ8" s="49">
        <v>5.4169999999999998</v>
      </c>
      <c r="EK8" s="50">
        <v>59.246000000000002</v>
      </c>
      <c r="EL8" s="49">
        <v>1.55</v>
      </c>
      <c r="EM8" s="49">
        <v>1.2</v>
      </c>
      <c r="EN8" s="49">
        <v>1.2</v>
      </c>
      <c r="EO8" s="49">
        <v>1.2</v>
      </c>
      <c r="EP8" s="49">
        <v>-119.946</v>
      </c>
      <c r="EQ8" s="49">
        <v>-2.468</v>
      </c>
      <c r="ER8" s="50">
        <v>104.018</v>
      </c>
      <c r="ES8" s="49">
        <v>1.577</v>
      </c>
      <c r="ET8" s="50">
        <v>1.6539999999999999</v>
      </c>
      <c r="EU8" s="49">
        <v>1.526</v>
      </c>
      <c r="EV8" s="50">
        <v>7.766</v>
      </c>
      <c r="EW8" s="50">
        <v>0.88800000000000001</v>
      </c>
      <c r="EX8" s="50">
        <v>76.599999999999994</v>
      </c>
      <c r="EY8" s="49">
        <v>0</v>
      </c>
      <c r="EZ8" s="49">
        <v>0</v>
      </c>
      <c r="FA8" s="50">
        <v>0</v>
      </c>
      <c r="FB8" s="49">
        <v>9.1669999999999998</v>
      </c>
      <c r="FC8" s="49">
        <v>75.923000000000002</v>
      </c>
      <c r="FD8" s="49">
        <v>71.120999999999995</v>
      </c>
      <c r="FE8" s="49">
        <v>87.394000000000005</v>
      </c>
      <c r="FF8" s="49">
        <v>84.478999999999999</v>
      </c>
      <c r="FG8" s="49">
        <v>0.94399999999999995</v>
      </c>
      <c r="FH8" s="49">
        <v>0.94399999999999995</v>
      </c>
      <c r="FI8" s="49">
        <v>0.98299999999999998</v>
      </c>
      <c r="FJ8" s="49">
        <v>0.98699999999999999</v>
      </c>
      <c r="FK8" s="49">
        <v>0</v>
      </c>
      <c r="FL8" s="50">
        <v>83</v>
      </c>
      <c r="FM8" s="49">
        <v>3.07</v>
      </c>
      <c r="FN8" s="49">
        <v>-0.82</v>
      </c>
      <c r="FO8" s="49">
        <v>5.41</v>
      </c>
      <c r="FP8" s="3"/>
      <c r="FQ8" s="49">
        <v>4.95</v>
      </c>
      <c r="FR8" s="49">
        <v>5.05</v>
      </c>
      <c r="FS8" s="49">
        <v>6.84</v>
      </c>
      <c r="FT8" s="49">
        <v>1070.8</v>
      </c>
      <c r="FU8" s="50">
        <v>8.49</v>
      </c>
      <c r="FV8" s="49">
        <v>17.079999999999998</v>
      </c>
      <c r="FW8" s="49">
        <v>3373.5</v>
      </c>
      <c r="FX8" s="49">
        <v>165400</v>
      </c>
      <c r="FY8" s="49">
        <v>167300</v>
      </c>
      <c r="FZ8" s="49">
        <v>47.47</v>
      </c>
      <c r="GA8" s="49">
        <v>46.723999999999997</v>
      </c>
      <c r="GB8" s="50">
        <v>2280.6999999999998</v>
      </c>
      <c r="GC8" s="50">
        <v>2280.3000000000002</v>
      </c>
      <c r="GD8" s="49">
        <v>2372.1999999999998</v>
      </c>
      <c r="GE8" s="49">
        <v>2280.3000000000002</v>
      </c>
      <c r="GF8" s="50">
        <v>1731.5625</v>
      </c>
      <c r="GG8" s="49">
        <v>24</v>
      </c>
      <c r="GH8" s="49">
        <v>24.2</v>
      </c>
      <c r="GI8" s="49">
        <v>47</v>
      </c>
      <c r="GJ8" s="49">
        <v>51.4</v>
      </c>
      <c r="GK8" s="49">
        <v>99.5</v>
      </c>
      <c r="GL8" s="50">
        <v>92.1</v>
      </c>
      <c r="GM8" s="50">
        <v>0</v>
      </c>
      <c r="GN8" s="49">
        <v>25.48</v>
      </c>
      <c r="GO8" s="49">
        <v>119.946</v>
      </c>
      <c r="GP8" s="49">
        <v>1.0620000000000001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49">
        <v>12.74</v>
      </c>
      <c r="GW8" s="49">
        <v>14.023</v>
      </c>
      <c r="GX8" s="49">
        <v>15.19</v>
      </c>
      <c r="GY8" s="50">
        <v>0</v>
      </c>
      <c r="GZ8" s="50">
        <v>0</v>
      </c>
      <c r="HA8" s="50">
        <v>0</v>
      </c>
      <c r="HB8" s="49">
        <v>0</v>
      </c>
      <c r="HC8" s="49">
        <v>23.974</v>
      </c>
      <c r="HD8" s="49">
        <v>82</v>
      </c>
      <c r="HE8" s="7">
        <v>0</v>
      </c>
      <c r="HF8" s="7">
        <v>0</v>
      </c>
      <c r="HG8" s="7">
        <v>74.959999999999994</v>
      </c>
      <c r="HH8" s="7">
        <v>80.489999999999995</v>
      </c>
      <c r="HI8" s="7">
        <v>0</v>
      </c>
      <c r="HJ8" s="7">
        <v>0</v>
      </c>
      <c r="HK8" s="7">
        <v>0</v>
      </c>
      <c r="HL8" s="7">
        <v>57</v>
      </c>
      <c r="HM8" s="7">
        <v>50</v>
      </c>
      <c r="HN8" s="7">
        <v>58</v>
      </c>
      <c r="HO8" s="7">
        <v>53</v>
      </c>
      <c r="HP8" s="7">
        <v>56</v>
      </c>
      <c r="HQ8" s="7">
        <v>54</v>
      </c>
      <c r="HR8" s="7">
        <v>45</v>
      </c>
      <c r="HS8" s="7">
        <v>62</v>
      </c>
      <c r="HT8" s="7">
        <v>-1.22</v>
      </c>
      <c r="HU8" s="7">
        <v>0</v>
      </c>
      <c r="HV8" s="7">
        <v>0.27300000000000002</v>
      </c>
      <c r="HW8" s="7">
        <v>35.229999999999997</v>
      </c>
      <c r="HX8" s="7">
        <v>37.36</v>
      </c>
      <c r="HY8" s="7">
        <v>50.69</v>
      </c>
      <c r="HZ8" s="7">
        <v>63.75</v>
      </c>
      <c r="IA8" s="7">
        <v>2.9319999999999999</v>
      </c>
      <c r="IB8" s="7">
        <v>104</v>
      </c>
      <c r="IC8" s="7">
        <v>22.658999999999999</v>
      </c>
      <c r="ID8" s="7">
        <v>-0.24299999999999999</v>
      </c>
      <c r="IE8" s="7">
        <v>-7.9000000000000001E-2</v>
      </c>
      <c r="IF8" s="7">
        <v>823.2</v>
      </c>
      <c r="IG8" s="7">
        <v>775.6</v>
      </c>
      <c r="IH8" s="7">
        <v>833.5</v>
      </c>
      <c r="II8" s="7">
        <v>787.7</v>
      </c>
      <c r="IJ8" s="7">
        <v>-8.5000000000000006E-2</v>
      </c>
      <c r="IK8" s="7">
        <v>-0.16500000000000001</v>
      </c>
      <c r="IL8" s="7">
        <v>67.009</v>
      </c>
      <c r="IM8" s="7">
        <v>67.009</v>
      </c>
      <c r="IN8" s="7">
        <v>12.127000000000001</v>
      </c>
      <c r="IO8" s="7">
        <v>0.47499999999999998</v>
      </c>
      <c r="IP8" s="7">
        <v>10.5</v>
      </c>
      <c r="IQ8" s="7">
        <v>8.9999999999999993E-3</v>
      </c>
      <c r="IR8" s="7">
        <v>1.0999999999999999E-2</v>
      </c>
      <c r="IS8">
        <v>0.23400000000000001</v>
      </c>
      <c r="IT8">
        <v>0.11</v>
      </c>
    </row>
    <row r="9" spans="1:254" x14ac:dyDescent="0.25">
      <c r="B9" s="2" t="s">
        <v>412</v>
      </c>
      <c r="C9" s="2" t="s">
        <v>44</v>
      </c>
      <c r="D9" s="61">
        <v>2.7488425925925927E-3</v>
      </c>
      <c r="E9" s="49">
        <v>237.499</v>
      </c>
      <c r="F9" s="49">
        <v>330.52</v>
      </c>
      <c r="G9" s="49">
        <v>5.88</v>
      </c>
      <c r="H9" s="50">
        <v>28.6</v>
      </c>
      <c r="I9" s="50">
        <v>0</v>
      </c>
      <c r="J9" s="49">
        <v>11.4</v>
      </c>
      <c r="K9" s="50">
        <v>8</v>
      </c>
      <c r="L9" s="50">
        <v>5</v>
      </c>
      <c r="M9" s="50">
        <v>6</v>
      </c>
      <c r="N9" s="50">
        <v>3</v>
      </c>
      <c r="O9" s="50">
        <v>3</v>
      </c>
      <c r="P9" s="49">
        <v>0.434</v>
      </c>
      <c r="Q9" s="49">
        <v>1.004</v>
      </c>
      <c r="R9" s="49">
        <v>0.39200000000000002</v>
      </c>
      <c r="S9" s="49">
        <v>0.36799999999999999</v>
      </c>
      <c r="T9" s="50">
        <v>84.31</v>
      </c>
      <c r="U9" s="49">
        <v>60.162999999999997</v>
      </c>
      <c r="V9" s="49">
        <v>281.66000000000003</v>
      </c>
      <c r="W9" s="49">
        <v>312</v>
      </c>
      <c r="X9" s="49">
        <v>246.66</v>
      </c>
      <c r="Y9" s="49">
        <v>314</v>
      </c>
      <c r="Z9" s="49">
        <v>425.87</v>
      </c>
      <c r="AA9" s="49">
        <v>452.78</v>
      </c>
      <c r="AB9" s="49">
        <v>378.83</v>
      </c>
      <c r="AC9" s="49">
        <v>452.27</v>
      </c>
      <c r="AD9" s="50">
        <v>1.887</v>
      </c>
      <c r="AE9" s="49">
        <v>1.9379999999999999</v>
      </c>
      <c r="AF9" s="50">
        <v>1.972</v>
      </c>
      <c r="AG9" s="50">
        <v>2.048</v>
      </c>
      <c r="AH9" s="50">
        <v>83.56</v>
      </c>
      <c r="AI9" s="50">
        <v>79.23</v>
      </c>
      <c r="AJ9" s="50">
        <v>119.68</v>
      </c>
      <c r="AK9" s="50">
        <v>114.42</v>
      </c>
      <c r="AL9" s="49">
        <v>665.70699999999999</v>
      </c>
      <c r="AM9" s="49">
        <v>694.85599999999999</v>
      </c>
      <c r="AN9" s="50">
        <v>864.45500000000004</v>
      </c>
      <c r="AO9" s="49">
        <v>808.93700000000001</v>
      </c>
      <c r="AP9" s="49">
        <v>1.411</v>
      </c>
      <c r="AQ9" s="49">
        <v>1.871</v>
      </c>
      <c r="AR9" s="49">
        <v>40.088000000000001</v>
      </c>
      <c r="AS9" s="50">
        <v>34.942999999999998</v>
      </c>
      <c r="AT9" s="50">
        <v>83</v>
      </c>
      <c r="AU9" s="50">
        <v>117</v>
      </c>
      <c r="AV9" s="50">
        <v>2.4464999999999999</v>
      </c>
      <c r="AW9" s="49">
        <v>5.4074999999999998</v>
      </c>
      <c r="AX9" s="49">
        <v>1018.6</v>
      </c>
      <c r="AY9" s="50">
        <v>1.87</v>
      </c>
      <c r="AZ9" s="49">
        <v>5.78</v>
      </c>
      <c r="BA9" s="50">
        <v>69.2</v>
      </c>
      <c r="BB9" s="50">
        <v>69.400000000000006</v>
      </c>
      <c r="BC9" s="50">
        <v>7819</v>
      </c>
      <c r="BD9" s="49">
        <v>89</v>
      </c>
      <c r="BE9" s="49">
        <v>17.239999999999998</v>
      </c>
      <c r="BF9" s="50">
        <v>14.17</v>
      </c>
      <c r="BG9" s="50">
        <v>29.03</v>
      </c>
      <c r="BH9" s="50">
        <v>26.95</v>
      </c>
      <c r="BI9" s="49">
        <v>63.195</v>
      </c>
      <c r="BJ9" s="49">
        <v>70.73</v>
      </c>
      <c r="BK9" s="49">
        <v>62.398000000000003</v>
      </c>
      <c r="BL9" s="49">
        <v>59.728000000000002</v>
      </c>
      <c r="BM9" s="49">
        <v>79.322999999999993</v>
      </c>
      <c r="BN9" s="50">
        <v>120.328</v>
      </c>
      <c r="BO9" s="50">
        <v>120.968</v>
      </c>
      <c r="BP9" s="50">
        <v>165.06399999999999</v>
      </c>
      <c r="BQ9" s="50">
        <v>166.15199999999999</v>
      </c>
      <c r="BR9" s="50">
        <v>61.127000000000002</v>
      </c>
      <c r="BS9" s="50">
        <v>28.3</v>
      </c>
      <c r="BT9" s="50">
        <v>7413.4269999999997</v>
      </c>
      <c r="BU9" s="49">
        <v>49.082999999999998</v>
      </c>
      <c r="BV9" s="49">
        <v>54.906999999999996</v>
      </c>
      <c r="BW9" s="49">
        <v>56.008000000000003</v>
      </c>
      <c r="BX9" s="49">
        <v>57.802</v>
      </c>
      <c r="BY9" s="49">
        <v>1.37</v>
      </c>
      <c r="BZ9" s="50">
        <v>3.3650000000000002</v>
      </c>
      <c r="CA9" s="50">
        <v>3.415</v>
      </c>
      <c r="CB9" s="49">
        <v>3.5840000000000001</v>
      </c>
      <c r="CC9" s="49">
        <v>1.268</v>
      </c>
      <c r="CD9" s="49">
        <v>2.4729999999999999</v>
      </c>
      <c r="CE9" s="49">
        <v>1.3640000000000001</v>
      </c>
      <c r="CF9" s="49">
        <v>2.1320000000000001</v>
      </c>
      <c r="CG9" s="49">
        <v>13.942</v>
      </c>
      <c r="CH9" s="49">
        <v>13.632</v>
      </c>
      <c r="CI9" s="3"/>
      <c r="CJ9" s="3"/>
      <c r="CK9" s="3"/>
      <c r="CL9" s="50">
        <v>0.1</v>
      </c>
      <c r="CM9" s="50">
        <v>0.2</v>
      </c>
      <c r="CN9" s="50">
        <v>0.2</v>
      </c>
      <c r="CO9" s="50">
        <v>0.3</v>
      </c>
      <c r="CP9" s="49">
        <v>105.88</v>
      </c>
      <c r="CQ9" s="49">
        <v>106.947</v>
      </c>
      <c r="CR9" s="50">
        <v>150.36099999999999</v>
      </c>
      <c r="CS9" s="50">
        <v>156.30699999999999</v>
      </c>
      <c r="CT9" s="49">
        <v>0.23200000000000001</v>
      </c>
      <c r="CU9" s="50">
        <v>1.1000000000000001</v>
      </c>
      <c r="CV9" s="49">
        <v>1.5980000000000001</v>
      </c>
      <c r="CW9" s="49">
        <v>0.79700000000000004</v>
      </c>
      <c r="CX9" s="50">
        <v>1.5029999999999999</v>
      </c>
      <c r="CY9" s="49">
        <v>0.59799999999999998</v>
      </c>
      <c r="CZ9" s="49">
        <v>0.89800000000000002</v>
      </c>
      <c r="DA9" s="50">
        <v>1.0009999999999999</v>
      </c>
      <c r="DB9" s="49">
        <v>1.1000000000000001</v>
      </c>
      <c r="DC9" s="50">
        <v>0</v>
      </c>
      <c r="DD9" s="50">
        <v>0</v>
      </c>
      <c r="DE9" s="49">
        <v>0.14199999999999999</v>
      </c>
      <c r="DF9" s="49">
        <v>6.4000000000000001E-2</v>
      </c>
      <c r="DG9" s="49">
        <v>0.218</v>
      </c>
      <c r="DH9" s="49">
        <v>1.9259999999999999</v>
      </c>
      <c r="DI9" s="49">
        <v>0.80500000000000005</v>
      </c>
      <c r="DJ9" s="49">
        <v>-6.6000000000000003E-2</v>
      </c>
      <c r="DK9" s="49">
        <v>0.51700000000000002</v>
      </c>
      <c r="DL9" s="49">
        <v>0.41299999999999998</v>
      </c>
      <c r="DM9" s="49">
        <v>0.441</v>
      </c>
      <c r="DN9" s="50">
        <v>0.434</v>
      </c>
      <c r="DO9" s="49">
        <v>0.26700000000000002</v>
      </c>
      <c r="DP9" s="49">
        <v>62.667999999999999</v>
      </c>
      <c r="DQ9" s="50">
        <v>61.203000000000003</v>
      </c>
      <c r="DR9" s="49">
        <v>53.165999999999997</v>
      </c>
      <c r="DS9" s="50">
        <v>52.49</v>
      </c>
      <c r="DT9" s="49">
        <v>5.94</v>
      </c>
      <c r="DU9" s="49">
        <v>5.82</v>
      </c>
      <c r="DV9" s="49">
        <v>12.69</v>
      </c>
      <c r="DW9" s="49">
        <v>11.13</v>
      </c>
      <c r="DX9" s="49">
        <v>6.11</v>
      </c>
      <c r="DY9" s="49">
        <v>6.06</v>
      </c>
      <c r="DZ9" s="49">
        <v>12.2</v>
      </c>
      <c r="EA9" s="49">
        <v>11.12</v>
      </c>
      <c r="EB9" s="49">
        <v>42.24</v>
      </c>
      <c r="EC9" s="49">
        <v>41.7</v>
      </c>
      <c r="ED9" s="49">
        <v>31.91</v>
      </c>
      <c r="EE9" s="49">
        <v>33.85</v>
      </c>
      <c r="EF9" s="49">
        <v>45.72</v>
      </c>
      <c r="EG9" s="49">
        <v>46.42</v>
      </c>
      <c r="EH9" s="50">
        <v>43.2</v>
      </c>
      <c r="EI9" s="50">
        <v>43.89</v>
      </c>
      <c r="EJ9" s="50">
        <v>5.9390000000000001</v>
      </c>
      <c r="EK9" s="49">
        <v>59.073</v>
      </c>
      <c r="EL9" s="50">
        <v>1.75</v>
      </c>
      <c r="EM9" s="49">
        <v>1.25</v>
      </c>
      <c r="EN9" s="49">
        <v>1.2</v>
      </c>
      <c r="EO9" s="49">
        <v>1.21</v>
      </c>
      <c r="EP9" s="49">
        <v>-118.486</v>
      </c>
      <c r="EQ9" s="49">
        <v>-2.363</v>
      </c>
      <c r="ER9" s="49">
        <v>102.85</v>
      </c>
      <c r="ES9" s="49">
        <v>1.5229999999999999</v>
      </c>
      <c r="ET9" s="49">
        <v>1.6220000000000001</v>
      </c>
      <c r="EU9" s="49">
        <v>1.4510000000000001</v>
      </c>
      <c r="EV9" s="49">
        <v>7.7069999999999999</v>
      </c>
      <c r="EW9" s="49">
        <v>0.81</v>
      </c>
      <c r="EX9" s="49">
        <v>75</v>
      </c>
      <c r="EY9" s="50">
        <v>6.0999999999999999E-2</v>
      </c>
      <c r="EZ9" s="49">
        <v>0</v>
      </c>
      <c r="FA9" s="50">
        <v>0</v>
      </c>
      <c r="FB9" s="50">
        <v>9.2319999999999993</v>
      </c>
      <c r="FC9" s="50">
        <v>76.442999999999998</v>
      </c>
      <c r="FD9" s="49">
        <v>71.287000000000006</v>
      </c>
      <c r="FE9" s="50">
        <v>92.456999999999994</v>
      </c>
      <c r="FF9" s="50">
        <v>89.846999999999994</v>
      </c>
      <c r="FG9" s="49">
        <v>0.97299999999999998</v>
      </c>
      <c r="FH9" s="49">
        <v>0.97899999999999998</v>
      </c>
      <c r="FI9" s="49">
        <v>0.98399999999999999</v>
      </c>
      <c r="FJ9" s="49">
        <v>0.98799999999999999</v>
      </c>
      <c r="FK9" s="49">
        <v>0</v>
      </c>
      <c r="FL9" s="50">
        <v>83</v>
      </c>
      <c r="FM9" s="50">
        <v>3.19</v>
      </c>
      <c r="FN9" s="49">
        <v>-0.6</v>
      </c>
      <c r="FO9" s="49">
        <v>5.46</v>
      </c>
      <c r="FP9" s="49">
        <v>4.0999999999999996</v>
      </c>
      <c r="FQ9" s="49">
        <v>4.3499999999999996</v>
      </c>
      <c r="FR9" s="50">
        <v>4.95</v>
      </c>
      <c r="FS9" s="49">
        <v>6.8540000000000001</v>
      </c>
      <c r="FT9" s="49">
        <v>1071.3</v>
      </c>
      <c r="FU9" s="49">
        <v>8.36</v>
      </c>
      <c r="FV9" s="50">
        <v>22.96</v>
      </c>
      <c r="FW9" s="49">
        <v>3197.5</v>
      </c>
      <c r="FX9" s="50">
        <v>168400</v>
      </c>
      <c r="FY9" s="50">
        <v>168800</v>
      </c>
      <c r="FZ9" s="49">
        <v>47.250999999999998</v>
      </c>
      <c r="GA9" s="49">
        <v>46.601999999999997</v>
      </c>
      <c r="GB9" s="49">
        <v>2190.5</v>
      </c>
      <c r="GC9" s="49">
        <v>2158.8000000000002</v>
      </c>
      <c r="GD9" s="50">
        <v>2406.8000000000002</v>
      </c>
      <c r="GE9" s="49">
        <v>2315.9</v>
      </c>
      <c r="GF9" s="49">
        <v>1484.1094000000001</v>
      </c>
      <c r="GG9" s="49">
        <v>25</v>
      </c>
      <c r="GH9" s="49">
        <v>25.3</v>
      </c>
      <c r="GI9" s="49">
        <v>47.1</v>
      </c>
      <c r="GJ9" s="49">
        <v>51.7</v>
      </c>
      <c r="GK9" s="49">
        <v>99.5</v>
      </c>
      <c r="GL9" s="49">
        <v>88.7</v>
      </c>
      <c r="GM9" s="50">
        <v>0</v>
      </c>
      <c r="GN9" s="49">
        <v>25.469000000000001</v>
      </c>
      <c r="GO9" s="49">
        <v>118.486</v>
      </c>
      <c r="GP9" s="50">
        <v>0</v>
      </c>
      <c r="GQ9" s="49">
        <v>1.9470000000000001</v>
      </c>
      <c r="GR9" s="50">
        <v>0</v>
      </c>
      <c r="GS9" s="49">
        <v>2.0059999999999998</v>
      </c>
      <c r="GT9" s="50">
        <v>0</v>
      </c>
      <c r="GU9" s="49">
        <v>1.8879999999999999</v>
      </c>
      <c r="GV9" s="50">
        <v>0</v>
      </c>
      <c r="GW9" s="49">
        <v>13.83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23.864999999999998</v>
      </c>
      <c r="HD9" s="50">
        <v>86</v>
      </c>
      <c r="HE9" s="7">
        <v>0</v>
      </c>
      <c r="HF9" s="7">
        <v>0</v>
      </c>
      <c r="HG9" s="7">
        <v>74.290000000000006</v>
      </c>
      <c r="HH9" s="7">
        <v>80.709999999999994</v>
      </c>
      <c r="HI9" s="7">
        <v>0</v>
      </c>
      <c r="HJ9" s="7">
        <v>0</v>
      </c>
      <c r="HK9" s="7">
        <v>0</v>
      </c>
      <c r="HL9" s="7">
        <v>59</v>
      </c>
      <c r="HM9" s="7">
        <v>50</v>
      </c>
      <c r="HN9" s="7">
        <v>60</v>
      </c>
      <c r="HO9" s="7">
        <v>55</v>
      </c>
      <c r="HP9" s="7">
        <v>58</v>
      </c>
      <c r="HQ9" s="7">
        <v>56</v>
      </c>
      <c r="HR9" s="7">
        <v>47</v>
      </c>
      <c r="HS9" s="7">
        <v>70</v>
      </c>
      <c r="HT9" s="7">
        <v>-1.2244999999999999</v>
      </c>
      <c r="HU9" s="7">
        <v>0</v>
      </c>
      <c r="HV9" s="7">
        <v>0.72399999999999998</v>
      </c>
      <c r="HW9" s="7">
        <v>35.229999999999997</v>
      </c>
      <c r="HX9" s="7">
        <v>38.03</v>
      </c>
      <c r="HY9" s="3"/>
      <c r="HZ9" s="3"/>
      <c r="IA9" s="7">
        <v>3.05</v>
      </c>
      <c r="IB9" s="7">
        <v>104</v>
      </c>
      <c r="IC9" s="7">
        <v>23.016999999999999</v>
      </c>
      <c r="ID9" s="7">
        <v>-0.215</v>
      </c>
      <c r="IE9" s="7">
        <v>-7.0000000000000007E-2</v>
      </c>
      <c r="IF9" s="7">
        <v>821.9</v>
      </c>
      <c r="IG9" s="7">
        <v>764.5</v>
      </c>
      <c r="IH9" s="7">
        <v>822.3</v>
      </c>
      <c r="II9" s="7">
        <v>778.4</v>
      </c>
      <c r="IJ9" s="7">
        <v>-6.7000000000000004E-2</v>
      </c>
      <c r="IK9" s="7">
        <v>-0.14299999999999999</v>
      </c>
      <c r="IL9" s="7">
        <v>71.942999999999998</v>
      </c>
      <c r="IM9" s="7">
        <v>71.942999999999998</v>
      </c>
      <c r="IN9" s="7">
        <v>13.936</v>
      </c>
      <c r="IO9" s="7">
        <v>0.374</v>
      </c>
      <c r="IP9" s="7">
        <v>10.79</v>
      </c>
      <c r="IQ9" s="7">
        <v>0</v>
      </c>
      <c r="IR9" s="7">
        <v>0</v>
      </c>
      <c r="IS9">
        <v>0.23400000000000001</v>
      </c>
      <c r="IT9">
        <v>0.11</v>
      </c>
    </row>
    <row r="10" spans="1:254" x14ac:dyDescent="0.25">
      <c r="IS10">
        <v>0.23400000000000001</v>
      </c>
      <c r="IT10">
        <v>0.11</v>
      </c>
    </row>
    <row r="11" spans="1:254" x14ac:dyDescent="0.25">
      <c r="IS11">
        <v>0.23400000000000001</v>
      </c>
      <c r="IT11">
        <v>0.11</v>
      </c>
    </row>
    <row r="12" spans="1:254" x14ac:dyDescent="0.25">
      <c r="IS12">
        <v>0.23400000000000001</v>
      </c>
      <c r="IT12">
        <v>0.11</v>
      </c>
    </row>
    <row r="13" spans="1:254" x14ac:dyDescent="0.25">
      <c r="B13" s="2" t="s">
        <v>412</v>
      </c>
      <c r="C13" s="2" t="s">
        <v>41</v>
      </c>
      <c r="D13" s="61">
        <v>3.3539351851851851E-3</v>
      </c>
      <c r="E13" s="50">
        <v>289.77800000000002</v>
      </c>
      <c r="F13" s="49">
        <v>331.4</v>
      </c>
      <c r="G13" s="49">
        <v>5.62</v>
      </c>
      <c r="H13" s="49">
        <v>28.9</v>
      </c>
      <c r="I13" s="50">
        <v>0</v>
      </c>
      <c r="J13" s="50">
        <v>46</v>
      </c>
      <c r="K13" s="49">
        <v>8</v>
      </c>
      <c r="L13" s="50">
        <v>3</v>
      </c>
      <c r="M13" s="50">
        <v>6</v>
      </c>
      <c r="N13" s="50">
        <v>3</v>
      </c>
      <c r="O13" s="50">
        <v>3</v>
      </c>
      <c r="P13" s="49">
        <v>0.747</v>
      </c>
      <c r="Q13" s="49">
        <v>1.298</v>
      </c>
      <c r="R13" s="49">
        <v>0.82299999999999995</v>
      </c>
      <c r="S13" s="49">
        <v>0.55600000000000005</v>
      </c>
      <c r="T13" s="49">
        <v>64.930000000000007</v>
      </c>
      <c r="U13" s="50">
        <v>60.720999999999997</v>
      </c>
      <c r="V13" s="50">
        <v>130</v>
      </c>
      <c r="W13" s="50">
        <v>135</v>
      </c>
      <c r="X13" s="50">
        <v>110</v>
      </c>
      <c r="Y13" s="50">
        <v>127.5</v>
      </c>
      <c r="Z13" s="49">
        <v>276.66000000000003</v>
      </c>
      <c r="AA13" s="49">
        <v>291.54000000000002</v>
      </c>
      <c r="AB13" s="49">
        <v>229.32</v>
      </c>
      <c r="AC13" s="49">
        <v>266.74</v>
      </c>
      <c r="AD13" s="49">
        <v>1.776</v>
      </c>
      <c r="AE13" s="49">
        <v>1.853</v>
      </c>
      <c r="AF13" s="49">
        <v>1.6679999999999999</v>
      </c>
      <c r="AG13" s="49">
        <v>1.696</v>
      </c>
      <c r="AH13" s="49">
        <v>65.400000000000006</v>
      </c>
      <c r="AI13" s="49">
        <v>61.19</v>
      </c>
      <c r="AJ13" s="49">
        <v>83.07</v>
      </c>
      <c r="AK13" s="49">
        <v>80.349999999999994</v>
      </c>
      <c r="AL13" s="49">
        <v>608.34400000000005</v>
      </c>
      <c r="AM13" s="49">
        <v>631.48199999999997</v>
      </c>
      <c r="AN13" s="49">
        <v>740.42700000000002</v>
      </c>
      <c r="AO13" s="49">
        <v>730.61900000000003</v>
      </c>
      <c r="AP13" s="50">
        <v>1.401</v>
      </c>
      <c r="AQ13" s="50">
        <v>1.88</v>
      </c>
      <c r="AR13" s="49">
        <v>38.780999999999999</v>
      </c>
      <c r="AS13" s="49">
        <v>31.879000000000001</v>
      </c>
      <c r="AT13" s="50">
        <v>87</v>
      </c>
      <c r="AU13" s="49">
        <v>111</v>
      </c>
      <c r="AV13" s="49">
        <v>2.597</v>
      </c>
      <c r="AW13" s="49">
        <v>5.3297999999999996</v>
      </c>
      <c r="AX13" s="50">
        <v>1019.6</v>
      </c>
      <c r="AY13" s="50">
        <v>2.4700000000000002</v>
      </c>
      <c r="AZ13" s="49">
        <v>5.7</v>
      </c>
      <c r="BA13" s="49">
        <v>67.099999999999994</v>
      </c>
      <c r="BB13" s="49">
        <v>67.203000000000003</v>
      </c>
      <c r="BC13" s="49">
        <v>7747</v>
      </c>
      <c r="BD13" s="49">
        <v>88.75</v>
      </c>
      <c r="BE13" s="49">
        <v>16.004999999999999</v>
      </c>
      <c r="BF13" s="49">
        <v>13.48</v>
      </c>
      <c r="BG13" s="49">
        <v>26.25</v>
      </c>
      <c r="BH13" s="49">
        <v>25.53</v>
      </c>
      <c r="BI13" s="49">
        <v>63.682000000000002</v>
      </c>
      <c r="BJ13" s="49">
        <v>80.177999999999997</v>
      </c>
      <c r="BK13" s="49">
        <v>61.938000000000002</v>
      </c>
      <c r="BL13" s="50">
        <v>77.462000000000003</v>
      </c>
      <c r="BM13" s="49">
        <v>77.62</v>
      </c>
      <c r="BN13" s="50">
        <v>151.94399999999999</v>
      </c>
      <c r="BO13" s="50">
        <v>147.06399999999999</v>
      </c>
      <c r="BP13" s="49">
        <v>140.82400000000001</v>
      </c>
      <c r="BQ13" s="49">
        <v>135.49600000000001</v>
      </c>
      <c r="BR13" s="49">
        <v>58.741</v>
      </c>
      <c r="BS13" s="49">
        <v>28.5</v>
      </c>
      <c r="BT13" s="49">
        <v>6255.1989999999996</v>
      </c>
      <c r="BU13" s="49">
        <v>49.725999999999999</v>
      </c>
      <c r="BV13" s="49">
        <v>56.109000000000002</v>
      </c>
      <c r="BW13" s="50">
        <v>57.225999999999999</v>
      </c>
      <c r="BX13" s="49">
        <v>57.817</v>
      </c>
      <c r="BY13" s="49">
        <v>1.3839999999999999</v>
      </c>
      <c r="BZ13" s="49">
        <v>2.4420000000000002</v>
      </c>
      <c r="CA13" s="49">
        <v>3.335</v>
      </c>
      <c r="CB13" s="49">
        <v>3.1160000000000001</v>
      </c>
      <c r="CC13" s="49">
        <v>1.1990000000000001</v>
      </c>
      <c r="CD13" s="49">
        <v>2.4369999999999998</v>
      </c>
      <c r="CE13" s="50">
        <v>1.379</v>
      </c>
      <c r="CF13" s="49">
        <v>2.1989999999999998</v>
      </c>
      <c r="CG13" s="49">
        <v>13.632999999999999</v>
      </c>
      <c r="CH13" s="50">
        <v>9.7759999999999998</v>
      </c>
      <c r="CI13" s="50">
        <v>6.0579999999999998</v>
      </c>
      <c r="CJ13" s="49">
        <v>3.3</v>
      </c>
      <c r="CK13" s="49">
        <v>1.58</v>
      </c>
      <c r="CL13" s="49">
        <v>0</v>
      </c>
      <c r="CM13" s="49">
        <v>0.6</v>
      </c>
      <c r="CN13" s="49">
        <v>0</v>
      </c>
      <c r="CO13" s="49">
        <v>0</v>
      </c>
      <c r="CP13" s="50">
        <v>112.173</v>
      </c>
      <c r="CQ13" s="50">
        <v>111.22499999999999</v>
      </c>
      <c r="CR13" s="49">
        <v>121.277</v>
      </c>
      <c r="CS13" s="49">
        <v>118.735</v>
      </c>
      <c r="CT13" s="50">
        <v>1.3069999999999999</v>
      </c>
      <c r="CU13" s="49">
        <v>0.998</v>
      </c>
      <c r="CV13" s="49">
        <v>1.5029999999999999</v>
      </c>
      <c r="CW13" s="49">
        <v>1.3</v>
      </c>
      <c r="CX13" s="49">
        <v>1.7989999999999999</v>
      </c>
      <c r="CY13" s="49">
        <v>0.7</v>
      </c>
      <c r="CZ13" s="49">
        <v>1.895</v>
      </c>
      <c r="DA13" s="49">
        <v>0.89800000000000002</v>
      </c>
      <c r="DB13" s="49">
        <v>0.60299999999999998</v>
      </c>
      <c r="DC13" s="50">
        <v>0</v>
      </c>
      <c r="DD13" s="50">
        <v>0</v>
      </c>
      <c r="DE13" s="49">
        <v>0.224</v>
      </c>
      <c r="DF13" s="49">
        <v>0.125</v>
      </c>
      <c r="DG13" s="49">
        <v>0.109</v>
      </c>
      <c r="DH13" s="49">
        <v>2.149</v>
      </c>
      <c r="DI13" s="49">
        <v>1.21</v>
      </c>
      <c r="DJ13" s="49">
        <v>0.21</v>
      </c>
      <c r="DK13" s="49">
        <v>0.88200000000000001</v>
      </c>
      <c r="DL13" s="49">
        <v>0.41099999999999998</v>
      </c>
      <c r="DM13" s="49">
        <v>0.52200000000000002</v>
      </c>
      <c r="DN13" s="49">
        <v>0.42399999999999999</v>
      </c>
      <c r="DO13" s="50">
        <v>0.4</v>
      </c>
      <c r="DP13" s="49">
        <v>62.136000000000003</v>
      </c>
      <c r="DQ13" s="50">
        <v>63.62</v>
      </c>
      <c r="DR13" s="49">
        <v>53.082000000000001</v>
      </c>
      <c r="DS13" s="49">
        <v>50.463999999999999</v>
      </c>
      <c r="DT13" s="49">
        <v>4.17</v>
      </c>
      <c r="DU13" s="49">
        <v>4.1399999999999997</v>
      </c>
      <c r="DV13" s="49">
        <v>8.68</v>
      </c>
      <c r="DW13" s="49">
        <v>7.83</v>
      </c>
      <c r="DX13" s="49">
        <v>4.21</v>
      </c>
      <c r="DY13" s="49">
        <v>4.09</v>
      </c>
      <c r="DZ13" s="49">
        <v>8.2200000000000006</v>
      </c>
      <c r="EA13" s="49">
        <v>7.28</v>
      </c>
      <c r="EB13" s="49">
        <v>37.22</v>
      </c>
      <c r="EC13" s="49">
        <v>37.380000000000003</v>
      </c>
      <c r="ED13" s="49">
        <v>29.38</v>
      </c>
      <c r="EE13" s="49">
        <v>30.17</v>
      </c>
      <c r="EF13" s="50">
        <v>54.4</v>
      </c>
      <c r="EG13" s="50">
        <v>54.38</v>
      </c>
      <c r="EH13" s="50">
        <v>53.71</v>
      </c>
      <c r="EI13" s="50">
        <v>54.72</v>
      </c>
      <c r="EJ13" s="49">
        <v>5.1420000000000003</v>
      </c>
      <c r="EK13" s="49">
        <v>57.231000000000002</v>
      </c>
      <c r="EL13" s="50">
        <v>2.25</v>
      </c>
      <c r="EM13" s="50">
        <v>1.25</v>
      </c>
      <c r="EN13" s="49">
        <v>1.24</v>
      </c>
      <c r="EO13" s="49">
        <v>1.25</v>
      </c>
      <c r="EP13" s="49">
        <v>-108.85</v>
      </c>
      <c r="EQ13" s="50">
        <v>-1.1559999999999999</v>
      </c>
      <c r="ER13" s="49">
        <v>107.81399999999999</v>
      </c>
      <c r="ES13" s="49">
        <v>1.3620000000000001</v>
      </c>
      <c r="ET13" s="49">
        <v>1.4079999999999999</v>
      </c>
      <c r="EU13" s="49">
        <v>1.3120000000000001</v>
      </c>
      <c r="EV13" s="49">
        <v>7.4509999999999996</v>
      </c>
      <c r="EW13" s="49">
        <v>0.38300000000000001</v>
      </c>
      <c r="EX13" s="49">
        <v>-221.12</v>
      </c>
      <c r="EY13" s="49">
        <v>0</v>
      </c>
      <c r="EZ13" s="50">
        <v>24.507000000000001</v>
      </c>
      <c r="FA13" s="50">
        <v>0</v>
      </c>
      <c r="FB13" s="49">
        <v>8.99</v>
      </c>
      <c r="FC13" s="49">
        <v>74.778000000000006</v>
      </c>
      <c r="FD13" s="49">
        <v>66.436999999999998</v>
      </c>
      <c r="FE13" s="49">
        <v>76.805000000000007</v>
      </c>
      <c r="FF13" s="49">
        <v>75.515000000000001</v>
      </c>
      <c r="FG13" s="50">
        <v>1.0369999999999999</v>
      </c>
      <c r="FH13" s="50">
        <v>1.0469999999999999</v>
      </c>
      <c r="FI13" s="50">
        <v>0.996</v>
      </c>
      <c r="FJ13" s="50">
        <v>0.999</v>
      </c>
      <c r="FK13" s="50">
        <v>0.40300000000000002</v>
      </c>
      <c r="FL13" s="50">
        <v>87</v>
      </c>
      <c r="FM13" s="50">
        <v>3.51</v>
      </c>
      <c r="FN13" s="49">
        <v>-0.44</v>
      </c>
      <c r="FO13" s="49">
        <v>5.44</v>
      </c>
      <c r="FP13" s="50">
        <v>0.4</v>
      </c>
      <c r="FQ13" s="50">
        <v>0.3</v>
      </c>
      <c r="FR13" s="49">
        <v>5.0999999999999996</v>
      </c>
      <c r="FS13" s="49">
        <v>6.7774999999999999</v>
      </c>
      <c r="FT13" s="49">
        <v>1078.2</v>
      </c>
      <c r="FU13" s="49">
        <v>6.58</v>
      </c>
      <c r="FV13" s="49">
        <v>5.62</v>
      </c>
      <c r="FW13" s="50">
        <v>3254</v>
      </c>
      <c r="FX13" s="49">
        <v>168000</v>
      </c>
      <c r="FY13" s="50">
        <v>171200</v>
      </c>
      <c r="FZ13" s="50">
        <v>49.442999999999998</v>
      </c>
      <c r="GA13" s="50">
        <v>48.405000000000001</v>
      </c>
      <c r="GB13" s="50">
        <v>2473.8000000000002</v>
      </c>
      <c r="GC13" s="49">
        <v>2260.6999999999998</v>
      </c>
      <c r="GD13" s="50">
        <v>2473.8000000000002</v>
      </c>
      <c r="GE13" s="49">
        <v>2260.6999999999998</v>
      </c>
      <c r="GF13" s="49">
        <v>1380.7344000000001</v>
      </c>
      <c r="GG13" s="50">
        <v>30</v>
      </c>
      <c r="GH13" s="49">
        <v>29.5</v>
      </c>
      <c r="GI13" s="50">
        <v>70.3</v>
      </c>
      <c r="GJ13" s="50">
        <v>75.099999999999994</v>
      </c>
      <c r="GK13" s="50">
        <v>95</v>
      </c>
      <c r="GL13" s="49">
        <v>89.3</v>
      </c>
      <c r="GM13" s="50">
        <v>0</v>
      </c>
      <c r="GN13" s="49">
        <v>25.346</v>
      </c>
      <c r="GO13" s="49">
        <v>108.85</v>
      </c>
      <c r="GP13" s="50">
        <v>0</v>
      </c>
      <c r="GQ13" s="50">
        <v>4.13</v>
      </c>
      <c r="GR13" s="50">
        <v>0</v>
      </c>
      <c r="GS13" s="50">
        <v>4.0119999999999996</v>
      </c>
      <c r="GT13" s="50">
        <v>0</v>
      </c>
      <c r="GU13" s="50">
        <v>3.7170000000000001</v>
      </c>
      <c r="GV13" s="50">
        <v>0</v>
      </c>
      <c r="GW13" s="49">
        <v>12.161</v>
      </c>
      <c r="GX13" s="50">
        <v>22.54</v>
      </c>
      <c r="GY13" s="50">
        <v>0</v>
      </c>
      <c r="GZ13" s="50">
        <v>0</v>
      </c>
      <c r="HA13" s="50">
        <v>0</v>
      </c>
      <c r="HB13" s="50">
        <v>1</v>
      </c>
      <c r="HC13" s="50">
        <v>27.405999999999999</v>
      </c>
      <c r="HD13" s="50">
        <v>90</v>
      </c>
      <c r="HE13" s="50">
        <v>0</v>
      </c>
      <c r="HF13" s="50">
        <v>0</v>
      </c>
      <c r="HG13" s="50">
        <v>88.85</v>
      </c>
      <c r="HH13" s="49">
        <v>82.58</v>
      </c>
      <c r="HI13" s="50">
        <v>0</v>
      </c>
      <c r="HJ13" s="50">
        <v>0</v>
      </c>
      <c r="HK13" s="50">
        <v>0</v>
      </c>
      <c r="HL13" s="50">
        <v>73</v>
      </c>
      <c r="HM13" s="50">
        <v>55</v>
      </c>
      <c r="HN13" s="49">
        <v>62</v>
      </c>
      <c r="HO13" s="49">
        <v>56</v>
      </c>
      <c r="HP13" s="49">
        <v>58</v>
      </c>
      <c r="HQ13" s="49">
        <v>56</v>
      </c>
      <c r="HR13" s="49">
        <v>50</v>
      </c>
      <c r="HS13" s="49">
        <v>62</v>
      </c>
      <c r="HT13" s="50">
        <v>-1.2989999999999999</v>
      </c>
      <c r="HU13" s="50">
        <v>0</v>
      </c>
      <c r="HV13" s="49">
        <v>0.20399999999999999</v>
      </c>
      <c r="HW13" s="49">
        <v>37.020000000000003</v>
      </c>
      <c r="HX13" s="49">
        <v>47.6</v>
      </c>
      <c r="HY13" s="3"/>
      <c r="HZ13" s="3"/>
      <c r="IA13" s="49">
        <v>2.637</v>
      </c>
      <c r="IB13" s="49">
        <v>99</v>
      </c>
      <c r="IC13" s="49">
        <v>18.283999999999999</v>
      </c>
      <c r="ID13" s="50">
        <v>-0.151</v>
      </c>
      <c r="IE13" s="50">
        <v>-3.3000000000000002E-2</v>
      </c>
      <c r="IF13" s="49">
        <v>817</v>
      </c>
      <c r="IG13" s="49">
        <v>641.29999999999995</v>
      </c>
      <c r="IH13" s="49">
        <v>828.4</v>
      </c>
      <c r="II13" s="49">
        <v>654</v>
      </c>
      <c r="IJ13" s="50">
        <v>8.4000000000000005E-2</v>
      </c>
      <c r="IK13" s="50">
        <v>-5.0000000000000001E-3</v>
      </c>
      <c r="IL13" s="50">
        <v>134.124</v>
      </c>
      <c r="IM13" s="50">
        <v>134.124</v>
      </c>
      <c r="IN13" s="49">
        <v>13.132</v>
      </c>
      <c r="IO13" s="49">
        <v>0.39700000000000002</v>
      </c>
      <c r="IP13" s="50">
        <v>11.2</v>
      </c>
      <c r="IQ13" s="49">
        <v>1.2999999999999999E-2</v>
      </c>
      <c r="IR13" s="50">
        <v>1.4999999999999999E-2</v>
      </c>
      <c r="IS13">
        <v>0.23400000000000001</v>
      </c>
      <c r="IT13">
        <v>0.11</v>
      </c>
    </row>
    <row r="14" spans="1:254" x14ac:dyDescent="0.25">
      <c r="B14" s="2" t="s">
        <v>412</v>
      </c>
      <c r="C14" s="2" t="s">
        <v>42</v>
      </c>
      <c r="D14" s="61">
        <v>2.4716435185185184E-3</v>
      </c>
      <c r="E14" s="49">
        <v>213.59</v>
      </c>
      <c r="F14" s="49">
        <v>333.32</v>
      </c>
      <c r="G14" s="49">
        <v>5.77</v>
      </c>
      <c r="H14" s="49">
        <v>29.3</v>
      </c>
      <c r="I14" s="50">
        <v>0</v>
      </c>
      <c r="J14" s="49">
        <v>14.6</v>
      </c>
      <c r="K14" s="49">
        <v>8</v>
      </c>
      <c r="L14" s="50">
        <v>3</v>
      </c>
      <c r="M14" s="50">
        <v>6</v>
      </c>
      <c r="N14" s="50">
        <v>3</v>
      </c>
      <c r="O14" s="50">
        <v>3</v>
      </c>
      <c r="P14" s="49">
        <v>0.69899999999999995</v>
      </c>
      <c r="Q14" s="49">
        <v>1.349</v>
      </c>
      <c r="R14" s="49">
        <v>0.60399999999999998</v>
      </c>
      <c r="S14" s="49">
        <v>0.71399999999999997</v>
      </c>
      <c r="T14" s="49">
        <v>73.52</v>
      </c>
      <c r="U14" s="49">
        <v>60.109000000000002</v>
      </c>
      <c r="V14" s="49">
        <v>248.34</v>
      </c>
      <c r="W14" s="49">
        <v>260</v>
      </c>
      <c r="X14" s="49">
        <v>208.34</v>
      </c>
      <c r="Y14" s="49">
        <v>251.66</v>
      </c>
      <c r="Z14" s="49">
        <v>397.61</v>
      </c>
      <c r="AA14" s="49">
        <v>406.45</v>
      </c>
      <c r="AB14" s="49">
        <v>334.49</v>
      </c>
      <c r="AC14" s="49">
        <v>392.81</v>
      </c>
      <c r="AD14" s="49">
        <v>1.8149999999999999</v>
      </c>
      <c r="AE14" s="49">
        <v>1.87</v>
      </c>
      <c r="AF14" s="49">
        <v>1.786</v>
      </c>
      <c r="AG14" s="49">
        <v>1.8069999999999999</v>
      </c>
      <c r="AH14" s="49">
        <v>81.290000000000006</v>
      </c>
      <c r="AI14" s="49">
        <v>76.42</v>
      </c>
      <c r="AJ14" s="49">
        <v>107.86</v>
      </c>
      <c r="AK14" s="49">
        <v>103.05</v>
      </c>
      <c r="AL14" s="49">
        <v>647.67999999999995</v>
      </c>
      <c r="AM14" s="49">
        <v>671.16600000000005</v>
      </c>
      <c r="AN14" s="49">
        <v>827.78499999999997</v>
      </c>
      <c r="AO14" s="49">
        <v>788.43700000000001</v>
      </c>
      <c r="AP14" s="49">
        <v>1.3939999999999999</v>
      </c>
      <c r="AQ14" s="49">
        <v>1.865</v>
      </c>
      <c r="AR14" s="49">
        <v>41.143999999999998</v>
      </c>
      <c r="AS14" s="49">
        <v>34.872999999999998</v>
      </c>
      <c r="AT14" s="49">
        <v>83</v>
      </c>
      <c r="AU14" s="49">
        <v>116</v>
      </c>
      <c r="AV14" s="49">
        <v>2.6145</v>
      </c>
      <c r="AW14" s="50">
        <v>5.4661999999999997</v>
      </c>
      <c r="AX14" s="49">
        <v>1018.9</v>
      </c>
      <c r="AY14" s="49">
        <v>1.91</v>
      </c>
      <c r="AZ14" s="49">
        <v>5.76</v>
      </c>
      <c r="BA14" s="49">
        <v>97.081000000000003</v>
      </c>
      <c r="BB14" s="49">
        <v>92.271000000000001</v>
      </c>
      <c r="BC14" s="49">
        <v>7722</v>
      </c>
      <c r="BD14" s="49">
        <v>88.75</v>
      </c>
      <c r="BE14" s="49">
        <v>15.84</v>
      </c>
      <c r="BF14" s="49">
        <v>12.465</v>
      </c>
      <c r="BG14" s="49">
        <v>28.25</v>
      </c>
      <c r="BH14" s="49">
        <v>25.26</v>
      </c>
      <c r="BI14" s="3"/>
      <c r="BJ14" s="3"/>
      <c r="BK14" s="3"/>
      <c r="BL14" s="3"/>
      <c r="BM14" s="3"/>
      <c r="BN14" s="49">
        <v>104.84</v>
      </c>
      <c r="BO14" s="49">
        <v>102.024</v>
      </c>
      <c r="BP14" s="49">
        <v>139.01599999999999</v>
      </c>
      <c r="BQ14" s="49">
        <v>138.184</v>
      </c>
      <c r="BR14" s="3"/>
      <c r="BS14" s="49">
        <v>28.9</v>
      </c>
      <c r="BT14" s="50">
        <v>7418.11</v>
      </c>
      <c r="BU14" s="49">
        <v>50.798000000000002</v>
      </c>
      <c r="BV14" s="49">
        <v>54.884</v>
      </c>
      <c r="BW14" s="49">
        <v>56.616999999999997</v>
      </c>
      <c r="BX14" s="49">
        <v>57.048000000000002</v>
      </c>
      <c r="BY14" s="49">
        <v>1.482</v>
      </c>
      <c r="BZ14" s="50">
        <v>3.06</v>
      </c>
      <c r="CA14" s="49">
        <v>3.7429999999999999</v>
      </c>
      <c r="CB14" s="49">
        <v>3.6160000000000001</v>
      </c>
      <c r="CC14" s="50">
        <v>1.325</v>
      </c>
      <c r="CD14" s="50">
        <v>2.5019999999999998</v>
      </c>
      <c r="CE14" s="49">
        <v>1.3520000000000001</v>
      </c>
      <c r="CF14" s="50">
        <v>2.2040000000000002</v>
      </c>
      <c r="CG14" s="49">
        <v>13.944000000000001</v>
      </c>
      <c r="CH14" s="49">
        <v>13.779</v>
      </c>
      <c r="CI14" s="49">
        <v>5.3479999999999999</v>
      </c>
      <c r="CJ14" s="50">
        <v>3.415</v>
      </c>
      <c r="CK14" s="49">
        <v>1.6819999999999999</v>
      </c>
      <c r="CL14" s="49">
        <v>0.1</v>
      </c>
      <c r="CM14" s="49">
        <v>0.3</v>
      </c>
      <c r="CN14" s="49">
        <v>0</v>
      </c>
      <c r="CO14" s="49">
        <v>0</v>
      </c>
      <c r="CP14" s="49">
        <v>98.147999999999996</v>
      </c>
      <c r="CQ14" s="49">
        <v>97.213999999999999</v>
      </c>
      <c r="CR14" s="49">
        <v>129.71600000000001</v>
      </c>
      <c r="CS14" s="49">
        <v>130.286</v>
      </c>
      <c r="CT14" s="49">
        <v>0.32300000000000001</v>
      </c>
      <c r="CU14" s="49">
        <v>1</v>
      </c>
      <c r="CV14" s="49">
        <v>0.997</v>
      </c>
      <c r="CW14" s="49">
        <v>1.198</v>
      </c>
      <c r="CX14" s="49">
        <v>1.1000000000000001</v>
      </c>
      <c r="CY14" s="49">
        <v>0.79900000000000004</v>
      </c>
      <c r="CZ14" s="49">
        <v>0.79800000000000004</v>
      </c>
      <c r="DA14" s="49">
        <v>0.5</v>
      </c>
      <c r="DB14" s="49">
        <v>1.504</v>
      </c>
      <c r="DC14" s="50">
        <v>0</v>
      </c>
      <c r="DD14" s="50">
        <v>0</v>
      </c>
      <c r="DE14" s="49">
        <v>0.28699999999999998</v>
      </c>
      <c r="DF14" s="49">
        <v>0.114</v>
      </c>
      <c r="DG14" s="49">
        <v>0.55100000000000005</v>
      </c>
      <c r="DH14" s="49">
        <v>2.35</v>
      </c>
      <c r="DI14" s="49">
        <v>1.369</v>
      </c>
      <c r="DJ14" s="49">
        <v>0.14599999999999999</v>
      </c>
      <c r="DK14" s="49">
        <v>0.82899999999999996</v>
      </c>
      <c r="DL14" s="49">
        <v>0.40799999999999997</v>
      </c>
      <c r="DM14" s="49">
        <v>0.45900000000000002</v>
      </c>
      <c r="DN14" s="49">
        <v>0.39600000000000002</v>
      </c>
      <c r="DO14" s="49">
        <v>0.316</v>
      </c>
      <c r="DP14" s="49">
        <v>66.415999999999997</v>
      </c>
      <c r="DQ14" s="49">
        <v>57.921999999999997</v>
      </c>
      <c r="DR14" s="49">
        <v>53.674999999999997</v>
      </c>
      <c r="DS14" s="49">
        <v>51.670999999999999</v>
      </c>
      <c r="DT14" s="49">
        <v>6.35</v>
      </c>
      <c r="DU14" s="49">
        <v>6.16</v>
      </c>
      <c r="DV14" s="49">
        <v>13.33</v>
      </c>
      <c r="DW14" s="49">
        <v>11.41</v>
      </c>
      <c r="DX14" s="49">
        <v>6.69</v>
      </c>
      <c r="DY14" s="50">
        <v>6.63</v>
      </c>
      <c r="DZ14" s="49">
        <v>12.85</v>
      </c>
      <c r="EA14" s="49">
        <v>11.16</v>
      </c>
      <c r="EB14" s="49">
        <v>41.96</v>
      </c>
      <c r="EC14" s="49">
        <v>41.59</v>
      </c>
      <c r="ED14" s="49">
        <v>32.520000000000003</v>
      </c>
      <c r="EE14" s="49">
        <v>34.42</v>
      </c>
      <c r="EF14" s="49">
        <v>45</v>
      </c>
      <c r="EG14" s="49">
        <v>45.61</v>
      </c>
      <c r="EH14" s="49">
        <v>41.3</v>
      </c>
      <c r="EI14" s="49">
        <v>43.01</v>
      </c>
      <c r="EJ14" s="49">
        <v>6.1529999999999996</v>
      </c>
      <c r="EK14" s="49">
        <v>58.555</v>
      </c>
      <c r="EL14" s="49">
        <v>1.7</v>
      </c>
      <c r="EM14" s="49">
        <v>1.4</v>
      </c>
      <c r="EN14" s="49">
        <v>1.23</v>
      </c>
      <c r="EO14" s="49">
        <v>1.23</v>
      </c>
      <c r="EP14" s="49">
        <v>-104.178</v>
      </c>
      <c r="EQ14" s="49">
        <v>-2.6920000000000002</v>
      </c>
      <c r="ER14" s="49">
        <v>92.921999999999997</v>
      </c>
      <c r="ES14" s="50">
        <v>1.5609999999999999</v>
      </c>
      <c r="ET14" s="49">
        <v>1.653</v>
      </c>
      <c r="EU14" s="50">
        <v>1.484</v>
      </c>
      <c r="EV14" s="49">
        <v>7.468</v>
      </c>
      <c r="EW14" s="49">
        <v>0.39500000000000002</v>
      </c>
      <c r="EX14" s="49">
        <v>73.64</v>
      </c>
      <c r="EY14" s="49">
        <v>0</v>
      </c>
      <c r="EZ14" s="49">
        <v>0</v>
      </c>
      <c r="FA14" s="50">
        <v>0</v>
      </c>
      <c r="FB14" s="49">
        <v>9.1739999999999995</v>
      </c>
      <c r="FC14" s="49">
        <v>71.3</v>
      </c>
      <c r="FD14" s="49">
        <v>66.17</v>
      </c>
      <c r="FE14" s="49">
        <v>80.724000000000004</v>
      </c>
      <c r="FF14" s="49">
        <v>78.385999999999996</v>
      </c>
      <c r="FG14" s="49">
        <v>0.94499999999999995</v>
      </c>
      <c r="FH14" s="49">
        <v>0.94599999999999995</v>
      </c>
      <c r="FI14" s="49">
        <v>0.98599999999999999</v>
      </c>
      <c r="FJ14" s="49">
        <v>0.99</v>
      </c>
      <c r="FK14" s="49">
        <v>0</v>
      </c>
      <c r="FL14" s="49">
        <v>83</v>
      </c>
      <c r="FM14" s="49">
        <v>3.28</v>
      </c>
      <c r="FN14" s="49">
        <v>0.14000000000000001</v>
      </c>
      <c r="FO14" s="49">
        <v>5.49</v>
      </c>
      <c r="FP14" s="3"/>
      <c r="FQ14" s="49">
        <v>4.7</v>
      </c>
      <c r="FR14" s="49">
        <v>5.2</v>
      </c>
      <c r="FS14" s="50">
        <v>6.8520000000000003</v>
      </c>
      <c r="FT14" s="49">
        <v>1074.8</v>
      </c>
      <c r="FU14" s="49">
        <v>6.71</v>
      </c>
      <c r="FV14" s="49">
        <v>11.38</v>
      </c>
      <c r="FW14" s="49">
        <v>3128.5</v>
      </c>
      <c r="FX14" s="49">
        <v>166800</v>
      </c>
      <c r="FY14" s="49">
        <v>168000</v>
      </c>
      <c r="FZ14" s="49">
        <v>48.354999999999997</v>
      </c>
      <c r="GA14" s="49">
        <v>47.106000000000002</v>
      </c>
      <c r="GB14" s="49">
        <v>2171.1</v>
      </c>
      <c r="GC14" s="49">
        <v>2222.8000000000002</v>
      </c>
      <c r="GD14" s="49">
        <v>2199.4</v>
      </c>
      <c r="GE14" s="49">
        <v>2331.4</v>
      </c>
      <c r="GF14" s="50">
        <v>1455.6094000000001</v>
      </c>
      <c r="GG14" s="49">
        <v>27</v>
      </c>
      <c r="GH14" s="49">
        <v>26.8</v>
      </c>
      <c r="GI14" s="49">
        <v>52.7</v>
      </c>
      <c r="GJ14" s="49">
        <v>57.6</v>
      </c>
      <c r="GK14" s="49">
        <v>99.5</v>
      </c>
      <c r="GL14" s="49">
        <v>90</v>
      </c>
      <c r="GM14" s="50">
        <v>0</v>
      </c>
      <c r="GN14" s="49">
        <v>26.084</v>
      </c>
      <c r="GO14" s="49">
        <v>104.178</v>
      </c>
      <c r="GP14" s="49">
        <v>1.0029999999999999</v>
      </c>
      <c r="GQ14" s="49">
        <v>1.9470000000000001</v>
      </c>
      <c r="GR14" s="49">
        <v>1.298</v>
      </c>
      <c r="GS14" s="49">
        <v>2.0059999999999998</v>
      </c>
      <c r="GT14" s="49">
        <v>0.82599999999999996</v>
      </c>
      <c r="GU14" s="49">
        <v>1.829</v>
      </c>
      <c r="GV14" s="49">
        <v>13.034000000000001</v>
      </c>
      <c r="GW14" s="49">
        <v>14.074</v>
      </c>
      <c r="GX14" s="49">
        <v>15.385999999999999</v>
      </c>
      <c r="GY14" s="50">
        <v>0</v>
      </c>
      <c r="GZ14" s="50">
        <v>0</v>
      </c>
      <c r="HA14" s="50">
        <v>0</v>
      </c>
      <c r="HB14" s="49">
        <v>0</v>
      </c>
      <c r="HC14" s="49">
        <v>23.37</v>
      </c>
      <c r="HD14" s="49">
        <v>82</v>
      </c>
      <c r="HE14" s="50">
        <v>0</v>
      </c>
      <c r="HF14" s="50">
        <v>0</v>
      </c>
      <c r="HG14" s="49">
        <v>75.69</v>
      </c>
      <c r="HH14" s="49">
        <v>82.5</v>
      </c>
      <c r="HI14" s="50">
        <v>0</v>
      </c>
      <c r="HJ14" s="50">
        <v>0</v>
      </c>
      <c r="HK14" s="50">
        <v>0</v>
      </c>
      <c r="HL14" s="49">
        <v>65</v>
      </c>
      <c r="HM14" s="49">
        <v>54</v>
      </c>
      <c r="HN14" s="49">
        <v>63</v>
      </c>
      <c r="HO14" s="49">
        <v>57</v>
      </c>
      <c r="HP14" s="49">
        <v>60</v>
      </c>
      <c r="HQ14" s="49">
        <v>58</v>
      </c>
      <c r="HR14" s="49">
        <v>50</v>
      </c>
      <c r="HS14" s="49">
        <v>62</v>
      </c>
      <c r="HT14" s="49">
        <v>-1.298</v>
      </c>
      <c r="HU14" s="50">
        <v>0</v>
      </c>
      <c r="HV14" s="49">
        <v>1.1879999999999999</v>
      </c>
      <c r="HW14" s="49">
        <v>37.020000000000003</v>
      </c>
      <c r="HX14" s="50">
        <v>44.16</v>
      </c>
      <c r="HY14" s="50">
        <v>49.18</v>
      </c>
      <c r="HZ14" s="49">
        <v>59.62</v>
      </c>
      <c r="IA14" s="49">
        <v>2.8740000000000001</v>
      </c>
      <c r="IB14" s="49">
        <v>104</v>
      </c>
      <c r="IC14" s="49">
        <v>22.917999999999999</v>
      </c>
      <c r="ID14" s="49">
        <v>-0.26400000000000001</v>
      </c>
      <c r="IE14" s="49">
        <v>-8.5999999999999993E-2</v>
      </c>
      <c r="IF14" s="49">
        <v>823.9</v>
      </c>
      <c r="IG14" s="49">
        <v>771.4</v>
      </c>
      <c r="IH14" s="49">
        <v>832.2</v>
      </c>
      <c r="II14" s="49">
        <v>785.8</v>
      </c>
      <c r="IJ14" s="49">
        <v>1.0999999999999999E-2</v>
      </c>
      <c r="IK14" s="49">
        <v>-0.11600000000000001</v>
      </c>
      <c r="IL14" s="49">
        <v>73.87</v>
      </c>
      <c r="IM14" s="49">
        <v>73.87</v>
      </c>
      <c r="IN14" s="49">
        <v>14.423999999999999</v>
      </c>
      <c r="IO14" s="50">
        <v>0.74399999999999999</v>
      </c>
      <c r="IP14" s="49">
        <v>11.1</v>
      </c>
      <c r="IQ14" s="49">
        <v>7.0000000000000001E-3</v>
      </c>
      <c r="IR14" s="49">
        <v>0.01</v>
      </c>
      <c r="IS14">
        <v>0.24100000000000002</v>
      </c>
      <c r="IT14">
        <v>0.12</v>
      </c>
    </row>
    <row r="15" spans="1:254" x14ac:dyDescent="0.25">
      <c r="B15" s="2" t="s">
        <v>412</v>
      </c>
      <c r="C15" s="2" t="s">
        <v>43</v>
      </c>
      <c r="D15" s="61">
        <v>2.4660879629629629E-3</v>
      </c>
      <c r="E15" s="49">
        <v>213.11</v>
      </c>
      <c r="F15" s="49">
        <v>330.51</v>
      </c>
      <c r="G15" s="49">
        <v>5.84</v>
      </c>
      <c r="H15" s="49">
        <v>29.3</v>
      </c>
      <c r="I15" s="50">
        <v>0</v>
      </c>
      <c r="J15" s="49">
        <v>14.2</v>
      </c>
      <c r="K15" s="49">
        <v>9</v>
      </c>
      <c r="L15" s="50">
        <v>3</v>
      </c>
      <c r="M15" s="50">
        <v>6</v>
      </c>
      <c r="N15" s="50">
        <v>3</v>
      </c>
      <c r="O15" s="50">
        <v>3</v>
      </c>
      <c r="P15" s="49">
        <v>0.68300000000000005</v>
      </c>
      <c r="Q15" s="49">
        <v>1.276</v>
      </c>
      <c r="R15" s="49">
        <v>0.45400000000000001</v>
      </c>
      <c r="S15" s="50">
        <v>0.81</v>
      </c>
      <c r="T15" s="49">
        <v>74.78</v>
      </c>
      <c r="U15" s="49">
        <v>60.107999999999997</v>
      </c>
      <c r="V15" s="49">
        <v>255</v>
      </c>
      <c r="W15" s="49">
        <v>266.66000000000003</v>
      </c>
      <c r="X15" s="49">
        <v>206.66</v>
      </c>
      <c r="Y15" s="49">
        <v>248.34</v>
      </c>
      <c r="Z15" s="50">
        <v>404.61</v>
      </c>
      <c r="AA15" s="50">
        <v>418.28</v>
      </c>
      <c r="AB15" s="50">
        <v>345.95</v>
      </c>
      <c r="AC15" s="50">
        <v>408.82</v>
      </c>
      <c r="AD15" s="49">
        <v>1.839</v>
      </c>
      <c r="AE15" s="49">
        <v>1.889</v>
      </c>
      <c r="AF15" s="49">
        <v>1.829</v>
      </c>
      <c r="AG15" s="49">
        <v>1.847</v>
      </c>
      <c r="AH15" s="49">
        <v>84.24</v>
      </c>
      <c r="AI15" s="49">
        <v>78.989999999999995</v>
      </c>
      <c r="AJ15" s="49">
        <v>113.26</v>
      </c>
      <c r="AK15" s="49">
        <v>108.59</v>
      </c>
      <c r="AL15" s="49">
        <v>645.93899999999996</v>
      </c>
      <c r="AM15" s="49">
        <v>653.00800000000004</v>
      </c>
      <c r="AN15" s="50">
        <v>836.64400000000001</v>
      </c>
      <c r="AO15" s="49">
        <v>762.01900000000001</v>
      </c>
      <c r="AP15" s="49">
        <v>1.38</v>
      </c>
      <c r="AQ15" s="49">
        <v>1.839</v>
      </c>
      <c r="AR15" s="49">
        <v>40.326000000000001</v>
      </c>
      <c r="AS15" s="49">
        <v>33.331000000000003</v>
      </c>
      <c r="AT15" s="49">
        <v>83</v>
      </c>
      <c r="AU15" s="49">
        <v>119</v>
      </c>
      <c r="AV15" s="49">
        <v>2.3694999999999999</v>
      </c>
      <c r="AW15" s="49">
        <v>5.4602000000000004</v>
      </c>
      <c r="AX15" s="49">
        <v>1018</v>
      </c>
      <c r="AY15" s="49">
        <v>1.97</v>
      </c>
      <c r="AZ15" s="49">
        <v>5.65</v>
      </c>
      <c r="BA15" s="49">
        <v>105.259</v>
      </c>
      <c r="BB15" s="49">
        <v>105.164</v>
      </c>
      <c r="BC15" s="49">
        <v>7643</v>
      </c>
      <c r="BD15" s="49">
        <v>89.5</v>
      </c>
      <c r="BE15" s="49">
        <v>15.525</v>
      </c>
      <c r="BF15" s="49">
        <v>12.115</v>
      </c>
      <c r="BG15" s="50">
        <v>29.12</v>
      </c>
      <c r="BH15" s="49">
        <v>25.83</v>
      </c>
      <c r="BI15" s="3"/>
      <c r="BJ15" s="3"/>
      <c r="BK15" s="3"/>
      <c r="BL15" s="3"/>
      <c r="BM15" s="3"/>
      <c r="BN15" s="49">
        <v>108.16800000000001</v>
      </c>
      <c r="BO15" s="49">
        <v>105.52800000000001</v>
      </c>
      <c r="BP15" s="49">
        <v>144.66399999999999</v>
      </c>
      <c r="BQ15" s="49">
        <v>144.376</v>
      </c>
      <c r="BR15" s="3"/>
      <c r="BS15" s="49">
        <v>29.1</v>
      </c>
      <c r="BT15" s="49">
        <v>7396.67</v>
      </c>
      <c r="BU15" s="50">
        <v>51.271000000000001</v>
      </c>
      <c r="BV15" s="49">
        <v>54.034999999999997</v>
      </c>
      <c r="BW15" s="49">
        <v>57.127000000000002</v>
      </c>
      <c r="BX15" s="50">
        <v>58.12</v>
      </c>
      <c r="BY15" s="49">
        <v>1.357</v>
      </c>
      <c r="BZ15" s="49">
        <v>2.7909999999999999</v>
      </c>
      <c r="CA15" s="49">
        <v>3.5329999999999999</v>
      </c>
      <c r="CB15" s="50">
        <v>4.1769999999999996</v>
      </c>
      <c r="CC15" s="49">
        <v>1.1120000000000001</v>
      </c>
      <c r="CD15" s="49">
        <v>2.4169999999999998</v>
      </c>
      <c r="CE15" s="49">
        <v>1.3240000000000001</v>
      </c>
      <c r="CF15" s="49">
        <v>2.137</v>
      </c>
      <c r="CG15" s="49">
        <v>13.943</v>
      </c>
      <c r="CH15" s="49">
        <v>13.789</v>
      </c>
      <c r="CI15" s="49">
        <v>4.25</v>
      </c>
      <c r="CJ15" s="49">
        <v>3.3260000000000001</v>
      </c>
      <c r="CK15" s="50">
        <v>1.81</v>
      </c>
      <c r="CL15" s="49">
        <v>0.7</v>
      </c>
      <c r="CM15" s="49">
        <v>0.3</v>
      </c>
      <c r="CN15" s="49">
        <v>0</v>
      </c>
      <c r="CO15" s="49">
        <v>0</v>
      </c>
      <c r="CP15" s="49">
        <v>102.562</v>
      </c>
      <c r="CQ15" s="49">
        <v>101.167</v>
      </c>
      <c r="CR15" s="49">
        <v>136.357</v>
      </c>
      <c r="CS15" s="49">
        <v>137.52799999999999</v>
      </c>
      <c r="CT15" s="49">
        <v>0.36799999999999999</v>
      </c>
      <c r="CU15" s="49">
        <v>0.7</v>
      </c>
      <c r="CV15" s="49">
        <v>1.599</v>
      </c>
      <c r="CW15" s="49">
        <v>1.302</v>
      </c>
      <c r="CX15" s="49">
        <v>1.7969999999999999</v>
      </c>
      <c r="CY15" s="49">
        <v>1.0980000000000001</v>
      </c>
      <c r="CZ15" s="49">
        <v>1.3029999999999999</v>
      </c>
      <c r="DA15" s="49">
        <v>1.099</v>
      </c>
      <c r="DB15" s="49">
        <v>1.401</v>
      </c>
      <c r="DC15" s="50">
        <v>0</v>
      </c>
      <c r="DD15" s="50">
        <v>0</v>
      </c>
      <c r="DE15" s="49">
        <v>0.26400000000000001</v>
      </c>
      <c r="DF15" s="49">
        <v>0.113</v>
      </c>
      <c r="DG15" s="49">
        <v>0.58699999999999997</v>
      </c>
      <c r="DH15" s="49">
        <v>2.448</v>
      </c>
      <c r="DI15" s="49">
        <v>1.3879999999999999</v>
      </c>
      <c r="DJ15" s="49">
        <v>7.5999999999999998E-2</v>
      </c>
      <c r="DK15" s="49">
        <v>0.80400000000000005</v>
      </c>
      <c r="DL15" s="49">
        <v>0.40500000000000003</v>
      </c>
      <c r="DM15" s="49">
        <v>0.46300000000000002</v>
      </c>
      <c r="DN15" s="49">
        <v>0.439</v>
      </c>
      <c r="DO15" s="49">
        <v>0.31900000000000001</v>
      </c>
      <c r="DP15" s="49">
        <v>64.402000000000001</v>
      </c>
      <c r="DQ15" s="49">
        <v>58.131999999999998</v>
      </c>
      <c r="DR15" s="49">
        <v>54.106000000000002</v>
      </c>
      <c r="DS15" s="49">
        <v>52.262</v>
      </c>
      <c r="DT15" s="50">
        <v>6.69</v>
      </c>
      <c r="DU15" s="49">
        <v>6.01</v>
      </c>
      <c r="DV15" s="49">
        <v>13.64</v>
      </c>
      <c r="DW15" s="49">
        <v>11</v>
      </c>
      <c r="DX15" s="50">
        <v>6.97</v>
      </c>
      <c r="DY15" s="49">
        <v>6.18</v>
      </c>
      <c r="DZ15" s="49">
        <v>12.95</v>
      </c>
      <c r="EA15" s="49">
        <v>10.74</v>
      </c>
      <c r="EB15" s="49">
        <v>41.73</v>
      </c>
      <c r="EC15" s="49">
        <v>41.88</v>
      </c>
      <c r="ED15" s="49">
        <v>32.200000000000003</v>
      </c>
      <c r="EE15" s="49">
        <v>35.159999999999997</v>
      </c>
      <c r="EF15" s="49">
        <v>44.6</v>
      </c>
      <c r="EG15" s="49">
        <v>45.93</v>
      </c>
      <c r="EH15" s="49">
        <v>41.21</v>
      </c>
      <c r="EI15" s="49">
        <v>43.09</v>
      </c>
      <c r="EJ15" s="49">
        <v>6.3570000000000002</v>
      </c>
      <c r="EK15" s="49">
        <v>58.738999999999997</v>
      </c>
      <c r="EL15" s="49">
        <v>1.75</v>
      </c>
      <c r="EM15" s="49">
        <v>1.35</v>
      </c>
      <c r="EN15" s="49">
        <v>1.21</v>
      </c>
      <c r="EO15" s="49">
        <v>1.22</v>
      </c>
      <c r="EP15" s="50">
        <v>-114.398</v>
      </c>
      <c r="EQ15" s="49">
        <v>-2.5049999999999999</v>
      </c>
      <c r="ER15" s="49">
        <v>101.098</v>
      </c>
      <c r="ES15" s="49">
        <v>1.524</v>
      </c>
      <c r="ET15" s="49">
        <v>1.6559999999999999</v>
      </c>
      <c r="EU15" s="49">
        <v>1.4610000000000001</v>
      </c>
      <c r="EV15" s="50">
        <v>7.5030000000000001</v>
      </c>
      <c r="EW15" s="49">
        <v>0.57099999999999995</v>
      </c>
      <c r="EX15" s="49">
        <v>74.64</v>
      </c>
      <c r="EY15" s="49">
        <v>0</v>
      </c>
      <c r="EZ15" s="49">
        <v>0</v>
      </c>
      <c r="FA15" s="50">
        <v>0</v>
      </c>
      <c r="FB15" s="49">
        <v>9.2059999999999995</v>
      </c>
      <c r="FC15" s="49">
        <v>75.501999999999995</v>
      </c>
      <c r="FD15" s="49">
        <v>69.572000000000003</v>
      </c>
      <c r="FE15" s="49">
        <v>87.200999999999993</v>
      </c>
      <c r="FF15" s="49">
        <v>84.340999999999994</v>
      </c>
      <c r="FG15" s="49">
        <v>0.94499999999999995</v>
      </c>
      <c r="FH15" s="49">
        <v>0.94499999999999995</v>
      </c>
      <c r="FI15" s="49">
        <v>0.98599999999999999</v>
      </c>
      <c r="FJ15" s="49">
        <v>0.99099999999999999</v>
      </c>
      <c r="FK15" s="49">
        <v>0</v>
      </c>
      <c r="FL15" s="49">
        <v>83</v>
      </c>
      <c r="FM15" s="49">
        <v>3.31</v>
      </c>
      <c r="FN15" s="49">
        <v>2.1</v>
      </c>
      <c r="FO15" s="49">
        <v>5.5</v>
      </c>
      <c r="FP15" s="3"/>
      <c r="FQ15" s="49">
        <v>4.8499999999999996</v>
      </c>
      <c r="FR15" s="49">
        <v>5</v>
      </c>
      <c r="FS15" s="49">
        <v>6.7670000000000003</v>
      </c>
      <c r="FT15" s="49">
        <v>1071.5999999999999</v>
      </c>
      <c r="FU15" s="50">
        <v>7.18</v>
      </c>
      <c r="FV15" s="49">
        <v>17.22</v>
      </c>
      <c r="FW15" s="49">
        <v>3194</v>
      </c>
      <c r="FX15" s="49">
        <v>162700</v>
      </c>
      <c r="FY15" s="49">
        <v>163600</v>
      </c>
      <c r="FZ15" s="49">
        <v>48.19</v>
      </c>
      <c r="GA15" s="49">
        <v>47.231999999999999</v>
      </c>
      <c r="GB15" s="49">
        <v>2157.5</v>
      </c>
      <c r="GC15" s="49">
        <v>2161.5</v>
      </c>
      <c r="GD15" s="49">
        <v>2202.3000000000002</v>
      </c>
      <c r="GE15" s="49">
        <v>2204.1999999999998</v>
      </c>
      <c r="GF15" s="49">
        <v>1273.7655999999999</v>
      </c>
      <c r="GG15" s="49">
        <v>27</v>
      </c>
      <c r="GH15" s="49">
        <v>27.3</v>
      </c>
      <c r="GI15" s="49">
        <v>48.2</v>
      </c>
      <c r="GJ15" s="49">
        <v>53</v>
      </c>
      <c r="GK15" s="49">
        <v>99.5</v>
      </c>
      <c r="GL15" s="49">
        <v>88.5</v>
      </c>
      <c r="GM15" s="50">
        <v>0</v>
      </c>
      <c r="GN15" s="49">
        <v>28.405999999999999</v>
      </c>
      <c r="GO15" s="49">
        <v>114.398</v>
      </c>
      <c r="GP15" s="49">
        <v>0.82599999999999996</v>
      </c>
      <c r="GQ15" s="49">
        <v>1.9470000000000001</v>
      </c>
      <c r="GR15" s="49">
        <v>1.298</v>
      </c>
      <c r="GS15" s="49">
        <v>2.0059999999999998</v>
      </c>
      <c r="GT15" s="49">
        <v>0.76700000000000002</v>
      </c>
      <c r="GU15" s="49">
        <v>1.8879999999999999</v>
      </c>
      <c r="GV15" s="49">
        <v>12.936</v>
      </c>
      <c r="GW15" s="49">
        <v>14.084</v>
      </c>
      <c r="GX15" s="49">
        <v>15.68</v>
      </c>
      <c r="GY15" s="50">
        <v>0</v>
      </c>
      <c r="GZ15" s="50">
        <v>0</v>
      </c>
      <c r="HA15" s="50">
        <v>0</v>
      </c>
      <c r="HB15" s="49">
        <v>0</v>
      </c>
      <c r="HC15" s="49">
        <v>23.276</v>
      </c>
      <c r="HD15" s="49">
        <v>82</v>
      </c>
      <c r="HE15" s="50">
        <v>0</v>
      </c>
      <c r="HF15" s="50">
        <v>0</v>
      </c>
      <c r="HG15" s="49">
        <v>77.83</v>
      </c>
      <c r="HH15" s="49">
        <v>82.87</v>
      </c>
      <c r="HI15" s="50">
        <v>0</v>
      </c>
      <c r="HJ15" s="50">
        <v>0</v>
      </c>
      <c r="HK15" s="50">
        <v>0</v>
      </c>
      <c r="HL15" s="49">
        <v>63</v>
      </c>
      <c r="HM15" s="49">
        <v>54</v>
      </c>
      <c r="HN15" s="49">
        <v>64</v>
      </c>
      <c r="HO15" s="49">
        <v>58</v>
      </c>
      <c r="HP15" s="49">
        <v>61</v>
      </c>
      <c r="HQ15" s="49">
        <v>59</v>
      </c>
      <c r="HR15" s="49">
        <v>51</v>
      </c>
      <c r="HS15" s="50">
        <v>70</v>
      </c>
      <c r="HT15" s="49">
        <v>-1.2689999999999999</v>
      </c>
      <c r="HU15" s="50">
        <v>0</v>
      </c>
      <c r="HV15" s="49">
        <v>1.304</v>
      </c>
      <c r="HW15" s="50">
        <v>34.18</v>
      </c>
      <c r="HX15" s="50">
        <v>44.16</v>
      </c>
      <c r="HY15" s="49">
        <v>47.76</v>
      </c>
      <c r="HZ15" s="50">
        <v>59.66</v>
      </c>
      <c r="IA15" s="49">
        <v>2.7069999999999999</v>
      </c>
      <c r="IB15" s="49">
        <v>104</v>
      </c>
      <c r="IC15" s="49">
        <v>22.895</v>
      </c>
      <c r="ID15" s="49">
        <v>-0.26</v>
      </c>
      <c r="IE15" s="49">
        <v>-8.5999999999999993E-2</v>
      </c>
      <c r="IF15" s="49">
        <v>822.9</v>
      </c>
      <c r="IG15" s="50">
        <v>775.2</v>
      </c>
      <c r="IH15" s="49">
        <v>832.6</v>
      </c>
      <c r="II15" s="49">
        <v>786.9</v>
      </c>
      <c r="IJ15" s="49">
        <v>-2.7E-2</v>
      </c>
      <c r="IK15" s="49">
        <v>-0.153</v>
      </c>
      <c r="IL15" s="49">
        <v>71.332999999999998</v>
      </c>
      <c r="IM15" s="49">
        <v>71.332999999999998</v>
      </c>
      <c r="IN15" s="49">
        <v>11.933</v>
      </c>
      <c r="IO15" s="49">
        <v>0.59299999999999997</v>
      </c>
      <c r="IP15" s="49">
        <v>10.97</v>
      </c>
      <c r="IQ15" s="49">
        <v>1.0999999999999999E-2</v>
      </c>
      <c r="IR15" s="49">
        <v>8.9999999999999993E-3</v>
      </c>
      <c r="IS15">
        <v>0.252</v>
      </c>
      <c r="IT15">
        <v>0.129</v>
      </c>
    </row>
    <row r="16" spans="1:254" x14ac:dyDescent="0.25">
      <c r="B16" s="2" t="s">
        <v>412</v>
      </c>
      <c r="C16" s="62" t="s">
        <v>44</v>
      </c>
      <c r="D16" s="63">
        <v>2.4462962962962967E-3</v>
      </c>
      <c r="E16" s="49">
        <v>211.4</v>
      </c>
      <c r="F16" s="49">
        <v>329.72</v>
      </c>
      <c r="G16" s="50">
        <v>5.85</v>
      </c>
      <c r="H16" s="49">
        <v>29.3</v>
      </c>
      <c r="I16" s="50">
        <v>0</v>
      </c>
      <c r="J16" s="49">
        <v>14.8</v>
      </c>
      <c r="K16" s="50">
        <v>10</v>
      </c>
      <c r="L16" s="50">
        <v>3</v>
      </c>
      <c r="M16" s="50">
        <v>6</v>
      </c>
      <c r="N16" s="50">
        <v>3</v>
      </c>
      <c r="O16" s="50">
        <v>3</v>
      </c>
      <c r="P16" s="49">
        <v>0.79700000000000004</v>
      </c>
      <c r="Q16" s="49">
        <v>1.395</v>
      </c>
      <c r="R16" s="49">
        <v>0.72699999999999998</v>
      </c>
      <c r="S16" s="49">
        <v>0.71399999999999997</v>
      </c>
      <c r="T16" s="49">
        <v>80.75</v>
      </c>
      <c r="U16" s="49">
        <v>60.061</v>
      </c>
      <c r="V16" s="49">
        <v>248.34</v>
      </c>
      <c r="W16" s="49">
        <v>261.66000000000003</v>
      </c>
      <c r="X16" s="49">
        <v>213.34</v>
      </c>
      <c r="Y16" s="49">
        <v>258.33999999999997</v>
      </c>
      <c r="Z16" s="49">
        <v>394.89</v>
      </c>
      <c r="AA16" s="49">
        <v>407.01</v>
      </c>
      <c r="AB16" s="49">
        <v>335.84</v>
      </c>
      <c r="AC16" s="49">
        <v>398.92</v>
      </c>
      <c r="AD16" s="50">
        <v>1.8460000000000001</v>
      </c>
      <c r="AE16" s="50">
        <v>1.8979999999999999</v>
      </c>
      <c r="AF16" s="50">
        <v>1.849</v>
      </c>
      <c r="AG16" s="50">
        <v>1.8660000000000001</v>
      </c>
      <c r="AH16" s="50">
        <v>84.95</v>
      </c>
      <c r="AI16" s="50">
        <v>80.819999999999993</v>
      </c>
      <c r="AJ16" s="50">
        <v>115.14</v>
      </c>
      <c r="AK16" s="50">
        <v>110.23</v>
      </c>
      <c r="AL16" s="49">
        <v>667.36800000000005</v>
      </c>
      <c r="AM16" s="49">
        <v>651.23299999999995</v>
      </c>
      <c r="AN16" s="49">
        <v>811.95799999999997</v>
      </c>
      <c r="AO16" s="49">
        <v>800.71100000000001</v>
      </c>
      <c r="AP16" s="49">
        <v>1.369</v>
      </c>
      <c r="AQ16" s="49">
        <v>1.827</v>
      </c>
      <c r="AR16" s="49">
        <v>41.41</v>
      </c>
      <c r="AS16" s="49">
        <v>34.609000000000002</v>
      </c>
      <c r="AT16" s="49">
        <v>83</v>
      </c>
      <c r="AU16" s="49">
        <v>120</v>
      </c>
      <c r="AV16" s="49">
        <v>2.3290000000000002</v>
      </c>
      <c r="AW16" s="49">
        <v>5.4340999999999999</v>
      </c>
      <c r="AX16" s="49">
        <v>1018.1</v>
      </c>
      <c r="AY16" s="49">
        <v>2.0299999999999998</v>
      </c>
      <c r="AZ16" s="49">
        <v>5.73</v>
      </c>
      <c r="BA16" s="49">
        <v>112.649</v>
      </c>
      <c r="BB16" s="49">
        <v>111.938</v>
      </c>
      <c r="BC16" s="49">
        <v>7706</v>
      </c>
      <c r="BD16" s="50">
        <v>90</v>
      </c>
      <c r="BE16" s="49">
        <v>16.41</v>
      </c>
      <c r="BF16" s="49">
        <v>13.255000000000001</v>
      </c>
      <c r="BG16" s="49">
        <v>28.42</v>
      </c>
      <c r="BH16" s="49">
        <v>26.13</v>
      </c>
      <c r="BI16" s="3"/>
      <c r="BJ16" s="3"/>
      <c r="BK16" s="3"/>
      <c r="BL16" s="3"/>
      <c r="BM16" s="3"/>
      <c r="BN16" s="49">
        <v>107.57599999999999</v>
      </c>
      <c r="BO16" s="49">
        <v>105.752</v>
      </c>
      <c r="BP16" s="49">
        <v>145.33600000000001</v>
      </c>
      <c r="BQ16" s="49">
        <v>145.11199999999999</v>
      </c>
      <c r="BR16" s="3"/>
      <c r="BS16" s="49">
        <v>29.1</v>
      </c>
      <c r="BT16" s="49">
        <v>7395.33</v>
      </c>
      <c r="BU16" s="49">
        <v>51.076000000000001</v>
      </c>
      <c r="BV16" s="49">
        <v>54.88</v>
      </c>
      <c r="BW16" s="49">
        <v>56.758000000000003</v>
      </c>
      <c r="BX16" s="49">
        <v>57.265000000000001</v>
      </c>
      <c r="BY16" s="49">
        <v>1.3220000000000001</v>
      </c>
      <c r="BZ16" s="49">
        <v>2.8210000000000002</v>
      </c>
      <c r="CA16" s="49">
        <v>3.4889999999999999</v>
      </c>
      <c r="CB16" s="49">
        <v>3.7349999999999999</v>
      </c>
      <c r="CC16" s="49">
        <v>1.1819999999999999</v>
      </c>
      <c r="CD16" s="49">
        <v>2.3029999999999999</v>
      </c>
      <c r="CE16" s="49">
        <v>1.3460000000000001</v>
      </c>
      <c r="CF16" s="49">
        <v>2.137</v>
      </c>
      <c r="CG16" s="49">
        <v>13.942</v>
      </c>
      <c r="CH16" s="49">
        <v>13.781000000000001</v>
      </c>
      <c r="CI16" s="49">
        <v>4.4020000000000001</v>
      </c>
      <c r="CJ16" s="49">
        <v>3.194</v>
      </c>
      <c r="CK16" s="49">
        <v>1.649</v>
      </c>
      <c r="CL16" s="49">
        <v>0.3</v>
      </c>
      <c r="CM16" s="49">
        <v>0.5</v>
      </c>
      <c r="CN16" s="50">
        <v>0.3</v>
      </c>
      <c r="CO16" s="49">
        <v>0.2</v>
      </c>
      <c r="CP16" s="49">
        <v>100.651</v>
      </c>
      <c r="CQ16" s="49">
        <v>99.977999999999994</v>
      </c>
      <c r="CR16" s="50">
        <v>137.45400000000001</v>
      </c>
      <c r="CS16" s="50">
        <v>139.46799999999999</v>
      </c>
      <c r="CT16" s="49">
        <v>0.52200000000000002</v>
      </c>
      <c r="CU16" s="49">
        <v>0.59899999999999998</v>
      </c>
      <c r="CV16" s="49">
        <v>1.7030000000000001</v>
      </c>
      <c r="CW16" s="49">
        <v>1.9019999999999999</v>
      </c>
      <c r="CX16" s="49">
        <v>1.4970000000000001</v>
      </c>
      <c r="CY16" s="49">
        <v>1.0029999999999999</v>
      </c>
      <c r="CZ16" s="49">
        <v>1.4</v>
      </c>
      <c r="DA16" s="49">
        <v>1</v>
      </c>
      <c r="DB16" s="49">
        <v>0.999</v>
      </c>
      <c r="DC16" s="50">
        <v>0</v>
      </c>
      <c r="DD16" s="50">
        <v>0</v>
      </c>
      <c r="DE16" s="49">
        <v>0.29199999999999998</v>
      </c>
      <c r="DF16" s="49">
        <v>0.13600000000000001</v>
      </c>
      <c r="DG16" s="49">
        <v>0.50900000000000001</v>
      </c>
      <c r="DH16" s="50">
        <v>2.589</v>
      </c>
      <c r="DI16" s="50">
        <v>1.49</v>
      </c>
      <c r="DJ16" s="49">
        <v>0.17499999999999999</v>
      </c>
      <c r="DK16" s="49">
        <v>0.79700000000000004</v>
      </c>
      <c r="DL16" s="49">
        <v>0.40799999999999997</v>
      </c>
      <c r="DM16" s="49">
        <v>0.45900000000000002</v>
      </c>
      <c r="DN16" s="49">
        <v>0.46300000000000002</v>
      </c>
      <c r="DO16" s="49">
        <v>0.34499999999999997</v>
      </c>
      <c r="DP16" s="49">
        <v>64.725999999999999</v>
      </c>
      <c r="DQ16" s="49">
        <v>58.968000000000004</v>
      </c>
      <c r="DR16" s="49">
        <v>52.582000000000001</v>
      </c>
      <c r="DS16" s="49">
        <v>51.238999999999997</v>
      </c>
      <c r="DT16" s="49">
        <v>6.65</v>
      </c>
      <c r="DU16" s="50">
        <v>6.24</v>
      </c>
      <c r="DV16" s="50">
        <v>13.78</v>
      </c>
      <c r="DW16" s="50">
        <v>11.69</v>
      </c>
      <c r="DX16" s="49">
        <v>6.87</v>
      </c>
      <c r="DY16" s="49">
        <v>6.37</v>
      </c>
      <c r="DZ16" s="50">
        <v>13.31</v>
      </c>
      <c r="EA16" s="50">
        <v>11.4</v>
      </c>
      <c r="EB16" s="49">
        <v>41.83</v>
      </c>
      <c r="EC16" s="49">
        <v>41.2</v>
      </c>
      <c r="ED16" s="49">
        <v>31.51</v>
      </c>
      <c r="EE16" s="49">
        <v>33.78</v>
      </c>
      <c r="EF16" s="49">
        <v>44.64</v>
      </c>
      <c r="EG16" s="49">
        <v>46.19</v>
      </c>
      <c r="EH16" s="49">
        <v>41.4</v>
      </c>
      <c r="EI16" s="49">
        <v>43.12</v>
      </c>
      <c r="EJ16" s="50">
        <v>6.81</v>
      </c>
      <c r="EK16" s="50">
        <v>59.183</v>
      </c>
      <c r="EL16" s="49">
        <v>1.9</v>
      </c>
      <c r="EM16" s="49">
        <v>1.4</v>
      </c>
      <c r="EN16" s="49">
        <v>1.21</v>
      </c>
      <c r="EO16" s="49">
        <v>1.22</v>
      </c>
      <c r="EP16" s="49">
        <v>-105.054</v>
      </c>
      <c r="EQ16" s="49">
        <v>-2.29</v>
      </c>
      <c r="ER16" s="49">
        <v>104.31</v>
      </c>
      <c r="ES16" s="49">
        <v>1.478</v>
      </c>
      <c r="ET16" s="50">
        <v>1.6579999999999999</v>
      </c>
      <c r="EU16" s="49">
        <v>1.4330000000000001</v>
      </c>
      <c r="EV16" s="49">
        <v>7.4909999999999997</v>
      </c>
      <c r="EW16" s="49">
        <v>0.59899999999999998</v>
      </c>
      <c r="EX16" s="50">
        <v>74.94</v>
      </c>
      <c r="EY16" s="49">
        <v>0</v>
      </c>
      <c r="EZ16" s="49">
        <v>5.8000000000000003E-2</v>
      </c>
      <c r="FA16" s="50">
        <v>0</v>
      </c>
      <c r="FB16" s="49">
        <v>9.2100000000000009</v>
      </c>
      <c r="FC16" s="50">
        <v>76.549000000000007</v>
      </c>
      <c r="FD16" s="50">
        <v>70.911000000000001</v>
      </c>
      <c r="FE16" s="50">
        <v>90.117999999999995</v>
      </c>
      <c r="FF16" s="50">
        <v>87.099000000000004</v>
      </c>
      <c r="FG16" s="49">
        <v>0.94499999999999995</v>
      </c>
      <c r="FH16" s="49">
        <v>0.94599999999999995</v>
      </c>
      <c r="FI16" s="49">
        <v>0.98599999999999999</v>
      </c>
      <c r="FJ16" s="49">
        <v>0.99</v>
      </c>
      <c r="FK16" s="49">
        <v>0</v>
      </c>
      <c r="FL16" s="49">
        <v>83</v>
      </c>
      <c r="FM16" s="49">
        <v>3.31</v>
      </c>
      <c r="FN16" s="49">
        <v>2.0499999999999998</v>
      </c>
      <c r="FO16" s="49">
        <v>5.48</v>
      </c>
      <c r="FP16" s="49">
        <v>4.5</v>
      </c>
      <c r="FQ16" s="49">
        <v>4.8499999999999996</v>
      </c>
      <c r="FR16" s="49">
        <v>5.05</v>
      </c>
      <c r="FS16" s="49">
        <v>6.8315000000000001</v>
      </c>
      <c r="FT16" s="49">
        <v>1072.0999999999999</v>
      </c>
      <c r="FU16" s="49">
        <v>6.95</v>
      </c>
      <c r="FV16" s="49">
        <v>23.08</v>
      </c>
      <c r="FW16" s="49">
        <v>3091</v>
      </c>
      <c r="FX16" s="49">
        <v>166900</v>
      </c>
      <c r="FY16" s="49">
        <v>167800</v>
      </c>
      <c r="FZ16" s="49">
        <v>47.944000000000003</v>
      </c>
      <c r="GA16" s="49">
        <v>46.993000000000002</v>
      </c>
      <c r="GB16" s="49">
        <v>2178.8000000000002</v>
      </c>
      <c r="GC16" s="50">
        <v>2350.6999999999998</v>
      </c>
      <c r="GD16" s="49">
        <v>2221.1</v>
      </c>
      <c r="GE16" s="50">
        <v>2350.6999999999998</v>
      </c>
      <c r="GF16" s="49">
        <v>1437.9219000000001</v>
      </c>
      <c r="GG16" s="49">
        <v>28</v>
      </c>
      <c r="GH16" s="49">
        <v>27.9</v>
      </c>
      <c r="GI16" s="49">
        <v>48</v>
      </c>
      <c r="GJ16" s="49">
        <v>52.7</v>
      </c>
      <c r="GK16" s="49">
        <v>99.5</v>
      </c>
      <c r="GL16" s="49">
        <v>77.8</v>
      </c>
      <c r="GM16" s="50">
        <v>0</v>
      </c>
      <c r="GN16" s="50">
        <v>28.806000000000001</v>
      </c>
      <c r="GO16" s="49">
        <v>105.054</v>
      </c>
      <c r="GP16" s="49">
        <v>0.53100000000000003</v>
      </c>
      <c r="GQ16" s="49">
        <v>1.9470000000000001</v>
      </c>
      <c r="GR16" s="49">
        <v>1.121</v>
      </c>
      <c r="GS16" s="49">
        <v>2.0059999999999998</v>
      </c>
      <c r="GT16" s="49">
        <v>0.70799999999999996</v>
      </c>
      <c r="GU16" s="49">
        <v>1.8879999999999999</v>
      </c>
      <c r="GV16" s="49">
        <v>13.034000000000001</v>
      </c>
      <c r="GW16" s="49">
        <v>14.063000000000001</v>
      </c>
      <c r="GX16" s="49">
        <v>15.092000000000001</v>
      </c>
      <c r="GY16" s="50">
        <v>0</v>
      </c>
      <c r="GZ16" s="50">
        <v>0</v>
      </c>
      <c r="HA16" s="50">
        <v>0</v>
      </c>
      <c r="HB16" s="49">
        <v>0</v>
      </c>
      <c r="HC16" s="49">
        <v>23.283000000000001</v>
      </c>
      <c r="HD16" s="49">
        <v>82</v>
      </c>
      <c r="HE16" s="50">
        <v>0</v>
      </c>
      <c r="HF16" s="50">
        <v>0</v>
      </c>
      <c r="HG16" s="49">
        <v>76.94</v>
      </c>
      <c r="HH16" s="49">
        <v>82.74</v>
      </c>
      <c r="HI16" s="50">
        <v>0</v>
      </c>
      <c r="HJ16" s="50">
        <v>0</v>
      </c>
      <c r="HK16" s="50">
        <v>0</v>
      </c>
      <c r="HL16" s="49">
        <v>63</v>
      </c>
      <c r="HM16" s="49">
        <v>53</v>
      </c>
      <c r="HN16" s="49">
        <v>65</v>
      </c>
      <c r="HO16" s="49">
        <v>59</v>
      </c>
      <c r="HP16" s="49">
        <v>62</v>
      </c>
      <c r="HQ16" s="49">
        <v>60</v>
      </c>
      <c r="HR16" s="49">
        <v>51</v>
      </c>
      <c r="HS16" s="49">
        <v>64</v>
      </c>
      <c r="HT16" s="49">
        <v>-1.27</v>
      </c>
      <c r="HU16" s="50">
        <v>0</v>
      </c>
      <c r="HV16" s="50">
        <v>1.321</v>
      </c>
      <c r="HW16" s="50">
        <v>34.18</v>
      </c>
      <c r="HX16" s="49">
        <v>46.49</v>
      </c>
      <c r="HY16" s="49">
        <v>47.44</v>
      </c>
      <c r="HZ16" s="49">
        <v>59.42</v>
      </c>
      <c r="IA16" s="50">
        <v>2.9489999999999998</v>
      </c>
      <c r="IB16" s="50">
        <v>105</v>
      </c>
      <c r="IC16" s="50">
        <v>23.055</v>
      </c>
      <c r="ID16" s="49">
        <v>-0.25</v>
      </c>
      <c r="IE16" s="49">
        <v>-7.3999999999999996E-2</v>
      </c>
      <c r="IF16" s="49">
        <v>821.5</v>
      </c>
      <c r="IG16" s="49">
        <v>774.3</v>
      </c>
      <c r="IH16" s="49">
        <v>831.6</v>
      </c>
      <c r="II16" s="50">
        <v>787.3</v>
      </c>
      <c r="IJ16" s="49">
        <v>-2.4E-2</v>
      </c>
      <c r="IK16" s="49">
        <v>-0.13</v>
      </c>
      <c r="IL16" s="49">
        <v>70.33</v>
      </c>
      <c r="IM16" s="49">
        <v>70.33</v>
      </c>
      <c r="IN16" s="49">
        <v>13.01</v>
      </c>
      <c r="IO16" s="49">
        <v>0.57399999999999995</v>
      </c>
      <c r="IP16" s="49">
        <v>10.81</v>
      </c>
      <c r="IQ16" s="50">
        <v>1.4E-2</v>
      </c>
      <c r="IR16" s="49">
        <v>1.2E-2</v>
      </c>
      <c r="IS16">
        <v>0.26600000000000001</v>
      </c>
      <c r="IT16">
        <v>0.14100000000000001</v>
      </c>
    </row>
    <row r="17" spans="1:254" x14ac:dyDescent="0.25">
      <c r="B17" s="2" t="s">
        <v>412</v>
      </c>
      <c r="C17" s="2" t="s">
        <v>45</v>
      </c>
      <c r="D17" s="61">
        <v>2.8197916666666666E-3</v>
      </c>
      <c r="E17" s="49">
        <v>243.68</v>
      </c>
      <c r="F17" s="49">
        <v>329.54</v>
      </c>
      <c r="G17" s="49">
        <v>5.61</v>
      </c>
      <c r="H17" s="49">
        <v>29.2</v>
      </c>
      <c r="I17" s="50">
        <v>0</v>
      </c>
      <c r="J17" s="49">
        <v>14.1</v>
      </c>
      <c r="K17" s="50">
        <v>10</v>
      </c>
      <c r="L17" s="50">
        <v>3</v>
      </c>
      <c r="M17" s="50">
        <v>6</v>
      </c>
      <c r="N17" s="50">
        <v>3</v>
      </c>
      <c r="O17" s="50">
        <v>3</v>
      </c>
      <c r="P17" s="50">
        <v>0.89500000000000002</v>
      </c>
      <c r="Q17" s="50">
        <v>1.708</v>
      </c>
      <c r="R17" s="50">
        <v>0.84799999999999998</v>
      </c>
      <c r="S17" s="49">
        <v>0.58299999999999996</v>
      </c>
      <c r="T17" s="50">
        <v>81.36</v>
      </c>
      <c r="U17" s="49">
        <v>60.134999999999998</v>
      </c>
      <c r="V17" s="49">
        <v>185</v>
      </c>
      <c r="W17" s="49">
        <v>195</v>
      </c>
      <c r="X17" s="49">
        <v>147.5</v>
      </c>
      <c r="Y17" s="49">
        <v>185</v>
      </c>
      <c r="Z17" s="49">
        <v>350.25</v>
      </c>
      <c r="AA17" s="49">
        <v>362.75</v>
      </c>
      <c r="AB17" s="49">
        <v>293.3</v>
      </c>
      <c r="AC17" s="49">
        <v>349.09</v>
      </c>
      <c r="AD17" s="49">
        <v>1.821</v>
      </c>
      <c r="AE17" s="49">
        <v>1.8819999999999999</v>
      </c>
      <c r="AF17" s="49">
        <v>1.8160000000000001</v>
      </c>
      <c r="AG17" s="49">
        <v>1.843</v>
      </c>
      <c r="AH17" s="49">
        <v>80.06</v>
      </c>
      <c r="AI17" s="49">
        <v>76.86</v>
      </c>
      <c r="AJ17" s="49">
        <v>107.1</v>
      </c>
      <c r="AK17" s="49">
        <v>104.42</v>
      </c>
      <c r="AL17" s="50">
        <v>680.83799999999997</v>
      </c>
      <c r="AM17" s="50">
        <v>679.45100000000002</v>
      </c>
      <c r="AN17" s="49">
        <v>822.01900000000001</v>
      </c>
      <c r="AO17" s="50">
        <v>822.61800000000005</v>
      </c>
      <c r="AP17" s="49">
        <v>1.35</v>
      </c>
      <c r="AQ17" s="49">
        <v>1.8080000000000001</v>
      </c>
      <c r="AR17" s="49">
        <v>40.624000000000002</v>
      </c>
      <c r="AS17" s="49">
        <v>32.698</v>
      </c>
      <c r="AT17" s="49">
        <v>83</v>
      </c>
      <c r="AU17" s="49">
        <v>119</v>
      </c>
      <c r="AV17" s="49">
        <v>2.3904999999999998</v>
      </c>
      <c r="AW17" s="49">
        <v>5.2743000000000002</v>
      </c>
      <c r="AX17" s="49">
        <v>1016.5</v>
      </c>
      <c r="AY17" s="49">
        <v>2.0099999999999998</v>
      </c>
      <c r="AZ17" s="49">
        <v>5.54</v>
      </c>
      <c r="BA17" s="50">
        <v>64.099999999999994</v>
      </c>
      <c r="BB17" s="50">
        <v>65.709000000000003</v>
      </c>
      <c r="BC17" s="49">
        <v>7768</v>
      </c>
      <c r="BD17" s="49">
        <v>89.75</v>
      </c>
      <c r="BE17" s="50">
        <v>16.75</v>
      </c>
      <c r="BF17" s="49">
        <v>14.12</v>
      </c>
      <c r="BG17" s="49">
        <v>27.01</v>
      </c>
      <c r="BH17" s="49">
        <v>27.36</v>
      </c>
      <c r="BI17" s="3"/>
      <c r="BJ17" s="3"/>
      <c r="BK17" s="3"/>
      <c r="BL17" s="3"/>
      <c r="BM17" s="3"/>
      <c r="BN17" s="49">
        <v>117.83199999999999</v>
      </c>
      <c r="BO17" s="49">
        <v>115.14400000000001</v>
      </c>
      <c r="BP17" s="50">
        <v>149.84800000000001</v>
      </c>
      <c r="BQ17" s="50">
        <v>149.11199999999999</v>
      </c>
      <c r="BR17" s="3"/>
      <c r="BS17" s="49">
        <v>29</v>
      </c>
      <c r="BT17" s="49">
        <v>7262.6779999999999</v>
      </c>
      <c r="BU17" s="49">
        <v>48.091999999999999</v>
      </c>
      <c r="BV17" s="49">
        <v>53.475000000000001</v>
      </c>
      <c r="BW17" s="49">
        <v>55.503999999999998</v>
      </c>
      <c r="BX17" s="49">
        <v>56.326999999999998</v>
      </c>
      <c r="BY17" s="49">
        <v>1.472</v>
      </c>
      <c r="BZ17" s="49">
        <v>3.044</v>
      </c>
      <c r="CA17" s="49">
        <v>3.4710000000000001</v>
      </c>
      <c r="CB17" s="49">
        <v>3.4550000000000001</v>
      </c>
      <c r="CC17" s="49">
        <v>1.1319999999999999</v>
      </c>
      <c r="CD17" s="49">
        <v>2.3170000000000002</v>
      </c>
      <c r="CE17" s="49">
        <v>1.27</v>
      </c>
      <c r="CF17" s="49">
        <v>2.0630000000000002</v>
      </c>
      <c r="CG17" s="50">
        <v>13.958</v>
      </c>
      <c r="CH17" s="49">
        <v>13.792</v>
      </c>
      <c r="CI17" s="49">
        <v>5.0460000000000003</v>
      </c>
      <c r="CJ17" s="49">
        <v>3.2109999999999999</v>
      </c>
      <c r="CK17" s="49">
        <v>1.357</v>
      </c>
      <c r="CL17" s="49">
        <v>0.4</v>
      </c>
      <c r="CM17" s="49">
        <v>0.8</v>
      </c>
      <c r="CN17" s="50">
        <v>0.3</v>
      </c>
      <c r="CO17" s="50">
        <v>0.3</v>
      </c>
      <c r="CP17" s="49">
        <v>99.960999999999999</v>
      </c>
      <c r="CQ17" s="49">
        <v>98.738</v>
      </c>
      <c r="CR17" s="49">
        <v>129.721</v>
      </c>
      <c r="CS17" s="49">
        <v>131.69800000000001</v>
      </c>
      <c r="CT17" s="49">
        <v>0.308</v>
      </c>
      <c r="CU17" s="49">
        <v>1.4</v>
      </c>
      <c r="CV17" s="49">
        <v>1.1020000000000001</v>
      </c>
      <c r="CW17" s="49">
        <v>1.9</v>
      </c>
      <c r="CX17" s="49">
        <v>1.4930000000000001</v>
      </c>
      <c r="CY17" s="49">
        <v>1.1040000000000001</v>
      </c>
      <c r="CZ17" s="49">
        <v>1.6020000000000001</v>
      </c>
      <c r="DA17" s="49">
        <v>0.8</v>
      </c>
      <c r="DB17" s="49">
        <v>2.1970000000000001</v>
      </c>
      <c r="DC17" s="50">
        <v>0</v>
      </c>
      <c r="DD17" s="50">
        <v>0</v>
      </c>
      <c r="DE17" s="49">
        <v>0.27</v>
      </c>
      <c r="DF17" s="49">
        <v>0.121</v>
      </c>
      <c r="DG17" s="49">
        <v>0.84399999999999997</v>
      </c>
      <c r="DH17" s="49">
        <v>2.2570000000000001</v>
      </c>
      <c r="DI17" s="49">
        <v>1.1479999999999999</v>
      </c>
      <c r="DJ17" s="50">
        <v>0.215</v>
      </c>
      <c r="DK17" s="49">
        <v>0.90400000000000003</v>
      </c>
      <c r="DL17" s="50">
        <v>0.41399999999999998</v>
      </c>
      <c r="DM17" s="49">
        <v>0.53100000000000003</v>
      </c>
      <c r="DN17" s="49">
        <v>0.44600000000000001</v>
      </c>
      <c r="DO17" s="49">
        <v>0.376</v>
      </c>
      <c r="DP17" s="49">
        <v>65.558000000000007</v>
      </c>
      <c r="DQ17" s="49">
        <v>60.768000000000001</v>
      </c>
      <c r="DR17" s="49">
        <v>53.351999999999997</v>
      </c>
      <c r="DS17" s="49">
        <v>51.609000000000002</v>
      </c>
      <c r="DT17" s="49">
        <v>5.85</v>
      </c>
      <c r="DU17" s="49">
        <v>5.39</v>
      </c>
      <c r="DV17" s="49">
        <v>11.12</v>
      </c>
      <c r="DW17" s="49">
        <v>9.5</v>
      </c>
      <c r="DX17" s="49">
        <v>6.04</v>
      </c>
      <c r="DY17" s="49">
        <v>5.74</v>
      </c>
      <c r="DZ17" s="49">
        <v>10.76</v>
      </c>
      <c r="EA17" s="49">
        <v>9.15</v>
      </c>
      <c r="EB17" s="49">
        <v>41.33</v>
      </c>
      <c r="EC17" s="49">
        <v>41.04</v>
      </c>
      <c r="ED17" s="50">
        <v>33.65</v>
      </c>
      <c r="EE17" s="49">
        <v>34.71</v>
      </c>
      <c r="EF17" s="49">
        <v>46.79</v>
      </c>
      <c r="EG17" s="49">
        <v>47.82</v>
      </c>
      <c r="EH17" s="49">
        <v>44.47</v>
      </c>
      <c r="EI17" s="49">
        <v>46.64</v>
      </c>
      <c r="EJ17" s="49">
        <v>6.7290000000000001</v>
      </c>
      <c r="EK17" s="49">
        <v>58.720999999999997</v>
      </c>
      <c r="EL17" s="49">
        <v>1.8</v>
      </c>
      <c r="EM17" s="49">
        <v>1.45</v>
      </c>
      <c r="EN17" s="50">
        <v>1.28</v>
      </c>
      <c r="EO17" s="50">
        <v>1.28</v>
      </c>
      <c r="EP17" s="49">
        <v>-107.682</v>
      </c>
      <c r="EQ17" s="49">
        <v>-1.448</v>
      </c>
      <c r="ER17" s="49">
        <v>99.638000000000005</v>
      </c>
      <c r="ES17" s="49">
        <v>1.4990000000000001</v>
      </c>
      <c r="ET17" s="49">
        <v>1.6559999999999999</v>
      </c>
      <c r="EU17" s="49">
        <v>1.46</v>
      </c>
      <c r="EV17" s="49">
        <v>7.4710000000000001</v>
      </c>
      <c r="EW17" s="50">
        <v>0.62</v>
      </c>
      <c r="EX17" s="49">
        <v>70.36</v>
      </c>
      <c r="EY17" s="50">
        <v>0.08</v>
      </c>
      <c r="EZ17" s="49">
        <v>9.4109999999999996</v>
      </c>
      <c r="FA17" s="50">
        <v>0</v>
      </c>
      <c r="FB17" s="50">
        <v>9.2810000000000006</v>
      </c>
      <c r="FC17" s="49">
        <v>74.707999999999998</v>
      </c>
      <c r="FD17" s="49">
        <v>69.900000000000006</v>
      </c>
      <c r="FE17" s="49">
        <v>87.400999999999996</v>
      </c>
      <c r="FF17" s="49">
        <v>85.259</v>
      </c>
      <c r="FG17" s="49">
        <v>0.94699999999999995</v>
      </c>
      <c r="FH17" s="49">
        <v>0.94699999999999995</v>
      </c>
      <c r="FI17" s="49">
        <v>0.98799999999999999</v>
      </c>
      <c r="FJ17" s="49">
        <v>0.99299999999999999</v>
      </c>
      <c r="FK17" s="49">
        <v>0</v>
      </c>
      <c r="FL17" s="49">
        <v>83</v>
      </c>
      <c r="FM17" s="49">
        <v>3.36</v>
      </c>
      <c r="FN17" s="49">
        <v>0.25</v>
      </c>
      <c r="FO17" s="49">
        <v>5.49</v>
      </c>
      <c r="FP17" s="49">
        <v>3.8</v>
      </c>
      <c r="FQ17" s="49">
        <v>4.55</v>
      </c>
      <c r="FR17" s="49">
        <v>5.0999999999999996</v>
      </c>
      <c r="FS17" s="49">
        <v>6.8470000000000004</v>
      </c>
      <c r="FT17" s="50">
        <v>1078.5999999999999</v>
      </c>
      <c r="FU17" s="49">
        <v>6.88</v>
      </c>
      <c r="FV17" s="49">
        <v>28.69</v>
      </c>
      <c r="FW17" s="49">
        <v>3050.5</v>
      </c>
      <c r="FX17" s="49">
        <v>164300</v>
      </c>
      <c r="FY17" s="49">
        <v>163800</v>
      </c>
      <c r="FZ17" s="49">
        <v>48.716000000000001</v>
      </c>
      <c r="GA17" s="49">
        <v>47.823999999999998</v>
      </c>
      <c r="GB17" s="49">
        <v>2278.4</v>
      </c>
      <c r="GC17" s="49">
        <v>2196.1</v>
      </c>
      <c r="GD17" s="49">
        <v>2278.4</v>
      </c>
      <c r="GE17" s="49">
        <v>2203.3000000000002</v>
      </c>
      <c r="GF17" s="49">
        <v>1375.5313000000001</v>
      </c>
      <c r="GG17" s="49">
        <v>29</v>
      </c>
      <c r="GH17" s="49">
        <v>28.5</v>
      </c>
      <c r="GI17" s="49">
        <v>48.2</v>
      </c>
      <c r="GJ17" s="49">
        <v>53.4</v>
      </c>
      <c r="GK17" s="49">
        <v>99.5</v>
      </c>
      <c r="GL17" s="49">
        <v>76</v>
      </c>
      <c r="GM17" s="50">
        <v>0</v>
      </c>
      <c r="GN17" s="49">
        <v>28.489000000000001</v>
      </c>
      <c r="GO17" s="49">
        <v>107.682</v>
      </c>
      <c r="GP17" s="49">
        <v>0.53100000000000003</v>
      </c>
      <c r="GQ17" s="49">
        <v>1.9470000000000001</v>
      </c>
      <c r="GR17" s="49">
        <v>0.94399999999999995</v>
      </c>
      <c r="GS17" s="49">
        <v>2.0059999999999998</v>
      </c>
      <c r="GT17" s="49">
        <v>0.70799999999999996</v>
      </c>
      <c r="GU17" s="49">
        <v>1.829</v>
      </c>
      <c r="GV17" s="49">
        <v>12.837999999999999</v>
      </c>
      <c r="GW17" s="50">
        <v>14.127000000000001</v>
      </c>
      <c r="GX17" s="49">
        <v>15.484</v>
      </c>
      <c r="GY17" s="50">
        <v>0</v>
      </c>
      <c r="GZ17" s="50">
        <v>0</v>
      </c>
      <c r="HA17" s="50">
        <v>0</v>
      </c>
      <c r="HB17" s="49">
        <v>0</v>
      </c>
      <c r="HC17" s="49">
        <v>23.105</v>
      </c>
      <c r="HD17" s="49">
        <v>86</v>
      </c>
      <c r="HE17" s="50">
        <v>0</v>
      </c>
      <c r="HF17" s="50">
        <v>0</v>
      </c>
      <c r="HG17" s="49">
        <v>73.86</v>
      </c>
      <c r="HH17" s="49">
        <v>82.75</v>
      </c>
      <c r="HI17" s="50">
        <v>0</v>
      </c>
      <c r="HJ17" s="50">
        <v>0</v>
      </c>
      <c r="HK17" s="50">
        <v>0</v>
      </c>
      <c r="HL17" s="49">
        <v>64</v>
      </c>
      <c r="HM17" s="49">
        <v>54</v>
      </c>
      <c r="HN17" s="49">
        <v>66</v>
      </c>
      <c r="HO17" s="49">
        <v>60</v>
      </c>
      <c r="HP17" s="49">
        <v>63</v>
      </c>
      <c r="HQ17" s="49">
        <v>61</v>
      </c>
      <c r="HR17" s="50">
        <v>52</v>
      </c>
      <c r="HS17" s="49">
        <v>64</v>
      </c>
      <c r="HT17" s="49">
        <v>-1.282</v>
      </c>
      <c r="HU17" s="50">
        <v>0</v>
      </c>
      <c r="HV17" s="49">
        <v>0.73599999999999999</v>
      </c>
      <c r="HW17" s="49">
        <v>36.08</v>
      </c>
      <c r="HX17" s="49">
        <v>44.28</v>
      </c>
      <c r="HY17" s="49">
        <v>47.8</v>
      </c>
      <c r="HZ17" s="49">
        <v>58.81</v>
      </c>
      <c r="IA17" s="49">
        <v>2.9159999999999999</v>
      </c>
      <c r="IB17" s="49">
        <v>103</v>
      </c>
      <c r="IC17" s="49">
        <v>21.777000000000001</v>
      </c>
      <c r="ID17" s="49">
        <v>-0.222</v>
      </c>
      <c r="IE17" s="49">
        <v>-7.6999999999999999E-2</v>
      </c>
      <c r="IF17" s="50">
        <v>833.7</v>
      </c>
      <c r="IG17" s="49">
        <v>751.3</v>
      </c>
      <c r="IH17" s="50">
        <v>841.9</v>
      </c>
      <c r="II17" s="49">
        <v>765.4</v>
      </c>
      <c r="IJ17" s="49">
        <v>6.0999999999999999E-2</v>
      </c>
      <c r="IK17" s="49">
        <v>-3.5999999999999997E-2</v>
      </c>
      <c r="IL17" s="49">
        <v>112.23099999999999</v>
      </c>
      <c r="IM17" s="49">
        <v>112.23099999999999</v>
      </c>
      <c r="IN17" s="50">
        <v>14.512</v>
      </c>
      <c r="IO17" s="49">
        <v>0.42599999999999999</v>
      </c>
      <c r="IP17" s="49">
        <v>10.94</v>
      </c>
      <c r="IQ17" s="49">
        <v>6.0000000000000001E-3</v>
      </c>
      <c r="IR17" s="49">
        <v>6.0000000000000001E-3</v>
      </c>
      <c r="IS17">
        <v>0.27200000000000002</v>
      </c>
      <c r="IT17">
        <v>0.14700000000000002</v>
      </c>
    </row>
    <row r="18" spans="1:254" x14ac:dyDescent="0.25">
      <c r="B18" s="2" t="s">
        <v>412</v>
      </c>
      <c r="C18" s="2" t="s">
        <v>46</v>
      </c>
      <c r="D18" s="61">
        <v>2.4636574074074075E-3</v>
      </c>
      <c r="E18" s="49">
        <v>212.9</v>
      </c>
      <c r="F18" s="50">
        <v>335.68</v>
      </c>
      <c r="G18" s="49">
        <v>5.81</v>
      </c>
      <c r="H18" s="49">
        <v>29.4</v>
      </c>
      <c r="I18" s="50">
        <v>0</v>
      </c>
      <c r="J18" s="49">
        <v>12.8</v>
      </c>
      <c r="K18" s="50">
        <v>10</v>
      </c>
      <c r="L18" s="50">
        <v>3</v>
      </c>
      <c r="M18" s="50">
        <v>6</v>
      </c>
      <c r="N18" s="50">
        <v>3</v>
      </c>
      <c r="O18" s="50">
        <v>3</v>
      </c>
      <c r="P18" s="49">
        <v>0.88400000000000001</v>
      </c>
      <c r="Q18" s="49">
        <v>1.631</v>
      </c>
      <c r="R18" s="49">
        <v>0.83</v>
      </c>
      <c r="S18" s="49">
        <v>0.63700000000000001</v>
      </c>
      <c r="T18" s="49">
        <v>67.95</v>
      </c>
      <c r="U18" s="49">
        <v>60.131999999999998</v>
      </c>
      <c r="V18" s="49">
        <v>246.66</v>
      </c>
      <c r="W18" s="49">
        <v>256.66000000000003</v>
      </c>
      <c r="X18" s="49">
        <v>197.5</v>
      </c>
      <c r="Y18" s="49">
        <v>240</v>
      </c>
      <c r="Z18" s="49">
        <v>397.41</v>
      </c>
      <c r="AA18" s="49">
        <v>399.08</v>
      </c>
      <c r="AB18" s="49">
        <v>315.94</v>
      </c>
      <c r="AC18" s="49">
        <v>377.62</v>
      </c>
      <c r="AD18" s="49">
        <v>1.831</v>
      </c>
      <c r="AE18" s="49">
        <v>1.8819999999999999</v>
      </c>
      <c r="AF18" s="49">
        <v>1.83</v>
      </c>
      <c r="AG18" s="49">
        <v>1.853</v>
      </c>
      <c r="AH18" s="49">
        <v>84.22</v>
      </c>
      <c r="AI18" s="49">
        <v>79.510000000000005</v>
      </c>
      <c r="AJ18" s="49">
        <v>111.37</v>
      </c>
      <c r="AK18" s="49">
        <v>107.35</v>
      </c>
      <c r="AL18" s="49">
        <v>666.20699999999999</v>
      </c>
      <c r="AM18" s="49">
        <v>642.846</v>
      </c>
      <c r="AN18" s="49">
        <v>818.94399999999996</v>
      </c>
      <c r="AO18" s="49">
        <v>764.625</v>
      </c>
      <c r="AP18" s="49">
        <v>1.3440000000000001</v>
      </c>
      <c r="AQ18" s="49">
        <v>1.821</v>
      </c>
      <c r="AR18" s="50">
        <v>42.548999999999999</v>
      </c>
      <c r="AS18" s="50">
        <v>36.064999999999998</v>
      </c>
      <c r="AT18" s="49">
        <v>83</v>
      </c>
      <c r="AU18" s="49">
        <v>120</v>
      </c>
      <c r="AV18" s="50">
        <v>2.1259999999999999</v>
      </c>
      <c r="AW18" s="49">
        <v>5.4131</v>
      </c>
      <c r="AX18" s="49">
        <v>1018</v>
      </c>
      <c r="AY18" s="49">
        <v>2.09</v>
      </c>
      <c r="AZ18" s="50">
        <v>5.21</v>
      </c>
      <c r="BA18" s="49">
        <v>85.896000000000001</v>
      </c>
      <c r="BB18" s="49">
        <v>85.632999999999996</v>
      </c>
      <c r="BC18" s="50">
        <v>7885</v>
      </c>
      <c r="BD18" s="49">
        <v>89.5</v>
      </c>
      <c r="BE18" s="49">
        <v>16.55</v>
      </c>
      <c r="BF18" s="50">
        <v>14.22</v>
      </c>
      <c r="BG18" s="49">
        <v>28.9</v>
      </c>
      <c r="BH18" s="49">
        <v>26.79</v>
      </c>
      <c r="BI18" s="3"/>
      <c r="BJ18" s="3"/>
      <c r="BK18" s="3"/>
      <c r="BL18" s="3"/>
      <c r="BM18" s="3"/>
      <c r="BN18" s="49">
        <v>105.16</v>
      </c>
      <c r="BO18" s="49">
        <v>102.12</v>
      </c>
      <c r="BP18" s="49">
        <v>132.584</v>
      </c>
      <c r="BQ18" s="49">
        <v>133.63999999999999</v>
      </c>
      <c r="BR18" s="3"/>
      <c r="BS18" s="49">
        <v>29.1</v>
      </c>
      <c r="BT18" s="49">
        <v>7409.0330000000004</v>
      </c>
      <c r="BU18" s="49">
        <v>51.137</v>
      </c>
      <c r="BV18" s="49">
        <v>55.116999999999997</v>
      </c>
      <c r="BW18" s="49">
        <v>56.265999999999998</v>
      </c>
      <c r="BX18" s="49">
        <v>57.878999999999998</v>
      </c>
      <c r="BY18" s="49">
        <v>1.528</v>
      </c>
      <c r="BZ18" s="49">
        <v>2.7639999999999998</v>
      </c>
      <c r="CA18" s="50">
        <v>3.778</v>
      </c>
      <c r="CB18" s="49">
        <v>3.3570000000000002</v>
      </c>
      <c r="CC18" s="49">
        <v>1.2070000000000001</v>
      </c>
      <c r="CD18" s="49">
        <v>2.4180000000000001</v>
      </c>
      <c r="CE18" s="49">
        <v>1.3</v>
      </c>
      <c r="CF18" s="49">
        <v>2.081</v>
      </c>
      <c r="CG18" s="49">
        <v>13.939</v>
      </c>
      <c r="CH18" s="49">
        <v>13.782</v>
      </c>
      <c r="CI18" s="49">
        <v>5.0339999999999998</v>
      </c>
      <c r="CJ18" s="49">
        <v>3.2730000000000001</v>
      </c>
      <c r="CK18" s="49">
        <v>1.43</v>
      </c>
      <c r="CL18" s="50">
        <v>0.8</v>
      </c>
      <c r="CM18" s="49">
        <v>0.3</v>
      </c>
      <c r="CN18" s="49">
        <v>0</v>
      </c>
      <c r="CO18" s="49">
        <v>0</v>
      </c>
      <c r="CP18" s="49">
        <v>98.646000000000001</v>
      </c>
      <c r="CQ18" s="49">
        <v>96.617000000000004</v>
      </c>
      <c r="CR18" s="49">
        <v>126.54</v>
      </c>
      <c r="CS18" s="49">
        <v>129.273</v>
      </c>
      <c r="CT18" s="49">
        <v>0.22800000000000001</v>
      </c>
      <c r="CU18" s="49">
        <v>1.0009999999999999</v>
      </c>
      <c r="CV18" s="49">
        <v>1.3</v>
      </c>
      <c r="CW18" s="49">
        <v>1.002</v>
      </c>
      <c r="CX18" s="49">
        <v>1.1020000000000001</v>
      </c>
      <c r="CY18" s="49">
        <v>1.298</v>
      </c>
      <c r="CZ18" s="49">
        <v>0.90300000000000002</v>
      </c>
      <c r="DA18" s="49">
        <v>0.7</v>
      </c>
      <c r="DB18" s="49">
        <v>1.3979999999999999</v>
      </c>
      <c r="DC18" s="50">
        <v>0</v>
      </c>
      <c r="DD18" s="50">
        <v>0</v>
      </c>
      <c r="DE18" s="50">
        <v>0.32600000000000001</v>
      </c>
      <c r="DF18" s="50">
        <v>0.15</v>
      </c>
      <c r="DG18" s="50">
        <v>1.04</v>
      </c>
      <c r="DH18" s="49">
        <v>1.905</v>
      </c>
      <c r="DI18" s="49">
        <v>1.252</v>
      </c>
      <c r="DJ18" s="49">
        <v>0.17499999999999999</v>
      </c>
      <c r="DK18" s="50">
        <v>0.93200000000000005</v>
      </c>
      <c r="DL18" s="49">
        <v>0.40699999999999997</v>
      </c>
      <c r="DM18" s="49">
        <v>0.44700000000000001</v>
      </c>
      <c r="DN18" s="49">
        <v>0.373</v>
      </c>
      <c r="DO18" s="49">
        <v>0.182</v>
      </c>
      <c r="DP18" s="49">
        <v>65.671999999999997</v>
      </c>
      <c r="DQ18" s="49">
        <v>59.350999999999999</v>
      </c>
      <c r="DR18" s="49">
        <v>53.139000000000003</v>
      </c>
      <c r="DS18" s="49">
        <v>52.890999999999998</v>
      </c>
      <c r="DT18" s="49">
        <v>6.42</v>
      </c>
      <c r="DU18" s="49">
        <v>5.57</v>
      </c>
      <c r="DV18" s="49">
        <v>13.04</v>
      </c>
      <c r="DW18" s="49">
        <v>10.89</v>
      </c>
      <c r="DX18" s="49">
        <v>6.74</v>
      </c>
      <c r="DY18" s="49">
        <v>5.89</v>
      </c>
      <c r="DZ18" s="49">
        <v>12.4</v>
      </c>
      <c r="EA18" s="49">
        <v>10.36</v>
      </c>
      <c r="EB18" s="49">
        <v>42.15</v>
      </c>
      <c r="EC18" s="50">
        <v>42.42</v>
      </c>
      <c r="ED18" s="49">
        <v>32.71</v>
      </c>
      <c r="EE18" s="50">
        <v>35.29</v>
      </c>
      <c r="EF18" s="49">
        <v>44.69</v>
      </c>
      <c r="EG18" s="49">
        <v>46.12</v>
      </c>
      <c r="EH18" s="49">
        <v>41.85</v>
      </c>
      <c r="EI18" s="49">
        <v>43.45</v>
      </c>
      <c r="EJ18" s="49">
        <v>6.3979999999999997</v>
      </c>
      <c r="EK18" s="49">
        <v>58.875999999999998</v>
      </c>
      <c r="EL18" s="49">
        <v>1.9</v>
      </c>
      <c r="EM18" s="49">
        <v>1.45</v>
      </c>
      <c r="EN18" s="49">
        <v>1.22</v>
      </c>
      <c r="EO18" s="49">
        <v>1.22</v>
      </c>
      <c r="EP18" s="49">
        <v>-111.77</v>
      </c>
      <c r="EQ18" s="49">
        <v>-2.2309999999999999</v>
      </c>
      <c r="ER18" s="50">
        <v>132.63399999999999</v>
      </c>
      <c r="ES18" s="49">
        <v>1.462</v>
      </c>
      <c r="ET18" s="49">
        <v>1.629</v>
      </c>
      <c r="EU18" s="49">
        <v>1.407</v>
      </c>
      <c r="EV18" s="49">
        <v>7.0949999999999998</v>
      </c>
      <c r="EW18" s="49">
        <v>1.0999999999999999E-2</v>
      </c>
      <c r="EX18" s="49">
        <v>74.2</v>
      </c>
      <c r="EY18" s="49">
        <v>0</v>
      </c>
      <c r="EZ18" s="49">
        <v>18.137</v>
      </c>
      <c r="FA18" s="50">
        <v>0</v>
      </c>
      <c r="FB18" s="49">
        <v>9.1920000000000002</v>
      </c>
      <c r="FC18" s="49">
        <v>73.966999999999999</v>
      </c>
      <c r="FD18" s="49">
        <v>68.786000000000001</v>
      </c>
      <c r="FE18" s="49">
        <v>86.067999999999998</v>
      </c>
      <c r="FF18" s="49">
        <v>83.971999999999994</v>
      </c>
      <c r="FG18" s="49">
        <v>0.94399999999999995</v>
      </c>
      <c r="FH18" s="49">
        <v>0.94399999999999995</v>
      </c>
      <c r="FI18" s="49">
        <v>0.98899999999999999</v>
      </c>
      <c r="FJ18" s="49">
        <v>0.99399999999999999</v>
      </c>
      <c r="FK18" s="49">
        <v>0</v>
      </c>
      <c r="FL18" s="49">
        <v>83</v>
      </c>
      <c r="FM18" s="49">
        <v>3.35</v>
      </c>
      <c r="FN18" s="49">
        <v>-0.41</v>
      </c>
      <c r="FO18" s="50">
        <v>5.12</v>
      </c>
      <c r="FP18" s="3"/>
      <c r="FQ18" s="49">
        <v>4.5999999999999996</v>
      </c>
      <c r="FR18" s="50">
        <v>4.95</v>
      </c>
      <c r="FS18" s="49">
        <v>6.8449999999999998</v>
      </c>
      <c r="FT18" s="50">
        <v>1078.5999999999999</v>
      </c>
      <c r="FU18" s="49">
        <v>7.08</v>
      </c>
      <c r="FV18" s="49">
        <v>34.5</v>
      </c>
      <c r="FW18" s="49">
        <v>3116.5</v>
      </c>
      <c r="FX18" s="50">
        <v>169900</v>
      </c>
      <c r="FY18" s="49">
        <v>171000</v>
      </c>
      <c r="FZ18" s="49">
        <v>48.274999999999999</v>
      </c>
      <c r="GA18" s="49">
        <v>47.316000000000003</v>
      </c>
      <c r="GB18" s="49">
        <v>2192.3000000000002</v>
      </c>
      <c r="GC18" s="49">
        <v>2177.4</v>
      </c>
      <c r="GD18" s="49">
        <v>2330.8000000000002</v>
      </c>
      <c r="GE18" s="49">
        <v>2227.5</v>
      </c>
      <c r="GF18" s="49">
        <v>1316</v>
      </c>
      <c r="GG18" s="49">
        <v>29</v>
      </c>
      <c r="GH18" s="49">
        <v>29.2</v>
      </c>
      <c r="GI18" s="49">
        <v>48.2</v>
      </c>
      <c r="GJ18" s="49">
        <v>53</v>
      </c>
      <c r="GK18" s="49">
        <v>99.5</v>
      </c>
      <c r="GL18" s="50">
        <v>96.7</v>
      </c>
      <c r="GM18" s="50">
        <v>0</v>
      </c>
      <c r="GN18" s="49">
        <v>25.681999999999999</v>
      </c>
      <c r="GO18" s="50">
        <v>132.63399999999999</v>
      </c>
      <c r="GP18" s="49">
        <v>0.64900000000000002</v>
      </c>
      <c r="GQ18" s="49">
        <v>1.9470000000000001</v>
      </c>
      <c r="GR18" s="49">
        <v>0.82599999999999996</v>
      </c>
      <c r="GS18" s="49">
        <v>2.0059999999999998</v>
      </c>
      <c r="GT18" s="49">
        <v>0.53100000000000003</v>
      </c>
      <c r="GU18" s="49">
        <v>1.829</v>
      </c>
      <c r="GV18" s="49">
        <v>12.544</v>
      </c>
      <c r="GW18" s="49">
        <v>14.07</v>
      </c>
      <c r="GX18" s="49">
        <v>15.385999999999999</v>
      </c>
      <c r="GY18" s="50">
        <v>0</v>
      </c>
      <c r="GZ18" s="50">
        <v>0</v>
      </c>
      <c r="HA18" s="50">
        <v>0</v>
      </c>
      <c r="HB18" s="49">
        <v>0</v>
      </c>
      <c r="HC18" s="49">
        <v>23.369</v>
      </c>
      <c r="HD18" s="49">
        <v>82</v>
      </c>
      <c r="HE18" s="50">
        <v>0</v>
      </c>
      <c r="HF18" s="50">
        <v>0</v>
      </c>
      <c r="HG18" s="49">
        <v>75.2</v>
      </c>
      <c r="HH18" s="49">
        <v>82.81</v>
      </c>
      <c r="HI18" s="50">
        <v>0</v>
      </c>
      <c r="HJ18" s="50">
        <v>0</v>
      </c>
      <c r="HK18" s="50">
        <v>0</v>
      </c>
      <c r="HL18" s="49">
        <v>63</v>
      </c>
      <c r="HM18" s="49">
        <v>54</v>
      </c>
      <c r="HN18" s="49">
        <v>66</v>
      </c>
      <c r="HO18" s="49">
        <v>60</v>
      </c>
      <c r="HP18" s="50">
        <v>64</v>
      </c>
      <c r="HQ18" s="50">
        <v>62</v>
      </c>
      <c r="HR18" s="50">
        <v>52</v>
      </c>
      <c r="HS18" s="49">
        <v>64</v>
      </c>
      <c r="HT18" s="49">
        <v>-1.2515000000000001</v>
      </c>
      <c r="HU18" s="50">
        <v>0</v>
      </c>
      <c r="HV18" s="49">
        <v>0.35399999999999998</v>
      </c>
      <c r="HW18" s="49">
        <v>36.08</v>
      </c>
      <c r="HX18" s="49">
        <v>44.28</v>
      </c>
      <c r="HY18" s="49">
        <v>48.61</v>
      </c>
      <c r="HZ18" s="49">
        <v>59.2</v>
      </c>
      <c r="IA18" s="49">
        <v>2.87</v>
      </c>
      <c r="IB18" s="49">
        <v>104</v>
      </c>
      <c r="IC18" s="49">
        <v>22.841999999999999</v>
      </c>
      <c r="ID18" s="49">
        <v>-0.28199999999999997</v>
      </c>
      <c r="IE18" s="49">
        <v>-8.6999999999999994E-2</v>
      </c>
      <c r="IF18" s="49">
        <v>821.1</v>
      </c>
      <c r="IG18" s="49">
        <v>771.9</v>
      </c>
      <c r="IH18" s="49">
        <v>832.2</v>
      </c>
      <c r="II18" s="49">
        <v>785.7</v>
      </c>
      <c r="IJ18" s="49">
        <v>2.1000000000000001E-2</v>
      </c>
      <c r="IK18" s="49">
        <v>-8.4000000000000005E-2</v>
      </c>
      <c r="IL18" s="49">
        <v>69.664000000000001</v>
      </c>
      <c r="IM18" s="49">
        <v>69.664000000000001</v>
      </c>
      <c r="IN18" s="49">
        <v>13.765000000000001</v>
      </c>
      <c r="IO18" s="49">
        <v>0.57199999999999995</v>
      </c>
      <c r="IP18" s="49">
        <v>10.9</v>
      </c>
      <c r="IQ18" s="49">
        <v>8.9999999999999993E-3</v>
      </c>
      <c r="IR18" s="49">
        <v>8.9999999999999993E-3</v>
      </c>
      <c r="IS18">
        <v>0.28100000000000003</v>
      </c>
      <c r="IT18">
        <v>0.15600000000000003</v>
      </c>
    </row>
    <row r="19" spans="1:254" x14ac:dyDescent="0.25">
      <c r="B19" s="2" t="s">
        <v>412</v>
      </c>
      <c r="C19" s="2" t="s">
        <v>400</v>
      </c>
      <c r="D19" s="61">
        <v>2.7836805555555553E-3</v>
      </c>
      <c r="E19" s="49">
        <v>240.51300000000001</v>
      </c>
      <c r="F19" s="49">
        <v>332.8</v>
      </c>
      <c r="G19" s="49">
        <v>5.63</v>
      </c>
      <c r="H19" s="50">
        <v>29.5</v>
      </c>
      <c r="I19" s="50">
        <v>0</v>
      </c>
      <c r="J19" s="49">
        <v>17.2</v>
      </c>
      <c r="K19" s="50">
        <v>10</v>
      </c>
      <c r="L19" s="50">
        <v>3</v>
      </c>
      <c r="M19" s="50">
        <v>6</v>
      </c>
      <c r="N19" s="50">
        <v>3</v>
      </c>
      <c r="O19" s="50">
        <v>3</v>
      </c>
      <c r="P19" s="49">
        <v>0.76900000000000002</v>
      </c>
      <c r="Q19" s="49">
        <v>1.43</v>
      </c>
      <c r="R19" s="49">
        <v>0.59199999999999997</v>
      </c>
      <c r="S19" s="49">
        <v>0.626</v>
      </c>
      <c r="T19" s="49">
        <v>77.42</v>
      </c>
      <c r="U19" s="49">
        <v>60.1</v>
      </c>
      <c r="V19" s="49">
        <v>253.34</v>
      </c>
      <c r="W19" s="49">
        <v>258.33999999999997</v>
      </c>
      <c r="X19" s="49">
        <v>185</v>
      </c>
      <c r="Y19" s="49">
        <v>231.66</v>
      </c>
      <c r="Z19" s="49">
        <v>388.63</v>
      </c>
      <c r="AA19" s="49">
        <v>394.86</v>
      </c>
      <c r="AB19" s="49">
        <v>306.97000000000003</v>
      </c>
      <c r="AC19" s="49">
        <v>371.56</v>
      </c>
      <c r="AD19" s="50">
        <v>1.8460000000000001</v>
      </c>
      <c r="AE19" s="49">
        <v>1.895</v>
      </c>
      <c r="AF19" s="49">
        <v>1.8440000000000001</v>
      </c>
      <c r="AG19" s="49">
        <v>1.8640000000000001</v>
      </c>
      <c r="AH19" s="49">
        <v>84.81</v>
      </c>
      <c r="AI19" s="49">
        <v>80.13</v>
      </c>
      <c r="AJ19" s="49">
        <v>112.52</v>
      </c>
      <c r="AK19" s="49">
        <v>108.13</v>
      </c>
      <c r="AL19" s="49">
        <v>606.98599999999999</v>
      </c>
      <c r="AM19" s="49">
        <v>605.25300000000004</v>
      </c>
      <c r="AN19" s="49">
        <v>802.98199999999997</v>
      </c>
      <c r="AO19" s="49">
        <v>762.23299999999995</v>
      </c>
      <c r="AP19" s="49">
        <v>1.3480000000000001</v>
      </c>
      <c r="AQ19" s="49">
        <v>1.8069999999999999</v>
      </c>
      <c r="AR19" s="49">
        <v>42.002000000000002</v>
      </c>
      <c r="AS19" s="49">
        <v>35.405000000000001</v>
      </c>
      <c r="AT19" s="49">
        <v>83</v>
      </c>
      <c r="AU19" s="50">
        <v>121</v>
      </c>
      <c r="AV19" s="49">
        <v>2.2749999999999999</v>
      </c>
      <c r="AW19" s="49">
        <v>5.3101000000000003</v>
      </c>
      <c r="AX19" s="49">
        <v>1015.6</v>
      </c>
      <c r="AY19" s="49">
        <v>2.13</v>
      </c>
      <c r="AZ19" s="49">
        <v>5.74</v>
      </c>
      <c r="BA19" s="49">
        <v>69.5</v>
      </c>
      <c r="BB19" s="49">
        <v>69.400000000000006</v>
      </c>
      <c r="BC19" s="49">
        <v>7662</v>
      </c>
      <c r="BD19" s="49">
        <v>89.25</v>
      </c>
      <c r="BE19" s="49">
        <v>16.41</v>
      </c>
      <c r="BF19" s="49">
        <v>14.195</v>
      </c>
      <c r="BG19" s="49">
        <v>28.16</v>
      </c>
      <c r="BH19" s="50">
        <v>27.42</v>
      </c>
      <c r="BI19" s="50">
        <v>65.813999999999993</v>
      </c>
      <c r="BJ19" s="50">
        <v>80.372</v>
      </c>
      <c r="BK19" s="50">
        <v>64.275000000000006</v>
      </c>
      <c r="BL19" s="49">
        <v>76.331000000000003</v>
      </c>
      <c r="BM19" s="50">
        <v>79.757000000000005</v>
      </c>
      <c r="BN19" s="49">
        <v>116.376</v>
      </c>
      <c r="BO19" s="49">
        <v>114.28</v>
      </c>
      <c r="BP19" s="49">
        <v>140.42400000000001</v>
      </c>
      <c r="BQ19" s="49">
        <v>142.6</v>
      </c>
      <c r="BR19" s="50">
        <v>61.162999999999997</v>
      </c>
      <c r="BS19" s="50">
        <v>29.3</v>
      </c>
      <c r="BT19" s="49">
        <v>7368.0360000000001</v>
      </c>
      <c r="BU19" s="49">
        <v>49.633000000000003</v>
      </c>
      <c r="BV19" s="50">
        <v>56.585999999999999</v>
      </c>
      <c r="BW19" s="49">
        <v>55.823</v>
      </c>
      <c r="BX19" s="49">
        <v>57.527999999999999</v>
      </c>
      <c r="BY19" s="50">
        <v>1.5309999999999999</v>
      </c>
      <c r="BZ19" s="49">
        <v>2.8959999999999999</v>
      </c>
      <c r="CA19" s="49">
        <v>3.2010000000000001</v>
      </c>
      <c r="CB19" s="49">
        <v>3.3580000000000001</v>
      </c>
      <c r="CC19" s="49">
        <v>1.131</v>
      </c>
      <c r="CD19" s="49">
        <v>2.3410000000000002</v>
      </c>
      <c r="CE19" s="49">
        <v>1.272</v>
      </c>
      <c r="CF19" s="49">
        <v>2.0790000000000002</v>
      </c>
      <c r="CG19" s="49">
        <v>13.949</v>
      </c>
      <c r="CH19" s="49">
        <v>13.667999999999999</v>
      </c>
      <c r="CI19" s="3"/>
      <c r="CJ19" s="3"/>
      <c r="CK19" s="3"/>
      <c r="CL19" s="49">
        <v>0.4</v>
      </c>
      <c r="CM19" s="50">
        <v>1.1000000000000001</v>
      </c>
      <c r="CN19" s="49">
        <v>0</v>
      </c>
      <c r="CO19" s="49">
        <v>0</v>
      </c>
      <c r="CP19" s="49">
        <v>102.851</v>
      </c>
      <c r="CQ19" s="49">
        <v>100.336</v>
      </c>
      <c r="CR19" s="49">
        <v>128.31299999999999</v>
      </c>
      <c r="CS19" s="49">
        <v>132.41399999999999</v>
      </c>
      <c r="CT19" s="49">
        <v>0.41399999999999998</v>
      </c>
      <c r="CU19" s="50">
        <v>3.6219999999999999</v>
      </c>
      <c r="CV19" s="50">
        <v>4.016</v>
      </c>
      <c r="CW19" s="50">
        <v>4.0209999999999999</v>
      </c>
      <c r="CX19" s="50">
        <v>3.72</v>
      </c>
      <c r="CY19" s="50">
        <v>3.419</v>
      </c>
      <c r="CZ19" s="50">
        <v>3.42</v>
      </c>
      <c r="DA19" s="50">
        <v>3.121</v>
      </c>
      <c r="DB19" s="50">
        <v>4.1189999999999998</v>
      </c>
      <c r="DC19" s="50">
        <v>0</v>
      </c>
      <c r="DD19" s="50">
        <v>0</v>
      </c>
      <c r="DE19" s="49">
        <v>0.25700000000000001</v>
      </c>
      <c r="DF19" s="49">
        <v>0.123</v>
      </c>
      <c r="DG19" s="49">
        <v>0.57199999999999995</v>
      </c>
      <c r="DH19" s="49">
        <v>1.901</v>
      </c>
      <c r="DI19" s="49">
        <v>1.131</v>
      </c>
      <c r="DJ19" s="49">
        <v>0.11799999999999999</v>
      </c>
      <c r="DK19" s="49">
        <v>0.876</v>
      </c>
      <c r="DL19" s="49">
        <v>0.40799999999999997</v>
      </c>
      <c r="DM19" s="50">
        <v>0.54100000000000004</v>
      </c>
      <c r="DN19" s="50">
        <v>1.0309999999999999</v>
      </c>
      <c r="DO19" s="49">
        <v>0.309</v>
      </c>
      <c r="DP19" s="50">
        <v>66.418000000000006</v>
      </c>
      <c r="DQ19" s="49">
        <v>60.825000000000003</v>
      </c>
      <c r="DR19" s="50">
        <v>54.92</v>
      </c>
      <c r="DS19" s="50">
        <v>53.424999999999997</v>
      </c>
      <c r="DT19" s="49">
        <v>5.55</v>
      </c>
      <c r="DU19" s="49">
        <v>5.44</v>
      </c>
      <c r="DV19" s="49">
        <v>11.81</v>
      </c>
      <c r="DW19" s="49">
        <v>9.89</v>
      </c>
      <c r="DX19" s="49">
        <v>5.75</v>
      </c>
      <c r="DY19" s="49">
        <v>5.63</v>
      </c>
      <c r="DZ19" s="49">
        <v>11.32</v>
      </c>
      <c r="EA19" s="49">
        <v>9.59</v>
      </c>
      <c r="EB19" s="50">
        <v>43</v>
      </c>
      <c r="EC19" s="49">
        <v>42.11</v>
      </c>
      <c r="ED19" s="49">
        <v>32.64</v>
      </c>
      <c r="EE19" s="49">
        <v>34.590000000000003</v>
      </c>
      <c r="EF19" s="49">
        <v>45.7</v>
      </c>
      <c r="EG19" s="49">
        <v>46.82</v>
      </c>
      <c r="EH19" s="49">
        <v>44.22</v>
      </c>
      <c r="EI19" s="49">
        <v>45.92</v>
      </c>
      <c r="EJ19" s="49">
        <v>6.633</v>
      </c>
      <c r="EK19" s="49">
        <v>58.853000000000002</v>
      </c>
      <c r="EL19" s="49">
        <v>1.95</v>
      </c>
      <c r="EM19" s="49">
        <v>1.5</v>
      </c>
      <c r="EN19" s="49">
        <v>1.24</v>
      </c>
      <c r="EO19" s="49">
        <v>1.23</v>
      </c>
      <c r="EP19" s="49">
        <v>-110.602</v>
      </c>
      <c r="EQ19" s="49">
        <v>-2.2290000000000001</v>
      </c>
      <c r="ER19" s="49">
        <v>102.26600000000001</v>
      </c>
      <c r="ES19" s="49">
        <v>1.452</v>
      </c>
      <c r="ET19" s="49">
        <v>1.6080000000000001</v>
      </c>
      <c r="EU19" s="49">
        <v>1.4079999999999999</v>
      </c>
      <c r="EV19" s="49">
        <v>7.3029999999999999</v>
      </c>
      <c r="EW19" s="49">
        <v>0.377</v>
      </c>
      <c r="EX19" s="49">
        <v>70.94</v>
      </c>
      <c r="EY19" s="49">
        <v>0.02</v>
      </c>
      <c r="EZ19" s="49">
        <v>0.247</v>
      </c>
      <c r="FA19" s="50">
        <v>0</v>
      </c>
      <c r="FB19" s="49">
        <v>9.2520000000000007</v>
      </c>
      <c r="FC19" s="49">
        <v>75.968000000000004</v>
      </c>
      <c r="FD19" s="49">
        <v>70.209999999999994</v>
      </c>
      <c r="FE19" s="49">
        <v>87.379000000000005</v>
      </c>
      <c r="FF19" s="49">
        <v>85.141999999999996</v>
      </c>
      <c r="FG19" s="49">
        <v>0.97299999999999998</v>
      </c>
      <c r="FH19" s="49">
        <v>0.95399999999999996</v>
      </c>
      <c r="FI19" s="49">
        <v>0.99</v>
      </c>
      <c r="FJ19" s="49">
        <v>0.995</v>
      </c>
      <c r="FK19" s="49">
        <v>0</v>
      </c>
      <c r="FL19" s="49">
        <v>83</v>
      </c>
      <c r="FM19" s="49">
        <v>3.37</v>
      </c>
      <c r="FN19" s="50">
        <v>-0.57999999999999996</v>
      </c>
      <c r="FO19" s="49">
        <v>5.39</v>
      </c>
      <c r="FP19" s="49">
        <v>3.9</v>
      </c>
      <c r="FQ19" s="49">
        <v>4.45</v>
      </c>
      <c r="FR19" s="49">
        <v>5</v>
      </c>
      <c r="FS19" s="49">
        <v>6.8414999999999999</v>
      </c>
      <c r="FT19" s="49">
        <v>1075.3</v>
      </c>
      <c r="FU19" s="49">
        <v>6.95</v>
      </c>
      <c r="FV19" s="50">
        <v>40.130000000000003</v>
      </c>
      <c r="FW19" s="49">
        <v>3110.5</v>
      </c>
      <c r="FX19" s="49">
        <v>163800</v>
      </c>
      <c r="FY19" s="49">
        <v>165100</v>
      </c>
      <c r="FZ19" s="49">
        <v>48.276000000000003</v>
      </c>
      <c r="GA19" s="49">
        <v>47.244999999999997</v>
      </c>
      <c r="GB19" s="49">
        <v>2178</v>
      </c>
      <c r="GC19" s="49">
        <v>2251.8000000000002</v>
      </c>
      <c r="GD19" s="49">
        <v>2214.3000000000002</v>
      </c>
      <c r="GE19" s="49">
        <v>2330.1999999999998</v>
      </c>
      <c r="GF19" s="49">
        <v>1161.6563000000001</v>
      </c>
      <c r="GG19" s="50">
        <v>30</v>
      </c>
      <c r="GH19" s="50">
        <v>29.9</v>
      </c>
      <c r="GI19" s="49">
        <v>48.5</v>
      </c>
      <c r="GJ19" s="49">
        <v>53.3</v>
      </c>
      <c r="GK19" s="49">
        <v>99.5</v>
      </c>
      <c r="GL19" s="49">
        <v>88.3</v>
      </c>
      <c r="GM19" s="50">
        <v>0</v>
      </c>
      <c r="GN19" s="49">
        <v>27.48</v>
      </c>
      <c r="GO19" s="49">
        <v>110.602</v>
      </c>
      <c r="GP19" s="50">
        <v>0</v>
      </c>
      <c r="GQ19" s="49">
        <v>1.9470000000000001</v>
      </c>
      <c r="GR19" s="50">
        <v>0</v>
      </c>
      <c r="GS19" s="49">
        <v>1.9470000000000001</v>
      </c>
      <c r="GT19" s="50">
        <v>0</v>
      </c>
      <c r="GU19" s="49">
        <v>1.829</v>
      </c>
      <c r="GV19" s="50">
        <v>0</v>
      </c>
      <c r="GW19" s="49">
        <v>13.986000000000001</v>
      </c>
      <c r="GX19" s="49">
        <v>15.974</v>
      </c>
      <c r="GY19" s="50">
        <v>0</v>
      </c>
      <c r="GZ19" s="50">
        <v>0</v>
      </c>
      <c r="HA19" s="50">
        <v>0</v>
      </c>
      <c r="HB19" s="49">
        <v>0</v>
      </c>
      <c r="HC19" s="49">
        <v>23.29</v>
      </c>
      <c r="HD19" s="49">
        <v>86</v>
      </c>
      <c r="HE19" s="50">
        <v>0</v>
      </c>
      <c r="HF19" s="50">
        <v>0</v>
      </c>
      <c r="HG19" s="49">
        <v>76.62</v>
      </c>
      <c r="HH19" s="50">
        <v>82.94</v>
      </c>
      <c r="HI19" s="50">
        <v>0</v>
      </c>
      <c r="HJ19" s="50">
        <v>0</v>
      </c>
      <c r="HK19" s="50">
        <v>0</v>
      </c>
      <c r="HL19" s="49">
        <v>63</v>
      </c>
      <c r="HM19" s="49">
        <v>54</v>
      </c>
      <c r="HN19" s="50">
        <v>67</v>
      </c>
      <c r="HO19" s="50">
        <v>61</v>
      </c>
      <c r="HP19" s="50">
        <v>64</v>
      </c>
      <c r="HQ19" s="50">
        <v>62</v>
      </c>
      <c r="HR19" s="50">
        <v>52</v>
      </c>
      <c r="HS19" s="49">
        <v>64</v>
      </c>
      <c r="HT19" s="49">
        <v>-1.2665</v>
      </c>
      <c r="HU19" s="50">
        <v>0</v>
      </c>
      <c r="HV19" s="49">
        <v>-9.8000000000000004E-2</v>
      </c>
      <c r="HW19" s="49">
        <v>37</v>
      </c>
      <c r="HX19" s="49">
        <v>49.31</v>
      </c>
      <c r="HY19" s="3"/>
      <c r="HZ19" s="3"/>
      <c r="IA19" s="49">
        <v>2.9430000000000001</v>
      </c>
      <c r="IB19" s="49">
        <v>104</v>
      </c>
      <c r="IC19" s="49">
        <v>22.786000000000001</v>
      </c>
      <c r="ID19" s="49">
        <v>-0.23400000000000001</v>
      </c>
      <c r="IE19" s="49">
        <v>-7.6999999999999999E-2</v>
      </c>
      <c r="IF19" s="49">
        <v>821</v>
      </c>
      <c r="IG19" s="49">
        <v>759.6</v>
      </c>
      <c r="IH19" s="49">
        <v>834.5</v>
      </c>
      <c r="II19" s="49">
        <v>773.9</v>
      </c>
      <c r="IJ19" s="49">
        <v>8.0000000000000002E-3</v>
      </c>
      <c r="IK19" s="49">
        <v>-8.7999999999999995E-2</v>
      </c>
      <c r="IL19" s="49">
        <v>79.326999999999998</v>
      </c>
      <c r="IM19" s="49">
        <v>79.326999999999998</v>
      </c>
      <c r="IN19" s="49">
        <v>14.5</v>
      </c>
      <c r="IO19" s="49">
        <v>0.54600000000000004</v>
      </c>
      <c r="IP19" s="49">
        <v>10.71</v>
      </c>
      <c r="IQ19" s="49">
        <v>0</v>
      </c>
      <c r="IR19" s="49">
        <v>0</v>
      </c>
      <c r="IS19">
        <v>0.28100000000000003</v>
      </c>
      <c r="IT19">
        <v>0.15600000000000003</v>
      </c>
    </row>
    <row r="20" spans="1:254" x14ac:dyDescent="0.25">
      <c r="IS20">
        <v>0.28100000000000003</v>
      </c>
      <c r="IT20">
        <v>0.15600000000000003</v>
      </c>
    </row>
    <row r="21" spans="1:254" x14ac:dyDescent="0.25">
      <c r="IS21">
        <v>0.28100000000000003</v>
      </c>
      <c r="IT21">
        <v>0.15600000000000003</v>
      </c>
    </row>
    <row r="22" spans="1:254" x14ac:dyDescent="0.25">
      <c r="IS22">
        <v>0.28100000000000003</v>
      </c>
      <c r="IT22">
        <v>0.15600000000000003</v>
      </c>
    </row>
    <row r="23" spans="1:254" x14ac:dyDescent="0.25">
      <c r="B23" s="2" t="s">
        <v>412</v>
      </c>
      <c r="C23" s="2" t="s">
        <v>41</v>
      </c>
      <c r="D23" s="61">
        <v>4.8123842592592584E-3</v>
      </c>
      <c r="E23" s="50">
        <v>415.78500000000003</v>
      </c>
      <c r="F23" s="49">
        <v>321.36</v>
      </c>
      <c r="G23" s="49">
        <v>4.96</v>
      </c>
      <c r="H23" s="49">
        <v>29.1</v>
      </c>
      <c r="I23" s="50">
        <v>0.23</v>
      </c>
      <c r="J23" s="50">
        <v>118</v>
      </c>
      <c r="K23" s="50">
        <v>10</v>
      </c>
      <c r="L23" s="50">
        <v>2</v>
      </c>
      <c r="M23" s="50">
        <v>6</v>
      </c>
      <c r="N23" s="50">
        <v>3</v>
      </c>
      <c r="O23" s="50">
        <v>3</v>
      </c>
      <c r="P23" s="49">
        <v>0.70199999999999996</v>
      </c>
      <c r="Q23" s="49">
        <v>1.085</v>
      </c>
      <c r="R23" s="49">
        <v>0.90600000000000003</v>
      </c>
      <c r="S23" s="49">
        <v>0.49299999999999999</v>
      </c>
      <c r="T23" s="49">
        <v>54.2</v>
      </c>
      <c r="U23" s="49">
        <v>60.009</v>
      </c>
      <c r="V23" s="50">
        <v>117.5</v>
      </c>
      <c r="W23" s="50">
        <v>112.5</v>
      </c>
      <c r="X23" s="50">
        <v>102.5</v>
      </c>
      <c r="Y23" s="50">
        <v>110</v>
      </c>
      <c r="Z23" s="49">
        <v>254.27</v>
      </c>
      <c r="AA23" s="49">
        <v>256.44</v>
      </c>
      <c r="AB23" s="49">
        <v>167.98</v>
      </c>
      <c r="AC23" s="49">
        <v>204.25</v>
      </c>
      <c r="AD23" s="49">
        <v>1.728</v>
      </c>
      <c r="AE23" s="49">
        <v>1.8029999999999999</v>
      </c>
      <c r="AF23" s="49">
        <v>1.613</v>
      </c>
      <c r="AG23" s="49">
        <v>1.6559999999999999</v>
      </c>
      <c r="AH23" s="49">
        <v>59.88</v>
      </c>
      <c r="AI23" s="49">
        <v>56.87</v>
      </c>
      <c r="AJ23" s="49">
        <v>76.97</v>
      </c>
      <c r="AK23" s="49">
        <v>74.819999999999993</v>
      </c>
      <c r="AL23" s="49">
        <v>612.36699999999996</v>
      </c>
      <c r="AM23" s="49">
        <v>607.96</v>
      </c>
      <c r="AN23" s="49">
        <v>737.48500000000001</v>
      </c>
      <c r="AO23" s="49">
        <v>719.71799999999996</v>
      </c>
      <c r="AP23" s="50">
        <v>1.359</v>
      </c>
      <c r="AQ23" s="49">
        <v>1.7629999999999999</v>
      </c>
      <c r="AR23" s="49">
        <v>41.829000000000001</v>
      </c>
      <c r="AS23" s="49">
        <v>37.936</v>
      </c>
      <c r="AT23" s="50">
        <v>86</v>
      </c>
      <c r="AU23" s="49">
        <v>108</v>
      </c>
      <c r="AV23" s="49">
        <v>2.4255</v>
      </c>
      <c r="AW23" s="49">
        <v>4.9034000000000004</v>
      </c>
      <c r="AX23" s="49">
        <v>1014.9</v>
      </c>
      <c r="AY23" s="50">
        <v>2.57</v>
      </c>
      <c r="AZ23" s="49">
        <v>5.7</v>
      </c>
      <c r="BA23" s="50">
        <v>66.599999999999994</v>
      </c>
      <c r="BB23" s="50">
        <v>66.903999999999996</v>
      </c>
      <c r="BC23" s="49">
        <v>7622</v>
      </c>
      <c r="BD23" s="49">
        <v>89.25</v>
      </c>
      <c r="BE23" s="50">
        <v>17.594999999999999</v>
      </c>
      <c r="BF23" s="49">
        <v>12.855</v>
      </c>
      <c r="BG23" s="49">
        <v>28.44</v>
      </c>
      <c r="BH23" s="49">
        <v>25.24</v>
      </c>
      <c r="BI23" s="49">
        <v>64.932000000000002</v>
      </c>
      <c r="BJ23" s="49">
        <v>81.012</v>
      </c>
      <c r="BK23" s="49">
        <v>63.231999999999999</v>
      </c>
      <c r="BL23" s="50">
        <v>77.772999999999996</v>
      </c>
      <c r="BM23" s="49">
        <v>79.11</v>
      </c>
      <c r="BN23" s="50">
        <v>146.792</v>
      </c>
      <c r="BO23" s="50">
        <v>141.464</v>
      </c>
      <c r="BP23" s="49">
        <v>126.072</v>
      </c>
      <c r="BQ23" s="49">
        <v>132.63200000000001</v>
      </c>
      <c r="BR23" s="49">
        <v>59.106999999999999</v>
      </c>
      <c r="BS23" s="49">
        <v>28.9</v>
      </c>
      <c r="BT23" s="49">
        <v>7313.7030000000004</v>
      </c>
      <c r="BU23" s="49">
        <v>43.445999999999998</v>
      </c>
      <c r="BV23" s="50">
        <v>55.89</v>
      </c>
      <c r="BW23" s="50">
        <v>58.741</v>
      </c>
      <c r="BX23" s="50">
        <v>59.103999999999999</v>
      </c>
      <c r="BY23" s="49">
        <v>1.429</v>
      </c>
      <c r="BZ23" s="49">
        <v>2.2919999999999998</v>
      </c>
      <c r="CA23" s="49">
        <v>3.3919999999999999</v>
      </c>
      <c r="CB23" s="49">
        <v>3.1930000000000001</v>
      </c>
      <c r="CC23" s="49">
        <v>1.089</v>
      </c>
      <c r="CD23" s="49">
        <v>2.0390000000000001</v>
      </c>
      <c r="CE23" s="50">
        <v>1.36</v>
      </c>
      <c r="CF23" s="50">
        <v>2.085</v>
      </c>
      <c r="CG23" s="49">
        <v>13.858000000000001</v>
      </c>
      <c r="CH23" s="50">
        <v>10.02</v>
      </c>
      <c r="CI23" s="49">
        <v>5.1760000000000002</v>
      </c>
      <c r="CJ23" s="49">
        <v>-573.15499999999997</v>
      </c>
      <c r="CK23" s="49">
        <v>1.3839999999999999</v>
      </c>
      <c r="CL23" s="49">
        <v>0.1</v>
      </c>
      <c r="CM23" s="49">
        <v>0.5</v>
      </c>
      <c r="CN23" s="50">
        <v>0</v>
      </c>
      <c r="CO23" s="50">
        <v>0</v>
      </c>
      <c r="CP23" s="50">
        <v>108.494</v>
      </c>
      <c r="CQ23" s="50">
        <v>105.767</v>
      </c>
      <c r="CR23" s="49">
        <v>106.002</v>
      </c>
      <c r="CS23" s="49">
        <v>111.01</v>
      </c>
      <c r="CT23" s="50">
        <v>0.375</v>
      </c>
      <c r="CU23" s="49">
        <v>1.198</v>
      </c>
      <c r="CV23" s="49">
        <v>1.298</v>
      </c>
      <c r="CW23" s="49">
        <v>1.7989999999999999</v>
      </c>
      <c r="CX23" s="49">
        <v>1.796</v>
      </c>
      <c r="CY23" s="49">
        <v>1.1950000000000001</v>
      </c>
      <c r="CZ23" s="49">
        <v>1.2969999999999999</v>
      </c>
      <c r="DA23" s="49">
        <v>0.59799999999999998</v>
      </c>
      <c r="DB23" s="49">
        <v>1.397</v>
      </c>
      <c r="DC23" s="50">
        <v>6.0000000000000001E-3</v>
      </c>
      <c r="DD23" s="50">
        <v>0</v>
      </c>
      <c r="DE23" s="49">
        <v>0.20699999999999999</v>
      </c>
      <c r="DF23" s="49">
        <v>0.11600000000000001</v>
      </c>
      <c r="DG23" s="49">
        <v>0.60899999999999999</v>
      </c>
      <c r="DH23" s="49">
        <v>2.16</v>
      </c>
      <c r="DI23" s="49">
        <v>1.0780000000000001</v>
      </c>
      <c r="DJ23" s="49">
        <v>0.17599999999999999</v>
      </c>
      <c r="DK23" s="49">
        <v>0.82199999999999995</v>
      </c>
      <c r="DL23" s="50">
        <v>0.41699999999999998</v>
      </c>
      <c r="DM23" s="49">
        <v>0.54100000000000004</v>
      </c>
      <c r="DN23" s="49">
        <v>-0.06</v>
      </c>
      <c r="DO23" s="49">
        <v>-7.0000000000000001E-3</v>
      </c>
      <c r="DP23" s="49">
        <v>62.417000000000002</v>
      </c>
      <c r="DQ23" s="50">
        <v>62.317999999999998</v>
      </c>
      <c r="DR23" s="49">
        <v>51.276000000000003</v>
      </c>
      <c r="DS23" s="49">
        <v>51.067</v>
      </c>
      <c r="DT23" s="49">
        <v>2.2799999999999998</v>
      </c>
      <c r="DU23" s="49">
        <v>2.41</v>
      </c>
      <c r="DV23" s="49">
        <v>4.8099999999999996</v>
      </c>
      <c r="DW23" s="49">
        <v>4.25</v>
      </c>
      <c r="DX23" s="49">
        <v>2.4700000000000002</v>
      </c>
      <c r="DY23" s="49">
        <v>2.3199999999999998</v>
      </c>
      <c r="DZ23" s="49">
        <v>4.46</v>
      </c>
      <c r="EA23" s="49">
        <v>3.96</v>
      </c>
      <c r="EB23" s="49">
        <v>32.770000000000003</v>
      </c>
      <c r="EC23" s="49">
        <v>32.06</v>
      </c>
      <c r="ED23" s="49">
        <v>27.36</v>
      </c>
      <c r="EE23" s="49">
        <v>27.9</v>
      </c>
      <c r="EF23" s="50">
        <v>62.48</v>
      </c>
      <c r="EG23" s="50">
        <v>63.2</v>
      </c>
      <c r="EH23" s="50">
        <v>63.37</v>
      </c>
      <c r="EI23" s="50">
        <v>63.88</v>
      </c>
      <c r="EJ23" s="50">
        <v>7.4349999999999996</v>
      </c>
      <c r="EK23" s="49">
        <v>58.271000000000001</v>
      </c>
      <c r="EL23" s="50">
        <v>2.2999999999999998</v>
      </c>
      <c r="EM23" s="50">
        <v>1.4</v>
      </c>
      <c r="EN23" s="50">
        <v>1.43</v>
      </c>
      <c r="EO23" s="50">
        <v>1.42</v>
      </c>
      <c r="EP23" s="50">
        <v>-109.142</v>
      </c>
      <c r="EQ23" s="50">
        <v>-0.52100000000000002</v>
      </c>
      <c r="ER23" s="49">
        <v>83.286000000000001</v>
      </c>
      <c r="ES23" s="50">
        <v>1.4379999999999999</v>
      </c>
      <c r="ET23" s="49">
        <v>1.55</v>
      </c>
      <c r="EU23" s="50">
        <v>1.4019999999999999</v>
      </c>
      <c r="EV23" s="50">
        <v>7.4740000000000002</v>
      </c>
      <c r="EW23" s="49">
        <v>1.34</v>
      </c>
      <c r="EX23" s="49">
        <v>-451.18</v>
      </c>
      <c r="EY23" s="50">
        <v>1.7989999999999999</v>
      </c>
      <c r="EZ23" s="49">
        <v>0</v>
      </c>
      <c r="FA23" s="50">
        <v>0</v>
      </c>
      <c r="FB23" s="50">
        <v>9.3059999999999992</v>
      </c>
      <c r="FC23" s="49">
        <v>69.430999999999997</v>
      </c>
      <c r="FD23" s="49">
        <v>66.387</v>
      </c>
      <c r="FE23" s="49">
        <v>74.340999999999994</v>
      </c>
      <c r="FF23" s="49">
        <v>71.953000000000003</v>
      </c>
      <c r="FG23" s="49">
        <v>0.96099999999999997</v>
      </c>
      <c r="FH23" s="49">
        <v>0.96099999999999997</v>
      </c>
      <c r="FI23" s="50">
        <v>1.002</v>
      </c>
      <c r="FJ23" s="50">
        <v>1.0049999999999999</v>
      </c>
      <c r="FK23" s="50">
        <v>0.20200000000000001</v>
      </c>
      <c r="FL23" s="50">
        <v>86</v>
      </c>
      <c r="FM23" s="49">
        <v>3.27</v>
      </c>
      <c r="FN23" s="50">
        <v>-0.85</v>
      </c>
      <c r="FO23" s="49">
        <v>5.42</v>
      </c>
      <c r="FP23" s="50">
        <v>0.75</v>
      </c>
      <c r="FQ23" s="49">
        <v>4.75</v>
      </c>
      <c r="FR23" s="49">
        <v>5.25</v>
      </c>
      <c r="FS23" s="49">
        <v>6.5274999999999999</v>
      </c>
      <c r="FT23" s="49">
        <v>1073</v>
      </c>
      <c r="FU23" s="49">
        <v>6.28</v>
      </c>
      <c r="FV23" s="49">
        <v>4.96</v>
      </c>
      <c r="FW23" s="50">
        <v>3251</v>
      </c>
      <c r="FX23" s="49">
        <v>168500</v>
      </c>
      <c r="FY23" s="49">
        <v>172000</v>
      </c>
      <c r="FZ23" s="50">
        <v>50.787999999999997</v>
      </c>
      <c r="GA23" s="50">
        <v>49.610999999999997</v>
      </c>
      <c r="GB23" s="49">
        <v>2214.5</v>
      </c>
      <c r="GC23" s="49">
        <v>2208.1</v>
      </c>
      <c r="GD23" s="49">
        <v>2244</v>
      </c>
      <c r="GE23" s="49">
        <v>2208.3000000000002</v>
      </c>
      <c r="GF23" s="49">
        <v>1415</v>
      </c>
      <c r="GG23" s="49">
        <v>32</v>
      </c>
      <c r="GH23" s="49">
        <v>32.200000000000003</v>
      </c>
      <c r="GI23" s="50">
        <v>60.5</v>
      </c>
      <c r="GJ23" s="50">
        <v>65.8</v>
      </c>
      <c r="GK23" s="50">
        <v>97</v>
      </c>
      <c r="GL23" s="49">
        <v>77.099999999999994</v>
      </c>
      <c r="GM23" s="50">
        <v>0</v>
      </c>
      <c r="GN23" s="49">
        <v>26.039000000000001</v>
      </c>
      <c r="GO23" s="49">
        <v>109.142</v>
      </c>
      <c r="GP23" s="50">
        <v>0</v>
      </c>
      <c r="GQ23" s="49">
        <v>3.3039999999999998</v>
      </c>
      <c r="GR23" s="50">
        <v>0</v>
      </c>
      <c r="GS23" s="49">
        <v>3.4220000000000002</v>
      </c>
      <c r="GT23" s="50">
        <v>0</v>
      </c>
      <c r="GU23" s="49">
        <v>3.1859999999999999</v>
      </c>
      <c r="GV23" s="50">
        <v>0</v>
      </c>
      <c r="GW23" s="49">
        <v>13.35</v>
      </c>
      <c r="GX23" s="50">
        <v>17.934000000000001</v>
      </c>
      <c r="GY23" s="50">
        <v>0</v>
      </c>
      <c r="GZ23" s="50">
        <v>0</v>
      </c>
      <c r="HA23" s="50">
        <v>0</v>
      </c>
      <c r="HB23" s="50">
        <v>1</v>
      </c>
      <c r="HC23" s="50">
        <v>24.971</v>
      </c>
      <c r="HD23" s="50">
        <v>90</v>
      </c>
      <c r="HE23" s="50">
        <v>0</v>
      </c>
      <c r="HF23" s="50">
        <v>0</v>
      </c>
      <c r="HG23" s="50">
        <v>89.59</v>
      </c>
      <c r="HH23" s="49">
        <v>78.41</v>
      </c>
      <c r="HI23" s="50">
        <v>0</v>
      </c>
      <c r="HJ23" s="50">
        <v>0</v>
      </c>
      <c r="HK23" s="50">
        <v>0</v>
      </c>
      <c r="HL23" s="50">
        <v>73</v>
      </c>
      <c r="HM23" s="50">
        <v>56</v>
      </c>
      <c r="HN23" s="49">
        <v>67</v>
      </c>
      <c r="HO23" s="49">
        <v>60</v>
      </c>
      <c r="HP23" s="49">
        <v>63</v>
      </c>
      <c r="HQ23" s="49">
        <v>61</v>
      </c>
      <c r="HR23" s="49">
        <v>54</v>
      </c>
      <c r="HS23" s="49">
        <v>62</v>
      </c>
      <c r="HT23" s="50">
        <v>-1.3425</v>
      </c>
      <c r="HU23" s="50">
        <v>0</v>
      </c>
      <c r="HV23" s="49">
        <v>-0.95499999999999996</v>
      </c>
      <c r="HW23" s="49">
        <v>39.39</v>
      </c>
      <c r="HX23" s="49">
        <v>51.48</v>
      </c>
      <c r="HY23" s="49">
        <v>49.21</v>
      </c>
      <c r="HZ23" s="49">
        <v>58.54</v>
      </c>
      <c r="IA23" s="49">
        <v>2.472</v>
      </c>
      <c r="IB23" s="49">
        <v>97</v>
      </c>
      <c r="IC23" s="49">
        <v>17.736999999999998</v>
      </c>
      <c r="ID23" s="50">
        <v>-0.11899999999999999</v>
      </c>
      <c r="IE23" s="50">
        <v>-3.9E-2</v>
      </c>
      <c r="IF23" s="49">
        <v>807.4</v>
      </c>
      <c r="IG23" s="49">
        <v>641.29999999999995</v>
      </c>
      <c r="IH23" s="49">
        <v>813.3</v>
      </c>
      <c r="II23" s="49">
        <v>657.5</v>
      </c>
      <c r="IJ23" s="50">
        <v>5.2999999999999999E-2</v>
      </c>
      <c r="IK23" s="50">
        <v>1E-3</v>
      </c>
      <c r="IL23" s="50">
        <v>293.90600000000001</v>
      </c>
      <c r="IM23" s="50">
        <v>293.80500000000001</v>
      </c>
      <c r="IN23" s="50">
        <v>16.298999999999999</v>
      </c>
      <c r="IO23" s="49">
        <v>0.317</v>
      </c>
      <c r="IP23" s="50">
        <v>10.75</v>
      </c>
      <c r="IQ23" s="50">
        <v>1.6E-2</v>
      </c>
      <c r="IR23" s="50">
        <v>1.4E-2</v>
      </c>
      <c r="IS23">
        <v>0.28100000000000003</v>
      </c>
      <c r="IT23">
        <v>0.15600000000000003</v>
      </c>
    </row>
    <row r="24" spans="1:254" x14ac:dyDescent="0.25">
      <c r="B24" s="2" t="s">
        <v>412</v>
      </c>
      <c r="C24" s="2" t="s">
        <v>42</v>
      </c>
      <c r="D24" s="61">
        <v>2.4730324074074077E-3</v>
      </c>
      <c r="E24" s="49">
        <v>213.71</v>
      </c>
      <c r="F24" s="49">
        <v>328.4</v>
      </c>
      <c r="G24" s="49">
        <v>5.84</v>
      </c>
      <c r="H24" s="49">
        <v>29.2</v>
      </c>
      <c r="I24" s="49">
        <v>0</v>
      </c>
      <c r="J24" s="49">
        <v>15.2</v>
      </c>
      <c r="K24" s="50">
        <v>10</v>
      </c>
      <c r="L24" s="50">
        <v>2</v>
      </c>
      <c r="M24" s="50">
        <v>6</v>
      </c>
      <c r="N24" s="50">
        <v>3</v>
      </c>
      <c r="O24" s="50">
        <v>3</v>
      </c>
      <c r="P24" s="49">
        <v>0.78900000000000003</v>
      </c>
      <c r="Q24" s="49">
        <v>1.2809999999999999</v>
      </c>
      <c r="R24" s="49">
        <v>0.77100000000000002</v>
      </c>
      <c r="S24" s="49">
        <v>0.65100000000000002</v>
      </c>
      <c r="T24" s="49">
        <v>70.56</v>
      </c>
      <c r="U24" s="49">
        <v>60.012</v>
      </c>
      <c r="V24" s="49">
        <v>218.34</v>
      </c>
      <c r="W24" s="49">
        <v>220</v>
      </c>
      <c r="X24" s="49">
        <v>137.5</v>
      </c>
      <c r="Y24" s="49">
        <v>175</v>
      </c>
      <c r="Z24" s="49">
        <v>368.06</v>
      </c>
      <c r="AA24" s="49">
        <v>366.29</v>
      </c>
      <c r="AB24" s="49">
        <v>271.14999999999998</v>
      </c>
      <c r="AC24" s="49">
        <v>328.67</v>
      </c>
      <c r="AD24" s="49">
        <v>1.7549999999999999</v>
      </c>
      <c r="AE24" s="49">
        <v>1.8140000000000001</v>
      </c>
      <c r="AF24" s="49">
        <v>1.6859999999999999</v>
      </c>
      <c r="AG24" s="49">
        <v>1.7230000000000001</v>
      </c>
      <c r="AH24" s="49">
        <v>73.87</v>
      </c>
      <c r="AI24" s="49">
        <v>70.88</v>
      </c>
      <c r="AJ24" s="49">
        <v>94.14</v>
      </c>
      <c r="AK24" s="49">
        <v>91.5</v>
      </c>
      <c r="AL24" s="49">
        <v>661.63699999999994</v>
      </c>
      <c r="AM24" s="49">
        <v>681.53599999999994</v>
      </c>
      <c r="AN24" s="49">
        <v>779.30700000000002</v>
      </c>
      <c r="AO24" s="49">
        <v>781.27099999999996</v>
      </c>
      <c r="AP24" s="49">
        <v>1.3089999999999999</v>
      </c>
      <c r="AQ24" s="49">
        <v>1.7729999999999999</v>
      </c>
      <c r="AR24" s="49">
        <v>41.408999999999999</v>
      </c>
      <c r="AS24" s="49">
        <v>36.484999999999999</v>
      </c>
      <c r="AT24" s="49">
        <v>83</v>
      </c>
      <c r="AU24" s="49">
        <v>115</v>
      </c>
      <c r="AV24" s="49">
        <v>2.254</v>
      </c>
      <c r="AW24" s="50">
        <v>5.3724999999999996</v>
      </c>
      <c r="AX24" s="49">
        <v>1016</v>
      </c>
      <c r="AY24" s="49">
        <v>2.09</v>
      </c>
      <c r="AZ24" s="49">
        <v>5.62</v>
      </c>
      <c r="BA24" s="49">
        <v>93.8</v>
      </c>
      <c r="BB24" s="49">
        <v>93.1</v>
      </c>
      <c r="BC24" s="50">
        <v>7798</v>
      </c>
      <c r="BD24" s="49">
        <v>88</v>
      </c>
      <c r="BE24" s="49">
        <v>15.574999999999999</v>
      </c>
      <c r="BF24" s="49">
        <v>14.71</v>
      </c>
      <c r="BG24" s="49">
        <v>28.69</v>
      </c>
      <c r="BH24" s="50">
        <v>30.91</v>
      </c>
      <c r="BI24" s="3"/>
      <c r="BJ24" s="3"/>
      <c r="BK24" s="3"/>
      <c r="BL24" s="3"/>
      <c r="BM24" s="3"/>
      <c r="BN24" s="49">
        <v>96.263999999999996</v>
      </c>
      <c r="BO24" s="49">
        <v>92.632000000000005</v>
      </c>
      <c r="BP24" s="49">
        <v>115.32</v>
      </c>
      <c r="BQ24" s="49">
        <v>118.6</v>
      </c>
      <c r="BR24" s="3"/>
      <c r="BS24" s="49">
        <v>29</v>
      </c>
      <c r="BT24" s="49">
        <v>7467.076</v>
      </c>
      <c r="BU24" s="49">
        <v>51.457000000000001</v>
      </c>
      <c r="BV24" s="49">
        <v>54.441000000000003</v>
      </c>
      <c r="BW24" s="49">
        <v>56.539000000000001</v>
      </c>
      <c r="BX24" s="49">
        <v>57.762</v>
      </c>
      <c r="BY24" s="49">
        <v>1.4419999999999999</v>
      </c>
      <c r="BZ24" s="49">
        <v>2.7810000000000001</v>
      </c>
      <c r="CA24" s="49">
        <v>3.702</v>
      </c>
      <c r="CB24" s="49">
        <v>3.19</v>
      </c>
      <c r="CC24" s="49">
        <v>1.1100000000000001</v>
      </c>
      <c r="CD24" s="50">
        <v>2.1739999999999999</v>
      </c>
      <c r="CE24" s="49">
        <v>1.2869999999999999</v>
      </c>
      <c r="CF24" s="49">
        <v>1.998</v>
      </c>
      <c r="CG24" s="50">
        <v>13.941000000000001</v>
      </c>
      <c r="CH24" s="49">
        <v>13.803000000000001</v>
      </c>
      <c r="CI24" s="50">
        <v>5.4240000000000004</v>
      </c>
      <c r="CJ24" s="49">
        <v>-748.80399999999997</v>
      </c>
      <c r="CK24" s="49">
        <v>1.63</v>
      </c>
      <c r="CL24" s="49">
        <v>0.3</v>
      </c>
      <c r="CM24" s="50">
        <v>1.5</v>
      </c>
      <c r="CN24" s="50">
        <v>0</v>
      </c>
      <c r="CO24" s="50">
        <v>0</v>
      </c>
      <c r="CP24" s="49">
        <v>91.522000000000006</v>
      </c>
      <c r="CQ24" s="49">
        <v>88.893000000000001</v>
      </c>
      <c r="CR24" s="49">
        <v>100.41800000000001</v>
      </c>
      <c r="CS24" s="49">
        <v>105.55800000000001</v>
      </c>
      <c r="CT24" s="49">
        <v>0.312</v>
      </c>
      <c r="CU24" s="49">
        <v>1.3</v>
      </c>
      <c r="CV24" s="49">
        <v>1.099</v>
      </c>
      <c r="CW24" s="49">
        <v>1.1990000000000001</v>
      </c>
      <c r="CX24" s="49">
        <v>1.397</v>
      </c>
      <c r="CY24" s="49">
        <v>1.002</v>
      </c>
      <c r="CZ24" s="49">
        <v>1.298</v>
      </c>
      <c r="DA24" s="49">
        <v>0.90100000000000002</v>
      </c>
      <c r="DB24" s="49">
        <v>1.099</v>
      </c>
      <c r="DC24" s="49">
        <v>0</v>
      </c>
      <c r="DD24" s="50">
        <v>0</v>
      </c>
      <c r="DE24" s="49">
        <v>0.33600000000000002</v>
      </c>
      <c r="DF24" s="49">
        <v>0.157</v>
      </c>
      <c r="DG24" s="50">
        <v>1.302</v>
      </c>
      <c r="DH24" s="49">
        <v>2.5470000000000002</v>
      </c>
      <c r="DI24" s="49">
        <v>1.304</v>
      </c>
      <c r="DJ24" s="49">
        <v>0.27800000000000002</v>
      </c>
      <c r="DK24" s="49">
        <v>1.0860000000000001</v>
      </c>
      <c r="DL24" s="49">
        <v>0.40600000000000003</v>
      </c>
      <c r="DM24" s="49">
        <v>0.47699999999999998</v>
      </c>
      <c r="DN24" s="49">
        <v>0.35799999999999998</v>
      </c>
      <c r="DO24" s="49">
        <v>0.32700000000000001</v>
      </c>
      <c r="DP24" s="49">
        <v>68.096000000000004</v>
      </c>
      <c r="DQ24" s="49">
        <v>62.218000000000004</v>
      </c>
      <c r="DR24" s="49">
        <v>52.335999999999999</v>
      </c>
      <c r="DS24" s="49">
        <v>51.597999999999999</v>
      </c>
      <c r="DT24" s="49">
        <v>6.6</v>
      </c>
      <c r="DU24" s="49">
        <v>6.22</v>
      </c>
      <c r="DV24" s="49">
        <v>12.98</v>
      </c>
      <c r="DW24" s="49">
        <v>11.11</v>
      </c>
      <c r="DX24" s="49">
        <v>7.05</v>
      </c>
      <c r="DY24" s="49">
        <v>6.62</v>
      </c>
      <c r="DZ24" s="49">
        <v>12.4</v>
      </c>
      <c r="EA24" s="49">
        <v>10.69</v>
      </c>
      <c r="EB24" s="49">
        <v>41.54</v>
      </c>
      <c r="EC24" s="50">
        <v>41.64</v>
      </c>
      <c r="ED24" s="49">
        <v>32.31</v>
      </c>
      <c r="EE24" s="49">
        <v>34.28</v>
      </c>
      <c r="EF24" s="49">
        <v>44.81</v>
      </c>
      <c r="EG24" s="49">
        <v>45.51</v>
      </c>
      <c r="EH24" s="49">
        <v>42.32</v>
      </c>
      <c r="EI24" s="49">
        <v>43.93</v>
      </c>
      <c r="EJ24" s="49">
        <v>7.1289999999999996</v>
      </c>
      <c r="EK24" s="49">
        <v>59.465000000000003</v>
      </c>
      <c r="EL24" s="49">
        <v>1.9</v>
      </c>
      <c r="EM24" s="49">
        <v>1.45</v>
      </c>
      <c r="EN24" s="49">
        <v>1.21</v>
      </c>
      <c r="EO24" s="49">
        <v>1.21</v>
      </c>
      <c r="EP24" s="49">
        <v>-103.01</v>
      </c>
      <c r="EQ24" s="49">
        <v>-2.423</v>
      </c>
      <c r="ER24" s="49">
        <v>105.77</v>
      </c>
      <c r="ES24" s="49">
        <v>1.415</v>
      </c>
      <c r="ET24" s="50">
        <v>1.5760000000000001</v>
      </c>
      <c r="EU24" s="49">
        <v>1.38</v>
      </c>
      <c r="EV24" s="49">
        <v>7.4169999999999998</v>
      </c>
      <c r="EW24" s="50">
        <v>1.8320000000000001</v>
      </c>
      <c r="EX24" s="49">
        <v>73.06</v>
      </c>
      <c r="EY24" s="49">
        <v>0</v>
      </c>
      <c r="EZ24" s="50">
        <v>5.92</v>
      </c>
      <c r="FA24" s="50">
        <v>0</v>
      </c>
      <c r="FB24" s="49">
        <v>9.1829999999999998</v>
      </c>
      <c r="FC24" s="49">
        <v>64.793000000000006</v>
      </c>
      <c r="FD24" s="49">
        <v>61.052999999999997</v>
      </c>
      <c r="FE24" s="49">
        <v>69.099000000000004</v>
      </c>
      <c r="FF24" s="49">
        <v>68.649000000000001</v>
      </c>
      <c r="FG24" s="49">
        <v>0.93400000000000005</v>
      </c>
      <c r="FH24" s="49">
        <v>0.93500000000000005</v>
      </c>
      <c r="FI24" s="49">
        <v>0.995</v>
      </c>
      <c r="FJ24" s="49">
        <v>1</v>
      </c>
      <c r="FK24" s="49">
        <v>0</v>
      </c>
      <c r="FL24" s="49">
        <v>83</v>
      </c>
      <c r="FM24" s="49">
        <v>3.37</v>
      </c>
      <c r="FN24" s="49">
        <v>-0.78</v>
      </c>
      <c r="FO24" s="49">
        <v>5.42</v>
      </c>
      <c r="FP24" s="3"/>
      <c r="FQ24" s="50">
        <v>4.5</v>
      </c>
      <c r="FR24" s="49">
        <v>5.0999999999999996</v>
      </c>
      <c r="FS24" s="49">
        <v>6.7774999999999999</v>
      </c>
      <c r="FT24" s="49">
        <v>1071.9000000000001</v>
      </c>
      <c r="FU24" s="49">
        <v>6.5</v>
      </c>
      <c r="FV24" s="49">
        <v>10.8</v>
      </c>
      <c r="FW24" s="49">
        <v>3188</v>
      </c>
      <c r="FX24" s="49">
        <v>166800</v>
      </c>
      <c r="FY24" s="49">
        <v>168300</v>
      </c>
      <c r="FZ24" s="49">
        <v>48.162999999999997</v>
      </c>
      <c r="GA24" s="49">
        <v>47.366999999999997</v>
      </c>
      <c r="GB24" s="49">
        <v>2174.8000000000002</v>
      </c>
      <c r="GC24" s="49">
        <v>2176.6999999999998</v>
      </c>
      <c r="GD24" s="49">
        <v>2206</v>
      </c>
      <c r="GE24" s="49">
        <v>2208.1999999999998</v>
      </c>
      <c r="GF24" s="49">
        <v>1464.0625</v>
      </c>
      <c r="GG24" s="49">
        <v>32</v>
      </c>
      <c r="GH24" s="49">
        <v>32.5</v>
      </c>
      <c r="GI24" s="49">
        <v>51.1</v>
      </c>
      <c r="GJ24" s="49">
        <v>56.6</v>
      </c>
      <c r="GK24" s="49">
        <v>99.5</v>
      </c>
      <c r="GL24" s="49">
        <v>89.8</v>
      </c>
      <c r="GM24" s="50">
        <v>0</v>
      </c>
      <c r="GN24" s="49">
        <v>27.158999999999999</v>
      </c>
      <c r="GO24" s="49">
        <v>105.77</v>
      </c>
      <c r="GP24" s="49">
        <v>0.35399999999999998</v>
      </c>
      <c r="GQ24" s="49">
        <v>1.9470000000000001</v>
      </c>
      <c r="GR24" s="49">
        <v>0.59</v>
      </c>
      <c r="GS24" s="49">
        <v>2.0059999999999998</v>
      </c>
      <c r="GT24" s="49">
        <v>0.53100000000000003</v>
      </c>
      <c r="GU24" s="49">
        <v>1.8879999999999999</v>
      </c>
      <c r="GV24" s="49">
        <v>13.132</v>
      </c>
      <c r="GW24" s="49">
        <v>14.12</v>
      </c>
      <c r="GX24" s="49">
        <v>15.875999999999999</v>
      </c>
      <c r="GY24" s="50">
        <v>0</v>
      </c>
      <c r="GZ24" s="50">
        <v>0</v>
      </c>
      <c r="HA24" s="50">
        <v>0</v>
      </c>
      <c r="HB24" s="49">
        <v>0</v>
      </c>
      <c r="HC24" s="49">
        <v>23.175999999999998</v>
      </c>
      <c r="HD24" s="49">
        <v>78</v>
      </c>
      <c r="HE24" s="50">
        <v>0</v>
      </c>
      <c r="HF24" s="50">
        <v>0</v>
      </c>
      <c r="HG24" s="49">
        <v>77.099999999999994</v>
      </c>
      <c r="HH24" s="49">
        <v>78.099999999999994</v>
      </c>
      <c r="HI24" s="50">
        <v>0</v>
      </c>
      <c r="HJ24" s="50">
        <v>0</v>
      </c>
      <c r="HK24" s="50">
        <v>0</v>
      </c>
      <c r="HL24" s="49">
        <v>65</v>
      </c>
      <c r="HM24" s="49">
        <v>55</v>
      </c>
      <c r="HN24" s="49">
        <v>67</v>
      </c>
      <c r="HO24" s="49">
        <v>61</v>
      </c>
      <c r="HP24" s="49">
        <v>64</v>
      </c>
      <c r="HQ24" s="49">
        <v>62</v>
      </c>
      <c r="HR24" s="49">
        <v>54</v>
      </c>
      <c r="HS24" s="49">
        <v>62</v>
      </c>
      <c r="HT24" s="49">
        <v>-1.3194999999999999</v>
      </c>
      <c r="HU24" s="50">
        <v>0</v>
      </c>
      <c r="HV24" s="49">
        <v>0.125</v>
      </c>
      <c r="HW24" s="50">
        <v>36.81</v>
      </c>
      <c r="HX24" s="50">
        <v>46.57</v>
      </c>
      <c r="HY24" s="49">
        <v>48.68</v>
      </c>
      <c r="HZ24" s="49">
        <v>59.91</v>
      </c>
      <c r="IA24" s="49">
        <v>2.7949999999999999</v>
      </c>
      <c r="IB24" s="49">
        <v>104</v>
      </c>
      <c r="IC24" s="49">
        <v>22.41</v>
      </c>
      <c r="ID24" s="49">
        <v>-0.28599999999999998</v>
      </c>
      <c r="IE24" s="49">
        <v>-0.108</v>
      </c>
      <c r="IF24" s="50">
        <v>818.1</v>
      </c>
      <c r="IG24" s="49">
        <v>768.2</v>
      </c>
      <c r="IH24" s="49">
        <v>828.1</v>
      </c>
      <c r="II24" s="49">
        <v>781.3</v>
      </c>
      <c r="IJ24" s="49">
        <v>-0.09</v>
      </c>
      <c r="IK24" s="49">
        <v>-0.20200000000000001</v>
      </c>
      <c r="IL24" s="49">
        <v>70.850999999999999</v>
      </c>
      <c r="IM24" s="49">
        <v>70.850999999999999</v>
      </c>
      <c r="IN24" s="49">
        <v>13.236000000000001</v>
      </c>
      <c r="IO24" s="49">
        <v>0.495</v>
      </c>
      <c r="IP24" s="49">
        <v>10.65</v>
      </c>
      <c r="IQ24" s="49">
        <v>0.01</v>
      </c>
      <c r="IR24" s="49">
        <v>5.0000000000000001E-3</v>
      </c>
      <c r="IS24">
        <v>0.29100000000000004</v>
      </c>
      <c r="IT24">
        <v>0.16100000000000003</v>
      </c>
    </row>
    <row r="25" spans="1:254" x14ac:dyDescent="0.25">
      <c r="B25" s="2" t="s">
        <v>412</v>
      </c>
      <c r="C25" s="62" t="s">
        <v>43</v>
      </c>
      <c r="D25" s="63">
        <v>2.4324074074074074E-3</v>
      </c>
      <c r="E25" s="49">
        <v>210.2</v>
      </c>
      <c r="F25" s="49">
        <v>329.44</v>
      </c>
      <c r="G25" s="50">
        <v>5.95</v>
      </c>
      <c r="H25" s="49">
        <v>29.4</v>
      </c>
      <c r="I25" s="49">
        <v>0</v>
      </c>
      <c r="J25" s="49">
        <v>12.3</v>
      </c>
      <c r="K25" s="50">
        <v>10</v>
      </c>
      <c r="L25" s="50">
        <v>2</v>
      </c>
      <c r="M25" s="50">
        <v>6</v>
      </c>
      <c r="N25" s="50">
        <v>3</v>
      </c>
      <c r="O25" s="50">
        <v>3</v>
      </c>
      <c r="P25" s="49">
        <v>0.877</v>
      </c>
      <c r="Q25" s="50">
        <v>1.466</v>
      </c>
      <c r="R25" s="49">
        <v>0.82899999999999996</v>
      </c>
      <c r="S25" s="50">
        <v>0.80400000000000005</v>
      </c>
      <c r="T25" s="49">
        <v>77.45</v>
      </c>
      <c r="U25" s="49">
        <v>60.12</v>
      </c>
      <c r="V25" s="49">
        <v>235</v>
      </c>
      <c r="W25" s="49">
        <v>236.66</v>
      </c>
      <c r="X25" s="49">
        <v>177.5</v>
      </c>
      <c r="Y25" s="49">
        <v>223.34</v>
      </c>
      <c r="Z25" s="49">
        <v>383.27</v>
      </c>
      <c r="AA25" s="50">
        <v>387.74</v>
      </c>
      <c r="AB25" s="50">
        <v>307.20999999999998</v>
      </c>
      <c r="AC25" s="50">
        <v>373.72</v>
      </c>
      <c r="AD25" s="49">
        <v>1.8069999999999999</v>
      </c>
      <c r="AE25" s="49">
        <v>1.867</v>
      </c>
      <c r="AF25" s="49">
        <v>1.784</v>
      </c>
      <c r="AG25" s="49">
        <v>1.81</v>
      </c>
      <c r="AH25" s="49">
        <v>83.32</v>
      </c>
      <c r="AI25" s="49">
        <v>80.39</v>
      </c>
      <c r="AJ25" s="49">
        <v>106.88</v>
      </c>
      <c r="AK25" s="49">
        <v>103.01</v>
      </c>
      <c r="AL25" s="50">
        <v>684.12800000000004</v>
      </c>
      <c r="AM25" s="50">
        <v>692.66800000000001</v>
      </c>
      <c r="AN25" s="50">
        <v>857.53099999999995</v>
      </c>
      <c r="AO25" s="49">
        <v>825.09199999999998</v>
      </c>
      <c r="AP25" s="49">
        <v>1.3049999999999999</v>
      </c>
      <c r="AQ25" s="50">
        <v>1.784</v>
      </c>
      <c r="AR25" s="49">
        <v>40.063000000000002</v>
      </c>
      <c r="AS25" s="49">
        <v>36.209000000000003</v>
      </c>
      <c r="AT25" s="49">
        <v>83</v>
      </c>
      <c r="AU25" s="49">
        <v>118</v>
      </c>
      <c r="AV25" s="50">
        <v>1.9015</v>
      </c>
      <c r="AW25" s="49">
        <v>5.3471000000000002</v>
      </c>
      <c r="AX25" s="49">
        <v>1014.5</v>
      </c>
      <c r="AY25" s="49">
        <v>2.17</v>
      </c>
      <c r="AZ25" s="49">
        <v>5.69</v>
      </c>
      <c r="BA25" s="49">
        <v>132.767</v>
      </c>
      <c r="BB25" s="49">
        <v>133.571</v>
      </c>
      <c r="BC25" s="49">
        <v>7777</v>
      </c>
      <c r="BD25" s="49">
        <v>88</v>
      </c>
      <c r="BE25" s="49">
        <v>16.71</v>
      </c>
      <c r="BF25" s="49">
        <v>14.525</v>
      </c>
      <c r="BG25" s="49">
        <v>28.56</v>
      </c>
      <c r="BH25" s="49">
        <v>28.54</v>
      </c>
      <c r="BI25" s="3"/>
      <c r="BJ25" s="3"/>
      <c r="BK25" s="3"/>
      <c r="BL25" s="3"/>
      <c r="BM25" s="3"/>
      <c r="BN25" s="49">
        <v>99.08</v>
      </c>
      <c r="BO25" s="49">
        <v>96.52</v>
      </c>
      <c r="BP25" s="49">
        <v>127.48</v>
      </c>
      <c r="BQ25" s="49">
        <v>130.904</v>
      </c>
      <c r="BR25" s="3"/>
      <c r="BS25" s="49">
        <v>29.1</v>
      </c>
      <c r="BT25" s="49">
        <v>7431.6459999999997</v>
      </c>
      <c r="BU25" s="49">
        <v>50.536999999999999</v>
      </c>
      <c r="BV25" s="49">
        <v>54.47</v>
      </c>
      <c r="BW25" s="49">
        <v>54.737000000000002</v>
      </c>
      <c r="BX25" s="49">
        <v>57.234999999999999</v>
      </c>
      <c r="BY25" s="50">
        <v>1.5189999999999999</v>
      </c>
      <c r="BZ25" s="49">
        <v>2.944</v>
      </c>
      <c r="CA25" s="49">
        <v>3.8069999999999999</v>
      </c>
      <c r="CB25" s="49">
        <v>3.669</v>
      </c>
      <c r="CC25" s="50">
        <v>1.1220000000000001</v>
      </c>
      <c r="CD25" s="49">
        <v>2.1560000000000001</v>
      </c>
      <c r="CE25" s="49">
        <v>1.2390000000000001</v>
      </c>
      <c r="CF25" s="49">
        <v>2.0259999999999998</v>
      </c>
      <c r="CG25" s="49">
        <v>13.939</v>
      </c>
      <c r="CH25" s="49">
        <v>13.781000000000001</v>
      </c>
      <c r="CI25" s="49">
        <v>4.8440000000000003</v>
      </c>
      <c r="CJ25" s="49">
        <v>-103.21299999999999</v>
      </c>
      <c r="CK25" s="50">
        <v>1.641</v>
      </c>
      <c r="CL25" s="49">
        <v>0</v>
      </c>
      <c r="CM25" s="49">
        <v>0.2</v>
      </c>
      <c r="CN25" s="50">
        <v>0</v>
      </c>
      <c r="CO25" s="50">
        <v>0</v>
      </c>
      <c r="CP25" s="49">
        <v>95.63</v>
      </c>
      <c r="CQ25" s="49">
        <v>93.314999999999998</v>
      </c>
      <c r="CR25" s="49">
        <v>117.905</v>
      </c>
      <c r="CS25" s="49">
        <v>122.992</v>
      </c>
      <c r="CT25" s="49">
        <v>0.32</v>
      </c>
      <c r="CU25" s="49">
        <v>0.7</v>
      </c>
      <c r="CV25" s="49">
        <v>0.998</v>
      </c>
      <c r="CW25" s="49">
        <v>0.998</v>
      </c>
      <c r="CX25" s="49">
        <v>1.597</v>
      </c>
      <c r="CY25" s="49">
        <v>1.595</v>
      </c>
      <c r="CZ25" s="49">
        <v>1.498</v>
      </c>
      <c r="DA25" s="49">
        <v>0.80100000000000005</v>
      </c>
      <c r="DB25" s="49">
        <v>1.698</v>
      </c>
      <c r="DC25" s="49">
        <v>0</v>
      </c>
      <c r="DD25" s="50">
        <v>0</v>
      </c>
      <c r="DE25" s="49">
        <v>0.34599999999999997</v>
      </c>
      <c r="DF25" s="50">
        <v>0.20799999999999999</v>
      </c>
      <c r="DG25" s="49">
        <v>0.88</v>
      </c>
      <c r="DH25" s="49">
        <v>2.6419999999999999</v>
      </c>
      <c r="DI25" s="49">
        <v>1.3140000000000001</v>
      </c>
      <c r="DJ25" s="49">
        <v>0.19400000000000001</v>
      </c>
      <c r="DK25" s="49">
        <v>1.2230000000000001</v>
      </c>
      <c r="DL25" s="49">
        <v>0.39900000000000002</v>
      </c>
      <c r="DM25" s="49">
        <v>0.52300000000000002</v>
      </c>
      <c r="DN25" s="49">
        <v>1.028</v>
      </c>
      <c r="DO25" s="49">
        <v>0.25800000000000001</v>
      </c>
      <c r="DP25" s="49">
        <v>66.376000000000005</v>
      </c>
      <c r="DQ25" s="49">
        <v>60.494</v>
      </c>
      <c r="DR25" s="49">
        <v>54.155000000000001</v>
      </c>
      <c r="DS25" s="49">
        <v>52.430999999999997</v>
      </c>
      <c r="DT25" s="49">
        <v>7.26</v>
      </c>
      <c r="DU25" s="49">
        <v>6.74</v>
      </c>
      <c r="DV25" s="50">
        <v>14.29</v>
      </c>
      <c r="DW25" s="50">
        <v>12.15</v>
      </c>
      <c r="DX25" s="50">
        <v>7.69</v>
      </c>
      <c r="DY25" s="50">
        <v>7.31</v>
      </c>
      <c r="DZ25" s="50">
        <v>13.75</v>
      </c>
      <c r="EA25" s="50">
        <v>12.02</v>
      </c>
      <c r="EB25" s="49">
        <v>41.29</v>
      </c>
      <c r="EC25" s="49">
        <v>41.18</v>
      </c>
      <c r="ED25" s="49">
        <v>31.66</v>
      </c>
      <c r="EE25" s="49">
        <v>33.68</v>
      </c>
      <c r="EF25" s="49">
        <v>43.75</v>
      </c>
      <c r="EG25" s="49">
        <v>44.76</v>
      </c>
      <c r="EH25" s="49">
        <v>40.299999999999997</v>
      </c>
      <c r="EI25" s="49">
        <v>42.15</v>
      </c>
      <c r="EJ25" s="49">
        <v>7.1580000000000004</v>
      </c>
      <c r="EK25" s="50">
        <v>59.610999999999997</v>
      </c>
      <c r="EL25" s="49">
        <v>1.95</v>
      </c>
      <c r="EM25" s="49">
        <v>1.55</v>
      </c>
      <c r="EN25" s="49">
        <v>1.19</v>
      </c>
      <c r="EO25" s="49">
        <v>1.2</v>
      </c>
      <c r="EP25" s="49">
        <v>-105.346</v>
      </c>
      <c r="EQ25" s="49">
        <v>-2.613</v>
      </c>
      <c r="ER25" s="49">
        <v>100.22199999999999</v>
      </c>
      <c r="ES25" s="49">
        <v>1.373</v>
      </c>
      <c r="ET25" s="49">
        <v>1.51</v>
      </c>
      <c r="EU25" s="49">
        <v>1.3240000000000001</v>
      </c>
      <c r="EV25" s="49">
        <v>7.2930000000000001</v>
      </c>
      <c r="EW25" s="49">
        <v>1.776</v>
      </c>
      <c r="EX25" s="50">
        <v>74.739999999999995</v>
      </c>
      <c r="EY25" s="49">
        <v>0</v>
      </c>
      <c r="EZ25" s="49">
        <v>5.1999999999999998E-2</v>
      </c>
      <c r="FA25" s="50">
        <v>0</v>
      </c>
      <c r="FB25" s="49">
        <v>9.1660000000000004</v>
      </c>
      <c r="FC25" s="49">
        <v>70.56</v>
      </c>
      <c r="FD25" s="49">
        <v>66.039000000000001</v>
      </c>
      <c r="FE25" s="49">
        <v>78.944999999999993</v>
      </c>
      <c r="FF25" s="49">
        <v>77.727000000000004</v>
      </c>
      <c r="FG25" s="49">
        <v>0.93400000000000005</v>
      </c>
      <c r="FH25" s="49">
        <v>0.93500000000000005</v>
      </c>
      <c r="FI25" s="49">
        <v>0.99299999999999999</v>
      </c>
      <c r="FJ25" s="49">
        <v>0.998</v>
      </c>
      <c r="FK25" s="49">
        <v>0</v>
      </c>
      <c r="FL25" s="49">
        <v>83</v>
      </c>
      <c r="FM25" s="49">
        <v>3.42</v>
      </c>
      <c r="FN25" s="49">
        <v>-0.62</v>
      </c>
      <c r="FO25" s="49">
        <v>5.4</v>
      </c>
      <c r="FP25" s="3"/>
      <c r="FQ25" s="49">
        <v>4.9000000000000004</v>
      </c>
      <c r="FR25" s="50">
        <v>5.05</v>
      </c>
      <c r="FS25" s="50">
        <v>6.9039999999999999</v>
      </c>
      <c r="FT25" s="49">
        <v>1072</v>
      </c>
      <c r="FU25" s="49">
        <v>6.5</v>
      </c>
      <c r="FV25" s="49">
        <v>16.75</v>
      </c>
      <c r="FW25" s="49">
        <v>3095.5</v>
      </c>
      <c r="FX25" s="49">
        <v>168600</v>
      </c>
      <c r="FY25" s="49">
        <v>169000</v>
      </c>
      <c r="FZ25" s="49">
        <v>48.183999999999997</v>
      </c>
      <c r="GA25" s="49">
        <v>47.210999999999999</v>
      </c>
      <c r="GB25" s="49">
        <v>2202.9</v>
      </c>
      <c r="GC25" s="49">
        <v>2186.9</v>
      </c>
      <c r="GD25" s="49">
        <v>2221.1999999999998</v>
      </c>
      <c r="GE25" s="49">
        <v>2225.1999999999998</v>
      </c>
      <c r="GF25" s="49">
        <v>1143.6719000000001</v>
      </c>
      <c r="GG25" s="49">
        <v>33</v>
      </c>
      <c r="GH25" s="49">
        <v>33.4</v>
      </c>
      <c r="GI25" s="49">
        <v>48.6</v>
      </c>
      <c r="GJ25" s="49">
        <v>53.4</v>
      </c>
      <c r="GK25" s="49">
        <v>99.5</v>
      </c>
      <c r="GL25" s="49">
        <v>87.7</v>
      </c>
      <c r="GM25" s="50">
        <v>0</v>
      </c>
      <c r="GN25" s="49">
        <v>26.988</v>
      </c>
      <c r="GO25" s="49">
        <v>105.346</v>
      </c>
      <c r="GP25" s="49">
        <v>0.35399999999999998</v>
      </c>
      <c r="GQ25" s="49">
        <v>1.9470000000000001</v>
      </c>
      <c r="GR25" s="49">
        <v>0.53100000000000003</v>
      </c>
      <c r="GS25" s="49">
        <v>2.0059999999999998</v>
      </c>
      <c r="GT25" s="49">
        <v>0.53100000000000003</v>
      </c>
      <c r="GU25" s="49">
        <v>1.8879999999999999</v>
      </c>
      <c r="GV25" s="49">
        <v>13.132</v>
      </c>
      <c r="GW25" s="49">
        <v>14.124000000000001</v>
      </c>
      <c r="GX25" s="49">
        <v>15.19</v>
      </c>
      <c r="GY25" s="50">
        <v>0</v>
      </c>
      <c r="GZ25" s="50">
        <v>0</v>
      </c>
      <c r="HA25" s="50">
        <v>0</v>
      </c>
      <c r="HB25" s="49">
        <v>0</v>
      </c>
      <c r="HC25" s="49">
        <v>23.146999999999998</v>
      </c>
      <c r="HD25" s="49">
        <v>78</v>
      </c>
      <c r="HE25" s="50">
        <v>0</v>
      </c>
      <c r="HF25" s="50">
        <v>0</v>
      </c>
      <c r="HG25" s="49">
        <v>73.19</v>
      </c>
      <c r="HH25" s="50">
        <v>78.790000000000006</v>
      </c>
      <c r="HI25" s="50">
        <v>0</v>
      </c>
      <c r="HJ25" s="50">
        <v>0</v>
      </c>
      <c r="HK25" s="50">
        <v>0</v>
      </c>
      <c r="HL25" s="49">
        <v>63</v>
      </c>
      <c r="HM25" s="49">
        <v>55</v>
      </c>
      <c r="HN25" s="49">
        <v>67</v>
      </c>
      <c r="HO25" s="49">
        <v>61</v>
      </c>
      <c r="HP25" s="49">
        <v>65</v>
      </c>
      <c r="HQ25" s="49">
        <v>62</v>
      </c>
      <c r="HR25" s="49">
        <v>54</v>
      </c>
      <c r="HS25" s="49">
        <v>64</v>
      </c>
      <c r="HT25" s="49">
        <v>-1.2889999999999999</v>
      </c>
      <c r="HU25" s="50">
        <v>0</v>
      </c>
      <c r="HV25" s="50">
        <v>0.44600000000000001</v>
      </c>
      <c r="HW25" s="50">
        <v>36.81</v>
      </c>
      <c r="HX25" s="50">
        <v>46.57</v>
      </c>
      <c r="HY25" s="49">
        <v>50.23</v>
      </c>
      <c r="HZ25" s="49">
        <v>61.14</v>
      </c>
      <c r="IA25" s="49">
        <v>2.8460000000000001</v>
      </c>
      <c r="IB25" s="50">
        <v>105</v>
      </c>
      <c r="IC25" s="50">
        <v>22.917999999999999</v>
      </c>
      <c r="ID25" s="49">
        <v>-0.28599999999999998</v>
      </c>
      <c r="IE25" s="49">
        <v>-9.6000000000000002E-2</v>
      </c>
      <c r="IF25" s="49">
        <v>818</v>
      </c>
      <c r="IG25" s="50">
        <v>770.6</v>
      </c>
      <c r="IH25" s="49">
        <v>829.5</v>
      </c>
      <c r="II25" s="50">
        <v>782.5</v>
      </c>
      <c r="IJ25" s="49">
        <v>-0.111</v>
      </c>
      <c r="IK25" s="49">
        <v>-0.25600000000000001</v>
      </c>
      <c r="IL25" s="49">
        <v>68.41</v>
      </c>
      <c r="IM25" s="49">
        <v>68.41</v>
      </c>
      <c r="IN25" s="49">
        <v>12.061</v>
      </c>
      <c r="IO25" s="50">
        <v>0.59699999999999998</v>
      </c>
      <c r="IP25" s="49">
        <v>10.46</v>
      </c>
      <c r="IQ25" s="49">
        <v>7.0000000000000001E-3</v>
      </c>
      <c r="IR25" s="49">
        <v>8.0000000000000002E-3</v>
      </c>
      <c r="IS25">
        <v>0.29800000000000004</v>
      </c>
      <c r="IT25">
        <v>0.16900000000000004</v>
      </c>
    </row>
    <row r="26" spans="1:254" x14ac:dyDescent="0.25">
      <c r="B26" s="2" t="s">
        <v>412</v>
      </c>
      <c r="C26" s="2" t="s">
        <v>44</v>
      </c>
      <c r="D26" s="61">
        <v>2.4615740740740739E-3</v>
      </c>
      <c r="E26" s="49">
        <v>212.72</v>
      </c>
      <c r="F26" s="49">
        <v>333.92</v>
      </c>
      <c r="G26" s="49">
        <v>5.64</v>
      </c>
      <c r="H26" s="49">
        <v>29.8</v>
      </c>
      <c r="I26" s="49">
        <v>0</v>
      </c>
      <c r="J26" s="49">
        <v>19.399999999999999</v>
      </c>
      <c r="K26" s="50">
        <v>10</v>
      </c>
      <c r="L26" s="50">
        <v>2</v>
      </c>
      <c r="M26" s="50">
        <v>6</v>
      </c>
      <c r="N26" s="50">
        <v>3</v>
      </c>
      <c r="O26" s="50">
        <v>3</v>
      </c>
      <c r="P26" s="49">
        <v>0.872</v>
      </c>
      <c r="Q26" s="49">
        <v>1.258</v>
      </c>
      <c r="R26" s="50">
        <v>1.0389999999999999</v>
      </c>
      <c r="S26" s="49">
        <v>0.60099999999999998</v>
      </c>
      <c r="T26" s="49">
        <v>63.98</v>
      </c>
      <c r="U26" s="49">
        <v>60.404000000000003</v>
      </c>
      <c r="V26" s="49">
        <v>243.34</v>
      </c>
      <c r="W26" s="49">
        <v>243.34</v>
      </c>
      <c r="X26" s="49">
        <v>170</v>
      </c>
      <c r="Y26" s="49">
        <v>221.66</v>
      </c>
      <c r="Z26" s="49">
        <v>375.43</v>
      </c>
      <c r="AA26" s="49">
        <v>368.59</v>
      </c>
      <c r="AB26" s="49">
        <v>253.53</v>
      </c>
      <c r="AC26" s="49">
        <v>320.04000000000002</v>
      </c>
      <c r="AD26" s="50">
        <v>1.825</v>
      </c>
      <c r="AE26" s="50">
        <v>1.881</v>
      </c>
      <c r="AF26" s="49">
        <v>1.804</v>
      </c>
      <c r="AG26" s="49">
        <v>1.8360000000000001</v>
      </c>
      <c r="AH26" s="50">
        <v>85.22</v>
      </c>
      <c r="AI26" s="50">
        <v>81.7</v>
      </c>
      <c r="AJ26" s="50">
        <v>109.02</v>
      </c>
      <c r="AK26" s="50">
        <v>105.71</v>
      </c>
      <c r="AL26" s="49">
        <v>654.77099999999996</v>
      </c>
      <c r="AM26" s="49">
        <v>642.77800000000002</v>
      </c>
      <c r="AN26" s="49">
        <v>835.548</v>
      </c>
      <c r="AO26" s="50">
        <v>831.08100000000002</v>
      </c>
      <c r="AP26" s="49">
        <v>1.2310000000000001</v>
      </c>
      <c r="AQ26" s="49">
        <v>1.7430000000000001</v>
      </c>
      <c r="AR26" s="49">
        <v>40.072000000000003</v>
      </c>
      <c r="AS26" s="50">
        <v>40.404000000000003</v>
      </c>
      <c r="AT26" s="49">
        <v>83</v>
      </c>
      <c r="AU26" s="49">
        <v>120</v>
      </c>
      <c r="AV26" s="49">
        <v>2.3744999999999998</v>
      </c>
      <c r="AW26" s="49">
        <v>5.3034999999999997</v>
      </c>
      <c r="AX26" s="49">
        <v>1012.7</v>
      </c>
      <c r="AY26" s="49">
        <v>2.2000000000000002</v>
      </c>
      <c r="AZ26" s="50">
        <v>5.35</v>
      </c>
      <c r="BA26" s="49">
        <v>113.342</v>
      </c>
      <c r="BB26" s="49">
        <v>111.45</v>
      </c>
      <c r="BC26" s="49">
        <v>7780</v>
      </c>
      <c r="BD26" s="49">
        <v>87.75</v>
      </c>
      <c r="BE26" s="49">
        <v>17</v>
      </c>
      <c r="BF26" s="49">
        <v>14.775</v>
      </c>
      <c r="BG26" s="50">
        <v>29.62</v>
      </c>
      <c r="BH26" s="49">
        <v>25.13</v>
      </c>
      <c r="BI26" s="3"/>
      <c r="BJ26" s="3"/>
      <c r="BK26" s="3"/>
      <c r="BL26" s="3"/>
      <c r="BM26" s="3"/>
      <c r="BN26" s="49">
        <v>101.70399999999999</v>
      </c>
      <c r="BO26" s="49">
        <v>98.12</v>
      </c>
      <c r="BP26" s="49">
        <v>126.44</v>
      </c>
      <c r="BQ26" s="49">
        <v>131.22399999999999</v>
      </c>
      <c r="BR26" s="3"/>
      <c r="BS26" s="49">
        <v>29.5</v>
      </c>
      <c r="BT26" s="50">
        <v>7498.3580000000002</v>
      </c>
      <c r="BU26" s="49">
        <v>50.343000000000004</v>
      </c>
      <c r="BV26" s="49">
        <v>53.783999999999999</v>
      </c>
      <c r="BW26" s="49">
        <v>56.012</v>
      </c>
      <c r="BX26" s="49">
        <v>57.048000000000002</v>
      </c>
      <c r="BY26" s="49">
        <v>1.385</v>
      </c>
      <c r="BZ26" s="49">
        <v>2.5</v>
      </c>
      <c r="CA26" s="49">
        <v>3.835</v>
      </c>
      <c r="CB26" s="50">
        <v>3.8919999999999999</v>
      </c>
      <c r="CC26" s="49">
        <v>1.03</v>
      </c>
      <c r="CD26" s="49">
        <v>2.1480000000000001</v>
      </c>
      <c r="CE26" s="49">
        <v>1.125</v>
      </c>
      <c r="CF26" s="49">
        <v>1.925</v>
      </c>
      <c r="CG26" s="49">
        <v>13.932</v>
      </c>
      <c r="CH26" s="49">
        <v>13.786</v>
      </c>
      <c r="CI26" s="49">
        <v>4.6740000000000004</v>
      </c>
      <c r="CJ26" s="49">
        <v>-33.445</v>
      </c>
      <c r="CK26" s="49">
        <v>1.615</v>
      </c>
      <c r="CL26" s="49">
        <v>0.1</v>
      </c>
      <c r="CM26" s="49">
        <v>0.5</v>
      </c>
      <c r="CN26" s="50">
        <v>0</v>
      </c>
      <c r="CO26" s="50">
        <v>0</v>
      </c>
      <c r="CP26" s="49">
        <v>97.882999999999996</v>
      </c>
      <c r="CQ26" s="49">
        <v>94.899000000000001</v>
      </c>
      <c r="CR26" s="49">
        <v>114.39100000000001</v>
      </c>
      <c r="CS26" s="49">
        <v>120.95399999999999</v>
      </c>
      <c r="CT26" s="49">
        <v>0.27900000000000003</v>
      </c>
      <c r="CU26" s="49">
        <v>1.0980000000000001</v>
      </c>
      <c r="CV26" s="49">
        <v>0.998</v>
      </c>
      <c r="CW26" s="49">
        <v>1.298</v>
      </c>
      <c r="CX26" s="49">
        <v>1.6970000000000001</v>
      </c>
      <c r="CY26" s="49">
        <v>0.89700000000000002</v>
      </c>
      <c r="CZ26" s="49">
        <v>1.5960000000000001</v>
      </c>
      <c r="DA26" s="49">
        <v>0.90100000000000002</v>
      </c>
      <c r="DB26" s="49">
        <v>1.6990000000000001</v>
      </c>
      <c r="DC26" s="49">
        <v>0</v>
      </c>
      <c r="DD26" s="50">
        <v>0</v>
      </c>
      <c r="DE26" s="50">
        <v>0.35799999999999998</v>
      </c>
      <c r="DF26" s="49">
        <v>0.18099999999999999</v>
      </c>
      <c r="DG26" s="49">
        <v>1.071</v>
      </c>
      <c r="DH26" s="50">
        <v>2.7850000000000001</v>
      </c>
      <c r="DI26" s="49">
        <v>1.2549999999999999</v>
      </c>
      <c r="DJ26" s="49">
        <v>0.27200000000000002</v>
      </c>
      <c r="DK26" s="49">
        <v>0.91100000000000003</v>
      </c>
      <c r="DL26" s="49">
        <v>0.39700000000000002</v>
      </c>
      <c r="DM26" s="50">
        <v>0.91700000000000004</v>
      </c>
      <c r="DN26" s="50">
        <v>4.8659999999999997</v>
      </c>
      <c r="DO26" s="49">
        <v>0.184</v>
      </c>
      <c r="DP26" s="49">
        <v>69.134</v>
      </c>
      <c r="DQ26" s="49">
        <v>62.164000000000001</v>
      </c>
      <c r="DR26" s="50">
        <v>56.128999999999998</v>
      </c>
      <c r="DS26" s="49">
        <v>54.914999999999999</v>
      </c>
      <c r="DT26" s="50">
        <v>7.28</v>
      </c>
      <c r="DU26" s="49">
        <v>6.68</v>
      </c>
      <c r="DV26" s="49">
        <v>13.84</v>
      </c>
      <c r="DW26" s="49">
        <v>11.94</v>
      </c>
      <c r="DX26" s="49">
        <v>7.44</v>
      </c>
      <c r="DY26" s="49">
        <v>7.13</v>
      </c>
      <c r="DZ26" s="49">
        <v>13.23</v>
      </c>
      <c r="EA26" s="49">
        <v>11.48</v>
      </c>
      <c r="EB26" s="49">
        <v>41.09</v>
      </c>
      <c r="EC26" s="49">
        <v>40.86</v>
      </c>
      <c r="ED26" s="49">
        <v>32.119999999999997</v>
      </c>
      <c r="EE26" s="49">
        <v>34.049999999999997</v>
      </c>
      <c r="EF26" s="49">
        <v>44.18</v>
      </c>
      <c r="EG26" s="49">
        <v>45.32</v>
      </c>
      <c r="EH26" s="49">
        <v>40.81</v>
      </c>
      <c r="EI26" s="49">
        <v>42.53</v>
      </c>
      <c r="EJ26" s="49">
        <v>6.5380000000000003</v>
      </c>
      <c r="EK26" s="49">
        <v>58.445</v>
      </c>
      <c r="EL26" s="49">
        <v>1.95</v>
      </c>
      <c r="EM26" s="49">
        <v>1.6</v>
      </c>
      <c r="EN26" s="49">
        <v>1.25</v>
      </c>
      <c r="EO26" s="49">
        <v>1.26</v>
      </c>
      <c r="EP26" s="49">
        <v>-103.59399999999999</v>
      </c>
      <c r="EQ26" s="49">
        <v>-2.3410000000000002</v>
      </c>
      <c r="ER26" s="49">
        <v>101.682</v>
      </c>
      <c r="ES26" s="49">
        <v>1.3420000000000001</v>
      </c>
      <c r="ET26" s="49">
        <v>1.431</v>
      </c>
      <c r="EU26" s="49">
        <v>1.258</v>
      </c>
      <c r="EV26" s="49">
        <v>6.6539999999999999</v>
      </c>
      <c r="EW26" s="49">
        <v>0.90700000000000003</v>
      </c>
      <c r="EX26" s="49">
        <v>70</v>
      </c>
      <c r="EY26" s="49">
        <v>0</v>
      </c>
      <c r="EZ26" s="49">
        <v>1.869</v>
      </c>
      <c r="FA26" s="50">
        <v>0</v>
      </c>
      <c r="FB26" s="49">
        <v>9.1679999999999993</v>
      </c>
      <c r="FC26" s="49">
        <v>73.355000000000004</v>
      </c>
      <c r="FD26" s="49">
        <v>68.811000000000007</v>
      </c>
      <c r="FE26" s="49">
        <v>83.421999999999997</v>
      </c>
      <c r="FF26" s="49">
        <v>82.069000000000003</v>
      </c>
      <c r="FG26" s="49">
        <v>0.93700000000000006</v>
      </c>
      <c r="FH26" s="49">
        <v>0.93799999999999994</v>
      </c>
      <c r="FI26" s="49">
        <v>0.99399999999999999</v>
      </c>
      <c r="FJ26" s="49">
        <v>1</v>
      </c>
      <c r="FK26" s="49">
        <v>0</v>
      </c>
      <c r="FL26" s="49">
        <v>83</v>
      </c>
      <c r="FM26" s="50">
        <v>3.48</v>
      </c>
      <c r="FN26" s="49">
        <v>-0.57999999999999996</v>
      </c>
      <c r="FO26" s="49">
        <v>5.36</v>
      </c>
      <c r="FP26" s="3"/>
      <c r="FQ26" s="49">
        <v>4.5999999999999996</v>
      </c>
      <c r="FR26" s="50">
        <v>5.05</v>
      </c>
      <c r="FS26" s="49">
        <v>6.7565</v>
      </c>
      <c r="FT26" s="50">
        <v>1076.7</v>
      </c>
      <c r="FU26" s="49">
        <v>7.02</v>
      </c>
      <c r="FV26" s="49">
        <v>22.39</v>
      </c>
      <c r="FW26" s="49">
        <v>3105</v>
      </c>
      <c r="FX26" s="50">
        <v>173700</v>
      </c>
      <c r="FY26" s="50">
        <v>175000</v>
      </c>
      <c r="FZ26" s="49">
        <v>48.875999999999998</v>
      </c>
      <c r="GA26" s="49">
        <v>47.753</v>
      </c>
      <c r="GB26" s="49">
        <v>2182.4</v>
      </c>
      <c r="GC26" s="49">
        <v>2178.6999999999998</v>
      </c>
      <c r="GD26" s="49">
        <v>2351.8000000000002</v>
      </c>
      <c r="GE26" s="49">
        <v>2405.4</v>
      </c>
      <c r="GF26" s="49">
        <v>1372.9375</v>
      </c>
      <c r="GG26" s="49">
        <v>34</v>
      </c>
      <c r="GH26" s="49">
        <v>34.5</v>
      </c>
      <c r="GI26" s="49">
        <v>49.2</v>
      </c>
      <c r="GJ26" s="49">
        <v>54.2</v>
      </c>
      <c r="GK26" s="49">
        <v>99.5</v>
      </c>
      <c r="GL26" s="50">
        <v>93.9</v>
      </c>
      <c r="GM26" s="50">
        <v>0</v>
      </c>
      <c r="GN26" s="49">
        <v>26.852</v>
      </c>
      <c r="GO26" s="49">
        <v>103.59399999999999</v>
      </c>
      <c r="GP26" s="49">
        <v>0.35399999999999998</v>
      </c>
      <c r="GQ26" s="49">
        <v>1.9470000000000001</v>
      </c>
      <c r="GR26" s="49">
        <v>0.53100000000000003</v>
      </c>
      <c r="GS26" s="49">
        <v>1.9470000000000001</v>
      </c>
      <c r="GT26" s="49">
        <v>0.41299999999999998</v>
      </c>
      <c r="GU26" s="49">
        <v>1.8879999999999999</v>
      </c>
      <c r="GV26" s="49">
        <v>12.936</v>
      </c>
      <c r="GW26" s="49">
        <v>14.144</v>
      </c>
      <c r="GX26" s="49">
        <v>15.484</v>
      </c>
      <c r="GY26" s="50">
        <v>0</v>
      </c>
      <c r="GZ26" s="50">
        <v>0</v>
      </c>
      <c r="HA26" s="50">
        <v>0</v>
      </c>
      <c r="HB26" s="49">
        <v>0</v>
      </c>
      <c r="HC26" s="49">
        <v>23.507999999999999</v>
      </c>
      <c r="HD26" s="49">
        <v>82</v>
      </c>
      <c r="HE26" s="50">
        <v>0</v>
      </c>
      <c r="HF26" s="50">
        <v>0</v>
      </c>
      <c r="HG26" s="49">
        <v>74.349999999999994</v>
      </c>
      <c r="HH26" s="49">
        <v>78.2</v>
      </c>
      <c r="HI26" s="50">
        <v>0</v>
      </c>
      <c r="HJ26" s="50">
        <v>0</v>
      </c>
      <c r="HK26" s="50">
        <v>0</v>
      </c>
      <c r="HL26" s="49">
        <v>63</v>
      </c>
      <c r="HM26" s="49">
        <v>55</v>
      </c>
      <c r="HN26" s="49">
        <v>68</v>
      </c>
      <c r="HO26" s="49">
        <v>62</v>
      </c>
      <c r="HP26" s="49">
        <v>65</v>
      </c>
      <c r="HQ26" s="49">
        <v>63</v>
      </c>
      <c r="HR26" s="49">
        <v>54</v>
      </c>
      <c r="HS26" s="49">
        <v>64</v>
      </c>
      <c r="HT26" s="49">
        <v>-1.2665</v>
      </c>
      <c r="HU26" s="50">
        <v>0</v>
      </c>
      <c r="HV26" s="49">
        <v>0.434</v>
      </c>
      <c r="HW26" s="49">
        <v>37.21</v>
      </c>
      <c r="HX26" s="49">
        <v>47.55</v>
      </c>
      <c r="HY26" s="49">
        <v>50.88</v>
      </c>
      <c r="HZ26" s="49">
        <v>61.91</v>
      </c>
      <c r="IA26" s="50">
        <v>3</v>
      </c>
      <c r="IB26" s="49">
        <v>104</v>
      </c>
      <c r="IC26" s="49">
        <v>22.852</v>
      </c>
      <c r="ID26" s="49">
        <v>-0.28699999999999998</v>
      </c>
      <c r="IE26" s="49">
        <v>-0.08</v>
      </c>
      <c r="IF26" s="49">
        <v>811.9</v>
      </c>
      <c r="IG26" s="49">
        <v>762.1</v>
      </c>
      <c r="IH26" s="49">
        <v>823.9</v>
      </c>
      <c r="II26" s="49">
        <v>774.2</v>
      </c>
      <c r="IJ26" s="49">
        <v>-6.3E-2</v>
      </c>
      <c r="IK26" s="49">
        <v>-0.22700000000000001</v>
      </c>
      <c r="IL26" s="49">
        <v>80.905000000000001</v>
      </c>
      <c r="IM26" s="49">
        <v>80.905000000000001</v>
      </c>
      <c r="IN26" s="49">
        <v>12.753</v>
      </c>
      <c r="IO26" s="49">
        <v>0.58899999999999997</v>
      </c>
      <c r="IP26" s="49">
        <v>10.42</v>
      </c>
      <c r="IQ26" s="49">
        <v>0.01</v>
      </c>
      <c r="IR26" s="49">
        <v>6.0000000000000001E-3</v>
      </c>
      <c r="IS26">
        <v>0.30800000000000005</v>
      </c>
      <c r="IT26">
        <v>0.17500000000000004</v>
      </c>
    </row>
    <row r="27" spans="1:254" x14ac:dyDescent="0.25">
      <c r="A27" s="6" t="s">
        <v>49</v>
      </c>
      <c r="B27" s="2" t="s">
        <v>412</v>
      </c>
      <c r="C27" s="2" t="s">
        <v>45</v>
      </c>
      <c r="D27" s="61">
        <v>2.4424768518518519E-3</v>
      </c>
      <c r="E27" s="49">
        <v>211.07</v>
      </c>
      <c r="F27" s="49">
        <v>330.81</v>
      </c>
      <c r="G27" s="49">
        <v>5.88</v>
      </c>
      <c r="H27" s="50">
        <v>29.9</v>
      </c>
      <c r="I27" s="49">
        <v>0</v>
      </c>
      <c r="J27" s="49">
        <v>15.4</v>
      </c>
      <c r="K27" s="50">
        <v>10</v>
      </c>
      <c r="L27" s="50">
        <v>2</v>
      </c>
      <c r="M27" s="50">
        <v>6</v>
      </c>
      <c r="N27" s="50">
        <v>3</v>
      </c>
      <c r="O27" s="50">
        <v>3</v>
      </c>
      <c r="P27" s="50">
        <v>0.878</v>
      </c>
      <c r="Q27" s="49">
        <v>1.228</v>
      </c>
      <c r="R27" s="49">
        <v>1.0309999999999999</v>
      </c>
      <c r="S27" s="49">
        <v>0.73299999999999998</v>
      </c>
      <c r="T27" s="50">
        <v>78.040000000000006</v>
      </c>
      <c r="U27" s="49">
        <v>60.267000000000003</v>
      </c>
      <c r="V27" s="49">
        <v>236.66</v>
      </c>
      <c r="W27" s="49">
        <v>236.66</v>
      </c>
      <c r="X27" s="49">
        <v>150</v>
      </c>
      <c r="Y27" s="49">
        <v>201.66</v>
      </c>
      <c r="Z27" s="50">
        <v>384.54</v>
      </c>
      <c r="AA27" s="49">
        <v>386.55</v>
      </c>
      <c r="AB27" s="49">
        <v>285.05</v>
      </c>
      <c r="AC27" s="49">
        <v>349.83</v>
      </c>
      <c r="AD27" s="49">
        <v>1.8240000000000001</v>
      </c>
      <c r="AE27" s="49">
        <v>1.8720000000000001</v>
      </c>
      <c r="AF27" s="49">
        <v>1.796</v>
      </c>
      <c r="AG27" s="49">
        <v>1.8280000000000001</v>
      </c>
      <c r="AH27" s="49">
        <v>84.45</v>
      </c>
      <c r="AI27" s="49">
        <v>80.900000000000006</v>
      </c>
      <c r="AJ27" s="49">
        <v>107.09</v>
      </c>
      <c r="AK27" s="49">
        <v>103.93</v>
      </c>
      <c r="AL27" s="49">
        <v>669.13599999999997</v>
      </c>
      <c r="AM27" s="49">
        <v>677.23900000000003</v>
      </c>
      <c r="AN27" s="49">
        <v>850.71799999999996</v>
      </c>
      <c r="AO27" s="49">
        <v>797.202</v>
      </c>
      <c r="AP27" s="49">
        <v>1.2809999999999999</v>
      </c>
      <c r="AQ27" s="49">
        <v>1.7769999999999999</v>
      </c>
      <c r="AR27" s="50">
        <v>42.372</v>
      </c>
      <c r="AS27" s="49">
        <v>37.058999999999997</v>
      </c>
      <c r="AT27" s="49">
        <v>83</v>
      </c>
      <c r="AU27" s="49">
        <v>121</v>
      </c>
      <c r="AV27" s="49">
        <v>2.2519999999999998</v>
      </c>
      <c r="AW27" s="49">
        <v>5.3287000000000004</v>
      </c>
      <c r="AX27" s="50">
        <v>1016.8</v>
      </c>
      <c r="AY27" s="49">
        <v>2.23</v>
      </c>
      <c r="AZ27" s="50">
        <v>5.35</v>
      </c>
      <c r="BA27" s="49">
        <v>93.856999999999999</v>
      </c>
      <c r="BB27" s="49">
        <v>93.289000000000001</v>
      </c>
      <c r="BC27" s="49">
        <v>7767</v>
      </c>
      <c r="BD27" s="49">
        <v>88.25</v>
      </c>
      <c r="BE27" s="49">
        <v>17.190000000000001</v>
      </c>
      <c r="BF27" s="50">
        <v>15.19</v>
      </c>
      <c r="BG27" s="49">
        <v>28.2</v>
      </c>
      <c r="BH27" s="49">
        <v>26.3</v>
      </c>
      <c r="BI27" s="3"/>
      <c r="BJ27" s="3"/>
      <c r="BK27" s="3"/>
      <c r="BL27" s="3"/>
      <c r="BM27" s="3"/>
      <c r="BN27" s="49">
        <v>103.624</v>
      </c>
      <c r="BO27" s="49">
        <v>98.68</v>
      </c>
      <c r="BP27" s="49">
        <v>120.328</v>
      </c>
      <c r="BQ27" s="49">
        <v>125.208</v>
      </c>
      <c r="BR27" s="3"/>
      <c r="BS27" s="50">
        <v>29.7</v>
      </c>
      <c r="BT27" s="49">
        <v>7413.2979999999998</v>
      </c>
      <c r="BU27" s="50">
        <v>51.47</v>
      </c>
      <c r="BV27" s="49">
        <v>54.924999999999997</v>
      </c>
      <c r="BW27" s="49">
        <v>55.651000000000003</v>
      </c>
      <c r="BX27" s="49">
        <v>58.027999999999999</v>
      </c>
      <c r="BY27" s="49">
        <v>1.347</v>
      </c>
      <c r="BZ27" s="49">
        <v>2.9239999999999999</v>
      </c>
      <c r="CA27" s="50">
        <v>3.8730000000000002</v>
      </c>
      <c r="CB27" s="49">
        <v>3.5630000000000002</v>
      </c>
      <c r="CC27" s="49">
        <v>0.85799999999999998</v>
      </c>
      <c r="CD27" s="49">
        <v>2.0979999999999999</v>
      </c>
      <c r="CE27" s="49">
        <v>1.1850000000000001</v>
      </c>
      <c r="CF27" s="49">
        <v>1.9570000000000001</v>
      </c>
      <c r="CG27" s="49">
        <v>13.936</v>
      </c>
      <c r="CH27" s="49">
        <v>13.794</v>
      </c>
      <c r="CI27" s="49">
        <v>4.0910000000000002</v>
      </c>
      <c r="CJ27" s="50">
        <v>328.32900000000001</v>
      </c>
      <c r="CK27" s="49">
        <v>1.417</v>
      </c>
      <c r="CL27" s="49">
        <v>0.5</v>
      </c>
      <c r="CM27" s="49">
        <v>0.6</v>
      </c>
      <c r="CN27" s="50">
        <v>0</v>
      </c>
      <c r="CO27" s="50">
        <v>0</v>
      </c>
      <c r="CP27" s="49">
        <v>98.186000000000007</v>
      </c>
      <c r="CQ27" s="49">
        <v>94.906000000000006</v>
      </c>
      <c r="CR27" s="49">
        <v>110.172</v>
      </c>
      <c r="CS27" s="49">
        <v>117.88</v>
      </c>
      <c r="CT27" s="49">
        <v>0.35199999999999998</v>
      </c>
      <c r="CU27" s="49">
        <v>0.9</v>
      </c>
      <c r="CV27" s="49">
        <v>0.997</v>
      </c>
      <c r="CW27" s="49">
        <v>0.80200000000000005</v>
      </c>
      <c r="CX27" s="49">
        <v>1.4950000000000001</v>
      </c>
      <c r="CY27" s="49">
        <v>0.69799999999999995</v>
      </c>
      <c r="CZ27" s="49">
        <v>1.3979999999999999</v>
      </c>
      <c r="DA27" s="49">
        <v>0.70099999999999996</v>
      </c>
      <c r="DB27" s="49">
        <v>1.7010000000000001</v>
      </c>
      <c r="DC27" s="49">
        <v>0</v>
      </c>
      <c r="DD27" s="50">
        <v>0</v>
      </c>
      <c r="DE27" s="49">
        <v>0.35199999999999998</v>
      </c>
      <c r="DF27" s="49">
        <v>0.16800000000000001</v>
      </c>
      <c r="DG27" s="49">
        <v>1.079</v>
      </c>
      <c r="DH27" s="49">
        <v>2.669</v>
      </c>
      <c r="DI27" s="50">
        <v>1.415</v>
      </c>
      <c r="DJ27" s="50">
        <v>0.33300000000000002</v>
      </c>
      <c r="DK27" s="50">
        <v>1.244</v>
      </c>
      <c r="DL27" s="49">
        <v>0.4</v>
      </c>
      <c r="DM27" s="49">
        <v>0.42499999999999999</v>
      </c>
      <c r="DN27" s="49">
        <v>-2E-3</v>
      </c>
      <c r="DO27" s="49">
        <v>-6.9000000000000006E-2</v>
      </c>
      <c r="DP27" s="49">
        <v>66.551000000000002</v>
      </c>
      <c r="DQ27" s="49">
        <v>61.758000000000003</v>
      </c>
      <c r="DR27" s="49">
        <v>53.762999999999998</v>
      </c>
      <c r="DS27" s="49">
        <v>53.008000000000003</v>
      </c>
      <c r="DT27" s="49">
        <v>6.99</v>
      </c>
      <c r="DU27" s="50">
        <v>6.83</v>
      </c>
      <c r="DV27" s="49">
        <v>13.74</v>
      </c>
      <c r="DW27" s="49">
        <v>11.33</v>
      </c>
      <c r="DX27" s="49">
        <v>7.2</v>
      </c>
      <c r="DY27" s="49">
        <v>6.92</v>
      </c>
      <c r="DZ27" s="49">
        <v>13.08</v>
      </c>
      <c r="EA27" s="49">
        <v>10.95</v>
      </c>
      <c r="EB27" s="50">
        <v>41.8</v>
      </c>
      <c r="EC27" s="49">
        <v>40.53</v>
      </c>
      <c r="ED27" s="50">
        <v>32.32</v>
      </c>
      <c r="EE27" s="50">
        <v>34.67</v>
      </c>
      <c r="EF27" s="49">
        <v>44.02</v>
      </c>
      <c r="EG27" s="49">
        <v>45.72</v>
      </c>
      <c r="EH27" s="49">
        <v>40.85</v>
      </c>
      <c r="EI27" s="49">
        <v>43.05</v>
      </c>
      <c r="EJ27" s="49">
        <v>7.3520000000000003</v>
      </c>
      <c r="EK27" s="49">
        <v>59.329000000000001</v>
      </c>
      <c r="EL27" s="49">
        <v>2</v>
      </c>
      <c r="EM27" s="49">
        <v>1.6</v>
      </c>
      <c r="EN27" s="49">
        <v>1.21</v>
      </c>
      <c r="EO27" s="49">
        <v>1.21</v>
      </c>
      <c r="EP27" s="49">
        <v>-102.134</v>
      </c>
      <c r="EQ27" s="49">
        <v>-2.2759999999999998</v>
      </c>
      <c r="ER27" s="50">
        <v>113.654</v>
      </c>
      <c r="ES27" s="49">
        <v>1.288</v>
      </c>
      <c r="ET27" s="49">
        <v>1.3169999999999999</v>
      </c>
      <c r="EU27" s="49">
        <v>1.1279999999999999</v>
      </c>
      <c r="EV27" s="49">
        <v>7.1589999999999998</v>
      </c>
      <c r="EW27" s="49">
        <v>1.698</v>
      </c>
      <c r="EX27" s="49">
        <v>73.92</v>
      </c>
      <c r="EY27" s="49">
        <v>0</v>
      </c>
      <c r="EZ27" s="49">
        <v>8.0000000000000002E-3</v>
      </c>
      <c r="FA27" s="50">
        <v>0</v>
      </c>
      <c r="FB27" s="49">
        <v>9.157</v>
      </c>
      <c r="FC27" s="49">
        <v>73.843999999999994</v>
      </c>
      <c r="FD27" s="49">
        <v>68.730999999999995</v>
      </c>
      <c r="FE27" s="49">
        <v>82.188000000000002</v>
      </c>
      <c r="FF27" s="49">
        <v>80.936999999999998</v>
      </c>
      <c r="FG27" s="49">
        <v>0.93500000000000005</v>
      </c>
      <c r="FH27" s="49">
        <v>0.93700000000000006</v>
      </c>
      <c r="FI27" s="49">
        <v>0.996</v>
      </c>
      <c r="FJ27" s="49">
        <v>1.0009999999999999</v>
      </c>
      <c r="FK27" s="49">
        <v>0</v>
      </c>
      <c r="FL27" s="49">
        <v>83</v>
      </c>
      <c r="FM27" s="49">
        <v>3.44</v>
      </c>
      <c r="FN27" s="49">
        <v>-0.64</v>
      </c>
      <c r="FO27" s="50">
        <v>5.3</v>
      </c>
      <c r="FP27" s="3"/>
      <c r="FQ27" s="49">
        <v>4.5999999999999996</v>
      </c>
      <c r="FR27" s="49">
        <v>5.0999999999999996</v>
      </c>
      <c r="FS27" s="49">
        <v>6.7030000000000003</v>
      </c>
      <c r="FT27" s="49">
        <v>1075.0999999999999</v>
      </c>
      <c r="FU27" s="49">
        <v>6.68</v>
      </c>
      <c r="FV27" s="49">
        <v>28.27</v>
      </c>
      <c r="FW27" s="49">
        <v>3055.5</v>
      </c>
      <c r="FX27" s="49">
        <v>168600</v>
      </c>
      <c r="FY27" s="49">
        <v>170700</v>
      </c>
      <c r="FZ27" s="49">
        <v>48.414000000000001</v>
      </c>
      <c r="GA27" s="49">
        <v>47.581000000000003</v>
      </c>
      <c r="GB27" s="49">
        <v>2301.1</v>
      </c>
      <c r="GC27" s="49">
        <v>2256.3000000000002</v>
      </c>
      <c r="GD27" s="49">
        <v>2355.6999999999998</v>
      </c>
      <c r="GE27" s="50">
        <v>2563.9</v>
      </c>
      <c r="GF27" s="50">
        <v>1556.4530999999999</v>
      </c>
      <c r="GG27" s="49">
        <v>36</v>
      </c>
      <c r="GH27" s="49">
        <v>35.6</v>
      </c>
      <c r="GI27" s="49">
        <v>49.4</v>
      </c>
      <c r="GJ27" s="49">
        <v>54.4</v>
      </c>
      <c r="GK27" s="49">
        <v>99.5</v>
      </c>
      <c r="GL27" s="49">
        <v>93.8</v>
      </c>
      <c r="GM27" s="50">
        <v>0</v>
      </c>
      <c r="GN27" s="50">
        <v>27.288</v>
      </c>
      <c r="GO27" s="50">
        <v>113.654</v>
      </c>
      <c r="GP27" s="49">
        <v>0.29499999999999998</v>
      </c>
      <c r="GQ27" s="49">
        <v>1.9470000000000001</v>
      </c>
      <c r="GR27" s="49">
        <v>0.47199999999999998</v>
      </c>
      <c r="GS27" s="49">
        <v>1.9470000000000001</v>
      </c>
      <c r="GT27" s="49">
        <v>0.41299999999999998</v>
      </c>
      <c r="GU27" s="49">
        <v>1.8879999999999999</v>
      </c>
      <c r="GV27" s="49">
        <v>12.936</v>
      </c>
      <c r="GW27" s="50">
        <v>14.148999999999999</v>
      </c>
      <c r="GX27" s="49">
        <v>16.071999999999999</v>
      </c>
      <c r="GY27" s="50">
        <v>0</v>
      </c>
      <c r="GZ27" s="50">
        <v>0</v>
      </c>
      <c r="HA27" s="50">
        <v>0</v>
      </c>
      <c r="HB27" s="49">
        <v>0</v>
      </c>
      <c r="HC27" s="49">
        <v>23.285</v>
      </c>
      <c r="HD27" s="49">
        <v>82</v>
      </c>
      <c r="HE27" s="50">
        <v>0</v>
      </c>
      <c r="HF27" s="50">
        <v>0</v>
      </c>
      <c r="HG27" s="49">
        <v>74.69</v>
      </c>
      <c r="HH27" s="49">
        <v>78.56</v>
      </c>
      <c r="HI27" s="50">
        <v>0</v>
      </c>
      <c r="HJ27" s="50">
        <v>0</v>
      </c>
      <c r="HK27" s="50">
        <v>0</v>
      </c>
      <c r="HL27" s="49">
        <v>63</v>
      </c>
      <c r="HM27" s="49">
        <v>55</v>
      </c>
      <c r="HN27" s="50">
        <v>69</v>
      </c>
      <c r="HO27" s="50">
        <v>63</v>
      </c>
      <c r="HP27" s="50">
        <v>66</v>
      </c>
      <c r="HQ27" s="50">
        <v>64</v>
      </c>
      <c r="HR27" s="49">
        <v>54</v>
      </c>
      <c r="HS27" s="50">
        <v>70</v>
      </c>
      <c r="HT27" s="49">
        <v>-1.276</v>
      </c>
      <c r="HU27" s="50">
        <v>0</v>
      </c>
      <c r="HV27" s="49">
        <v>0.193</v>
      </c>
      <c r="HW27" s="49">
        <v>37.21</v>
      </c>
      <c r="HX27" s="49">
        <v>47.55</v>
      </c>
      <c r="HY27" s="50">
        <v>51.21</v>
      </c>
      <c r="HZ27" s="50">
        <v>63.19</v>
      </c>
      <c r="IA27" s="49">
        <v>2.9350000000000001</v>
      </c>
      <c r="IB27" s="49">
        <v>104</v>
      </c>
      <c r="IC27" s="49">
        <v>22.756</v>
      </c>
      <c r="ID27" s="49">
        <v>-0.30299999999999999</v>
      </c>
      <c r="IE27" s="49">
        <v>-0.109</v>
      </c>
      <c r="IF27" s="49">
        <v>815.6</v>
      </c>
      <c r="IG27" s="49">
        <v>769.7</v>
      </c>
      <c r="IH27" s="49">
        <v>829.6</v>
      </c>
      <c r="II27" s="49">
        <v>781.5</v>
      </c>
      <c r="IJ27" s="49">
        <v>-0.104</v>
      </c>
      <c r="IK27" s="49">
        <v>-0.23100000000000001</v>
      </c>
      <c r="IL27" s="49">
        <v>71.688000000000002</v>
      </c>
      <c r="IM27" s="49">
        <v>71.688000000000002</v>
      </c>
      <c r="IN27" s="49">
        <v>11.942</v>
      </c>
      <c r="IO27" s="49">
        <v>0.57499999999999996</v>
      </c>
      <c r="IP27" s="49">
        <v>10.41</v>
      </c>
      <c r="IQ27" s="49">
        <v>1.0999999999999999E-2</v>
      </c>
      <c r="IR27" s="49">
        <v>0.01</v>
      </c>
      <c r="IS27">
        <v>0.31900000000000006</v>
      </c>
      <c r="IT27">
        <v>0.18500000000000005</v>
      </c>
    </row>
    <row r="28" spans="1:254" x14ac:dyDescent="0.25">
      <c r="B28" s="2" t="s">
        <v>412</v>
      </c>
      <c r="C28" s="2" t="s">
        <v>46</v>
      </c>
      <c r="D28" s="61">
        <v>2.8505787037037041E-3</v>
      </c>
      <c r="E28" s="49">
        <v>246.28899999999999</v>
      </c>
      <c r="F28" s="50">
        <v>334.25</v>
      </c>
      <c r="G28" s="49">
        <v>-28.27</v>
      </c>
      <c r="H28" s="49">
        <v>29.8</v>
      </c>
      <c r="I28" s="49">
        <v>0</v>
      </c>
      <c r="J28" s="49">
        <v>17.3</v>
      </c>
      <c r="K28" s="50">
        <v>10</v>
      </c>
      <c r="L28" s="50">
        <v>2</v>
      </c>
      <c r="M28" s="50">
        <v>6</v>
      </c>
      <c r="N28" s="50">
        <v>3</v>
      </c>
      <c r="O28" s="50">
        <v>3</v>
      </c>
      <c r="P28" s="49">
        <v>0.78800000000000003</v>
      </c>
      <c r="Q28" s="49">
        <v>1.4</v>
      </c>
      <c r="R28" s="49">
        <v>0.75</v>
      </c>
      <c r="S28" s="49">
        <v>0.57799999999999996</v>
      </c>
      <c r="T28" s="49">
        <v>72.489999999999995</v>
      </c>
      <c r="U28" s="50">
        <v>60.418999999999997</v>
      </c>
      <c r="V28" s="49">
        <v>255</v>
      </c>
      <c r="W28" s="49">
        <v>260</v>
      </c>
      <c r="X28" s="49">
        <v>180</v>
      </c>
      <c r="Y28" s="49">
        <v>230</v>
      </c>
      <c r="Z28" s="49">
        <v>381.79</v>
      </c>
      <c r="AA28" s="49">
        <v>381.14</v>
      </c>
      <c r="AB28" s="49">
        <v>288.32</v>
      </c>
      <c r="AC28" s="49">
        <v>350.94</v>
      </c>
      <c r="AD28" s="49">
        <v>1.8220000000000001</v>
      </c>
      <c r="AE28" s="49">
        <v>1.88</v>
      </c>
      <c r="AF28" s="50">
        <v>1.8169999999999999</v>
      </c>
      <c r="AG28" s="50">
        <v>1.8420000000000001</v>
      </c>
      <c r="AH28" s="49">
        <v>82.96</v>
      </c>
      <c r="AI28" s="49">
        <v>80.94</v>
      </c>
      <c r="AJ28" s="49">
        <v>108.57</v>
      </c>
      <c r="AK28" s="49">
        <v>105.03</v>
      </c>
      <c r="AL28" s="49">
        <v>650.38800000000003</v>
      </c>
      <c r="AM28" s="49">
        <v>640.80399999999997</v>
      </c>
      <c r="AN28" s="49">
        <v>853.78399999999999</v>
      </c>
      <c r="AO28" s="49">
        <v>771.76499999999999</v>
      </c>
      <c r="AP28" s="49">
        <v>1.282</v>
      </c>
      <c r="AQ28" s="49">
        <v>1.768</v>
      </c>
      <c r="AR28" s="49">
        <v>42.279000000000003</v>
      </c>
      <c r="AS28" s="49">
        <v>36.095999999999997</v>
      </c>
      <c r="AT28" s="49">
        <v>83</v>
      </c>
      <c r="AU28" s="50">
        <v>122</v>
      </c>
      <c r="AV28" s="49">
        <v>2.3815</v>
      </c>
      <c r="AW28" s="49">
        <v>5.2375999999999996</v>
      </c>
      <c r="AX28" s="49">
        <v>1016.5</v>
      </c>
      <c r="AY28" s="49">
        <v>2.25</v>
      </c>
      <c r="AZ28" s="49">
        <v>5.68</v>
      </c>
      <c r="BA28" s="49">
        <v>92.93</v>
      </c>
      <c r="BB28" s="49">
        <v>92.546999999999997</v>
      </c>
      <c r="BC28" s="49">
        <v>7662</v>
      </c>
      <c r="BD28" s="50">
        <v>89.75</v>
      </c>
      <c r="BE28" s="49">
        <v>16.52</v>
      </c>
      <c r="BF28" s="49">
        <v>13.645</v>
      </c>
      <c r="BG28" s="49">
        <v>28.46</v>
      </c>
      <c r="BH28" s="49">
        <v>26.57</v>
      </c>
      <c r="BI28" s="50">
        <v>65.757999999999996</v>
      </c>
      <c r="BJ28" s="50">
        <v>81.656000000000006</v>
      </c>
      <c r="BK28" s="50">
        <v>64.076999999999998</v>
      </c>
      <c r="BL28" s="49">
        <v>77.262</v>
      </c>
      <c r="BM28" s="50">
        <v>80.966999999999999</v>
      </c>
      <c r="BN28" s="49">
        <v>116.28</v>
      </c>
      <c r="BO28" s="49">
        <v>111.816</v>
      </c>
      <c r="BP28" s="50">
        <v>132.77600000000001</v>
      </c>
      <c r="BQ28" s="50">
        <v>136.50399999999999</v>
      </c>
      <c r="BR28" s="50">
        <v>61.386000000000003</v>
      </c>
      <c r="BS28" s="49">
        <v>29.5</v>
      </c>
      <c r="BT28" s="49">
        <v>7363.6080000000002</v>
      </c>
      <c r="BU28" s="49">
        <v>49.046999999999997</v>
      </c>
      <c r="BV28" s="49">
        <v>52.93</v>
      </c>
      <c r="BW28" s="49">
        <v>56.094000000000001</v>
      </c>
      <c r="BX28" s="49">
        <v>57.085000000000001</v>
      </c>
      <c r="BY28" s="49">
        <v>1.419</v>
      </c>
      <c r="BZ28" s="50">
        <v>3.2109999999999999</v>
      </c>
      <c r="CA28" s="49">
        <v>3.01</v>
      </c>
      <c r="CB28" s="49">
        <v>3.5350000000000001</v>
      </c>
      <c r="CC28" s="49">
        <v>0.95699999999999996</v>
      </c>
      <c r="CD28" s="49">
        <v>2.016</v>
      </c>
      <c r="CE28" s="49">
        <v>1.2669999999999999</v>
      </c>
      <c r="CF28" s="49">
        <v>1.998</v>
      </c>
      <c r="CG28" s="49">
        <v>13.923</v>
      </c>
      <c r="CH28" s="49">
        <v>10.493</v>
      </c>
      <c r="CI28" s="3"/>
      <c r="CJ28" s="3"/>
      <c r="CK28" s="3"/>
      <c r="CL28" s="50">
        <v>0.7</v>
      </c>
      <c r="CM28" s="49">
        <v>0.5</v>
      </c>
      <c r="CN28" s="50">
        <v>0</v>
      </c>
      <c r="CO28" s="50">
        <v>0</v>
      </c>
      <c r="CP28" s="49">
        <v>101.333</v>
      </c>
      <c r="CQ28" s="49">
        <v>97.894000000000005</v>
      </c>
      <c r="CR28" s="50">
        <v>121.22</v>
      </c>
      <c r="CS28" s="50">
        <v>126.944</v>
      </c>
      <c r="CT28" s="49">
        <v>0.23</v>
      </c>
      <c r="CU28" s="50">
        <v>8.0779999999999994</v>
      </c>
      <c r="CV28" s="50">
        <v>8.6809999999999992</v>
      </c>
      <c r="CW28" s="50">
        <v>8.0790000000000006</v>
      </c>
      <c r="CX28" s="50">
        <v>8.3740000000000006</v>
      </c>
      <c r="CY28" s="50">
        <v>8.375</v>
      </c>
      <c r="CZ28" s="50">
        <v>8.5790000000000006</v>
      </c>
      <c r="DA28" s="50">
        <v>7.6790000000000003</v>
      </c>
      <c r="DB28" s="50">
        <v>8.9809999999999999</v>
      </c>
      <c r="DC28" s="49">
        <v>0</v>
      </c>
      <c r="DD28" s="50">
        <v>0</v>
      </c>
      <c r="DE28" s="49">
        <v>0.26400000000000001</v>
      </c>
      <c r="DF28" s="49">
        <v>0.126</v>
      </c>
      <c r="DG28" s="49">
        <v>0.35899999999999999</v>
      </c>
      <c r="DH28" s="49">
        <v>2.3149999999999999</v>
      </c>
      <c r="DI28" s="49">
        <v>1.0369999999999999</v>
      </c>
      <c r="DJ28" s="49">
        <v>0.17899999999999999</v>
      </c>
      <c r="DK28" s="49">
        <v>0.79600000000000004</v>
      </c>
      <c r="DL28" s="49">
        <v>0.40600000000000003</v>
      </c>
      <c r="DM28" s="49">
        <v>0.46600000000000003</v>
      </c>
      <c r="DN28" s="49">
        <v>0.36799999999999999</v>
      </c>
      <c r="DO28" s="50">
        <v>0.36399999999999999</v>
      </c>
      <c r="DP28" s="50">
        <v>70.597999999999999</v>
      </c>
      <c r="DQ28" s="49">
        <v>58.88</v>
      </c>
      <c r="DR28" s="49">
        <v>52.226999999999997</v>
      </c>
      <c r="DS28" s="50">
        <v>55.134</v>
      </c>
      <c r="DT28" s="49">
        <v>5.79</v>
      </c>
      <c r="DU28" s="49">
        <v>5.67</v>
      </c>
      <c r="DV28" s="49">
        <v>11.68</v>
      </c>
      <c r="DW28" s="49">
        <v>9.8699999999999992</v>
      </c>
      <c r="DX28" s="49">
        <v>5.99</v>
      </c>
      <c r="DY28" s="49">
        <v>6.02</v>
      </c>
      <c r="DZ28" s="49">
        <v>11.23</v>
      </c>
      <c r="EA28" s="49">
        <v>9.43</v>
      </c>
      <c r="EB28" s="49">
        <v>41.68</v>
      </c>
      <c r="EC28" s="49">
        <v>41.52</v>
      </c>
      <c r="ED28" s="49">
        <v>32.1</v>
      </c>
      <c r="EE28" s="49">
        <v>34.06</v>
      </c>
      <c r="EF28" s="49">
        <v>46.54</v>
      </c>
      <c r="EG28" s="49">
        <v>46.79</v>
      </c>
      <c r="EH28" s="49">
        <v>44.98</v>
      </c>
      <c r="EI28" s="49">
        <v>46.63</v>
      </c>
      <c r="EJ28" s="49">
        <v>7.3440000000000003</v>
      </c>
      <c r="EK28" s="49">
        <v>59.164000000000001</v>
      </c>
      <c r="EL28" s="49">
        <v>2</v>
      </c>
      <c r="EM28" s="49">
        <v>1.55</v>
      </c>
      <c r="EN28" s="49">
        <v>1.24</v>
      </c>
      <c r="EO28" s="49">
        <v>1.24</v>
      </c>
      <c r="EP28" s="49">
        <v>-99.798000000000002</v>
      </c>
      <c r="EQ28" s="49">
        <v>-1.7989999999999999</v>
      </c>
      <c r="ER28" s="49">
        <v>88.542000000000002</v>
      </c>
      <c r="ES28" s="49">
        <v>0.95199999999999996</v>
      </c>
      <c r="ET28" s="49">
        <v>0.94399999999999995</v>
      </c>
      <c r="EU28" s="49">
        <v>0.78300000000000003</v>
      </c>
      <c r="EV28" s="49">
        <v>7.2240000000000002</v>
      </c>
      <c r="EW28" s="49">
        <v>1.67</v>
      </c>
      <c r="EX28" s="49">
        <v>69.680000000000007</v>
      </c>
      <c r="EY28" s="49">
        <v>0</v>
      </c>
      <c r="EZ28" s="49">
        <v>1.1970000000000001</v>
      </c>
      <c r="FA28" s="50">
        <v>0</v>
      </c>
      <c r="FB28" s="49">
        <v>9.1999999999999993</v>
      </c>
      <c r="FC28" s="50">
        <v>73.91</v>
      </c>
      <c r="FD28" s="50">
        <v>69.186999999999998</v>
      </c>
      <c r="FE28" s="50">
        <v>83.861000000000004</v>
      </c>
      <c r="FF28" s="50">
        <v>82.477000000000004</v>
      </c>
      <c r="FG28" s="50">
        <v>0.99</v>
      </c>
      <c r="FH28" s="50">
        <v>0.98899999999999999</v>
      </c>
      <c r="FI28" s="49">
        <v>0.998</v>
      </c>
      <c r="FJ28" s="49">
        <v>1.004</v>
      </c>
      <c r="FK28" s="49">
        <v>0</v>
      </c>
      <c r="FL28" s="49">
        <v>83</v>
      </c>
      <c r="FM28" s="50">
        <v>3.48</v>
      </c>
      <c r="FN28" s="49">
        <v>-0.7</v>
      </c>
      <c r="FO28" s="49">
        <v>5.42</v>
      </c>
      <c r="FP28" s="49">
        <v>4.0999999999999996</v>
      </c>
      <c r="FQ28" s="50">
        <v>4.5</v>
      </c>
      <c r="FR28" s="49">
        <v>5.0999999999999996</v>
      </c>
      <c r="FS28" s="49">
        <v>6.7634999999999996</v>
      </c>
      <c r="FT28" s="49">
        <v>1074.9000000000001</v>
      </c>
      <c r="FU28" s="50">
        <v>7.12</v>
      </c>
      <c r="FV28" s="50">
        <v>33.92</v>
      </c>
      <c r="FW28" s="49">
        <v>3047.5</v>
      </c>
      <c r="FX28" s="49">
        <v>165900</v>
      </c>
      <c r="FY28" s="49">
        <v>166800</v>
      </c>
      <c r="FZ28" s="49">
        <v>48.548999999999999</v>
      </c>
      <c r="GA28" s="49">
        <v>47.601999999999997</v>
      </c>
      <c r="GB28" s="50">
        <v>2445.6</v>
      </c>
      <c r="GC28" s="50">
        <v>2339.9</v>
      </c>
      <c r="GD28" s="50">
        <v>2549.6999999999998</v>
      </c>
      <c r="GE28" s="49">
        <v>2341.4</v>
      </c>
      <c r="GF28" s="49">
        <v>1443.2188000000001</v>
      </c>
      <c r="GG28" s="50">
        <v>37</v>
      </c>
      <c r="GH28" s="50">
        <v>36.799999999999997</v>
      </c>
      <c r="GI28" s="49">
        <v>49.4</v>
      </c>
      <c r="GJ28" s="49">
        <v>54.7</v>
      </c>
      <c r="GK28" s="49">
        <v>99</v>
      </c>
      <c r="GL28" s="49">
        <v>87.2</v>
      </c>
      <c r="GM28" s="50">
        <v>0</v>
      </c>
      <c r="GN28" s="49">
        <v>25.456</v>
      </c>
      <c r="GO28" s="49">
        <v>99.798000000000002</v>
      </c>
      <c r="GP28" s="50">
        <v>0</v>
      </c>
      <c r="GQ28" s="50">
        <v>5.6050000000000004</v>
      </c>
      <c r="GR28" s="50">
        <v>0</v>
      </c>
      <c r="GS28" s="50">
        <v>5.3689999999999998</v>
      </c>
      <c r="GT28" s="50">
        <v>0</v>
      </c>
      <c r="GU28" s="50">
        <v>4.8380000000000001</v>
      </c>
      <c r="GV28" s="50">
        <v>0</v>
      </c>
      <c r="GW28" s="49">
        <v>13.939</v>
      </c>
      <c r="GX28" s="49">
        <v>15.875999999999999</v>
      </c>
      <c r="GY28" s="50">
        <v>0</v>
      </c>
      <c r="GZ28" s="50">
        <v>0</v>
      </c>
      <c r="HA28" s="50">
        <v>0</v>
      </c>
      <c r="HB28" s="49">
        <v>0</v>
      </c>
      <c r="HC28" s="49">
        <v>22.715</v>
      </c>
      <c r="HD28" s="49">
        <v>82</v>
      </c>
      <c r="HE28" s="50">
        <v>0</v>
      </c>
      <c r="HF28" s="50">
        <v>0</v>
      </c>
      <c r="HG28" s="49">
        <v>74.42</v>
      </c>
      <c r="HH28" s="49">
        <v>78.5</v>
      </c>
      <c r="HI28" s="50">
        <v>0</v>
      </c>
      <c r="HJ28" s="50">
        <v>0</v>
      </c>
      <c r="HK28" s="50">
        <v>0</v>
      </c>
      <c r="HL28" s="49">
        <v>63</v>
      </c>
      <c r="HM28" s="49">
        <v>55</v>
      </c>
      <c r="HN28" s="50">
        <v>69</v>
      </c>
      <c r="HO28" s="50">
        <v>63</v>
      </c>
      <c r="HP28" s="50">
        <v>66</v>
      </c>
      <c r="HQ28" s="50">
        <v>64</v>
      </c>
      <c r="HR28" s="50">
        <v>55</v>
      </c>
      <c r="HS28" s="49">
        <v>64</v>
      </c>
      <c r="HT28" s="49">
        <v>-1.2535000000000001</v>
      </c>
      <c r="HU28" s="50">
        <v>0</v>
      </c>
      <c r="HV28" s="49">
        <v>-0.34100000000000003</v>
      </c>
      <c r="HW28" s="49">
        <v>46.75</v>
      </c>
      <c r="HX28" s="49">
        <v>52.53</v>
      </c>
      <c r="HY28" s="3"/>
      <c r="HZ28" s="3"/>
      <c r="IA28" s="49">
        <v>2.9340000000000002</v>
      </c>
      <c r="IB28" s="49">
        <v>104</v>
      </c>
      <c r="IC28" s="49">
        <v>22.667000000000002</v>
      </c>
      <c r="ID28" s="49">
        <v>-0.24099999999999999</v>
      </c>
      <c r="IE28" s="49">
        <v>-8.7999999999999995E-2</v>
      </c>
      <c r="IF28" s="49">
        <v>817.7</v>
      </c>
      <c r="IG28" s="49">
        <v>751.4</v>
      </c>
      <c r="IH28" s="50">
        <v>829.7</v>
      </c>
      <c r="II28" s="49">
        <v>767.6</v>
      </c>
      <c r="IJ28" s="49">
        <v>-0.09</v>
      </c>
      <c r="IK28" s="49">
        <v>-0.19400000000000001</v>
      </c>
      <c r="IL28" s="49">
        <v>85.578000000000003</v>
      </c>
      <c r="IM28" s="49">
        <v>85.578000000000003</v>
      </c>
      <c r="IN28" s="49">
        <v>16.283999999999999</v>
      </c>
      <c r="IO28" s="49">
        <v>0.45800000000000002</v>
      </c>
      <c r="IP28" s="49">
        <v>10.44</v>
      </c>
      <c r="IQ28" s="49">
        <v>0</v>
      </c>
      <c r="IR28" s="49">
        <v>0</v>
      </c>
      <c r="IS28">
        <v>0.31900000000000006</v>
      </c>
      <c r="IT28">
        <v>0.18500000000000005</v>
      </c>
    </row>
    <row r="29" spans="1:254" x14ac:dyDescent="0.25">
      <c r="IS29">
        <v>0.31900000000000006</v>
      </c>
      <c r="IT29">
        <v>0.18500000000000005</v>
      </c>
    </row>
    <row r="30" spans="1:254" x14ac:dyDescent="0.25">
      <c r="IS30">
        <v>0.31900000000000006</v>
      </c>
      <c r="IT30">
        <v>0.18500000000000005</v>
      </c>
    </row>
    <row r="31" spans="1:254" x14ac:dyDescent="0.25">
      <c r="IS31">
        <v>0.31900000000000006</v>
      </c>
      <c r="IT31">
        <v>0.18500000000000005</v>
      </c>
    </row>
    <row r="32" spans="1:254" x14ac:dyDescent="0.25">
      <c r="B32" s="2" t="s">
        <v>412</v>
      </c>
      <c r="C32" s="2" t="s">
        <v>41</v>
      </c>
      <c r="D32" s="61">
        <v>2.9356481481481477E-3</v>
      </c>
      <c r="E32" s="50">
        <v>253.63800000000001</v>
      </c>
      <c r="F32" s="49">
        <v>326.2</v>
      </c>
      <c r="G32" s="49">
        <v>5.65</v>
      </c>
      <c r="H32" s="49">
        <v>29.2</v>
      </c>
      <c r="I32" s="50">
        <v>0.14000000000000001</v>
      </c>
      <c r="J32" s="50">
        <v>34.700000000000003</v>
      </c>
      <c r="K32" s="50">
        <v>10</v>
      </c>
      <c r="L32" s="49">
        <v>2</v>
      </c>
      <c r="M32" s="50">
        <v>6</v>
      </c>
      <c r="N32" s="50">
        <v>3</v>
      </c>
      <c r="O32" s="50">
        <v>3</v>
      </c>
      <c r="P32" s="49">
        <v>0.73499999999999999</v>
      </c>
      <c r="Q32" s="49">
        <v>1.0369999999999999</v>
      </c>
      <c r="R32" s="49">
        <v>0.93700000000000006</v>
      </c>
      <c r="S32" s="49">
        <v>0.53200000000000003</v>
      </c>
      <c r="T32" s="49">
        <v>71.260000000000005</v>
      </c>
      <c r="U32" s="49">
        <v>60.533000000000001</v>
      </c>
      <c r="V32" s="50">
        <v>162.5</v>
      </c>
      <c r="W32" s="50">
        <v>167.5</v>
      </c>
      <c r="X32" s="50">
        <v>120</v>
      </c>
      <c r="Y32" s="50">
        <v>145</v>
      </c>
      <c r="Z32" s="49">
        <v>319.36</v>
      </c>
      <c r="AA32" s="49">
        <v>318.23</v>
      </c>
      <c r="AB32" s="49">
        <v>240.77</v>
      </c>
      <c r="AC32" s="49">
        <v>293.42</v>
      </c>
      <c r="AD32" s="49">
        <v>1.7450000000000001</v>
      </c>
      <c r="AE32" s="49">
        <v>1.827</v>
      </c>
      <c r="AF32" s="49">
        <v>1.6890000000000001</v>
      </c>
      <c r="AG32" s="49">
        <v>1.7230000000000001</v>
      </c>
      <c r="AH32" s="49">
        <v>67.430000000000007</v>
      </c>
      <c r="AI32" s="49">
        <v>66.62</v>
      </c>
      <c r="AJ32" s="49">
        <v>84.91</v>
      </c>
      <c r="AK32" s="49">
        <v>85.46</v>
      </c>
      <c r="AL32" s="49">
        <v>617.10799999999995</v>
      </c>
      <c r="AM32" s="49">
        <v>631.03300000000002</v>
      </c>
      <c r="AN32" s="49">
        <v>748.34199999999998</v>
      </c>
      <c r="AO32" s="49">
        <v>747.15899999999999</v>
      </c>
      <c r="AP32" s="50">
        <v>1.397</v>
      </c>
      <c r="AQ32" s="49">
        <v>1.861</v>
      </c>
      <c r="AR32" s="49">
        <v>39.881</v>
      </c>
      <c r="AS32" s="49">
        <v>38.103999999999999</v>
      </c>
      <c r="AT32" s="50">
        <v>84</v>
      </c>
      <c r="AU32" s="49">
        <v>115</v>
      </c>
      <c r="AV32" s="49">
        <v>2.2414999999999998</v>
      </c>
      <c r="AW32" s="49">
        <v>5.1563999999999997</v>
      </c>
      <c r="AX32" s="50">
        <v>1022.1</v>
      </c>
      <c r="AY32" s="50">
        <v>2.4300000000000002</v>
      </c>
      <c r="AZ32" s="49">
        <v>5.66</v>
      </c>
      <c r="BA32" s="50">
        <v>65.3</v>
      </c>
      <c r="BB32" s="50">
        <v>66.316999999999993</v>
      </c>
      <c r="BC32" s="49">
        <v>7745</v>
      </c>
      <c r="BD32" s="49">
        <v>88.75</v>
      </c>
      <c r="BE32" s="49">
        <v>15.335000000000001</v>
      </c>
      <c r="BF32" s="49">
        <v>13.585000000000001</v>
      </c>
      <c r="BG32" s="49">
        <v>26.19</v>
      </c>
      <c r="BH32" s="49">
        <v>26.13</v>
      </c>
      <c r="BI32" s="49">
        <v>63.963000000000001</v>
      </c>
      <c r="BJ32" s="49">
        <v>79.894000000000005</v>
      </c>
      <c r="BK32" s="49">
        <v>62.277999999999999</v>
      </c>
      <c r="BL32" s="49">
        <v>76.986000000000004</v>
      </c>
      <c r="BM32" s="49">
        <v>77.707999999999998</v>
      </c>
      <c r="BN32" s="50">
        <v>137.59200000000001</v>
      </c>
      <c r="BO32" s="50">
        <v>134.184</v>
      </c>
      <c r="BP32" s="49">
        <v>125.16</v>
      </c>
      <c r="BQ32" s="49">
        <v>127.48</v>
      </c>
      <c r="BR32" s="49">
        <v>59.088999999999999</v>
      </c>
      <c r="BS32" s="49">
        <v>28.9</v>
      </c>
      <c r="BT32" s="49">
        <v>7298.6450000000004</v>
      </c>
      <c r="BU32" s="49">
        <v>49.250999999999998</v>
      </c>
      <c r="BV32" s="50">
        <v>56.335999999999999</v>
      </c>
      <c r="BW32" s="49">
        <v>56.003</v>
      </c>
      <c r="BX32" s="49">
        <v>56.781999999999996</v>
      </c>
      <c r="BY32" s="50">
        <v>1.514</v>
      </c>
      <c r="BZ32" s="50">
        <v>3.3340000000000001</v>
      </c>
      <c r="CA32" s="49">
        <v>3.5529999999999999</v>
      </c>
      <c r="CB32" s="49">
        <v>3.0310000000000001</v>
      </c>
      <c r="CC32" s="49">
        <v>1.214</v>
      </c>
      <c r="CD32" s="49">
        <v>2.302</v>
      </c>
      <c r="CE32" s="50">
        <v>1.34</v>
      </c>
      <c r="CF32" s="50">
        <v>2.198</v>
      </c>
      <c r="CG32" s="49">
        <v>13.798</v>
      </c>
      <c r="CH32" s="50">
        <v>9.9039999999999999</v>
      </c>
      <c r="CI32" s="49">
        <v>3.7050000000000001</v>
      </c>
      <c r="CJ32" s="49">
        <v>3.36</v>
      </c>
      <c r="CK32" s="49">
        <v>1.083</v>
      </c>
      <c r="CL32" s="49">
        <v>0</v>
      </c>
      <c r="CM32" s="49">
        <v>0.7</v>
      </c>
      <c r="CN32" s="49">
        <v>0</v>
      </c>
      <c r="CO32" s="49">
        <v>0</v>
      </c>
      <c r="CP32" s="50">
        <v>104.854</v>
      </c>
      <c r="CQ32" s="49">
        <v>101.751</v>
      </c>
      <c r="CR32" s="49">
        <v>110.78700000000001</v>
      </c>
      <c r="CS32" s="49">
        <v>114.694</v>
      </c>
      <c r="CT32" s="50">
        <v>0.627</v>
      </c>
      <c r="CU32" s="49">
        <v>1.0980000000000001</v>
      </c>
      <c r="CV32" s="49">
        <v>1.093</v>
      </c>
      <c r="CW32" s="49">
        <v>1.5960000000000001</v>
      </c>
      <c r="CX32" s="49">
        <v>1.595</v>
      </c>
      <c r="CY32" s="49">
        <v>1.7989999999999999</v>
      </c>
      <c r="CZ32" s="49">
        <v>1.1930000000000001</v>
      </c>
      <c r="DA32" s="49">
        <v>0.9</v>
      </c>
      <c r="DB32" s="49">
        <v>1.8009999999999999</v>
      </c>
      <c r="DC32" s="50">
        <v>8.0000000000000002E-3</v>
      </c>
      <c r="DD32" s="50">
        <v>0</v>
      </c>
      <c r="DE32" s="49">
        <v>0.23100000000000001</v>
      </c>
      <c r="DF32" s="49">
        <v>9.7000000000000003E-2</v>
      </c>
      <c r="DG32" s="49">
        <v>0.33800000000000002</v>
      </c>
      <c r="DH32" s="49">
        <v>1.266</v>
      </c>
      <c r="DI32" s="49">
        <v>0.95399999999999996</v>
      </c>
      <c r="DJ32" s="49">
        <v>0.20399999999999999</v>
      </c>
      <c r="DK32" s="49">
        <v>0.78500000000000003</v>
      </c>
      <c r="DL32" s="49">
        <v>0.41</v>
      </c>
      <c r="DM32" s="49">
        <v>0.50800000000000001</v>
      </c>
      <c r="DN32" s="49">
        <v>0.39400000000000002</v>
      </c>
      <c r="DO32" s="49">
        <v>0.36299999999999999</v>
      </c>
      <c r="DP32" s="49">
        <v>62.767000000000003</v>
      </c>
      <c r="DQ32" s="49">
        <v>59.706000000000003</v>
      </c>
      <c r="DR32" s="49">
        <v>53.633000000000003</v>
      </c>
      <c r="DS32" s="49">
        <v>50.267000000000003</v>
      </c>
      <c r="DT32" s="49">
        <v>4.67</v>
      </c>
      <c r="DU32" s="49">
        <v>4.8099999999999996</v>
      </c>
      <c r="DV32" s="49">
        <v>9.51</v>
      </c>
      <c r="DW32" s="49">
        <v>8.18</v>
      </c>
      <c r="DX32" s="49">
        <v>5.05</v>
      </c>
      <c r="DY32" s="49">
        <v>4.76</v>
      </c>
      <c r="DZ32" s="49">
        <v>8.7200000000000006</v>
      </c>
      <c r="EA32" s="49">
        <v>7.6</v>
      </c>
      <c r="EB32" s="49">
        <v>41.74</v>
      </c>
      <c r="EC32" s="49">
        <v>40.01</v>
      </c>
      <c r="ED32" s="49">
        <v>33.049999999999997</v>
      </c>
      <c r="EE32" s="49">
        <v>34.54</v>
      </c>
      <c r="EF32" s="50">
        <v>48.54</v>
      </c>
      <c r="EG32" s="50">
        <v>50.42</v>
      </c>
      <c r="EH32" s="50">
        <v>48.72</v>
      </c>
      <c r="EI32" s="50">
        <v>49.68</v>
      </c>
      <c r="EJ32" s="49">
        <v>6.9</v>
      </c>
      <c r="EK32" s="49">
        <v>58.798000000000002</v>
      </c>
      <c r="EL32" s="50">
        <v>2.25</v>
      </c>
      <c r="EM32" s="50">
        <v>1.55</v>
      </c>
      <c r="EN32" s="49">
        <v>1.21</v>
      </c>
      <c r="EO32" s="49">
        <v>1.21</v>
      </c>
      <c r="EP32" s="49">
        <v>-102.426</v>
      </c>
      <c r="EQ32" s="50">
        <v>-1.0549999999999999</v>
      </c>
      <c r="ER32" s="49">
        <v>135.262</v>
      </c>
      <c r="ES32" s="49">
        <v>1.4730000000000001</v>
      </c>
      <c r="ET32" s="49">
        <v>1.4970000000000001</v>
      </c>
      <c r="EU32" s="49">
        <v>1.448</v>
      </c>
      <c r="EV32" s="50">
        <v>7.8049999999999997</v>
      </c>
      <c r="EW32" s="50">
        <v>2.536</v>
      </c>
      <c r="EX32" s="49">
        <v>-348.8</v>
      </c>
      <c r="EY32" s="50">
        <v>1.5209999999999999</v>
      </c>
      <c r="EZ32" s="49">
        <v>0</v>
      </c>
      <c r="FA32" s="50">
        <v>0</v>
      </c>
      <c r="FB32" s="49">
        <v>8.327</v>
      </c>
      <c r="FC32" s="49">
        <v>69.340999999999994</v>
      </c>
      <c r="FD32" s="49">
        <v>66.683999999999997</v>
      </c>
      <c r="FE32" s="49">
        <v>75.590999999999994</v>
      </c>
      <c r="FF32" s="49">
        <v>75.03</v>
      </c>
      <c r="FG32" s="50">
        <v>0.95</v>
      </c>
      <c r="FH32" s="50">
        <v>0.95099999999999996</v>
      </c>
      <c r="FI32" s="50">
        <v>0.997</v>
      </c>
      <c r="FJ32" s="49">
        <v>1</v>
      </c>
      <c r="FK32" s="50">
        <v>0.10199999999999999</v>
      </c>
      <c r="FL32" s="50">
        <v>85</v>
      </c>
      <c r="FM32" s="49">
        <v>3.41</v>
      </c>
      <c r="FN32" s="49">
        <v>-0.84</v>
      </c>
      <c r="FO32" s="50">
        <v>5.36</v>
      </c>
      <c r="FP32" s="49">
        <v>4.1500000000000004</v>
      </c>
      <c r="FQ32" s="50">
        <v>0.6</v>
      </c>
      <c r="FR32" s="49">
        <v>5.15</v>
      </c>
      <c r="FS32" s="49">
        <v>6.5810000000000004</v>
      </c>
      <c r="FT32" s="50">
        <v>1083.9000000000001</v>
      </c>
      <c r="FU32" s="50">
        <v>7.29</v>
      </c>
      <c r="FV32" s="49">
        <v>5.65</v>
      </c>
      <c r="FW32" s="49">
        <v>3298</v>
      </c>
      <c r="FX32" s="50">
        <v>174700</v>
      </c>
      <c r="FY32" s="50">
        <v>177600</v>
      </c>
      <c r="FZ32" s="50">
        <v>49.188000000000002</v>
      </c>
      <c r="GA32" s="50">
        <v>48.18</v>
      </c>
      <c r="GB32" s="49">
        <v>2179.4</v>
      </c>
      <c r="GC32" s="49">
        <v>2204.9</v>
      </c>
      <c r="GD32" s="49">
        <v>2223.5</v>
      </c>
      <c r="GE32" s="49">
        <v>2257.6999999999998</v>
      </c>
      <c r="GF32" s="50">
        <v>1454.1405999999999</v>
      </c>
      <c r="GG32" s="50">
        <v>37</v>
      </c>
      <c r="GH32" s="50">
        <v>36.6</v>
      </c>
      <c r="GI32" s="50">
        <v>56.1</v>
      </c>
      <c r="GJ32" s="50">
        <v>60.3</v>
      </c>
      <c r="GK32" s="50">
        <v>97</v>
      </c>
      <c r="GL32" s="50">
        <v>86.3</v>
      </c>
      <c r="GM32" s="50">
        <v>0</v>
      </c>
      <c r="GN32" s="49">
        <v>27.024999999999999</v>
      </c>
      <c r="GO32" s="49">
        <v>135.262</v>
      </c>
      <c r="GP32" s="50">
        <v>0</v>
      </c>
      <c r="GQ32" s="50">
        <v>4.0119999999999996</v>
      </c>
      <c r="GR32" s="50">
        <v>0</v>
      </c>
      <c r="GS32" s="50">
        <v>4.5430000000000001</v>
      </c>
      <c r="GT32" s="50">
        <v>0</v>
      </c>
      <c r="GU32" s="50">
        <v>4.4249999999999998</v>
      </c>
      <c r="GV32" s="50">
        <v>0</v>
      </c>
      <c r="GW32" s="49">
        <v>12.914999999999999</v>
      </c>
      <c r="GX32" s="50">
        <v>22.05</v>
      </c>
      <c r="GY32" s="50">
        <v>0</v>
      </c>
      <c r="GZ32" s="50">
        <v>0</v>
      </c>
      <c r="HA32" s="50">
        <v>0</v>
      </c>
      <c r="HB32" s="50">
        <v>1</v>
      </c>
      <c r="HC32" s="50">
        <v>25.673999999999999</v>
      </c>
      <c r="HD32" s="50">
        <v>90</v>
      </c>
      <c r="HE32" s="50">
        <v>0</v>
      </c>
      <c r="HF32" s="50">
        <v>0</v>
      </c>
      <c r="HG32" s="50">
        <v>91.48</v>
      </c>
      <c r="HH32" s="49">
        <v>82.85</v>
      </c>
      <c r="HI32" s="50">
        <v>0</v>
      </c>
      <c r="HJ32" s="50">
        <v>0</v>
      </c>
      <c r="HK32" s="50">
        <v>0</v>
      </c>
      <c r="HL32" s="50">
        <v>69</v>
      </c>
      <c r="HM32" s="50">
        <v>56</v>
      </c>
      <c r="HN32" s="49">
        <v>69</v>
      </c>
      <c r="HO32" s="49">
        <v>62</v>
      </c>
      <c r="HP32" s="49">
        <v>65</v>
      </c>
      <c r="HQ32" s="49">
        <v>63</v>
      </c>
      <c r="HR32" s="50">
        <v>55</v>
      </c>
      <c r="HS32" s="50">
        <v>70</v>
      </c>
      <c r="HT32" s="49">
        <v>-1.3109999999999999</v>
      </c>
      <c r="HU32" s="50">
        <v>0</v>
      </c>
      <c r="HV32" s="49">
        <v>-0.498</v>
      </c>
      <c r="HW32" s="49">
        <v>36.979999999999997</v>
      </c>
      <c r="HX32" s="49">
        <v>52.01</v>
      </c>
      <c r="HY32" s="3"/>
      <c r="HZ32" s="3"/>
      <c r="IA32" s="49">
        <v>2.5259999999999998</v>
      </c>
      <c r="IB32" s="49">
        <v>101</v>
      </c>
      <c r="IC32" s="49">
        <v>20.016999999999999</v>
      </c>
      <c r="ID32" s="50">
        <v>-0.189</v>
      </c>
      <c r="IE32" s="50">
        <v>-6.0999999999999999E-2</v>
      </c>
      <c r="IF32" s="49">
        <v>822</v>
      </c>
      <c r="IG32" s="49">
        <v>722.3</v>
      </c>
      <c r="IH32" s="49">
        <v>825</v>
      </c>
      <c r="II32" s="49">
        <v>735.8</v>
      </c>
      <c r="IJ32" s="50">
        <v>-3.9E-2</v>
      </c>
      <c r="IK32" s="50">
        <v>-0.11899999999999999</v>
      </c>
      <c r="IL32" s="50">
        <v>107.622</v>
      </c>
      <c r="IM32" s="50">
        <v>107.483</v>
      </c>
      <c r="IN32" s="49">
        <v>13.871</v>
      </c>
      <c r="IO32" s="49">
        <v>0.48799999999999999</v>
      </c>
      <c r="IP32" s="50">
        <v>10.42</v>
      </c>
      <c r="IQ32" s="49">
        <v>8.9999999999999993E-3</v>
      </c>
      <c r="IR32" s="50">
        <v>0.01</v>
      </c>
      <c r="IS32">
        <v>0.31900000000000006</v>
      </c>
      <c r="IT32">
        <v>0.18500000000000005</v>
      </c>
    </row>
    <row r="33" spans="2:254" x14ac:dyDescent="0.25">
      <c r="B33" s="2" t="s">
        <v>412</v>
      </c>
      <c r="C33" s="2" t="s">
        <v>42</v>
      </c>
      <c r="D33" s="61">
        <v>2.5643518518518519E-3</v>
      </c>
      <c r="E33" s="49">
        <v>221.6</v>
      </c>
      <c r="F33" s="50">
        <v>330.45</v>
      </c>
      <c r="G33" s="49">
        <v>5.72</v>
      </c>
      <c r="H33" s="50">
        <v>29.5</v>
      </c>
      <c r="I33" s="49">
        <v>0</v>
      </c>
      <c r="J33" s="49">
        <v>14.8</v>
      </c>
      <c r="K33" s="50">
        <v>10</v>
      </c>
      <c r="L33" s="50">
        <v>4</v>
      </c>
      <c r="M33" s="50">
        <v>6</v>
      </c>
      <c r="N33" s="50">
        <v>3</v>
      </c>
      <c r="O33" s="50">
        <v>3</v>
      </c>
      <c r="P33" s="50">
        <v>1.141</v>
      </c>
      <c r="Q33" s="49">
        <v>1.611</v>
      </c>
      <c r="R33" s="50">
        <v>1.3120000000000001</v>
      </c>
      <c r="S33" s="50">
        <v>0.91700000000000004</v>
      </c>
      <c r="T33" s="49">
        <v>79.319999999999993</v>
      </c>
      <c r="U33" s="49">
        <v>61.079000000000001</v>
      </c>
      <c r="V33" s="49">
        <v>236.66</v>
      </c>
      <c r="W33" s="49">
        <v>236.66</v>
      </c>
      <c r="X33" s="49">
        <v>165</v>
      </c>
      <c r="Y33" s="49">
        <v>211.66</v>
      </c>
      <c r="Z33" s="49">
        <v>394.47</v>
      </c>
      <c r="AA33" s="49">
        <v>397.21</v>
      </c>
      <c r="AB33" s="49">
        <v>302.48</v>
      </c>
      <c r="AC33" s="49">
        <v>368.8</v>
      </c>
      <c r="AD33" s="49">
        <v>1.7749999999999999</v>
      </c>
      <c r="AE33" s="49">
        <v>1.849</v>
      </c>
      <c r="AF33" s="49">
        <v>1.7509999999999999</v>
      </c>
      <c r="AG33" s="49">
        <v>1.7829999999999999</v>
      </c>
      <c r="AH33" s="49">
        <v>77.86</v>
      </c>
      <c r="AI33" s="49">
        <v>76.239999999999995</v>
      </c>
      <c r="AJ33" s="49">
        <v>100</v>
      </c>
      <c r="AK33" s="49">
        <v>97.42</v>
      </c>
      <c r="AL33" s="49">
        <v>634.49</v>
      </c>
      <c r="AM33" s="49">
        <v>644.101</v>
      </c>
      <c r="AN33" s="49">
        <v>789.98</v>
      </c>
      <c r="AO33" s="49">
        <v>786.20100000000002</v>
      </c>
      <c r="AP33" s="49">
        <v>1.359</v>
      </c>
      <c r="AQ33" s="50">
        <v>1.8640000000000001</v>
      </c>
      <c r="AR33" s="49">
        <v>41.362000000000002</v>
      </c>
      <c r="AS33" s="50">
        <v>39.337000000000003</v>
      </c>
      <c r="AT33" s="49">
        <v>83</v>
      </c>
      <c r="AU33" s="49">
        <v>117</v>
      </c>
      <c r="AV33" s="49">
        <v>2.3065000000000002</v>
      </c>
      <c r="AW33" s="49">
        <v>5.2747999999999999</v>
      </c>
      <c r="AX33" s="49">
        <v>1020.6</v>
      </c>
      <c r="AY33" s="49">
        <v>2.25</v>
      </c>
      <c r="AZ33" s="50">
        <v>5.39</v>
      </c>
      <c r="BA33" s="49">
        <v>97.691000000000003</v>
      </c>
      <c r="BB33" s="49">
        <v>99.682000000000002</v>
      </c>
      <c r="BC33" s="49">
        <v>7693</v>
      </c>
      <c r="BD33" s="49">
        <v>88.75</v>
      </c>
      <c r="BE33" s="49">
        <v>15.21</v>
      </c>
      <c r="BF33" s="49">
        <v>12.845000000000001</v>
      </c>
      <c r="BG33" s="49">
        <v>29.01</v>
      </c>
      <c r="BH33" s="49">
        <v>28.08</v>
      </c>
      <c r="BI33" s="3"/>
      <c r="BJ33" s="3"/>
      <c r="BK33" s="3"/>
      <c r="BL33" s="3"/>
      <c r="BM33" s="3"/>
      <c r="BN33" s="49">
        <v>104.93600000000001</v>
      </c>
      <c r="BO33" s="49">
        <v>101.01600000000001</v>
      </c>
      <c r="BP33" s="49">
        <v>129.624</v>
      </c>
      <c r="BQ33" s="49">
        <v>133.36799999999999</v>
      </c>
      <c r="BR33" s="3"/>
      <c r="BS33" s="49">
        <v>29.1</v>
      </c>
      <c r="BT33" s="49">
        <v>7421.81</v>
      </c>
      <c r="BU33" s="49">
        <v>50.158999999999999</v>
      </c>
      <c r="BV33" s="49">
        <v>53.247</v>
      </c>
      <c r="BW33" s="49">
        <v>55.054000000000002</v>
      </c>
      <c r="BX33" s="49">
        <v>55.662999999999997</v>
      </c>
      <c r="BY33" s="49">
        <v>1.284</v>
      </c>
      <c r="BZ33" s="49">
        <v>3.1930000000000001</v>
      </c>
      <c r="CA33" s="49">
        <v>3.194</v>
      </c>
      <c r="CB33" s="49">
        <v>3.9460000000000002</v>
      </c>
      <c r="CC33" s="49">
        <v>1.0409999999999999</v>
      </c>
      <c r="CD33" s="49">
        <v>2.508</v>
      </c>
      <c r="CE33" s="49">
        <v>1.3169999999999999</v>
      </c>
      <c r="CF33" s="49">
        <v>2.1739999999999999</v>
      </c>
      <c r="CG33" s="49">
        <v>13.936999999999999</v>
      </c>
      <c r="CH33" s="49">
        <v>13.815</v>
      </c>
      <c r="CI33" s="49">
        <v>3.7709999999999999</v>
      </c>
      <c r="CJ33" s="49">
        <v>3.5779999999999998</v>
      </c>
      <c r="CK33" s="49">
        <v>1.363</v>
      </c>
      <c r="CL33" s="49">
        <v>0.1</v>
      </c>
      <c r="CM33" s="49">
        <v>0.1</v>
      </c>
      <c r="CN33" s="50">
        <v>1.2</v>
      </c>
      <c r="CO33" s="50">
        <v>1.2</v>
      </c>
      <c r="CP33" s="49">
        <v>99.71</v>
      </c>
      <c r="CQ33" s="49">
        <v>95.981999999999999</v>
      </c>
      <c r="CR33" s="49">
        <v>119.512</v>
      </c>
      <c r="CS33" s="49">
        <v>124.489</v>
      </c>
      <c r="CT33" s="49">
        <v>0.33600000000000002</v>
      </c>
      <c r="CU33" s="49">
        <v>0.89900000000000002</v>
      </c>
      <c r="CV33" s="49">
        <v>1.2969999999999999</v>
      </c>
      <c r="CW33" s="49">
        <v>0.89800000000000002</v>
      </c>
      <c r="CX33" s="49">
        <v>1.401</v>
      </c>
      <c r="CY33" s="49">
        <v>0.39700000000000002</v>
      </c>
      <c r="CZ33" s="49">
        <v>0.79700000000000004</v>
      </c>
      <c r="DA33" s="49">
        <v>1.1950000000000001</v>
      </c>
      <c r="DB33" s="49">
        <v>1.794</v>
      </c>
      <c r="DC33" s="49">
        <v>0</v>
      </c>
      <c r="DD33" s="50">
        <v>0</v>
      </c>
      <c r="DE33" s="50">
        <v>0.36499999999999999</v>
      </c>
      <c r="DF33" s="49">
        <v>0.14699999999999999</v>
      </c>
      <c r="DG33" s="49">
        <v>0.11</v>
      </c>
      <c r="DH33" s="49">
        <v>1.875</v>
      </c>
      <c r="DI33" s="49">
        <v>1.25</v>
      </c>
      <c r="DJ33" s="50">
        <v>0.38500000000000001</v>
      </c>
      <c r="DK33" s="49">
        <v>1.2789999999999999</v>
      </c>
      <c r="DL33" s="49">
        <v>0.39700000000000002</v>
      </c>
      <c r="DM33" s="49">
        <v>0.438</v>
      </c>
      <c r="DN33" s="49">
        <v>0.36199999999999999</v>
      </c>
      <c r="DO33" s="49">
        <v>0.28299999999999997</v>
      </c>
      <c r="DP33" s="49">
        <v>65.983999999999995</v>
      </c>
      <c r="DQ33" s="49">
        <v>59.439</v>
      </c>
      <c r="DR33" s="49">
        <v>53.091000000000001</v>
      </c>
      <c r="DS33" s="49">
        <v>51.776000000000003</v>
      </c>
      <c r="DT33" s="49">
        <v>5.95</v>
      </c>
      <c r="DU33" s="49">
        <v>5.77</v>
      </c>
      <c r="DV33" s="49">
        <v>11.98</v>
      </c>
      <c r="DW33" s="49">
        <v>9.9499999999999993</v>
      </c>
      <c r="DX33" s="49">
        <v>6.22</v>
      </c>
      <c r="DY33" s="49">
        <v>5.68</v>
      </c>
      <c r="DZ33" s="49">
        <v>11.19</v>
      </c>
      <c r="EA33" s="49">
        <v>9.66</v>
      </c>
      <c r="EB33" s="49">
        <v>42.72</v>
      </c>
      <c r="EC33" s="49">
        <v>41.71</v>
      </c>
      <c r="ED33" s="49">
        <v>32.71</v>
      </c>
      <c r="EE33" s="49">
        <v>35.96</v>
      </c>
      <c r="EF33" s="49">
        <v>45.11</v>
      </c>
      <c r="EG33" s="49">
        <v>46.83</v>
      </c>
      <c r="EH33" s="49">
        <v>44.11</v>
      </c>
      <c r="EI33" s="49">
        <v>44.42</v>
      </c>
      <c r="EJ33" s="49">
        <v>6.976</v>
      </c>
      <c r="EK33" s="49">
        <v>59.252000000000002</v>
      </c>
      <c r="EL33" s="49">
        <v>2.0499999999999998</v>
      </c>
      <c r="EM33" s="49">
        <v>1.65</v>
      </c>
      <c r="EN33" s="50">
        <v>1.22</v>
      </c>
      <c r="EO33" s="50">
        <v>1.23</v>
      </c>
      <c r="EP33" s="49">
        <v>-101.258</v>
      </c>
      <c r="EQ33" s="49">
        <v>-2.512</v>
      </c>
      <c r="ER33" s="49">
        <v>106.646</v>
      </c>
      <c r="ES33" s="50">
        <v>1.6</v>
      </c>
      <c r="ET33" s="49">
        <v>1.639</v>
      </c>
      <c r="EU33" s="50">
        <v>1.573</v>
      </c>
      <c r="EV33" s="49">
        <v>7.4470000000000001</v>
      </c>
      <c r="EW33" s="49">
        <v>2.2669999999999999</v>
      </c>
      <c r="EX33" s="49">
        <v>72</v>
      </c>
      <c r="EY33" s="49">
        <v>0</v>
      </c>
      <c r="EZ33" s="50">
        <v>2.7280000000000002</v>
      </c>
      <c r="FA33" s="50">
        <v>0</v>
      </c>
      <c r="FB33" s="49">
        <v>9.16</v>
      </c>
      <c r="FC33" s="49">
        <v>68.625</v>
      </c>
      <c r="FD33" s="49">
        <v>65.256</v>
      </c>
      <c r="FE33" s="49">
        <v>76.87</v>
      </c>
      <c r="FF33" s="49">
        <v>75.978999999999999</v>
      </c>
      <c r="FG33" s="49">
        <v>0.93400000000000005</v>
      </c>
      <c r="FH33" s="49">
        <v>0.93500000000000005</v>
      </c>
      <c r="FI33" s="49">
        <v>0.99099999999999999</v>
      </c>
      <c r="FJ33" s="49">
        <v>0.995</v>
      </c>
      <c r="FK33" s="49">
        <v>0</v>
      </c>
      <c r="FL33" s="49">
        <v>83</v>
      </c>
      <c r="FM33" s="49">
        <v>3.53</v>
      </c>
      <c r="FN33" s="50">
        <v>-0.89</v>
      </c>
      <c r="FO33" s="49">
        <v>5.41</v>
      </c>
      <c r="FP33" s="49">
        <v>4.2</v>
      </c>
      <c r="FQ33" s="49">
        <v>4.45</v>
      </c>
      <c r="FR33" s="49">
        <v>5.0999999999999996</v>
      </c>
      <c r="FS33" s="49">
        <v>6.7859999999999996</v>
      </c>
      <c r="FT33" s="49">
        <v>1077.4000000000001</v>
      </c>
      <c r="FU33" s="49">
        <v>6.65</v>
      </c>
      <c r="FV33" s="49">
        <v>11.37</v>
      </c>
      <c r="FW33" s="50">
        <v>3299</v>
      </c>
      <c r="FX33" s="49">
        <v>173200</v>
      </c>
      <c r="FY33" s="49">
        <v>174400</v>
      </c>
      <c r="FZ33" s="49">
        <v>48.707999999999998</v>
      </c>
      <c r="GA33" s="49">
        <v>47.783999999999999</v>
      </c>
      <c r="GB33" s="49">
        <v>2176.3000000000002</v>
      </c>
      <c r="GC33" s="49">
        <v>2176.6999999999998</v>
      </c>
      <c r="GD33" s="49">
        <v>2189.4</v>
      </c>
      <c r="GE33" s="49">
        <v>2276.4</v>
      </c>
      <c r="GF33" s="49">
        <v>1273.0469000000001</v>
      </c>
      <c r="GG33" s="49">
        <v>26</v>
      </c>
      <c r="GH33" s="49">
        <v>26.3</v>
      </c>
      <c r="GI33" s="49">
        <v>48.8</v>
      </c>
      <c r="GJ33" s="49">
        <v>54.3</v>
      </c>
      <c r="GK33" s="49">
        <v>99.5</v>
      </c>
      <c r="GL33" s="49">
        <v>76.2</v>
      </c>
      <c r="GM33" s="50">
        <v>0</v>
      </c>
      <c r="GN33" s="49">
        <v>26.074999999999999</v>
      </c>
      <c r="GO33" s="49">
        <v>106.646</v>
      </c>
      <c r="GP33" s="49">
        <v>1.121</v>
      </c>
      <c r="GQ33" s="49">
        <v>1.9470000000000001</v>
      </c>
      <c r="GR33" s="49">
        <v>1.298</v>
      </c>
      <c r="GS33" s="49">
        <v>2.0059999999999998</v>
      </c>
      <c r="GT33" s="49">
        <v>1.0620000000000001</v>
      </c>
      <c r="GU33" s="49">
        <v>1.8879999999999999</v>
      </c>
      <c r="GV33" s="49">
        <v>12.544</v>
      </c>
      <c r="GW33" s="50">
        <v>14.058999999999999</v>
      </c>
      <c r="GX33" s="49">
        <v>15.385999999999999</v>
      </c>
      <c r="GY33" s="50">
        <v>0</v>
      </c>
      <c r="GZ33" s="50">
        <v>0</v>
      </c>
      <c r="HA33" s="50">
        <v>0</v>
      </c>
      <c r="HB33" s="49">
        <v>0</v>
      </c>
      <c r="HC33" s="49">
        <v>23.475999999999999</v>
      </c>
      <c r="HD33" s="49">
        <v>82</v>
      </c>
      <c r="HE33" s="50">
        <v>0</v>
      </c>
      <c r="HF33" s="50">
        <v>0</v>
      </c>
      <c r="HG33" s="49">
        <v>85.27</v>
      </c>
      <c r="HH33" s="49">
        <v>82.85</v>
      </c>
      <c r="HI33" s="50">
        <v>0</v>
      </c>
      <c r="HJ33" s="50">
        <v>0</v>
      </c>
      <c r="HK33" s="50">
        <v>0</v>
      </c>
      <c r="HL33" s="49">
        <v>63</v>
      </c>
      <c r="HM33" s="50">
        <v>56</v>
      </c>
      <c r="HN33" s="49">
        <v>69</v>
      </c>
      <c r="HO33" s="49">
        <v>63</v>
      </c>
      <c r="HP33" s="49">
        <v>66</v>
      </c>
      <c r="HQ33" s="49">
        <v>63</v>
      </c>
      <c r="HR33" s="50">
        <v>55</v>
      </c>
      <c r="HS33" s="50">
        <v>70</v>
      </c>
      <c r="HT33" s="49">
        <v>-1.31</v>
      </c>
      <c r="HU33" s="50">
        <v>0</v>
      </c>
      <c r="HV33" s="49">
        <v>1.7999999999999999E-2</v>
      </c>
      <c r="HW33" s="49">
        <v>36.979999999999997</v>
      </c>
      <c r="HX33" s="49">
        <v>50.78</v>
      </c>
      <c r="HY33" s="49">
        <v>52.11</v>
      </c>
      <c r="HZ33" s="49">
        <v>64.19</v>
      </c>
      <c r="IA33" s="49">
        <v>2.5209999999999999</v>
      </c>
      <c r="IB33" s="50">
        <v>104</v>
      </c>
      <c r="IC33" s="49">
        <v>22.327000000000002</v>
      </c>
      <c r="ID33" s="49">
        <v>-0.26900000000000002</v>
      </c>
      <c r="IE33" s="49">
        <v>-0.10100000000000001</v>
      </c>
      <c r="IF33" s="49">
        <v>818.3</v>
      </c>
      <c r="IG33" s="49">
        <v>768.4</v>
      </c>
      <c r="IH33" s="49">
        <v>829.3</v>
      </c>
      <c r="II33" s="49">
        <v>780.3</v>
      </c>
      <c r="IJ33" s="49">
        <v>-6.3E-2</v>
      </c>
      <c r="IK33" s="49">
        <v>-0.18</v>
      </c>
      <c r="IL33" s="49">
        <v>77.968000000000004</v>
      </c>
      <c r="IM33" s="49">
        <v>77.968000000000004</v>
      </c>
      <c r="IN33" s="49">
        <v>11.981</v>
      </c>
      <c r="IO33" s="49">
        <v>0.51300000000000001</v>
      </c>
      <c r="IP33" s="49">
        <v>10.39</v>
      </c>
      <c r="IQ33" s="49">
        <v>1.0999999999999999E-2</v>
      </c>
      <c r="IR33" s="50">
        <v>0.01</v>
      </c>
      <c r="IS33">
        <v>0.33000000000000007</v>
      </c>
      <c r="IT33">
        <v>0.19500000000000006</v>
      </c>
    </row>
    <row r="34" spans="2:254" x14ac:dyDescent="0.25">
      <c r="B34" s="2" t="s">
        <v>412</v>
      </c>
      <c r="C34" s="2" t="s">
        <v>43</v>
      </c>
      <c r="D34" s="61">
        <v>2.4874999999999997E-3</v>
      </c>
      <c r="E34" s="49">
        <v>214.96</v>
      </c>
      <c r="F34" s="49">
        <v>327.96</v>
      </c>
      <c r="G34" s="49">
        <v>5.86</v>
      </c>
      <c r="H34" s="50">
        <v>29.5</v>
      </c>
      <c r="I34" s="49">
        <v>0</v>
      </c>
      <c r="J34" s="49">
        <v>12.6</v>
      </c>
      <c r="K34" s="50">
        <v>10</v>
      </c>
      <c r="L34" s="50">
        <v>4</v>
      </c>
      <c r="M34" s="50">
        <v>6</v>
      </c>
      <c r="N34" s="50">
        <v>3</v>
      </c>
      <c r="O34" s="50">
        <v>3</v>
      </c>
      <c r="P34" s="49">
        <v>1.0269999999999999</v>
      </c>
      <c r="Q34" s="50">
        <v>1.897</v>
      </c>
      <c r="R34" s="49">
        <v>0.93400000000000005</v>
      </c>
      <c r="S34" s="49">
        <v>0.66600000000000004</v>
      </c>
      <c r="T34" s="50">
        <v>89.89</v>
      </c>
      <c r="U34" s="49">
        <v>61.109000000000002</v>
      </c>
      <c r="V34" s="49">
        <v>255</v>
      </c>
      <c r="W34" s="49">
        <v>260</v>
      </c>
      <c r="X34" s="49">
        <v>180</v>
      </c>
      <c r="Y34" s="49">
        <v>230</v>
      </c>
      <c r="Z34" s="49">
        <v>405.99</v>
      </c>
      <c r="AA34" s="49">
        <v>412.93</v>
      </c>
      <c r="AB34" s="49">
        <v>310.12</v>
      </c>
      <c r="AC34" s="49">
        <v>376.61</v>
      </c>
      <c r="AD34" s="49">
        <v>1.8080000000000001</v>
      </c>
      <c r="AE34" s="49">
        <v>1.8779999999999999</v>
      </c>
      <c r="AF34" s="49">
        <v>1.7929999999999999</v>
      </c>
      <c r="AG34" s="49">
        <v>1.8220000000000001</v>
      </c>
      <c r="AH34" s="49">
        <v>83.31</v>
      </c>
      <c r="AI34" s="50">
        <v>81.069999999999993</v>
      </c>
      <c r="AJ34" s="49">
        <v>105.4</v>
      </c>
      <c r="AK34" s="49">
        <v>102.46</v>
      </c>
      <c r="AL34" s="49">
        <v>663.43700000000001</v>
      </c>
      <c r="AM34" s="49">
        <v>647.87099999999998</v>
      </c>
      <c r="AN34" s="49">
        <v>791.25599999999997</v>
      </c>
      <c r="AO34" s="49">
        <v>812.08500000000004</v>
      </c>
      <c r="AP34" s="49">
        <v>1.369</v>
      </c>
      <c r="AQ34" s="49">
        <v>1.8320000000000001</v>
      </c>
      <c r="AR34" s="49">
        <v>40.994999999999997</v>
      </c>
      <c r="AS34" s="49">
        <v>38.807000000000002</v>
      </c>
      <c r="AT34" s="49">
        <v>83</v>
      </c>
      <c r="AU34" s="49">
        <v>119</v>
      </c>
      <c r="AV34" s="49">
        <v>2.177</v>
      </c>
      <c r="AW34" s="50">
        <v>5.3071000000000002</v>
      </c>
      <c r="AX34" s="49">
        <v>1015.4</v>
      </c>
      <c r="AY34" s="49">
        <v>2.27</v>
      </c>
      <c r="AZ34" s="49">
        <v>5.73</v>
      </c>
      <c r="BA34" s="49">
        <v>124.22</v>
      </c>
      <c r="BB34" s="49">
        <v>122.114</v>
      </c>
      <c r="BC34" s="50">
        <v>7756</v>
      </c>
      <c r="BD34" s="49">
        <v>89.5</v>
      </c>
      <c r="BE34" s="49">
        <v>16.36</v>
      </c>
      <c r="BF34" s="50">
        <v>14.4</v>
      </c>
      <c r="BG34" s="49">
        <v>28.8</v>
      </c>
      <c r="BH34" s="49">
        <v>28.86</v>
      </c>
      <c r="BI34" s="3"/>
      <c r="BJ34" s="3"/>
      <c r="BK34" s="3"/>
      <c r="BL34" s="3"/>
      <c r="BM34" s="3"/>
      <c r="BN34" s="49">
        <v>108.312</v>
      </c>
      <c r="BO34" s="49">
        <v>104.072</v>
      </c>
      <c r="BP34" s="49">
        <v>131.864</v>
      </c>
      <c r="BQ34" s="49">
        <v>135.68799999999999</v>
      </c>
      <c r="BR34" s="3"/>
      <c r="BS34" s="50">
        <v>29.2</v>
      </c>
      <c r="BT34" s="50">
        <v>7452.2489999999998</v>
      </c>
      <c r="BU34" s="49">
        <v>50.72</v>
      </c>
      <c r="BV34" s="49">
        <v>55.371000000000002</v>
      </c>
      <c r="BW34" s="49">
        <v>55.524999999999999</v>
      </c>
      <c r="BX34" s="49">
        <v>55.701999999999998</v>
      </c>
      <c r="BY34" s="49">
        <v>1.35</v>
      </c>
      <c r="BZ34" s="49">
        <v>3.1659999999999999</v>
      </c>
      <c r="CA34" s="49">
        <v>3.4039999999999999</v>
      </c>
      <c r="CB34" s="49">
        <v>3.548</v>
      </c>
      <c r="CC34" s="49">
        <v>1.173</v>
      </c>
      <c r="CD34" s="49">
        <v>2.4769999999999999</v>
      </c>
      <c r="CE34" s="49">
        <v>1.238</v>
      </c>
      <c r="CF34" s="49">
        <v>2.097</v>
      </c>
      <c r="CG34" s="49">
        <v>13.93</v>
      </c>
      <c r="CH34" s="49">
        <v>13.788</v>
      </c>
      <c r="CI34" s="49">
        <v>3.5990000000000002</v>
      </c>
      <c r="CJ34" s="49">
        <v>3.504</v>
      </c>
      <c r="CK34" s="49">
        <v>1.4650000000000001</v>
      </c>
      <c r="CL34" s="49">
        <v>0.1</v>
      </c>
      <c r="CM34" s="49">
        <v>0.7</v>
      </c>
      <c r="CN34" s="49">
        <v>0</v>
      </c>
      <c r="CO34" s="49">
        <v>0</v>
      </c>
      <c r="CP34" s="49">
        <v>102.26</v>
      </c>
      <c r="CQ34" s="49">
        <v>99.936000000000007</v>
      </c>
      <c r="CR34" s="49">
        <v>124.529</v>
      </c>
      <c r="CS34" s="49">
        <v>130.33799999999999</v>
      </c>
      <c r="CT34" s="49">
        <v>0.35499999999999998</v>
      </c>
      <c r="CU34" s="49">
        <v>0.90200000000000002</v>
      </c>
      <c r="CV34" s="49">
        <v>1.2969999999999999</v>
      </c>
      <c r="CW34" s="49">
        <v>0.498</v>
      </c>
      <c r="CX34" s="49">
        <v>1.5940000000000001</v>
      </c>
      <c r="CY34" s="49">
        <v>0.6</v>
      </c>
      <c r="CZ34" s="49">
        <v>0.998</v>
      </c>
      <c r="DA34" s="49">
        <v>0.60299999999999998</v>
      </c>
      <c r="DB34" s="49">
        <v>1.496</v>
      </c>
      <c r="DC34" s="49">
        <v>0</v>
      </c>
      <c r="DD34" s="50">
        <v>0</v>
      </c>
      <c r="DE34" s="49">
        <v>0.34</v>
      </c>
      <c r="DF34" s="49">
        <v>0.14599999999999999</v>
      </c>
      <c r="DG34" s="49">
        <v>0.71</v>
      </c>
      <c r="DH34" s="49">
        <v>1.8460000000000001</v>
      </c>
      <c r="DI34" s="50">
        <v>1.319</v>
      </c>
      <c r="DJ34" s="49">
        <v>0.29599999999999999</v>
      </c>
      <c r="DK34" s="49">
        <v>1.238</v>
      </c>
      <c r="DL34" s="49">
        <v>0.40799999999999997</v>
      </c>
      <c r="DM34" s="49">
        <v>0.45400000000000001</v>
      </c>
      <c r="DN34" s="50">
        <v>0.51400000000000001</v>
      </c>
      <c r="DO34" s="49">
        <v>0.308</v>
      </c>
      <c r="DP34" s="49">
        <v>64.822000000000003</v>
      </c>
      <c r="DQ34" s="49">
        <v>57.115000000000002</v>
      </c>
      <c r="DR34" s="49">
        <v>52.918999999999997</v>
      </c>
      <c r="DS34" s="49">
        <v>51.231000000000002</v>
      </c>
      <c r="DT34" s="49">
        <v>6.77</v>
      </c>
      <c r="DU34" s="49">
        <v>6.15</v>
      </c>
      <c r="DV34" s="49">
        <v>12.9</v>
      </c>
      <c r="DW34" s="49">
        <v>10.7</v>
      </c>
      <c r="DX34" s="49">
        <v>6.97</v>
      </c>
      <c r="DY34" s="49">
        <v>6.34</v>
      </c>
      <c r="DZ34" s="49">
        <v>12.03</v>
      </c>
      <c r="EA34" s="49">
        <v>10.56</v>
      </c>
      <c r="EB34" s="49">
        <v>41.88</v>
      </c>
      <c r="EC34" s="49">
        <v>41.76</v>
      </c>
      <c r="ED34" s="49">
        <v>32.590000000000003</v>
      </c>
      <c r="EE34" s="49">
        <v>35.340000000000003</v>
      </c>
      <c r="EF34" s="49">
        <v>44.38</v>
      </c>
      <c r="EG34" s="49">
        <v>45.74</v>
      </c>
      <c r="EH34" s="49">
        <v>42.48</v>
      </c>
      <c r="EI34" s="49">
        <v>43.39</v>
      </c>
      <c r="EJ34" s="49">
        <v>7.2939999999999996</v>
      </c>
      <c r="EK34" s="49">
        <v>59.732999999999997</v>
      </c>
      <c r="EL34" s="49">
        <v>2.0499999999999998</v>
      </c>
      <c r="EM34" s="49">
        <v>1.6</v>
      </c>
      <c r="EN34" s="49">
        <v>1.2</v>
      </c>
      <c r="EO34" s="49">
        <v>1.21</v>
      </c>
      <c r="EP34" s="50">
        <v>-108.55800000000001</v>
      </c>
      <c r="EQ34" s="49">
        <v>-3.1680000000000001</v>
      </c>
      <c r="ER34" s="49">
        <v>121.83</v>
      </c>
      <c r="ES34" s="49">
        <v>1.5680000000000001</v>
      </c>
      <c r="ET34" s="49">
        <v>1.643</v>
      </c>
      <c r="EU34" s="49">
        <v>1.5169999999999999</v>
      </c>
      <c r="EV34" s="49">
        <v>7.6319999999999997</v>
      </c>
      <c r="EW34" s="49">
        <v>2.359</v>
      </c>
      <c r="EX34" s="49">
        <v>73.98</v>
      </c>
      <c r="EY34" s="49">
        <v>0.02</v>
      </c>
      <c r="EZ34" s="49">
        <v>0.72</v>
      </c>
      <c r="FA34" s="50">
        <v>0</v>
      </c>
      <c r="FB34" s="49">
        <v>9.1259999999999994</v>
      </c>
      <c r="FC34" s="49">
        <v>72.745000000000005</v>
      </c>
      <c r="FD34" s="49">
        <v>68.807000000000002</v>
      </c>
      <c r="FE34" s="49">
        <v>81.69</v>
      </c>
      <c r="FF34" s="49">
        <v>80.543999999999997</v>
      </c>
      <c r="FG34" s="49">
        <v>0.93300000000000005</v>
      </c>
      <c r="FH34" s="49">
        <v>0.93400000000000005</v>
      </c>
      <c r="FI34" s="49">
        <v>0.98799999999999999</v>
      </c>
      <c r="FJ34" s="49">
        <v>0.99299999999999999</v>
      </c>
      <c r="FK34" s="49">
        <v>0</v>
      </c>
      <c r="FL34" s="49">
        <v>83</v>
      </c>
      <c r="FM34" s="50">
        <v>3.64</v>
      </c>
      <c r="FN34" s="49">
        <v>-0.56000000000000005</v>
      </c>
      <c r="FO34" s="49">
        <v>5.48</v>
      </c>
      <c r="FP34" s="3"/>
      <c r="FQ34" s="49">
        <v>4.6500000000000004</v>
      </c>
      <c r="FR34" s="49">
        <v>5.15</v>
      </c>
      <c r="FS34" s="49">
        <v>6.7915000000000001</v>
      </c>
      <c r="FT34" s="49">
        <v>1069.4000000000001</v>
      </c>
      <c r="FU34" s="49">
        <v>6.58</v>
      </c>
      <c r="FV34" s="49">
        <v>17.22</v>
      </c>
      <c r="FW34" s="49">
        <v>3075</v>
      </c>
      <c r="FX34" s="49">
        <v>165600</v>
      </c>
      <c r="FY34" s="49">
        <v>167400</v>
      </c>
      <c r="FZ34" s="49">
        <v>48.27</v>
      </c>
      <c r="GA34" s="49">
        <v>47.232999999999997</v>
      </c>
      <c r="GB34" s="50">
        <v>2250.8000000000002</v>
      </c>
      <c r="GC34" s="50">
        <v>2386</v>
      </c>
      <c r="GD34" s="49">
        <v>2250.8000000000002</v>
      </c>
      <c r="GE34" s="50">
        <v>2386</v>
      </c>
      <c r="GF34" s="49">
        <v>1342.9688000000001</v>
      </c>
      <c r="GG34" s="49">
        <v>27</v>
      </c>
      <c r="GH34" s="49">
        <v>27</v>
      </c>
      <c r="GI34" s="49">
        <v>47.6</v>
      </c>
      <c r="GJ34" s="49">
        <v>52.6</v>
      </c>
      <c r="GK34" s="49">
        <v>99.5</v>
      </c>
      <c r="GL34" s="49">
        <v>77.400000000000006</v>
      </c>
      <c r="GM34" s="50">
        <v>0</v>
      </c>
      <c r="GN34" s="49">
        <v>26.870999999999999</v>
      </c>
      <c r="GO34" s="49">
        <v>121.83</v>
      </c>
      <c r="GP34" s="49">
        <v>1.0029999999999999</v>
      </c>
      <c r="GQ34" s="49">
        <v>1.9470000000000001</v>
      </c>
      <c r="GR34" s="49">
        <v>1.298</v>
      </c>
      <c r="GS34" s="49">
        <v>2.0059999999999998</v>
      </c>
      <c r="GT34" s="49">
        <v>0.94399999999999995</v>
      </c>
      <c r="GU34" s="49">
        <v>1.8879999999999999</v>
      </c>
      <c r="GV34" s="49">
        <v>13.034000000000001</v>
      </c>
      <c r="GW34" s="49">
        <v>14.044</v>
      </c>
      <c r="GX34" s="49">
        <v>15.385999999999999</v>
      </c>
      <c r="GY34" s="50">
        <v>0</v>
      </c>
      <c r="GZ34" s="50">
        <v>0</v>
      </c>
      <c r="HA34" s="50">
        <v>0</v>
      </c>
      <c r="HB34" s="49">
        <v>0</v>
      </c>
      <c r="HC34" s="49">
        <v>23.616</v>
      </c>
      <c r="HD34" s="49">
        <v>82</v>
      </c>
      <c r="HE34" s="50">
        <v>0</v>
      </c>
      <c r="HF34" s="50">
        <v>0</v>
      </c>
      <c r="HG34" s="49">
        <v>72.33</v>
      </c>
      <c r="HH34" s="49">
        <v>82.91</v>
      </c>
      <c r="HI34" s="50">
        <v>0</v>
      </c>
      <c r="HJ34" s="50">
        <v>0</v>
      </c>
      <c r="HK34" s="50">
        <v>0</v>
      </c>
      <c r="HL34" s="49">
        <v>63</v>
      </c>
      <c r="HM34" s="49">
        <v>55</v>
      </c>
      <c r="HN34" s="49">
        <v>69</v>
      </c>
      <c r="HO34" s="49">
        <v>63</v>
      </c>
      <c r="HP34" s="49">
        <v>66</v>
      </c>
      <c r="HQ34" s="50">
        <v>64</v>
      </c>
      <c r="HR34" s="50">
        <v>55</v>
      </c>
      <c r="HS34" s="49">
        <v>64</v>
      </c>
      <c r="HT34" s="50">
        <v>-1.3169999999999999</v>
      </c>
      <c r="HU34" s="50">
        <v>0</v>
      </c>
      <c r="HV34" s="49">
        <v>0.47499999999999998</v>
      </c>
      <c r="HW34" s="50">
        <v>36.82</v>
      </c>
      <c r="HX34" s="50">
        <v>47.42</v>
      </c>
      <c r="HY34" s="49">
        <v>51.84</v>
      </c>
      <c r="HZ34" s="49">
        <v>65.239999999999995</v>
      </c>
      <c r="IA34" s="49">
        <v>2.6150000000000002</v>
      </c>
      <c r="IB34" s="50">
        <v>104</v>
      </c>
      <c r="IC34" s="49">
        <v>22.542000000000002</v>
      </c>
      <c r="ID34" s="49">
        <v>-0.28199999999999997</v>
      </c>
      <c r="IE34" s="49">
        <v>-0.106</v>
      </c>
      <c r="IF34" s="49">
        <v>820</v>
      </c>
      <c r="IG34" s="49">
        <v>769.8</v>
      </c>
      <c r="IH34" s="49">
        <v>827.8</v>
      </c>
      <c r="II34" s="49">
        <v>782.4</v>
      </c>
      <c r="IJ34" s="49">
        <v>-7.6999999999999999E-2</v>
      </c>
      <c r="IK34" s="49">
        <v>-0.20699999999999999</v>
      </c>
      <c r="IL34" s="49">
        <v>71.198999999999998</v>
      </c>
      <c r="IM34" s="49">
        <v>71.198999999999998</v>
      </c>
      <c r="IN34" s="49">
        <v>12.627000000000001</v>
      </c>
      <c r="IO34" s="49">
        <v>0.58699999999999997</v>
      </c>
      <c r="IP34" s="49">
        <v>10.37</v>
      </c>
      <c r="IQ34" s="49">
        <v>1.0999999999999999E-2</v>
      </c>
      <c r="IR34" s="49">
        <v>8.0000000000000002E-3</v>
      </c>
      <c r="IS34">
        <v>0.34100000000000008</v>
      </c>
      <c r="IT34">
        <v>0.20300000000000007</v>
      </c>
    </row>
    <row r="35" spans="2:254" x14ac:dyDescent="0.25">
      <c r="B35" s="2" t="s">
        <v>412</v>
      </c>
      <c r="C35" s="2" t="s">
        <v>44</v>
      </c>
      <c r="D35" s="61">
        <v>2.5350694444444444E-3</v>
      </c>
      <c r="E35" s="49">
        <v>219.07</v>
      </c>
      <c r="F35" s="49">
        <v>328.05</v>
      </c>
      <c r="G35" s="50">
        <v>5.92</v>
      </c>
      <c r="H35" s="49">
        <v>29.4</v>
      </c>
      <c r="I35" s="49">
        <v>0</v>
      </c>
      <c r="J35" s="49">
        <v>12.9</v>
      </c>
      <c r="K35" s="50">
        <v>10</v>
      </c>
      <c r="L35" s="50">
        <v>4</v>
      </c>
      <c r="M35" s="50">
        <v>6</v>
      </c>
      <c r="N35" s="50">
        <v>3</v>
      </c>
      <c r="O35" s="50">
        <v>3</v>
      </c>
      <c r="P35" s="49">
        <v>0.80300000000000005</v>
      </c>
      <c r="Q35" s="49">
        <v>1.3720000000000001</v>
      </c>
      <c r="R35" s="49">
        <v>0.71299999999999997</v>
      </c>
      <c r="S35" s="49">
        <v>0.71199999999999997</v>
      </c>
      <c r="T35" s="49">
        <v>78.040000000000006</v>
      </c>
      <c r="U35" s="49">
        <v>61.073</v>
      </c>
      <c r="V35" s="49">
        <v>280</v>
      </c>
      <c r="W35" s="49">
        <v>293.33999999999997</v>
      </c>
      <c r="X35" s="49">
        <v>210</v>
      </c>
      <c r="Y35" s="49">
        <v>260</v>
      </c>
      <c r="Z35" s="50">
        <v>421.43</v>
      </c>
      <c r="AA35" s="50">
        <v>424.98</v>
      </c>
      <c r="AB35" s="50">
        <v>323.89999999999998</v>
      </c>
      <c r="AC35" s="50">
        <v>391.84</v>
      </c>
      <c r="AD35" s="49">
        <v>1.8149999999999999</v>
      </c>
      <c r="AE35" s="50">
        <v>1.885</v>
      </c>
      <c r="AF35" s="49">
        <v>1.8120000000000001</v>
      </c>
      <c r="AG35" s="49">
        <v>1.8460000000000001</v>
      </c>
      <c r="AH35" s="49">
        <v>83.31</v>
      </c>
      <c r="AI35" s="49">
        <v>80.459999999999994</v>
      </c>
      <c r="AJ35" s="49">
        <v>107.18</v>
      </c>
      <c r="AK35" s="49">
        <v>105.18</v>
      </c>
      <c r="AL35" s="49">
        <v>626.79899999999998</v>
      </c>
      <c r="AM35" s="49">
        <v>637.52599999999995</v>
      </c>
      <c r="AN35" s="49">
        <v>803.6</v>
      </c>
      <c r="AO35" s="49">
        <v>774.89300000000003</v>
      </c>
      <c r="AP35" s="49">
        <v>1.371</v>
      </c>
      <c r="AQ35" s="49">
        <v>1.8480000000000001</v>
      </c>
      <c r="AR35" s="49">
        <v>40.512999999999998</v>
      </c>
      <c r="AS35" s="49">
        <v>37.119</v>
      </c>
      <c r="AT35" s="49">
        <v>83</v>
      </c>
      <c r="AU35" s="50">
        <v>120</v>
      </c>
      <c r="AV35" s="49">
        <v>2.1749999999999998</v>
      </c>
      <c r="AW35" s="49">
        <v>5.1957000000000004</v>
      </c>
      <c r="AX35" s="49">
        <v>1016.3</v>
      </c>
      <c r="AY35" s="49">
        <v>2.25</v>
      </c>
      <c r="AZ35" s="49">
        <v>5.76</v>
      </c>
      <c r="BA35" s="49">
        <v>137.81299999999999</v>
      </c>
      <c r="BB35" s="49">
        <v>136.81</v>
      </c>
      <c r="BC35" s="49">
        <v>7704</v>
      </c>
      <c r="BD35" s="49">
        <v>88.75</v>
      </c>
      <c r="BE35" s="50">
        <v>17.18</v>
      </c>
      <c r="BF35" s="49">
        <v>13.045</v>
      </c>
      <c r="BG35" s="49">
        <v>28.2</v>
      </c>
      <c r="BH35" s="49">
        <v>27.55</v>
      </c>
      <c r="BI35" s="3"/>
      <c r="BJ35" s="3"/>
      <c r="BK35" s="3"/>
      <c r="BL35" s="3"/>
      <c r="BM35" s="3"/>
      <c r="BN35" s="49">
        <v>112.264</v>
      </c>
      <c r="BO35" s="49">
        <v>109.544</v>
      </c>
      <c r="BP35" s="49">
        <v>137.048</v>
      </c>
      <c r="BQ35" s="49">
        <v>139.416</v>
      </c>
      <c r="BR35" s="3"/>
      <c r="BS35" s="50">
        <v>29.2</v>
      </c>
      <c r="BT35" s="49">
        <v>7328.7820000000002</v>
      </c>
      <c r="BU35" s="50">
        <v>50.844999999999999</v>
      </c>
      <c r="BV35" s="49">
        <v>54.237000000000002</v>
      </c>
      <c r="BW35" s="49">
        <v>56.231999999999999</v>
      </c>
      <c r="BX35" s="49">
        <v>56.491</v>
      </c>
      <c r="BY35" s="49">
        <v>1.411</v>
      </c>
      <c r="BZ35" s="49">
        <v>3.1459999999999999</v>
      </c>
      <c r="CA35" s="50">
        <v>3.589</v>
      </c>
      <c r="CB35" s="50">
        <v>3.9809999999999999</v>
      </c>
      <c r="CC35" s="50">
        <v>1.226</v>
      </c>
      <c r="CD35" s="49">
        <v>2.407</v>
      </c>
      <c r="CE35" s="50">
        <v>1.34</v>
      </c>
      <c r="CF35" s="49">
        <v>2.1629999999999998</v>
      </c>
      <c r="CG35" s="49">
        <v>13.932</v>
      </c>
      <c r="CH35" s="49">
        <v>13.769</v>
      </c>
      <c r="CI35" s="50">
        <v>3.859</v>
      </c>
      <c r="CJ35" s="50">
        <v>3.5910000000000002</v>
      </c>
      <c r="CK35" s="50">
        <v>1.4830000000000001</v>
      </c>
      <c r="CL35" s="49">
        <v>0.1</v>
      </c>
      <c r="CM35" s="49">
        <v>0.8</v>
      </c>
      <c r="CN35" s="49">
        <v>0</v>
      </c>
      <c r="CO35" s="49">
        <v>0.1</v>
      </c>
      <c r="CP35" s="49">
        <v>104.61</v>
      </c>
      <c r="CQ35" s="50">
        <v>102.791</v>
      </c>
      <c r="CR35" s="49">
        <v>130.71</v>
      </c>
      <c r="CS35" s="49">
        <v>135.142</v>
      </c>
      <c r="CT35" s="49">
        <v>0.33600000000000002</v>
      </c>
      <c r="CU35" s="49">
        <v>1.3029999999999999</v>
      </c>
      <c r="CV35" s="49">
        <v>1.202</v>
      </c>
      <c r="CW35" s="49">
        <v>0.80200000000000005</v>
      </c>
      <c r="CX35" s="49">
        <v>1.399</v>
      </c>
      <c r="CY35" s="49">
        <v>1.103</v>
      </c>
      <c r="CZ35" s="49">
        <v>1.4</v>
      </c>
      <c r="DA35" s="49">
        <v>0.69899999999999995</v>
      </c>
      <c r="DB35" s="49">
        <v>1.9990000000000001</v>
      </c>
      <c r="DC35" s="49">
        <v>0</v>
      </c>
      <c r="DD35" s="50">
        <v>0</v>
      </c>
      <c r="DE35" s="49">
        <v>0.28799999999999998</v>
      </c>
      <c r="DF35" s="49">
        <v>0.104</v>
      </c>
      <c r="DG35" s="49">
        <v>0.505</v>
      </c>
      <c r="DH35" s="49">
        <v>1.8129999999999999</v>
      </c>
      <c r="DI35" s="49">
        <v>1.2929999999999999</v>
      </c>
      <c r="DJ35" s="49">
        <v>0.26800000000000002</v>
      </c>
      <c r="DK35" s="49">
        <v>0.90800000000000003</v>
      </c>
      <c r="DL35" s="49">
        <v>0.40600000000000003</v>
      </c>
      <c r="DM35" s="49">
        <v>0.48199999999999998</v>
      </c>
      <c r="DN35" s="49">
        <v>0.50700000000000001</v>
      </c>
      <c r="DO35" s="49">
        <v>0.36</v>
      </c>
      <c r="DP35" s="49">
        <v>65.686000000000007</v>
      </c>
      <c r="DQ35" s="49">
        <v>59.076000000000001</v>
      </c>
      <c r="DR35" s="49">
        <v>53.499000000000002</v>
      </c>
      <c r="DS35" s="49">
        <v>51.543999999999997</v>
      </c>
      <c r="DT35" s="49">
        <v>6.27</v>
      </c>
      <c r="DU35" s="49">
        <v>6</v>
      </c>
      <c r="DV35" s="49">
        <v>12.27</v>
      </c>
      <c r="DW35" s="49">
        <v>9.98</v>
      </c>
      <c r="DX35" s="49">
        <v>6.6</v>
      </c>
      <c r="DY35" s="49">
        <v>6.17</v>
      </c>
      <c r="DZ35" s="49">
        <v>11.64</v>
      </c>
      <c r="EA35" s="49">
        <v>9.5399999999999991</v>
      </c>
      <c r="EB35" s="49">
        <v>42.12</v>
      </c>
      <c r="EC35" s="50">
        <v>41.92</v>
      </c>
      <c r="ED35" s="49">
        <v>33.44</v>
      </c>
      <c r="EE35" s="49">
        <v>36.270000000000003</v>
      </c>
      <c r="EF35" s="49">
        <v>45.01</v>
      </c>
      <c r="EG35" s="49">
        <v>45.92</v>
      </c>
      <c r="EH35" s="49">
        <v>42.65</v>
      </c>
      <c r="EI35" s="49">
        <v>44.21</v>
      </c>
      <c r="EJ35" s="49">
        <v>7.3159999999999998</v>
      </c>
      <c r="EK35" s="50">
        <v>59.878999999999998</v>
      </c>
      <c r="EL35" s="49">
        <v>2.0499999999999998</v>
      </c>
      <c r="EM35" s="49">
        <v>1.7</v>
      </c>
      <c r="EN35" s="49">
        <v>1.21</v>
      </c>
      <c r="EO35" s="49">
        <v>1.21</v>
      </c>
      <c r="EP35" s="49">
        <v>-105.93</v>
      </c>
      <c r="EQ35" s="49">
        <v>-2.8580000000000001</v>
      </c>
      <c r="ER35" s="50">
        <v>141.97800000000001</v>
      </c>
      <c r="ES35" s="49">
        <v>1.536</v>
      </c>
      <c r="ET35" s="49">
        <v>1.64</v>
      </c>
      <c r="EU35" s="49">
        <v>1.4870000000000001</v>
      </c>
      <c r="EV35" s="49">
        <v>7.7350000000000003</v>
      </c>
      <c r="EW35" s="49">
        <v>2.4510000000000001</v>
      </c>
      <c r="EX35" s="50">
        <v>75.02</v>
      </c>
      <c r="EY35" s="49">
        <v>2.1000000000000001E-2</v>
      </c>
      <c r="EZ35" s="49">
        <v>4.2999999999999997E-2</v>
      </c>
      <c r="FA35" s="50">
        <v>0</v>
      </c>
      <c r="FB35" s="50">
        <v>9.2040000000000006</v>
      </c>
      <c r="FC35" s="49">
        <v>74.528999999999996</v>
      </c>
      <c r="FD35" s="49">
        <v>70.525999999999996</v>
      </c>
      <c r="FE35" s="49">
        <v>84.183999999999997</v>
      </c>
      <c r="FF35" s="49">
        <v>83.085999999999999</v>
      </c>
      <c r="FG35" s="49">
        <v>0.93500000000000005</v>
      </c>
      <c r="FH35" s="49">
        <v>0.93500000000000005</v>
      </c>
      <c r="FI35" s="49">
        <v>0.98899999999999999</v>
      </c>
      <c r="FJ35" s="49">
        <v>0.995</v>
      </c>
      <c r="FK35" s="49">
        <v>0</v>
      </c>
      <c r="FL35" s="49">
        <v>83</v>
      </c>
      <c r="FM35" s="49">
        <v>3.52</v>
      </c>
      <c r="FN35" s="49">
        <v>-0.52</v>
      </c>
      <c r="FO35" s="49">
        <v>5.44</v>
      </c>
      <c r="FP35" s="3"/>
      <c r="FQ35" s="49">
        <v>4.5999999999999996</v>
      </c>
      <c r="FR35" s="49">
        <v>5.05</v>
      </c>
      <c r="FS35" s="50">
        <v>6.8540000000000001</v>
      </c>
      <c r="FT35" s="49">
        <v>1066.8</v>
      </c>
      <c r="FU35" s="49">
        <v>7.25</v>
      </c>
      <c r="FV35" s="49">
        <v>23.15</v>
      </c>
      <c r="FW35" s="49">
        <v>3111.5</v>
      </c>
      <c r="FX35" s="49">
        <v>161700</v>
      </c>
      <c r="FY35" s="49">
        <v>162300</v>
      </c>
      <c r="FZ35" s="49">
        <v>48.27</v>
      </c>
      <c r="GA35" s="49">
        <v>47.177</v>
      </c>
      <c r="GB35" s="49">
        <v>2164.3000000000002</v>
      </c>
      <c r="GC35" s="49">
        <v>2166.5</v>
      </c>
      <c r="GD35" s="50">
        <v>2278.5</v>
      </c>
      <c r="GE35" s="49">
        <v>2323.3000000000002</v>
      </c>
      <c r="GF35" s="49">
        <v>1353.0469000000001</v>
      </c>
      <c r="GG35" s="49">
        <v>28</v>
      </c>
      <c r="GH35" s="49">
        <v>27.6</v>
      </c>
      <c r="GI35" s="49">
        <v>47.7</v>
      </c>
      <c r="GJ35" s="49">
        <v>52.8</v>
      </c>
      <c r="GK35" s="49">
        <v>99.5</v>
      </c>
      <c r="GL35" s="49">
        <v>76.3</v>
      </c>
      <c r="GM35" s="50">
        <v>0</v>
      </c>
      <c r="GN35" s="49">
        <v>26.38</v>
      </c>
      <c r="GO35" s="50">
        <v>141.97800000000001</v>
      </c>
      <c r="GP35" s="49">
        <v>0.88500000000000001</v>
      </c>
      <c r="GQ35" s="49">
        <v>1.9470000000000001</v>
      </c>
      <c r="GR35" s="49">
        <v>1.298</v>
      </c>
      <c r="GS35" s="49">
        <v>2.0059999999999998</v>
      </c>
      <c r="GT35" s="49">
        <v>0.76700000000000002</v>
      </c>
      <c r="GU35" s="49">
        <v>1.8879999999999999</v>
      </c>
      <c r="GV35" s="49">
        <v>12.837999999999999</v>
      </c>
      <c r="GW35" s="49">
        <v>14.010999999999999</v>
      </c>
      <c r="GX35" s="49">
        <v>15.875999999999999</v>
      </c>
      <c r="GY35" s="50">
        <v>0</v>
      </c>
      <c r="GZ35" s="50">
        <v>0</v>
      </c>
      <c r="HA35" s="50">
        <v>0</v>
      </c>
      <c r="HB35" s="49">
        <v>0</v>
      </c>
      <c r="HC35" s="49">
        <v>23.626000000000001</v>
      </c>
      <c r="HD35" s="49">
        <v>82</v>
      </c>
      <c r="HE35" s="50">
        <v>0</v>
      </c>
      <c r="HF35" s="50">
        <v>0</v>
      </c>
      <c r="HG35" s="49">
        <v>72.63</v>
      </c>
      <c r="HH35" s="49">
        <v>82.51</v>
      </c>
      <c r="HI35" s="50">
        <v>0</v>
      </c>
      <c r="HJ35" s="50">
        <v>0</v>
      </c>
      <c r="HK35" s="50">
        <v>0</v>
      </c>
      <c r="HL35" s="49">
        <v>63</v>
      </c>
      <c r="HM35" s="49">
        <v>55</v>
      </c>
      <c r="HN35" s="49">
        <v>69</v>
      </c>
      <c r="HO35" s="50">
        <v>64</v>
      </c>
      <c r="HP35" s="49">
        <v>66</v>
      </c>
      <c r="HQ35" s="50">
        <v>64</v>
      </c>
      <c r="HR35" s="50">
        <v>55</v>
      </c>
      <c r="HS35" s="50">
        <v>70</v>
      </c>
      <c r="HT35" s="49">
        <v>-1.3075000000000001</v>
      </c>
      <c r="HU35" s="50">
        <v>0</v>
      </c>
      <c r="HV35" s="49">
        <v>0.127</v>
      </c>
      <c r="HW35" s="50">
        <v>36.82</v>
      </c>
      <c r="HX35" s="50">
        <v>47.42</v>
      </c>
      <c r="HY35" s="50">
        <v>52.8</v>
      </c>
      <c r="HZ35" s="50">
        <v>65.47</v>
      </c>
      <c r="IA35" s="49">
        <v>2.766</v>
      </c>
      <c r="IB35" s="50">
        <v>104</v>
      </c>
      <c r="IC35" s="49">
        <v>22.393000000000001</v>
      </c>
      <c r="ID35" s="49">
        <v>-0.25900000000000001</v>
      </c>
      <c r="IE35" s="49">
        <v>-9.6000000000000002E-2</v>
      </c>
      <c r="IF35" s="49">
        <v>819</v>
      </c>
      <c r="IG35" s="49">
        <v>770.1</v>
      </c>
      <c r="IH35" s="49">
        <v>829.9</v>
      </c>
      <c r="II35" s="49">
        <v>783.8</v>
      </c>
      <c r="IJ35" s="49">
        <v>-7.9000000000000001E-2</v>
      </c>
      <c r="IK35" s="49">
        <v>-0.20200000000000001</v>
      </c>
      <c r="IL35" s="49">
        <v>72.393000000000001</v>
      </c>
      <c r="IM35" s="49">
        <v>72.393000000000001</v>
      </c>
      <c r="IN35" s="49">
        <v>13.78</v>
      </c>
      <c r="IO35" s="50">
        <v>0.621</v>
      </c>
      <c r="IP35" s="49">
        <v>10.199999999999999</v>
      </c>
      <c r="IQ35" s="49">
        <v>0.01</v>
      </c>
      <c r="IR35" s="49">
        <v>8.0000000000000002E-3</v>
      </c>
      <c r="IS35">
        <v>0.35100000000000009</v>
      </c>
      <c r="IT35">
        <v>0.21100000000000008</v>
      </c>
    </row>
    <row r="36" spans="2:254" x14ac:dyDescent="0.25">
      <c r="B36" s="2" t="s">
        <v>412</v>
      </c>
      <c r="C36" s="62" t="s">
        <v>45</v>
      </c>
      <c r="D36" s="63">
        <v>2.4532407407407406E-3</v>
      </c>
      <c r="E36" s="49">
        <v>212</v>
      </c>
      <c r="F36" s="49">
        <v>329.33</v>
      </c>
      <c r="G36" s="49">
        <v>5.91</v>
      </c>
      <c r="H36" s="49">
        <v>29.4</v>
      </c>
      <c r="I36" s="49">
        <v>0</v>
      </c>
      <c r="J36" s="49">
        <v>12.8</v>
      </c>
      <c r="K36" s="50">
        <v>10</v>
      </c>
      <c r="L36" s="50">
        <v>4</v>
      </c>
      <c r="M36" s="50">
        <v>6</v>
      </c>
      <c r="N36" s="50">
        <v>3</v>
      </c>
      <c r="O36" s="50">
        <v>3</v>
      </c>
      <c r="P36" s="49">
        <v>0.93899999999999995</v>
      </c>
      <c r="Q36" s="49">
        <v>1.625</v>
      </c>
      <c r="R36" s="49">
        <v>0.84599999999999997</v>
      </c>
      <c r="S36" s="49">
        <v>0.73399999999999999</v>
      </c>
      <c r="T36" s="49">
        <v>89.11</v>
      </c>
      <c r="U36" s="49">
        <v>61.084000000000003</v>
      </c>
      <c r="V36" s="49">
        <v>260</v>
      </c>
      <c r="W36" s="49">
        <v>266.66000000000003</v>
      </c>
      <c r="X36" s="49">
        <v>197.5</v>
      </c>
      <c r="Y36" s="49">
        <v>243.34</v>
      </c>
      <c r="Z36" s="49">
        <v>408.67</v>
      </c>
      <c r="AA36" s="49">
        <v>412.66</v>
      </c>
      <c r="AB36" s="49">
        <v>323.70999999999998</v>
      </c>
      <c r="AC36" s="49">
        <v>389.1</v>
      </c>
      <c r="AD36" s="50">
        <v>1.819</v>
      </c>
      <c r="AE36" s="50">
        <v>1.885</v>
      </c>
      <c r="AF36" s="50">
        <v>1.8240000000000001</v>
      </c>
      <c r="AG36" s="50">
        <v>1.855</v>
      </c>
      <c r="AH36" s="50">
        <v>84.24</v>
      </c>
      <c r="AI36" s="49">
        <v>80.02</v>
      </c>
      <c r="AJ36" s="50">
        <v>108.38</v>
      </c>
      <c r="AK36" s="50">
        <v>105.61</v>
      </c>
      <c r="AL36" s="50">
        <v>695.06799999999998</v>
      </c>
      <c r="AM36" s="50">
        <v>693.00800000000004</v>
      </c>
      <c r="AN36" s="50">
        <v>852.89</v>
      </c>
      <c r="AO36" s="50">
        <v>814.07799999999997</v>
      </c>
      <c r="AP36" s="49">
        <v>1.357</v>
      </c>
      <c r="AQ36" s="49">
        <v>1.8480000000000001</v>
      </c>
      <c r="AR36" s="50">
        <v>41.384</v>
      </c>
      <c r="AS36" s="49">
        <v>39.152000000000001</v>
      </c>
      <c r="AT36" s="49">
        <v>83</v>
      </c>
      <c r="AU36" s="50">
        <v>120</v>
      </c>
      <c r="AV36" s="50">
        <v>1.9355</v>
      </c>
      <c r="AW36" s="49">
        <v>5.2820999999999998</v>
      </c>
      <c r="AX36" s="49">
        <v>1020</v>
      </c>
      <c r="AY36" s="49">
        <v>2.2400000000000002</v>
      </c>
      <c r="AZ36" s="49">
        <v>5.69</v>
      </c>
      <c r="BA36" s="49">
        <v>138.66800000000001</v>
      </c>
      <c r="BB36" s="49">
        <v>138.376</v>
      </c>
      <c r="BC36" s="49">
        <v>7707</v>
      </c>
      <c r="BD36" s="49">
        <v>87.75</v>
      </c>
      <c r="BE36" s="49">
        <v>16.420000000000002</v>
      </c>
      <c r="BF36" s="49">
        <v>13.77</v>
      </c>
      <c r="BG36" s="50">
        <v>29.6</v>
      </c>
      <c r="BH36" s="50">
        <v>30.13</v>
      </c>
      <c r="BI36" s="3"/>
      <c r="BJ36" s="3"/>
      <c r="BK36" s="3"/>
      <c r="BL36" s="3"/>
      <c r="BM36" s="3"/>
      <c r="BN36" s="49">
        <v>111.048</v>
      </c>
      <c r="BO36" s="49">
        <v>108.264</v>
      </c>
      <c r="BP36" s="49">
        <v>137.59200000000001</v>
      </c>
      <c r="BQ36" s="49">
        <v>140.15199999999999</v>
      </c>
      <c r="BR36" s="3"/>
      <c r="BS36" s="49">
        <v>29.1</v>
      </c>
      <c r="BT36" s="49">
        <v>7372.3760000000002</v>
      </c>
      <c r="BU36" s="49">
        <v>50.305</v>
      </c>
      <c r="BV36" s="49">
        <v>54.61</v>
      </c>
      <c r="BW36" s="49">
        <v>55.764000000000003</v>
      </c>
      <c r="BX36" s="49">
        <v>56.128</v>
      </c>
      <c r="BY36" s="49">
        <v>1.4430000000000001</v>
      </c>
      <c r="BZ36" s="49">
        <v>3.0329999999999999</v>
      </c>
      <c r="CA36" s="49">
        <v>3.5870000000000002</v>
      </c>
      <c r="CB36" s="49">
        <v>3.4769999999999999</v>
      </c>
      <c r="CC36" s="49">
        <v>1.1200000000000001</v>
      </c>
      <c r="CD36" s="49">
        <v>2.4079999999999999</v>
      </c>
      <c r="CE36" s="49">
        <v>1.26</v>
      </c>
      <c r="CF36" s="49">
        <v>2.109</v>
      </c>
      <c r="CG36" s="49">
        <v>13.929</v>
      </c>
      <c r="CH36" s="49">
        <v>13.787000000000001</v>
      </c>
      <c r="CI36" s="49">
        <v>3.5209999999999999</v>
      </c>
      <c r="CJ36" s="49">
        <v>3.3</v>
      </c>
      <c r="CK36" s="49">
        <v>1.19</v>
      </c>
      <c r="CL36" s="50">
        <v>0.5</v>
      </c>
      <c r="CM36" s="50">
        <v>1.3</v>
      </c>
      <c r="CN36" s="49">
        <v>0</v>
      </c>
      <c r="CO36" s="49">
        <v>0</v>
      </c>
      <c r="CP36" s="49">
        <v>103.941</v>
      </c>
      <c r="CQ36" s="49">
        <v>101.919</v>
      </c>
      <c r="CR36" s="50">
        <v>131.38999999999999</v>
      </c>
      <c r="CS36" s="50">
        <v>135.20500000000001</v>
      </c>
      <c r="CT36" s="49">
        <v>0.28399999999999997</v>
      </c>
      <c r="CU36" s="49">
        <v>1.302</v>
      </c>
      <c r="CV36" s="49">
        <v>1.194</v>
      </c>
      <c r="CW36" s="49">
        <v>1.399</v>
      </c>
      <c r="CX36" s="49">
        <v>0.89800000000000002</v>
      </c>
      <c r="CY36" s="49">
        <v>0.59899999999999998</v>
      </c>
      <c r="CZ36" s="49">
        <v>0.89700000000000002</v>
      </c>
      <c r="DA36" s="49">
        <v>0.60199999999999998</v>
      </c>
      <c r="DB36" s="49">
        <v>1.8049999999999999</v>
      </c>
      <c r="DC36" s="49">
        <v>0</v>
      </c>
      <c r="DD36" s="50">
        <v>0</v>
      </c>
      <c r="DE36" s="49">
        <v>0.33500000000000002</v>
      </c>
      <c r="DF36" s="50">
        <v>0.17100000000000001</v>
      </c>
      <c r="DG36" s="50">
        <v>1.0920000000000001</v>
      </c>
      <c r="DH36" s="50">
        <v>2.2989999999999999</v>
      </c>
      <c r="DI36" s="49">
        <v>1.3</v>
      </c>
      <c r="DJ36" s="49">
        <v>0.308</v>
      </c>
      <c r="DK36" s="50">
        <v>1.3839999999999999</v>
      </c>
      <c r="DL36" s="49">
        <v>0.40500000000000003</v>
      </c>
      <c r="DM36" s="49">
        <v>0.40600000000000003</v>
      </c>
      <c r="DN36" s="49">
        <v>0.219</v>
      </c>
      <c r="DO36" s="49">
        <v>0.28000000000000003</v>
      </c>
      <c r="DP36" s="50">
        <v>67.138000000000005</v>
      </c>
      <c r="DQ36" s="49">
        <v>56.906999999999996</v>
      </c>
      <c r="DR36" s="50">
        <v>53.741999999999997</v>
      </c>
      <c r="DS36" s="49">
        <v>51.511000000000003</v>
      </c>
      <c r="DT36" s="50">
        <v>7.32</v>
      </c>
      <c r="DU36" s="50">
        <v>6.96</v>
      </c>
      <c r="DV36" s="50">
        <v>13.5</v>
      </c>
      <c r="DW36" s="50">
        <v>11.09</v>
      </c>
      <c r="DX36" s="50">
        <v>7.64</v>
      </c>
      <c r="DY36" s="50">
        <v>7.13</v>
      </c>
      <c r="DZ36" s="50">
        <v>13.14</v>
      </c>
      <c r="EA36" s="50">
        <v>11.03</v>
      </c>
      <c r="EB36" s="49">
        <v>41.59</v>
      </c>
      <c r="EC36" s="49">
        <v>40.76</v>
      </c>
      <c r="ED36" s="49">
        <v>32.549999999999997</v>
      </c>
      <c r="EE36" s="49">
        <v>34.93</v>
      </c>
      <c r="EF36" s="49">
        <v>43.45</v>
      </c>
      <c r="EG36" s="49">
        <v>45.15</v>
      </c>
      <c r="EH36" s="49">
        <v>40.81</v>
      </c>
      <c r="EI36" s="49">
        <v>42.95</v>
      </c>
      <c r="EJ36" s="49">
        <v>7.0919999999999996</v>
      </c>
      <c r="EK36" s="49">
        <v>59.720999999999997</v>
      </c>
      <c r="EL36" s="49">
        <v>2.0499999999999998</v>
      </c>
      <c r="EM36" s="49">
        <v>1.65</v>
      </c>
      <c r="EN36" s="49">
        <v>1.19</v>
      </c>
      <c r="EO36" s="49">
        <v>1.2</v>
      </c>
      <c r="EP36" s="49">
        <v>-102.718</v>
      </c>
      <c r="EQ36" s="49">
        <v>-3.089</v>
      </c>
      <c r="ER36" s="49">
        <v>116.282</v>
      </c>
      <c r="ES36" s="49">
        <v>1.494</v>
      </c>
      <c r="ET36" s="50">
        <v>1.6439999999999999</v>
      </c>
      <c r="EU36" s="49">
        <v>1.4570000000000001</v>
      </c>
      <c r="EV36" s="49">
        <v>7.5679999999999996</v>
      </c>
      <c r="EW36" s="49">
        <v>2.351</v>
      </c>
      <c r="EX36" s="49">
        <v>74.900000000000006</v>
      </c>
      <c r="EY36" s="49">
        <v>0</v>
      </c>
      <c r="EZ36" s="49">
        <v>0</v>
      </c>
      <c r="FA36" s="50">
        <v>0</v>
      </c>
      <c r="FB36" s="49">
        <v>9.1630000000000003</v>
      </c>
      <c r="FC36" s="50">
        <v>75.070999999999998</v>
      </c>
      <c r="FD36" s="50">
        <v>70.974000000000004</v>
      </c>
      <c r="FE36" s="49">
        <v>85.331999999999994</v>
      </c>
      <c r="FF36" s="50">
        <v>84.236999999999995</v>
      </c>
      <c r="FG36" s="49">
        <v>0.93200000000000005</v>
      </c>
      <c r="FH36" s="49">
        <v>0.93300000000000005</v>
      </c>
      <c r="FI36" s="49">
        <v>0.98699999999999999</v>
      </c>
      <c r="FJ36" s="49">
        <v>0.99299999999999999</v>
      </c>
      <c r="FK36" s="49">
        <v>0</v>
      </c>
      <c r="FL36" s="49">
        <v>83</v>
      </c>
      <c r="FM36" s="49">
        <v>3.58</v>
      </c>
      <c r="FN36" s="49">
        <v>-0.28000000000000003</v>
      </c>
      <c r="FO36" s="49">
        <v>5.44</v>
      </c>
      <c r="FP36" s="3"/>
      <c r="FQ36" s="49">
        <v>4.5999999999999996</v>
      </c>
      <c r="FR36" s="50">
        <v>5</v>
      </c>
      <c r="FS36" s="49">
        <v>6.7095000000000002</v>
      </c>
      <c r="FT36" s="49">
        <v>1073.7</v>
      </c>
      <c r="FU36" s="49">
        <v>6.77</v>
      </c>
      <c r="FV36" s="49">
        <v>29.05</v>
      </c>
      <c r="FW36" s="49">
        <v>3055.5</v>
      </c>
      <c r="FX36" s="49">
        <v>165000</v>
      </c>
      <c r="FY36" s="49">
        <v>166300</v>
      </c>
      <c r="FZ36" s="49">
        <v>48.308</v>
      </c>
      <c r="GA36" s="49">
        <v>47.360999999999997</v>
      </c>
      <c r="GB36" s="49">
        <v>2166.8000000000002</v>
      </c>
      <c r="GC36" s="49">
        <v>2177.1999999999998</v>
      </c>
      <c r="GD36" s="49">
        <v>2213.6999999999998</v>
      </c>
      <c r="GE36" s="49">
        <v>2219.6</v>
      </c>
      <c r="GF36" s="49">
        <v>1415.1719000000001</v>
      </c>
      <c r="GG36" s="49">
        <v>28</v>
      </c>
      <c r="GH36" s="49">
        <v>28.2</v>
      </c>
      <c r="GI36" s="49">
        <v>47.6</v>
      </c>
      <c r="GJ36" s="49">
        <v>52.8</v>
      </c>
      <c r="GK36" s="49">
        <v>99.5</v>
      </c>
      <c r="GL36" s="49">
        <v>78.8</v>
      </c>
      <c r="GM36" s="50">
        <v>0</v>
      </c>
      <c r="GN36" s="49">
        <v>26.798999999999999</v>
      </c>
      <c r="GO36" s="49">
        <v>116.282</v>
      </c>
      <c r="GP36" s="49">
        <v>0.53100000000000003</v>
      </c>
      <c r="GQ36" s="49">
        <v>1.9470000000000001</v>
      </c>
      <c r="GR36" s="49">
        <v>1.298</v>
      </c>
      <c r="GS36" s="49">
        <v>2.0059999999999998</v>
      </c>
      <c r="GT36" s="49">
        <v>0.76700000000000002</v>
      </c>
      <c r="GU36" s="49">
        <v>1.8879999999999999</v>
      </c>
      <c r="GV36" s="49">
        <v>12.936</v>
      </c>
      <c r="GW36" s="49">
        <v>13.977</v>
      </c>
      <c r="GX36" s="49">
        <v>15.582000000000001</v>
      </c>
      <c r="GY36" s="50">
        <v>0</v>
      </c>
      <c r="GZ36" s="50">
        <v>0</v>
      </c>
      <c r="HA36" s="50">
        <v>0</v>
      </c>
      <c r="HB36" s="49">
        <v>0</v>
      </c>
      <c r="HC36" s="49">
        <v>23.696000000000002</v>
      </c>
      <c r="HD36" s="49">
        <v>82</v>
      </c>
      <c r="HE36" s="50">
        <v>0</v>
      </c>
      <c r="HF36" s="50">
        <v>0</v>
      </c>
      <c r="HG36" s="49">
        <v>86.15</v>
      </c>
      <c r="HH36" s="50">
        <v>83.98</v>
      </c>
      <c r="HI36" s="50">
        <v>0</v>
      </c>
      <c r="HJ36" s="50">
        <v>0</v>
      </c>
      <c r="HK36" s="50">
        <v>0</v>
      </c>
      <c r="HL36" s="49">
        <v>63</v>
      </c>
      <c r="HM36" s="49">
        <v>55</v>
      </c>
      <c r="HN36" s="49">
        <v>69</v>
      </c>
      <c r="HO36" s="49">
        <v>63</v>
      </c>
      <c r="HP36" s="49">
        <v>66</v>
      </c>
      <c r="HQ36" s="50">
        <v>64</v>
      </c>
      <c r="HR36" s="50">
        <v>55</v>
      </c>
      <c r="HS36" s="50">
        <v>70</v>
      </c>
      <c r="HT36" s="49">
        <v>-1.2985</v>
      </c>
      <c r="HU36" s="50">
        <v>0</v>
      </c>
      <c r="HV36" s="50">
        <v>0.63500000000000001</v>
      </c>
      <c r="HW36" s="49">
        <v>37.47</v>
      </c>
      <c r="HX36" s="49">
        <v>48.05</v>
      </c>
      <c r="HY36" s="49">
        <v>52.53</v>
      </c>
      <c r="HZ36" s="49">
        <v>64.239999999999995</v>
      </c>
      <c r="IA36" s="50">
        <v>2.794</v>
      </c>
      <c r="IB36" s="50">
        <v>104</v>
      </c>
      <c r="IC36" s="50">
        <v>22.606000000000002</v>
      </c>
      <c r="ID36" s="49">
        <v>-0.30399999999999999</v>
      </c>
      <c r="IE36" s="49">
        <v>-0.11700000000000001</v>
      </c>
      <c r="IF36" s="49">
        <v>819.1</v>
      </c>
      <c r="IG36" s="50">
        <v>774.2</v>
      </c>
      <c r="IH36" s="50">
        <v>831.6</v>
      </c>
      <c r="II36" s="50">
        <v>787.8</v>
      </c>
      <c r="IJ36" s="49">
        <v>-0.124</v>
      </c>
      <c r="IK36" s="49">
        <v>-0.23499999999999999</v>
      </c>
      <c r="IL36" s="49">
        <v>71.751999999999995</v>
      </c>
      <c r="IM36" s="49">
        <v>71.751999999999995</v>
      </c>
      <c r="IN36" s="49">
        <v>13.831</v>
      </c>
      <c r="IO36" s="49">
        <v>0.60299999999999998</v>
      </c>
      <c r="IP36" s="49">
        <v>10.3</v>
      </c>
      <c r="IQ36" s="50">
        <v>1.2999999999999999E-2</v>
      </c>
      <c r="IR36" s="49">
        <v>8.0000000000000002E-3</v>
      </c>
      <c r="IS36">
        <v>0.3640000000000001</v>
      </c>
      <c r="IT36">
        <v>0.21900000000000008</v>
      </c>
    </row>
    <row r="37" spans="2:254" x14ac:dyDescent="0.25">
      <c r="B37" s="2" t="s">
        <v>412</v>
      </c>
      <c r="C37" s="2" t="s">
        <v>46</v>
      </c>
      <c r="D37" s="61">
        <v>2.9023148148148146E-3</v>
      </c>
      <c r="E37" s="49">
        <v>250.76300000000001</v>
      </c>
      <c r="F37" s="49">
        <v>328.49</v>
      </c>
      <c r="G37" s="49">
        <v>5.47</v>
      </c>
      <c r="H37" s="50">
        <v>29.5</v>
      </c>
      <c r="I37" s="49">
        <v>0</v>
      </c>
      <c r="J37" s="49">
        <v>17</v>
      </c>
      <c r="K37" s="50">
        <v>10</v>
      </c>
      <c r="L37" s="50">
        <v>4</v>
      </c>
      <c r="M37" s="50">
        <v>6</v>
      </c>
      <c r="N37" s="50">
        <v>3</v>
      </c>
      <c r="O37" s="50">
        <v>3</v>
      </c>
      <c r="P37" s="49">
        <v>0.70299999999999996</v>
      </c>
      <c r="Q37" s="49">
        <v>1.123</v>
      </c>
      <c r="R37" s="49">
        <v>0.66100000000000003</v>
      </c>
      <c r="S37" s="49">
        <v>0.39600000000000002</v>
      </c>
      <c r="T37" s="49">
        <v>85.58</v>
      </c>
      <c r="U37" s="50">
        <v>61.289000000000001</v>
      </c>
      <c r="V37" s="49">
        <v>220</v>
      </c>
      <c r="W37" s="49">
        <v>220</v>
      </c>
      <c r="X37" s="49">
        <v>170</v>
      </c>
      <c r="Y37" s="49">
        <v>208.34</v>
      </c>
      <c r="Z37" s="49">
        <v>377.97</v>
      </c>
      <c r="AA37" s="49">
        <v>372.17</v>
      </c>
      <c r="AB37" s="49">
        <v>283.95</v>
      </c>
      <c r="AC37" s="49">
        <v>342.5</v>
      </c>
      <c r="AD37" s="49">
        <v>1.81</v>
      </c>
      <c r="AE37" s="49">
        <v>1.881</v>
      </c>
      <c r="AF37" s="49">
        <v>1.8129999999999999</v>
      </c>
      <c r="AG37" s="49">
        <v>1.8480000000000001</v>
      </c>
      <c r="AH37" s="49">
        <v>81.38</v>
      </c>
      <c r="AI37" s="49">
        <v>78.959999999999994</v>
      </c>
      <c r="AJ37" s="49">
        <v>106.26</v>
      </c>
      <c r="AK37" s="49">
        <v>103.76</v>
      </c>
      <c r="AL37" s="49">
        <v>559.88699999999994</v>
      </c>
      <c r="AM37" s="49">
        <v>620.41099999999994</v>
      </c>
      <c r="AN37" s="49">
        <v>736.952</v>
      </c>
      <c r="AO37" s="49">
        <v>702.19799999999998</v>
      </c>
      <c r="AP37" s="49">
        <v>1.373</v>
      </c>
      <c r="AQ37" s="49">
        <v>1.825</v>
      </c>
      <c r="AR37" s="49">
        <v>40.241</v>
      </c>
      <c r="AS37" s="49">
        <v>38.417000000000002</v>
      </c>
      <c r="AT37" s="49">
        <v>83</v>
      </c>
      <c r="AU37" s="50">
        <v>120</v>
      </c>
      <c r="AV37" s="49">
        <v>2.3955000000000002</v>
      </c>
      <c r="AW37" s="49">
        <v>5.1161000000000003</v>
      </c>
      <c r="AX37" s="49">
        <v>1015.7</v>
      </c>
      <c r="AY37" s="49">
        <v>2.2999999999999998</v>
      </c>
      <c r="AZ37" s="49">
        <v>5.85</v>
      </c>
      <c r="BA37" s="49">
        <v>141.44999999999999</v>
      </c>
      <c r="BB37" s="49">
        <v>140.816</v>
      </c>
      <c r="BC37" s="49">
        <v>7654</v>
      </c>
      <c r="BD37" s="50">
        <v>90.25</v>
      </c>
      <c r="BE37" s="49">
        <v>14.13</v>
      </c>
      <c r="BF37" s="49">
        <v>12.53</v>
      </c>
      <c r="BG37" s="49">
        <v>28.71</v>
      </c>
      <c r="BH37" s="49">
        <v>27.29</v>
      </c>
      <c r="BI37" s="50">
        <v>65.572000000000003</v>
      </c>
      <c r="BJ37" s="50">
        <v>81.207999999999998</v>
      </c>
      <c r="BK37" s="50">
        <v>63.918999999999997</v>
      </c>
      <c r="BL37" s="50">
        <v>78.227000000000004</v>
      </c>
      <c r="BM37" s="50">
        <v>79.188999999999993</v>
      </c>
      <c r="BN37" s="49">
        <v>112.904</v>
      </c>
      <c r="BO37" s="49">
        <v>109.544</v>
      </c>
      <c r="BP37" s="50">
        <v>138.87200000000001</v>
      </c>
      <c r="BQ37" s="50">
        <v>140.87200000000001</v>
      </c>
      <c r="BR37" s="50">
        <v>61.343000000000004</v>
      </c>
      <c r="BS37" s="50">
        <v>29.2</v>
      </c>
      <c r="BT37" s="49">
        <v>7344.4459999999999</v>
      </c>
      <c r="BU37" s="49">
        <v>48.664000000000001</v>
      </c>
      <c r="BV37" s="49">
        <v>53.997999999999998</v>
      </c>
      <c r="BW37" s="50">
        <v>56.259</v>
      </c>
      <c r="BX37" s="50">
        <v>56.875</v>
      </c>
      <c r="BY37" s="49">
        <v>1.371</v>
      </c>
      <c r="BZ37" s="49">
        <v>3.17</v>
      </c>
      <c r="CA37" s="49">
        <v>2.9119999999999999</v>
      </c>
      <c r="CB37" s="49">
        <v>2.9039999999999999</v>
      </c>
      <c r="CC37" s="49">
        <v>0.84099999999999997</v>
      </c>
      <c r="CD37" s="50">
        <v>2.7970000000000002</v>
      </c>
      <c r="CE37" s="49">
        <v>1.3149999999999999</v>
      </c>
      <c r="CF37" s="49">
        <v>1.978</v>
      </c>
      <c r="CG37" s="50">
        <v>13.943</v>
      </c>
      <c r="CH37" s="49">
        <v>13.635999999999999</v>
      </c>
      <c r="CI37" s="3"/>
      <c r="CJ37" s="3"/>
      <c r="CK37" s="3"/>
      <c r="CL37" s="49">
        <v>0.2</v>
      </c>
      <c r="CM37" s="49">
        <v>1.1000000000000001</v>
      </c>
      <c r="CN37" s="49">
        <v>0.1</v>
      </c>
      <c r="CO37" s="49">
        <v>0.1</v>
      </c>
      <c r="CP37" s="49">
        <v>103.35599999999999</v>
      </c>
      <c r="CQ37" s="49">
        <v>100.428</v>
      </c>
      <c r="CR37" s="49">
        <v>130.00299999999999</v>
      </c>
      <c r="CS37" s="49">
        <v>131.92099999999999</v>
      </c>
      <c r="CT37" s="49">
        <v>0.246</v>
      </c>
      <c r="CU37" s="50">
        <v>4.2009999999999996</v>
      </c>
      <c r="CV37" s="50">
        <v>4.5960000000000001</v>
      </c>
      <c r="CW37" s="50">
        <v>4.4989999999999997</v>
      </c>
      <c r="CX37" s="50">
        <v>4.5990000000000002</v>
      </c>
      <c r="CY37" s="50">
        <v>4.4009999999999998</v>
      </c>
      <c r="CZ37" s="50">
        <v>4.5990000000000002</v>
      </c>
      <c r="DA37" s="50">
        <v>3.899</v>
      </c>
      <c r="DB37" s="50">
        <v>4.601</v>
      </c>
      <c r="DC37" s="49">
        <v>0</v>
      </c>
      <c r="DD37" s="50">
        <v>0</v>
      </c>
      <c r="DE37" s="49">
        <v>0.21099999999999999</v>
      </c>
      <c r="DF37" s="49">
        <v>5.0999999999999997E-2</v>
      </c>
      <c r="DG37" s="49">
        <v>0.36199999999999999</v>
      </c>
      <c r="DH37" s="49">
        <v>1.482</v>
      </c>
      <c r="DI37" s="49">
        <v>0.999</v>
      </c>
      <c r="DJ37" s="49">
        <v>0.26700000000000002</v>
      </c>
      <c r="DK37" s="49">
        <v>0.83899999999999997</v>
      </c>
      <c r="DL37" s="50">
        <v>0.41299999999999998</v>
      </c>
      <c r="DM37" s="50">
        <v>0.53900000000000003</v>
      </c>
      <c r="DN37" s="49">
        <v>0.378</v>
      </c>
      <c r="DO37" s="50">
        <v>0.43</v>
      </c>
      <c r="DP37" s="49">
        <v>67.022999999999996</v>
      </c>
      <c r="DQ37" s="50">
        <v>63.991999999999997</v>
      </c>
      <c r="DR37" s="49">
        <v>51.776000000000003</v>
      </c>
      <c r="DS37" s="50">
        <v>53.356000000000002</v>
      </c>
      <c r="DT37" s="49">
        <v>4.57</v>
      </c>
      <c r="DU37" s="49">
        <v>5.2</v>
      </c>
      <c r="DV37" s="49">
        <v>9.93</v>
      </c>
      <c r="DW37" s="49">
        <v>8.26</v>
      </c>
      <c r="DX37" s="49">
        <v>4.8099999999999996</v>
      </c>
      <c r="DY37" s="49">
        <v>5.33</v>
      </c>
      <c r="DZ37" s="49">
        <v>9.44</v>
      </c>
      <c r="EA37" s="49">
        <v>8.06</v>
      </c>
      <c r="EB37" s="50">
        <v>43.41</v>
      </c>
      <c r="EC37" s="49">
        <v>41.69</v>
      </c>
      <c r="ED37" s="50">
        <v>34.840000000000003</v>
      </c>
      <c r="EE37" s="50">
        <v>36.29</v>
      </c>
      <c r="EF37" s="49">
        <v>47.19</v>
      </c>
      <c r="EG37" s="49">
        <v>47.77</v>
      </c>
      <c r="EH37" s="49">
        <v>45.78</v>
      </c>
      <c r="EI37" s="49">
        <v>47.38</v>
      </c>
      <c r="EJ37" s="50">
        <v>7.3179999999999996</v>
      </c>
      <c r="EK37" s="49">
        <v>59.45</v>
      </c>
      <c r="EL37" s="49">
        <v>2.1</v>
      </c>
      <c r="EM37" s="50">
        <v>1.55</v>
      </c>
      <c r="EN37" s="49">
        <v>1.19</v>
      </c>
      <c r="EO37" s="49">
        <v>1.19</v>
      </c>
      <c r="EP37" s="49">
        <v>-100.38200000000001</v>
      </c>
      <c r="EQ37" s="49">
        <v>-2.2130000000000001</v>
      </c>
      <c r="ER37" s="49">
        <v>97.885999999999996</v>
      </c>
      <c r="ES37" s="49">
        <v>1.524</v>
      </c>
      <c r="ET37" s="49">
        <v>1.629</v>
      </c>
      <c r="EU37" s="49">
        <v>1.4690000000000001</v>
      </c>
      <c r="EV37" s="49">
        <v>7.7619999999999996</v>
      </c>
      <c r="EW37" s="49">
        <v>2.3940000000000001</v>
      </c>
      <c r="EX37" s="49">
        <v>66.86</v>
      </c>
      <c r="EY37" s="49">
        <v>0.12</v>
      </c>
      <c r="EZ37" s="49">
        <v>0</v>
      </c>
      <c r="FA37" s="50">
        <v>0</v>
      </c>
      <c r="FB37" s="49">
        <v>9.1560000000000006</v>
      </c>
      <c r="FC37" s="49">
        <v>74.718999999999994</v>
      </c>
      <c r="FD37" s="49">
        <v>70.837000000000003</v>
      </c>
      <c r="FE37" s="50">
        <v>85.495000000000005</v>
      </c>
      <c r="FF37" s="49">
        <v>84.158000000000001</v>
      </c>
      <c r="FG37" s="49">
        <v>0.94</v>
      </c>
      <c r="FH37" s="49">
        <v>0.93899999999999995</v>
      </c>
      <c r="FI37" s="49">
        <v>0.995</v>
      </c>
      <c r="FJ37" s="50">
        <v>1.0009999999999999</v>
      </c>
      <c r="FK37" s="49">
        <v>0</v>
      </c>
      <c r="FL37" s="49">
        <v>83</v>
      </c>
      <c r="FM37" s="49">
        <v>3.53</v>
      </c>
      <c r="FN37" s="49">
        <v>-0.72</v>
      </c>
      <c r="FO37" s="49">
        <v>5.38</v>
      </c>
      <c r="FP37" s="50">
        <v>3.8</v>
      </c>
      <c r="FQ37" s="49">
        <v>4.55</v>
      </c>
      <c r="FR37" s="49">
        <v>5.05</v>
      </c>
      <c r="FS37" s="49">
        <v>6.6835000000000004</v>
      </c>
      <c r="FT37" s="49">
        <v>1079.8</v>
      </c>
      <c r="FU37" s="49">
        <v>6.83</v>
      </c>
      <c r="FV37" s="50">
        <v>34.53</v>
      </c>
      <c r="FW37" s="49">
        <v>3067.5</v>
      </c>
      <c r="FX37" s="49">
        <v>162600</v>
      </c>
      <c r="FY37" s="49">
        <v>162900</v>
      </c>
      <c r="FZ37" s="49">
        <v>48.499000000000002</v>
      </c>
      <c r="GA37" s="49">
        <v>47.616</v>
      </c>
      <c r="GB37" s="49">
        <v>2189.4</v>
      </c>
      <c r="GC37" s="49">
        <v>2163.3000000000002</v>
      </c>
      <c r="GD37" s="49">
        <v>2223.3000000000002</v>
      </c>
      <c r="GE37" s="49">
        <v>2225.1</v>
      </c>
      <c r="GF37" s="49">
        <v>1242.5780999999999</v>
      </c>
      <c r="GG37" s="49">
        <v>29</v>
      </c>
      <c r="GH37" s="49">
        <v>29</v>
      </c>
      <c r="GI37" s="49">
        <v>47.9</v>
      </c>
      <c r="GJ37" s="49">
        <v>53.3</v>
      </c>
      <c r="GK37" s="49">
        <v>99.5</v>
      </c>
      <c r="GL37" s="49">
        <v>76.8</v>
      </c>
      <c r="GM37" s="50">
        <v>0</v>
      </c>
      <c r="GN37" s="50">
        <v>27.315999999999999</v>
      </c>
      <c r="GO37" s="49">
        <v>100.38200000000001</v>
      </c>
      <c r="GP37" s="50">
        <v>0</v>
      </c>
      <c r="GQ37" s="49">
        <v>1.9470000000000001</v>
      </c>
      <c r="GR37" s="50">
        <v>0</v>
      </c>
      <c r="GS37" s="49">
        <v>2.0059999999999998</v>
      </c>
      <c r="GT37" s="50">
        <v>0</v>
      </c>
      <c r="GU37" s="49">
        <v>1.8879999999999999</v>
      </c>
      <c r="GV37" s="50">
        <v>0</v>
      </c>
      <c r="GW37" s="49">
        <v>13.827</v>
      </c>
      <c r="GX37" s="49">
        <v>15.19</v>
      </c>
      <c r="GY37" s="50">
        <v>0</v>
      </c>
      <c r="GZ37" s="50">
        <v>0</v>
      </c>
      <c r="HA37" s="50">
        <v>0</v>
      </c>
      <c r="HB37" s="49">
        <v>0</v>
      </c>
      <c r="HC37" s="49">
        <v>23.64</v>
      </c>
      <c r="HD37" s="49">
        <v>86</v>
      </c>
      <c r="HE37" s="50">
        <v>0</v>
      </c>
      <c r="HF37" s="50">
        <v>0</v>
      </c>
      <c r="HG37" s="49">
        <v>72.27</v>
      </c>
      <c r="HH37" s="49">
        <v>82.39</v>
      </c>
      <c r="HI37" s="50">
        <v>0</v>
      </c>
      <c r="HJ37" s="50">
        <v>0</v>
      </c>
      <c r="HK37" s="50">
        <v>0</v>
      </c>
      <c r="HL37" s="49">
        <v>63</v>
      </c>
      <c r="HM37" s="49">
        <v>55</v>
      </c>
      <c r="HN37" s="50">
        <v>70</v>
      </c>
      <c r="HO37" s="50">
        <v>64</v>
      </c>
      <c r="HP37" s="50">
        <v>67</v>
      </c>
      <c r="HQ37" s="50">
        <v>64</v>
      </c>
      <c r="HR37" s="50">
        <v>55</v>
      </c>
      <c r="HS37" s="49">
        <v>64</v>
      </c>
      <c r="HT37" s="49">
        <v>-1.2865</v>
      </c>
      <c r="HU37" s="50">
        <v>0</v>
      </c>
      <c r="HV37" s="49">
        <v>-0.13700000000000001</v>
      </c>
      <c r="HW37" s="49">
        <v>37.47</v>
      </c>
      <c r="HX37" s="49">
        <v>50.91</v>
      </c>
      <c r="HY37" s="3"/>
      <c r="HZ37" s="3"/>
      <c r="IA37" s="49">
        <v>2.661</v>
      </c>
      <c r="IB37" s="50">
        <v>104</v>
      </c>
      <c r="IC37" s="49">
        <v>22.239000000000001</v>
      </c>
      <c r="ID37" s="49">
        <v>-0.191</v>
      </c>
      <c r="IE37" s="49">
        <v>-7.5999999999999998E-2</v>
      </c>
      <c r="IF37" s="50">
        <v>839.9</v>
      </c>
      <c r="IG37" s="49">
        <v>761</v>
      </c>
      <c r="IH37" s="49">
        <v>831.5</v>
      </c>
      <c r="II37" s="49">
        <v>776.9</v>
      </c>
      <c r="IJ37" s="49">
        <v>-5.3999999999999999E-2</v>
      </c>
      <c r="IK37" s="50">
        <v>-0.11899999999999999</v>
      </c>
      <c r="IL37" s="49">
        <v>80.736000000000004</v>
      </c>
      <c r="IM37" s="49">
        <v>80.736000000000004</v>
      </c>
      <c r="IN37" s="50">
        <v>16.419</v>
      </c>
      <c r="IO37" s="49">
        <v>0.496</v>
      </c>
      <c r="IP37" s="49">
        <v>10.210000000000001</v>
      </c>
      <c r="IQ37" s="49">
        <v>0</v>
      </c>
      <c r="IR37" s="49">
        <v>0</v>
      </c>
      <c r="IS37">
        <v>0.3640000000000001</v>
      </c>
      <c r="IT37">
        <v>0.21900000000000008</v>
      </c>
    </row>
    <row r="38" spans="2:254" x14ac:dyDescent="0.25">
      <c r="IS38">
        <v>0.3640000000000001</v>
      </c>
      <c r="IT38">
        <v>0.21900000000000008</v>
      </c>
    </row>
    <row r="39" spans="2:254" x14ac:dyDescent="0.25">
      <c r="IS39">
        <v>0.3640000000000001</v>
      </c>
      <c r="IT39">
        <v>0.21900000000000008</v>
      </c>
    </row>
    <row r="40" spans="2:254" x14ac:dyDescent="0.25">
      <c r="IS40">
        <v>0.3640000000000001</v>
      </c>
      <c r="IT40">
        <v>0.21900000000000008</v>
      </c>
    </row>
    <row r="41" spans="2:254" x14ac:dyDescent="0.25">
      <c r="B41" s="2" t="s">
        <v>412</v>
      </c>
      <c r="C41" s="2" t="s">
        <v>41</v>
      </c>
      <c r="D41" s="61">
        <v>1.7211805555555557E-2</v>
      </c>
      <c r="E41" s="50">
        <v>1487.1030000000001</v>
      </c>
      <c r="F41" s="49">
        <v>328.85</v>
      </c>
      <c r="G41" s="49">
        <v>5.71</v>
      </c>
      <c r="H41" s="50">
        <v>29</v>
      </c>
      <c r="I41" s="50">
        <v>0</v>
      </c>
      <c r="J41" s="50">
        <v>1267.5999999999999</v>
      </c>
      <c r="K41" s="50">
        <v>11</v>
      </c>
      <c r="L41" s="49">
        <v>6</v>
      </c>
      <c r="M41" s="50">
        <v>6</v>
      </c>
      <c r="N41" s="50">
        <v>3</v>
      </c>
      <c r="O41" s="50">
        <v>3</v>
      </c>
      <c r="P41" s="49">
        <v>0.77200000000000002</v>
      </c>
      <c r="Q41" s="49">
        <v>1.1739999999999999</v>
      </c>
      <c r="R41" s="49">
        <v>0.82799999999999996</v>
      </c>
      <c r="S41" s="49">
        <v>0.64</v>
      </c>
      <c r="T41" s="49">
        <v>67.56</v>
      </c>
      <c r="U41" s="50">
        <v>61.539000000000001</v>
      </c>
      <c r="V41" s="49">
        <v>105</v>
      </c>
      <c r="W41" s="49">
        <v>70</v>
      </c>
      <c r="X41" s="50">
        <v>90</v>
      </c>
      <c r="Y41" s="50">
        <v>90</v>
      </c>
      <c r="Z41" s="49">
        <v>176.15</v>
      </c>
      <c r="AA41" s="49">
        <v>170.75</v>
      </c>
      <c r="AB41" s="49">
        <v>131.61000000000001</v>
      </c>
      <c r="AC41" s="49">
        <v>148.04</v>
      </c>
      <c r="AD41" s="49">
        <v>1.78</v>
      </c>
      <c r="AE41" s="50">
        <v>1.8580000000000001</v>
      </c>
      <c r="AF41" s="49">
        <v>1.6830000000000001</v>
      </c>
      <c r="AG41" s="49">
        <v>1.7310000000000001</v>
      </c>
      <c r="AH41" s="49">
        <v>68.14</v>
      </c>
      <c r="AI41" s="49">
        <v>66.23</v>
      </c>
      <c r="AJ41" s="49">
        <v>84.1</v>
      </c>
      <c r="AK41" s="49">
        <v>83.15</v>
      </c>
      <c r="AL41" s="49">
        <v>601.15200000000004</v>
      </c>
      <c r="AM41" s="49">
        <v>632.79899999999998</v>
      </c>
      <c r="AN41" s="49">
        <v>700.28800000000001</v>
      </c>
      <c r="AO41" s="49">
        <v>658.01800000000003</v>
      </c>
      <c r="AP41" s="50">
        <v>1.401</v>
      </c>
      <c r="AQ41" s="49">
        <v>1.87</v>
      </c>
      <c r="AR41" s="49">
        <v>39.156999999999996</v>
      </c>
      <c r="AS41" s="49">
        <v>39.389000000000003</v>
      </c>
      <c r="AT41" s="50">
        <v>85</v>
      </c>
      <c r="AU41" s="49">
        <v>109</v>
      </c>
      <c r="AV41" s="49">
        <v>2.1644999999999999</v>
      </c>
      <c r="AW41" s="49">
        <v>4.3868</v>
      </c>
      <c r="AX41" s="50">
        <v>1028.5</v>
      </c>
      <c r="AY41" s="50">
        <v>2.34</v>
      </c>
      <c r="AZ41" s="49">
        <v>5.7</v>
      </c>
      <c r="BA41" s="50">
        <v>66.900000000000006</v>
      </c>
      <c r="BB41" s="50">
        <v>67</v>
      </c>
      <c r="BC41" s="50">
        <v>7857</v>
      </c>
      <c r="BD41" s="49">
        <v>89.25</v>
      </c>
      <c r="BE41" s="49">
        <v>13.93</v>
      </c>
      <c r="BF41" s="49">
        <v>12.98</v>
      </c>
      <c r="BG41" s="49">
        <v>26.68</v>
      </c>
      <c r="BH41" s="49">
        <v>26.49</v>
      </c>
      <c r="BI41" s="50">
        <v>65.542000000000002</v>
      </c>
      <c r="BJ41" s="49">
        <v>82.534000000000006</v>
      </c>
      <c r="BK41" s="50">
        <v>63.746000000000002</v>
      </c>
      <c r="BL41" s="49">
        <v>79.683999999999997</v>
      </c>
      <c r="BM41" s="49">
        <v>79.951999999999998</v>
      </c>
      <c r="BN41" s="50">
        <v>130.71199999999999</v>
      </c>
      <c r="BO41" s="50">
        <v>124.98399999999999</v>
      </c>
      <c r="BP41" s="49">
        <v>120.47199999999999</v>
      </c>
      <c r="BQ41" s="49">
        <v>125.896</v>
      </c>
      <c r="BR41" s="49">
        <v>58.904000000000003</v>
      </c>
      <c r="BS41" s="49">
        <v>25.9</v>
      </c>
      <c r="BT41" s="49">
        <v>7161.17</v>
      </c>
      <c r="BU41" s="49">
        <v>26.334</v>
      </c>
      <c r="BV41" s="50">
        <v>54.689</v>
      </c>
      <c r="BW41" s="49">
        <v>55.436999999999998</v>
      </c>
      <c r="BX41" s="50">
        <v>56.747</v>
      </c>
      <c r="BY41" s="49">
        <v>1.35</v>
      </c>
      <c r="BZ41" s="49">
        <v>2.5870000000000002</v>
      </c>
      <c r="CA41" s="50">
        <v>3.706</v>
      </c>
      <c r="CB41" s="49">
        <v>2.7010000000000001</v>
      </c>
      <c r="CC41" s="50">
        <v>0.99399999999999999</v>
      </c>
      <c r="CD41" s="49">
        <v>2.2919999999999998</v>
      </c>
      <c r="CE41" s="50">
        <v>1.3759999999999999</v>
      </c>
      <c r="CF41" s="50">
        <v>2.1739999999999999</v>
      </c>
      <c r="CG41" s="49">
        <v>13.856999999999999</v>
      </c>
      <c r="CH41" s="50">
        <v>10.138999999999999</v>
      </c>
      <c r="CI41" s="50">
        <v>3.32</v>
      </c>
      <c r="CJ41" s="49">
        <v>2.2810000000000001</v>
      </c>
      <c r="CK41" s="49">
        <v>1.018</v>
      </c>
      <c r="CL41" s="49">
        <v>0</v>
      </c>
      <c r="CM41" s="49">
        <v>0.1</v>
      </c>
      <c r="CN41" s="50">
        <v>0</v>
      </c>
      <c r="CO41" s="50">
        <v>0</v>
      </c>
      <c r="CP41" s="50">
        <v>110.116</v>
      </c>
      <c r="CQ41" s="50">
        <v>104.36199999999999</v>
      </c>
      <c r="CR41" s="49">
        <v>91.070999999999998</v>
      </c>
      <c r="CS41" s="49">
        <v>93.119</v>
      </c>
      <c r="CT41" s="49">
        <v>0.34899999999999998</v>
      </c>
      <c r="CU41" s="49">
        <v>1.097</v>
      </c>
      <c r="CV41" s="49">
        <v>1.694</v>
      </c>
      <c r="CW41" s="49">
        <v>0.8</v>
      </c>
      <c r="CX41" s="49">
        <v>1.097</v>
      </c>
      <c r="CY41" s="49">
        <v>1.3959999999999999</v>
      </c>
      <c r="CZ41" s="49">
        <v>1.2949999999999999</v>
      </c>
      <c r="DA41" s="49">
        <v>0.69699999999999995</v>
      </c>
      <c r="DB41" s="49">
        <v>1.8939999999999999</v>
      </c>
      <c r="DC41" s="50">
        <v>0</v>
      </c>
      <c r="DD41" s="50">
        <v>0</v>
      </c>
      <c r="DE41" s="49">
        <v>0.04</v>
      </c>
      <c r="DF41" s="49">
        <v>5.6000000000000001E-2</v>
      </c>
      <c r="DG41" s="49">
        <v>0.28799999999999998</v>
      </c>
      <c r="DH41" s="50">
        <v>2.0699999999999998</v>
      </c>
      <c r="DI41" s="49">
        <v>1.075</v>
      </c>
      <c r="DJ41" s="49">
        <v>0.28999999999999998</v>
      </c>
      <c r="DK41" s="49">
        <v>0.80500000000000005</v>
      </c>
      <c r="DL41" s="50">
        <v>0.40799999999999997</v>
      </c>
      <c r="DM41" s="49">
        <v>0.48299999999999998</v>
      </c>
      <c r="DN41" s="49">
        <v>0.34799999999999998</v>
      </c>
      <c r="DO41" s="49">
        <v>0.36</v>
      </c>
      <c r="DP41" s="49">
        <v>64.302999999999997</v>
      </c>
      <c r="DQ41" s="49">
        <v>61.164999999999999</v>
      </c>
      <c r="DR41" s="49">
        <v>53.951999999999998</v>
      </c>
      <c r="DS41" s="49">
        <v>53.353999999999999</v>
      </c>
      <c r="DT41" s="49">
        <v>0.75</v>
      </c>
      <c r="DU41" s="49">
        <v>0.84</v>
      </c>
      <c r="DV41" s="49">
        <v>1.91</v>
      </c>
      <c r="DW41" s="49">
        <v>1.68</v>
      </c>
      <c r="DX41" s="49">
        <v>0.79</v>
      </c>
      <c r="DY41" s="49">
        <v>0.83</v>
      </c>
      <c r="DZ41" s="49">
        <v>1.82</v>
      </c>
      <c r="EA41" s="49">
        <v>1.65</v>
      </c>
      <c r="EB41" s="49">
        <v>13.88</v>
      </c>
      <c r="EC41" s="49">
        <v>16.11</v>
      </c>
      <c r="ED41" s="49">
        <v>22.7</v>
      </c>
      <c r="EE41" s="49">
        <v>11.09</v>
      </c>
      <c r="EF41" s="50">
        <v>84.58</v>
      </c>
      <c r="EG41" s="50">
        <v>82.22</v>
      </c>
      <c r="EH41" s="50">
        <v>73.56</v>
      </c>
      <c r="EI41" s="50">
        <v>85.58</v>
      </c>
      <c r="EJ41" s="49">
        <v>4.8289999999999997</v>
      </c>
      <c r="EK41" s="49">
        <v>51.146000000000001</v>
      </c>
      <c r="EL41" s="50">
        <v>2.2000000000000002</v>
      </c>
      <c r="EM41" s="50">
        <v>1.55</v>
      </c>
      <c r="EN41" s="49">
        <v>1.06</v>
      </c>
      <c r="EO41" s="49">
        <v>1.06</v>
      </c>
      <c r="EP41" s="50">
        <v>-107.682</v>
      </c>
      <c r="EQ41" s="49">
        <v>-0.375</v>
      </c>
      <c r="ER41" s="50">
        <v>142.27000000000001</v>
      </c>
      <c r="ES41" s="49">
        <v>0.23400000000000001</v>
      </c>
      <c r="ET41" s="49">
        <v>0.253</v>
      </c>
      <c r="EU41" s="49">
        <v>0.22600000000000001</v>
      </c>
      <c r="EV41" s="49">
        <v>7.766</v>
      </c>
      <c r="EW41" s="49">
        <v>1.8080000000000001</v>
      </c>
      <c r="EX41" s="49">
        <v>-364.1</v>
      </c>
      <c r="EY41" s="49">
        <v>0</v>
      </c>
      <c r="EZ41" s="49">
        <v>0</v>
      </c>
      <c r="FA41" s="50">
        <v>0</v>
      </c>
      <c r="FB41" s="49">
        <v>1.3740000000000001</v>
      </c>
      <c r="FC41" s="50">
        <v>71.257000000000005</v>
      </c>
      <c r="FD41" s="50">
        <v>67.998999999999995</v>
      </c>
      <c r="FE41" s="50">
        <v>78.394999999999996</v>
      </c>
      <c r="FF41" s="50">
        <v>77.572000000000003</v>
      </c>
      <c r="FG41" s="50">
        <v>1.016</v>
      </c>
      <c r="FH41" s="50">
        <v>1.016</v>
      </c>
      <c r="FI41" s="49">
        <v>1.0009999999999999</v>
      </c>
      <c r="FJ41" s="49">
        <v>1.0009999999999999</v>
      </c>
      <c r="FK41" s="50">
        <v>0.40200000000000002</v>
      </c>
      <c r="FL41" s="50">
        <v>85</v>
      </c>
      <c r="FM41" s="49">
        <v>3.58</v>
      </c>
      <c r="FN41" s="50">
        <v>-0.93</v>
      </c>
      <c r="FO41" s="49">
        <v>5.53</v>
      </c>
      <c r="FP41" s="50">
        <v>0.15</v>
      </c>
      <c r="FQ41" s="50">
        <v>0.7</v>
      </c>
      <c r="FR41" s="49">
        <v>5.15</v>
      </c>
      <c r="FS41" s="49">
        <v>6.6905000000000001</v>
      </c>
      <c r="FT41" s="49">
        <v>1072.2</v>
      </c>
      <c r="FU41" s="49">
        <v>6.27</v>
      </c>
      <c r="FV41" s="49">
        <v>5.7</v>
      </c>
      <c r="FW41" s="49">
        <v>3155.5</v>
      </c>
      <c r="FX41" s="49">
        <v>164800</v>
      </c>
      <c r="FY41" s="49">
        <v>165000</v>
      </c>
      <c r="FZ41" s="49">
        <v>49.418999999999997</v>
      </c>
      <c r="GA41" s="49">
        <v>48.834000000000003</v>
      </c>
      <c r="GB41" s="49">
        <v>2156.5</v>
      </c>
      <c r="GC41" s="50">
        <v>2329.5</v>
      </c>
      <c r="GD41" s="50">
        <v>2277.6</v>
      </c>
      <c r="GE41" s="50">
        <v>2329.5</v>
      </c>
      <c r="GF41" s="49">
        <v>1458.5</v>
      </c>
      <c r="GG41" s="50">
        <v>36</v>
      </c>
      <c r="GH41" s="50">
        <v>35.700000000000003</v>
      </c>
      <c r="GI41" s="50">
        <v>82.2</v>
      </c>
      <c r="GJ41" s="50">
        <v>83.6</v>
      </c>
      <c r="GK41" s="50">
        <v>96.5</v>
      </c>
      <c r="GL41" s="49">
        <v>78.2</v>
      </c>
      <c r="GM41" s="50">
        <v>0</v>
      </c>
      <c r="GN41" s="49">
        <v>27.126000000000001</v>
      </c>
      <c r="GO41" s="50">
        <v>142.27000000000001</v>
      </c>
      <c r="GP41" s="50">
        <v>0</v>
      </c>
      <c r="GQ41" s="50">
        <v>4.0119999999999996</v>
      </c>
      <c r="GR41" s="50">
        <v>0</v>
      </c>
      <c r="GS41" s="50">
        <v>4.5430000000000001</v>
      </c>
      <c r="GT41" s="50">
        <v>0</v>
      </c>
      <c r="GU41" s="50">
        <v>4.0709999999999997</v>
      </c>
      <c r="GV41" s="50">
        <v>0</v>
      </c>
      <c r="GW41" s="49">
        <v>2.145</v>
      </c>
      <c r="GX41" s="50">
        <v>22.54</v>
      </c>
      <c r="GY41" s="50">
        <v>0</v>
      </c>
      <c r="GZ41" s="50">
        <v>0</v>
      </c>
      <c r="HA41" s="50">
        <v>0</v>
      </c>
      <c r="HB41" s="50">
        <v>1</v>
      </c>
      <c r="HC41" s="49">
        <v>16.163</v>
      </c>
      <c r="HD41" s="50">
        <v>86</v>
      </c>
      <c r="HE41" s="50">
        <v>0</v>
      </c>
      <c r="HF41" s="50">
        <v>0</v>
      </c>
      <c r="HG41" s="49">
        <v>74.52</v>
      </c>
      <c r="HH41" s="50">
        <v>100</v>
      </c>
      <c r="HI41" s="50">
        <v>0</v>
      </c>
      <c r="HJ41" s="50">
        <v>0</v>
      </c>
      <c r="HK41" s="50">
        <v>0</v>
      </c>
      <c r="HL41" s="50">
        <v>72</v>
      </c>
      <c r="HM41" s="50">
        <v>56</v>
      </c>
      <c r="HN41" s="50">
        <v>70</v>
      </c>
      <c r="HO41" s="50">
        <v>61</v>
      </c>
      <c r="HP41" s="50">
        <v>60</v>
      </c>
      <c r="HQ41" s="50">
        <v>59</v>
      </c>
      <c r="HR41" s="50">
        <v>56</v>
      </c>
      <c r="HS41" s="50">
        <v>62</v>
      </c>
      <c r="HT41" s="49">
        <v>-1.3145</v>
      </c>
      <c r="HU41" s="50">
        <v>0</v>
      </c>
      <c r="HV41" s="49">
        <v>-0.32500000000000001</v>
      </c>
      <c r="HW41" s="50">
        <v>40.619999999999997</v>
      </c>
      <c r="HX41" s="50">
        <v>55.17</v>
      </c>
      <c r="HY41" s="3"/>
      <c r="HZ41" s="3"/>
      <c r="IA41" s="49">
        <v>2.2949999999999999</v>
      </c>
      <c r="IB41" s="49">
        <v>89</v>
      </c>
      <c r="IC41" s="49">
        <v>16.997</v>
      </c>
      <c r="ID41" s="50">
        <v>-4.2000000000000003E-2</v>
      </c>
      <c r="IE41" s="50">
        <v>-1.7999999999999999E-2</v>
      </c>
      <c r="IF41" s="49">
        <v>795.1</v>
      </c>
      <c r="IG41" s="49">
        <v>314.60000000000002</v>
      </c>
      <c r="IH41" s="49">
        <v>806.6</v>
      </c>
      <c r="II41" s="49">
        <v>335.7</v>
      </c>
      <c r="IJ41" s="49">
        <v>2.1999999999999999E-2</v>
      </c>
      <c r="IK41" s="49">
        <v>1.2999999999999999E-2</v>
      </c>
      <c r="IL41" s="50">
        <v>1344.675</v>
      </c>
      <c r="IM41" s="50">
        <v>1344.5160000000001</v>
      </c>
      <c r="IN41" s="50">
        <v>21.2</v>
      </c>
      <c r="IO41" s="49">
        <v>5.6000000000000001E-2</v>
      </c>
      <c r="IP41" s="50">
        <v>10.52</v>
      </c>
      <c r="IQ41" s="50">
        <v>3.4000000000000002E-2</v>
      </c>
      <c r="IR41" s="50">
        <v>3.4000000000000002E-2</v>
      </c>
      <c r="IS41">
        <v>0.3640000000000001</v>
      </c>
      <c r="IT41">
        <v>0.21900000000000008</v>
      </c>
    </row>
    <row r="42" spans="2:254" x14ac:dyDescent="0.25">
      <c r="B42" s="2" t="s">
        <v>412</v>
      </c>
      <c r="C42" s="62" t="s">
        <v>42</v>
      </c>
      <c r="D42" s="63">
        <v>2.4829861111111112E-3</v>
      </c>
      <c r="E42" s="49">
        <v>214.57</v>
      </c>
      <c r="F42" s="50">
        <v>332.83</v>
      </c>
      <c r="G42" s="49">
        <v>5.78</v>
      </c>
      <c r="H42" s="49">
        <v>28.1</v>
      </c>
      <c r="I42" s="50">
        <v>0</v>
      </c>
      <c r="J42" s="49">
        <v>18.399999999999999</v>
      </c>
      <c r="K42" s="49">
        <v>7</v>
      </c>
      <c r="L42" s="49">
        <v>7</v>
      </c>
      <c r="M42" s="50">
        <v>6</v>
      </c>
      <c r="N42" s="50">
        <v>3</v>
      </c>
      <c r="O42" s="50">
        <v>3</v>
      </c>
      <c r="P42" s="49">
        <v>0.81799999999999995</v>
      </c>
      <c r="Q42" s="49">
        <v>1.1020000000000001</v>
      </c>
      <c r="R42" s="49">
        <v>0.81799999999999995</v>
      </c>
      <c r="S42" s="50">
        <v>0.879</v>
      </c>
      <c r="T42" s="49">
        <v>78.88</v>
      </c>
      <c r="U42" s="49">
        <v>61.45</v>
      </c>
      <c r="V42" s="49">
        <v>223.34</v>
      </c>
      <c r="W42" s="49">
        <v>223.34</v>
      </c>
      <c r="X42" s="49">
        <v>152.5</v>
      </c>
      <c r="Y42" s="49">
        <v>197.5</v>
      </c>
      <c r="Z42" s="49">
        <v>361.02</v>
      </c>
      <c r="AA42" s="49">
        <v>360.76</v>
      </c>
      <c r="AB42" s="49">
        <v>260.39</v>
      </c>
      <c r="AC42" s="49">
        <v>323.61</v>
      </c>
      <c r="AD42" s="49">
        <v>1.7569999999999999</v>
      </c>
      <c r="AE42" s="49">
        <v>1.829</v>
      </c>
      <c r="AF42" s="49">
        <v>1.704</v>
      </c>
      <c r="AG42" s="49">
        <v>1.736</v>
      </c>
      <c r="AH42" s="49">
        <v>77.489999999999995</v>
      </c>
      <c r="AI42" s="49">
        <v>75.599999999999994</v>
      </c>
      <c r="AJ42" s="49">
        <v>96.11</v>
      </c>
      <c r="AK42" s="49">
        <v>92.83</v>
      </c>
      <c r="AL42" s="49">
        <v>605.79</v>
      </c>
      <c r="AM42" s="50">
        <v>647.18600000000004</v>
      </c>
      <c r="AN42" s="49">
        <v>730.47199999999998</v>
      </c>
      <c r="AO42" s="49">
        <v>706.95699999999999</v>
      </c>
      <c r="AP42" s="49">
        <v>1.381</v>
      </c>
      <c r="AQ42" s="49">
        <v>1.861</v>
      </c>
      <c r="AR42" s="50">
        <v>41.765999999999998</v>
      </c>
      <c r="AS42" s="49">
        <v>39.930999999999997</v>
      </c>
      <c r="AT42" s="49">
        <v>83</v>
      </c>
      <c r="AU42" s="49">
        <v>113</v>
      </c>
      <c r="AV42" s="49">
        <v>1.9355</v>
      </c>
      <c r="AW42" s="50">
        <v>5.1951000000000001</v>
      </c>
      <c r="AX42" s="49">
        <v>1017</v>
      </c>
      <c r="AY42" s="49">
        <v>2.27</v>
      </c>
      <c r="AZ42" s="50">
        <v>5.68</v>
      </c>
      <c r="BA42" s="49">
        <v>139.71600000000001</v>
      </c>
      <c r="BB42" s="49">
        <v>140.19800000000001</v>
      </c>
      <c r="BC42" s="49">
        <v>7735</v>
      </c>
      <c r="BD42" s="49">
        <v>88</v>
      </c>
      <c r="BE42" s="49">
        <v>14.404999999999999</v>
      </c>
      <c r="BF42" s="49">
        <v>13.305</v>
      </c>
      <c r="BG42" s="49">
        <v>27.59</v>
      </c>
      <c r="BH42" s="49">
        <v>25.56</v>
      </c>
      <c r="BI42" s="3"/>
      <c r="BJ42" s="3"/>
      <c r="BK42" s="3"/>
      <c r="BL42" s="3"/>
      <c r="BM42" s="3"/>
      <c r="BN42" s="49">
        <v>97.272000000000006</v>
      </c>
      <c r="BO42" s="49">
        <v>95.64</v>
      </c>
      <c r="BP42" s="49">
        <v>114.232</v>
      </c>
      <c r="BQ42" s="49">
        <v>118.648</v>
      </c>
      <c r="BR42" s="3"/>
      <c r="BS42" s="49">
        <v>27.7</v>
      </c>
      <c r="BT42" s="49">
        <v>7434.0829999999996</v>
      </c>
      <c r="BU42" s="50">
        <v>50.265000000000001</v>
      </c>
      <c r="BV42" s="49">
        <v>53.872999999999998</v>
      </c>
      <c r="BW42" s="49">
        <v>53.564999999999998</v>
      </c>
      <c r="BX42" s="49">
        <v>55.298000000000002</v>
      </c>
      <c r="BY42" s="49">
        <v>1.298</v>
      </c>
      <c r="BZ42" s="49">
        <v>2.9249999999999998</v>
      </c>
      <c r="CA42" s="49">
        <v>3.5609999999999999</v>
      </c>
      <c r="CB42" s="50">
        <v>3.1629999999999998</v>
      </c>
      <c r="CC42" s="49">
        <v>0.96</v>
      </c>
      <c r="CD42" s="49">
        <v>2.37</v>
      </c>
      <c r="CE42" s="49">
        <v>1.2450000000000001</v>
      </c>
      <c r="CF42" s="49">
        <v>2.097</v>
      </c>
      <c r="CG42" s="49">
        <v>13.951000000000001</v>
      </c>
      <c r="CH42" s="49">
        <v>13.8</v>
      </c>
      <c r="CI42" s="49">
        <v>3.105</v>
      </c>
      <c r="CJ42" s="50">
        <v>3.41</v>
      </c>
      <c r="CK42" s="50">
        <v>1.4510000000000001</v>
      </c>
      <c r="CL42" s="49">
        <v>0</v>
      </c>
      <c r="CM42" s="50">
        <v>1.2</v>
      </c>
      <c r="CN42" s="50">
        <v>0</v>
      </c>
      <c r="CO42" s="50">
        <v>0</v>
      </c>
      <c r="CP42" s="49">
        <v>91.938000000000002</v>
      </c>
      <c r="CQ42" s="49">
        <v>90.022000000000006</v>
      </c>
      <c r="CR42" s="49">
        <v>103.726</v>
      </c>
      <c r="CS42" s="49">
        <v>109.252</v>
      </c>
      <c r="CT42" s="49">
        <v>0.32400000000000001</v>
      </c>
      <c r="CU42" s="49">
        <v>1.196</v>
      </c>
      <c r="CV42" s="49">
        <v>1.196</v>
      </c>
      <c r="CW42" s="49">
        <v>1.2010000000000001</v>
      </c>
      <c r="CX42" s="49">
        <v>1.5980000000000001</v>
      </c>
      <c r="CY42" s="49">
        <v>1.0960000000000001</v>
      </c>
      <c r="CZ42" s="49">
        <v>1.101</v>
      </c>
      <c r="DA42" s="49">
        <v>0.6</v>
      </c>
      <c r="DB42" s="49">
        <v>1.5980000000000001</v>
      </c>
      <c r="DC42" s="50">
        <v>0</v>
      </c>
      <c r="DD42" s="50">
        <v>0</v>
      </c>
      <c r="DE42" s="50">
        <v>0.30299999999999999</v>
      </c>
      <c r="DF42" s="50">
        <v>0.17599999999999999</v>
      </c>
      <c r="DG42" s="50">
        <v>1.101</v>
      </c>
      <c r="DH42" s="49">
        <v>1.891</v>
      </c>
      <c r="DI42" s="50">
        <v>1.1120000000000001</v>
      </c>
      <c r="DJ42" s="49">
        <v>0.27400000000000002</v>
      </c>
      <c r="DK42" s="49">
        <v>0.76900000000000002</v>
      </c>
      <c r="DL42" s="49">
        <v>0.40600000000000003</v>
      </c>
      <c r="DM42" s="49">
        <v>-0.01</v>
      </c>
      <c r="DN42" s="49">
        <v>-2.4929999999999999</v>
      </c>
      <c r="DO42" s="49">
        <v>0.27100000000000002</v>
      </c>
      <c r="DP42" s="49">
        <v>63.87</v>
      </c>
      <c r="DQ42" s="50">
        <v>62.222999999999999</v>
      </c>
      <c r="DR42" s="49">
        <v>54.302</v>
      </c>
      <c r="DS42" s="49">
        <v>53.509</v>
      </c>
      <c r="DT42" s="50">
        <v>5.86</v>
      </c>
      <c r="DU42" s="50">
        <v>6.08</v>
      </c>
      <c r="DV42" s="50">
        <v>14.4</v>
      </c>
      <c r="DW42" s="50">
        <v>12.26</v>
      </c>
      <c r="DX42" s="50">
        <v>6.34</v>
      </c>
      <c r="DY42" s="50">
        <v>6.45</v>
      </c>
      <c r="DZ42" s="50">
        <v>14.12</v>
      </c>
      <c r="EA42" s="50">
        <v>12.37</v>
      </c>
      <c r="EB42" s="49">
        <v>43.11</v>
      </c>
      <c r="EC42" s="49">
        <v>41.71</v>
      </c>
      <c r="ED42" s="49">
        <v>31.69</v>
      </c>
      <c r="EE42" s="49">
        <v>33.619999999999997</v>
      </c>
      <c r="EF42" s="49">
        <v>44.7</v>
      </c>
      <c r="EG42" s="49">
        <v>45.76</v>
      </c>
      <c r="EH42" s="49">
        <v>39.79</v>
      </c>
      <c r="EI42" s="49">
        <v>41.75</v>
      </c>
      <c r="EJ42" s="49">
        <v>5.5839999999999996</v>
      </c>
      <c r="EK42" s="49">
        <v>59.274000000000001</v>
      </c>
      <c r="EL42" s="49">
        <v>2.1</v>
      </c>
      <c r="EM42" s="49">
        <v>1.6</v>
      </c>
      <c r="EN42" s="49">
        <v>1.23</v>
      </c>
      <c r="EO42" s="49">
        <v>1.23</v>
      </c>
      <c r="EP42" s="49">
        <v>-98.63</v>
      </c>
      <c r="EQ42" s="49">
        <v>-2.6909999999999998</v>
      </c>
      <c r="ER42" s="49">
        <v>99.93</v>
      </c>
      <c r="ES42" s="49">
        <v>1.474</v>
      </c>
      <c r="ET42" s="49">
        <v>1.6240000000000001</v>
      </c>
      <c r="EU42" s="49">
        <v>1.4379999999999999</v>
      </c>
      <c r="EV42" s="49">
        <v>7.4569999999999999</v>
      </c>
      <c r="EW42" s="49">
        <v>1.7410000000000001</v>
      </c>
      <c r="EX42" s="49">
        <v>70.78</v>
      </c>
      <c r="EY42" s="49">
        <v>0</v>
      </c>
      <c r="EZ42" s="50">
        <v>1.482</v>
      </c>
      <c r="FA42" s="50">
        <v>0</v>
      </c>
      <c r="FB42" s="49">
        <v>9.09</v>
      </c>
      <c r="FC42" s="49">
        <v>66.611000000000004</v>
      </c>
      <c r="FD42" s="49">
        <v>63.091999999999999</v>
      </c>
      <c r="FE42" s="49">
        <v>72.366</v>
      </c>
      <c r="FF42" s="49">
        <v>71.152000000000001</v>
      </c>
      <c r="FG42" s="49">
        <v>0.91300000000000003</v>
      </c>
      <c r="FH42" s="49">
        <v>0.91400000000000003</v>
      </c>
      <c r="FI42" s="49">
        <v>0.996</v>
      </c>
      <c r="FJ42" s="49">
        <v>0.999</v>
      </c>
      <c r="FK42" s="49">
        <v>0</v>
      </c>
      <c r="FL42" s="49">
        <v>83</v>
      </c>
      <c r="FM42" s="50">
        <v>3.67</v>
      </c>
      <c r="FN42" s="49">
        <v>0.13</v>
      </c>
      <c r="FO42" s="50">
        <v>5.43</v>
      </c>
      <c r="FP42" s="3"/>
      <c r="FQ42" s="49">
        <v>4.7</v>
      </c>
      <c r="FR42" s="50">
        <v>5</v>
      </c>
      <c r="FS42" s="49">
        <v>6.6974999999999998</v>
      </c>
      <c r="FT42" s="49">
        <v>1079.5</v>
      </c>
      <c r="FU42" s="49">
        <v>6.84</v>
      </c>
      <c r="FV42" s="49">
        <v>11.48</v>
      </c>
      <c r="FW42" s="50">
        <v>3163.5</v>
      </c>
      <c r="FX42" s="49">
        <v>162400</v>
      </c>
      <c r="FY42" s="49">
        <v>162900</v>
      </c>
      <c r="FZ42" s="49">
        <v>48.268000000000001</v>
      </c>
      <c r="GA42" s="49">
        <v>47.744999999999997</v>
      </c>
      <c r="GB42" s="50">
        <v>2223.6999999999998</v>
      </c>
      <c r="GC42" s="49">
        <v>2151.3000000000002</v>
      </c>
      <c r="GD42" s="49">
        <v>2223.6999999999998</v>
      </c>
      <c r="GE42" s="49">
        <v>2185.8000000000002</v>
      </c>
      <c r="GF42" s="49">
        <v>1216.5469000000001</v>
      </c>
      <c r="GG42" s="49">
        <v>31</v>
      </c>
      <c r="GH42" s="49">
        <v>31.4</v>
      </c>
      <c r="GI42" s="49">
        <v>55</v>
      </c>
      <c r="GJ42" s="49">
        <v>58.7</v>
      </c>
      <c r="GK42" s="49">
        <v>99.5</v>
      </c>
      <c r="GL42" s="49">
        <v>78.7</v>
      </c>
      <c r="GM42" s="50">
        <v>0</v>
      </c>
      <c r="GN42" s="49">
        <v>26.463999999999999</v>
      </c>
      <c r="GO42" s="49">
        <v>99.93</v>
      </c>
      <c r="GP42" s="49">
        <v>0.53100000000000003</v>
      </c>
      <c r="GQ42" s="49">
        <v>2.0649999999999999</v>
      </c>
      <c r="GR42" s="49">
        <v>0.82599999999999996</v>
      </c>
      <c r="GS42" s="49">
        <v>2.0059999999999998</v>
      </c>
      <c r="GT42" s="49">
        <v>0.70799999999999996</v>
      </c>
      <c r="GU42" s="49">
        <v>1.8879999999999999</v>
      </c>
      <c r="GV42" s="49">
        <v>12.837999999999999</v>
      </c>
      <c r="GW42" s="49">
        <v>13.926</v>
      </c>
      <c r="GX42" s="49">
        <v>14.994</v>
      </c>
      <c r="GY42" s="50">
        <v>0</v>
      </c>
      <c r="GZ42" s="50">
        <v>0</v>
      </c>
      <c r="HA42" s="50">
        <v>0</v>
      </c>
      <c r="HB42" s="49">
        <v>0</v>
      </c>
      <c r="HC42" s="49">
        <v>23.097999999999999</v>
      </c>
      <c r="HD42" s="49">
        <v>78</v>
      </c>
      <c r="HE42" s="50">
        <v>0</v>
      </c>
      <c r="HF42" s="50">
        <v>0</v>
      </c>
      <c r="HG42" s="49">
        <v>76.06</v>
      </c>
      <c r="HH42" s="49">
        <v>82.76</v>
      </c>
      <c r="HI42" s="50">
        <v>0</v>
      </c>
      <c r="HJ42" s="50">
        <v>0</v>
      </c>
      <c r="HK42" s="50">
        <v>0</v>
      </c>
      <c r="HL42" s="49">
        <v>63</v>
      </c>
      <c r="HM42" s="49">
        <v>55</v>
      </c>
      <c r="HN42" s="49">
        <v>61</v>
      </c>
      <c r="HO42" s="49">
        <v>55</v>
      </c>
      <c r="HP42" s="49">
        <v>58</v>
      </c>
      <c r="HQ42" s="49">
        <v>56</v>
      </c>
      <c r="HR42" s="49">
        <v>48</v>
      </c>
      <c r="HS42" s="50">
        <v>62</v>
      </c>
      <c r="HT42" s="49">
        <v>-1.323</v>
      </c>
      <c r="HU42" s="50">
        <v>0</v>
      </c>
      <c r="HV42" s="50">
        <v>1.119</v>
      </c>
      <c r="HW42" s="50">
        <v>40.619999999999997</v>
      </c>
      <c r="HX42" s="50">
        <v>55.17</v>
      </c>
      <c r="HY42" s="50">
        <v>51.19</v>
      </c>
      <c r="HZ42" s="50">
        <v>62.52</v>
      </c>
      <c r="IA42" s="49">
        <v>2.6709999999999998</v>
      </c>
      <c r="IB42" s="50">
        <v>104</v>
      </c>
      <c r="IC42" s="49">
        <v>22.163</v>
      </c>
      <c r="ID42" s="49">
        <v>-0.378</v>
      </c>
      <c r="IE42" s="49">
        <v>-0.16500000000000001</v>
      </c>
      <c r="IF42" s="49">
        <v>807.8</v>
      </c>
      <c r="IG42" s="50">
        <v>752.2</v>
      </c>
      <c r="IH42" s="49">
        <v>813</v>
      </c>
      <c r="II42" s="49">
        <v>761.9</v>
      </c>
      <c r="IJ42" s="50">
        <v>0.107</v>
      </c>
      <c r="IK42" s="49">
        <v>3.5999999999999997E-2</v>
      </c>
      <c r="IL42" s="49">
        <v>76.426000000000002</v>
      </c>
      <c r="IM42" s="49">
        <v>76.426000000000002</v>
      </c>
      <c r="IN42" s="49">
        <v>10.122</v>
      </c>
      <c r="IO42" s="49">
        <v>0.32200000000000001</v>
      </c>
      <c r="IP42" s="49">
        <v>9.99</v>
      </c>
      <c r="IQ42" s="49">
        <v>1.2E-2</v>
      </c>
      <c r="IR42" s="49">
        <v>8.9999999999999993E-3</v>
      </c>
      <c r="IS42">
        <v>0.37600000000000011</v>
      </c>
      <c r="IT42">
        <v>0.22800000000000009</v>
      </c>
    </row>
    <row r="43" spans="2:254" x14ac:dyDescent="0.25">
      <c r="B43" s="2" t="s">
        <v>412</v>
      </c>
      <c r="C43" s="2" t="s">
        <v>43</v>
      </c>
      <c r="D43" s="61">
        <v>2.6239583333333336E-3</v>
      </c>
      <c r="E43" s="49">
        <v>226.76</v>
      </c>
      <c r="F43" s="49">
        <v>327.64</v>
      </c>
      <c r="G43" s="50">
        <v>5.84</v>
      </c>
      <c r="H43" s="49">
        <v>28.3</v>
      </c>
      <c r="I43" s="50">
        <v>0</v>
      </c>
      <c r="J43" s="49">
        <v>14.2</v>
      </c>
      <c r="K43" s="49">
        <v>8</v>
      </c>
      <c r="L43" s="49">
        <v>8</v>
      </c>
      <c r="M43" s="50">
        <v>6</v>
      </c>
      <c r="N43" s="50">
        <v>3</v>
      </c>
      <c r="O43" s="50">
        <v>3</v>
      </c>
      <c r="P43" s="50">
        <v>0.85</v>
      </c>
      <c r="Q43" s="50">
        <v>1.236</v>
      </c>
      <c r="R43" s="50">
        <v>0.86799999999999999</v>
      </c>
      <c r="S43" s="49">
        <v>0.72699999999999998</v>
      </c>
      <c r="T43" s="50">
        <v>86.41</v>
      </c>
      <c r="U43" s="49">
        <v>61.292999999999999</v>
      </c>
      <c r="V43" s="49">
        <v>233.34</v>
      </c>
      <c r="W43" s="49">
        <v>225</v>
      </c>
      <c r="X43" s="49">
        <v>152.5</v>
      </c>
      <c r="Y43" s="49">
        <v>195</v>
      </c>
      <c r="Z43" s="50">
        <v>382.86</v>
      </c>
      <c r="AA43" s="50">
        <v>375.49</v>
      </c>
      <c r="AB43" s="50">
        <v>280.35000000000002</v>
      </c>
      <c r="AC43" s="50">
        <v>341.88</v>
      </c>
      <c r="AD43" s="50">
        <v>1.7849999999999999</v>
      </c>
      <c r="AE43" s="49">
        <v>1.855</v>
      </c>
      <c r="AF43" s="50">
        <v>1.744</v>
      </c>
      <c r="AG43" s="50">
        <v>1.776</v>
      </c>
      <c r="AH43" s="50">
        <v>80.69</v>
      </c>
      <c r="AI43" s="50">
        <v>79.459999999999994</v>
      </c>
      <c r="AJ43" s="50">
        <v>100.37</v>
      </c>
      <c r="AK43" s="50">
        <v>97.71</v>
      </c>
      <c r="AL43" s="50">
        <v>630.88</v>
      </c>
      <c r="AM43" s="49">
        <v>636.29399999999998</v>
      </c>
      <c r="AN43" s="50">
        <v>749.77599999999995</v>
      </c>
      <c r="AO43" s="50">
        <v>746.52700000000004</v>
      </c>
      <c r="AP43" s="49">
        <v>1.359</v>
      </c>
      <c r="AQ43" s="49">
        <v>1.8280000000000001</v>
      </c>
      <c r="AR43" s="49">
        <v>41.360999999999997</v>
      </c>
      <c r="AS43" s="49">
        <v>39.531999999999996</v>
      </c>
      <c r="AT43" s="49">
        <v>83</v>
      </c>
      <c r="AU43" s="50">
        <v>117</v>
      </c>
      <c r="AV43" s="50">
        <v>1.8640000000000001</v>
      </c>
      <c r="AW43" s="49">
        <v>5.1772999999999998</v>
      </c>
      <c r="AX43" s="49">
        <v>1018.4</v>
      </c>
      <c r="AY43" s="49">
        <v>2.2599999999999998</v>
      </c>
      <c r="AZ43" s="49">
        <v>5.74</v>
      </c>
      <c r="BA43" s="49">
        <v>77.802999999999997</v>
      </c>
      <c r="BB43" s="49">
        <v>78.316999999999993</v>
      </c>
      <c r="BC43" s="49">
        <v>7813</v>
      </c>
      <c r="BD43" s="50">
        <v>89.5</v>
      </c>
      <c r="BE43" s="50">
        <v>16.89</v>
      </c>
      <c r="BF43" s="50">
        <v>15.025</v>
      </c>
      <c r="BG43" s="50">
        <v>28.42</v>
      </c>
      <c r="BH43" s="50">
        <v>27.53</v>
      </c>
      <c r="BI43" s="3"/>
      <c r="BJ43" s="3"/>
      <c r="BK43" s="3"/>
      <c r="BL43" s="3"/>
      <c r="BM43" s="3"/>
      <c r="BN43" s="49">
        <v>104.29600000000001</v>
      </c>
      <c r="BO43" s="49">
        <v>98.007999999999996</v>
      </c>
      <c r="BP43" s="49">
        <v>123.208</v>
      </c>
      <c r="BQ43" s="49">
        <v>125.208</v>
      </c>
      <c r="BR43" s="3"/>
      <c r="BS43" s="50">
        <v>28</v>
      </c>
      <c r="BT43" s="50">
        <v>7448.8360000000002</v>
      </c>
      <c r="BU43" s="49">
        <v>48.969000000000001</v>
      </c>
      <c r="BV43" s="49">
        <v>54.317</v>
      </c>
      <c r="BW43" s="49">
        <v>55.588000000000001</v>
      </c>
      <c r="BX43" s="49">
        <v>55.356000000000002</v>
      </c>
      <c r="BY43" s="50">
        <v>1.4330000000000001</v>
      </c>
      <c r="BZ43" s="50">
        <v>3.1389999999999998</v>
      </c>
      <c r="CA43" s="49">
        <v>3.6669999999999998</v>
      </c>
      <c r="CB43" s="49">
        <v>3.0750000000000002</v>
      </c>
      <c r="CC43" s="49">
        <v>0.93200000000000005</v>
      </c>
      <c r="CD43" s="50">
        <v>2.452</v>
      </c>
      <c r="CE43" s="49">
        <v>1.248</v>
      </c>
      <c r="CF43" s="49">
        <v>2.036</v>
      </c>
      <c r="CG43" s="49">
        <v>13.955</v>
      </c>
      <c r="CH43" s="49">
        <v>13.829000000000001</v>
      </c>
      <c r="CI43" s="49">
        <v>3.0259999999999998</v>
      </c>
      <c r="CJ43" s="49">
        <v>2.476</v>
      </c>
      <c r="CK43" s="49">
        <v>0.92900000000000005</v>
      </c>
      <c r="CL43" s="50">
        <v>0.1</v>
      </c>
      <c r="CM43" s="49">
        <v>0.8</v>
      </c>
      <c r="CN43" s="50">
        <v>0</v>
      </c>
      <c r="CO43" s="50">
        <v>0</v>
      </c>
      <c r="CP43" s="49">
        <v>96.620999999999995</v>
      </c>
      <c r="CQ43" s="49">
        <v>92.997</v>
      </c>
      <c r="CR43" s="50">
        <v>110.77200000000001</v>
      </c>
      <c r="CS43" s="50">
        <v>116.11199999999999</v>
      </c>
      <c r="CT43" s="50">
        <v>0.504</v>
      </c>
      <c r="CU43" s="49">
        <v>0.80200000000000005</v>
      </c>
      <c r="CV43" s="49">
        <v>0.99299999999999999</v>
      </c>
      <c r="CW43" s="49">
        <v>0.79900000000000004</v>
      </c>
      <c r="CX43" s="49">
        <v>1.401</v>
      </c>
      <c r="CY43" s="49">
        <v>0.79800000000000004</v>
      </c>
      <c r="CZ43" s="49">
        <v>0.90300000000000002</v>
      </c>
      <c r="DA43" s="49">
        <v>0.59899999999999998</v>
      </c>
      <c r="DB43" s="49">
        <v>1.3959999999999999</v>
      </c>
      <c r="DC43" s="50">
        <v>0</v>
      </c>
      <c r="DD43" s="50">
        <v>0</v>
      </c>
      <c r="DE43" s="49">
        <v>0.27400000000000002</v>
      </c>
      <c r="DF43" s="49">
        <v>0.13300000000000001</v>
      </c>
      <c r="DG43" s="49">
        <v>0.58599999999999997</v>
      </c>
      <c r="DH43" s="49">
        <v>1.66</v>
      </c>
      <c r="DI43" s="49">
        <v>0.94199999999999995</v>
      </c>
      <c r="DJ43" s="50">
        <v>0.35899999999999999</v>
      </c>
      <c r="DK43" s="50">
        <v>1.071</v>
      </c>
      <c r="DL43" s="49">
        <v>0.40500000000000003</v>
      </c>
      <c r="DM43" s="49">
        <v>0.503</v>
      </c>
      <c r="DN43" s="50">
        <v>0.63500000000000001</v>
      </c>
      <c r="DO43" s="49">
        <v>0.26400000000000001</v>
      </c>
      <c r="DP43" s="50">
        <v>69.557000000000002</v>
      </c>
      <c r="DQ43" s="49">
        <v>61.030999999999999</v>
      </c>
      <c r="DR43" s="50">
        <v>54.911999999999999</v>
      </c>
      <c r="DS43" s="49">
        <v>52.856999999999999</v>
      </c>
      <c r="DT43" s="49">
        <v>5.0999999999999996</v>
      </c>
      <c r="DU43" s="49">
        <v>4.9800000000000004</v>
      </c>
      <c r="DV43" s="49">
        <v>13.22</v>
      </c>
      <c r="DW43" s="49">
        <v>11.24</v>
      </c>
      <c r="DX43" s="49">
        <v>5.3</v>
      </c>
      <c r="DY43" s="49">
        <v>5.33</v>
      </c>
      <c r="DZ43" s="49">
        <v>12.66</v>
      </c>
      <c r="EA43" s="49">
        <v>11.31</v>
      </c>
      <c r="EB43" s="49">
        <v>42.71</v>
      </c>
      <c r="EC43" s="50">
        <v>42.62</v>
      </c>
      <c r="ED43" s="49">
        <v>31.4</v>
      </c>
      <c r="EE43" s="49">
        <v>33.89</v>
      </c>
      <c r="EF43" s="49">
        <v>46.89</v>
      </c>
      <c r="EG43" s="49">
        <v>47.07</v>
      </c>
      <c r="EH43" s="49">
        <v>42.72</v>
      </c>
      <c r="EI43" s="49">
        <v>43.56</v>
      </c>
      <c r="EJ43" s="49">
        <v>6.5279999999999996</v>
      </c>
      <c r="EK43" s="50">
        <v>59.902999999999999</v>
      </c>
      <c r="EL43" s="49">
        <v>2.0499999999999998</v>
      </c>
      <c r="EM43" s="49">
        <v>1.6</v>
      </c>
      <c r="EN43" s="49">
        <v>1.25</v>
      </c>
      <c r="EO43" s="49">
        <v>1.25</v>
      </c>
      <c r="EP43" s="49">
        <v>-106.22199999999999</v>
      </c>
      <c r="EQ43" s="49">
        <v>-2.6829999999999998</v>
      </c>
      <c r="ER43" s="49">
        <v>100.806</v>
      </c>
      <c r="ES43" s="49">
        <v>1.458</v>
      </c>
      <c r="ET43" s="49">
        <v>1.603</v>
      </c>
      <c r="EU43" s="49">
        <v>1.45</v>
      </c>
      <c r="EV43" s="50">
        <v>7.798</v>
      </c>
      <c r="EW43" s="50">
        <v>2.1629999999999998</v>
      </c>
      <c r="EX43" s="50">
        <v>71.52</v>
      </c>
      <c r="EY43" s="49">
        <v>3.9E-2</v>
      </c>
      <c r="EZ43" s="49">
        <v>0.34100000000000003</v>
      </c>
      <c r="FA43" s="50">
        <v>0</v>
      </c>
      <c r="FB43" s="49">
        <v>9.1890000000000001</v>
      </c>
      <c r="FC43" s="49">
        <v>70.453000000000003</v>
      </c>
      <c r="FD43" s="49">
        <v>66.210999999999999</v>
      </c>
      <c r="FE43" s="49">
        <v>76.94</v>
      </c>
      <c r="FF43" s="49">
        <v>75.924999999999997</v>
      </c>
      <c r="FG43" s="49">
        <v>0.91800000000000004</v>
      </c>
      <c r="FH43" s="49">
        <v>0.91800000000000004</v>
      </c>
      <c r="FI43" s="49">
        <v>0.997</v>
      </c>
      <c r="FJ43" s="49">
        <v>1.0009999999999999</v>
      </c>
      <c r="FK43" s="49">
        <v>0</v>
      </c>
      <c r="FL43" s="49">
        <v>83</v>
      </c>
      <c r="FM43" s="49">
        <v>3.6</v>
      </c>
      <c r="FN43" s="49">
        <v>0.06</v>
      </c>
      <c r="FO43" s="49">
        <v>5.46</v>
      </c>
      <c r="FP43" s="49">
        <v>4.1500000000000004</v>
      </c>
      <c r="FQ43" s="49">
        <v>4.5</v>
      </c>
      <c r="FR43" s="50">
        <v>5</v>
      </c>
      <c r="FS43" s="50">
        <v>6.7565</v>
      </c>
      <c r="FT43" s="50">
        <v>1081.9000000000001</v>
      </c>
      <c r="FU43" s="50">
        <v>6.9</v>
      </c>
      <c r="FV43" s="49">
        <v>17.32</v>
      </c>
      <c r="FW43" s="49">
        <v>3112.5</v>
      </c>
      <c r="FX43" s="49">
        <v>163500</v>
      </c>
      <c r="FY43" s="49">
        <v>164700</v>
      </c>
      <c r="FZ43" s="49">
        <v>47.792999999999999</v>
      </c>
      <c r="GA43" s="49">
        <v>47.201999999999998</v>
      </c>
      <c r="GB43" s="49">
        <v>2194.5</v>
      </c>
      <c r="GC43" s="49">
        <v>2216.1999999999998</v>
      </c>
      <c r="GD43" s="49">
        <v>2203.6999999999998</v>
      </c>
      <c r="GE43" s="49">
        <v>2216.1999999999998</v>
      </c>
      <c r="GF43" s="49">
        <v>1284.125</v>
      </c>
      <c r="GG43" s="49">
        <v>32</v>
      </c>
      <c r="GH43" s="49">
        <v>32.200000000000003</v>
      </c>
      <c r="GI43" s="49">
        <v>48.9</v>
      </c>
      <c r="GJ43" s="49">
        <v>54.1</v>
      </c>
      <c r="GK43" s="49">
        <v>99.5</v>
      </c>
      <c r="GL43" s="50">
        <v>87.3</v>
      </c>
      <c r="GM43" s="50">
        <v>0</v>
      </c>
      <c r="GN43" s="50">
        <v>28.202000000000002</v>
      </c>
      <c r="GO43" s="49">
        <v>106.22199999999999</v>
      </c>
      <c r="GP43" s="49">
        <v>0.53100000000000003</v>
      </c>
      <c r="GQ43" s="49">
        <v>1.9470000000000001</v>
      </c>
      <c r="GR43" s="49">
        <v>0.59</v>
      </c>
      <c r="GS43" s="49">
        <v>2.0059999999999998</v>
      </c>
      <c r="GT43" s="49">
        <v>0.59</v>
      </c>
      <c r="GU43" s="49">
        <v>1.8879999999999999</v>
      </c>
      <c r="GV43" s="49">
        <v>12.74</v>
      </c>
      <c r="GW43" s="49">
        <v>13.954000000000001</v>
      </c>
      <c r="GX43" s="49">
        <v>15.19</v>
      </c>
      <c r="GY43" s="50">
        <v>0</v>
      </c>
      <c r="GZ43" s="50">
        <v>0</v>
      </c>
      <c r="HA43" s="50">
        <v>0</v>
      </c>
      <c r="HB43" s="49">
        <v>0</v>
      </c>
      <c r="HC43" s="49">
        <v>23.331</v>
      </c>
      <c r="HD43" s="49">
        <v>82</v>
      </c>
      <c r="HE43" s="50">
        <v>0</v>
      </c>
      <c r="HF43" s="50">
        <v>0</v>
      </c>
      <c r="HG43" s="50">
        <v>78.3</v>
      </c>
      <c r="HH43" s="49">
        <v>83.22</v>
      </c>
      <c r="HI43" s="50">
        <v>0</v>
      </c>
      <c r="HJ43" s="50">
        <v>0</v>
      </c>
      <c r="HK43" s="50">
        <v>0</v>
      </c>
      <c r="HL43" s="49">
        <v>62</v>
      </c>
      <c r="HM43" s="49">
        <v>54</v>
      </c>
      <c r="HN43" s="49">
        <v>62</v>
      </c>
      <c r="HO43" s="49">
        <v>57</v>
      </c>
      <c r="HP43" s="49">
        <v>59</v>
      </c>
      <c r="HQ43" s="49">
        <v>58</v>
      </c>
      <c r="HR43" s="49">
        <v>49</v>
      </c>
      <c r="HS43" s="50">
        <v>62</v>
      </c>
      <c r="HT43" s="49">
        <v>-1.3125</v>
      </c>
      <c r="HU43" s="50">
        <v>0</v>
      </c>
      <c r="HV43" s="49">
        <v>0.74199999999999999</v>
      </c>
      <c r="HW43" s="49">
        <v>46.77</v>
      </c>
      <c r="HX43" s="49">
        <v>62.81</v>
      </c>
      <c r="HY43" s="49">
        <v>50.07</v>
      </c>
      <c r="HZ43" s="49">
        <v>55.69</v>
      </c>
      <c r="IA43" s="50">
        <v>2.8</v>
      </c>
      <c r="IB43" s="50">
        <v>104</v>
      </c>
      <c r="IC43" s="50">
        <v>22.349</v>
      </c>
      <c r="ID43" s="49">
        <v>-0.32900000000000001</v>
      </c>
      <c r="IE43" s="49">
        <v>-0.14299999999999999</v>
      </c>
      <c r="IF43" s="49">
        <v>804.3</v>
      </c>
      <c r="IG43" s="49">
        <v>750.2</v>
      </c>
      <c r="IH43" s="49">
        <v>813.5</v>
      </c>
      <c r="II43" s="50">
        <v>762.7</v>
      </c>
      <c r="IJ43" s="49">
        <v>9.9000000000000005E-2</v>
      </c>
      <c r="IK43" s="49">
        <v>1.9E-2</v>
      </c>
      <c r="IL43" s="49">
        <v>89.474999999999994</v>
      </c>
      <c r="IM43" s="49">
        <v>89.474999999999994</v>
      </c>
      <c r="IN43" s="49">
        <v>12.76</v>
      </c>
      <c r="IO43" s="50">
        <v>0.32800000000000001</v>
      </c>
      <c r="IP43" s="49">
        <v>9.91</v>
      </c>
      <c r="IQ43" s="49">
        <v>1.0999999999999999E-2</v>
      </c>
      <c r="IR43" s="49">
        <v>1.7000000000000001E-2</v>
      </c>
      <c r="IS43">
        <v>0.38700000000000012</v>
      </c>
      <c r="IT43">
        <v>0.24500000000000011</v>
      </c>
    </row>
    <row r="44" spans="2:254" x14ac:dyDescent="0.25">
      <c r="B44" s="2" t="s">
        <v>412</v>
      </c>
      <c r="C44" s="2" t="s">
        <v>44</v>
      </c>
      <c r="D44" s="61">
        <v>4.9342592592592589E-3</v>
      </c>
      <c r="E44" s="49">
        <v>426.31700000000001</v>
      </c>
      <c r="F44" s="49">
        <v>324.23</v>
      </c>
      <c r="G44" s="49">
        <v>-17.32</v>
      </c>
      <c r="H44" s="49">
        <v>28</v>
      </c>
      <c r="I44" s="50">
        <v>0</v>
      </c>
      <c r="J44" s="49">
        <v>13.3</v>
      </c>
      <c r="K44" s="49">
        <v>10</v>
      </c>
      <c r="L44" s="50">
        <v>9</v>
      </c>
      <c r="M44" s="50">
        <v>6</v>
      </c>
      <c r="N44" s="50">
        <v>3</v>
      </c>
      <c r="O44" s="50">
        <v>3</v>
      </c>
      <c r="P44" s="49">
        <v>0.68400000000000005</v>
      </c>
      <c r="Q44" s="49">
        <v>1.0620000000000001</v>
      </c>
      <c r="R44" s="49">
        <v>0.64600000000000002</v>
      </c>
      <c r="S44" s="3"/>
      <c r="T44" s="49">
        <v>67.55</v>
      </c>
      <c r="U44" s="49">
        <v>61.497999999999998</v>
      </c>
      <c r="V44" s="50">
        <v>80</v>
      </c>
      <c r="W44" s="50">
        <v>50</v>
      </c>
      <c r="X44" s="50">
        <v>90</v>
      </c>
      <c r="Y44" s="49">
        <v>100</v>
      </c>
      <c r="Z44" s="49">
        <v>199.88</v>
      </c>
      <c r="AA44" s="49">
        <v>195.06</v>
      </c>
      <c r="AB44" s="49">
        <v>143.19999999999999</v>
      </c>
      <c r="AC44" s="49">
        <v>170.12</v>
      </c>
      <c r="AD44" s="49">
        <v>1.665</v>
      </c>
      <c r="AE44" s="49">
        <v>1.758</v>
      </c>
      <c r="AF44" s="49">
        <v>1.5680000000000001</v>
      </c>
      <c r="AG44" s="49">
        <v>1.623</v>
      </c>
      <c r="AH44" s="49">
        <v>62.66</v>
      </c>
      <c r="AI44" s="49">
        <v>59.67</v>
      </c>
      <c r="AJ44" s="49">
        <v>74.239999999999995</v>
      </c>
      <c r="AK44" s="49">
        <v>74.34</v>
      </c>
      <c r="AL44" s="49">
        <v>504.18099999999998</v>
      </c>
      <c r="AM44" s="49">
        <v>558.85</v>
      </c>
      <c r="AN44" s="49">
        <v>675.47900000000004</v>
      </c>
      <c r="AO44" s="49">
        <v>658.45899999999995</v>
      </c>
      <c r="AP44" s="49">
        <v>1.3560000000000001</v>
      </c>
      <c r="AQ44" s="50">
        <v>1.8859999999999999</v>
      </c>
      <c r="AR44" s="49">
        <v>40.088000000000001</v>
      </c>
      <c r="AS44" s="50">
        <v>40.003</v>
      </c>
      <c r="AT44" s="49">
        <v>82</v>
      </c>
      <c r="AU44" s="49">
        <v>115</v>
      </c>
      <c r="AV44" s="49">
        <v>2.4710000000000001</v>
      </c>
      <c r="AW44" s="49">
        <v>5.1543000000000001</v>
      </c>
      <c r="AX44" s="49">
        <v>1009.5</v>
      </c>
      <c r="AY44" s="49">
        <v>2.23</v>
      </c>
      <c r="AZ44" s="49">
        <v>5.69</v>
      </c>
      <c r="BA44" s="49">
        <v>72.798000000000002</v>
      </c>
      <c r="BB44" s="49">
        <v>70.5</v>
      </c>
      <c r="BC44" s="49">
        <v>7669</v>
      </c>
      <c r="BD44" s="49">
        <v>88.25</v>
      </c>
      <c r="BE44" s="49">
        <v>12.935</v>
      </c>
      <c r="BF44" s="49">
        <v>12.955</v>
      </c>
      <c r="BG44" s="49">
        <v>24.96</v>
      </c>
      <c r="BH44" s="49">
        <v>25.2</v>
      </c>
      <c r="BI44" s="49">
        <v>65.486000000000004</v>
      </c>
      <c r="BJ44" s="50">
        <v>82.686000000000007</v>
      </c>
      <c r="BK44" s="49">
        <v>63.667000000000002</v>
      </c>
      <c r="BL44" s="50">
        <v>79.837999999999994</v>
      </c>
      <c r="BM44" s="50">
        <v>80.034000000000006</v>
      </c>
      <c r="BN44" s="49">
        <v>113.32</v>
      </c>
      <c r="BO44" s="49">
        <v>109.224</v>
      </c>
      <c r="BP44" s="50">
        <v>130.76</v>
      </c>
      <c r="BQ44" s="50">
        <v>133.32</v>
      </c>
      <c r="BR44" s="50">
        <v>61.128</v>
      </c>
      <c r="BS44" s="49">
        <v>27.5</v>
      </c>
      <c r="BT44" s="49">
        <v>6840.2979999999998</v>
      </c>
      <c r="BU44" s="49">
        <v>39.509</v>
      </c>
      <c r="BV44" s="49">
        <v>53.987000000000002</v>
      </c>
      <c r="BW44" s="50">
        <v>57.262</v>
      </c>
      <c r="BX44" s="49">
        <v>55.917000000000002</v>
      </c>
      <c r="BY44" s="49">
        <v>1.2849999999999999</v>
      </c>
      <c r="BZ44" s="49">
        <v>1.843</v>
      </c>
      <c r="CA44" s="49">
        <v>2.2930000000000001</v>
      </c>
      <c r="CB44" s="49">
        <v>2.1930000000000001</v>
      </c>
      <c r="CC44" s="49">
        <v>0.9</v>
      </c>
      <c r="CD44" s="49">
        <v>2.1760000000000002</v>
      </c>
      <c r="CE44" s="49">
        <v>1.349</v>
      </c>
      <c r="CF44" s="49">
        <v>1.958</v>
      </c>
      <c r="CG44" s="50">
        <v>13.997999999999999</v>
      </c>
      <c r="CH44" s="49">
        <v>13.567</v>
      </c>
      <c r="CI44" s="3"/>
      <c r="CJ44" s="3"/>
      <c r="CK44" s="3"/>
      <c r="CL44" s="49">
        <v>0</v>
      </c>
      <c r="CM44" s="49">
        <v>1.1000000000000001</v>
      </c>
      <c r="CN44" s="50">
        <v>0</v>
      </c>
      <c r="CO44" s="50">
        <v>0</v>
      </c>
      <c r="CP44" s="49">
        <v>88.221000000000004</v>
      </c>
      <c r="CQ44" s="49">
        <v>86.274000000000001</v>
      </c>
      <c r="CR44" s="49">
        <v>99.076999999999998</v>
      </c>
      <c r="CS44" s="49">
        <v>101.996</v>
      </c>
      <c r="CT44" s="49">
        <v>0.22700000000000001</v>
      </c>
      <c r="CU44" s="50">
        <v>6.24</v>
      </c>
      <c r="CV44" s="50">
        <v>5.7389999999999999</v>
      </c>
      <c r="CW44" s="50">
        <v>5.7389999999999999</v>
      </c>
      <c r="CX44" s="50">
        <v>6.2380000000000004</v>
      </c>
      <c r="CY44" s="50">
        <v>5.5359999999999996</v>
      </c>
      <c r="CZ44" s="50">
        <v>6.0369999999999999</v>
      </c>
      <c r="DA44" s="50">
        <v>5.742</v>
      </c>
      <c r="DB44" s="50">
        <v>6.54</v>
      </c>
      <c r="DC44" s="50">
        <v>0</v>
      </c>
      <c r="DD44" s="50">
        <v>0</v>
      </c>
      <c r="DE44" s="49">
        <v>0.13800000000000001</v>
      </c>
      <c r="DF44" s="49">
        <v>5.5E-2</v>
      </c>
      <c r="DG44" s="49">
        <v>0.373</v>
      </c>
      <c r="DH44" s="49">
        <v>1.367</v>
      </c>
      <c r="DI44" s="49">
        <v>0.61899999999999999</v>
      </c>
      <c r="DJ44" s="49">
        <v>0.126</v>
      </c>
      <c r="DK44" s="49">
        <v>0.79800000000000004</v>
      </c>
      <c r="DL44" s="50">
        <v>0.40799999999999997</v>
      </c>
      <c r="DM44" s="50">
        <v>0.80200000000000005</v>
      </c>
      <c r="DN44" s="49">
        <v>0.41499999999999998</v>
      </c>
      <c r="DO44" s="50">
        <v>0.36299999999999999</v>
      </c>
      <c r="DP44" s="49">
        <v>63.292999999999999</v>
      </c>
      <c r="DQ44" s="49">
        <v>60.378</v>
      </c>
      <c r="DR44" s="49">
        <v>50.837000000000003</v>
      </c>
      <c r="DS44" s="50">
        <v>55.01</v>
      </c>
      <c r="DT44" s="49">
        <v>1.36</v>
      </c>
      <c r="DU44" s="49">
        <v>1.61</v>
      </c>
      <c r="DV44" s="49">
        <v>4.21</v>
      </c>
      <c r="DW44" s="49">
        <v>3.84</v>
      </c>
      <c r="DX44" s="49">
        <v>1.45</v>
      </c>
      <c r="DY44" s="49">
        <v>1.65</v>
      </c>
      <c r="DZ44" s="49">
        <v>3.84</v>
      </c>
      <c r="EA44" s="49">
        <v>3.66</v>
      </c>
      <c r="EB44" s="50">
        <v>43.29</v>
      </c>
      <c r="EC44" s="49">
        <v>42.6</v>
      </c>
      <c r="ED44" s="50">
        <v>35.950000000000003</v>
      </c>
      <c r="EE44" s="50">
        <v>35.909999999999997</v>
      </c>
      <c r="EF44" s="49">
        <v>53.91</v>
      </c>
      <c r="EG44" s="49">
        <v>54.13</v>
      </c>
      <c r="EH44" s="49">
        <v>56</v>
      </c>
      <c r="EI44" s="49">
        <v>56.59</v>
      </c>
      <c r="EJ44" s="50">
        <v>6.5289999999999999</v>
      </c>
      <c r="EK44" s="49">
        <v>58.131999999999998</v>
      </c>
      <c r="EL44" s="49">
        <v>2.1</v>
      </c>
      <c r="EM44" s="49">
        <v>1.6</v>
      </c>
      <c r="EN44" s="50">
        <v>1.65</v>
      </c>
      <c r="EO44" s="50">
        <v>1.64</v>
      </c>
      <c r="EP44" s="49">
        <v>-62.421999999999997</v>
      </c>
      <c r="EQ44" s="50">
        <v>-0.223</v>
      </c>
      <c r="ER44" s="49">
        <v>63.722000000000001</v>
      </c>
      <c r="ES44" s="50">
        <v>1.5660000000000001</v>
      </c>
      <c r="ET44" s="50">
        <v>1.651</v>
      </c>
      <c r="EU44" s="50">
        <v>1.554</v>
      </c>
      <c r="EV44" s="49">
        <v>7.2290000000000001</v>
      </c>
      <c r="EW44" s="49">
        <v>1.3029999999999999</v>
      </c>
      <c r="EX44" s="49">
        <v>38.1</v>
      </c>
      <c r="EY44" s="50">
        <v>2.601</v>
      </c>
      <c r="EZ44" s="49">
        <v>0</v>
      </c>
      <c r="FA44" s="50">
        <v>0</v>
      </c>
      <c r="FB44" s="50">
        <v>9.4550000000000001</v>
      </c>
      <c r="FC44" s="49">
        <v>64.772000000000006</v>
      </c>
      <c r="FD44" s="49">
        <v>61.338000000000001</v>
      </c>
      <c r="FE44" s="49">
        <v>69.950999999999993</v>
      </c>
      <c r="FF44" s="49">
        <v>69.802999999999997</v>
      </c>
      <c r="FG44" s="49">
        <v>0.98499999999999999</v>
      </c>
      <c r="FH44" s="49">
        <v>0.93400000000000005</v>
      </c>
      <c r="FI44" s="50">
        <v>1.0129999999999999</v>
      </c>
      <c r="FJ44" s="50">
        <v>1.0149999999999999</v>
      </c>
      <c r="FK44" s="49">
        <v>0</v>
      </c>
      <c r="FL44" s="49">
        <v>82</v>
      </c>
      <c r="FM44" s="49">
        <v>3.46</v>
      </c>
      <c r="FN44" s="49">
        <v>-0.74</v>
      </c>
      <c r="FO44" s="49">
        <v>5.46</v>
      </c>
      <c r="FP44" s="49">
        <v>4.1500000000000004</v>
      </c>
      <c r="FQ44" s="49">
        <v>4.5</v>
      </c>
      <c r="FR44" s="49">
        <v>5.15</v>
      </c>
      <c r="FS44" s="49">
        <v>6.5345000000000004</v>
      </c>
      <c r="FT44" s="49">
        <v>1065.8</v>
      </c>
      <c r="FU44" s="49">
        <v>6.87</v>
      </c>
      <c r="FV44" s="50">
        <v>21.18</v>
      </c>
      <c r="FW44" s="49">
        <v>3130.5</v>
      </c>
      <c r="FX44" s="50">
        <v>167500</v>
      </c>
      <c r="FY44" s="50">
        <v>169200</v>
      </c>
      <c r="FZ44" s="50">
        <v>51.923999999999999</v>
      </c>
      <c r="GA44" s="50">
        <v>51.548000000000002</v>
      </c>
      <c r="GB44" s="49">
        <v>2130.1999999999998</v>
      </c>
      <c r="GC44" s="49">
        <v>2132.1999999999998</v>
      </c>
      <c r="GD44" s="49">
        <v>2184</v>
      </c>
      <c r="GE44" s="49">
        <v>2184.9</v>
      </c>
      <c r="GF44" s="50">
        <v>1594.3125</v>
      </c>
      <c r="GG44" s="49">
        <v>34</v>
      </c>
      <c r="GH44" s="49">
        <v>33.799999999999997</v>
      </c>
      <c r="GI44" s="49">
        <v>50</v>
      </c>
      <c r="GJ44" s="49">
        <v>56.5</v>
      </c>
      <c r="GK44" s="49">
        <v>99.5</v>
      </c>
      <c r="GL44" s="49">
        <v>75.099999999999994</v>
      </c>
      <c r="GM44" s="50">
        <v>0</v>
      </c>
      <c r="GN44" s="49">
        <v>25.542999999999999</v>
      </c>
      <c r="GO44" s="49">
        <v>63.722000000000001</v>
      </c>
      <c r="GP44" s="50">
        <v>0</v>
      </c>
      <c r="GQ44" s="49">
        <v>1.9470000000000001</v>
      </c>
      <c r="GR44" s="50">
        <v>0</v>
      </c>
      <c r="GS44" s="49">
        <v>2.0059999999999998</v>
      </c>
      <c r="GT44" s="50">
        <v>0</v>
      </c>
      <c r="GU44" s="49">
        <v>1.9470000000000001</v>
      </c>
      <c r="GV44" s="50">
        <v>0</v>
      </c>
      <c r="GW44" s="50">
        <v>14.068</v>
      </c>
      <c r="GX44" s="49">
        <v>16.170000000000002</v>
      </c>
      <c r="GY44" s="50">
        <v>0</v>
      </c>
      <c r="GZ44" s="50">
        <v>0</v>
      </c>
      <c r="HA44" s="50">
        <v>0</v>
      </c>
      <c r="HB44" s="49">
        <v>0</v>
      </c>
      <c r="HC44" s="50">
        <v>23.675999999999998</v>
      </c>
      <c r="HD44" s="50">
        <v>86</v>
      </c>
      <c r="HE44" s="50">
        <v>0</v>
      </c>
      <c r="HF44" s="50">
        <v>0</v>
      </c>
      <c r="HG44" s="49">
        <v>76.19</v>
      </c>
      <c r="HH44" s="49">
        <v>82.61</v>
      </c>
      <c r="HI44" s="50">
        <v>0</v>
      </c>
      <c r="HJ44" s="50">
        <v>0</v>
      </c>
      <c r="HK44" s="50">
        <v>0</v>
      </c>
      <c r="HL44" s="49">
        <v>62</v>
      </c>
      <c r="HM44" s="49">
        <v>53</v>
      </c>
      <c r="HN44" s="49">
        <v>64</v>
      </c>
      <c r="HO44" s="49">
        <v>58</v>
      </c>
      <c r="HP44" s="50">
        <v>60</v>
      </c>
      <c r="HQ44" s="49">
        <v>58</v>
      </c>
      <c r="HR44" s="49">
        <v>51</v>
      </c>
      <c r="HS44" s="50">
        <v>62</v>
      </c>
      <c r="HT44" s="50">
        <v>-1.357</v>
      </c>
      <c r="HU44" s="50">
        <v>0</v>
      </c>
      <c r="HV44" s="49">
        <v>-0.78</v>
      </c>
      <c r="HW44" s="49">
        <v>53.29</v>
      </c>
      <c r="HX44" s="49">
        <v>71.62</v>
      </c>
      <c r="HY44" s="3"/>
      <c r="HZ44" s="3"/>
      <c r="IA44" s="49">
        <v>1.9990000000000001</v>
      </c>
      <c r="IB44" s="49">
        <v>95</v>
      </c>
      <c r="IC44" s="49">
        <v>16.343</v>
      </c>
      <c r="ID44" s="49">
        <v>-5.3999999999999999E-2</v>
      </c>
      <c r="IE44" s="49">
        <v>-2.4E-2</v>
      </c>
      <c r="IF44" s="50">
        <v>808.7</v>
      </c>
      <c r="IG44" s="49">
        <v>587</v>
      </c>
      <c r="IH44" s="50">
        <v>828.5</v>
      </c>
      <c r="II44" s="49">
        <v>599.79999999999995</v>
      </c>
      <c r="IJ44" s="49">
        <v>5.7000000000000002E-2</v>
      </c>
      <c r="IK44" s="50">
        <v>5.3999999999999999E-2</v>
      </c>
      <c r="IL44" s="49">
        <v>317.68900000000002</v>
      </c>
      <c r="IM44" s="49">
        <v>317.68900000000002</v>
      </c>
      <c r="IN44" s="49">
        <v>13.379</v>
      </c>
      <c r="IO44" s="49">
        <v>0.114</v>
      </c>
      <c r="IP44" s="49">
        <v>10.039999999999999</v>
      </c>
      <c r="IQ44" s="49">
        <v>0</v>
      </c>
      <c r="IR44" s="49">
        <v>0</v>
      </c>
      <c r="IS44">
        <v>0.38700000000000012</v>
      </c>
      <c r="IT44">
        <v>0.24500000000000011</v>
      </c>
    </row>
    <row r="45" spans="2:254" x14ac:dyDescent="0.25">
      <c r="IS45">
        <v>0.38700000000000012</v>
      </c>
      <c r="IT45">
        <v>0.24500000000000011</v>
      </c>
    </row>
    <row r="46" spans="2:254" x14ac:dyDescent="0.25">
      <c r="IS46">
        <v>0.38700000000000012</v>
      </c>
      <c r="IT46">
        <v>0.24500000000000011</v>
      </c>
    </row>
    <row r="47" spans="2:254" x14ac:dyDescent="0.25">
      <c r="IS47">
        <v>0.38700000000000012</v>
      </c>
      <c r="IT47">
        <v>0.24500000000000011</v>
      </c>
    </row>
    <row r="48" spans="2:254" x14ac:dyDescent="0.25">
      <c r="B48" s="2" t="s">
        <v>412</v>
      </c>
      <c r="C48" s="2" t="s">
        <v>41</v>
      </c>
      <c r="D48" s="61">
        <v>4.220949074074074E-3</v>
      </c>
      <c r="E48" s="50">
        <v>364.68900000000002</v>
      </c>
      <c r="F48" s="49">
        <v>326.74</v>
      </c>
      <c r="G48" s="49">
        <v>4.72</v>
      </c>
      <c r="H48" s="49">
        <v>27.8</v>
      </c>
      <c r="I48" s="50">
        <v>3.1190000000000002</v>
      </c>
      <c r="J48" s="50">
        <v>34.5</v>
      </c>
      <c r="K48" s="50">
        <v>9</v>
      </c>
      <c r="L48" s="50">
        <v>8</v>
      </c>
      <c r="M48" s="50">
        <v>6</v>
      </c>
      <c r="N48" s="50">
        <v>3</v>
      </c>
      <c r="O48" s="50">
        <v>3</v>
      </c>
      <c r="P48" s="49">
        <v>1.0049999999999999</v>
      </c>
      <c r="Q48" s="49">
        <v>0.98299999999999998</v>
      </c>
      <c r="R48" s="50">
        <v>1.849</v>
      </c>
      <c r="S48" s="3"/>
      <c r="T48" s="49">
        <v>62.64</v>
      </c>
      <c r="U48" s="50">
        <v>63.218000000000004</v>
      </c>
      <c r="V48" s="49">
        <v>150</v>
      </c>
      <c r="W48" s="49">
        <v>137.5</v>
      </c>
      <c r="X48" s="49">
        <v>110</v>
      </c>
      <c r="Y48" s="49">
        <v>122.5</v>
      </c>
      <c r="Z48" s="49">
        <v>278.45999999999998</v>
      </c>
      <c r="AA48" s="49">
        <v>275.73</v>
      </c>
      <c r="AB48" s="49">
        <v>157.22</v>
      </c>
      <c r="AC48" s="49">
        <v>196.7</v>
      </c>
      <c r="AD48" s="49">
        <v>1.6539999999999999</v>
      </c>
      <c r="AE48" s="49">
        <v>1.746</v>
      </c>
      <c r="AF48" s="49">
        <v>1.5049999999999999</v>
      </c>
      <c r="AG48" s="49">
        <v>1.56</v>
      </c>
      <c r="AH48" s="49">
        <v>61.46</v>
      </c>
      <c r="AI48" s="49">
        <v>58.45</v>
      </c>
      <c r="AJ48" s="49">
        <v>71.39</v>
      </c>
      <c r="AK48" s="49">
        <v>70.3</v>
      </c>
      <c r="AL48" s="49">
        <v>539.53</v>
      </c>
      <c r="AM48" s="49">
        <v>556.66800000000001</v>
      </c>
      <c r="AN48" s="49">
        <v>614.90499999999997</v>
      </c>
      <c r="AO48" s="49">
        <v>591.52499999999998</v>
      </c>
      <c r="AP48" s="49">
        <v>1.3240000000000001</v>
      </c>
      <c r="AQ48" s="49">
        <v>1.8089999999999999</v>
      </c>
      <c r="AR48" s="50">
        <v>44.110999999999997</v>
      </c>
      <c r="AS48" s="50">
        <v>40.716000000000001</v>
      </c>
      <c r="AT48" s="50">
        <v>83</v>
      </c>
      <c r="AU48" s="49">
        <v>103</v>
      </c>
      <c r="AV48" s="49">
        <v>2.9580000000000002</v>
      </c>
      <c r="AW48" s="49">
        <v>4.7058</v>
      </c>
      <c r="AX48" s="49">
        <v>1011.7</v>
      </c>
      <c r="AY48" s="50">
        <v>2.38</v>
      </c>
      <c r="AZ48" s="49">
        <v>5.66</v>
      </c>
      <c r="BA48" s="49">
        <v>71.305999999999997</v>
      </c>
      <c r="BB48" s="49">
        <v>72.305999999999997</v>
      </c>
      <c r="BC48" s="49">
        <v>7731</v>
      </c>
      <c r="BD48" s="49">
        <v>88.5</v>
      </c>
      <c r="BE48" s="49">
        <v>14.96</v>
      </c>
      <c r="BF48" s="49">
        <v>11.16</v>
      </c>
      <c r="BG48" s="49">
        <v>27.29</v>
      </c>
      <c r="BH48" s="49">
        <v>26.85</v>
      </c>
      <c r="BI48" s="49">
        <v>65.394000000000005</v>
      </c>
      <c r="BJ48" s="50">
        <v>81.995000000000005</v>
      </c>
      <c r="BK48" s="49">
        <v>63.639000000000003</v>
      </c>
      <c r="BL48" s="50">
        <v>79.256</v>
      </c>
      <c r="BM48" s="49">
        <v>79.426000000000002</v>
      </c>
      <c r="BN48" s="49">
        <v>108.712</v>
      </c>
      <c r="BO48" s="49">
        <v>107.032</v>
      </c>
      <c r="BP48" s="49">
        <v>95.224000000000004</v>
      </c>
      <c r="BQ48" s="49">
        <v>101.88</v>
      </c>
      <c r="BR48" s="49">
        <v>59.515999999999998</v>
      </c>
      <c r="BS48" s="49">
        <v>27.4</v>
      </c>
      <c r="BT48" s="49">
        <v>7226.9840000000004</v>
      </c>
      <c r="BU48" s="49">
        <v>46.591999999999999</v>
      </c>
      <c r="BV48" s="50">
        <v>55.582000000000001</v>
      </c>
      <c r="BW48" s="49">
        <v>54.893000000000001</v>
      </c>
      <c r="BX48" s="50">
        <v>58.926000000000002</v>
      </c>
      <c r="BY48" s="49">
        <v>1.4450000000000001</v>
      </c>
      <c r="BZ48" s="49">
        <v>2.4359999999999999</v>
      </c>
      <c r="CA48" s="49">
        <v>2.306</v>
      </c>
      <c r="CB48" s="49">
        <v>2.7509999999999999</v>
      </c>
      <c r="CC48" s="49">
        <v>0.95799999999999996</v>
      </c>
      <c r="CD48" s="49">
        <v>1.9790000000000001</v>
      </c>
      <c r="CE48" s="49">
        <v>1.2330000000000001</v>
      </c>
      <c r="CF48" s="49">
        <v>2.0089999999999999</v>
      </c>
      <c r="CG48" s="49">
        <v>13.914999999999999</v>
      </c>
      <c r="CH48" s="50">
        <v>10.404999999999999</v>
      </c>
      <c r="CI48" s="49">
        <v>2.3690000000000002</v>
      </c>
      <c r="CJ48" s="49">
        <v>2.2589999999999999</v>
      </c>
      <c r="CK48" s="49">
        <v>1.2949999999999999</v>
      </c>
      <c r="CL48" s="49">
        <v>0</v>
      </c>
      <c r="CM48" s="49">
        <v>0</v>
      </c>
      <c r="CN48" s="50">
        <v>0</v>
      </c>
      <c r="CO48" s="50">
        <v>0</v>
      </c>
      <c r="CP48" s="49">
        <v>95.415999999999997</v>
      </c>
      <c r="CQ48" s="49">
        <v>93.515000000000001</v>
      </c>
      <c r="CR48" s="49">
        <v>84.012</v>
      </c>
      <c r="CS48" s="49">
        <v>88.71</v>
      </c>
      <c r="CT48" s="49">
        <v>0.373</v>
      </c>
      <c r="CU48" s="49">
        <v>0.79900000000000004</v>
      </c>
      <c r="CV48" s="49">
        <v>1.4</v>
      </c>
      <c r="CW48" s="50">
        <v>1.5</v>
      </c>
      <c r="CX48" s="49">
        <v>1.298</v>
      </c>
      <c r="CY48" s="49">
        <v>0.90200000000000002</v>
      </c>
      <c r="CZ48" s="49">
        <v>1.099</v>
      </c>
      <c r="DA48" s="49">
        <v>0.59899999999999998</v>
      </c>
      <c r="DB48" s="49">
        <v>1.5</v>
      </c>
      <c r="DC48" s="50">
        <v>6.0000000000000001E-3</v>
      </c>
      <c r="DD48" s="50">
        <v>0</v>
      </c>
      <c r="DE48" s="49">
        <v>0.20399999999999999</v>
      </c>
      <c r="DF48" s="49">
        <v>1.7999999999999999E-2</v>
      </c>
      <c r="DG48" s="49">
        <v>0.28399999999999997</v>
      </c>
      <c r="DH48" s="49">
        <v>2.1</v>
      </c>
      <c r="DI48" s="49">
        <v>0.71299999999999997</v>
      </c>
      <c r="DJ48" s="49">
        <v>0.189</v>
      </c>
      <c r="DK48" s="49">
        <v>0.876</v>
      </c>
      <c r="DL48" s="50">
        <v>0.40899999999999997</v>
      </c>
      <c r="DM48" s="49">
        <v>0.51600000000000001</v>
      </c>
      <c r="DN48" s="49">
        <v>0.70499999999999996</v>
      </c>
      <c r="DO48" s="49">
        <v>0.66600000000000004</v>
      </c>
      <c r="DP48" s="49">
        <v>63.497999999999998</v>
      </c>
      <c r="DQ48" s="50">
        <v>64.287000000000006</v>
      </c>
      <c r="DR48" s="49">
        <v>54.988</v>
      </c>
      <c r="DS48" s="49">
        <v>51.914000000000001</v>
      </c>
      <c r="DT48" s="49">
        <v>2.59</v>
      </c>
      <c r="DU48" s="49">
        <v>2.69</v>
      </c>
      <c r="DV48" s="49">
        <v>5.5</v>
      </c>
      <c r="DW48" s="49">
        <v>5.01</v>
      </c>
      <c r="DX48" s="49">
        <v>2.64</v>
      </c>
      <c r="DY48" s="49">
        <v>2.57</v>
      </c>
      <c r="DZ48" s="49">
        <v>5.23</v>
      </c>
      <c r="EA48" s="49">
        <v>4.74</v>
      </c>
      <c r="EB48" s="49">
        <v>39.049999999999997</v>
      </c>
      <c r="EC48" s="49">
        <v>39</v>
      </c>
      <c r="ED48" s="49">
        <v>33.39</v>
      </c>
      <c r="EE48" s="49">
        <v>33.229999999999997</v>
      </c>
      <c r="EF48" s="50">
        <v>55.72</v>
      </c>
      <c r="EG48" s="50">
        <v>55.74</v>
      </c>
      <c r="EH48" s="50">
        <v>55.88</v>
      </c>
      <c r="EI48" s="50">
        <v>57.02</v>
      </c>
      <c r="EJ48" s="49">
        <v>5.9589999999999996</v>
      </c>
      <c r="EK48" s="49">
        <v>58.49</v>
      </c>
      <c r="EL48" s="50">
        <v>2.25</v>
      </c>
      <c r="EM48" s="49">
        <v>1.65</v>
      </c>
      <c r="EN48" s="49">
        <v>1.41</v>
      </c>
      <c r="EO48" s="49">
        <v>1.41</v>
      </c>
      <c r="EP48" s="49">
        <v>-97.462000000000003</v>
      </c>
      <c r="EQ48" s="49">
        <v>-1.07</v>
      </c>
      <c r="ER48" s="49">
        <v>73.650000000000006</v>
      </c>
      <c r="ES48" s="49">
        <v>1.399</v>
      </c>
      <c r="ET48" s="49">
        <v>1.494</v>
      </c>
      <c r="EU48" s="49">
        <v>1.3859999999999999</v>
      </c>
      <c r="EV48" s="49">
        <v>7.2869999999999999</v>
      </c>
      <c r="EW48" s="49">
        <v>1.5489999999999999</v>
      </c>
      <c r="EX48" s="49">
        <v>-196.62</v>
      </c>
      <c r="EY48" s="50">
        <v>9.8350000000000009</v>
      </c>
      <c r="EZ48" s="49">
        <v>0</v>
      </c>
      <c r="FA48" s="50">
        <v>0</v>
      </c>
      <c r="FB48" s="49">
        <v>8.7449999999999992</v>
      </c>
      <c r="FC48" s="49">
        <v>57.13</v>
      </c>
      <c r="FD48" s="49">
        <v>54.816000000000003</v>
      </c>
      <c r="FE48" s="49">
        <v>57.643999999999998</v>
      </c>
      <c r="FF48" s="49">
        <v>57.854999999999997</v>
      </c>
      <c r="FG48" s="50">
        <v>0.95599999999999996</v>
      </c>
      <c r="FH48" s="50">
        <v>0.96</v>
      </c>
      <c r="FI48" s="49">
        <v>1.008</v>
      </c>
      <c r="FJ48" s="49">
        <v>1.0089999999999999</v>
      </c>
      <c r="FK48" s="50">
        <v>0.10100000000000001</v>
      </c>
      <c r="FL48" s="50">
        <v>84</v>
      </c>
      <c r="FM48" s="49">
        <v>3.33</v>
      </c>
      <c r="FN48" s="49">
        <v>-0.67</v>
      </c>
      <c r="FO48" s="49">
        <v>5.44</v>
      </c>
      <c r="FP48" s="49">
        <v>4.55</v>
      </c>
      <c r="FQ48" s="50">
        <v>3.65</v>
      </c>
      <c r="FR48" s="49">
        <v>5.15</v>
      </c>
      <c r="FS48" s="49">
        <v>6.2515000000000001</v>
      </c>
      <c r="FT48" s="49">
        <v>1069.2</v>
      </c>
      <c r="FU48" s="49">
        <v>6.82</v>
      </c>
      <c r="FV48" s="49">
        <v>4.72</v>
      </c>
      <c r="FW48" s="50">
        <v>3264.5</v>
      </c>
      <c r="FX48" s="49">
        <v>164100</v>
      </c>
      <c r="FY48" s="49">
        <v>165700</v>
      </c>
      <c r="FZ48" s="49">
        <v>49.765000000000001</v>
      </c>
      <c r="GA48" s="49">
        <v>49.281999999999996</v>
      </c>
      <c r="GB48" s="50">
        <v>2356.6999999999998</v>
      </c>
      <c r="GC48" s="49">
        <v>2255.6999999999998</v>
      </c>
      <c r="GD48" s="50">
        <v>2356.6999999999998</v>
      </c>
      <c r="GE48" s="49">
        <v>2255.6999999999998</v>
      </c>
      <c r="GF48" s="49">
        <v>1542.25</v>
      </c>
      <c r="GG48" s="49">
        <v>35</v>
      </c>
      <c r="GH48" s="49">
        <v>34.6</v>
      </c>
      <c r="GI48" s="49">
        <v>50.8</v>
      </c>
      <c r="GJ48" s="49">
        <v>56.8</v>
      </c>
      <c r="GK48" s="50">
        <v>98.5</v>
      </c>
      <c r="GL48" s="49">
        <v>78.8</v>
      </c>
      <c r="GM48" s="50">
        <v>0</v>
      </c>
      <c r="GN48" s="49">
        <v>26.638000000000002</v>
      </c>
      <c r="GO48" s="49">
        <v>97.462000000000003</v>
      </c>
      <c r="GP48" s="50">
        <v>0</v>
      </c>
      <c r="GQ48" s="50">
        <v>4.5430000000000001</v>
      </c>
      <c r="GR48" s="50">
        <v>0</v>
      </c>
      <c r="GS48" s="50">
        <v>4.8970000000000002</v>
      </c>
      <c r="GT48" s="50">
        <v>0</v>
      </c>
      <c r="GU48" s="50">
        <v>4.3659999999999997</v>
      </c>
      <c r="GV48" s="50">
        <v>0</v>
      </c>
      <c r="GW48" s="49">
        <v>12.797000000000001</v>
      </c>
      <c r="GX48" s="50">
        <v>20.09</v>
      </c>
      <c r="GY48" s="50">
        <v>0</v>
      </c>
      <c r="GZ48" s="50">
        <v>0</v>
      </c>
      <c r="HA48" s="50">
        <v>0</v>
      </c>
      <c r="HB48" s="50">
        <v>1</v>
      </c>
      <c r="HC48" s="49">
        <v>22.771000000000001</v>
      </c>
      <c r="HD48" s="50">
        <v>86</v>
      </c>
      <c r="HE48" s="50">
        <v>0</v>
      </c>
      <c r="HF48" s="50">
        <v>0</v>
      </c>
      <c r="HG48" s="50">
        <v>91.05</v>
      </c>
      <c r="HH48" s="50">
        <v>94.09</v>
      </c>
      <c r="HI48" s="50">
        <v>0</v>
      </c>
      <c r="HJ48" s="50">
        <v>0</v>
      </c>
      <c r="HK48" s="50">
        <v>0</v>
      </c>
      <c r="HL48" s="50">
        <v>62</v>
      </c>
      <c r="HM48" s="50">
        <v>53</v>
      </c>
      <c r="HN48" s="49">
        <v>64</v>
      </c>
      <c r="HO48" s="49">
        <v>58</v>
      </c>
      <c r="HP48" s="49">
        <v>61</v>
      </c>
      <c r="HQ48" s="49">
        <v>59</v>
      </c>
      <c r="HR48" s="49">
        <v>52</v>
      </c>
      <c r="HS48" s="49">
        <v>58</v>
      </c>
      <c r="HT48" s="49">
        <v>-1.3334999999999999</v>
      </c>
      <c r="HU48" s="50">
        <v>0</v>
      </c>
      <c r="HV48" s="49">
        <v>-0.61599999999999999</v>
      </c>
      <c r="HW48" s="49">
        <v>53.99</v>
      </c>
      <c r="HX48" s="49">
        <v>64.45</v>
      </c>
      <c r="HY48" s="3"/>
      <c r="HZ48" s="3"/>
      <c r="IA48" s="49">
        <v>2.4180000000000001</v>
      </c>
      <c r="IB48" s="49">
        <v>98</v>
      </c>
      <c r="IC48" s="49">
        <v>18.274000000000001</v>
      </c>
      <c r="ID48" s="50">
        <v>-4.3999999999999997E-2</v>
      </c>
      <c r="IE48" s="50">
        <v>-1.7999999999999999E-2</v>
      </c>
      <c r="IF48" s="49">
        <v>797.2</v>
      </c>
      <c r="IG48" s="49">
        <v>640.4</v>
      </c>
      <c r="IH48" s="49">
        <v>803.7</v>
      </c>
      <c r="II48" s="49">
        <v>654.9</v>
      </c>
      <c r="IJ48" s="49">
        <v>1.9E-2</v>
      </c>
      <c r="IK48" s="49">
        <v>0.01</v>
      </c>
      <c r="IL48" s="50">
        <v>249.6</v>
      </c>
      <c r="IM48" s="50">
        <v>249.6</v>
      </c>
      <c r="IN48" s="50">
        <v>14.72</v>
      </c>
      <c r="IO48" s="49">
        <v>9.2999999999999999E-2</v>
      </c>
      <c r="IP48" s="50">
        <v>10.119999999999999</v>
      </c>
      <c r="IQ48" s="49">
        <v>5.0000000000000001E-3</v>
      </c>
      <c r="IR48" s="50">
        <v>1.2999999999999999E-2</v>
      </c>
      <c r="IS48">
        <v>0.38700000000000012</v>
      </c>
      <c r="IT48">
        <v>0.24500000000000011</v>
      </c>
    </row>
    <row r="49" spans="1:254" x14ac:dyDescent="0.25">
      <c r="B49" s="2" t="s">
        <v>412</v>
      </c>
      <c r="C49" s="2" t="s">
        <v>42</v>
      </c>
      <c r="D49" s="61">
        <v>3.9473379629629624E-3</v>
      </c>
      <c r="E49" s="49">
        <v>341.03</v>
      </c>
      <c r="F49" s="49">
        <v>324.05</v>
      </c>
      <c r="G49" s="49">
        <v>4.8</v>
      </c>
      <c r="H49" s="49">
        <v>27.5</v>
      </c>
      <c r="I49" s="49">
        <v>0</v>
      </c>
      <c r="J49" s="49">
        <v>17.2</v>
      </c>
      <c r="K49" s="50">
        <v>9</v>
      </c>
      <c r="L49" s="50">
        <v>8</v>
      </c>
      <c r="M49" s="50">
        <v>6</v>
      </c>
      <c r="N49" s="50">
        <v>3</v>
      </c>
      <c r="O49" s="50">
        <v>3</v>
      </c>
      <c r="P49" s="50">
        <v>1.01</v>
      </c>
      <c r="Q49" s="50">
        <v>1.9830000000000001</v>
      </c>
      <c r="R49" s="49">
        <v>0.82099999999999995</v>
      </c>
      <c r="S49" s="49">
        <v>0.68600000000000005</v>
      </c>
      <c r="T49" s="49">
        <v>55.7</v>
      </c>
      <c r="U49" s="49">
        <v>61.423999999999999</v>
      </c>
      <c r="V49" s="50">
        <v>50</v>
      </c>
      <c r="W49" s="50">
        <v>40</v>
      </c>
      <c r="X49" s="50">
        <v>80</v>
      </c>
      <c r="Y49" s="50">
        <v>80</v>
      </c>
      <c r="Z49" s="49">
        <v>188.97</v>
      </c>
      <c r="AA49" s="49">
        <v>183.43</v>
      </c>
      <c r="AB49" s="49">
        <v>126.05</v>
      </c>
      <c r="AC49" s="49">
        <v>148.25</v>
      </c>
      <c r="AD49" s="49">
        <v>1.5780000000000001</v>
      </c>
      <c r="AE49" s="49">
        <v>1.671</v>
      </c>
      <c r="AF49" s="49">
        <v>1.413</v>
      </c>
      <c r="AG49" s="49">
        <v>1.466</v>
      </c>
      <c r="AH49" s="49">
        <v>50.87</v>
      </c>
      <c r="AI49" s="49">
        <v>49.22</v>
      </c>
      <c r="AJ49" s="49">
        <v>59.55</v>
      </c>
      <c r="AK49" s="49">
        <v>58.82</v>
      </c>
      <c r="AL49" s="49">
        <v>556.87400000000002</v>
      </c>
      <c r="AM49" s="49">
        <v>562.74199999999996</v>
      </c>
      <c r="AN49" s="49">
        <v>638.29499999999996</v>
      </c>
      <c r="AO49" s="49">
        <v>659.87599999999998</v>
      </c>
      <c r="AP49" s="49">
        <v>1.3360000000000001</v>
      </c>
      <c r="AQ49" s="49">
        <v>1.81</v>
      </c>
      <c r="AR49" s="49">
        <v>42.622</v>
      </c>
      <c r="AS49" s="49">
        <v>37.804000000000002</v>
      </c>
      <c r="AT49" s="49">
        <v>82</v>
      </c>
      <c r="AU49" s="49">
        <v>98</v>
      </c>
      <c r="AV49" s="49">
        <v>2.2715000000000001</v>
      </c>
      <c r="AW49" s="49">
        <v>4.9657</v>
      </c>
      <c r="AX49" s="49">
        <v>1007.7</v>
      </c>
      <c r="AY49" s="49">
        <v>2.2400000000000002</v>
      </c>
      <c r="AZ49" s="49">
        <v>5.59</v>
      </c>
      <c r="BA49" s="49">
        <v>72.599999999999994</v>
      </c>
      <c r="BB49" s="49">
        <v>73.900000000000006</v>
      </c>
      <c r="BC49" s="49">
        <v>7737</v>
      </c>
      <c r="BD49" s="50">
        <v>89.75</v>
      </c>
      <c r="BE49" s="49">
        <v>13.664999999999999</v>
      </c>
      <c r="BF49" s="49">
        <v>11.525</v>
      </c>
      <c r="BG49" s="49">
        <v>26.17</v>
      </c>
      <c r="BH49" s="49">
        <v>25.94</v>
      </c>
      <c r="BI49" s="3"/>
      <c r="BJ49" s="3"/>
      <c r="BK49" s="3"/>
      <c r="BL49" s="3"/>
      <c r="BM49" s="3"/>
      <c r="BN49" s="49">
        <v>103.208</v>
      </c>
      <c r="BO49" s="49">
        <v>98.488</v>
      </c>
      <c r="BP49" s="49">
        <v>88.135999999999996</v>
      </c>
      <c r="BQ49" s="49">
        <v>93.367999999999995</v>
      </c>
      <c r="BR49" s="3"/>
      <c r="BS49" s="49">
        <v>27.3</v>
      </c>
      <c r="BT49" s="49">
        <v>7290.7129999999997</v>
      </c>
      <c r="BU49" s="49">
        <v>44.293999999999997</v>
      </c>
      <c r="BV49" s="49">
        <v>54.652000000000001</v>
      </c>
      <c r="BW49" s="50">
        <v>55.906999999999996</v>
      </c>
      <c r="BX49" s="49">
        <v>56.95</v>
      </c>
      <c r="BY49" s="49">
        <v>1.335</v>
      </c>
      <c r="BZ49" s="49">
        <v>2.4889999999999999</v>
      </c>
      <c r="CA49" s="49">
        <v>2.5870000000000002</v>
      </c>
      <c r="CB49" s="49">
        <v>4.1740000000000004</v>
      </c>
      <c r="CC49" s="49">
        <v>0.90100000000000002</v>
      </c>
      <c r="CD49" s="49">
        <v>2.0449999999999999</v>
      </c>
      <c r="CE49" s="50">
        <v>1.3169999999999999</v>
      </c>
      <c r="CF49" s="50">
        <v>2.15</v>
      </c>
      <c r="CG49" s="50">
        <v>13.983000000000001</v>
      </c>
      <c r="CH49" s="49">
        <v>13.826000000000001</v>
      </c>
      <c r="CI49" s="49">
        <v>3.254</v>
      </c>
      <c r="CJ49" s="49">
        <v>2.698</v>
      </c>
      <c r="CK49" s="49">
        <v>1.504</v>
      </c>
      <c r="CL49" s="49">
        <v>0</v>
      </c>
      <c r="CM49" s="49">
        <v>0.3</v>
      </c>
      <c r="CN49" s="50">
        <v>0</v>
      </c>
      <c r="CO49" s="50">
        <v>0</v>
      </c>
      <c r="CP49" s="49">
        <v>76.325000000000003</v>
      </c>
      <c r="CQ49" s="49">
        <v>74.010999999999996</v>
      </c>
      <c r="CR49" s="49">
        <v>70.13</v>
      </c>
      <c r="CS49" s="49">
        <v>74.073999999999998</v>
      </c>
      <c r="CT49" s="49">
        <v>0.33600000000000002</v>
      </c>
      <c r="CU49" s="50">
        <v>0.999</v>
      </c>
      <c r="CV49" s="50">
        <v>1.498</v>
      </c>
      <c r="CW49" s="49">
        <v>1.296</v>
      </c>
      <c r="CX49" s="49">
        <v>1.796</v>
      </c>
      <c r="CY49" s="50">
        <v>1.6930000000000001</v>
      </c>
      <c r="CZ49" s="49">
        <v>0.501</v>
      </c>
      <c r="DA49" s="49">
        <v>0.69899999999999995</v>
      </c>
      <c r="DB49" s="49">
        <v>1.498</v>
      </c>
      <c r="DC49" s="49">
        <v>0</v>
      </c>
      <c r="DD49" s="50">
        <v>0</v>
      </c>
      <c r="DE49" s="49">
        <v>0.252</v>
      </c>
      <c r="DF49" s="49">
        <v>0.109</v>
      </c>
      <c r="DG49" s="49">
        <v>1.2210000000000001</v>
      </c>
      <c r="DH49" s="50">
        <v>3.7</v>
      </c>
      <c r="DI49" s="49">
        <v>0.68200000000000005</v>
      </c>
      <c r="DJ49" s="49">
        <v>0.11899999999999999</v>
      </c>
      <c r="DK49" s="49">
        <v>1.0109999999999999</v>
      </c>
      <c r="DL49" s="49">
        <v>0.40200000000000002</v>
      </c>
      <c r="DM49" s="50">
        <v>0.69</v>
      </c>
      <c r="DN49" s="49">
        <v>0.38700000000000001</v>
      </c>
      <c r="DO49" s="49">
        <v>0.373</v>
      </c>
      <c r="DP49" s="49">
        <v>62.68</v>
      </c>
      <c r="DQ49" s="49">
        <v>60.649000000000001</v>
      </c>
      <c r="DR49" s="49">
        <v>53.491</v>
      </c>
      <c r="DS49" s="49">
        <v>52.212000000000003</v>
      </c>
      <c r="DT49" s="49">
        <v>2.58</v>
      </c>
      <c r="DU49" s="49">
        <v>2.6</v>
      </c>
      <c r="DV49" s="49">
        <v>6.06</v>
      </c>
      <c r="DW49" s="49">
        <v>5.46</v>
      </c>
      <c r="DX49" s="49">
        <v>2.63</v>
      </c>
      <c r="DY49" s="49">
        <v>2.73</v>
      </c>
      <c r="DZ49" s="49">
        <v>5.82</v>
      </c>
      <c r="EA49" s="49">
        <v>5.31</v>
      </c>
      <c r="EB49" s="50">
        <v>43.1</v>
      </c>
      <c r="EC49" s="50">
        <v>43.26</v>
      </c>
      <c r="ED49" s="50">
        <v>35.78</v>
      </c>
      <c r="EE49" s="50">
        <v>35.58</v>
      </c>
      <c r="EF49" s="49">
        <v>51.69</v>
      </c>
      <c r="EG49" s="49">
        <v>51.41</v>
      </c>
      <c r="EH49" s="49">
        <v>52.34</v>
      </c>
      <c r="EI49" s="49">
        <v>53.65</v>
      </c>
      <c r="EJ49" s="49">
        <v>6.3929999999999998</v>
      </c>
      <c r="EK49" s="49">
        <v>58.558999999999997</v>
      </c>
      <c r="EL49" s="49">
        <v>2</v>
      </c>
      <c r="EM49" s="50">
        <v>1.6</v>
      </c>
      <c r="EN49" s="50">
        <v>1.5</v>
      </c>
      <c r="EO49" s="50">
        <v>1.5</v>
      </c>
      <c r="EP49" s="50">
        <v>-124.61799999999999</v>
      </c>
      <c r="EQ49" s="50">
        <v>-0.379</v>
      </c>
      <c r="ER49" s="49">
        <v>92.63</v>
      </c>
      <c r="ES49" s="50">
        <v>1.534</v>
      </c>
      <c r="ET49" s="50">
        <v>1.6419999999999999</v>
      </c>
      <c r="EU49" s="50">
        <v>1.526</v>
      </c>
      <c r="EV49" s="49">
        <v>7.4210000000000003</v>
      </c>
      <c r="EW49" s="49">
        <v>1.47</v>
      </c>
      <c r="EX49" s="49">
        <v>52.7</v>
      </c>
      <c r="EY49" s="49">
        <v>0</v>
      </c>
      <c r="EZ49" s="50">
        <v>22.466000000000001</v>
      </c>
      <c r="FA49" s="50">
        <v>0</v>
      </c>
      <c r="FB49" s="50">
        <v>9.4269999999999996</v>
      </c>
      <c r="FC49" s="49">
        <v>55.045000000000002</v>
      </c>
      <c r="FD49" s="49">
        <v>52.567999999999998</v>
      </c>
      <c r="FE49" s="49">
        <v>53.552999999999997</v>
      </c>
      <c r="FF49" s="49">
        <v>53.878999999999998</v>
      </c>
      <c r="FG49" s="49">
        <v>0.92700000000000005</v>
      </c>
      <c r="FH49" s="49">
        <v>0.92700000000000005</v>
      </c>
      <c r="FI49" s="50">
        <v>1.0109999999999999</v>
      </c>
      <c r="FJ49" s="50">
        <v>1.0129999999999999</v>
      </c>
      <c r="FK49" s="49">
        <v>0</v>
      </c>
      <c r="FL49" s="49">
        <v>83</v>
      </c>
      <c r="FM49" s="49">
        <v>3.56</v>
      </c>
      <c r="FN49" s="50">
        <v>-0.75</v>
      </c>
      <c r="FO49" s="49">
        <v>5.45</v>
      </c>
      <c r="FP49" s="49">
        <v>4.6500000000000004</v>
      </c>
      <c r="FQ49" s="49">
        <v>4.5999999999999996</v>
      </c>
      <c r="FR49" s="49">
        <v>5.15</v>
      </c>
      <c r="FS49" s="49">
        <v>6.4649999999999999</v>
      </c>
      <c r="FT49" s="49">
        <v>1076.3</v>
      </c>
      <c r="FU49" s="50">
        <v>6.9</v>
      </c>
      <c r="FV49" s="49">
        <v>9.52</v>
      </c>
      <c r="FW49" s="49">
        <v>3047.5</v>
      </c>
      <c r="FX49" s="49">
        <v>163800</v>
      </c>
      <c r="FY49" s="49">
        <v>164800</v>
      </c>
      <c r="FZ49" s="50">
        <v>50.255000000000003</v>
      </c>
      <c r="GA49" s="50">
        <v>49.554000000000002</v>
      </c>
      <c r="GB49" s="49">
        <v>2171.6</v>
      </c>
      <c r="GC49" s="49">
        <v>2171.3000000000002</v>
      </c>
      <c r="GD49" s="49">
        <v>2191.9</v>
      </c>
      <c r="GE49" s="49">
        <v>2189.5</v>
      </c>
      <c r="GF49" s="49">
        <v>1364.4530999999999</v>
      </c>
      <c r="GG49" s="49">
        <v>36</v>
      </c>
      <c r="GH49" s="49">
        <v>36.299999999999997</v>
      </c>
      <c r="GI49" s="50">
        <v>51.7</v>
      </c>
      <c r="GJ49" s="50">
        <v>58</v>
      </c>
      <c r="GK49" s="49">
        <v>99.5</v>
      </c>
      <c r="GL49" s="49">
        <v>77</v>
      </c>
      <c r="GM49" s="50">
        <v>0</v>
      </c>
      <c r="GN49" s="49">
        <v>26.195</v>
      </c>
      <c r="GO49" s="50">
        <v>124.61799999999999</v>
      </c>
      <c r="GP49" s="49">
        <v>0.53100000000000003</v>
      </c>
      <c r="GQ49" s="49">
        <v>1.9470000000000001</v>
      </c>
      <c r="GR49" s="49">
        <v>0.59</v>
      </c>
      <c r="GS49" s="49">
        <v>2.0059999999999998</v>
      </c>
      <c r="GT49" s="49">
        <v>0.64900000000000002</v>
      </c>
      <c r="GU49" s="49">
        <v>1.9470000000000001</v>
      </c>
      <c r="GV49" s="49">
        <v>13.034000000000001</v>
      </c>
      <c r="GW49" s="50">
        <v>14.199</v>
      </c>
      <c r="GX49" s="49">
        <v>16.366</v>
      </c>
      <c r="GY49" s="50">
        <v>0</v>
      </c>
      <c r="GZ49" s="50">
        <v>0</v>
      </c>
      <c r="HA49" s="50">
        <v>0</v>
      </c>
      <c r="HB49" s="49">
        <v>0</v>
      </c>
      <c r="HC49" s="49">
        <v>23.119</v>
      </c>
      <c r="HD49" s="49">
        <v>82</v>
      </c>
      <c r="HE49" s="50">
        <v>0</v>
      </c>
      <c r="HF49" s="50">
        <v>0</v>
      </c>
      <c r="HG49" s="49">
        <v>86.05</v>
      </c>
      <c r="HH49" s="49">
        <v>83.66</v>
      </c>
      <c r="HI49" s="50">
        <v>0</v>
      </c>
      <c r="HJ49" s="50">
        <v>0</v>
      </c>
      <c r="HK49" s="50">
        <v>0</v>
      </c>
      <c r="HL49" s="50">
        <v>62</v>
      </c>
      <c r="HM49" s="50">
        <v>53</v>
      </c>
      <c r="HN49" s="50">
        <v>65</v>
      </c>
      <c r="HO49" s="49">
        <v>58</v>
      </c>
      <c r="HP49" s="49">
        <v>61</v>
      </c>
      <c r="HQ49" s="49">
        <v>59</v>
      </c>
      <c r="HR49" s="50">
        <v>53</v>
      </c>
      <c r="HS49" s="50">
        <v>70</v>
      </c>
      <c r="HT49" s="49">
        <v>-1.3380000000000001</v>
      </c>
      <c r="HU49" s="50">
        <v>0</v>
      </c>
      <c r="HV49" s="49">
        <v>-0.81100000000000005</v>
      </c>
      <c r="HW49" s="50">
        <v>34.369999999999997</v>
      </c>
      <c r="HX49" s="49">
        <v>50.94</v>
      </c>
      <c r="HY49" s="49">
        <v>46.76</v>
      </c>
      <c r="HZ49" s="49">
        <v>61.71</v>
      </c>
      <c r="IA49" s="49">
        <v>2.4790000000000001</v>
      </c>
      <c r="IB49" s="49">
        <v>96</v>
      </c>
      <c r="IC49" s="49">
        <v>16.071999999999999</v>
      </c>
      <c r="ID49" s="49">
        <v>-0.11799999999999999</v>
      </c>
      <c r="IE49" s="49">
        <v>-4.7E-2</v>
      </c>
      <c r="IF49" s="49">
        <v>793.9</v>
      </c>
      <c r="IG49" s="49">
        <v>630</v>
      </c>
      <c r="IH49" s="50">
        <v>815.4</v>
      </c>
      <c r="II49" s="49">
        <v>642.29999999999995</v>
      </c>
      <c r="IJ49" s="50">
        <v>9.0999999999999998E-2</v>
      </c>
      <c r="IK49" s="50">
        <v>6.2E-2</v>
      </c>
      <c r="IL49" s="49">
        <v>232.65600000000001</v>
      </c>
      <c r="IM49" s="49">
        <v>232.65600000000001</v>
      </c>
      <c r="IN49" s="49">
        <v>12.865</v>
      </c>
      <c r="IO49" s="49">
        <v>0.14099999999999999</v>
      </c>
      <c r="IP49" s="49">
        <v>10.11</v>
      </c>
      <c r="IQ49" s="49">
        <v>4.0000000000000001E-3</v>
      </c>
      <c r="IR49" s="49">
        <v>5.0000000000000001E-3</v>
      </c>
      <c r="IS49">
        <v>0.39100000000000013</v>
      </c>
      <c r="IT49">
        <v>0.25000000000000011</v>
      </c>
    </row>
    <row r="50" spans="1:254" x14ac:dyDescent="0.25">
      <c r="B50" s="2" t="s">
        <v>412</v>
      </c>
      <c r="C50" s="2" t="s">
        <v>43</v>
      </c>
      <c r="D50" s="61">
        <v>2.4870370370370372E-3</v>
      </c>
      <c r="E50" s="49">
        <v>214.92</v>
      </c>
      <c r="F50" s="49">
        <v>326.8</v>
      </c>
      <c r="G50" s="49">
        <v>6.04</v>
      </c>
      <c r="H50" s="49">
        <v>28.1</v>
      </c>
      <c r="I50" s="49">
        <v>0</v>
      </c>
      <c r="J50" s="49">
        <v>12.1</v>
      </c>
      <c r="K50" s="50">
        <v>9</v>
      </c>
      <c r="L50" s="50">
        <v>8</v>
      </c>
      <c r="M50" s="50">
        <v>6</v>
      </c>
      <c r="N50" s="50">
        <v>3</v>
      </c>
      <c r="O50" s="50">
        <v>3</v>
      </c>
      <c r="P50" s="49">
        <v>0.95499999999999996</v>
      </c>
      <c r="Q50" s="49">
        <v>1.548</v>
      </c>
      <c r="R50" s="49">
        <v>0.98899999999999999</v>
      </c>
      <c r="S50" s="50">
        <v>0.89400000000000002</v>
      </c>
      <c r="T50" s="49">
        <v>73.34</v>
      </c>
      <c r="U50" s="49">
        <v>61.124000000000002</v>
      </c>
      <c r="V50" s="49">
        <v>245</v>
      </c>
      <c r="W50" s="49">
        <v>241.66</v>
      </c>
      <c r="X50" s="49">
        <v>140</v>
      </c>
      <c r="Y50" s="49">
        <v>190</v>
      </c>
      <c r="Z50" s="49">
        <v>385.38</v>
      </c>
      <c r="AA50" s="49">
        <v>377.86</v>
      </c>
      <c r="AB50" s="49">
        <v>262.56</v>
      </c>
      <c r="AC50" s="49">
        <v>326.95999999999998</v>
      </c>
      <c r="AD50" s="49">
        <v>1.712</v>
      </c>
      <c r="AE50" s="49">
        <v>1.7869999999999999</v>
      </c>
      <c r="AF50" s="49">
        <v>1.6279999999999999</v>
      </c>
      <c r="AG50" s="49">
        <v>1.661</v>
      </c>
      <c r="AH50" s="49">
        <v>73.180000000000007</v>
      </c>
      <c r="AI50" s="49">
        <v>71.25</v>
      </c>
      <c r="AJ50" s="49">
        <v>90.08</v>
      </c>
      <c r="AK50" s="49">
        <v>85.91</v>
      </c>
      <c r="AL50" s="49">
        <v>633.27800000000002</v>
      </c>
      <c r="AM50" s="49">
        <v>622.53899999999999</v>
      </c>
      <c r="AN50" s="49">
        <v>736.28599999999994</v>
      </c>
      <c r="AO50" s="49">
        <v>720.18200000000002</v>
      </c>
      <c r="AP50" s="49">
        <v>1.3380000000000001</v>
      </c>
      <c r="AQ50" s="50">
        <v>1.8340000000000001</v>
      </c>
      <c r="AR50" s="49">
        <v>42.055</v>
      </c>
      <c r="AS50" s="49">
        <v>37.786000000000001</v>
      </c>
      <c r="AT50" s="50">
        <v>83</v>
      </c>
      <c r="AU50" s="49">
        <v>110</v>
      </c>
      <c r="AV50" s="49">
        <v>1.8185</v>
      </c>
      <c r="AW50" s="49">
        <v>5.1310000000000002</v>
      </c>
      <c r="AX50" s="49">
        <v>1017.3</v>
      </c>
      <c r="AY50" s="49">
        <v>2.2799999999999998</v>
      </c>
      <c r="AZ50" s="49">
        <v>5.37</v>
      </c>
      <c r="BA50" s="49">
        <v>125.59699999999999</v>
      </c>
      <c r="BB50" s="49">
        <v>125.779</v>
      </c>
      <c r="BC50" s="49">
        <v>7763</v>
      </c>
      <c r="BD50" s="49">
        <v>88.25</v>
      </c>
      <c r="BE50" s="49">
        <v>16.864999999999998</v>
      </c>
      <c r="BF50" s="49">
        <v>14.07</v>
      </c>
      <c r="BG50" s="49">
        <v>28.1</v>
      </c>
      <c r="BH50" s="49">
        <v>26.34</v>
      </c>
      <c r="BI50" s="3"/>
      <c r="BJ50" s="3"/>
      <c r="BK50" s="3"/>
      <c r="BL50" s="3"/>
      <c r="BM50" s="3"/>
      <c r="BN50" s="49">
        <v>97.272000000000006</v>
      </c>
      <c r="BO50" s="49">
        <v>94.072000000000003</v>
      </c>
      <c r="BP50" s="49">
        <v>110.904</v>
      </c>
      <c r="BQ50" s="49">
        <v>113.816</v>
      </c>
      <c r="BR50" s="3"/>
      <c r="BS50" s="49">
        <v>27.7</v>
      </c>
      <c r="BT50" s="49">
        <v>7382.7349999999997</v>
      </c>
      <c r="BU50" s="50">
        <v>51.536000000000001</v>
      </c>
      <c r="BV50" s="49">
        <v>54.39</v>
      </c>
      <c r="BW50" s="49">
        <v>54.725000000000001</v>
      </c>
      <c r="BX50" s="49">
        <v>56.128999999999998</v>
      </c>
      <c r="BY50" s="50">
        <v>1.4830000000000001</v>
      </c>
      <c r="BZ50" s="49">
        <v>2.9369999999999998</v>
      </c>
      <c r="CA50" s="49">
        <v>3.3029999999999999</v>
      </c>
      <c r="CB50" s="49">
        <v>3.6469999999999998</v>
      </c>
      <c r="CC50" s="49">
        <v>0.82399999999999995</v>
      </c>
      <c r="CD50" s="50">
        <v>2.1640000000000001</v>
      </c>
      <c r="CE50" s="49">
        <v>1.161</v>
      </c>
      <c r="CF50" s="49">
        <v>1.9910000000000001</v>
      </c>
      <c r="CG50" s="49">
        <v>13.94</v>
      </c>
      <c r="CH50" s="49">
        <v>13.765000000000001</v>
      </c>
      <c r="CI50" s="49">
        <v>4.641</v>
      </c>
      <c r="CJ50" s="50">
        <v>3.327</v>
      </c>
      <c r="CK50" s="50">
        <v>1.655</v>
      </c>
      <c r="CL50" s="49">
        <v>0.1</v>
      </c>
      <c r="CM50" s="50">
        <v>0.9</v>
      </c>
      <c r="CN50" s="50">
        <v>0</v>
      </c>
      <c r="CO50" s="50">
        <v>0</v>
      </c>
      <c r="CP50" s="49">
        <v>90.174000000000007</v>
      </c>
      <c r="CQ50" s="49">
        <v>88.292000000000002</v>
      </c>
      <c r="CR50" s="49">
        <v>92.912999999999997</v>
      </c>
      <c r="CS50" s="49">
        <v>99.350999999999999</v>
      </c>
      <c r="CT50" s="49">
        <v>0.29499999999999998</v>
      </c>
      <c r="CU50" s="49">
        <v>0.89600000000000002</v>
      </c>
      <c r="CV50" s="49">
        <v>1.0980000000000001</v>
      </c>
      <c r="CW50" s="49">
        <v>0.998</v>
      </c>
      <c r="CX50" s="49">
        <v>1.696</v>
      </c>
      <c r="CY50" s="49">
        <v>0.499</v>
      </c>
      <c r="CZ50" s="49">
        <v>1.099</v>
      </c>
      <c r="DA50" s="49">
        <v>1.103</v>
      </c>
      <c r="DB50" s="49">
        <v>1.298</v>
      </c>
      <c r="DC50" s="49">
        <v>0</v>
      </c>
      <c r="DD50" s="50">
        <v>0</v>
      </c>
      <c r="DE50" s="50">
        <v>0.36</v>
      </c>
      <c r="DF50" s="50">
        <v>0.187</v>
      </c>
      <c r="DG50" s="50">
        <v>1.3089999999999999</v>
      </c>
      <c r="DH50" s="49">
        <v>2.4369999999999998</v>
      </c>
      <c r="DI50" s="49">
        <v>1.056</v>
      </c>
      <c r="DJ50" s="50">
        <v>0.38500000000000001</v>
      </c>
      <c r="DK50" s="49">
        <v>0.98699999999999999</v>
      </c>
      <c r="DL50" s="49">
        <v>0.39900000000000002</v>
      </c>
      <c r="DM50" s="49">
        <v>0.45200000000000001</v>
      </c>
      <c r="DN50" s="50">
        <v>0.86799999999999999</v>
      </c>
      <c r="DO50" s="50">
        <v>0.67400000000000004</v>
      </c>
      <c r="DP50" s="49">
        <v>64.688000000000002</v>
      </c>
      <c r="DQ50" s="49">
        <v>61.585000000000001</v>
      </c>
      <c r="DR50" s="49">
        <v>54.676000000000002</v>
      </c>
      <c r="DS50" s="49">
        <v>52.856000000000002</v>
      </c>
      <c r="DT50" s="49">
        <v>6.35</v>
      </c>
      <c r="DU50" s="49">
        <v>5.97</v>
      </c>
      <c r="DV50" s="49">
        <v>14.62</v>
      </c>
      <c r="DW50" s="49">
        <v>12.69</v>
      </c>
      <c r="DX50" s="49">
        <v>6.48</v>
      </c>
      <c r="DY50" s="49">
        <v>6.29</v>
      </c>
      <c r="DZ50" s="49">
        <v>14.15</v>
      </c>
      <c r="EA50" s="49">
        <v>12.62</v>
      </c>
      <c r="EB50" s="49">
        <v>42.44</v>
      </c>
      <c r="EC50" s="49">
        <v>41.89</v>
      </c>
      <c r="ED50" s="49">
        <v>31.31</v>
      </c>
      <c r="EE50" s="49">
        <v>33.159999999999997</v>
      </c>
      <c r="EF50" s="49">
        <v>44.74</v>
      </c>
      <c r="EG50" s="49">
        <v>45.86</v>
      </c>
      <c r="EH50" s="49">
        <v>39.92</v>
      </c>
      <c r="EI50" s="49">
        <v>41.53</v>
      </c>
      <c r="EJ50" s="49">
        <v>6.2889999999999997</v>
      </c>
      <c r="EK50" s="49">
        <v>60.029000000000003</v>
      </c>
      <c r="EL50" s="49">
        <v>2.0499999999999998</v>
      </c>
      <c r="EM50" s="49">
        <v>1.65</v>
      </c>
      <c r="EN50" s="49">
        <v>1.2</v>
      </c>
      <c r="EO50" s="49">
        <v>1.21</v>
      </c>
      <c r="EP50" s="49">
        <v>-119.946</v>
      </c>
      <c r="EQ50" s="49">
        <v>-3.1539999999999999</v>
      </c>
      <c r="ER50" s="49">
        <v>92.337999999999994</v>
      </c>
      <c r="ES50" s="49">
        <v>1.345</v>
      </c>
      <c r="ET50" s="49">
        <v>1.4750000000000001</v>
      </c>
      <c r="EU50" s="49">
        <v>1.294</v>
      </c>
      <c r="EV50" s="49">
        <v>7.5540000000000003</v>
      </c>
      <c r="EW50" s="50">
        <v>1.9059999999999999</v>
      </c>
      <c r="EX50" s="49">
        <v>74.34</v>
      </c>
      <c r="EY50" s="49">
        <v>0</v>
      </c>
      <c r="EZ50" s="49">
        <v>0.17299999999999999</v>
      </c>
      <c r="FA50" s="50">
        <v>0</v>
      </c>
      <c r="FB50" s="49">
        <v>9.1959999999999997</v>
      </c>
      <c r="FC50" s="49">
        <v>59.058</v>
      </c>
      <c r="FD50" s="49">
        <v>55.927</v>
      </c>
      <c r="FE50" s="49">
        <v>61.936</v>
      </c>
      <c r="FF50" s="49">
        <v>61.253</v>
      </c>
      <c r="FG50" s="49">
        <v>0.91900000000000004</v>
      </c>
      <c r="FH50" s="49">
        <v>0.91900000000000004</v>
      </c>
      <c r="FI50" s="49">
        <v>1.004</v>
      </c>
      <c r="FJ50" s="49">
        <v>1.0069999999999999</v>
      </c>
      <c r="FK50" s="49">
        <v>0</v>
      </c>
      <c r="FL50" s="49">
        <v>83</v>
      </c>
      <c r="FM50" s="49">
        <v>3.69</v>
      </c>
      <c r="FN50" s="49">
        <v>-0.54</v>
      </c>
      <c r="FO50" s="49">
        <v>5.26</v>
      </c>
      <c r="FP50" s="49">
        <v>4.5999999999999996</v>
      </c>
      <c r="FQ50" s="49">
        <v>4.55</v>
      </c>
      <c r="FR50" s="49">
        <v>5.0999999999999996</v>
      </c>
      <c r="FS50" s="49">
        <v>6.6074999999999999</v>
      </c>
      <c r="FT50" s="49">
        <v>1078.8</v>
      </c>
      <c r="FU50" s="49">
        <v>6.83</v>
      </c>
      <c r="FV50" s="49">
        <v>15.56</v>
      </c>
      <c r="FW50" s="49">
        <v>3100</v>
      </c>
      <c r="FX50" s="49">
        <v>164300</v>
      </c>
      <c r="FY50" s="49">
        <v>165400</v>
      </c>
      <c r="FZ50" s="49">
        <v>48.118000000000002</v>
      </c>
      <c r="GA50" s="49">
        <v>47.378999999999998</v>
      </c>
      <c r="GB50" s="49">
        <v>2215.9</v>
      </c>
      <c r="GC50" s="49">
        <v>2141.9</v>
      </c>
      <c r="GD50" s="49">
        <v>2269.9</v>
      </c>
      <c r="GE50" s="49">
        <v>2177.1999999999998</v>
      </c>
      <c r="GF50" s="50">
        <v>1592.7030999999999</v>
      </c>
      <c r="GG50" s="49">
        <v>37</v>
      </c>
      <c r="GH50" s="49">
        <v>37</v>
      </c>
      <c r="GI50" s="49">
        <v>48.7</v>
      </c>
      <c r="GJ50" s="49">
        <v>54.5</v>
      </c>
      <c r="GK50" s="49">
        <v>99.5</v>
      </c>
      <c r="GL50" s="49">
        <v>93.7</v>
      </c>
      <c r="GM50" s="50">
        <v>0</v>
      </c>
      <c r="GN50" s="49">
        <v>27.381</v>
      </c>
      <c r="GO50" s="49">
        <v>119.946</v>
      </c>
      <c r="GP50" s="49">
        <v>0.35399999999999998</v>
      </c>
      <c r="GQ50" s="49">
        <v>1.9470000000000001</v>
      </c>
      <c r="GR50" s="49">
        <v>0.53100000000000003</v>
      </c>
      <c r="GS50" s="49">
        <v>2.0059999999999998</v>
      </c>
      <c r="GT50" s="49">
        <v>0.53100000000000003</v>
      </c>
      <c r="GU50" s="49">
        <v>1.8879999999999999</v>
      </c>
      <c r="GV50" s="49">
        <v>12.936</v>
      </c>
      <c r="GW50" s="49">
        <v>14.055999999999999</v>
      </c>
      <c r="GX50" s="49">
        <v>15.974</v>
      </c>
      <c r="GY50" s="50">
        <v>0</v>
      </c>
      <c r="GZ50" s="50">
        <v>0</v>
      </c>
      <c r="HA50" s="50">
        <v>0</v>
      </c>
      <c r="HB50" s="49">
        <v>0</v>
      </c>
      <c r="HC50" s="49">
        <v>23.216000000000001</v>
      </c>
      <c r="HD50" s="49">
        <v>78</v>
      </c>
      <c r="HE50" s="50">
        <v>0</v>
      </c>
      <c r="HF50" s="50">
        <v>0</v>
      </c>
      <c r="HG50" s="49">
        <v>88.14</v>
      </c>
      <c r="HH50" s="49">
        <v>84.52</v>
      </c>
      <c r="HI50" s="50">
        <v>0</v>
      </c>
      <c r="HJ50" s="50">
        <v>0</v>
      </c>
      <c r="HK50" s="50">
        <v>0</v>
      </c>
      <c r="HL50" s="49">
        <v>59</v>
      </c>
      <c r="HM50" s="49">
        <v>52</v>
      </c>
      <c r="HN50" s="49">
        <v>64</v>
      </c>
      <c r="HO50" s="49">
        <v>59</v>
      </c>
      <c r="HP50" s="49">
        <v>62</v>
      </c>
      <c r="HQ50" s="49">
        <v>59</v>
      </c>
      <c r="HR50" s="49">
        <v>52</v>
      </c>
      <c r="HS50" s="50">
        <v>70</v>
      </c>
      <c r="HT50" s="50">
        <v>-1.357</v>
      </c>
      <c r="HU50" s="50">
        <v>0</v>
      </c>
      <c r="HV50" s="49">
        <v>0.80100000000000005</v>
      </c>
      <c r="HW50" s="50">
        <v>34.369999999999997</v>
      </c>
      <c r="HX50" s="49">
        <v>45.17</v>
      </c>
      <c r="HY50" s="49">
        <v>50.87</v>
      </c>
      <c r="HZ50" s="49">
        <v>63.08</v>
      </c>
      <c r="IA50" s="49">
        <v>2.86</v>
      </c>
      <c r="IB50" s="49">
        <v>104</v>
      </c>
      <c r="IC50" s="49">
        <v>22.239000000000001</v>
      </c>
      <c r="ID50" s="49">
        <v>-0.315</v>
      </c>
      <c r="IE50" s="49">
        <v>-0.13800000000000001</v>
      </c>
      <c r="IF50" s="49">
        <v>798.6</v>
      </c>
      <c r="IG50" s="49">
        <v>753.7</v>
      </c>
      <c r="IH50" s="49">
        <v>808.3</v>
      </c>
      <c r="II50" s="49">
        <v>763</v>
      </c>
      <c r="IJ50" s="49">
        <v>7.3999999999999996E-2</v>
      </c>
      <c r="IK50" s="49">
        <v>-8.0000000000000002E-3</v>
      </c>
      <c r="IL50" s="49">
        <v>70.388000000000005</v>
      </c>
      <c r="IM50" s="49">
        <v>70.388000000000005</v>
      </c>
      <c r="IN50" s="49">
        <v>9.9710000000000001</v>
      </c>
      <c r="IO50" s="49">
        <v>0.32300000000000001</v>
      </c>
      <c r="IP50" s="49">
        <v>9.94</v>
      </c>
      <c r="IQ50" s="50">
        <v>1.7000000000000001E-2</v>
      </c>
      <c r="IR50" s="49">
        <v>7.0000000000000001E-3</v>
      </c>
      <c r="IS50">
        <v>0.40800000000000014</v>
      </c>
      <c r="IT50">
        <v>0.25700000000000012</v>
      </c>
    </row>
    <row r="51" spans="1:254" x14ac:dyDescent="0.25">
      <c r="B51" s="2" t="s">
        <v>412</v>
      </c>
      <c r="C51" s="62" t="s">
        <v>44</v>
      </c>
      <c r="D51" s="63">
        <v>2.4438657407407408E-3</v>
      </c>
      <c r="E51" s="49">
        <v>211.19</v>
      </c>
      <c r="F51" s="50">
        <v>330.85</v>
      </c>
      <c r="G51" s="50">
        <v>6.1</v>
      </c>
      <c r="H51" s="49">
        <v>28.5</v>
      </c>
      <c r="I51" s="49">
        <v>0</v>
      </c>
      <c r="J51" s="49">
        <v>12.7</v>
      </c>
      <c r="K51" s="50">
        <v>9</v>
      </c>
      <c r="L51" s="50">
        <v>8</v>
      </c>
      <c r="M51" s="50">
        <v>6</v>
      </c>
      <c r="N51" s="50">
        <v>3</v>
      </c>
      <c r="O51" s="50">
        <v>3</v>
      </c>
      <c r="P51" s="49">
        <v>0.89500000000000002</v>
      </c>
      <c r="Q51" s="49">
        <v>1.48</v>
      </c>
      <c r="R51" s="49">
        <v>1.0169999999999999</v>
      </c>
      <c r="S51" s="49">
        <v>0.82899999999999996</v>
      </c>
      <c r="T51" s="50">
        <v>76.94</v>
      </c>
      <c r="U51" s="49">
        <v>61.026000000000003</v>
      </c>
      <c r="V51" s="49">
        <v>251.66</v>
      </c>
      <c r="W51" s="49">
        <v>241.66</v>
      </c>
      <c r="X51" s="49">
        <v>190</v>
      </c>
      <c r="Y51" s="49">
        <v>228.34</v>
      </c>
      <c r="Z51" s="50">
        <v>395.87</v>
      </c>
      <c r="AA51" s="50">
        <v>383.87</v>
      </c>
      <c r="AB51" s="50">
        <v>308.2</v>
      </c>
      <c r="AC51" s="50">
        <v>370.39</v>
      </c>
      <c r="AD51" s="49">
        <v>1.7809999999999999</v>
      </c>
      <c r="AE51" s="49">
        <v>1.849</v>
      </c>
      <c r="AF51" s="49">
        <v>1.7509999999999999</v>
      </c>
      <c r="AG51" s="49">
        <v>1.7709999999999999</v>
      </c>
      <c r="AH51" s="49">
        <v>81.59</v>
      </c>
      <c r="AI51" s="49">
        <v>79.069999999999993</v>
      </c>
      <c r="AJ51" s="49">
        <v>102.84</v>
      </c>
      <c r="AK51" s="49">
        <v>98.61</v>
      </c>
      <c r="AL51" s="50">
        <v>645.90499999999997</v>
      </c>
      <c r="AM51" s="50">
        <v>684.12800000000004</v>
      </c>
      <c r="AN51" s="50">
        <v>788.99599999999998</v>
      </c>
      <c r="AO51" s="50">
        <v>791.51599999999996</v>
      </c>
      <c r="AP51" s="50">
        <v>1.339</v>
      </c>
      <c r="AQ51" s="49">
        <v>1.8120000000000001</v>
      </c>
      <c r="AR51" s="49">
        <v>41.24</v>
      </c>
      <c r="AS51" s="49">
        <v>37.591000000000001</v>
      </c>
      <c r="AT51" s="50">
        <v>83</v>
      </c>
      <c r="AU51" s="49">
        <v>116</v>
      </c>
      <c r="AV51" s="50">
        <v>1.7729999999999999</v>
      </c>
      <c r="AW51" s="50">
        <v>5.1519000000000004</v>
      </c>
      <c r="AX51" s="50">
        <v>1017.5</v>
      </c>
      <c r="AY51" s="49">
        <v>2.35</v>
      </c>
      <c r="AZ51" s="49">
        <v>5.63</v>
      </c>
      <c r="BA51" s="49">
        <v>140.352</v>
      </c>
      <c r="BB51" s="49">
        <v>139.69200000000001</v>
      </c>
      <c r="BC51" s="50">
        <v>7820</v>
      </c>
      <c r="BD51" s="49">
        <v>88.5</v>
      </c>
      <c r="BE51" s="50">
        <v>16.925000000000001</v>
      </c>
      <c r="BF51" s="50">
        <v>15.225</v>
      </c>
      <c r="BG51" s="49">
        <v>28.73</v>
      </c>
      <c r="BH51" s="50">
        <v>28.06</v>
      </c>
      <c r="BI51" s="3"/>
      <c r="BJ51" s="3"/>
      <c r="BK51" s="3"/>
      <c r="BL51" s="3"/>
      <c r="BM51" s="3"/>
      <c r="BN51" s="49">
        <v>102.744</v>
      </c>
      <c r="BO51" s="49">
        <v>98.12</v>
      </c>
      <c r="BP51" s="49">
        <v>127.4</v>
      </c>
      <c r="BQ51" s="49">
        <v>128.85599999999999</v>
      </c>
      <c r="BR51" s="3"/>
      <c r="BS51" s="49">
        <v>28.2</v>
      </c>
      <c r="BT51" s="50">
        <v>7414.7979999999998</v>
      </c>
      <c r="BU51" s="49">
        <v>50.793999999999997</v>
      </c>
      <c r="BV51" s="49">
        <v>53.243000000000002</v>
      </c>
      <c r="BW51" s="49">
        <v>55.124000000000002</v>
      </c>
      <c r="BX51" s="49">
        <v>55.969000000000001</v>
      </c>
      <c r="BY51" s="49">
        <v>1.4139999999999999</v>
      </c>
      <c r="BZ51" s="50">
        <v>3.0169999999999999</v>
      </c>
      <c r="CA51" s="50">
        <v>3.899</v>
      </c>
      <c r="CB51" s="50">
        <v>4.1769999999999996</v>
      </c>
      <c r="CC51" s="49">
        <v>0.80900000000000005</v>
      </c>
      <c r="CD51" s="49">
        <v>2.1549999999999998</v>
      </c>
      <c r="CE51" s="49">
        <v>1.2529999999999999</v>
      </c>
      <c r="CF51" s="49">
        <v>2.0030000000000001</v>
      </c>
      <c r="CG51" s="49">
        <v>13.932</v>
      </c>
      <c r="CH51" s="49">
        <v>13.766999999999999</v>
      </c>
      <c r="CI51" s="50">
        <v>4.7240000000000002</v>
      </c>
      <c r="CJ51" s="49">
        <v>3.214</v>
      </c>
      <c r="CK51" s="49">
        <v>1.522</v>
      </c>
      <c r="CL51" s="50">
        <v>0.3</v>
      </c>
      <c r="CM51" s="49">
        <v>0.6</v>
      </c>
      <c r="CN51" s="50">
        <v>0</v>
      </c>
      <c r="CO51" s="50">
        <v>0</v>
      </c>
      <c r="CP51" s="49">
        <v>98.191999999999993</v>
      </c>
      <c r="CQ51" s="49">
        <v>94.766000000000005</v>
      </c>
      <c r="CR51" s="49">
        <v>116.889</v>
      </c>
      <c r="CS51" s="49">
        <v>120.59</v>
      </c>
      <c r="CT51" s="49">
        <v>0.27700000000000002</v>
      </c>
      <c r="CU51" s="49">
        <v>0.5</v>
      </c>
      <c r="CV51" s="49">
        <v>1.196</v>
      </c>
      <c r="CW51" s="49">
        <v>0.79900000000000004</v>
      </c>
      <c r="CX51" s="50">
        <v>2.1920000000000002</v>
      </c>
      <c r="CY51" s="49">
        <v>0.80100000000000005</v>
      </c>
      <c r="CZ51" s="50">
        <v>1.401</v>
      </c>
      <c r="DA51" s="50">
        <v>1.198</v>
      </c>
      <c r="DB51" s="49">
        <v>1.2969999999999999</v>
      </c>
      <c r="DC51" s="49">
        <v>0</v>
      </c>
      <c r="DD51" s="50">
        <v>0</v>
      </c>
      <c r="DE51" s="49">
        <v>0.31900000000000001</v>
      </c>
      <c r="DF51" s="49">
        <v>0.14899999999999999</v>
      </c>
      <c r="DG51" s="49">
        <v>0.91700000000000004</v>
      </c>
      <c r="DH51" s="49">
        <v>2.4260000000000002</v>
      </c>
      <c r="DI51" s="50">
        <v>1.0620000000000001</v>
      </c>
      <c r="DJ51" s="49">
        <v>0.30099999999999999</v>
      </c>
      <c r="DK51" s="50">
        <v>1.1319999999999999</v>
      </c>
      <c r="DL51" s="49">
        <v>0.40300000000000002</v>
      </c>
      <c r="DM51" s="49">
        <v>-3.8029999999999999</v>
      </c>
      <c r="DN51" s="49">
        <v>-9.8000000000000007</v>
      </c>
      <c r="DO51" s="49">
        <v>0.28199999999999997</v>
      </c>
      <c r="DP51" s="50">
        <v>67.058000000000007</v>
      </c>
      <c r="DQ51" s="49">
        <v>63.308</v>
      </c>
      <c r="DR51" s="49">
        <v>53.734999999999999</v>
      </c>
      <c r="DS51" s="49">
        <v>53.28</v>
      </c>
      <c r="DT51" s="50">
        <v>6.58</v>
      </c>
      <c r="DU51" s="50">
        <v>6.54</v>
      </c>
      <c r="DV51" s="50">
        <v>15.79</v>
      </c>
      <c r="DW51" s="50">
        <v>13.51</v>
      </c>
      <c r="DX51" s="50">
        <v>6.66</v>
      </c>
      <c r="DY51" s="50">
        <v>6.99</v>
      </c>
      <c r="DZ51" s="50">
        <v>15.72</v>
      </c>
      <c r="EA51" s="50">
        <v>13.71</v>
      </c>
      <c r="EB51" s="49">
        <v>42.26</v>
      </c>
      <c r="EC51" s="49">
        <v>41.14</v>
      </c>
      <c r="ED51" s="49">
        <v>30.3</v>
      </c>
      <c r="EE51" s="49">
        <v>32.159999999999997</v>
      </c>
      <c r="EF51" s="49">
        <v>44.49</v>
      </c>
      <c r="EG51" s="49">
        <v>45.32</v>
      </c>
      <c r="EH51" s="49">
        <v>38.19</v>
      </c>
      <c r="EI51" s="49">
        <v>40.619999999999997</v>
      </c>
      <c r="EJ51" s="49">
        <v>6.4649999999999999</v>
      </c>
      <c r="EK51" s="50">
        <v>60.030999999999999</v>
      </c>
      <c r="EL51" s="49">
        <v>2.15</v>
      </c>
      <c r="EM51" s="49">
        <v>1.7</v>
      </c>
      <c r="EN51" s="49">
        <v>1.18</v>
      </c>
      <c r="EO51" s="49">
        <v>1.18</v>
      </c>
      <c r="EP51" s="49">
        <v>-108.26600000000001</v>
      </c>
      <c r="EQ51" s="49">
        <v>-2.8740000000000001</v>
      </c>
      <c r="ER51" s="50">
        <v>108.982</v>
      </c>
      <c r="ES51" s="49">
        <v>1.298</v>
      </c>
      <c r="ET51" s="49">
        <v>1.355</v>
      </c>
      <c r="EU51" s="49">
        <v>1.1639999999999999</v>
      </c>
      <c r="EV51" s="50">
        <v>7.5579999999999998</v>
      </c>
      <c r="EW51" s="49">
        <v>1.8959999999999999</v>
      </c>
      <c r="EX51" s="50">
        <v>74.94</v>
      </c>
      <c r="EY51" s="49">
        <v>0</v>
      </c>
      <c r="EZ51" s="49">
        <v>0</v>
      </c>
      <c r="FA51" s="50">
        <v>0</v>
      </c>
      <c r="FB51" s="49">
        <v>9.1780000000000008</v>
      </c>
      <c r="FC51" s="49">
        <v>69.283000000000001</v>
      </c>
      <c r="FD51" s="49">
        <v>64.903999999999996</v>
      </c>
      <c r="FE51" s="49">
        <v>75.697000000000003</v>
      </c>
      <c r="FF51" s="49">
        <v>74.164000000000001</v>
      </c>
      <c r="FG51" s="49">
        <v>0.91900000000000004</v>
      </c>
      <c r="FH51" s="49">
        <v>0.91900000000000004</v>
      </c>
      <c r="FI51" s="49">
        <v>1.002</v>
      </c>
      <c r="FJ51" s="49">
        <v>1.006</v>
      </c>
      <c r="FK51" s="49">
        <v>0</v>
      </c>
      <c r="FL51" s="49">
        <v>83</v>
      </c>
      <c r="FM51" s="49">
        <v>3.73</v>
      </c>
      <c r="FN51" s="49">
        <v>2.13</v>
      </c>
      <c r="FO51" s="49">
        <v>5.38</v>
      </c>
      <c r="FP51" s="3"/>
      <c r="FQ51" s="49">
        <v>4.8499999999999996</v>
      </c>
      <c r="FR51" s="49">
        <v>5.0999999999999996</v>
      </c>
      <c r="FS51" s="49">
        <v>6.5345000000000004</v>
      </c>
      <c r="FT51" s="50">
        <v>1079</v>
      </c>
      <c r="FU51" s="49">
        <v>6.8</v>
      </c>
      <c r="FV51" s="49">
        <v>21.66</v>
      </c>
      <c r="FW51" s="49">
        <v>3137</v>
      </c>
      <c r="FX51" s="50">
        <v>167700</v>
      </c>
      <c r="FY51" s="50">
        <v>168300</v>
      </c>
      <c r="FZ51" s="49">
        <v>48.290999999999997</v>
      </c>
      <c r="GA51" s="49">
        <v>47.610999999999997</v>
      </c>
      <c r="GB51" s="49">
        <v>2181.1999999999998</v>
      </c>
      <c r="GC51" s="49">
        <v>2181.8000000000002</v>
      </c>
      <c r="GD51" s="49">
        <v>2221.4</v>
      </c>
      <c r="GE51" s="50">
        <v>2316.3000000000002</v>
      </c>
      <c r="GF51" s="49">
        <v>1429.0625</v>
      </c>
      <c r="GG51" s="49">
        <v>38</v>
      </c>
      <c r="GH51" s="49">
        <v>37.9</v>
      </c>
      <c r="GI51" s="49">
        <v>49.3</v>
      </c>
      <c r="GJ51" s="49">
        <v>54.3</v>
      </c>
      <c r="GK51" s="49">
        <v>99.5</v>
      </c>
      <c r="GL51" s="50">
        <v>95.7</v>
      </c>
      <c r="GM51" s="50">
        <v>0</v>
      </c>
      <c r="GN51" s="49">
        <v>26.798999999999999</v>
      </c>
      <c r="GO51" s="49">
        <v>108.982</v>
      </c>
      <c r="GP51" s="49">
        <v>0.29499999999999998</v>
      </c>
      <c r="GQ51" s="49">
        <v>1.8879999999999999</v>
      </c>
      <c r="GR51" s="49">
        <v>0.35399999999999998</v>
      </c>
      <c r="GS51" s="49">
        <v>2.0059999999999998</v>
      </c>
      <c r="GT51" s="49">
        <v>0.41299999999999998</v>
      </c>
      <c r="GU51" s="49">
        <v>1.8879999999999999</v>
      </c>
      <c r="GV51" s="49">
        <v>13.034000000000001</v>
      </c>
      <c r="GW51" s="49">
        <v>14.074</v>
      </c>
      <c r="GX51" s="49">
        <v>15.19</v>
      </c>
      <c r="GY51" s="50">
        <v>0</v>
      </c>
      <c r="GZ51" s="50">
        <v>0</v>
      </c>
      <c r="HA51" s="50">
        <v>0</v>
      </c>
      <c r="HB51" s="49">
        <v>0</v>
      </c>
      <c r="HC51" s="50">
        <v>23.66</v>
      </c>
      <c r="HD51" s="49">
        <v>78</v>
      </c>
      <c r="HE51" s="50">
        <v>0</v>
      </c>
      <c r="HF51" s="50">
        <v>0</v>
      </c>
      <c r="HG51" s="49">
        <v>76.36</v>
      </c>
      <c r="HH51" s="49">
        <v>83.06</v>
      </c>
      <c r="HI51" s="50">
        <v>0</v>
      </c>
      <c r="HJ51" s="50">
        <v>0</v>
      </c>
      <c r="HK51" s="50">
        <v>0</v>
      </c>
      <c r="HL51" s="49">
        <v>60</v>
      </c>
      <c r="HM51" s="49">
        <v>52</v>
      </c>
      <c r="HN51" s="50">
        <v>65</v>
      </c>
      <c r="HO51" s="49">
        <v>59</v>
      </c>
      <c r="HP51" s="49">
        <v>62</v>
      </c>
      <c r="HQ51" s="50">
        <v>60</v>
      </c>
      <c r="HR51" s="49">
        <v>52</v>
      </c>
      <c r="HS51" s="50">
        <v>70</v>
      </c>
      <c r="HT51" s="49">
        <v>-1.3274999999999999</v>
      </c>
      <c r="HU51" s="50">
        <v>0</v>
      </c>
      <c r="HV51" s="50">
        <v>1.2969999999999999</v>
      </c>
      <c r="HW51" s="49">
        <v>35.51</v>
      </c>
      <c r="HX51" s="50">
        <v>38.69</v>
      </c>
      <c r="HY51" s="50">
        <v>51.96</v>
      </c>
      <c r="HZ51" s="50">
        <v>65.36</v>
      </c>
      <c r="IA51" s="50">
        <v>3.0859999999999999</v>
      </c>
      <c r="IB51" s="50">
        <v>105</v>
      </c>
      <c r="IC51" s="50">
        <v>22.786999999999999</v>
      </c>
      <c r="ID51" s="49">
        <v>-0.39100000000000001</v>
      </c>
      <c r="IE51" s="49">
        <v>-0.152</v>
      </c>
      <c r="IF51" s="49">
        <v>802.9</v>
      </c>
      <c r="IG51" s="50">
        <v>758.7</v>
      </c>
      <c r="IH51" s="49">
        <v>812</v>
      </c>
      <c r="II51" s="50">
        <v>768.9</v>
      </c>
      <c r="IJ51" s="49">
        <v>5.8000000000000003E-2</v>
      </c>
      <c r="IK51" s="49">
        <v>-4.4999999999999998E-2</v>
      </c>
      <c r="IL51" s="49">
        <v>68.725999999999999</v>
      </c>
      <c r="IM51" s="49">
        <v>68.725999999999999</v>
      </c>
      <c r="IN51" s="49">
        <v>10.509</v>
      </c>
      <c r="IO51" s="50">
        <v>0.34399999999999997</v>
      </c>
      <c r="IP51" s="49">
        <v>9.85</v>
      </c>
      <c r="IQ51" s="49">
        <v>1.2E-2</v>
      </c>
      <c r="IR51" s="49">
        <v>0</v>
      </c>
      <c r="IS51">
        <v>0.42000000000000015</v>
      </c>
      <c r="IT51">
        <v>0.25700000000000012</v>
      </c>
    </row>
    <row r="52" spans="1:254" x14ac:dyDescent="0.25">
      <c r="B52" s="2" t="s">
        <v>412</v>
      </c>
      <c r="C52" s="2" t="s">
        <v>45</v>
      </c>
      <c r="D52" s="61">
        <v>2.7885416666666666E-3</v>
      </c>
      <c r="E52" s="49">
        <v>240.93100000000001</v>
      </c>
      <c r="F52" s="49">
        <v>330.56</v>
      </c>
      <c r="G52" s="49">
        <v>5.84</v>
      </c>
      <c r="H52" s="50">
        <v>28.6</v>
      </c>
      <c r="I52" s="49">
        <v>0</v>
      </c>
      <c r="J52" s="49">
        <v>15.3</v>
      </c>
      <c r="K52" s="50">
        <v>9</v>
      </c>
      <c r="L52" s="50">
        <v>8</v>
      </c>
      <c r="M52" s="50">
        <v>6</v>
      </c>
      <c r="N52" s="50">
        <v>3</v>
      </c>
      <c r="O52" s="50">
        <v>3</v>
      </c>
      <c r="P52" s="49">
        <v>0.872</v>
      </c>
      <c r="Q52" s="49">
        <v>1.401</v>
      </c>
      <c r="R52" s="49">
        <v>0.9</v>
      </c>
      <c r="S52" s="49">
        <v>0.66300000000000003</v>
      </c>
      <c r="T52" s="49">
        <v>74</v>
      </c>
      <c r="U52" s="49">
        <v>61.22</v>
      </c>
      <c r="V52" s="49">
        <v>246.66</v>
      </c>
      <c r="W52" s="49">
        <v>241.66</v>
      </c>
      <c r="X52" s="49">
        <v>172.5</v>
      </c>
      <c r="Y52" s="49">
        <v>215</v>
      </c>
      <c r="Z52" s="49">
        <v>379.88</v>
      </c>
      <c r="AA52" s="49">
        <v>372.92</v>
      </c>
      <c r="AB52" s="49">
        <v>277.25</v>
      </c>
      <c r="AC52" s="49">
        <v>343.23</v>
      </c>
      <c r="AD52" s="50">
        <v>1.7989999999999999</v>
      </c>
      <c r="AE52" s="50">
        <v>1.8660000000000001</v>
      </c>
      <c r="AF52" s="50">
        <v>1.79</v>
      </c>
      <c r="AG52" s="50">
        <v>1.8109999999999999</v>
      </c>
      <c r="AH52" s="50">
        <v>83.6</v>
      </c>
      <c r="AI52" s="50">
        <v>79.77</v>
      </c>
      <c r="AJ52" s="50">
        <v>105.97</v>
      </c>
      <c r="AK52" s="50">
        <v>102.13</v>
      </c>
      <c r="AL52" s="49">
        <v>621.13599999999997</v>
      </c>
      <c r="AM52" s="49">
        <v>615.62900000000002</v>
      </c>
      <c r="AN52" s="49">
        <v>735.07899999999995</v>
      </c>
      <c r="AO52" s="49">
        <v>730.13800000000003</v>
      </c>
      <c r="AP52" s="49">
        <v>1.33</v>
      </c>
      <c r="AQ52" s="49">
        <v>1.8149999999999999</v>
      </c>
      <c r="AR52" s="49">
        <v>36.267000000000003</v>
      </c>
      <c r="AS52" s="49">
        <v>37.898000000000003</v>
      </c>
      <c r="AT52" s="50">
        <v>83</v>
      </c>
      <c r="AU52" s="50">
        <v>119</v>
      </c>
      <c r="AV52" s="49">
        <v>2.198</v>
      </c>
      <c r="AW52" s="49">
        <v>5.0594000000000001</v>
      </c>
      <c r="AX52" s="49">
        <v>1015.8</v>
      </c>
      <c r="AY52" s="49">
        <v>2.34</v>
      </c>
      <c r="AZ52" s="50">
        <v>5.25</v>
      </c>
      <c r="BA52" s="50">
        <v>69.3</v>
      </c>
      <c r="BB52" s="50">
        <v>69.400000000000006</v>
      </c>
      <c r="BC52" s="49">
        <v>7747</v>
      </c>
      <c r="BD52" s="49">
        <v>88.75</v>
      </c>
      <c r="BE52" s="49">
        <v>15.965</v>
      </c>
      <c r="BF52" s="49">
        <v>11.675000000000001</v>
      </c>
      <c r="BG52" s="50">
        <v>29.09</v>
      </c>
      <c r="BH52" s="49">
        <v>24.26</v>
      </c>
      <c r="BI52" s="50">
        <v>66.403999999999996</v>
      </c>
      <c r="BJ52" s="49">
        <v>81.882999999999996</v>
      </c>
      <c r="BK52" s="50">
        <v>64.768000000000001</v>
      </c>
      <c r="BL52" s="49">
        <v>77.105000000000004</v>
      </c>
      <c r="BM52" s="50">
        <v>81.710999999999999</v>
      </c>
      <c r="BN52" s="50">
        <v>111.44799999999999</v>
      </c>
      <c r="BO52" s="50">
        <v>109.992</v>
      </c>
      <c r="BP52" s="50">
        <v>128.392</v>
      </c>
      <c r="BQ52" s="50">
        <v>130.98400000000001</v>
      </c>
      <c r="BR52" s="50">
        <v>60.634999999999998</v>
      </c>
      <c r="BS52" s="50">
        <v>28.3</v>
      </c>
      <c r="BT52" s="49">
        <v>7394.5619999999999</v>
      </c>
      <c r="BU52" s="49">
        <v>47.707000000000001</v>
      </c>
      <c r="BV52" s="49">
        <v>53.561999999999998</v>
      </c>
      <c r="BW52" s="49">
        <v>55.545999999999999</v>
      </c>
      <c r="BX52" s="49">
        <v>56.213000000000001</v>
      </c>
      <c r="BY52" s="49">
        <v>1.399</v>
      </c>
      <c r="BZ52" s="49">
        <v>2.9409999999999998</v>
      </c>
      <c r="CA52" s="49">
        <v>2.9769999999999999</v>
      </c>
      <c r="CB52" s="49">
        <v>3.4129999999999998</v>
      </c>
      <c r="CC52" s="50">
        <v>1.042</v>
      </c>
      <c r="CD52" s="49">
        <v>2.0409999999999999</v>
      </c>
      <c r="CE52" s="49">
        <v>1.1519999999999999</v>
      </c>
      <c r="CF52" s="49">
        <v>1.976</v>
      </c>
      <c r="CG52" s="49">
        <v>13.959</v>
      </c>
      <c r="CH52" s="49">
        <v>13.688000000000001</v>
      </c>
      <c r="CI52" s="3"/>
      <c r="CJ52" s="3"/>
      <c r="CK52" s="3"/>
      <c r="CL52" s="49">
        <v>0.1</v>
      </c>
      <c r="CM52" s="49">
        <v>0.2</v>
      </c>
      <c r="CN52" s="50">
        <v>0</v>
      </c>
      <c r="CO52" s="50">
        <v>0</v>
      </c>
      <c r="CP52" s="50">
        <v>99.453999999999994</v>
      </c>
      <c r="CQ52" s="50">
        <v>96.933999999999997</v>
      </c>
      <c r="CR52" s="50">
        <v>121.944</v>
      </c>
      <c r="CS52" s="50">
        <v>126.39400000000001</v>
      </c>
      <c r="CT52" s="50">
        <v>0.496</v>
      </c>
      <c r="CU52" s="49">
        <v>0.59899999999999998</v>
      </c>
      <c r="CV52" s="49">
        <v>1.296</v>
      </c>
      <c r="CW52" s="49">
        <v>1.0940000000000001</v>
      </c>
      <c r="CX52" s="49">
        <v>1.2</v>
      </c>
      <c r="CY52" s="49">
        <v>1.1020000000000001</v>
      </c>
      <c r="CZ52" s="49">
        <v>0.89700000000000002</v>
      </c>
      <c r="DA52" s="49">
        <v>0.7</v>
      </c>
      <c r="DB52" s="50">
        <v>1.996</v>
      </c>
      <c r="DC52" s="49">
        <v>0</v>
      </c>
      <c r="DD52" s="50">
        <v>0</v>
      </c>
      <c r="DE52" s="49">
        <v>0.27400000000000002</v>
      </c>
      <c r="DF52" s="49">
        <v>0.13500000000000001</v>
      </c>
      <c r="DG52" s="49">
        <v>0.35899999999999999</v>
      </c>
      <c r="DH52" s="49">
        <v>1.8049999999999999</v>
      </c>
      <c r="DI52" s="49">
        <v>0.93799999999999994</v>
      </c>
      <c r="DJ52" s="49">
        <v>0.20200000000000001</v>
      </c>
      <c r="DK52" s="49">
        <v>0.9</v>
      </c>
      <c r="DL52" s="49">
        <v>0.39500000000000002</v>
      </c>
      <c r="DM52" s="49">
        <v>0.46</v>
      </c>
      <c r="DN52" s="49">
        <v>0.432</v>
      </c>
      <c r="DO52" s="49">
        <v>0.29799999999999999</v>
      </c>
      <c r="DP52" s="49">
        <v>64.763999999999996</v>
      </c>
      <c r="DQ52" s="49">
        <v>62.119</v>
      </c>
      <c r="DR52" s="50">
        <v>54.996000000000002</v>
      </c>
      <c r="DS52" s="50">
        <v>54.252000000000002</v>
      </c>
      <c r="DT52" s="49">
        <v>5.29</v>
      </c>
      <c r="DU52" s="49">
        <v>4.87</v>
      </c>
      <c r="DV52" s="49">
        <v>13.32</v>
      </c>
      <c r="DW52" s="49">
        <v>11.44</v>
      </c>
      <c r="DX52" s="49">
        <v>5.52</v>
      </c>
      <c r="DY52" s="49">
        <v>5.01</v>
      </c>
      <c r="DZ52" s="49">
        <v>13.06</v>
      </c>
      <c r="EA52" s="49">
        <v>11.36</v>
      </c>
      <c r="EB52" s="49">
        <v>42.58</v>
      </c>
      <c r="EC52" s="49">
        <v>42.38</v>
      </c>
      <c r="ED52" s="49">
        <v>31.5</v>
      </c>
      <c r="EE52" s="49">
        <v>32.89</v>
      </c>
      <c r="EF52" s="49">
        <v>46.61</v>
      </c>
      <c r="EG52" s="49">
        <v>47.73</v>
      </c>
      <c r="EH52" s="49">
        <v>42.12</v>
      </c>
      <c r="EI52" s="49">
        <v>44.3</v>
      </c>
      <c r="EJ52" s="50">
        <v>6.7039999999999997</v>
      </c>
      <c r="EK52" s="49">
        <v>59.854999999999997</v>
      </c>
      <c r="EL52" s="49">
        <v>2.15</v>
      </c>
      <c r="EM52" s="49">
        <v>1.7</v>
      </c>
      <c r="EN52" s="49">
        <v>1.2</v>
      </c>
      <c r="EO52" s="49">
        <v>1.2</v>
      </c>
      <c r="EP52" s="49">
        <v>-98.63</v>
      </c>
      <c r="EQ52" s="49">
        <v>-2.504</v>
      </c>
      <c r="ER52" s="49">
        <v>84.453999999999994</v>
      </c>
      <c r="ES52" s="49">
        <v>1.042</v>
      </c>
      <c r="ET52" s="49">
        <v>1.04</v>
      </c>
      <c r="EU52" s="49">
        <v>0.874</v>
      </c>
      <c r="EV52" s="49">
        <v>7.4</v>
      </c>
      <c r="EW52" s="49">
        <v>1.881</v>
      </c>
      <c r="EX52" s="49">
        <v>70.28</v>
      </c>
      <c r="EY52" s="49">
        <v>0.06</v>
      </c>
      <c r="EZ52" s="49">
        <v>0</v>
      </c>
      <c r="FA52" s="50">
        <v>0</v>
      </c>
      <c r="FB52" s="49">
        <v>9.2479999999999993</v>
      </c>
      <c r="FC52" s="50">
        <v>72.885000000000005</v>
      </c>
      <c r="FD52" s="50">
        <v>68.254999999999995</v>
      </c>
      <c r="FE52" s="50">
        <v>82.099000000000004</v>
      </c>
      <c r="FF52" s="50">
        <v>80.179000000000002</v>
      </c>
      <c r="FG52" s="49">
        <v>0.92300000000000004</v>
      </c>
      <c r="FH52" s="49">
        <v>0.92</v>
      </c>
      <c r="FI52" s="49">
        <v>1.0029999999999999</v>
      </c>
      <c r="FJ52" s="49">
        <v>1.008</v>
      </c>
      <c r="FK52" s="49">
        <v>0</v>
      </c>
      <c r="FL52" s="49">
        <v>83</v>
      </c>
      <c r="FM52" s="50">
        <v>3.76</v>
      </c>
      <c r="FN52" s="49">
        <v>2.0299999999999998</v>
      </c>
      <c r="FO52" s="50">
        <v>5.22</v>
      </c>
      <c r="FP52" s="50">
        <v>3.8</v>
      </c>
      <c r="FQ52" s="49">
        <v>4.5999999999999996</v>
      </c>
      <c r="FR52" s="50">
        <v>5.05</v>
      </c>
      <c r="FS52" s="50">
        <v>6.7720000000000002</v>
      </c>
      <c r="FT52" s="49">
        <v>1075.3</v>
      </c>
      <c r="FU52" s="49">
        <v>6.78</v>
      </c>
      <c r="FV52" s="50">
        <v>27.5</v>
      </c>
      <c r="FW52" s="49">
        <v>3100.5</v>
      </c>
      <c r="FX52" s="49">
        <v>166700</v>
      </c>
      <c r="FY52" s="49">
        <v>166900</v>
      </c>
      <c r="FZ52" s="49">
        <v>48.293999999999997</v>
      </c>
      <c r="GA52" s="49">
        <v>47.43</v>
      </c>
      <c r="GB52" s="49">
        <v>2285</v>
      </c>
      <c r="GC52" s="50">
        <v>2277.3000000000002</v>
      </c>
      <c r="GD52" s="49">
        <v>2318.3000000000002</v>
      </c>
      <c r="GE52" s="49">
        <v>2277.3000000000002</v>
      </c>
      <c r="GF52" s="49">
        <v>1506.0625</v>
      </c>
      <c r="GG52" s="50">
        <v>39</v>
      </c>
      <c r="GH52" s="50">
        <v>38.9</v>
      </c>
      <c r="GI52" s="49">
        <v>49.7</v>
      </c>
      <c r="GJ52" s="49">
        <v>54.8</v>
      </c>
      <c r="GK52" s="49">
        <v>99.5</v>
      </c>
      <c r="GL52" s="49">
        <v>73.7</v>
      </c>
      <c r="GM52" s="50">
        <v>0</v>
      </c>
      <c r="GN52" s="50">
        <v>29.527999999999999</v>
      </c>
      <c r="GO52" s="49">
        <v>98.63</v>
      </c>
      <c r="GP52" s="50">
        <v>0</v>
      </c>
      <c r="GQ52" s="49">
        <v>1.8879999999999999</v>
      </c>
      <c r="GR52" s="50">
        <v>0</v>
      </c>
      <c r="GS52" s="49">
        <v>1.9470000000000001</v>
      </c>
      <c r="GT52" s="50">
        <v>0</v>
      </c>
      <c r="GU52" s="49">
        <v>1.8879999999999999</v>
      </c>
      <c r="GV52" s="50">
        <v>0</v>
      </c>
      <c r="GW52" s="49">
        <v>14.022</v>
      </c>
      <c r="GX52" s="49">
        <v>15.484</v>
      </c>
      <c r="GY52" s="50">
        <v>0</v>
      </c>
      <c r="GZ52" s="50">
        <v>0</v>
      </c>
      <c r="HA52" s="50">
        <v>0</v>
      </c>
      <c r="HB52" s="49">
        <v>0</v>
      </c>
      <c r="HC52" s="49">
        <v>22.738</v>
      </c>
      <c r="HD52" s="49">
        <v>82</v>
      </c>
      <c r="HE52" s="50">
        <v>0</v>
      </c>
      <c r="HF52" s="50">
        <v>0</v>
      </c>
      <c r="HG52" s="49">
        <v>74.8</v>
      </c>
      <c r="HH52" s="49">
        <v>82.84</v>
      </c>
      <c r="HI52" s="50">
        <v>0</v>
      </c>
      <c r="HJ52" s="50">
        <v>0</v>
      </c>
      <c r="HK52" s="50">
        <v>0</v>
      </c>
      <c r="HL52" s="49">
        <v>61</v>
      </c>
      <c r="HM52" s="49">
        <v>52</v>
      </c>
      <c r="HN52" s="50">
        <v>65</v>
      </c>
      <c r="HO52" s="50">
        <v>60</v>
      </c>
      <c r="HP52" s="50">
        <v>63</v>
      </c>
      <c r="HQ52" s="50">
        <v>60</v>
      </c>
      <c r="HR52" s="49">
        <v>52</v>
      </c>
      <c r="HS52" s="49">
        <v>64</v>
      </c>
      <c r="HT52" s="49">
        <v>-1.3334999999999999</v>
      </c>
      <c r="HU52" s="50">
        <v>0</v>
      </c>
      <c r="HV52" s="49">
        <v>1.1819999999999999</v>
      </c>
      <c r="HW52" s="49">
        <v>35.51</v>
      </c>
      <c r="HX52" s="50">
        <v>38.69</v>
      </c>
      <c r="HY52" s="3"/>
      <c r="HZ52" s="3"/>
      <c r="IA52" s="49">
        <v>3.032</v>
      </c>
      <c r="IB52" s="49">
        <v>104</v>
      </c>
      <c r="IC52" s="49">
        <v>22.731999999999999</v>
      </c>
      <c r="ID52" s="49">
        <v>-0.318</v>
      </c>
      <c r="IE52" s="49">
        <v>-0.129</v>
      </c>
      <c r="IF52" s="50">
        <v>804.4</v>
      </c>
      <c r="IG52" s="49">
        <v>746.2</v>
      </c>
      <c r="IH52" s="49">
        <v>815.1</v>
      </c>
      <c r="II52" s="49">
        <v>759.7</v>
      </c>
      <c r="IJ52" s="49">
        <v>6.3E-2</v>
      </c>
      <c r="IK52" s="49">
        <v>-3.4000000000000002E-2</v>
      </c>
      <c r="IL52" s="49">
        <v>80.847999999999999</v>
      </c>
      <c r="IM52" s="49">
        <v>80.847999999999999</v>
      </c>
      <c r="IN52" s="49">
        <v>13.590999999999999</v>
      </c>
      <c r="IO52" s="49">
        <v>0.32500000000000001</v>
      </c>
      <c r="IP52" s="49">
        <v>9.9600000000000009</v>
      </c>
      <c r="IQ52" s="49">
        <v>0</v>
      </c>
      <c r="IR52" s="49">
        <v>0</v>
      </c>
      <c r="IS52">
        <v>0.42000000000000015</v>
      </c>
      <c r="IT52">
        <v>0.25700000000000012</v>
      </c>
    </row>
    <row r="53" spans="1:254" x14ac:dyDescent="0.25">
      <c r="IS53">
        <v>0.42000000000000015</v>
      </c>
      <c r="IT53">
        <v>0.25700000000000012</v>
      </c>
    </row>
    <row r="54" spans="1:254" x14ac:dyDescent="0.25">
      <c r="IS54">
        <v>0.42000000000000015</v>
      </c>
      <c r="IT54">
        <v>0.25700000000000012</v>
      </c>
    </row>
    <row r="55" spans="1:254" x14ac:dyDescent="0.25">
      <c r="IS55">
        <v>0.42000000000000015</v>
      </c>
      <c r="IT55">
        <v>0.25700000000000012</v>
      </c>
    </row>
    <row r="56" spans="1:254" x14ac:dyDescent="0.25">
      <c r="B56" s="2" t="s">
        <v>412</v>
      </c>
      <c r="C56" s="2" t="s">
        <v>41</v>
      </c>
      <c r="D56" s="61">
        <v>1.5064814814814816E-2</v>
      </c>
      <c r="E56" s="50">
        <v>1301.5999999999999</v>
      </c>
      <c r="F56" s="49">
        <v>324.63</v>
      </c>
      <c r="G56" s="49">
        <v>5.53</v>
      </c>
      <c r="H56" s="50">
        <v>27.8</v>
      </c>
      <c r="I56" s="50">
        <v>0</v>
      </c>
      <c r="J56" s="50">
        <v>1064.3</v>
      </c>
      <c r="K56" s="50">
        <v>6</v>
      </c>
      <c r="L56" s="50">
        <v>4</v>
      </c>
      <c r="M56" s="50">
        <v>6</v>
      </c>
      <c r="N56" s="50">
        <v>3</v>
      </c>
      <c r="O56" s="50">
        <v>3</v>
      </c>
      <c r="P56" s="49">
        <v>0.67800000000000005</v>
      </c>
      <c r="Q56" s="49">
        <v>1.0649999999999999</v>
      </c>
      <c r="R56" s="49">
        <v>0.61399999999999999</v>
      </c>
      <c r="S56" s="50">
        <v>0.45800000000000002</v>
      </c>
      <c r="T56" s="49">
        <v>60.56</v>
      </c>
      <c r="U56" s="49">
        <v>61.243000000000002</v>
      </c>
      <c r="V56" s="50">
        <v>60</v>
      </c>
      <c r="W56" s="50">
        <v>40</v>
      </c>
      <c r="X56" s="50">
        <v>80</v>
      </c>
      <c r="Y56" s="50">
        <v>80</v>
      </c>
      <c r="Z56" s="49">
        <v>126.88</v>
      </c>
      <c r="AA56" s="49">
        <v>108.21</v>
      </c>
      <c r="AB56" s="49">
        <v>105.39</v>
      </c>
      <c r="AC56" s="49">
        <v>111.77</v>
      </c>
      <c r="AD56" s="49">
        <v>1.542</v>
      </c>
      <c r="AE56" s="49">
        <v>1.165</v>
      </c>
      <c r="AF56" s="49">
        <v>1.577</v>
      </c>
      <c r="AG56" s="49">
        <v>1.6</v>
      </c>
      <c r="AH56" s="49">
        <v>-15.46</v>
      </c>
      <c r="AI56" s="49">
        <v>31.72</v>
      </c>
      <c r="AJ56" s="49">
        <v>-17.03</v>
      </c>
      <c r="AK56" s="49">
        <v>-19.12</v>
      </c>
      <c r="AL56" s="49">
        <v>552.471</v>
      </c>
      <c r="AM56" s="49">
        <v>590.82500000000005</v>
      </c>
      <c r="AN56" s="49">
        <v>701.22</v>
      </c>
      <c r="AO56" s="49">
        <v>748.75599999999997</v>
      </c>
      <c r="AP56" s="50">
        <v>1.4830000000000001</v>
      </c>
      <c r="AQ56" s="50">
        <v>1.9990000000000001</v>
      </c>
      <c r="AR56" s="49">
        <v>41.505000000000003</v>
      </c>
      <c r="AS56" s="49">
        <v>36.948</v>
      </c>
      <c r="AT56" s="49">
        <v>82</v>
      </c>
      <c r="AU56" s="49">
        <v>88</v>
      </c>
      <c r="AV56" s="49">
        <v>2.0575000000000001</v>
      </c>
      <c r="AW56" s="50">
        <v>5.5628000000000002</v>
      </c>
      <c r="AX56" s="50">
        <v>1023.9</v>
      </c>
      <c r="AY56" s="49">
        <v>2.37</v>
      </c>
      <c r="AZ56" s="50">
        <v>0.23</v>
      </c>
      <c r="BA56" s="50">
        <v>66.207999999999998</v>
      </c>
      <c r="BB56" s="50">
        <v>66.5</v>
      </c>
      <c r="BC56" s="49">
        <v>7786</v>
      </c>
      <c r="BD56" s="49">
        <v>89.25</v>
      </c>
      <c r="BE56" s="49">
        <v>15.955</v>
      </c>
      <c r="BF56" s="49">
        <v>13.71</v>
      </c>
      <c r="BG56" s="49">
        <v>28.69</v>
      </c>
      <c r="BH56" s="49">
        <v>27.55</v>
      </c>
      <c r="BI56" s="49">
        <v>64.66</v>
      </c>
      <c r="BJ56" s="49">
        <v>80.679000000000002</v>
      </c>
      <c r="BK56" s="49">
        <v>62.966000000000001</v>
      </c>
      <c r="BL56" s="50">
        <v>78.025000000000006</v>
      </c>
      <c r="BM56" s="49">
        <v>78.210999999999999</v>
      </c>
      <c r="BN56" s="49">
        <v>81.831999999999994</v>
      </c>
      <c r="BO56" s="49">
        <v>78.456000000000003</v>
      </c>
      <c r="BP56" s="49">
        <v>91.703999999999994</v>
      </c>
      <c r="BQ56" s="49">
        <v>90.584000000000003</v>
      </c>
      <c r="BR56" s="49">
        <v>57.31</v>
      </c>
      <c r="BS56" s="49">
        <v>26</v>
      </c>
      <c r="BT56" s="49">
        <v>6804.4669999999996</v>
      </c>
      <c r="BU56" s="50">
        <v>51.375</v>
      </c>
      <c r="BV56" s="49">
        <v>52.164000000000001</v>
      </c>
      <c r="BW56" s="49">
        <v>54.872</v>
      </c>
      <c r="BX56" s="49">
        <v>54.857999999999997</v>
      </c>
      <c r="BY56" s="49">
        <v>1.5189999999999999</v>
      </c>
      <c r="BZ56" s="49">
        <v>2.2549999999999999</v>
      </c>
      <c r="CA56" s="49">
        <v>2.8620000000000001</v>
      </c>
      <c r="CB56" s="49">
        <v>3.0990000000000002</v>
      </c>
      <c r="CC56" s="49">
        <v>1.319</v>
      </c>
      <c r="CD56" s="49">
        <v>2.5409999999999999</v>
      </c>
      <c r="CE56" s="49">
        <v>1.4119999999999999</v>
      </c>
      <c r="CF56" s="50">
        <v>2.2400000000000002</v>
      </c>
      <c r="CG56" s="49">
        <v>13.036</v>
      </c>
      <c r="CH56" s="50">
        <v>9.7460000000000004</v>
      </c>
      <c r="CI56" s="49">
        <v>4.5979999999999999</v>
      </c>
      <c r="CJ56" s="49">
        <v>-930411.30900000001</v>
      </c>
      <c r="CK56" s="49">
        <v>1.0649999999999999</v>
      </c>
      <c r="CL56" s="49">
        <v>0.2</v>
      </c>
      <c r="CM56" s="49">
        <v>0.2</v>
      </c>
      <c r="CN56" s="49">
        <v>0</v>
      </c>
      <c r="CO56" s="49">
        <v>0</v>
      </c>
      <c r="CP56" s="49">
        <v>36.561</v>
      </c>
      <c r="CQ56" s="49">
        <v>35.218000000000004</v>
      </c>
      <c r="CR56" s="49">
        <v>37.722999999999999</v>
      </c>
      <c r="CS56" s="49">
        <v>35.43</v>
      </c>
      <c r="CT56" s="49">
        <v>0.24299999999999999</v>
      </c>
      <c r="CU56" s="50">
        <v>1.3</v>
      </c>
      <c r="CV56" s="49">
        <v>0.9</v>
      </c>
      <c r="CW56" s="49">
        <v>1.3939999999999999</v>
      </c>
      <c r="CX56" s="49">
        <v>1.502</v>
      </c>
      <c r="CY56" s="49">
        <v>0.7</v>
      </c>
      <c r="CZ56" s="50">
        <v>1.296</v>
      </c>
      <c r="DA56" s="49">
        <v>0.7</v>
      </c>
      <c r="DB56" s="49">
        <v>1.4970000000000001</v>
      </c>
      <c r="DC56" s="50">
        <v>0</v>
      </c>
      <c r="DD56" s="50">
        <v>0</v>
      </c>
      <c r="DE56" s="49">
        <v>5.8999999999999997E-2</v>
      </c>
      <c r="DF56" s="49">
        <v>3.9E-2</v>
      </c>
      <c r="DG56" s="49">
        <v>0.193</v>
      </c>
      <c r="DH56" s="49">
        <v>1.252</v>
      </c>
      <c r="DI56" s="49">
        <v>1.2430000000000001</v>
      </c>
      <c r="DJ56" s="50">
        <v>0.17799999999999999</v>
      </c>
      <c r="DK56" s="50">
        <v>0.81299999999999994</v>
      </c>
      <c r="DL56" s="49">
        <v>0.41599999999999998</v>
      </c>
      <c r="DM56" s="49">
        <v>0.49199999999999999</v>
      </c>
      <c r="DN56" s="50">
        <v>0.49199999999999999</v>
      </c>
      <c r="DO56" s="49">
        <v>0.35699999999999998</v>
      </c>
      <c r="DP56" s="49">
        <v>64.88</v>
      </c>
      <c r="DQ56" s="49">
        <v>60.57</v>
      </c>
      <c r="DR56" s="49">
        <v>53.213999999999999</v>
      </c>
      <c r="DS56" s="49">
        <v>48.881</v>
      </c>
      <c r="DT56" s="49">
        <v>0.76</v>
      </c>
      <c r="DU56" s="49">
        <v>0.77</v>
      </c>
      <c r="DV56" s="49">
        <v>1.59</v>
      </c>
      <c r="DW56" s="49">
        <v>1.33</v>
      </c>
      <c r="DX56" s="49">
        <v>0.79</v>
      </c>
      <c r="DY56" s="49">
        <v>0.75</v>
      </c>
      <c r="DZ56" s="49">
        <v>1.45</v>
      </c>
      <c r="EA56" s="49">
        <v>1.23</v>
      </c>
      <c r="EB56" s="49">
        <v>9.67</v>
      </c>
      <c r="EC56" s="49">
        <v>9.41</v>
      </c>
      <c r="ED56" s="49">
        <v>7.8</v>
      </c>
      <c r="EE56" s="49">
        <v>7.65</v>
      </c>
      <c r="EF56" s="50">
        <v>88.78</v>
      </c>
      <c r="EG56" s="50">
        <v>89.07</v>
      </c>
      <c r="EH56" s="50">
        <v>89.17</v>
      </c>
      <c r="EI56" s="50">
        <v>89.79</v>
      </c>
      <c r="EJ56" s="49">
        <v>4.633</v>
      </c>
      <c r="EK56" s="49">
        <v>49.033999999999999</v>
      </c>
      <c r="EL56" s="50">
        <v>2.2999999999999998</v>
      </c>
      <c r="EM56" s="50">
        <v>1.65</v>
      </c>
      <c r="EN56" s="49">
        <v>1.08</v>
      </c>
      <c r="EO56" s="49">
        <v>1.08</v>
      </c>
      <c r="EP56" s="49">
        <v>-97.462000000000003</v>
      </c>
      <c r="EQ56" s="49">
        <v>-0.25700000000000001</v>
      </c>
      <c r="ER56" s="49">
        <v>101.098</v>
      </c>
      <c r="ES56" s="49">
        <v>0.48799999999999999</v>
      </c>
      <c r="ET56" s="49">
        <v>0.50700000000000001</v>
      </c>
      <c r="EU56" s="49">
        <v>0.47599999999999998</v>
      </c>
      <c r="EV56" s="50">
        <v>8.1470000000000002</v>
      </c>
      <c r="EW56" s="49">
        <v>2.87</v>
      </c>
      <c r="EX56" s="49">
        <v>-258.95999999999998</v>
      </c>
      <c r="EY56" s="49">
        <v>0</v>
      </c>
      <c r="EZ56" s="50">
        <v>182.06700000000001</v>
      </c>
      <c r="FA56" s="50">
        <v>0</v>
      </c>
      <c r="FB56" s="49">
        <v>5.0410000000000004</v>
      </c>
      <c r="FC56" s="49">
        <v>15.601000000000001</v>
      </c>
      <c r="FD56" s="49">
        <v>57.045000000000002</v>
      </c>
      <c r="FE56" s="49">
        <v>12.644</v>
      </c>
      <c r="FF56" s="49">
        <v>11.505000000000001</v>
      </c>
      <c r="FG56" s="50">
        <v>1.0109999999999999</v>
      </c>
      <c r="FH56" s="50">
        <v>1.01</v>
      </c>
      <c r="FI56" s="49">
        <v>1.002</v>
      </c>
      <c r="FJ56" s="49">
        <v>1.0029999999999999</v>
      </c>
      <c r="FK56" s="50">
        <v>0.20200000000000001</v>
      </c>
      <c r="FL56" s="49">
        <v>82</v>
      </c>
      <c r="FM56" s="49">
        <v>3.69</v>
      </c>
      <c r="FN56" s="50">
        <v>1.91</v>
      </c>
      <c r="FO56" s="50">
        <v>0.23</v>
      </c>
      <c r="FP56" s="50">
        <v>0.6</v>
      </c>
      <c r="FQ56" s="50">
        <v>1.55</v>
      </c>
      <c r="FR56" s="49">
        <v>5.2</v>
      </c>
      <c r="FS56" s="50">
        <v>6.7424999999999997</v>
      </c>
      <c r="FT56" s="49">
        <v>1069.2</v>
      </c>
      <c r="FU56" s="49">
        <v>5.88</v>
      </c>
      <c r="FV56" s="49">
        <v>5.53</v>
      </c>
      <c r="FW56" s="50">
        <v>16383.5</v>
      </c>
      <c r="FX56" s="49">
        <v>165200</v>
      </c>
      <c r="FY56" s="49">
        <v>165600</v>
      </c>
      <c r="FZ56" s="49">
        <v>48.514000000000003</v>
      </c>
      <c r="GA56" s="49">
        <v>47.607999999999997</v>
      </c>
      <c r="GB56" s="49">
        <v>2166.3000000000002</v>
      </c>
      <c r="GC56" s="49">
        <v>2167.3000000000002</v>
      </c>
      <c r="GD56" s="49">
        <v>2205.6999999999998</v>
      </c>
      <c r="GE56" s="49">
        <v>2204.5</v>
      </c>
      <c r="GF56" s="50">
        <v>1457.375</v>
      </c>
      <c r="GG56" s="50">
        <v>40</v>
      </c>
      <c r="GH56" s="50">
        <v>40.299999999999997</v>
      </c>
      <c r="GI56" s="50">
        <v>77.2</v>
      </c>
      <c r="GJ56" s="50">
        <v>77.5</v>
      </c>
      <c r="GK56" s="50">
        <v>63</v>
      </c>
      <c r="GL56" s="49">
        <v>80</v>
      </c>
      <c r="GM56" s="50">
        <v>0</v>
      </c>
      <c r="GN56" s="49">
        <v>24.276</v>
      </c>
      <c r="GO56" s="49">
        <v>101.098</v>
      </c>
      <c r="GP56" s="50">
        <v>0</v>
      </c>
      <c r="GQ56" s="50">
        <v>5.31</v>
      </c>
      <c r="GR56" s="50">
        <v>0</v>
      </c>
      <c r="GS56" s="50">
        <v>5.782</v>
      </c>
      <c r="GT56" s="50">
        <v>0</v>
      </c>
      <c r="GU56" s="50">
        <v>5.4870000000000001</v>
      </c>
      <c r="GV56" s="50">
        <v>0</v>
      </c>
      <c r="GW56" s="49">
        <v>4.0609999999999999</v>
      </c>
      <c r="GX56" s="50">
        <v>24.99</v>
      </c>
      <c r="GY56" s="50">
        <v>0</v>
      </c>
      <c r="GZ56" s="50">
        <v>0</v>
      </c>
      <c r="HA56" s="50">
        <v>0</v>
      </c>
      <c r="HB56" s="50">
        <v>1</v>
      </c>
      <c r="HC56" s="49">
        <v>22.268999999999998</v>
      </c>
      <c r="HD56" s="49">
        <v>78</v>
      </c>
      <c r="HE56" s="50">
        <v>0</v>
      </c>
      <c r="HF56" s="50">
        <v>0</v>
      </c>
      <c r="HG56" s="50">
        <v>87.95</v>
      </c>
      <c r="HH56" s="49">
        <v>82</v>
      </c>
      <c r="HI56" s="50">
        <v>0</v>
      </c>
      <c r="HJ56" s="50">
        <v>0</v>
      </c>
      <c r="HK56" s="50">
        <v>0</v>
      </c>
      <c r="HL56" s="49">
        <v>50</v>
      </c>
      <c r="HM56" s="50">
        <v>51</v>
      </c>
      <c r="HN56" s="49">
        <v>55</v>
      </c>
      <c r="HO56" s="49">
        <v>49</v>
      </c>
      <c r="HP56" s="49">
        <v>51</v>
      </c>
      <c r="HQ56" s="49">
        <v>50</v>
      </c>
      <c r="HR56" s="49">
        <v>47</v>
      </c>
      <c r="HS56" s="49">
        <v>62</v>
      </c>
      <c r="HT56" s="49">
        <v>-1.3140000000000001</v>
      </c>
      <c r="HU56" s="50">
        <v>0</v>
      </c>
      <c r="HV56" s="49">
        <v>0.216</v>
      </c>
      <c r="HW56" s="50">
        <v>35.64</v>
      </c>
      <c r="HX56" s="50">
        <v>44.28</v>
      </c>
      <c r="HY56" s="3"/>
      <c r="HZ56" s="3"/>
      <c r="IA56" s="49">
        <v>2.7010000000000001</v>
      </c>
      <c r="IB56" s="49">
        <v>77</v>
      </c>
      <c r="IC56" s="49">
        <v>6.867</v>
      </c>
      <c r="ID56" s="50">
        <v>-5.8999999999999997E-2</v>
      </c>
      <c r="IE56" s="50">
        <v>-3.6999999999999998E-2</v>
      </c>
      <c r="IF56" s="50">
        <v>837.2</v>
      </c>
      <c r="IG56" s="49">
        <v>236</v>
      </c>
      <c r="IH56" s="50">
        <v>819.7</v>
      </c>
      <c r="II56" s="49">
        <v>243.8</v>
      </c>
      <c r="IJ56" s="49">
        <v>7.0000000000000001E-3</v>
      </c>
      <c r="IK56" s="49">
        <v>-0.01</v>
      </c>
      <c r="IL56" s="50">
        <v>1149.307</v>
      </c>
      <c r="IM56" s="50">
        <v>1149.1079999999999</v>
      </c>
      <c r="IN56" s="49">
        <v>8.1180000000000003</v>
      </c>
      <c r="IO56" s="49">
        <v>9.2999999999999999E-2</v>
      </c>
      <c r="IP56" s="50">
        <v>10.119999999999999</v>
      </c>
      <c r="IQ56" s="49">
        <v>0.01</v>
      </c>
      <c r="IR56" s="49">
        <v>-0.01</v>
      </c>
      <c r="IS56">
        <v>0.42000000000000015</v>
      </c>
      <c r="IT56">
        <v>0.25700000000000012</v>
      </c>
    </row>
    <row r="57" spans="1:254" x14ac:dyDescent="0.25">
      <c r="A57" s="6" t="s">
        <v>50</v>
      </c>
      <c r="B57" s="2" t="s">
        <v>412</v>
      </c>
      <c r="C57" s="2" t="s">
        <v>42</v>
      </c>
      <c r="D57" s="61">
        <v>3.5822916666666664E-3</v>
      </c>
      <c r="E57" s="49">
        <v>309.52</v>
      </c>
      <c r="F57" s="49">
        <v>330.3</v>
      </c>
      <c r="G57" s="49">
        <v>5.0199999999999996</v>
      </c>
      <c r="H57" s="49">
        <v>26.7</v>
      </c>
      <c r="I57" s="50">
        <v>0</v>
      </c>
      <c r="J57" s="49">
        <v>9.9</v>
      </c>
      <c r="K57" s="50">
        <v>6</v>
      </c>
      <c r="L57" s="50">
        <v>4</v>
      </c>
      <c r="M57" s="50">
        <v>6</v>
      </c>
      <c r="N57" s="50">
        <v>3</v>
      </c>
      <c r="O57" s="50">
        <v>3</v>
      </c>
      <c r="P57" s="50">
        <v>0.75700000000000001</v>
      </c>
      <c r="Q57" s="49">
        <v>1.08</v>
      </c>
      <c r="R57" s="50">
        <v>0.80600000000000005</v>
      </c>
      <c r="S57" s="3"/>
      <c r="T57" s="49">
        <v>75.22</v>
      </c>
      <c r="U57" s="49">
        <v>61.012</v>
      </c>
      <c r="V57" s="49">
        <v>132.5</v>
      </c>
      <c r="W57" s="49">
        <v>140</v>
      </c>
      <c r="X57" s="49">
        <v>130</v>
      </c>
      <c r="Y57" s="49">
        <v>147.5</v>
      </c>
      <c r="Z57" s="49">
        <v>302.83</v>
      </c>
      <c r="AA57" s="49">
        <v>324.01</v>
      </c>
      <c r="AB57" s="49">
        <v>239.85</v>
      </c>
      <c r="AC57" s="49">
        <v>291.89999999999998</v>
      </c>
      <c r="AD57" s="49">
        <v>1.74</v>
      </c>
      <c r="AE57" s="49">
        <v>1.782</v>
      </c>
      <c r="AF57" s="49">
        <v>1.7190000000000001</v>
      </c>
      <c r="AG57" s="49">
        <v>1.772</v>
      </c>
      <c r="AH57" s="49">
        <v>73.98</v>
      </c>
      <c r="AI57" s="49">
        <v>69.91</v>
      </c>
      <c r="AJ57" s="49">
        <v>98.88</v>
      </c>
      <c r="AK57" s="49">
        <v>90.92</v>
      </c>
      <c r="AL57" s="50">
        <v>685.97400000000005</v>
      </c>
      <c r="AM57" s="49">
        <v>678.48900000000003</v>
      </c>
      <c r="AN57" s="49">
        <v>834.00900000000001</v>
      </c>
      <c r="AO57" s="49">
        <v>756.93600000000004</v>
      </c>
      <c r="AP57" s="49">
        <v>1.478</v>
      </c>
      <c r="AQ57" s="49">
        <v>1.982</v>
      </c>
      <c r="AR57" s="49">
        <v>39.679000000000002</v>
      </c>
      <c r="AS57" s="49">
        <v>36.271999999999998</v>
      </c>
      <c r="AT57" s="49">
        <v>82</v>
      </c>
      <c r="AU57" s="49">
        <v>102</v>
      </c>
      <c r="AV57" s="49">
        <v>2.5710000000000002</v>
      </c>
      <c r="AW57" s="49">
        <v>4.9010999999999996</v>
      </c>
      <c r="AX57" s="49">
        <v>1012.9</v>
      </c>
      <c r="AY57" s="49">
        <v>2.29</v>
      </c>
      <c r="AZ57" s="49">
        <v>5.68</v>
      </c>
      <c r="BA57" s="49">
        <v>70.798000000000002</v>
      </c>
      <c r="BB57" s="49">
        <v>71.915999999999997</v>
      </c>
      <c r="BC57" s="49">
        <v>7723</v>
      </c>
      <c r="BD57" s="49">
        <v>89.5</v>
      </c>
      <c r="BE57" s="50">
        <v>16.84</v>
      </c>
      <c r="BF57" s="49">
        <v>11.775</v>
      </c>
      <c r="BG57" s="49">
        <v>29.39</v>
      </c>
      <c r="BH57" s="49">
        <v>27.91</v>
      </c>
      <c r="BI57" s="3"/>
      <c r="BJ57" s="3"/>
      <c r="BK57" s="3"/>
      <c r="BL57" s="3"/>
      <c r="BM57" s="3"/>
      <c r="BN57" s="49">
        <v>110.488</v>
      </c>
      <c r="BO57" s="49">
        <v>106.80800000000001</v>
      </c>
      <c r="BP57" s="49">
        <v>126.80800000000001</v>
      </c>
      <c r="BQ57" s="49">
        <v>129.17599999999999</v>
      </c>
      <c r="BR57" s="3"/>
      <c r="BS57" s="49">
        <v>26.4</v>
      </c>
      <c r="BT57" s="49">
        <v>7246.7640000000001</v>
      </c>
      <c r="BU57" s="49">
        <v>42.058999999999997</v>
      </c>
      <c r="BV57" s="50">
        <v>53.497</v>
      </c>
      <c r="BW57" s="49">
        <v>53.832999999999998</v>
      </c>
      <c r="BX57" s="49">
        <v>53.945999999999998</v>
      </c>
      <c r="BY57" s="49">
        <v>1.387</v>
      </c>
      <c r="BZ57" s="49">
        <v>2.7010000000000001</v>
      </c>
      <c r="CA57" s="49">
        <v>3.3639999999999999</v>
      </c>
      <c r="CB57" s="49">
        <v>3.26</v>
      </c>
      <c r="CC57" s="50">
        <v>1.474</v>
      </c>
      <c r="CD57" s="50">
        <v>2.6120000000000001</v>
      </c>
      <c r="CE57" s="49">
        <v>1.33</v>
      </c>
      <c r="CF57" s="49">
        <v>2.2120000000000002</v>
      </c>
      <c r="CG57" s="49">
        <v>13.962</v>
      </c>
      <c r="CH57" s="49">
        <v>13.56</v>
      </c>
      <c r="CI57" s="50">
        <v>5.016</v>
      </c>
      <c r="CJ57" s="49">
        <v>-116.81699999999999</v>
      </c>
      <c r="CK57" s="49">
        <v>0.89200000000000002</v>
      </c>
      <c r="CL57" s="49">
        <v>0.2</v>
      </c>
      <c r="CM57" s="49">
        <v>0.5</v>
      </c>
      <c r="CN57" s="49">
        <v>0</v>
      </c>
      <c r="CO57" s="49">
        <v>0</v>
      </c>
      <c r="CP57" s="49">
        <v>94.4</v>
      </c>
      <c r="CQ57" s="49">
        <v>92.433999999999997</v>
      </c>
      <c r="CR57" s="49">
        <v>107.482</v>
      </c>
      <c r="CS57" s="49">
        <v>110.176</v>
      </c>
      <c r="CT57" s="49">
        <v>0.185</v>
      </c>
      <c r="CU57" s="49">
        <v>0.29799999999999999</v>
      </c>
      <c r="CV57" s="49">
        <v>0.80200000000000005</v>
      </c>
      <c r="CW57" s="49">
        <v>0.6</v>
      </c>
      <c r="CX57" s="50">
        <v>1.6020000000000001</v>
      </c>
      <c r="CY57" s="49">
        <v>0.1</v>
      </c>
      <c r="CZ57" s="49">
        <v>0.79900000000000004</v>
      </c>
      <c r="DA57" s="49">
        <v>0.60299999999999998</v>
      </c>
      <c r="DB57" s="49">
        <v>0.9</v>
      </c>
      <c r="DC57" s="50">
        <v>0</v>
      </c>
      <c r="DD57" s="50">
        <v>0</v>
      </c>
      <c r="DE57" s="49">
        <v>0.151</v>
      </c>
      <c r="DF57" s="49">
        <v>0.03</v>
      </c>
      <c r="DG57" s="49">
        <v>0.35299999999999998</v>
      </c>
      <c r="DH57" s="49">
        <v>1.7450000000000001</v>
      </c>
      <c r="DI57" s="49">
        <v>1.0629999999999999</v>
      </c>
      <c r="DJ57" s="49">
        <v>0.14599999999999999</v>
      </c>
      <c r="DK57" s="49">
        <v>0.65200000000000002</v>
      </c>
      <c r="DL57" s="49">
        <v>0.41399999999999998</v>
      </c>
      <c r="DM57" s="49">
        <v>0.46800000000000003</v>
      </c>
      <c r="DN57" s="49">
        <v>0.41199999999999998</v>
      </c>
      <c r="DO57" s="49">
        <v>0.28100000000000003</v>
      </c>
      <c r="DP57" s="49">
        <v>62.795999999999999</v>
      </c>
      <c r="DQ57" s="49">
        <v>59.116</v>
      </c>
      <c r="DR57" s="50">
        <v>54.393000000000001</v>
      </c>
      <c r="DS57" s="49">
        <v>50.670999999999999</v>
      </c>
      <c r="DT57" s="49">
        <v>3.1</v>
      </c>
      <c r="DU57" s="49">
        <v>2.98</v>
      </c>
      <c r="DV57" s="49">
        <v>6.35</v>
      </c>
      <c r="DW57" s="49">
        <v>4.74</v>
      </c>
      <c r="DX57" s="49">
        <v>3.22</v>
      </c>
      <c r="DY57" s="49">
        <v>3.23</v>
      </c>
      <c r="DZ57" s="49">
        <v>6.09</v>
      </c>
      <c r="EA57" s="49">
        <v>4.66</v>
      </c>
      <c r="EB57" s="49">
        <v>42.97</v>
      </c>
      <c r="EC57" s="50">
        <v>42.78</v>
      </c>
      <c r="ED57" s="49">
        <v>34.92</v>
      </c>
      <c r="EE57" s="50">
        <v>35.869999999999997</v>
      </c>
      <c r="EF57" s="49">
        <v>50.71</v>
      </c>
      <c r="EG57" s="49">
        <v>51.01</v>
      </c>
      <c r="EH57" s="49">
        <v>52.64</v>
      </c>
      <c r="EI57" s="49">
        <v>54.73</v>
      </c>
      <c r="EJ57" s="49">
        <v>6.2919999999999998</v>
      </c>
      <c r="EK57" s="49">
        <v>59.865000000000002</v>
      </c>
      <c r="EL57" s="49">
        <v>2.1</v>
      </c>
      <c r="EM57" s="49">
        <v>1.75</v>
      </c>
      <c r="EN57" s="49">
        <v>1.5</v>
      </c>
      <c r="EO57" s="49">
        <v>1.5</v>
      </c>
      <c r="EP57" s="49">
        <v>-103.886</v>
      </c>
      <c r="EQ57" s="49">
        <v>-1.63</v>
      </c>
      <c r="ER57" s="49">
        <v>103.434</v>
      </c>
      <c r="ES57" s="49">
        <v>1.5820000000000001</v>
      </c>
      <c r="ET57" s="49">
        <v>1.649</v>
      </c>
      <c r="EU57" s="49">
        <v>1.5489999999999999</v>
      </c>
      <c r="EV57" s="49">
        <v>8.0969999999999995</v>
      </c>
      <c r="EW57" s="50">
        <v>2.9529999999999998</v>
      </c>
      <c r="EX57" s="49">
        <v>58.04</v>
      </c>
      <c r="EY57" s="49">
        <v>0</v>
      </c>
      <c r="EZ57" s="49">
        <v>14.718999999999999</v>
      </c>
      <c r="FA57" s="50">
        <v>0</v>
      </c>
      <c r="FB57" s="49">
        <v>9.2799999999999994</v>
      </c>
      <c r="FC57" s="49">
        <v>70.492000000000004</v>
      </c>
      <c r="FD57" s="50">
        <v>66.242000000000004</v>
      </c>
      <c r="FE57" s="49">
        <v>76.894999999999996</v>
      </c>
      <c r="FF57" s="49">
        <v>73.474999999999994</v>
      </c>
      <c r="FG57" s="49">
        <v>0.91600000000000004</v>
      </c>
      <c r="FH57" s="49">
        <v>0.91600000000000004</v>
      </c>
      <c r="FI57" s="49">
        <v>0.995</v>
      </c>
      <c r="FJ57" s="49">
        <v>0.998</v>
      </c>
      <c r="FK57" s="49">
        <v>0</v>
      </c>
      <c r="FL57" s="50">
        <v>83</v>
      </c>
      <c r="FM57" s="49">
        <v>3.74</v>
      </c>
      <c r="FN57" s="49">
        <v>2.21</v>
      </c>
      <c r="FO57" s="49">
        <v>5.5</v>
      </c>
      <c r="FP57" s="49">
        <v>4.2</v>
      </c>
      <c r="FQ57" s="49">
        <v>4.45</v>
      </c>
      <c r="FR57" s="49">
        <v>5.15</v>
      </c>
      <c r="FS57" s="49">
        <v>6.7060000000000004</v>
      </c>
      <c r="FT57" s="49">
        <v>1073.9000000000001</v>
      </c>
      <c r="FU57" s="49">
        <v>6.97</v>
      </c>
      <c r="FV57" s="49">
        <v>10.55</v>
      </c>
      <c r="FW57" s="49">
        <v>3158</v>
      </c>
      <c r="FX57" s="49">
        <v>166900</v>
      </c>
      <c r="FY57" s="49">
        <v>167000</v>
      </c>
      <c r="FZ57" s="49">
        <v>47.436</v>
      </c>
      <c r="GA57" s="49">
        <v>47.216000000000001</v>
      </c>
      <c r="GB57" s="50">
        <v>2233</v>
      </c>
      <c r="GC57" s="49">
        <v>2157.8000000000002</v>
      </c>
      <c r="GD57" s="49">
        <v>2233</v>
      </c>
      <c r="GE57" s="49">
        <v>2209.1</v>
      </c>
      <c r="GF57" s="49">
        <v>1385.9375</v>
      </c>
      <c r="GG57" s="49">
        <v>28</v>
      </c>
      <c r="GH57" s="49">
        <v>27.5</v>
      </c>
      <c r="GI57" s="49">
        <v>50.1</v>
      </c>
      <c r="GJ57" s="49">
        <v>54.3</v>
      </c>
      <c r="GK57" s="49">
        <v>87</v>
      </c>
      <c r="GL57" s="49">
        <v>75.2</v>
      </c>
      <c r="GM57" s="50">
        <v>0</v>
      </c>
      <c r="GN57" s="49">
        <v>26.259</v>
      </c>
      <c r="GO57" s="49">
        <v>103.886</v>
      </c>
      <c r="GP57" s="49">
        <v>1.0620000000000001</v>
      </c>
      <c r="GQ57" s="49">
        <v>1.9470000000000001</v>
      </c>
      <c r="GR57" s="49">
        <v>1.298</v>
      </c>
      <c r="GS57" s="49">
        <v>2.0059999999999998</v>
      </c>
      <c r="GT57" s="49">
        <v>0.82599999999999996</v>
      </c>
      <c r="GU57" s="49">
        <v>1.829</v>
      </c>
      <c r="GV57" s="49">
        <v>12.837999999999999</v>
      </c>
      <c r="GW57" s="49">
        <v>14.1</v>
      </c>
      <c r="GX57" s="49">
        <v>15.68</v>
      </c>
      <c r="GY57" s="50">
        <v>0</v>
      </c>
      <c r="GZ57" s="50">
        <v>0</v>
      </c>
      <c r="HA57" s="50">
        <v>0</v>
      </c>
      <c r="HB57" s="49">
        <v>0</v>
      </c>
      <c r="HC57" s="50">
        <v>25.294</v>
      </c>
      <c r="HD57" s="50">
        <v>82</v>
      </c>
      <c r="HE57" s="50">
        <v>0</v>
      </c>
      <c r="HF57" s="50">
        <v>0</v>
      </c>
      <c r="HG57" s="49">
        <v>72.75</v>
      </c>
      <c r="HH57" s="49">
        <v>81.66</v>
      </c>
      <c r="HI57" s="50">
        <v>0</v>
      </c>
      <c r="HJ57" s="50">
        <v>0</v>
      </c>
      <c r="HK57" s="50">
        <v>0</v>
      </c>
      <c r="HL57" s="49">
        <v>56</v>
      </c>
      <c r="HM57" s="49">
        <v>50</v>
      </c>
      <c r="HN57" s="49">
        <v>58</v>
      </c>
      <c r="HO57" s="49">
        <v>51</v>
      </c>
      <c r="HP57" s="49">
        <v>54</v>
      </c>
      <c r="HQ57" s="49">
        <v>52</v>
      </c>
      <c r="HR57" s="49">
        <v>47</v>
      </c>
      <c r="HS57" s="49">
        <v>62</v>
      </c>
      <c r="HT57" s="49">
        <v>-1.33</v>
      </c>
      <c r="HU57" s="50">
        <v>0</v>
      </c>
      <c r="HV57" s="49">
        <v>0.91900000000000004</v>
      </c>
      <c r="HW57" s="50">
        <v>35.64</v>
      </c>
      <c r="HX57" s="50">
        <v>44.28</v>
      </c>
      <c r="HY57" s="3"/>
      <c r="HZ57" s="3"/>
      <c r="IA57" s="49">
        <v>2.9169999999999998</v>
      </c>
      <c r="IB57" s="49">
        <v>100</v>
      </c>
      <c r="IC57" s="49">
        <v>19.879000000000001</v>
      </c>
      <c r="ID57" s="49">
        <v>-0.19700000000000001</v>
      </c>
      <c r="IE57" s="49">
        <v>-0.111</v>
      </c>
      <c r="IF57" s="49">
        <v>801.7</v>
      </c>
      <c r="IG57" s="49">
        <v>662.4</v>
      </c>
      <c r="IH57" s="49">
        <v>811.3</v>
      </c>
      <c r="II57" s="49">
        <v>675.8</v>
      </c>
      <c r="IJ57" s="49">
        <v>8.9999999999999993E-3</v>
      </c>
      <c r="IK57" s="49">
        <v>-4.0000000000000001E-3</v>
      </c>
      <c r="IL57" s="49">
        <v>201.03</v>
      </c>
      <c r="IM57" s="49">
        <v>201.03</v>
      </c>
      <c r="IN57" s="49">
        <v>13.439</v>
      </c>
      <c r="IO57" s="49">
        <v>0.10100000000000001</v>
      </c>
      <c r="IP57" s="49">
        <v>9.01</v>
      </c>
      <c r="IQ57" s="50">
        <v>1.2E-2</v>
      </c>
      <c r="IR57" s="50">
        <v>1.4E-2</v>
      </c>
      <c r="IS57">
        <v>0.43200000000000016</v>
      </c>
      <c r="IT57">
        <v>0.27100000000000013</v>
      </c>
    </row>
    <row r="58" spans="1:254" x14ac:dyDescent="0.25">
      <c r="B58" s="2" t="s">
        <v>412</v>
      </c>
      <c r="C58" s="2" t="s">
        <v>43</v>
      </c>
      <c r="D58" s="61">
        <v>4.410300925925926E-3</v>
      </c>
      <c r="E58" s="49">
        <v>380.99</v>
      </c>
      <c r="F58" s="49">
        <v>320.94</v>
      </c>
      <c r="G58" s="49">
        <v>4.4000000000000004</v>
      </c>
      <c r="H58" s="49">
        <v>26.3</v>
      </c>
      <c r="I58" s="50">
        <v>0</v>
      </c>
      <c r="J58" s="49">
        <v>15.1</v>
      </c>
      <c r="K58" s="50">
        <v>6</v>
      </c>
      <c r="L58" s="50">
        <v>4</v>
      </c>
      <c r="M58" s="50">
        <v>6</v>
      </c>
      <c r="N58" s="50">
        <v>3</v>
      </c>
      <c r="O58" s="50">
        <v>3</v>
      </c>
      <c r="P58" s="49">
        <v>0.59799999999999998</v>
      </c>
      <c r="Q58" s="49">
        <v>1.012</v>
      </c>
      <c r="R58" s="49">
        <v>0.57199999999999995</v>
      </c>
      <c r="S58" s="49">
        <v>0.45300000000000001</v>
      </c>
      <c r="T58" s="49">
        <v>58.52</v>
      </c>
      <c r="U58" s="50">
        <v>61.536999999999999</v>
      </c>
      <c r="V58" s="50">
        <v>60</v>
      </c>
      <c r="W58" s="50">
        <v>40</v>
      </c>
      <c r="X58" s="50">
        <v>80</v>
      </c>
      <c r="Y58" s="50">
        <v>80</v>
      </c>
      <c r="Z58" s="49">
        <v>148.72999999999999</v>
      </c>
      <c r="AA58" s="49">
        <v>150.22</v>
      </c>
      <c r="AB58" s="49">
        <v>113.01</v>
      </c>
      <c r="AC58" s="49">
        <v>125.68</v>
      </c>
      <c r="AD58" s="49">
        <v>1.5629999999999999</v>
      </c>
      <c r="AE58" s="49">
        <v>1.6120000000000001</v>
      </c>
      <c r="AF58" s="49">
        <v>1.5069999999999999</v>
      </c>
      <c r="AG58" s="49">
        <v>1.5760000000000001</v>
      </c>
      <c r="AH58" s="49">
        <v>48.57</v>
      </c>
      <c r="AI58" s="49">
        <v>46.02</v>
      </c>
      <c r="AJ58" s="49">
        <v>62.37</v>
      </c>
      <c r="AK58" s="49">
        <v>58.64</v>
      </c>
      <c r="AL58" s="49">
        <v>596.68700000000001</v>
      </c>
      <c r="AM58" s="49">
        <v>617.22799999999995</v>
      </c>
      <c r="AN58" s="49">
        <v>734.07600000000002</v>
      </c>
      <c r="AO58" s="49">
        <v>728.18700000000001</v>
      </c>
      <c r="AP58" s="49">
        <v>1.462</v>
      </c>
      <c r="AQ58" s="49">
        <v>1.9550000000000001</v>
      </c>
      <c r="AR58" s="49">
        <v>37.927999999999997</v>
      </c>
      <c r="AS58" s="49">
        <v>37.988</v>
      </c>
      <c r="AT58" s="49">
        <v>82</v>
      </c>
      <c r="AU58" s="49">
        <v>93</v>
      </c>
      <c r="AV58" s="49">
        <v>2.0910000000000002</v>
      </c>
      <c r="AW58" s="49">
        <v>5.2525000000000004</v>
      </c>
      <c r="AX58" s="49">
        <v>1006</v>
      </c>
      <c r="AY58" s="49">
        <v>2.29</v>
      </c>
      <c r="AZ58" s="49">
        <v>5.76</v>
      </c>
      <c r="BA58" s="49">
        <v>72.623000000000005</v>
      </c>
      <c r="BB58" s="49">
        <v>72.608999999999995</v>
      </c>
      <c r="BC58" s="50">
        <v>7815</v>
      </c>
      <c r="BD58" s="49">
        <v>89</v>
      </c>
      <c r="BE58" s="49">
        <v>14.04</v>
      </c>
      <c r="BF58" s="49">
        <v>12.43</v>
      </c>
      <c r="BG58" s="49">
        <v>26.91</v>
      </c>
      <c r="BH58" s="49">
        <v>26.09</v>
      </c>
      <c r="BI58" s="3"/>
      <c r="BJ58" s="3"/>
      <c r="BK58" s="3"/>
      <c r="BL58" s="3"/>
      <c r="BM58" s="3"/>
      <c r="BN58" s="49">
        <v>99.975999999999999</v>
      </c>
      <c r="BO58" s="49">
        <v>96.488</v>
      </c>
      <c r="BP58" s="49">
        <v>114.68</v>
      </c>
      <c r="BQ58" s="49">
        <v>116.92</v>
      </c>
      <c r="BR58" s="3"/>
      <c r="BS58" s="49">
        <v>25.9</v>
      </c>
      <c r="BT58" s="50">
        <v>7488.7359999999999</v>
      </c>
      <c r="BU58" s="49">
        <v>38.898000000000003</v>
      </c>
      <c r="BV58" s="49">
        <v>52.081000000000003</v>
      </c>
      <c r="BW58" s="49">
        <v>54.99</v>
      </c>
      <c r="BX58" s="50">
        <v>55.988999999999997</v>
      </c>
      <c r="BY58" s="50">
        <v>1.5549999999999999</v>
      </c>
      <c r="BZ58" s="49">
        <v>2.1030000000000002</v>
      </c>
      <c r="CA58" s="49">
        <v>3.4079999999999999</v>
      </c>
      <c r="CB58" s="49">
        <v>3.0870000000000002</v>
      </c>
      <c r="CC58" s="49">
        <v>1.1579999999999999</v>
      </c>
      <c r="CD58" s="49">
        <v>2.3610000000000002</v>
      </c>
      <c r="CE58" s="49">
        <v>1.51</v>
      </c>
      <c r="CF58" s="49">
        <v>2.1779999999999999</v>
      </c>
      <c r="CG58" s="50">
        <v>14.005000000000001</v>
      </c>
      <c r="CH58" s="49">
        <v>13.826000000000001</v>
      </c>
      <c r="CI58" s="49">
        <v>4.391</v>
      </c>
      <c r="CJ58" s="49">
        <v>-92.903999999999996</v>
      </c>
      <c r="CK58" s="49">
        <v>1.31</v>
      </c>
      <c r="CL58" s="49">
        <v>0</v>
      </c>
      <c r="CM58" s="49">
        <v>0.3</v>
      </c>
      <c r="CN58" s="50">
        <v>0.1</v>
      </c>
      <c r="CO58" s="50">
        <v>0.1</v>
      </c>
      <c r="CP58" s="49">
        <v>68.572999999999993</v>
      </c>
      <c r="CQ58" s="49">
        <v>67.778000000000006</v>
      </c>
      <c r="CR58" s="49">
        <v>78.307000000000002</v>
      </c>
      <c r="CS58" s="49">
        <v>79.286000000000001</v>
      </c>
      <c r="CT58" s="49">
        <v>0.25600000000000001</v>
      </c>
      <c r="CU58" s="49">
        <v>0.90100000000000002</v>
      </c>
      <c r="CV58" s="49">
        <v>0.79900000000000004</v>
      </c>
      <c r="CW58" s="50">
        <v>1.5980000000000001</v>
      </c>
      <c r="CX58" s="49">
        <v>1.403</v>
      </c>
      <c r="CY58" s="50">
        <v>1.097</v>
      </c>
      <c r="CZ58" s="49">
        <v>0.8</v>
      </c>
      <c r="DA58" s="50">
        <v>1.1000000000000001</v>
      </c>
      <c r="DB58" s="50">
        <v>1.6970000000000001</v>
      </c>
      <c r="DC58" s="50">
        <v>0</v>
      </c>
      <c r="DD58" s="50">
        <v>0</v>
      </c>
      <c r="DE58" s="49">
        <v>0.16700000000000001</v>
      </c>
      <c r="DF58" s="50">
        <v>8.6999999999999994E-2</v>
      </c>
      <c r="DG58" s="50">
        <v>1.256</v>
      </c>
      <c r="DH58" s="50">
        <v>3.5819999999999999</v>
      </c>
      <c r="DI58" s="49">
        <v>0.97</v>
      </c>
      <c r="DJ58" s="49">
        <v>0.13300000000000001</v>
      </c>
      <c r="DK58" s="49">
        <v>0.70399999999999996</v>
      </c>
      <c r="DL58" s="49">
        <v>0.42</v>
      </c>
      <c r="DM58" s="50">
        <v>0.52900000000000003</v>
      </c>
      <c r="DN58" s="49">
        <v>0.35699999999999998</v>
      </c>
      <c r="DO58" s="50">
        <v>0.40400000000000003</v>
      </c>
      <c r="DP58" s="49">
        <v>60.284999999999997</v>
      </c>
      <c r="DQ58" s="49">
        <v>59.768999999999998</v>
      </c>
      <c r="DR58" s="49">
        <v>49.289000000000001</v>
      </c>
      <c r="DS58" s="49">
        <v>49.445999999999998</v>
      </c>
      <c r="DT58" s="49">
        <v>1.8</v>
      </c>
      <c r="DU58" s="49">
        <v>1.91</v>
      </c>
      <c r="DV58" s="49">
        <v>4.37</v>
      </c>
      <c r="DW58" s="49">
        <v>3.58</v>
      </c>
      <c r="DX58" s="49">
        <v>2.0499999999999998</v>
      </c>
      <c r="DY58" s="49">
        <v>1.96</v>
      </c>
      <c r="DZ58" s="49">
        <v>4</v>
      </c>
      <c r="EA58" s="49">
        <v>3.32</v>
      </c>
      <c r="EB58" s="49">
        <v>42.69</v>
      </c>
      <c r="EC58" s="49">
        <v>42.03</v>
      </c>
      <c r="ED58" s="50">
        <v>35.409999999999997</v>
      </c>
      <c r="EE58" s="49">
        <v>33.81</v>
      </c>
      <c r="EF58" s="49">
        <v>53.46</v>
      </c>
      <c r="EG58" s="49">
        <v>54.11</v>
      </c>
      <c r="EH58" s="49">
        <v>56.22</v>
      </c>
      <c r="EI58" s="49">
        <v>59.28</v>
      </c>
      <c r="EJ58" s="49">
        <v>6.2729999999999997</v>
      </c>
      <c r="EK58" s="49">
        <v>59.247999999999998</v>
      </c>
      <c r="EL58" s="49">
        <v>2.1</v>
      </c>
      <c r="EM58" s="49">
        <v>1.7</v>
      </c>
      <c r="EN58" s="50">
        <v>1.58</v>
      </c>
      <c r="EO58" s="50">
        <v>1.58</v>
      </c>
      <c r="EP58" s="49">
        <v>-86.95</v>
      </c>
      <c r="EQ58" s="50">
        <v>-6.8000000000000005E-2</v>
      </c>
      <c r="ER58" s="50">
        <v>123.29</v>
      </c>
      <c r="ES58" s="50">
        <v>1.605</v>
      </c>
      <c r="ET58" s="50">
        <v>1.6859999999999999</v>
      </c>
      <c r="EU58" s="50">
        <v>1.5660000000000001</v>
      </c>
      <c r="EV58" s="49">
        <v>8.0289999999999999</v>
      </c>
      <c r="EW58" s="49">
        <v>2.5099999999999998</v>
      </c>
      <c r="EX58" s="49">
        <v>45.22</v>
      </c>
      <c r="EY58" s="50">
        <v>1.0409999999999999</v>
      </c>
      <c r="EZ58" s="49">
        <v>96.682000000000002</v>
      </c>
      <c r="FA58" s="50">
        <v>0</v>
      </c>
      <c r="FB58" s="50">
        <v>9.4169999999999998</v>
      </c>
      <c r="FC58" s="49">
        <v>59.021999999999998</v>
      </c>
      <c r="FD58" s="49">
        <v>54.848999999999997</v>
      </c>
      <c r="FE58" s="49">
        <v>63.283000000000001</v>
      </c>
      <c r="FF58" s="49">
        <v>61.44</v>
      </c>
      <c r="FG58" s="49">
        <v>0.92400000000000004</v>
      </c>
      <c r="FH58" s="49">
        <v>0.92400000000000004</v>
      </c>
      <c r="FI58" s="50">
        <v>1.0029999999999999</v>
      </c>
      <c r="FJ58" s="50">
        <v>1.0049999999999999</v>
      </c>
      <c r="FK58" s="49">
        <v>0</v>
      </c>
      <c r="FL58" s="49">
        <v>82</v>
      </c>
      <c r="FM58" s="49">
        <v>3.75</v>
      </c>
      <c r="FN58" s="49">
        <v>2.25</v>
      </c>
      <c r="FO58" s="49">
        <v>5.35</v>
      </c>
      <c r="FP58" s="3"/>
      <c r="FQ58" s="49">
        <v>4.9000000000000004</v>
      </c>
      <c r="FR58" s="49">
        <v>5.25</v>
      </c>
      <c r="FS58" s="49">
        <v>6.47</v>
      </c>
      <c r="FT58" s="50">
        <v>1077.3</v>
      </c>
      <c r="FU58" s="49">
        <v>7.11</v>
      </c>
      <c r="FV58" s="49">
        <v>14.95</v>
      </c>
      <c r="FW58" s="49">
        <v>3067.5</v>
      </c>
      <c r="FX58" s="50">
        <v>172800</v>
      </c>
      <c r="FY58" s="50">
        <v>175000</v>
      </c>
      <c r="FZ58" s="50">
        <v>54.341000000000001</v>
      </c>
      <c r="GA58" s="50">
        <v>53.667999999999999</v>
      </c>
      <c r="GB58" s="49">
        <v>2170.9</v>
      </c>
      <c r="GC58" s="49">
        <v>2171.8000000000002</v>
      </c>
      <c r="GD58" s="49">
        <v>2246.5</v>
      </c>
      <c r="GE58" s="50">
        <v>2247.8000000000002</v>
      </c>
      <c r="GF58" s="49">
        <v>1347.3438000000001</v>
      </c>
      <c r="GG58" s="49">
        <v>28</v>
      </c>
      <c r="GH58" s="49">
        <v>28.1</v>
      </c>
      <c r="GI58" s="49">
        <v>49.4</v>
      </c>
      <c r="GJ58" s="49">
        <v>56.1</v>
      </c>
      <c r="GK58" s="49">
        <v>90</v>
      </c>
      <c r="GL58" s="49">
        <v>94.6</v>
      </c>
      <c r="GM58" s="50">
        <v>0</v>
      </c>
      <c r="GN58" s="49">
        <v>26.568000000000001</v>
      </c>
      <c r="GO58" s="50">
        <v>123.29</v>
      </c>
      <c r="GP58" s="49">
        <v>0.94399999999999995</v>
      </c>
      <c r="GQ58" s="49">
        <v>1.9470000000000001</v>
      </c>
      <c r="GR58" s="49">
        <v>1.357</v>
      </c>
      <c r="GS58" s="49">
        <v>2.0059999999999998</v>
      </c>
      <c r="GT58" s="49">
        <v>0.82599999999999996</v>
      </c>
      <c r="GU58" s="49">
        <v>1.8879999999999999</v>
      </c>
      <c r="GV58" s="49">
        <v>12.837999999999999</v>
      </c>
      <c r="GW58" s="50">
        <v>14.137</v>
      </c>
      <c r="GX58" s="49">
        <v>16.170000000000002</v>
      </c>
      <c r="GY58" s="50">
        <v>0</v>
      </c>
      <c r="GZ58" s="50">
        <v>0</v>
      </c>
      <c r="HA58" s="50">
        <v>0</v>
      </c>
      <c r="HB58" s="49">
        <v>0</v>
      </c>
      <c r="HC58" s="49">
        <v>22.62</v>
      </c>
      <c r="HD58" s="50">
        <v>82</v>
      </c>
      <c r="HE58" s="50">
        <v>0</v>
      </c>
      <c r="HF58" s="50">
        <v>0</v>
      </c>
      <c r="HG58" s="49">
        <v>72.47</v>
      </c>
      <c r="HH58" s="49">
        <v>81.81</v>
      </c>
      <c r="HI58" s="50">
        <v>0</v>
      </c>
      <c r="HJ58" s="50">
        <v>0</v>
      </c>
      <c r="HK58" s="50">
        <v>0</v>
      </c>
      <c r="HL58" s="49">
        <v>56</v>
      </c>
      <c r="HM58" s="49">
        <v>50</v>
      </c>
      <c r="HN58" s="49">
        <v>60</v>
      </c>
      <c r="HO58" s="49">
        <v>53</v>
      </c>
      <c r="HP58" s="49">
        <v>56</v>
      </c>
      <c r="HQ58" s="49">
        <v>54</v>
      </c>
      <c r="HR58" s="49">
        <v>48</v>
      </c>
      <c r="HS58" s="50">
        <v>70</v>
      </c>
      <c r="HT58" s="49">
        <v>-1.3405</v>
      </c>
      <c r="HU58" s="50">
        <v>0</v>
      </c>
      <c r="HV58" s="49">
        <v>0.79600000000000004</v>
      </c>
      <c r="HW58" s="49">
        <v>38.01</v>
      </c>
      <c r="HX58" s="49">
        <v>48.21</v>
      </c>
      <c r="HY58" s="3"/>
      <c r="HZ58" s="3"/>
      <c r="IA58" s="49">
        <v>2.46</v>
      </c>
      <c r="IB58" s="49">
        <v>94</v>
      </c>
      <c r="IC58" s="49">
        <v>14.771000000000001</v>
      </c>
      <c r="ID58" s="49">
        <v>-0.11799999999999999</v>
      </c>
      <c r="IE58" s="49">
        <v>-5.6000000000000001E-2</v>
      </c>
      <c r="IF58" s="49">
        <v>789</v>
      </c>
      <c r="IG58" s="49">
        <v>604.5</v>
      </c>
      <c r="IH58" s="49">
        <v>799</v>
      </c>
      <c r="II58" s="49">
        <v>617.6</v>
      </c>
      <c r="IJ58" s="49">
        <v>7.0000000000000007E-2</v>
      </c>
      <c r="IK58" s="49">
        <v>0.04</v>
      </c>
      <c r="IL58" s="49">
        <v>299.63799999999998</v>
      </c>
      <c r="IM58" s="49">
        <v>299.63799999999998</v>
      </c>
      <c r="IN58" s="49">
        <v>13.276999999999999</v>
      </c>
      <c r="IO58" s="49">
        <v>0.106</v>
      </c>
      <c r="IP58" s="49">
        <v>9.32</v>
      </c>
      <c r="IQ58" s="49">
        <v>1E-3</v>
      </c>
      <c r="IR58" s="49">
        <v>-6.0000000000000001E-3</v>
      </c>
      <c r="IS58">
        <v>0.43300000000000016</v>
      </c>
      <c r="IT58">
        <v>0.26500000000000012</v>
      </c>
    </row>
    <row r="59" spans="1:254" x14ac:dyDescent="0.25">
      <c r="B59" s="2" t="s">
        <v>412</v>
      </c>
      <c r="C59" s="2" t="s">
        <v>44</v>
      </c>
      <c r="D59" s="61">
        <v>2.4335648148148151E-3</v>
      </c>
      <c r="E59" s="49">
        <v>210.3</v>
      </c>
      <c r="F59" s="49">
        <v>330.88</v>
      </c>
      <c r="G59" s="49">
        <v>5.98</v>
      </c>
      <c r="H59" s="49">
        <v>26.9</v>
      </c>
      <c r="I59" s="50">
        <v>0</v>
      </c>
      <c r="J59" s="49">
        <v>16.2</v>
      </c>
      <c r="K59" s="50">
        <v>6</v>
      </c>
      <c r="L59" s="50">
        <v>4</v>
      </c>
      <c r="M59" s="50">
        <v>6</v>
      </c>
      <c r="N59" s="50">
        <v>3</v>
      </c>
      <c r="O59" s="50">
        <v>3</v>
      </c>
      <c r="P59" s="49">
        <v>0.64900000000000002</v>
      </c>
      <c r="Q59" s="50">
        <v>1.355</v>
      </c>
      <c r="R59" s="49">
        <v>0.66400000000000003</v>
      </c>
      <c r="S59" s="49">
        <v>0.33400000000000002</v>
      </c>
      <c r="T59" s="49">
        <v>71.42</v>
      </c>
      <c r="U59" s="49">
        <v>60.997</v>
      </c>
      <c r="V59" s="49">
        <v>218.34</v>
      </c>
      <c r="W59" s="49">
        <v>235</v>
      </c>
      <c r="X59" s="49">
        <v>127.5</v>
      </c>
      <c r="Y59" s="49">
        <v>175</v>
      </c>
      <c r="Z59" s="49">
        <v>372.94</v>
      </c>
      <c r="AA59" s="49">
        <v>389.56</v>
      </c>
      <c r="AB59" s="49">
        <v>263.47000000000003</v>
      </c>
      <c r="AC59" s="49">
        <v>332.78</v>
      </c>
      <c r="AD59" s="49">
        <v>1.6819999999999999</v>
      </c>
      <c r="AE59" s="49">
        <v>1.7210000000000001</v>
      </c>
      <c r="AF59" s="49">
        <v>1.6679999999999999</v>
      </c>
      <c r="AG59" s="49">
        <v>1.7150000000000001</v>
      </c>
      <c r="AH59" s="49">
        <v>72.849999999999994</v>
      </c>
      <c r="AI59" s="49">
        <v>68.599999999999994</v>
      </c>
      <c r="AJ59" s="49">
        <v>96.09</v>
      </c>
      <c r="AK59" s="49">
        <v>87.64</v>
      </c>
      <c r="AL59" s="49">
        <v>679.89300000000003</v>
      </c>
      <c r="AM59" s="49">
        <v>688.548</v>
      </c>
      <c r="AN59" s="50">
        <v>852.16700000000003</v>
      </c>
      <c r="AO59" s="50">
        <v>821.88800000000003</v>
      </c>
      <c r="AP59" s="49">
        <v>1.466</v>
      </c>
      <c r="AQ59" s="49">
        <v>1.9510000000000001</v>
      </c>
      <c r="AR59" s="49">
        <v>41.203000000000003</v>
      </c>
      <c r="AS59" s="49">
        <v>38.51</v>
      </c>
      <c r="AT59" s="50">
        <v>83</v>
      </c>
      <c r="AU59" s="49">
        <v>109</v>
      </c>
      <c r="AV59" s="49">
        <v>1.7805</v>
      </c>
      <c r="AW59" s="49">
        <v>5.13</v>
      </c>
      <c r="AX59" s="49">
        <v>1013.2</v>
      </c>
      <c r="AY59" s="50">
        <v>2.4</v>
      </c>
      <c r="AZ59" s="49">
        <v>5.6</v>
      </c>
      <c r="BA59" s="49">
        <v>132.15</v>
      </c>
      <c r="BB59" s="49">
        <v>133.667</v>
      </c>
      <c r="BC59" s="49">
        <v>7684</v>
      </c>
      <c r="BD59" s="49">
        <v>89.5</v>
      </c>
      <c r="BE59" s="49">
        <v>16.75</v>
      </c>
      <c r="BF59" s="49">
        <v>15.025</v>
      </c>
      <c r="BG59" s="49">
        <v>29.33</v>
      </c>
      <c r="BH59" s="49">
        <v>27.61</v>
      </c>
      <c r="BI59" s="3"/>
      <c r="BJ59" s="3"/>
      <c r="BK59" s="3"/>
      <c r="BL59" s="3"/>
      <c r="BM59" s="3"/>
      <c r="BN59" s="49">
        <v>94.52</v>
      </c>
      <c r="BO59" s="49">
        <v>92.52</v>
      </c>
      <c r="BP59" s="49">
        <v>108.80800000000001</v>
      </c>
      <c r="BQ59" s="49">
        <v>113.736</v>
      </c>
      <c r="BR59" s="3"/>
      <c r="BS59" s="49">
        <v>26.4</v>
      </c>
      <c r="BT59" s="49">
        <v>7457.0460000000003</v>
      </c>
      <c r="BU59" s="49">
        <v>50.22</v>
      </c>
      <c r="BV59" s="49">
        <v>51.921999999999997</v>
      </c>
      <c r="BW59" s="49">
        <v>53.066000000000003</v>
      </c>
      <c r="BX59" s="49">
        <v>54.954000000000001</v>
      </c>
      <c r="BY59" s="49">
        <v>1.546</v>
      </c>
      <c r="BZ59" s="49">
        <v>2.6110000000000002</v>
      </c>
      <c r="CA59" s="50">
        <v>3.7829999999999999</v>
      </c>
      <c r="CB59" s="49">
        <v>3.5710000000000002</v>
      </c>
      <c r="CC59" s="49">
        <v>1.383</v>
      </c>
      <c r="CD59" s="49">
        <v>2.528</v>
      </c>
      <c r="CE59" s="49">
        <v>1.4379999999999999</v>
      </c>
      <c r="CF59" s="49">
        <v>2.2080000000000002</v>
      </c>
      <c r="CG59" s="49">
        <v>13.938000000000001</v>
      </c>
      <c r="CH59" s="49">
        <v>13.775</v>
      </c>
      <c r="CI59" s="49">
        <v>4.7679999999999998</v>
      </c>
      <c r="CJ59" s="50">
        <v>-73.218999999999994</v>
      </c>
      <c r="CK59" s="50">
        <v>1.702</v>
      </c>
      <c r="CL59" s="49">
        <v>0</v>
      </c>
      <c r="CM59" s="49">
        <v>0.4</v>
      </c>
      <c r="CN59" s="49">
        <v>0</v>
      </c>
      <c r="CO59" s="49">
        <v>0</v>
      </c>
      <c r="CP59" s="49">
        <v>83.349000000000004</v>
      </c>
      <c r="CQ59" s="49">
        <v>83.066000000000003</v>
      </c>
      <c r="CR59" s="49">
        <v>86.635999999999996</v>
      </c>
      <c r="CS59" s="49">
        <v>93.518000000000001</v>
      </c>
      <c r="CT59" s="49">
        <v>0.313</v>
      </c>
      <c r="CU59" s="49">
        <v>1.1000000000000001</v>
      </c>
      <c r="CV59" s="49">
        <v>0.79800000000000004</v>
      </c>
      <c r="CW59" s="49">
        <v>0.7</v>
      </c>
      <c r="CX59" s="49">
        <v>1.2969999999999999</v>
      </c>
      <c r="CY59" s="49">
        <v>0.79700000000000004</v>
      </c>
      <c r="CZ59" s="49">
        <v>0.80100000000000005</v>
      </c>
      <c r="DA59" s="49">
        <v>0.70199999999999996</v>
      </c>
      <c r="DB59" s="49">
        <v>0.998</v>
      </c>
      <c r="DC59" s="50">
        <v>0</v>
      </c>
      <c r="DD59" s="50">
        <v>0</v>
      </c>
      <c r="DE59" s="50">
        <v>0.219</v>
      </c>
      <c r="DF59" s="49">
        <v>6.2E-2</v>
      </c>
      <c r="DG59" s="49">
        <v>0.83899999999999997</v>
      </c>
      <c r="DH59" s="49">
        <v>2.371</v>
      </c>
      <c r="DI59" s="50">
        <v>1.2589999999999999</v>
      </c>
      <c r="DJ59" s="49">
        <v>0.125</v>
      </c>
      <c r="DK59" s="49">
        <v>0.72099999999999997</v>
      </c>
      <c r="DL59" s="49">
        <v>0.41299999999999998</v>
      </c>
      <c r="DM59" s="49">
        <v>0.44600000000000001</v>
      </c>
      <c r="DN59" s="49">
        <v>0.46200000000000002</v>
      </c>
      <c r="DO59" s="49">
        <v>0.34599999999999997</v>
      </c>
      <c r="DP59" s="50">
        <v>66.602999999999994</v>
      </c>
      <c r="DQ59" s="50">
        <v>61.432000000000002</v>
      </c>
      <c r="DR59" s="49">
        <v>54.258000000000003</v>
      </c>
      <c r="DS59" s="49">
        <v>51.356000000000002</v>
      </c>
      <c r="DT59" s="50">
        <v>7.29</v>
      </c>
      <c r="DU59" s="49">
        <v>7.29</v>
      </c>
      <c r="DV59" s="49">
        <v>14.38</v>
      </c>
      <c r="DW59" s="50">
        <v>11.85</v>
      </c>
      <c r="DX59" s="49">
        <v>7.54</v>
      </c>
      <c r="DY59" s="49">
        <v>7.48</v>
      </c>
      <c r="DZ59" s="49">
        <v>13.92</v>
      </c>
      <c r="EA59" s="50">
        <v>11.51</v>
      </c>
      <c r="EB59" s="49">
        <v>41.14</v>
      </c>
      <c r="EC59" s="49">
        <v>40.659999999999997</v>
      </c>
      <c r="ED59" s="49">
        <v>31.66</v>
      </c>
      <c r="EE59" s="49">
        <v>33.92</v>
      </c>
      <c r="EF59" s="49">
        <v>44.03</v>
      </c>
      <c r="EG59" s="49">
        <v>44.57</v>
      </c>
      <c r="EH59" s="49">
        <v>40.03</v>
      </c>
      <c r="EI59" s="49">
        <v>42.73</v>
      </c>
      <c r="EJ59" s="49">
        <v>5.6109999999999998</v>
      </c>
      <c r="EK59" s="49">
        <v>60.378999999999998</v>
      </c>
      <c r="EL59" s="49">
        <v>2.2000000000000002</v>
      </c>
      <c r="EM59" s="49">
        <v>1.75</v>
      </c>
      <c r="EN59" s="49">
        <v>1.21</v>
      </c>
      <c r="EO59" s="49">
        <v>1.21</v>
      </c>
      <c r="EP59" s="50">
        <v>-122.282</v>
      </c>
      <c r="EQ59" s="49">
        <v>-2.2509999999999999</v>
      </c>
      <c r="ER59" s="49">
        <v>107.23</v>
      </c>
      <c r="ES59" s="49">
        <v>1.486</v>
      </c>
      <c r="ET59" s="49">
        <v>1.661</v>
      </c>
      <c r="EU59" s="49">
        <v>1.46</v>
      </c>
      <c r="EV59" s="49">
        <v>7.8620000000000001</v>
      </c>
      <c r="EW59" s="49">
        <v>2.6419999999999999</v>
      </c>
      <c r="EX59" s="49">
        <v>74.22</v>
      </c>
      <c r="EY59" s="49">
        <v>0</v>
      </c>
      <c r="EZ59" s="49">
        <v>6.9580000000000002</v>
      </c>
      <c r="FA59" s="50">
        <v>0</v>
      </c>
      <c r="FB59" s="49">
        <v>9.1620000000000008</v>
      </c>
      <c r="FC59" s="49">
        <v>57.164999999999999</v>
      </c>
      <c r="FD59" s="49">
        <v>52.984000000000002</v>
      </c>
      <c r="FE59" s="49">
        <v>62.212000000000003</v>
      </c>
      <c r="FF59" s="49">
        <v>59.801000000000002</v>
      </c>
      <c r="FG59" s="49">
        <v>0.91600000000000004</v>
      </c>
      <c r="FH59" s="49">
        <v>0.91700000000000004</v>
      </c>
      <c r="FI59" s="49">
        <v>0.995</v>
      </c>
      <c r="FJ59" s="49">
        <v>0.999</v>
      </c>
      <c r="FK59" s="49">
        <v>0</v>
      </c>
      <c r="FL59" s="50">
        <v>83</v>
      </c>
      <c r="FM59" s="50">
        <v>3.81</v>
      </c>
      <c r="FN59" s="49">
        <v>2.39</v>
      </c>
      <c r="FO59" s="49">
        <v>5.49</v>
      </c>
      <c r="FP59" s="3"/>
      <c r="FQ59" s="49">
        <v>4.75</v>
      </c>
      <c r="FR59" s="49">
        <v>5</v>
      </c>
      <c r="FS59" s="49">
        <v>6.649</v>
      </c>
      <c r="FT59" s="49">
        <v>1069.4000000000001</v>
      </c>
      <c r="FU59" s="49">
        <v>6.75</v>
      </c>
      <c r="FV59" s="49">
        <v>20.93</v>
      </c>
      <c r="FW59" s="49">
        <v>3129</v>
      </c>
      <c r="FX59" s="49">
        <v>167500</v>
      </c>
      <c r="FY59" s="49">
        <v>169300</v>
      </c>
      <c r="FZ59" s="49">
        <v>47.895000000000003</v>
      </c>
      <c r="GA59" s="49">
        <v>47.392000000000003</v>
      </c>
      <c r="GB59" s="49">
        <v>2168.8000000000002</v>
      </c>
      <c r="GC59" s="49">
        <v>2158.9</v>
      </c>
      <c r="GD59" s="49">
        <v>2212.6999999999998</v>
      </c>
      <c r="GE59" s="49">
        <v>2213.8000000000002</v>
      </c>
      <c r="GF59" s="49">
        <v>1356.4844000000001</v>
      </c>
      <c r="GG59" s="49">
        <v>29</v>
      </c>
      <c r="GH59" s="49">
        <v>28.5</v>
      </c>
      <c r="GI59" s="49">
        <v>46.6</v>
      </c>
      <c r="GJ59" s="49">
        <v>52.3</v>
      </c>
      <c r="GK59" s="49">
        <v>90</v>
      </c>
      <c r="GL59" s="50">
        <v>96.8</v>
      </c>
      <c r="GM59" s="50">
        <v>0</v>
      </c>
      <c r="GN59" s="49">
        <v>26.419</v>
      </c>
      <c r="GO59" s="49">
        <v>122.282</v>
      </c>
      <c r="GP59" s="49">
        <v>0.53100000000000003</v>
      </c>
      <c r="GQ59" s="49">
        <v>1.8879999999999999</v>
      </c>
      <c r="GR59" s="49">
        <v>1.298</v>
      </c>
      <c r="GS59" s="49">
        <v>2.0059999999999998</v>
      </c>
      <c r="GT59" s="49">
        <v>0.59</v>
      </c>
      <c r="GU59" s="49">
        <v>1.8879999999999999</v>
      </c>
      <c r="GV59" s="49">
        <v>12.74</v>
      </c>
      <c r="GW59" s="49">
        <v>13.913</v>
      </c>
      <c r="GX59" s="49">
        <v>16.170000000000002</v>
      </c>
      <c r="GY59" s="50">
        <v>0</v>
      </c>
      <c r="GZ59" s="50">
        <v>0</v>
      </c>
      <c r="HA59" s="50">
        <v>0</v>
      </c>
      <c r="HB59" s="49">
        <v>0</v>
      </c>
      <c r="HC59" s="49">
        <v>23.47</v>
      </c>
      <c r="HD59" s="49">
        <v>74</v>
      </c>
      <c r="HE59" s="50">
        <v>0</v>
      </c>
      <c r="HF59" s="50">
        <v>0</v>
      </c>
      <c r="HG59" s="49">
        <v>87.8</v>
      </c>
      <c r="HH59" s="50">
        <v>82.88</v>
      </c>
      <c r="HI59" s="50">
        <v>0</v>
      </c>
      <c r="HJ59" s="50">
        <v>0</v>
      </c>
      <c r="HK59" s="50">
        <v>0</v>
      </c>
      <c r="HL59" s="49">
        <v>56</v>
      </c>
      <c r="HM59" s="49">
        <v>50</v>
      </c>
      <c r="HN59" s="49">
        <v>61</v>
      </c>
      <c r="HO59" s="49">
        <v>56</v>
      </c>
      <c r="HP59" s="49">
        <v>58</v>
      </c>
      <c r="HQ59" s="49">
        <v>56</v>
      </c>
      <c r="HR59" s="49">
        <v>49</v>
      </c>
      <c r="HS59" s="49">
        <v>62</v>
      </c>
      <c r="HT59" s="49">
        <v>-1.3360000000000001</v>
      </c>
      <c r="HU59" s="50">
        <v>0</v>
      </c>
      <c r="HV59" s="50">
        <v>1.3540000000000001</v>
      </c>
      <c r="HW59" s="49">
        <v>36.65</v>
      </c>
      <c r="HX59" s="49">
        <v>47.31</v>
      </c>
      <c r="HY59" s="49">
        <v>47.43</v>
      </c>
      <c r="HZ59" s="49">
        <v>57.52</v>
      </c>
      <c r="IA59" s="49">
        <v>2.9169999999999998</v>
      </c>
      <c r="IB59" s="50">
        <v>104</v>
      </c>
      <c r="IC59" s="49">
        <v>22.341999999999999</v>
      </c>
      <c r="ID59" s="49">
        <v>-0.39300000000000002</v>
      </c>
      <c r="IE59" s="49">
        <v>-0.20100000000000001</v>
      </c>
      <c r="IF59" s="49">
        <v>802.7</v>
      </c>
      <c r="IG59" s="49">
        <v>748.9</v>
      </c>
      <c r="IH59" s="49">
        <v>812.9</v>
      </c>
      <c r="II59" s="49">
        <v>761.4</v>
      </c>
      <c r="IJ59" s="49">
        <v>3.2000000000000001E-2</v>
      </c>
      <c r="IK59" s="49">
        <v>-5.1999999999999998E-2</v>
      </c>
      <c r="IL59" s="49">
        <v>71.811000000000007</v>
      </c>
      <c r="IM59" s="49">
        <v>71.811000000000007</v>
      </c>
      <c r="IN59" s="49">
        <v>12.606</v>
      </c>
      <c r="IO59" s="50">
        <v>0.26200000000000001</v>
      </c>
      <c r="IP59" s="49">
        <v>9.59</v>
      </c>
      <c r="IQ59" s="49">
        <v>7.0000000000000001E-3</v>
      </c>
      <c r="IR59" s="49">
        <v>-5.0000000000000001E-3</v>
      </c>
      <c r="IS59">
        <v>0.44000000000000017</v>
      </c>
      <c r="IT59">
        <v>0.26000000000000012</v>
      </c>
    </row>
    <row r="60" spans="1:254" x14ac:dyDescent="0.25">
      <c r="B60" s="2" t="s">
        <v>412</v>
      </c>
      <c r="C60" s="62" t="s">
        <v>45</v>
      </c>
      <c r="D60" s="63">
        <v>2.4267361111111108E-3</v>
      </c>
      <c r="E60" s="49">
        <v>209.71</v>
      </c>
      <c r="F60" s="50">
        <v>331.19</v>
      </c>
      <c r="G60" s="50">
        <v>6.04</v>
      </c>
      <c r="H60" s="49">
        <v>27.2</v>
      </c>
      <c r="I60" s="50">
        <v>0</v>
      </c>
      <c r="J60" s="49">
        <v>14.6</v>
      </c>
      <c r="K60" s="50">
        <v>6</v>
      </c>
      <c r="L60" s="50">
        <v>4</v>
      </c>
      <c r="M60" s="50">
        <v>6</v>
      </c>
      <c r="N60" s="50">
        <v>3</v>
      </c>
      <c r="O60" s="50">
        <v>3</v>
      </c>
      <c r="P60" s="49">
        <v>0.4</v>
      </c>
      <c r="Q60" s="49">
        <v>0.97199999999999998</v>
      </c>
      <c r="R60" s="49">
        <v>0.34</v>
      </c>
      <c r="S60" s="49">
        <v>0.25800000000000001</v>
      </c>
      <c r="T60" s="50">
        <v>78.14</v>
      </c>
      <c r="U60" s="49">
        <v>60.893000000000001</v>
      </c>
      <c r="V60" s="49">
        <v>243.34</v>
      </c>
      <c r="W60" s="49">
        <v>266.66000000000003</v>
      </c>
      <c r="X60" s="49">
        <v>190</v>
      </c>
      <c r="Y60" s="49">
        <v>228.34</v>
      </c>
      <c r="Z60" s="50">
        <v>388.67</v>
      </c>
      <c r="AA60" s="50">
        <v>407.18</v>
      </c>
      <c r="AB60" s="50">
        <v>310.77</v>
      </c>
      <c r="AC60" s="50">
        <v>375.82</v>
      </c>
      <c r="AD60" s="50">
        <v>1.7609999999999999</v>
      </c>
      <c r="AE60" s="50">
        <v>1.7889999999999999</v>
      </c>
      <c r="AF60" s="50">
        <v>1.7969999999999999</v>
      </c>
      <c r="AG60" s="50">
        <v>1.839</v>
      </c>
      <c r="AH60" s="50">
        <v>83.15</v>
      </c>
      <c r="AI60" s="50">
        <v>77.3</v>
      </c>
      <c r="AJ60" s="50">
        <v>116.53</v>
      </c>
      <c r="AK60" s="50">
        <v>105.68</v>
      </c>
      <c r="AL60" s="49">
        <v>666.37099999999998</v>
      </c>
      <c r="AM60" s="50">
        <v>699.51199999999994</v>
      </c>
      <c r="AN60" s="49">
        <v>839.928</v>
      </c>
      <c r="AO60" s="49">
        <v>820.65800000000002</v>
      </c>
      <c r="AP60" s="49">
        <v>1.4710000000000001</v>
      </c>
      <c r="AQ60" s="49">
        <v>1.927</v>
      </c>
      <c r="AR60" s="49">
        <v>41.335000000000001</v>
      </c>
      <c r="AS60" s="49">
        <v>38.026000000000003</v>
      </c>
      <c r="AT60" s="50">
        <v>83</v>
      </c>
      <c r="AU60" s="49">
        <v>115</v>
      </c>
      <c r="AV60" s="50">
        <v>1.72</v>
      </c>
      <c r="AW60" s="49">
        <v>5.1241000000000003</v>
      </c>
      <c r="AX60" s="49">
        <v>1013.6</v>
      </c>
      <c r="AY60" s="50">
        <v>2.4</v>
      </c>
      <c r="AZ60" s="49">
        <v>5.62</v>
      </c>
      <c r="BA60" s="49">
        <v>118.392</v>
      </c>
      <c r="BB60" s="49">
        <v>117.889</v>
      </c>
      <c r="BC60" s="49">
        <v>7667</v>
      </c>
      <c r="BD60" s="50">
        <v>89.75</v>
      </c>
      <c r="BE60" s="49">
        <v>15.955</v>
      </c>
      <c r="BF60" s="50">
        <v>15.305</v>
      </c>
      <c r="BG60" s="50">
        <v>30.34</v>
      </c>
      <c r="BH60" s="50">
        <v>28.1</v>
      </c>
      <c r="BI60" s="3"/>
      <c r="BJ60" s="3"/>
      <c r="BK60" s="3"/>
      <c r="BL60" s="3"/>
      <c r="BM60" s="3"/>
      <c r="BN60" s="49">
        <v>98.087999999999994</v>
      </c>
      <c r="BO60" s="49">
        <v>97.608000000000004</v>
      </c>
      <c r="BP60" s="49">
        <v>125.928</v>
      </c>
      <c r="BQ60" s="49">
        <v>129.08000000000001</v>
      </c>
      <c r="BR60" s="3"/>
      <c r="BS60" s="49">
        <v>26.9</v>
      </c>
      <c r="BT60" s="49">
        <v>7389.9539999999997</v>
      </c>
      <c r="BU60" s="49">
        <v>50.237000000000002</v>
      </c>
      <c r="BV60" s="49">
        <v>52.786000000000001</v>
      </c>
      <c r="BW60" s="49">
        <v>53.115000000000002</v>
      </c>
      <c r="BX60" s="49">
        <v>55.01</v>
      </c>
      <c r="BY60" s="49">
        <v>1.4219999999999999</v>
      </c>
      <c r="BZ60" s="50">
        <v>2.8050000000000002</v>
      </c>
      <c r="CA60" s="49">
        <v>3.661</v>
      </c>
      <c r="CB60" s="50">
        <v>3.7389999999999999</v>
      </c>
      <c r="CC60" s="49">
        <v>1.4610000000000001</v>
      </c>
      <c r="CD60" s="49">
        <v>2.431</v>
      </c>
      <c r="CE60" s="49">
        <v>1.403</v>
      </c>
      <c r="CF60" s="49">
        <v>2.17</v>
      </c>
      <c r="CG60" s="49">
        <v>13.943</v>
      </c>
      <c r="CH60" s="49">
        <v>13.795999999999999</v>
      </c>
      <c r="CI60" s="49">
        <v>4.2830000000000004</v>
      </c>
      <c r="CJ60" s="49">
        <v>-90.393000000000001</v>
      </c>
      <c r="CK60" s="49">
        <v>1.3440000000000001</v>
      </c>
      <c r="CL60" s="49">
        <v>0</v>
      </c>
      <c r="CM60" s="50">
        <v>1.1000000000000001</v>
      </c>
      <c r="CN60" s="49">
        <v>0</v>
      </c>
      <c r="CO60" s="49">
        <v>0</v>
      </c>
      <c r="CP60" s="49">
        <v>94.599000000000004</v>
      </c>
      <c r="CQ60" s="49">
        <v>94.27</v>
      </c>
      <c r="CR60" s="50">
        <v>115.511</v>
      </c>
      <c r="CS60" s="50">
        <v>121.003</v>
      </c>
      <c r="CT60" s="50">
        <v>0.42299999999999999</v>
      </c>
      <c r="CU60" s="49">
        <v>1.2969999999999999</v>
      </c>
      <c r="CV60" s="49">
        <v>1.5980000000000001</v>
      </c>
      <c r="CW60" s="49">
        <v>1.3</v>
      </c>
      <c r="CX60" s="49">
        <v>1.2949999999999999</v>
      </c>
      <c r="CY60" s="49">
        <v>0.499</v>
      </c>
      <c r="CZ60" s="49">
        <v>1.0009999999999999</v>
      </c>
      <c r="DA60" s="49">
        <v>0.995</v>
      </c>
      <c r="DB60" s="49">
        <v>1.298</v>
      </c>
      <c r="DC60" s="50">
        <v>0</v>
      </c>
      <c r="DD60" s="50">
        <v>0</v>
      </c>
      <c r="DE60" s="49">
        <v>0.13700000000000001</v>
      </c>
      <c r="DF60" s="49">
        <v>0.03</v>
      </c>
      <c r="DG60" s="49">
        <v>0.68100000000000005</v>
      </c>
      <c r="DH60" s="49">
        <v>1.645</v>
      </c>
      <c r="DI60" s="49">
        <v>1.0289999999999999</v>
      </c>
      <c r="DJ60" s="49">
        <v>1.0999999999999999E-2</v>
      </c>
      <c r="DK60" s="49">
        <v>0.61399999999999999</v>
      </c>
      <c r="DL60" s="49">
        <v>0.42</v>
      </c>
      <c r="DM60" s="49">
        <v>0.47499999999999998</v>
      </c>
      <c r="DN60" s="49">
        <v>0.17199999999999999</v>
      </c>
      <c r="DO60" s="49">
        <v>0.28399999999999997</v>
      </c>
      <c r="DP60" s="49">
        <v>65.650999999999996</v>
      </c>
      <c r="DQ60" s="49">
        <v>58.387</v>
      </c>
      <c r="DR60" s="49">
        <v>52.61</v>
      </c>
      <c r="DS60" s="49">
        <v>51.476999999999997</v>
      </c>
      <c r="DT60" s="49">
        <v>7.16</v>
      </c>
      <c r="DU60" s="50">
        <v>7.32</v>
      </c>
      <c r="DV60" s="50">
        <v>14.52</v>
      </c>
      <c r="DW60" s="49">
        <v>11.66</v>
      </c>
      <c r="DX60" s="50">
        <v>7.68</v>
      </c>
      <c r="DY60" s="50">
        <v>7.55</v>
      </c>
      <c r="DZ60" s="50">
        <v>14.1</v>
      </c>
      <c r="EA60" s="49">
        <v>11.36</v>
      </c>
      <c r="EB60" s="49">
        <v>42.15</v>
      </c>
      <c r="EC60" s="49">
        <v>40.49</v>
      </c>
      <c r="ED60" s="49">
        <v>31.7</v>
      </c>
      <c r="EE60" s="49">
        <v>34.28</v>
      </c>
      <c r="EF60" s="49">
        <v>43.01</v>
      </c>
      <c r="EG60" s="49">
        <v>44.65</v>
      </c>
      <c r="EH60" s="49">
        <v>39.67</v>
      </c>
      <c r="EI60" s="49">
        <v>42.7</v>
      </c>
      <c r="EJ60" s="49">
        <v>6.3090000000000002</v>
      </c>
      <c r="EK60" s="50">
        <v>60.732999999999997</v>
      </c>
      <c r="EL60" s="49">
        <v>2.15</v>
      </c>
      <c r="EM60" s="49">
        <v>1.8</v>
      </c>
      <c r="EN60" s="49">
        <v>1.19</v>
      </c>
      <c r="EO60" s="49">
        <v>1.19</v>
      </c>
      <c r="EP60" s="49">
        <v>-108.85</v>
      </c>
      <c r="EQ60" s="49">
        <v>-2.298</v>
      </c>
      <c r="ER60" s="49">
        <v>108.10599999999999</v>
      </c>
      <c r="ES60" s="49">
        <v>1.4510000000000001</v>
      </c>
      <c r="ET60" s="49">
        <v>1.657</v>
      </c>
      <c r="EU60" s="49">
        <v>1.4279999999999999</v>
      </c>
      <c r="EV60" s="49">
        <v>8.0440000000000005</v>
      </c>
      <c r="EW60" s="49">
        <v>2.8140000000000001</v>
      </c>
      <c r="EX60" s="50">
        <v>75.319999999999993</v>
      </c>
      <c r="EY60" s="49">
        <v>0</v>
      </c>
      <c r="EZ60" s="49">
        <v>2.1419999999999999</v>
      </c>
      <c r="FA60" s="50">
        <v>0</v>
      </c>
      <c r="FB60" s="49">
        <v>9.1660000000000004</v>
      </c>
      <c r="FC60" s="49">
        <v>69.658000000000001</v>
      </c>
      <c r="FD60" s="49">
        <v>63.798999999999999</v>
      </c>
      <c r="FE60" s="49">
        <v>79.893000000000001</v>
      </c>
      <c r="FF60" s="49">
        <v>75.688999999999993</v>
      </c>
      <c r="FG60" s="49">
        <v>0.91600000000000004</v>
      </c>
      <c r="FH60" s="49">
        <v>0.91700000000000004</v>
      </c>
      <c r="FI60" s="49">
        <v>0.99299999999999999</v>
      </c>
      <c r="FJ60" s="49">
        <v>0.997</v>
      </c>
      <c r="FK60" s="49">
        <v>0</v>
      </c>
      <c r="FL60" s="50">
        <v>83</v>
      </c>
      <c r="FM60" s="49">
        <v>3.79</v>
      </c>
      <c r="FN60" s="49">
        <v>2.4300000000000002</v>
      </c>
      <c r="FO60" s="49">
        <v>5.45</v>
      </c>
      <c r="FP60" s="3"/>
      <c r="FQ60" s="49">
        <v>4.55</v>
      </c>
      <c r="FR60" s="50">
        <v>4.9000000000000004</v>
      </c>
      <c r="FS60" s="49">
        <v>6.7115</v>
      </c>
      <c r="FT60" s="49">
        <v>1069.0999999999999</v>
      </c>
      <c r="FU60" s="50">
        <v>7.42</v>
      </c>
      <c r="FV60" s="49">
        <v>26.97</v>
      </c>
      <c r="FW60" s="49">
        <v>3169</v>
      </c>
      <c r="FX60" s="49">
        <v>164500</v>
      </c>
      <c r="FY60" s="49">
        <v>165100</v>
      </c>
      <c r="FZ60" s="49">
        <v>47.631</v>
      </c>
      <c r="GA60" s="49">
        <v>47.255000000000003</v>
      </c>
      <c r="GB60" s="49">
        <v>2205.1</v>
      </c>
      <c r="GC60" s="49">
        <v>2172.6</v>
      </c>
      <c r="GD60" s="50">
        <v>2284</v>
      </c>
      <c r="GE60" s="49">
        <v>2210.3000000000002</v>
      </c>
      <c r="GF60" s="49">
        <v>1443.375</v>
      </c>
      <c r="GG60" s="49">
        <v>29</v>
      </c>
      <c r="GH60" s="49">
        <v>29</v>
      </c>
      <c r="GI60" s="49">
        <v>46.8</v>
      </c>
      <c r="GJ60" s="49">
        <v>51.6</v>
      </c>
      <c r="GK60" s="49">
        <v>90</v>
      </c>
      <c r="GL60" s="49">
        <v>90.9</v>
      </c>
      <c r="GM60" s="50">
        <v>0</v>
      </c>
      <c r="GN60" s="50">
        <v>27.54</v>
      </c>
      <c r="GO60" s="49">
        <v>108.85</v>
      </c>
      <c r="GP60" s="49">
        <v>0.53100000000000003</v>
      </c>
      <c r="GQ60" s="49">
        <v>1.8879999999999999</v>
      </c>
      <c r="GR60" s="49">
        <v>1.121</v>
      </c>
      <c r="GS60" s="49">
        <v>2.0059999999999998</v>
      </c>
      <c r="GT60" s="49">
        <v>0.47199999999999998</v>
      </c>
      <c r="GU60" s="49">
        <v>1.8879999999999999</v>
      </c>
      <c r="GV60" s="49">
        <v>12.936</v>
      </c>
      <c r="GW60" s="49">
        <v>13.897</v>
      </c>
      <c r="GX60" s="49">
        <v>15.288</v>
      </c>
      <c r="GY60" s="50">
        <v>0</v>
      </c>
      <c r="GZ60" s="50">
        <v>0</v>
      </c>
      <c r="HA60" s="50">
        <v>0</v>
      </c>
      <c r="HB60" s="49">
        <v>0</v>
      </c>
      <c r="HC60" s="49">
        <v>23.201000000000001</v>
      </c>
      <c r="HD60" s="49">
        <v>78</v>
      </c>
      <c r="HE60" s="50">
        <v>0</v>
      </c>
      <c r="HF60" s="50">
        <v>0</v>
      </c>
      <c r="HG60" s="49">
        <v>74.14</v>
      </c>
      <c r="HH60" s="49">
        <v>82.5</v>
      </c>
      <c r="HI60" s="50">
        <v>0</v>
      </c>
      <c r="HJ60" s="50">
        <v>0</v>
      </c>
      <c r="HK60" s="50">
        <v>0</v>
      </c>
      <c r="HL60" s="49">
        <v>58</v>
      </c>
      <c r="HM60" s="49">
        <v>50</v>
      </c>
      <c r="HN60" s="49">
        <v>62</v>
      </c>
      <c r="HO60" s="49">
        <v>56</v>
      </c>
      <c r="HP60" s="49">
        <v>59</v>
      </c>
      <c r="HQ60" s="49">
        <v>57</v>
      </c>
      <c r="HR60" s="49">
        <v>49</v>
      </c>
      <c r="HS60" s="50">
        <v>70</v>
      </c>
      <c r="HT60" s="50">
        <v>-1.3474999999999999</v>
      </c>
      <c r="HU60" s="50">
        <v>0</v>
      </c>
      <c r="HV60" s="49">
        <v>1.345</v>
      </c>
      <c r="HW60" s="49">
        <v>36.65</v>
      </c>
      <c r="HX60" s="49">
        <v>47.31</v>
      </c>
      <c r="HY60" s="50">
        <v>48.98</v>
      </c>
      <c r="HZ60" s="50">
        <v>60.35</v>
      </c>
      <c r="IA60" s="50">
        <v>3.0939999999999999</v>
      </c>
      <c r="IB60" s="50">
        <v>104</v>
      </c>
      <c r="IC60" s="50">
        <v>23.01</v>
      </c>
      <c r="ID60" s="49">
        <v>-0.36399999999999999</v>
      </c>
      <c r="IE60" s="49">
        <v>-0.17799999999999999</v>
      </c>
      <c r="IF60" s="49">
        <v>816.9</v>
      </c>
      <c r="IG60" s="50">
        <v>755.3</v>
      </c>
      <c r="IH60" s="49">
        <v>814.6</v>
      </c>
      <c r="II60" s="50">
        <v>765.9</v>
      </c>
      <c r="IJ60" s="49">
        <v>-1.4999999999999999E-2</v>
      </c>
      <c r="IK60" s="49">
        <v>-7.0000000000000007E-2</v>
      </c>
      <c r="IL60" s="49">
        <v>68.850999999999999</v>
      </c>
      <c r="IM60" s="49">
        <v>68.850999999999999</v>
      </c>
      <c r="IN60" s="49">
        <v>10.904</v>
      </c>
      <c r="IO60" s="49">
        <v>0.22800000000000001</v>
      </c>
      <c r="IP60" s="49">
        <v>9.61</v>
      </c>
      <c r="IQ60" s="49">
        <v>8.9999999999999993E-3</v>
      </c>
      <c r="IR60" s="49">
        <v>8.0000000000000002E-3</v>
      </c>
      <c r="IS60">
        <v>0.44900000000000018</v>
      </c>
      <c r="IT60">
        <v>0.26800000000000013</v>
      </c>
    </row>
    <row r="61" spans="1:254" x14ac:dyDescent="0.25">
      <c r="B61" s="2" t="s">
        <v>412</v>
      </c>
      <c r="C61" s="2" t="s">
        <v>46</v>
      </c>
      <c r="D61" s="61">
        <v>3.2358796296296298E-3</v>
      </c>
      <c r="E61" s="49">
        <v>279.577</v>
      </c>
      <c r="F61" s="49">
        <v>328.95</v>
      </c>
      <c r="G61" s="49">
        <v>-26.97</v>
      </c>
      <c r="H61" s="49">
        <v>27.2</v>
      </c>
      <c r="I61" s="50">
        <v>0</v>
      </c>
      <c r="J61" s="49">
        <v>21.7</v>
      </c>
      <c r="K61" s="50">
        <v>6</v>
      </c>
      <c r="L61" s="50">
        <v>4</v>
      </c>
      <c r="M61" s="50">
        <v>6</v>
      </c>
      <c r="N61" s="50">
        <v>3</v>
      </c>
      <c r="O61" s="50">
        <v>3</v>
      </c>
      <c r="P61" s="49">
        <v>0.59299999999999997</v>
      </c>
      <c r="Q61" s="49">
        <v>1.2</v>
      </c>
      <c r="R61" s="49">
        <v>0.30399999999999999</v>
      </c>
      <c r="S61" s="49">
        <v>0.254</v>
      </c>
      <c r="T61" s="49">
        <v>56</v>
      </c>
      <c r="U61" s="49">
        <v>61.481000000000002</v>
      </c>
      <c r="V61" s="49">
        <v>170</v>
      </c>
      <c r="W61" s="49">
        <v>195</v>
      </c>
      <c r="X61" s="49">
        <v>140</v>
      </c>
      <c r="Y61" s="49">
        <v>172.5</v>
      </c>
      <c r="Z61" s="49">
        <v>343.04</v>
      </c>
      <c r="AA61" s="49">
        <v>369.54</v>
      </c>
      <c r="AB61" s="49">
        <v>221.89</v>
      </c>
      <c r="AC61" s="49">
        <v>284.82</v>
      </c>
      <c r="AD61" s="49">
        <v>1.7430000000000001</v>
      </c>
      <c r="AE61" s="49">
        <v>1.78</v>
      </c>
      <c r="AF61" s="49">
        <v>1.7749999999999999</v>
      </c>
      <c r="AG61" s="49">
        <v>1.827</v>
      </c>
      <c r="AH61" s="49">
        <v>77.36</v>
      </c>
      <c r="AI61" s="49">
        <v>72.53</v>
      </c>
      <c r="AJ61" s="49">
        <v>106.85</v>
      </c>
      <c r="AK61" s="49">
        <v>99.01</v>
      </c>
      <c r="AL61" s="49">
        <v>571.01</v>
      </c>
      <c r="AM61" s="49">
        <v>597.09</v>
      </c>
      <c r="AN61" s="49">
        <v>712.40599999999995</v>
      </c>
      <c r="AO61" s="49">
        <v>755.59500000000003</v>
      </c>
      <c r="AP61" s="49">
        <v>1.462</v>
      </c>
      <c r="AQ61" s="49">
        <v>1.913</v>
      </c>
      <c r="AR61" s="50">
        <v>41.613</v>
      </c>
      <c r="AS61" s="50">
        <v>40.305</v>
      </c>
      <c r="AT61" s="49">
        <v>82</v>
      </c>
      <c r="AU61" s="50">
        <v>116</v>
      </c>
      <c r="AV61" s="49">
        <v>2.1154999999999999</v>
      </c>
      <c r="AW61" s="49">
        <v>4.7746000000000004</v>
      </c>
      <c r="AX61" s="49">
        <v>1014.7</v>
      </c>
      <c r="AY61" s="49">
        <v>2.35</v>
      </c>
      <c r="AZ61" s="49">
        <v>5.61</v>
      </c>
      <c r="BA61" s="49">
        <v>69.296999999999997</v>
      </c>
      <c r="BB61" s="49">
        <v>69.2</v>
      </c>
      <c r="BC61" s="49">
        <v>7655</v>
      </c>
      <c r="BD61" s="49">
        <v>88.5</v>
      </c>
      <c r="BE61" s="49">
        <v>15.914999999999999</v>
      </c>
      <c r="BF61" s="49">
        <v>13.08</v>
      </c>
      <c r="BG61" s="49">
        <v>28.22</v>
      </c>
      <c r="BH61" s="49">
        <v>27.12</v>
      </c>
      <c r="BI61" s="50">
        <v>65.335999999999999</v>
      </c>
      <c r="BJ61" s="50">
        <v>81.316000000000003</v>
      </c>
      <c r="BK61" s="50">
        <v>63.646000000000001</v>
      </c>
      <c r="BL61" s="49">
        <v>77.932000000000002</v>
      </c>
      <c r="BM61" s="50">
        <v>79.59</v>
      </c>
      <c r="BN61" s="50">
        <v>114.504</v>
      </c>
      <c r="BO61" s="50">
        <v>112.584</v>
      </c>
      <c r="BP61" s="50">
        <v>133.17599999999999</v>
      </c>
      <c r="BQ61" s="50">
        <v>136.952</v>
      </c>
      <c r="BR61" s="50">
        <v>60.174999999999997</v>
      </c>
      <c r="BS61" s="50">
        <v>27</v>
      </c>
      <c r="BT61" s="49">
        <v>7316.0469999999996</v>
      </c>
      <c r="BU61" s="49">
        <v>46.045999999999999</v>
      </c>
      <c r="BV61" s="49">
        <v>51.704999999999998</v>
      </c>
      <c r="BW61" s="50">
        <v>55.881999999999998</v>
      </c>
      <c r="BX61" s="49">
        <v>54.762</v>
      </c>
      <c r="BY61" s="49">
        <v>1.357</v>
      </c>
      <c r="BZ61" s="49">
        <v>2.2410000000000001</v>
      </c>
      <c r="CA61" s="49">
        <v>2.613</v>
      </c>
      <c r="CB61" s="49">
        <v>2.8</v>
      </c>
      <c r="CC61" s="49">
        <v>1.0369999999999999</v>
      </c>
      <c r="CD61" s="49">
        <v>2.3809999999999998</v>
      </c>
      <c r="CE61" s="50">
        <v>1.5129999999999999</v>
      </c>
      <c r="CF61" s="49">
        <v>2.23</v>
      </c>
      <c r="CG61" s="49">
        <v>13.962</v>
      </c>
      <c r="CH61" s="49">
        <v>10.569000000000001</v>
      </c>
      <c r="CI61" s="3"/>
      <c r="CJ61" s="3"/>
      <c r="CK61" s="3"/>
      <c r="CL61" s="50">
        <v>2.1</v>
      </c>
      <c r="CM61" s="49">
        <v>0.1</v>
      </c>
      <c r="CN61" s="49">
        <v>0</v>
      </c>
      <c r="CO61" s="49">
        <v>0</v>
      </c>
      <c r="CP61" s="50">
        <v>98.081999999999994</v>
      </c>
      <c r="CQ61" s="50">
        <v>97.679000000000002</v>
      </c>
      <c r="CR61" s="49">
        <v>111.26</v>
      </c>
      <c r="CS61" s="49">
        <v>117.74</v>
      </c>
      <c r="CT61" s="49">
        <v>0.28599999999999998</v>
      </c>
      <c r="CU61" s="49">
        <v>0.89900000000000002</v>
      </c>
      <c r="CV61" s="50">
        <v>1.6970000000000001</v>
      </c>
      <c r="CW61" s="49">
        <v>1.3029999999999999</v>
      </c>
      <c r="CX61" s="49">
        <v>1.0980000000000001</v>
      </c>
      <c r="CY61" s="49">
        <v>0.79900000000000004</v>
      </c>
      <c r="CZ61" s="49">
        <v>1</v>
      </c>
      <c r="DA61" s="49">
        <v>0.499</v>
      </c>
      <c r="DB61" s="49">
        <v>1.4990000000000001</v>
      </c>
      <c r="DC61" s="50">
        <v>0</v>
      </c>
      <c r="DD61" s="50">
        <v>0</v>
      </c>
      <c r="DE61" s="49">
        <v>0.14000000000000001</v>
      </c>
      <c r="DF61" s="49">
        <v>8.9999999999999993E-3</v>
      </c>
      <c r="DG61" s="49">
        <v>0.4</v>
      </c>
      <c r="DH61" s="49">
        <v>1.575</v>
      </c>
      <c r="DI61" s="49">
        <v>0.68100000000000005</v>
      </c>
      <c r="DJ61" s="49">
        <v>9.7000000000000003E-2</v>
      </c>
      <c r="DK61" s="49">
        <v>0.47499999999999998</v>
      </c>
      <c r="DL61" s="50">
        <v>0.42099999999999999</v>
      </c>
      <c r="DM61" s="49">
        <v>0.46600000000000003</v>
      </c>
      <c r="DN61" s="49">
        <v>0.39800000000000002</v>
      </c>
      <c r="DO61" s="49">
        <v>0.38400000000000001</v>
      </c>
      <c r="DP61" s="49">
        <v>59.966000000000001</v>
      </c>
      <c r="DQ61" s="49">
        <v>60.966999999999999</v>
      </c>
      <c r="DR61" s="49">
        <v>53.101999999999997</v>
      </c>
      <c r="DS61" s="50">
        <v>51.719000000000001</v>
      </c>
      <c r="DT61" s="49">
        <v>3.43</v>
      </c>
      <c r="DU61" s="49">
        <v>3.96</v>
      </c>
      <c r="DV61" s="49">
        <v>8.73</v>
      </c>
      <c r="DW61" s="49">
        <v>6.86</v>
      </c>
      <c r="DX61" s="49">
        <v>3.72</v>
      </c>
      <c r="DY61" s="49">
        <v>3.84</v>
      </c>
      <c r="DZ61" s="49">
        <v>8.07</v>
      </c>
      <c r="EA61" s="49">
        <v>6.42</v>
      </c>
      <c r="EB61" s="50">
        <v>43.84</v>
      </c>
      <c r="EC61" s="49">
        <v>42.65</v>
      </c>
      <c r="ED61" s="49">
        <v>34.21</v>
      </c>
      <c r="EE61" s="49">
        <v>35.24</v>
      </c>
      <c r="EF61" s="49">
        <v>49</v>
      </c>
      <c r="EG61" s="49">
        <v>49.53</v>
      </c>
      <c r="EH61" s="49">
        <v>48.98</v>
      </c>
      <c r="EI61" s="49">
        <v>51.47</v>
      </c>
      <c r="EJ61" s="50">
        <v>6.7530000000000001</v>
      </c>
      <c r="EK61" s="49">
        <v>60.374000000000002</v>
      </c>
      <c r="EL61" s="49">
        <v>2.2000000000000002</v>
      </c>
      <c r="EM61" s="49">
        <v>1.7</v>
      </c>
      <c r="EN61" s="49">
        <v>1.37</v>
      </c>
      <c r="EO61" s="49">
        <v>1.36</v>
      </c>
      <c r="EP61" s="49">
        <v>-100.96599999999999</v>
      </c>
      <c r="EQ61" s="49">
        <v>-0.86599999999999999</v>
      </c>
      <c r="ER61" s="49">
        <v>99.054000000000002</v>
      </c>
      <c r="ES61" s="49">
        <v>1.5049999999999999</v>
      </c>
      <c r="ET61" s="49">
        <v>1.627</v>
      </c>
      <c r="EU61" s="49">
        <v>1.5009999999999999</v>
      </c>
      <c r="EV61" s="49">
        <v>7.859</v>
      </c>
      <c r="EW61" s="49">
        <v>2.5649999999999999</v>
      </c>
      <c r="EX61" s="49">
        <v>64.400000000000006</v>
      </c>
      <c r="EY61" s="49">
        <v>8.1000000000000003E-2</v>
      </c>
      <c r="EZ61" s="49">
        <v>0.25600000000000001</v>
      </c>
      <c r="FA61" s="50">
        <v>0</v>
      </c>
      <c r="FB61" s="49">
        <v>9.3070000000000004</v>
      </c>
      <c r="FC61" s="50">
        <v>71.563999999999993</v>
      </c>
      <c r="FD61" s="49">
        <v>65.953000000000003</v>
      </c>
      <c r="FE61" s="50">
        <v>82.147999999999996</v>
      </c>
      <c r="FF61" s="50">
        <v>78.695999999999998</v>
      </c>
      <c r="FG61" s="49">
        <v>0.95899999999999996</v>
      </c>
      <c r="FH61" s="49">
        <v>0.94599999999999995</v>
      </c>
      <c r="FI61" s="49">
        <v>0.998</v>
      </c>
      <c r="FJ61" s="49">
        <v>1.0009999999999999</v>
      </c>
      <c r="FK61" s="49">
        <v>0</v>
      </c>
      <c r="FL61" s="50">
        <v>83</v>
      </c>
      <c r="FM61" s="49">
        <v>3.76</v>
      </c>
      <c r="FN61" s="49">
        <v>2.1</v>
      </c>
      <c r="FO61" s="49">
        <v>5.31</v>
      </c>
      <c r="FP61" s="49">
        <v>3.85</v>
      </c>
      <c r="FQ61" s="49">
        <v>4.45</v>
      </c>
      <c r="FR61" s="49">
        <v>5.0999999999999996</v>
      </c>
      <c r="FS61" s="49">
        <v>6.63</v>
      </c>
      <c r="FT61" s="49">
        <v>1076.8</v>
      </c>
      <c r="FU61" s="49">
        <v>6.86</v>
      </c>
      <c r="FV61" s="50">
        <v>32.340000000000003</v>
      </c>
      <c r="FW61" s="49">
        <v>3227.5</v>
      </c>
      <c r="FX61" s="49">
        <v>162700</v>
      </c>
      <c r="FY61" s="49">
        <v>163200</v>
      </c>
      <c r="FZ61" s="49">
        <v>48.689</v>
      </c>
      <c r="GA61" s="49">
        <v>48.383000000000003</v>
      </c>
      <c r="GB61" s="49">
        <v>2178.8000000000002</v>
      </c>
      <c r="GC61" s="50">
        <v>2180.6999999999998</v>
      </c>
      <c r="GD61" s="49">
        <v>2201.6999999999998</v>
      </c>
      <c r="GE61" s="49">
        <v>2206.8000000000002</v>
      </c>
      <c r="GF61" s="49">
        <v>1274.9530999999999</v>
      </c>
      <c r="GG61" s="49">
        <v>30</v>
      </c>
      <c r="GH61" s="49">
        <v>29.8</v>
      </c>
      <c r="GI61" s="49">
        <v>47.3</v>
      </c>
      <c r="GJ61" s="49">
        <v>52.7</v>
      </c>
      <c r="GK61" s="49">
        <v>90</v>
      </c>
      <c r="GL61" s="49">
        <v>75.099999999999994</v>
      </c>
      <c r="GM61" s="50">
        <v>0</v>
      </c>
      <c r="GN61" s="49">
        <v>26.741</v>
      </c>
      <c r="GO61" s="49">
        <v>100.96599999999999</v>
      </c>
      <c r="GP61" s="50">
        <v>0</v>
      </c>
      <c r="GQ61" s="49">
        <v>5.133</v>
      </c>
      <c r="GR61" s="50">
        <v>0</v>
      </c>
      <c r="GS61" s="49">
        <v>5.0739999999999998</v>
      </c>
      <c r="GT61" s="50">
        <v>0</v>
      </c>
      <c r="GU61" s="49">
        <v>5.4279999999999999</v>
      </c>
      <c r="GV61" s="50">
        <v>0</v>
      </c>
      <c r="GW61" s="49">
        <v>13.776999999999999</v>
      </c>
      <c r="GX61" s="50">
        <v>24.99</v>
      </c>
      <c r="GY61" s="50">
        <v>0</v>
      </c>
      <c r="GZ61" s="50">
        <v>0</v>
      </c>
      <c r="HA61" s="50">
        <v>0</v>
      </c>
      <c r="HB61" s="50">
        <v>1</v>
      </c>
      <c r="HC61" s="49">
        <v>22.85</v>
      </c>
      <c r="HD61" s="50">
        <v>82</v>
      </c>
      <c r="HE61" s="50">
        <v>0</v>
      </c>
      <c r="HF61" s="50">
        <v>0</v>
      </c>
      <c r="HG61" s="49">
        <v>75.319999999999993</v>
      </c>
      <c r="HH61" s="49">
        <v>82.5</v>
      </c>
      <c r="HI61" s="50">
        <v>0</v>
      </c>
      <c r="HJ61" s="50">
        <v>0</v>
      </c>
      <c r="HK61" s="50">
        <v>0</v>
      </c>
      <c r="HL61" s="50">
        <v>59</v>
      </c>
      <c r="HM61" s="50">
        <v>51</v>
      </c>
      <c r="HN61" s="50">
        <v>64</v>
      </c>
      <c r="HO61" s="50">
        <v>57</v>
      </c>
      <c r="HP61" s="50">
        <v>60</v>
      </c>
      <c r="HQ61" s="50">
        <v>58</v>
      </c>
      <c r="HR61" s="50">
        <v>50</v>
      </c>
      <c r="HS61" s="49">
        <v>62</v>
      </c>
      <c r="HT61" s="49">
        <v>-1.3465</v>
      </c>
      <c r="HU61" s="50">
        <v>0</v>
      </c>
      <c r="HV61" s="49">
        <v>1.006</v>
      </c>
      <c r="HW61" s="49">
        <v>37.64</v>
      </c>
      <c r="HX61" s="49">
        <v>54.13</v>
      </c>
      <c r="HY61" s="3"/>
      <c r="HZ61" s="3"/>
      <c r="IA61" s="49">
        <v>2.6059999999999999</v>
      </c>
      <c r="IB61" s="49">
        <v>102</v>
      </c>
      <c r="IC61" s="49">
        <v>21.337</v>
      </c>
      <c r="ID61" s="49">
        <v>-0.21099999999999999</v>
      </c>
      <c r="IE61" s="49">
        <v>-0.10199999999999999</v>
      </c>
      <c r="IF61" s="49">
        <v>795.2</v>
      </c>
      <c r="IG61" s="49">
        <v>705.2</v>
      </c>
      <c r="IH61" s="49">
        <v>804.9</v>
      </c>
      <c r="II61" s="49">
        <v>721.3</v>
      </c>
      <c r="IJ61" s="50">
        <v>7.4999999999999997E-2</v>
      </c>
      <c r="IK61" s="50">
        <v>4.9000000000000002E-2</v>
      </c>
      <c r="IL61" s="49">
        <v>126.509</v>
      </c>
      <c r="IM61" s="49">
        <v>126.509</v>
      </c>
      <c r="IN61" s="50">
        <v>16.076000000000001</v>
      </c>
      <c r="IO61" s="49">
        <v>0.14799999999999999</v>
      </c>
      <c r="IP61" s="49">
        <v>9.89</v>
      </c>
      <c r="IQ61" s="49">
        <v>0</v>
      </c>
      <c r="IR61" s="49">
        <v>0</v>
      </c>
      <c r="IS61">
        <v>0.44900000000000018</v>
      </c>
      <c r="IT61">
        <v>0.26800000000000013</v>
      </c>
    </row>
    <row r="62" spans="1:254" x14ac:dyDescent="0.25">
      <c r="IS62">
        <v>0.44900000000000018</v>
      </c>
      <c r="IT62">
        <v>0.26800000000000013</v>
      </c>
    </row>
    <row r="63" spans="1:254" x14ac:dyDescent="0.25">
      <c r="IS63">
        <v>0.44900000000000018</v>
      </c>
      <c r="IT63">
        <v>0.26800000000000013</v>
      </c>
    </row>
    <row r="64" spans="1:254" x14ac:dyDescent="0.25">
      <c r="IS64">
        <v>0.44900000000000018</v>
      </c>
      <c r="IT64">
        <v>0.26800000000000013</v>
      </c>
    </row>
    <row r="65" spans="2:254" x14ac:dyDescent="0.25">
      <c r="B65" s="2" t="s">
        <v>424</v>
      </c>
      <c r="C65" s="64" t="s">
        <v>41</v>
      </c>
      <c r="D65" s="65">
        <v>3.3634259259259256E-4</v>
      </c>
      <c r="E65" s="7">
        <v>29.062000000000001</v>
      </c>
      <c r="F65" s="7">
        <v>0.01</v>
      </c>
      <c r="G65" s="7">
        <v>0</v>
      </c>
      <c r="H65" s="7">
        <v>27</v>
      </c>
      <c r="I65" s="7">
        <v>0</v>
      </c>
      <c r="J65" s="7">
        <v>8.3000000000000007</v>
      </c>
      <c r="K65" s="7">
        <v>6</v>
      </c>
      <c r="L65" s="7">
        <v>4</v>
      </c>
      <c r="M65" s="7">
        <v>6</v>
      </c>
      <c r="N65" s="7">
        <v>3</v>
      </c>
      <c r="O65" s="7">
        <v>3</v>
      </c>
      <c r="P65" s="3"/>
      <c r="Q65" s="3"/>
      <c r="R65" s="3"/>
      <c r="S65" s="3"/>
      <c r="T65" s="7">
        <v>20.65</v>
      </c>
      <c r="U65" s="7">
        <v>63.636000000000003</v>
      </c>
      <c r="V65" s="7">
        <v>306</v>
      </c>
      <c r="W65" s="7">
        <v>320</v>
      </c>
      <c r="X65" s="7">
        <v>167.5</v>
      </c>
      <c r="Y65" s="7">
        <v>215</v>
      </c>
      <c r="Z65" s="7">
        <v>311.22000000000003</v>
      </c>
      <c r="AA65" s="7">
        <v>328.5</v>
      </c>
      <c r="AB65" s="7">
        <v>172</v>
      </c>
      <c r="AC65" s="7">
        <v>218.84</v>
      </c>
      <c r="AD65" s="7">
        <v>1.7390000000000001</v>
      </c>
      <c r="AE65" s="7">
        <v>1.7929999999999999</v>
      </c>
      <c r="AF65" s="7">
        <v>1.72</v>
      </c>
      <c r="AG65" s="7">
        <v>1.788</v>
      </c>
      <c r="AH65" s="7">
        <v>73.650000000000006</v>
      </c>
      <c r="AI65" s="7">
        <v>67.959999999999994</v>
      </c>
      <c r="AJ65" s="7">
        <v>96.1</v>
      </c>
      <c r="AK65" s="7">
        <v>88.9</v>
      </c>
      <c r="AL65" s="3"/>
      <c r="AM65" s="3"/>
      <c r="AN65" s="3"/>
      <c r="AO65" s="3"/>
      <c r="AP65" s="3"/>
      <c r="AQ65" s="3"/>
      <c r="AR65" s="3"/>
      <c r="AS65" s="3"/>
      <c r="AT65" s="7">
        <v>82</v>
      </c>
      <c r="AU65" s="7">
        <v>109</v>
      </c>
      <c r="AV65" s="7">
        <v>3.8805000000000001</v>
      </c>
      <c r="AW65" s="7">
        <v>3.9009999999999998</v>
      </c>
      <c r="AX65" s="7">
        <v>1030</v>
      </c>
      <c r="AY65" s="7">
        <v>2.2400000000000002</v>
      </c>
      <c r="AZ65" s="7">
        <v>6.15</v>
      </c>
      <c r="BA65" s="3"/>
      <c r="BB65" s="3"/>
      <c r="BC65" s="7">
        <v>0</v>
      </c>
      <c r="BD65" s="7">
        <v>0</v>
      </c>
      <c r="BE65" s="7">
        <v>3.98</v>
      </c>
      <c r="BF65" s="7">
        <v>3.06</v>
      </c>
      <c r="BG65" s="7">
        <v>6.2</v>
      </c>
      <c r="BH65" s="7">
        <v>6.5</v>
      </c>
      <c r="BI65" s="3"/>
      <c r="BJ65" s="3"/>
      <c r="BK65" s="3"/>
      <c r="BL65" s="3"/>
      <c r="BM65" s="3"/>
      <c r="BN65" s="7">
        <v>124.664</v>
      </c>
      <c r="BO65" s="7">
        <v>127.304</v>
      </c>
      <c r="BP65" s="7">
        <v>110.08799999999999</v>
      </c>
      <c r="BQ65" s="7">
        <v>117.96</v>
      </c>
      <c r="BR65" s="3"/>
      <c r="BS65" s="7">
        <v>26.7</v>
      </c>
      <c r="BT65" s="3"/>
      <c r="BU65" s="7">
        <v>71.588999999999999</v>
      </c>
      <c r="BV65" s="3"/>
      <c r="BW65" s="3"/>
      <c r="BX65" s="3"/>
      <c r="BY65" s="7">
        <v>2.1999999999999999E-2</v>
      </c>
      <c r="BZ65" s="7">
        <v>5.0000000000000001E-3</v>
      </c>
      <c r="CA65" s="7">
        <v>2.4E-2</v>
      </c>
      <c r="CB65" s="7">
        <v>2.1000000000000001E-2</v>
      </c>
      <c r="CC65" s="3"/>
      <c r="CD65" s="3"/>
      <c r="CE65" s="3"/>
      <c r="CF65" s="3"/>
      <c r="CG65" s="7">
        <v>13.206</v>
      </c>
      <c r="CH65" s="7">
        <v>12.936999999999999</v>
      </c>
      <c r="CI65" s="3"/>
      <c r="CJ65" s="7">
        <v>1.895</v>
      </c>
      <c r="CK65" s="3"/>
      <c r="CL65" s="7">
        <v>0</v>
      </c>
      <c r="CM65" s="7">
        <v>0</v>
      </c>
      <c r="CN65" s="7">
        <v>0</v>
      </c>
      <c r="CO65" s="7">
        <v>0</v>
      </c>
      <c r="CP65" s="7">
        <v>121.321</v>
      </c>
      <c r="CQ65" s="7">
        <v>123.9</v>
      </c>
      <c r="CR65" s="7">
        <v>109.804</v>
      </c>
      <c r="CS65" s="7">
        <v>116.13</v>
      </c>
      <c r="CT65" s="7">
        <v>0</v>
      </c>
      <c r="CU65" s="7">
        <v>0</v>
      </c>
      <c r="CV65" s="7">
        <v>0</v>
      </c>
      <c r="CW65" s="7">
        <v>0</v>
      </c>
      <c r="CX65" s="7">
        <v>0</v>
      </c>
      <c r="CY65" s="7">
        <v>0</v>
      </c>
      <c r="CZ65" s="7">
        <v>0</v>
      </c>
      <c r="DA65" s="7">
        <v>0</v>
      </c>
      <c r="DB65" s="7">
        <v>0</v>
      </c>
      <c r="DC65" s="7">
        <v>0</v>
      </c>
      <c r="DD65" s="7">
        <v>0</v>
      </c>
      <c r="DE65" s="7">
        <v>0</v>
      </c>
      <c r="DF65" s="3"/>
      <c r="DG65" s="7">
        <v>0</v>
      </c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7">
        <v>0</v>
      </c>
      <c r="DU65" s="7">
        <v>0</v>
      </c>
      <c r="DV65" s="7">
        <v>0</v>
      </c>
      <c r="DW65" s="7">
        <v>0</v>
      </c>
      <c r="DX65" s="7">
        <v>0</v>
      </c>
      <c r="DY65" s="7">
        <v>0</v>
      </c>
      <c r="DZ65" s="7">
        <v>0</v>
      </c>
      <c r="EA65" s="7">
        <v>0</v>
      </c>
      <c r="EB65" s="7">
        <v>16.579999999999998</v>
      </c>
      <c r="EC65" s="7">
        <v>12.42</v>
      </c>
      <c r="ED65" s="7">
        <v>4.7</v>
      </c>
      <c r="EE65" s="7">
        <v>12.24</v>
      </c>
      <c r="EF65" s="7">
        <v>83.42</v>
      </c>
      <c r="EG65" s="7">
        <v>87.57</v>
      </c>
      <c r="EH65" s="7">
        <v>95.3</v>
      </c>
      <c r="EI65" s="7">
        <v>87.76</v>
      </c>
      <c r="EJ65" s="7">
        <v>6.5039999999999996</v>
      </c>
      <c r="EK65" s="7">
        <v>61.334000000000003</v>
      </c>
      <c r="EL65" s="7">
        <v>2.25</v>
      </c>
      <c r="EM65" s="7">
        <v>2.2000000000000002</v>
      </c>
      <c r="EN65" s="7">
        <v>1.21</v>
      </c>
      <c r="EO65" s="7">
        <v>1.24</v>
      </c>
      <c r="EP65" s="7">
        <v>-0.81</v>
      </c>
      <c r="EQ65" s="7">
        <v>-0.14299999999999999</v>
      </c>
      <c r="ER65" s="7">
        <v>0.65</v>
      </c>
      <c r="ES65" s="7">
        <v>0.77600000000000002</v>
      </c>
      <c r="ET65" s="7">
        <v>0.8</v>
      </c>
      <c r="EU65" s="7">
        <v>0.76400000000000001</v>
      </c>
      <c r="EV65" s="3"/>
      <c r="EW65" s="3"/>
      <c r="EX65" s="7">
        <v>0</v>
      </c>
      <c r="EY65" s="7">
        <v>0</v>
      </c>
      <c r="EZ65" s="7">
        <v>0</v>
      </c>
      <c r="FA65" s="7">
        <v>0</v>
      </c>
      <c r="FB65" s="7">
        <v>8.9190000000000005</v>
      </c>
      <c r="FC65" s="7">
        <v>70.033000000000001</v>
      </c>
      <c r="FD65" s="7">
        <v>65.141000000000005</v>
      </c>
      <c r="FE65" s="7">
        <v>76.448999999999998</v>
      </c>
      <c r="FF65" s="7">
        <v>74.41</v>
      </c>
      <c r="FG65" s="7">
        <v>1.206</v>
      </c>
      <c r="FH65" s="7">
        <v>1.24</v>
      </c>
      <c r="FI65" s="7">
        <v>1</v>
      </c>
      <c r="FJ65" s="7">
        <v>1</v>
      </c>
      <c r="FK65" s="7">
        <v>0</v>
      </c>
      <c r="FL65" s="7">
        <v>81</v>
      </c>
      <c r="FM65" s="7">
        <v>2.1800000000000002</v>
      </c>
      <c r="FN65" s="7">
        <v>2.15</v>
      </c>
      <c r="FO65" s="7">
        <v>6.14</v>
      </c>
      <c r="FP65" s="7">
        <v>5.3</v>
      </c>
      <c r="FQ65" s="7">
        <v>0.55000000000000004</v>
      </c>
      <c r="FR65" s="7">
        <v>5.6</v>
      </c>
      <c r="FS65" s="7">
        <v>3.9180000000000001</v>
      </c>
      <c r="FT65" s="7">
        <v>1030.2</v>
      </c>
      <c r="FU65" s="7">
        <v>0</v>
      </c>
      <c r="FV65" s="7">
        <v>0</v>
      </c>
      <c r="FW65" s="7">
        <v>3.5</v>
      </c>
      <c r="FX65" s="7">
        <v>0</v>
      </c>
      <c r="FY65" s="7">
        <v>0</v>
      </c>
      <c r="FZ65" s="3"/>
      <c r="GA65" s="3"/>
      <c r="GB65" s="7">
        <v>2116.1</v>
      </c>
      <c r="GC65" s="7">
        <v>2116.6999999999998</v>
      </c>
      <c r="GD65" s="7">
        <v>1014.3</v>
      </c>
      <c r="GE65" s="7">
        <v>1014.8</v>
      </c>
      <c r="GF65" s="7">
        <v>29.578099999999999</v>
      </c>
      <c r="GG65" s="7">
        <v>30</v>
      </c>
      <c r="GH65" s="7">
        <v>30.3</v>
      </c>
      <c r="GI65" s="7">
        <v>48.1</v>
      </c>
      <c r="GJ65" s="7">
        <v>53.4</v>
      </c>
      <c r="GK65" s="7">
        <v>89</v>
      </c>
      <c r="GL65" s="7">
        <v>24</v>
      </c>
      <c r="GM65" s="7">
        <v>0</v>
      </c>
      <c r="GN65" s="3"/>
      <c r="GO65" s="7">
        <v>0.81</v>
      </c>
      <c r="GP65" s="7">
        <v>0</v>
      </c>
      <c r="GQ65" s="7">
        <v>1.77</v>
      </c>
      <c r="GR65" s="7">
        <v>0</v>
      </c>
      <c r="GS65" s="7">
        <v>1.77</v>
      </c>
      <c r="GT65" s="7">
        <v>0</v>
      </c>
      <c r="GU65" s="7">
        <v>1.7110000000000001</v>
      </c>
      <c r="GV65" s="7">
        <v>0</v>
      </c>
      <c r="GW65" s="7">
        <v>0</v>
      </c>
      <c r="GX65" s="7">
        <v>0</v>
      </c>
      <c r="GY65" s="7">
        <v>0</v>
      </c>
      <c r="GZ65" s="7">
        <v>0</v>
      </c>
      <c r="HA65" s="7">
        <v>0</v>
      </c>
      <c r="HB65" s="7">
        <v>0</v>
      </c>
      <c r="HC65" s="7">
        <v>14.71</v>
      </c>
      <c r="HD65" s="7">
        <v>82</v>
      </c>
      <c r="HE65" s="7">
        <v>0</v>
      </c>
      <c r="HF65" s="7">
        <v>0</v>
      </c>
      <c r="HG65" s="7">
        <v>82.63</v>
      </c>
      <c r="HH65" s="7">
        <v>58.79</v>
      </c>
      <c r="HI65" s="7">
        <v>0</v>
      </c>
      <c r="HJ65" s="7">
        <v>0</v>
      </c>
      <c r="HK65" s="7">
        <v>0</v>
      </c>
      <c r="HL65" s="7">
        <v>59</v>
      </c>
      <c r="HM65" s="7">
        <v>51</v>
      </c>
      <c r="HN65" s="7">
        <v>64</v>
      </c>
      <c r="HO65" s="7">
        <v>56</v>
      </c>
      <c r="HP65" s="7">
        <v>57</v>
      </c>
      <c r="HQ65" s="7">
        <v>56</v>
      </c>
      <c r="HR65" s="7">
        <v>50</v>
      </c>
      <c r="HS65" s="7">
        <v>54</v>
      </c>
      <c r="HT65" s="7">
        <v>-0.995</v>
      </c>
      <c r="HU65" s="7">
        <v>0</v>
      </c>
      <c r="HV65" s="7">
        <v>-5.8000000000000003E-2</v>
      </c>
      <c r="HW65" s="7">
        <v>52.98</v>
      </c>
      <c r="HX65" s="7">
        <v>74.959999999999994</v>
      </c>
      <c r="HY65" s="3"/>
      <c r="HZ65" s="3"/>
      <c r="IA65" s="7">
        <v>4.0000000000000001E-3</v>
      </c>
      <c r="IB65" s="7">
        <v>97</v>
      </c>
      <c r="IC65" s="7">
        <v>14.978999999999999</v>
      </c>
      <c r="ID65" s="7">
        <v>0</v>
      </c>
      <c r="IE65" s="7">
        <v>0</v>
      </c>
      <c r="IF65" s="7">
        <v>491.1</v>
      </c>
      <c r="IG65" s="7">
        <v>475.8</v>
      </c>
      <c r="IH65" s="7">
        <v>530.9</v>
      </c>
      <c r="II65" s="7">
        <v>513.1</v>
      </c>
      <c r="IJ65" s="7">
        <v>0</v>
      </c>
      <c r="IK65" s="7">
        <v>0</v>
      </c>
      <c r="IL65" s="7">
        <v>29.047000000000001</v>
      </c>
      <c r="IM65" s="7">
        <v>29.047000000000001</v>
      </c>
      <c r="IN65" s="7">
        <v>37.353000000000002</v>
      </c>
      <c r="IO65" s="7">
        <v>0</v>
      </c>
      <c r="IP65" s="7">
        <v>10.56</v>
      </c>
      <c r="IQ65" s="7">
        <v>1E-3</v>
      </c>
      <c r="IR65" s="7">
        <v>5.0000000000000001E-3</v>
      </c>
      <c r="IS65">
        <v>0.44900000000000018</v>
      </c>
      <c r="IT65">
        <v>0.26800000000000013</v>
      </c>
    </row>
    <row r="66" spans="2:254" x14ac:dyDescent="0.25">
      <c r="B66" s="2" t="s">
        <v>412</v>
      </c>
      <c r="C66" s="2" t="s">
        <v>42</v>
      </c>
      <c r="D66" s="61">
        <v>3.5982638888888887E-3</v>
      </c>
      <c r="E66" s="50">
        <v>310.892</v>
      </c>
      <c r="F66" s="49">
        <v>327.01</v>
      </c>
      <c r="G66" s="49">
        <v>5.57</v>
      </c>
      <c r="H66" s="49">
        <v>27.1</v>
      </c>
      <c r="I66" s="50">
        <v>1.64</v>
      </c>
      <c r="J66" s="50">
        <v>33.799999999999997</v>
      </c>
      <c r="K66" s="50">
        <v>6</v>
      </c>
      <c r="L66" s="50">
        <v>4</v>
      </c>
      <c r="M66" s="49">
        <v>6</v>
      </c>
      <c r="N66" s="50">
        <v>3</v>
      </c>
      <c r="O66" s="50">
        <v>3</v>
      </c>
      <c r="P66" s="50">
        <v>0.60299999999999998</v>
      </c>
      <c r="Q66" s="50">
        <v>1.1000000000000001</v>
      </c>
      <c r="R66" s="50">
        <v>0.53800000000000003</v>
      </c>
      <c r="S66" s="50">
        <v>0.29599999999999999</v>
      </c>
      <c r="T66" s="49">
        <v>69.61</v>
      </c>
      <c r="U66" s="50">
        <v>61.570999999999998</v>
      </c>
      <c r="V66" s="50">
        <v>165</v>
      </c>
      <c r="W66" s="50">
        <v>187.5</v>
      </c>
      <c r="X66" s="50">
        <v>110</v>
      </c>
      <c r="Y66" s="50">
        <v>127.5</v>
      </c>
      <c r="Z66" s="49">
        <v>311.68</v>
      </c>
      <c r="AA66" s="49">
        <v>334.49</v>
      </c>
      <c r="AB66" s="49">
        <v>196.3</v>
      </c>
      <c r="AC66" s="49">
        <v>248.84</v>
      </c>
      <c r="AD66" s="49">
        <v>1.694</v>
      </c>
      <c r="AE66" s="49">
        <v>1.7490000000000001</v>
      </c>
      <c r="AF66" s="49">
        <v>1.6639999999999999</v>
      </c>
      <c r="AG66" s="49">
        <v>1.7250000000000001</v>
      </c>
      <c r="AH66" s="49">
        <v>66.099999999999994</v>
      </c>
      <c r="AI66" s="49">
        <v>62.14</v>
      </c>
      <c r="AJ66" s="49">
        <v>86.51</v>
      </c>
      <c r="AK66" s="49">
        <v>80.209999999999994</v>
      </c>
      <c r="AL66" s="49">
        <v>595.726</v>
      </c>
      <c r="AM66" s="49">
        <v>628.48299999999995</v>
      </c>
      <c r="AN66" s="49">
        <v>737.803</v>
      </c>
      <c r="AO66" s="49">
        <v>758.92600000000004</v>
      </c>
      <c r="AP66" s="49">
        <v>1.4670000000000001</v>
      </c>
      <c r="AQ66" s="50">
        <v>1.9350000000000001</v>
      </c>
      <c r="AR66" s="49">
        <v>39.905999999999999</v>
      </c>
      <c r="AS66" s="49">
        <v>37.164999999999999</v>
      </c>
      <c r="AT66" s="50">
        <v>84</v>
      </c>
      <c r="AU66" s="49">
        <v>111</v>
      </c>
      <c r="AV66" s="49">
        <v>2.0489999999999999</v>
      </c>
      <c r="AW66" s="49">
        <v>4.8841000000000001</v>
      </c>
      <c r="AX66" s="49">
        <v>1016.2</v>
      </c>
      <c r="AY66" s="50">
        <v>2.64</v>
      </c>
      <c r="AZ66" s="49">
        <v>5.57</v>
      </c>
      <c r="BA66" s="49">
        <v>69.8</v>
      </c>
      <c r="BB66" s="49">
        <v>69.7</v>
      </c>
      <c r="BC66" s="49">
        <v>7661</v>
      </c>
      <c r="BD66" s="50">
        <v>89.75</v>
      </c>
      <c r="BE66" s="49">
        <v>15.07</v>
      </c>
      <c r="BF66" s="49">
        <v>12.74</v>
      </c>
      <c r="BG66" s="49">
        <v>25.47</v>
      </c>
      <c r="BH66" s="49">
        <v>26.06</v>
      </c>
      <c r="BI66" s="49">
        <v>64.974999999999994</v>
      </c>
      <c r="BJ66" s="50">
        <v>80.885999999999996</v>
      </c>
      <c r="BK66" s="49">
        <v>63.292999999999999</v>
      </c>
      <c r="BL66" s="50">
        <v>78.625</v>
      </c>
      <c r="BM66" s="49">
        <v>78.06</v>
      </c>
      <c r="BN66" s="50">
        <v>139.24</v>
      </c>
      <c r="BO66" s="50">
        <v>141.19200000000001</v>
      </c>
      <c r="BP66" s="49">
        <v>106.80800000000001</v>
      </c>
      <c r="BQ66" s="49">
        <v>111.91200000000001</v>
      </c>
      <c r="BR66" s="49">
        <v>58.237000000000002</v>
      </c>
      <c r="BS66" s="49">
        <v>26.7</v>
      </c>
      <c r="BT66" s="49">
        <v>7092.7250000000004</v>
      </c>
      <c r="BU66" s="50">
        <v>53.56</v>
      </c>
      <c r="BV66" s="49">
        <v>53.73</v>
      </c>
      <c r="BW66" s="50">
        <v>55.026000000000003</v>
      </c>
      <c r="BX66" s="50">
        <v>56.250999999999998</v>
      </c>
      <c r="BY66" s="49">
        <v>1.4339999999999999</v>
      </c>
      <c r="BZ66" s="49">
        <v>2.6659999999999999</v>
      </c>
      <c r="CA66" s="49">
        <v>2.669</v>
      </c>
      <c r="CB66" s="49">
        <v>2.7090000000000001</v>
      </c>
      <c r="CC66" s="49">
        <v>1.2030000000000001</v>
      </c>
      <c r="CD66" s="49">
        <v>2.3260000000000001</v>
      </c>
      <c r="CE66" s="50">
        <v>1.5089999999999999</v>
      </c>
      <c r="CF66" s="50">
        <v>2.2559999999999998</v>
      </c>
      <c r="CG66" s="49">
        <v>13.855</v>
      </c>
      <c r="CH66" s="50">
        <v>10.446999999999999</v>
      </c>
      <c r="CI66" s="50">
        <v>4.0919999999999996</v>
      </c>
      <c r="CJ66" s="49">
        <v>3.5169999999999999</v>
      </c>
      <c r="CK66" s="49">
        <v>1.4039999999999999</v>
      </c>
      <c r="CL66" s="49">
        <v>0</v>
      </c>
      <c r="CM66" s="49">
        <v>1.6</v>
      </c>
      <c r="CN66" s="50">
        <v>0</v>
      </c>
      <c r="CO66" s="49">
        <v>0</v>
      </c>
      <c r="CP66" s="50">
        <v>104.815</v>
      </c>
      <c r="CQ66" s="50">
        <v>107.459</v>
      </c>
      <c r="CR66" s="49">
        <v>96.117999999999995</v>
      </c>
      <c r="CS66" s="49">
        <v>102</v>
      </c>
      <c r="CT66" s="49">
        <v>0.34799999999999998</v>
      </c>
      <c r="CU66" s="49">
        <v>1.1990000000000001</v>
      </c>
      <c r="CV66" s="49">
        <v>1.5</v>
      </c>
      <c r="CW66" s="49">
        <v>0.60099999999999998</v>
      </c>
      <c r="CX66" s="49">
        <v>1.399</v>
      </c>
      <c r="CY66" s="49">
        <v>1.304</v>
      </c>
      <c r="CZ66" s="49">
        <v>1.6950000000000001</v>
      </c>
      <c r="DA66" s="49">
        <v>0.80100000000000005</v>
      </c>
      <c r="DB66" s="49">
        <v>1.099</v>
      </c>
      <c r="DC66" s="50">
        <v>0</v>
      </c>
      <c r="DD66" s="50">
        <v>0</v>
      </c>
      <c r="DE66" s="50">
        <v>0.128</v>
      </c>
      <c r="DF66" s="49">
        <v>1.2999999999999999E-2</v>
      </c>
      <c r="DG66" s="49">
        <v>0.48399999999999999</v>
      </c>
      <c r="DH66" s="49">
        <v>1.1000000000000001</v>
      </c>
      <c r="DI66" s="50">
        <v>0.79500000000000004</v>
      </c>
      <c r="DJ66" s="50">
        <v>0.14099999999999999</v>
      </c>
      <c r="DK66" s="50">
        <v>0.71299999999999997</v>
      </c>
      <c r="DL66" s="50">
        <v>0.41899999999999998</v>
      </c>
      <c r="DM66" s="50">
        <v>0.51300000000000001</v>
      </c>
      <c r="DN66" s="49">
        <v>0.379</v>
      </c>
      <c r="DO66" s="50">
        <v>0.39400000000000002</v>
      </c>
      <c r="DP66" s="49">
        <v>62.936999999999998</v>
      </c>
      <c r="DQ66" s="49">
        <v>58.381</v>
      </c>
      <c r="DR66" s="49">
        <v>53.048000000000002</v>
      </c>
      <c r="DS66" s="49">
        <v>50.862000000000002</v>
      </c>
      <c r="DT66" s="49">
        <v>3.69</v>
      </c>
      <c r="DU66" s="49">
        <v>4.0599999999999996</v>
      </c>
      <c r="DV66" s="49">
        <v>8.2100000000000009</v>
      </c>
      <c r="DW66" s="49">
        <v>6.61</v>
      </c>
      <c r="DX66" s="49">
        <v>3.87</v>
      </c>
      <c r="DY66" s="49">
        <v>4.01</v>
      </c>
      <c r="DZ66" s="49">
        <v>7.38</v>
      </c>
      <c r="EA66" s="49">
        <v>6.13</v>
      </c>
      <c r="EB66" s="49">
        <v>33.520000000000003</v>
      </c>
      <c r="EC66" s="49">
        <v>33.4</v>
      </c>
      <c r="ED66" s="49">
        <v>26.82</v>
      </c>
      <c r="EE66" s="49">
        <v>27.88</v>
      </c>
      <c r="EF66" s="50">
        <v>58.92</v>
      </c>
      <c r="EG66" s="50">
        <v>58.53</v>
      </c>
      <c r="EH66" s="50">
        <v>57.59</v>
      </c>
      <c r="EI66" s="50">
        <v>59.38</v>
      </c>
      <c r="EJ66" s="49">
        <v>5.8460000000000001</v>
      </c>
      <c r="EK66" s="49">
        <v>59.765999999999998</v>
      </c>
      <c r="EL66" s="50">
        <v>2.5499999999999998</v>
      </c>
      <c r="EM66" s="50">
        <v>1.7</v>
      </c>
      <c r="EN66" s="50">
        <v>1.17</v>
      </c>
      <c r="EO66" s="49">
        <v>1.17</v>
      </c>
      <c r="EP66" s="49">
        <v>-84.76</v>
      </c>
      <c r="EQ66" s="50">
        <v>-1.0880000000000001</v>
      </c>
      <c r="ER66" s="49">
        <v>84.453999999999994</v>
      </c>
      <c r="ES66" s="49">
        <v>1.2070000000000001</v>
      </c>
      <c r="ET66" s="49">
        <v>1.242</v>
      </c>
      <c r="EU66" s="49">
        <v>1.175</v>
      </c>
      <c r="EV66" s="49">
        <v>7.8979999999999997</v>
      </c>
      <c r="EW66" s="49">
        <v>2.657</v>
      </c>
      <c r="EX66" s="49">
        <v>-315.3</v>
      </c>
      <c r="EY66" s="50">
        <v>2.0009999999999999</v>
      </c>
      <c r="EZ66" s="49">
        <v>0</v>
      </c>
      <c r="FA66" s="50">
        <v>0</v>
      </c>
      <c r="FB66" s="49">
        <v>7.7050000000000001</v>
      </c>
      <c r="FC66" s="49">
        <v>68.734999999999999</v>
      </c>
      <c r="FD66" s="49">
        <v>64.066999999999993</v>
      </c>
      <c r="FE66" s="49">
        <v>71.335999999999999</v>
      </c>
      <c r="FF66" s="49">
        <v>68.501999999999995</v>
      </c>
      <c r="FG66" s="50">
        <v>0.96</v>
      </c>
      <c r="FH66" s="50">
        <v>0.96199999999999997</v>
      </c>
      <c r="FI66" s="50">
        <v>1.002</v>
      </c>
      <c r="FJ66" s="50">
        <v>1.004</v>
      </c>
      <c r="FK66" s="50">
        <v>0.10100000000000001</v>
      </c>
      <c r="FL66" s="50">
        <v>85</v>
      </c>
      <c r="FM66" s="49">
        <v>3.77</v>
      </c>
      <c r="FN66" s="49">
        <v>2.2400000000000002</v>
      </c>
      <c r="FO66" s="49">
        <v>5.36</v>
      </c>
      <c r="FP66" s="49">
        <v>3.9</v>
      </c>
      <c r="FQ66" s="50">
        <v>0.55000000000000004</v>
      </c>
      <c r="FR66" s="49">
        <v>5.15</v>
      </c>
      <c r="FS66" s="49">
        <v>6.6890000000000001</v>
      </c>
      <c r="FT66" s="50">
        <v>1081.8</v>
      </c>
      <c r="FU66" s="49">
        <v>7.06</v>
      </c>
      <c r="FV66" s="49">
        <v>5.57</v>
      </c>
      <c r="FW66" s="49">
        <v>3072.5</v>
      </c>
      <c r="FX66" s="49">
        <v>166000</v>
      </c>
      <c r="FY66" s="49">
        <v>167300</v>
      </c>
      <c r="FZ66" s="50">
        <v>48.637999999999998</v>
      </c>
      <c r="GA66" s="50">
        <v>48.68</v>
      </c>
      <c r="GB66" s="49">
        <v>2146.1999999999998</v>
      </c>
      <c r="GC66" s="50">
        <v>2278</v>
      </c>
      <c r="GD66" s="49">
        <v>2190.6999999999998</v>
      </c>
      <c r="GE66" s="50">
        <v>2487.4</v>
      </c>
      <c r="GF66" s="49">
        <v>1387.2030999999999</v>
      </c>
      <c r="GG66" s="50">
        <v>31</v>
      </c>
      <c r="GH66" s="50">
        <v>30.9</v>
      </c>
      <c r="GI66" s="50">
        <v>53.2</v>
      </c>
      <c r="GJ66" s="50">
        <v>58.1</v>
      </c>
      <c r="GK66" s="50">
        <v>98.5</v>
      </c>
      <c r="GL66" s="50">
        <v>90.2</v>
      </c>
      <c r="GM66" s="50">
        <v>0</v>
      </c>
      <c r="GN66" s="49">
        <v>27.611000000000001</v>
      </c>
      <c r="GO66" s="49">
        <v>84.76</v>
      </c>
      <c r="GP66" s="50">
        <v>0</v>
      </c>
      <c r="GQ66" s="50">
        <v>4.2480000000000002</v>
      </c>
      <c r="GR66" s="50">
        <v>0</v>
      </c>
      <c r="GS66" s="50">
        <v>5.1920000000000002</v>
      </c>
      <c r="GT66" s="50">
        <v>0</v>
      </c>
      <c r="GU66" s="50">
        <v>4.3659999999999997</v>
      </c>
      <c r="GV66" s="50">
        <v>0</v>
      </c>
      <c r="GW66" s="49">
        <v>10.52</v>
      </c>
      <c r="GX66" s="50">
        <v>23.911999999999999</v>
      </c>
      <c r="GY66" s="50">
        <v>0</v>
      </c>
      <c r="GZ66" s="50">
        <v>0</v>
      </c>
      <c r="HA66" s="50">
        <v>0</v>
      </c>
      <c r="HB66" s="50">
        <v>1</v>
      </c>
      <c r="HC66" s="49">
        <v>21.991</v>
      </c>
      <c r="HD66" s="50">
        <v>86</v>
      </c>
      <c r="HE66" s="50">
        <v>0</v>
      </c>
      <c r="HF66" s="50">
        <v>0</v>
      </c>
      <c r="HG66" s="50">
        <v>90.1</v>
      </c>
      <c r="HH66" s="49">
        <v>81.39</v>
      </c>
      <c r="HI66" s="50">
        <v>0</v>
      </c>
      <c r="HJ66" s="50">
        <v>0</v>
      </c>
      <c r="HK66" s="50">
        <v>0</v>
      </c>
      <c r="HL66" s="50">
        <v>64</v>
      </c>
      <c r="HM66" s="50">
        <v>51</v>
      </c>
      <c r="HN66" s="49">
        <v>64</v>
      </c>
      <c r="HO66" s="49">
        <v>57</v>
      </c>
      <c r="HP66" s="49">
        <v>59</v>
      </c>
      <c r="HQ66" s="49">
        <v>57</v>
      </c>
      <c r="HR66" s="49">
        <v>50</v>
      </c>
      <c r="HS66" s="50">
        <v>70</v>
      </c>
      <c r="HT66" s="49">
        <v>-1.3660000000000001</v>
      </c>
      <c r="HU66" s="50">
        <v>0</v>
      </c>
      <c r="HV66" s="49">
        <v>1.0329999999999999</v>
      </c>
      <c r="HW66" s="50">
        <v>37.21</v>
      </c>
      <c r="HX66" s="49">
        <v>48.83</v>
      </c>
      <c r="HY66" s="3"/>
      <c r="HZ66" s="3"/>
      <c r="IA66" s="49">
        <v>2.2650000000000001</v>
      </c>
      <c r="IB66" s="49">
        <v>100</v>
      </c>
      <c r="IC66" s="49">
        <v>19.428999999999998</v>
      </c>
      <c r="ID66" s="50">
        <v>-0.18</v>
      </c>
      <c r="IE66" s="50">
        <v>-8.3000000000000004E-2</v>
      </c>
      <c r="IF66" s="50">
        <v>812.9</v>
      </c>
      <c r="IG66" s="49">
        <v>697</v>
      </c>
      <c r="IH66" s="50">
        <v>816.9</v>
      </c>
      <c r="II66" s="49">
        <v>710</v>
      </c>
      <c r="IJ66" s="49">
        <v>1.2E-2</v>
      </c>
      <c r="IK66" s="49">
        <v>2.8000000000000001E-2</v>
      </c>
      <c r="IL66" s="50">
        <v>164.12100000000001</v>
      </c>
      <c r="IM66" s="50">
        <v>163.98</v>
      </c>
      <c r="IN66" s="49">
        <v>13.13</v>
      </c>
      <c r="IO66" s="49">
        <v>0.13600000000000001</v>
      </c>
      <c r="IP66" s="50">
        <v>10.1</v>
      </c>
      <c r="IQ66" s="49">
        <v>8.9999999999999993E-3</v>
      </c>
      <c r="IR66" s="49">
        <v>5.0000000000000001E-3</v>
      </c>
      <c r="IS66">
        <v>0.45800000000000018</v>
      </c>
      <c r="IT66">
        <v>0.27300000000000013</v>
      </c>
    </row>
    <row r="67" spans="2:254" x14ac:dyDescent="0.25">
      <c r="B67" s="2" t="s">
        <v>412</v>
      </c>
      <c r="C67" s="2" t="s">
        <v>43</v>
      </c>
      <c r="D67" s="61">
        <v>2.4575231481481483E-3</v>
      </c>
      <c r="E67" s="49">
        <v>212.33</v>
      </c>
      <c r="F67" s="49">
        <v>327.92</v>
      </c>
      <c r="G67" s="50">
        <v>6.07</v>
      </c>
      <c r="H67" s="49">
        <v>27.1</v>
      </c>
      <c r="I67" s="49">
        <v>0</v>
      </c>
      <c r="J67" s="49">
        <v>11.5</v>
      </c>
      <c r="K67" s="50">
        <v>6</v>
      </c>
      <c r="L67" s="50">
        <v>4</v>
      </c>
      <c r="M67" s="50">
        <v>7</v>
      </c>
      <c r="N67" s="50">
        <v>3</v>
      </c>
      <c r="O67" s="50">
        <v>3</v>
      </c>
      <c r="P67" s="49">
        <v>0.40100000000000002</v>
      </c>
      <c r="Q67" s="49">
        <v>1.034</v>
      </c>
      <c r="R67" s="49">
        <v>0.28999999999999998</v>
      </c>
      <c r="S67" s="49">
        <v>0.20899999999999999</v>
      </c>
      <c r="T67" s="49">
        <v>87.06</v>
      </c>
      <c r="U67" s="49">
        <v>61.19</v>
      </c>
      <c r="V67" s="49">
        <v>226.66</v>
      </c>
      <c r="W67" s="49">
        <v>258.33999999999997</v>
      </c>
      <c r="X67" s="49">
        <v>137.5</v>
      </c>
      <c r="Y67" s="49">
        <v>175</v>
      </c>
      <c r="Z67" s="49">
        <v>378.4</v>
      </c>
      <c r="AA67" s="49">
        <v>408.52</v>
      </c>
      <c r="AB67" s="49">
        <v>276.02</v>
      </c>
      <c r="AC67" s="49">
        <v>341.81</v>
      </c>
      <c r="AD67" s="49">
        <v>1.7170000000000001</v>
      </c>
      <c r="AE67" s="49">
        <v>1.756</v>
      </c>
      <c r="AF67" s="49">
        <v>1.7470000000000001</v>
      </c>
      <c r="AG67" s="49">
        <v>1.7929999999999999</v>
      </c>
      <c r="AH67" s="49">
        <v>75.7</v>
      </c>
      <c r="AI67" s="49">
        <v>71.92</v>
      </c>
      <c r="AJ67" s="49">
        <v>105</v>
      </c>
      <c r="AK67" s="49">
        <v>96.08</v>
      </c>
      <c r="AL67" s="49">
        <v>696.32399999999996</v>
      </c>
      <c r="AM67" s="49">
        <v>706.37099999999998</v>
      </c>
      <c r="AN67" s="49">
        <v>854.84900000000005</v>
      </c>
      <c r="AO67" s="49">
        <v>826.26599999999996</v>
      </c>
      <c r="AP67" s="50">
        <v>1.4690000000000001</v>
      </c>
      <c r="AQ67" s="49">
        <v>1.9330000000000001</v>
      </c>
      <c r="AR67" s="49">
        <v>40.15</v>
      </c>
      <c r="AS67" s="49">
        <v>35.54</v>
      </c>
      <c r="AT67" s="49">
        <v>83</v>
      </c>
      <c r="AU67" s="49">
        <v>116</v>
      </c>
      <c r="AV67" s="49">
        <v>1.7845</v>
      </c>
      <c r="AW67" s="50">
        <v>5.1044999999999998</v>
      </c>
      <c r="AX67" s="50">
        <v>1018.6</v>
      </c>
      <c r="AY67" s="49">
        <v>2.33</v>
      </c>
      <c r="AZ67" s="49">
        <v>5.6</v>
      </c>
      <c r="BA67" s="49">
        <v>139.24600000000001</v>
      </c>
      <c r="BB67" s="49">
        <v>140.38499999999999</v>
      </c>
      <c r="BC67" s="50">
        <v>7889</v>
      </c>
      <c r="BD67" s="49">
        <v>89</v>
      </c>
      <c r="BE67" s="49">
        <v>16.254999999999999</v>
      </c>
      <c r="BF67" s="49">
        <v>14.335000000000001</v>
      </c>
      <c r="BG67" s="49">
        <v>28.78</v>
      </c>
      <c r="BH67" s="49">
        <v>27.44</v>
      </c>
      <c r="BI67" s="3"/>
      <c r="BJ67" s="3"/>
      <c r="BK67" s="3"/>
      <c r="BL67" s="3"/>
      <c r="BM67" s="3"/>
      <c r="BN67" s="49">
        <v>97.975999999999999</v>
      </c>
      <c r="BO67" s="49">
        <v>98.488</v>
      </c>
      <c r="BP67" s="49">
        <v>117.36799999999999</v>
      </c>
      <c r="BQ67" s="49">
        <v>122.152</v>
      </c>
      <c r="BR67" s="3"/>
      <c r="BS67" s="49">
        <v>26.8</v>
      </c>
      <c r="BT67" s="49">
        <v>7376.94</v>
      </c>
      <c r="BU67" s="49">
        <v>49.427</v>
      </c>
      <c r="BV67" s="49">
        <v>52.652999999999999</v>
      </c>
      <c r="BW67" s="49">
        <v>53.585000000000001</v>
      </c>
      <c r="BX67" s="49">
        <v>54.463999999999999</v>
      </c>
      <c r="BY67" s="49">
        <v>1.615</v>
      </c>
      <c r="BZ67" s="49">
        <v>3.0590000000000002</v>
      </c>
      <c r="CA67" s="49">
        <v>3.5310000000000001</v>
      </c>
      <c r="CB67" s="49">
        <v>3.45</v>
      </c>
      <c r="CC67" s="49">
        <v>1.302</v>
      </c>
      <c r="CD67" s="50">
        <v>2.5510000000000002</v>
      </c>
      <c r="CE67" s="49">
        <v>1.375</v>
      </c>
      <c r="CF67" s="49">
        <v>2.1869999999999998</v>
      </c>
      <c r="CG67" s="49">
        <v>13.944000000000001</v>
      </c>
      <c r="CH67" s="49">
        <v>13.778</v>
      </c>
      <c r="CI67" s="49">
        <v>3.9449999999999998</v>
      </c>
      <c r="CJ67" s="49">
        <v>3.7210000000000001</v>
      </c>
      <c r="CK67" s="50">
        <v>1.7509999999999999</v>
      </c>
      <c r="CL67" s="50">
        <v>0.1</v>
      </c>
      <c r="CM67" s="49">
        <v>0.3</v>
      </c>
      <c r="CN67" s="50">
        <v>0</v>
      </c>
      <c r="CO67" s="49">
        <v>0</v>
      </c>
      <c r="CP67" s="49">
        <v>93.863</v>
      </c>
      <c r="CQ67" s="49">
        <v>95.319000000000003</v>
      </c>
      <c r="CR67" s="49">
        <v>103.673</v>
      </c>
      <c r="CS67" s="49">
        <v>109.34</v>
      </c>
      <c r="CT67" s="49">
        <v>0.311</v>
      </c>
      <c r="CU67" s="49">
        <v>1.2</v>
      </c>
      <c r="CV67" s="49">
        <v>0.995</v>
      </c>
      <c r="CW67" s="49">
        <v>1.099</v>
      </c>
      <c r="CX67" s="49">
        <v>0.997</v>
      </c>
      <c r="CY67" s="49">
        <v>0.89800000000000002</v>
      </c>
      <c r="CZ67" s="49">
        <v>0.59899999999999998</v>
      </c>
      <c r="DA67" s="49">
        <v>0.59899999999999998</v>
      </c>
      <c r="DB67" s="49">
        <v>1.496</v>
      </c>
      <c r="DC67" s="50">
        <v>0</v>
      </c>
      <c r="DD67" s="50">
        <v>0</v>
      </c>
      <c r="DE67" s="49">
        <v>0.115</v>
      </c>
      <c r="DF67" s="50">
        <v>2.5000000000000001E-2</v>
      </c>
      <c r="DG67" s="49">
        <v>0.34799999999999998</v>
      </c>
      <c r="DH67" s="49">
        <v>1.139</v>
      </c>
      <c r="DI67" s="49">
        <v>0.76100000000000001</v>
      </c>
      <c r="DJ67" s="49">
        <v>9.4E-2</v>
      </c>
      <c r="DK67" s="49">
        <v>0.64800000000000002</v>
      </c>
      <c r="DL67" s="49">
        <v>0.41699999999999998</v>
      </c>
      <c r="DM67" s="49">
        <v>0.46800000000000003</v>
      </c>
      <c r="DN67" s="49">
        <v>0.26700000000000002</v>
      </c>
      <c r="DO67" s="49">
        <v>0.308</v>
      </c>
      <c r="DP67" s="50">
        <v>68.171000000000006</v>
      </c>
      <c r="DQ67" s="49">
        <v>58.244999999999997</v>
      </c>
      <c r="DR67" s="49">
        <v>53.78</v>
      </c>
      <c r="DS67" s="49">
        <v>51.113</v>
      </c>
      <c r="DT67" s="49">
        <v>7.21</v>
      </c>
      <c r="DU67" s="49">
        <v>6.81</v>
      </c>
      <c r="DV67" s="49">
        <v>14.36</v>
      </c>
      <c r="DW67" s="49">
        <v>11.29</v>
      </c>
      <c r="DX67" s="49">
        <v>7.52</v>
      </c>
      <c r="DY67" s="49">
        <v>7.12</v>
      </c>
      <c r="DZ67" s="49">
        <v>13.71</v>
      </c>
      <c r="EA67" s="49">
        <v>10.89</v>
      </c>
      <c r="EB67" s="50">
        <v>41.8</v>
      </c>
      <c r="EC67" s="50">
        <v>40.94</v>
      </c>
      <c r="ED67" s="50">
        <v>31.7</v>
      </c>
      <c r="EE67" s="49">
        <v>34.22</v>
      </c>
      <c r="EF67" s="49">
        <v>43.48</v>
      </c>
      <c r="EG67" s="49">
        <v>45.13</v>
      </c>
      <c r="EH67" s="49">
        <v>40.229999999999997</v>
      </c>
      <c r="EI67" s="49">
        <v>43.6</v>
      </c>
      <c r="EJ67" s="49">
        <v>6.7039999999999997</v>
      </c>
      <c r="EK67" s="50">
        <v>61.185000000000002</v>
      </c>
      <c r="EL67" s="49">
        <v>2.15</v>
      </c>
      <c r="EM67" s="49">
        <v>1.75</v>
      </c>
      <c r="EN67" s="50">
        <v>1.17</v>
      </c>
      <c r="EO67" s="50">
        <v>1.18</v>
      </c>
      <c r="EP67" s="49">
        <v>-117.026</v>
      </c>
      <c r="EQ67" s="49">
        <v>-2.274</v>
      </c>
      <c r="ER67" s="49">
        <v>106.938</v>
      </c>
      <c r="ES67" s="50">
        <v>1.54</v>
      </c>
      <c r="ET67" s="50">
        <v>1.649</v>
      </c>
      <c r="EU67" s="50">
        <v>1.478</v>
      </c>
      <c r="EV67" s="50">
        <v>8.0860000000000003</v>
      </c>
      <c r="EW67" s="50">
        <v>2.9289999999999998</v>
      </c>
      <c r="EX67" s="49">
        <v>75</v>
      </c>
      <c r="EY67" s="49">
        <v>0</v>
      </c>
      <c r="EZ67" s="50">
        <v>0.432</v>
      </c>
      <c r="FA67" s="50">
        <v>0</v>
      </c>
      <c r="FB67" s="49">
        <v>9.15</v>
      </c>
      <c r="FC67" s="49">
        <v>68.11</v>
      </c>
      <c r="FD67" s="49">
        <v>63.695999999999998</v>
      </c>
      <c r="FE67" s="49">
        <v>74.03</v>
      </c>
      <c r="FF67" s="49">
        <v>71.072999999999993</v>
      </c>
      <c r="FG67" s="49">
        <v>0.91300000000000003</v>
      </c>
      <c r="FH67" s="49">
        <v>0.91400000000000003</v>
      </c>
      <c r="FI67" s="49">
        <v>0.997</v>
      </c>
      <c r="FJ67" s="49">
        <v>1</v>
      </c>
      <c r="FK67" s="49">
        <v>0</v>
      </c>
      <c r="FL67" s="49">
        <v>83</v>
      </c>
      <c r="FM67" s="50">
        <v>3.83</v>
      </c>
      <c r="FN67" s="49">
        <v>2.36</v>
      </c>
      <c r="FO67" s="49">
        <v>5.4</v>
      </c>
      <c r="FP67" s="3"/>
      <c r="FQ67" s="49">
        <v>4.75</v>
      </c>
      <c r="FR67" s="49">
        <v>5.15</v>
      </c>
      <c r="FS67" s="50">
        <v>6.8070000000000004</v>
      </c>
      <c r="FT67" s="49">
        <v>1077.4000000000001</v>
      </c>
      <c r="FU67" s="50">
        <v>7.17</v>
      </c>
      <c r="FV67" s="49">
        <v>11.64</v>
      </c>
      <c r="FW67" s="49">
        <v>3116</v>
      </c>
      <c r="FX67" s="50">
        <v>170100</v>
      </c>
      <c r="FY67" s="50">
        <v>172500</v>
      </c>
      <c r="FZ67" s="49">
        <v>47.570999999999998</v>
      </c>
      <c r="GA67" s="49">
        <v>47.698</v>
      </c>
      <c r="GB67" s="50">
        <v>2253.1</v>
      </c>
      <c r="GC67" s="49">
        <v>2205.9</v>
      </c>
      <c r="GD67" s="50">
        <v>2253.1</v>
      </c>
      <c r="GE67" s="49">
        <v>2205.9</v>
      </c>
      <c r="GF67" s="50">
        <v>1425.9375</v>
      </c>
      <c r="GG67" s="49">
        <v>29</v>
      </c>
      <c r="GH67" s="49">
        <v>28.9</v>
      </c>
      <c r="GI67" s="49">
        <v>47.8</v>
      </c>
      <c r="GJ67" s="49">
        <v>53.2</v>
      </c>
      <c r="GK67" s="49">
        <v>99.5</v>
      </c>
      <c r="GL67" s="49">
        <v>77.3</v>
      </c>
      <c r="GM67" s="50">
        <v>0</v>
      </c>
      <c r="GN67" s="49">
        <v>27.795999999999999</v>
      </c>
      <c r="GO67" s="49">
        <v>117.026</v>
      </c>
      <c r="GP67" s="49">
        <v>0.88500000000000001</v>
      </c>
      <c r="GQ67" s="49">
        <v>1.8879999999999999</v>
      </c>
      <c r="GR67" s="49">
        <v>1.298</v>
      </c>
      <c r="GS67" s="49">
        <v>2.0649999999999999</v>
      </c>
      <c r="GT67" s="49">
        <v>0.76700000000000002</v>
      </c>
      <c r="GU67" s="49">
        <v>1.8879999999999999</v>
      </c>
      <c r="GV67" s="49">
        <v>12.837999999999999</v>
      </c>
      <c r="GW67" s="49">
        <v>13.866</v>
      </c>
      <c r="GX67" s="49">
        <v>15.092000000000001</v>
      </c>
      <c r="GY67" s="50">
        <v>0</v>
      </c>
      <c r="GZ67" s="50">
        <v>0</v>
      </c>
      <c r="HA67" s="50">
        <v>0</v>
      </c>
      <c r="HB67" s="49">
        <v>0</v>
      </c>
      <c r="HC67" s="49">
        <v>23.164999999999999</v>
      </c>
      <c r="HD67" s="49">
        <v>78</v>
      </c>
      <c r="HE67" s="50">
        <v>0</v>
      </c>
      <c r="HF67" s="50">
        <v>0</v>
      </c>
      <c r="HG67" s="49">
        <v>69.239999999999995</v>
      </c>
      <c r="HH67" s="50">
        <v>81.59</v>
      </c>
      <c r="HI67" s="50">
        <v>0</v>
      </c>
      <c r="HJ67" s="50">
        <v>0</v>
      </c>
      <c r="HK67" s="50">
        <v>0</v>
      </c>
      <c r="HL67" s="49">
        <v>61</v>
      </c>
      <c r="HM67" s="50">
        <v>51</v>
      </c>
      <c r="HN67" s="49">
        <v>64</v>
      </c>
      <c r="HO67" s="49">
        <v>58</v>
      </c>
      <c r="HP67" s="49">
        <v>60</v>
      </c>
      <c r="HQ67" s="49">
        <v>59</v>
      </c>
      <c r="HR67" s="49">
        <v>50</v>
      </c>
      <c r="HS67" s="49">
        <v>62</v>
      </c>
      <c r="HT67" s="50">
        <v>-1.4015</v>
      </c>
      <c r="HU67" s="50">
        <v>0</v>
      </c>
      <c r="HV67" s="50">
        <v>1.2669999999999999</v>
      </c>
      <c r="HW67" s="50">
        <v>37.21</v>
      </c>
      <c r="HX67" s="49">
        <v>43.92</v>
      </c>
      <c r="HY67" s="49">
        <v>48.66</v>
      </c>
      <c r="HZ67" s="49">
        <v>60.22</v>
      </c>
      <c r="IA67" s="49">
        <v>2.585</v>
      </c>
      <c r="IB67" s="50">
        <v>104</v>
      </c>
      <c r="IC67" s="49">
        <v>22.228000000000002</v>
      </c>
      <c r="ID67" s="49">
        <v>-0.36799999999999999</v>
      </c>
      <c r="IE67" s="49">
        <v>-0.17799999999999999</v>
      </c>
      <c r="IF67" s="49">
        <v>805.5</v>
      </c>
      <c r="IG67" s="49">
        <v>759.6</v>
      </c>
      <c r="IH67" s="49">
        <v>814.8</v>
      </c>
      <c r="II67" s="49">
        <v>770.8</v>
      </c>
      <c r="IJ67" s="50">
        <v>1.6E-2</v>
      </c>
      <c r="IK67" s="49">
        <v>2.5000000000000001E-2</v>
      </c>
      <c r="IL67" s="49">
        <v>67.149000000000001</v>
      </c>
      <c r="IM67" s="49">
        <v>67.149000000000001</v>
      </c>
      <c r="IN67" s="49">
        <v>11.327</v>
      </c>
      <c r="IO67" s="49">
        <v>0.26300000000000001</v>
      </c>
      <c r="IP67" s="49">
        <v>9.8699999999999992</v>
      </c>
      <c r="IQ67" s="50">
        <v>1.2999999999999999E-2</v>
      </c>
      <c r="IR67" s="50">
        <v>6.0000000000000001E-3</v>
      </c>
      <c r="IS67">
        <v>0.4710000000000002</v>
      </c>
      <c r="IT67">
        <v>0.27900000000000014</v>
      </c>
    </row>
    <row r="68" spans="2:254" x14ac:dyDescent="0.25">
      <c r="B68" s="2" t="s">
        <v>412</v>
      </c>
      <c r="C68" s="2" t="s">
        <v>43</v>
      </c>
      <c r="D68" s="61">
        <v>2.4393518518518518E-3</v>
      </c>
      <c r="E68" s="49">
        <v>210.76</v>
      </c>
      <c r="F68" s="50">
        <v>330.56</v>
      </c>
      <c r="G68" s="50">
        <v>6.07</v>
      </c>
      <c r="H68" s="49">
        <v>27.2</v>
      </c>
      <c r="I68" s="49">
        <v>0</v>
      </c>
      <c r="J68" s="49">
        <v>13.7</v>
      </c>
      <c r="K68" s="50">
        <v>6</v>
      </c>
      <c r="L68" s="50">
        <v>4</v>
      </c>
      <c r="M68" s="50">
        <v>7</v>
      </c>
      <c r="N68" s="50">
        <v>3</v>
      </c>
      <c r="O68" s="50">
        <v>3</v>
      </c>
      <c r="P68" s="49">
        <v>0.42399999999999999</v>
      </c>
      <c r="Q68" s="49">
        <v>0.93100000000000005</v>
      </c>
      <c r="R68" s="49">
        <v>0.24</v>
      </c>
      <c r="S68" s="49">
        <v>0.27100000000000002</v>
      </c>
      <c r="T68" s="50">
        <v>93.72</v>
      </c>
      <c r="U68" s="49">
        <v>60.965000000000003</v>
      </c>
      <c r="V68" s="49">
        <v>238.34</v>
      </c>
      <c r="W68" s="49">
        <v>235</v>
      </c>
      <c r="X68" s="49">
        <v>187.5</v>
      </c>
      <c r="Y68" s="49">
        <v>225</v>
      </c>
      <c r="Z68" s="49">
        <v>388.7</v>
      </c>
      <c r="AA68" s="49">
        <v>390.52</v>
      </c>
      <c r="AB68" s="50">
        <v>316.60000000000002</v>
      </c>
      <c r="AC68" s="50">
        <v>380.46</v>
      </c>
      <c r="AD68" s="49">
        <v>1.7529999999999999</v>
      </c>
      <c r="AE68" s="49">
        <v>1.7949999999999999</v>
      </c>
      <c r="AF68" s="49">
        <v>1.827</v>
      </c>
      <c r="AG68" s="49">
        <v>1.867</v>
      </c>
      <c r="AH68" s="49">
        <v>81.41</v>
      </c>
      <c r="AI68" s="49">
        <v>80.010000000000005</v>
      </c>
      <c r="AJ68" s="49">
        <v>117.79</v>
      </c>
      <c r="AK68" s="49">
        <v>107.42</v>
      </c>
      <c r="AL68" s="50">
        <v>778.29700000000003</v>
      </c>
      <c r="AM68" s="49">
        <v>894.88800000000003</v>
      </c>
      <c r="AN68" s="50">
        <v>904.452</v>
      </c>
      <c r="AO68" s="50">
        <v>835.83799999999997</v>
      </c>
      <c r="AP68" s="49">
        <v>1.464</v>
      </c>
      <c r="AQ68" s="49">
        <v>1.9279999999999999</v>
      </c>
      <c r="AR68" s="50">
        <v>40.545999999999999</v>
      </c>
      <c r="AS68" s="50">
        <v>38.348999999999997</v>
      </c>
      <c r="AT68" s="49">
        <v>83</v>
      </c>
      <c r="AU68" s="49">
        <v>119</v>
      </c>
      <c r="AV68" s="50">
        <v>1.569</v>
      </c>
      <c r="AW68" s="49">
        <v>5.0918000000000001</v>
      </c>
      <c r="AX68" s="49">
        <v>1017.9</v>
      </c>
      <c r="AY68" s="49">
        <v>2.35</v>
      </c>
      <c r="AZ68" s="50">
        <v>5.55</v>
      </c>
      <c r="BA68" s="49">
        <v>140.92400000000001</v>
      </c>
      <c r="BB68" s="49">
        <v>139.68799999999999</v>
      </c>
      <c r="BC68" s="49">
        <v>7835</v>
      </c>
      <c r="BD68" s="49">
        <v>88.5</v>
      </c>
      <c r="BE68" s="50">
        <v>18.454999999999998</v>
      </c>
      <c r="BF68" s="50">
        <v>15.645</v>
      </c>
      <c r="BG68" s="49">
        <v>29.37</v>
      </c>
      <c r="BH68" s="49">
        <v>27.89</v>
      </c>
      <c r="BI68" s="3"/>
      <c r="BJ68" s="3"/>
      <c r="BK68" s="3"/>
      <c r="BL68" s="3"/>
      <c r="BM68" s="3"/>
      <c r="BN68" s="49">
        <v>99.64</v>
      </c>
      <c r="BO68" s="49">
        <v>101.48</v>
      </c>
      <c r="BP68" s="49">
        <v>129.72</v>
      </c>
      <c r="BQ68" s="49">
        <v>133.36799999999999</v>
      </c>
      <c r="BR68" s="3"/>
      <c r="BS68" s="49">
        <v>26.9</v>
      </c>
      <c r="BT68" s="50">
        <v>7396.0940000000001</v>
      </c>
      <c r="BU68" s="49">
        <v>51.7</v>
      </c>
      <c r="BV68" s="50">
        <v>54.813000000000002</v>
      </c>
      <c r="BW68" s="49">
        <v>52.448999999999998</v>
      </c>
      <c r="BX68" s="49">
        <v>54.222999999999999</v>
      </c>
      <c r="BY68" s="49">
        <v>1.417</v>
      </c>
      <c r="BZ68" s="50">
        <v>3.2509999999999999</v>
      </c>
      <c r="CA68" s="50">
        <v>3.8610000000000002</v>
      </c>
      <c r="CB68" s="50">
        <v>3.835</v>
      </c>
      <c r="CC68" s="50">
        <v>1.417</v>
      </c>
      <c r="CD68" s="49">
        <v>2.4239999999999999</v>
      </c>
      <c r="CE68" s="49">
        <v>1.345</v>
      </c>
      <c r="CF68" s="49">
        <v>2.1989999999999998</v>
      </c>
      <c r="CG68" s="49">
        <v>13.943</v>
      </c>
      <c r="CH68" s="49">
        <v>13.759</v>
      </c>
      <c r="CI68" s="49">
        <v>3.4740000000000002</v>
      </c>
      <c r="CJ68" s="50">
        <v>3.774</v>
      </c>
      <c r="CK68" s="49">
        <v>1.7110000000000001</v>
      </c>
      <c r="CL68" s="49">
        <v>0</v>
      </c>
      <c r="CM68" s="50">
        <v>5.0999999999999996</v>
      </c>
      <c r="CN68" s="50">
        <v>0</v>
      </c>
      <c r="CO68" s="50">
        <v>0.1</v>
      </c>
      <c r="CP68" s="49">
        <v>95.903000000000006</v>
      </c>
      <c r="CQ68" s="49">
        <v>96.100999999999999</v>
      </c>
      <c r="CR68" s="49">
        <v>119.596</v>
      </c>
      <c r="CS68" s="49">
        <v>125.05200000000001</v>
      </c>
      <c r="CT68" s="49">
        <v>0.29099999999999998</v>
      </c>
      <c r="CU68" s="49">
        <v>0.499</v>
      </c>
      <c r="CV68" s="49">
        <v>0.7</v>
      </c>
      <c r="CW68" s="49">
        <v>0.90200000000000002</v>
      </c>
      <c r="CX68" s="49">
        <v>1.4</v>
      </c>
      <c r="CY68" s="49">
        <v>0.9</v>
      </c>
      <c r="CZ68" s="49">
        <v>1</v>
      </c>
      <c r="DA68" s="49">
        <v>0.90100000000000002</v>
      </c>
      <c r="DB68" s="49">
        <v>1.3</v>
      </c>
      <c r="DC68" s="50">
        <v>0</v>
      </c>
      <c r="DD68" s="50">
        <v>0</v>
      </c>
      <c r="DE68" s="49">
        <v>0.106</v>
      </c>
      <c r="DF68" s="49">
        <v>1.7000000000000001E-2</v>
      </c>
      <c r="DG68" s="50">
        <v>0.98199999999999998</v>
      </c>
      <c r="DH68" s="50">
        <v>1.2410000000000001</v>
      </c>
      <c r="DI68" s="49">
        <v>0.76900000000000002</v>
      </c>
      <c r="DJ68" s="49">
        <v>2.7E-2</v>
      </c>
      <c r="DK68" s="49">
        <v>0.45800000000000002</v>
      </c>
      <c r="DL68" s="49">
        <v>0.39800000000000002</v>
      </c>
      <c r="DM68" s="49">
        <v>0.44700000000000001</v>
      </c>
      <c r="DN68" s="50">
        <v>0.46800000000000003</v>
      </c>
      <c r="DO68" s="49">
        <v>0.38300000000000001</v>
      </c>
      <c r="DP68" s="49">
        <v>64.066000000000003</v>
      </c>
      <c r="DQ68" s="50">
        <v>59.536999999999999</v>
      </c>
      <c r="DR68" s="50">
        <v>54.149000000000001</v>
      </c>
      <c r="DS68" s="49">
        <v>51.962000000000003</v>
      </c>
      <c r="DT68" s="49">
        <v>9.51</v>
      </c>
      <c r="DU68" s="49">
        <v>13.83</v>
      </c>
      <c r="DV68" s="50">
        <v>16.02</v>
      </c>
      <c r="DW68" s="50">
        <v>12.16</v>
      </c>
      <c r="DX68" s="49">
        <v>9.77</v>
      </c>
      <c r="DY68" s="49">
        <v>14.09</v>
      </c>
      <c r="DZ68" s="50">
        <v>15.49</v>
      </c>
      <c r="EA68" s="50">
        <v>11.82</v>
      </c>
      <c r="EB68" s="49">
        <v>39.4</v>
      </c>
      <c r="EC68" s="49">
        <v>34.64</v>
      </c>
      <c r="ED68" s="49">
        <v>30.93</v>
      </c>
      <c r="EE68" s="49">
        <v>34.22</v>
      </c>
      <c r="EF68" s="49">
        <v>41.32</v>
      </c>
      <c r="EG68" s="49">
        <v>37.44</v>
      </c>
      <c r="EH68" s="49">
        <v>37.56</v>
      </c>
      <c r="EI68" s="49">
        <v>41.81</v>
      </c>
      <c r="EJ68" s="49">
        <v>6.4850000000000003</v>
      </c>
      <c r="EK68" s="49">
        <v>60.924999999999997</v>
      </c>
      <c r="EL68" s="49">
        <v>2.2000000000000002</v>
      </c>
      <c r="EM68" s="49">
        <v>1.8</v>
      </c>
      <c r="EN68" s="49">
        <v>1.1599999999999999</v>
      </c>
      <c r="EO68" s="49">
        <v>1.17</v>
      </c>
      <c r="EP68" s="50">
        <v>-118.77800000000001</v>
      </c>
      <c r="EQ68" s="49">
        <v>-2.57</v>
      </c>
      <c r="ER68" s="49">
        <v>116.282</v>
      </c>
      <c r="ES68" s="49">
        <v>1.494</v>
      </c>
      <c r="ET68" s="49">
        <v>1.6459999999999999</v>
      </c>
      <c r="EU68" s="49">
        <v>1.4470000000000001</v>
      </c>
      <c r="EV68" s="49">
        <v>7.8780000000000001</v>
      </c>
      <c r="EW68" s="49">
        <v>2.7210000000000001</v>
      </c>
      <c r="EX68" s="50">
        <v>75.010000000000005</v>
      </c>
      <c r="EY68" s="49">
        <v>0</v>
      </c>
      <c r="EZ68" s="49">
        <v>0</v>
      </c>
      <c r="FA68" s="50">
        <v>0</v>
      </c>
      <c r="FB68" s="49">
        <v>9.1430000000000007</v>
      </c>
      <c r="FC68" s="49">
        <v>72.049000000000007</v>
      </c>
      <c r="FD68" s="49">
        <v>67.191999999999993</v>
      </c>
      <c r="FE68" s="49">
        <v>83.266000000000005</v>
      </c>
      <c r="FF68" s="49">
        <v>79.281999999999996</v>
      </c>
      <c r="FG68" s="49">
        <v>0.91200000000000003</v>
      </c>
      <c r="FH68" s="49">
        <v>0.91300000000000003</v>
      </c>
      <c r="FI68" s="49">
        <v>0.996</v>
      </c>
      <c r="FJ68" s="49">
        <v>1</v>
      </c>
      <c r="FK68" s="49">
        <v>0</v>
      </c>
      <c r="FL68" s="49">
        <v>83</v>
      </c>
      <c r="FM68" s="49">
        <v>3.7</v>
      </c>
      <c r="FN68" s="49">
        <v>1.8</v>
      </c>
      <c r="FO68" s="50">
        <v>5.35</v>
      </c>
      <c r="FP68" s="3"/>
      <c r="FQ68" s="49">
        <v>4.6500000000000004</v>
      </c>
      <c r="FR68" s="49">
        <v>5.0999999999999996</v>
      </c>
      <c r="FS68" s="49">
        <v>6.7619999999999996</v>
      </c>
      <c r="FT68" s="49">
        <v>1069.3</v>
      </c>
      <c r="FU68" s="49">
        <v>6.36</v>
      </c>
      <c r="FV68" s="49">
        <v>17.71</v>
      </c>
      <c r="FW68" s="50">
        <v>3125.5</v>
      </c>
      <c r="FX68" s="49">
        <v>166500</v>
      </c>
      <c r="FY68" s="49">
        <v>168000</v>
      </c>
      <c r="FZ68" s="49">
        <v>47.305</v>
      </c>
      <c r="GA68" s="49">
        <v>47.585000000000001</v>
      </c>
      <c r="GB68" s="49">
        <v>2146.1</v>
      </c>
      <c r="GC68" s="49">
        <v>2147.8000000000002</v>
      </c>
      <c r="GD68" s="49">
        <v>2221</v>
      </c>
      <c r="GE68" s="49">
        <v>2174.8000000000002</v>
      </c>
      <c r="GF68" s="49">
        <v>1396.2344000000001</v>
      </c>
      <c r="GG68" s="49">
        <v>29</v>
      </c>
      <c r="GH68" s="49">
        <v>29.4</v>
      </c>
      <c r="GI68" s="49">
        <v>46.8</v>
      </c>
      <c r="GJ68" s="49">
        <v>51.5</v>
      </c>
      <c r="GK68" s="49">
        <v>99.5</v>
      </c>
      <c r="GL68" s="49">
        <v>77.099999999999994</v>
      </c>
      <c r="GM68" s="50">
        <v>0</v>
      </c>
      <c r="GN68" s="49">
        <v>26.353000000000002</v>
      </c>
      <c r="GO68" s="49">
        <v>118.77800000000001</v>
      </c>
      <c r="GP68" s="49">
        <v>0.53100000000000003</v>
      </c>
      <c r="GQ68" s="49">
        <v>1.9470000000000001</v>
      </c>
      <c r="GR68" s="49">
        <v>1.298</v>
      </c>
      <c r="GS68" s="49">
        <v>2.0059999999999998</v>
      </c>
      <c r="GT68" s="49">
        <v>0.70799999999999996</v>
      </c>
      <c r="GU68" s="49">
        <v>1.829</v>
      </c>
      <c r="GV68" s="49">
        <v>12.74</v>
      </c>
      <c r="GW68" s="50">
        <v>13.87</v>
      </c>
      <c r="GX68" s="49">
        <v>15.288</v>
      </c>
      <c r="GY68" s="50">
        <v>0</v>
      </c>
      <c r="GZ68" s="50">
        <v>0</v>
      </c>
      <c r="HA68" s="50">
        <v>0</v>
      </c>
      <c r="HB68" s="49">
        <v>0</v>
      </c>
      <c r="HC68" s="49">
        <v>23.216000000000001</v>
      </c>
      <c r="HD68" s="49">
        <v>78</v>
      </c>
      <c r="HE68" s="50">
        <v>0</v>
      </c>
      <c r="HF68" s="50">
        <v>0</v>
      </c>
      <c r="HG68" s="49">
        <v>70.36</v>
      </c>
      <c r="HH68" s="49">
        <v>81.180000000000007</v>
      </c>
      <c r="HI68" s="50">
        <v>0</v>
      </c>
      <c r="HJ68" s="50">
        <v>0</v>
      </c>
      <c r="HK68" s="50">
        <v>0</v>
      </c>
      <c r="HL68" s="49">
        <v>60</v>
      </c>
      <c r="HM68" s="50">
        <v>51</v>
      </c>
      <c r="HN68" s="50">
        <v>65</v>
      </c>
      <c r="HO68" s="49">
        <v>58</v>
      </c>
      <c r="HP68" s="49">
        <v>61</v>
      </c>
      <c r="HQ68" s="49">
        <v>59</v>
      </c>
      <c r="HR68" s="49">
        <v>50</v>
      </c>
      <c r="HS68" s="49">
        <v>64</v>
      </c>
      <c r="HT68" s="49">
        <v>-1.3859999999999999</v>
      </c>
      <c r="HU68" s="50">
        <v>0</v>
      </c>
      <c r="HV68" s="49">
        <v>1.0429999999999999</v>
      </c>
      <c r="HW68" s="49">
        <v>40.299999999999997</v>
      </c>
      <c r="HX68" s="50">
        <v>43.82</v>
      </c>
      <c r="HY68" s="50">
        <v>50.93</v>
      </c>
      <c r="HZ68" s="50">
        <v>62.44</v>
      </c>
      <c r="IA68" s="50">
        <v>2.8719999999999999</v>
      </c>
      <c r="IB68" s="50">
        <v>104</v>
      </c>
      <c r="IC68" s="50">
        <v>22.783999999999999</v>
      </c>
      <c r="ID68" s="49">
        <v>-0.40600000000000003</v>
      </c>
      <c r="IE68" s="49">
        <v>-0.19800000000000001</v>
      </c>
      <c r="IF68" s="49">
        <v>803.2</v>
      </c>
      <c r="IG68" s="50">
        <v>761.4</v>
      </c>
      <c r="IH68" s="49">
        <v>816</v>
      </c>
      <c r="II68" s="50">
        <v>772.6</v>
      </c>
      <c r="IJ68" s="49">
        <v>-0.01</v>
      </c>
      <c r="IK68" s="50">
        <v>3.9E-2</v>
      </c>
      <c r="IL68" s="49">
        <v>66.528999999999996</v>
      </c>
      <c r="IM68" s="49">
        <v>66.528999999999996</v>
      </c>
      <c r="IN68" s="49">
        <v>11.247</v>
      </c>
      <c r="IO68" s="50">
        <v>0.27300000000000002</v>
      </c>
      <c r="IP68" s="49">
        <v>9.77</v>
      </c>
      <c r="IQ68" s="49">
        <v>0.01</v>
      </c>
      <c r="IR68" s="49">
        <v>4.0000000000000001E-3</v>
      </c>
      <c r="IS68">
        <v>0.48100000000000021</v>
      </c>
      <c r="IT68">
        <v>0.28300000000000014</v>
      </c>
    </row>
    <row r="69" spans="2:254" x14ac:dyDescent="0.25">
      <c r="B69" s="2" t="s">
        <v>412</v>
      </c>
      <c r="C69" s="2" t="s">
        <v>44</v>
      </c>
      <c r="D69" s="61">
        <v>2.8026620370370371E-3</v>
      </c>
      <c r="E69" s="49">
        <v>242.15100000000001</v>
      </c>
      <c r="F69" s="49">
        <v>330.47</v>
      </c>
      <c r="G69" s="49">
        <v>5.94</v>
      </c>
      <c r="H69" s="50">
        <v>27.4</v>
      </c>
      <c r="I69" s="49">
        <v>0</v>
      </c>
      <c r="J69" s="49">
        <v>16.8</v>
      </c>
      <c r="K69" s="50">
        <v>6</v>
      </c>
      <c r="L69" s="50">
        <v>4</v>
      </c>
      <c r="M69" s="50">
        <v>7</v>
      </c>
      <c r="N69" s="50">
        <v>3</v>
      </c>
      <c r="O69" s="50">
        <v>3</v>
      </c>
      <c r="P69" s="49">
        <v>0.34899999999999998</v>
      </c>
      <c r="Q69" s="49">
        <v>0.81200000000000006</v>
      </c>
      <c r="R69" s="49">
        <v>0.23699999999999999</v>
      </c>
      <c r="S69" s="49">
        <v>0.19700000000000001</v>
      </c>
      <c r="T69" s="49">
        <v>88.02</v>
      </c>
      <c r="U69" s="49">
        <v>60.674999999999997</v>
      </c>
      <c r="V69" s="49">
        <v>248.34</v>
      </c>
      <c r="W69" s="49">
        <v>268.33999999999997</v>
      </c>
      <c r="X69" s="49">
        <v>205</v>
      </c>
      <c r="Y69" s="49">
        <v>248.34</v>
      </c>
      <c r="Z69" s="50">
        <v>390.09</v>
      </c>
      <c r="AA69" s="50">
        <v>416.13</v>
      </c>
      <c r="AB69" s="49">
        <v>312.35000000000002</v>
      </c>
      <c r="AC69" s="49">
        <v>380.22</v>
      </c>
      <c r="AD69" s="50">
        <v>1.768</v>
      </c>
      <c r="AE69" s="50">
        <v>1.821</v>
      </c>
      <c r="AF69" s="50">
        <v>1.865</v>
      </c>
      <c r="AG69" s="50">
        <v>1.9039999999999999</v>
      </c>
      <c r="AH69" s="50">
        <v>82.79</v>
      </c>
      <c r="AI69" s="50">
        <v>81.599999999999994</v>
      </c>
      <c r="AJ69" s="50">
        <v>120.81</v>
      </c>
      <c r="AK69" s="50">
        <v>110.92</v>
      </c>
      <c r="AL69" s="49">
        <v>729.89800000000002</v>
      </c>
      <c r="AM69" s="50">
        <v>999.16800000000001</v>
      </c>
      <c r="AN69" s="49">
        <v>853.976</v>
      </c>
      <c r="AO69" s="49">
        <v>783.29899999999998</v>
      </c>
      <c r="AP69" s="50">
        <v>1.4690000000000001</v>
      </c>
      <c r="AQ69" s="49">
        <v>1.9179999999999999</v>
      </c>
      <c r="AR69" s="49">
        <v>39.704000000000001</v>
      </c>
      <c r="AS69" s="49">
        <v>37.844999999999999</v>
      </c>
      <c r="AT69" s="49">
        <v>83</v>
      </c>
      <c r="AU69" s="50">
        <v>120</v>
      </c>
      <c r="AV69" s="49">
        <v>2.0225</v>
      </c>
      <c r="AW69" s="49">
        <v>4.9574999999999996</v>
      </c>
      <c r="AX69" s="49">
        <v>1017.9</v>
      </c>
      <c r="AY69" s="49">
        <v>2.39</v>
      </c>
      <c r="AZ69" s="49">
        <v>5.58</v>
      </c>
      <c r="BA69" s="50">
        <v>69.203000000000003</v>
      </c>
      <c r="BB69" s="50">
        <v>69.599999999999994</v>
      </c>
      <c r="BC69" s="49">
        <v>7769</v>
      </c>
      <c r="BD69" s="49">
        <v>89.5</v>
      </c>
      <c r="BE69" s="49">
        <v>16.635000000000002</v>
      </c>
      <c r="BF69" s="49">
        <v>14.76</v>
      </c>
      <c r="BG69" s="50">
        <v>30.53</v>
      </c>
      <c r="BH69" s="50">
        <v>28.35</v>
      </c>
      <c r="BI69" s="50">
        <v>65.491</v>
      </c>
      <c r="BJ69" s="49">
        <v>80.082999999999998</v>
      </c>
      <c r="BK69" s="50">
        <v>63.948</v>
      </c>
      <c r="BL69" s="49">
        <v>75.617999999999995</v>
      </c>
      <c r="BM69" s="50">
        <v>79.882999999999996</v>
      </c>
      <c r="BN69" s="49">
        <v>117.24</v>
      </c>
      <c r="BO69" s="49">
        <v>116.184</v>
      </c>
      <c r="BP69" s="50">
        <v>140.28</v>
      </c>
      <c r="BQ69" s="50">
        <v>144.61600000000001</v>
      </c>
      <c r="BR69" s="50">
        <v>59.651000000000003</v>
      </c>
      <c r="BS69" s="50">
        <v>27.1</v>
      </c>
      <c r="BT69" s="49">
        <v>7289.3069999999998</v>
      </c>
      <c r="BU69" s="49">
        <v>51.408999999999999</v>
      </c>
      <c r="BV69" s="49">
        <v>53.343000000000004</v>
      </c>
      <c r="BW69" s="49">
        <v>54.003</v>
      </c>
      <c r="BX69" s="49">
        <v>52.25</v>
      </c>
      <c r="BY69" s="50">
        <v>1.879</v>
      </c>
      <c r="BZ69" s="49">
        <v>3.1389999999999998</v>
      </c>
      <c r="CA69" s="49">
        <v>3.2090000000000001</v>
      </c>
      <c r="CB69" s="49">
        <v>3.7069999999999999</v>
      </c>
      <c r="CC69" s="49">
        <v>1.3620000000000001</v>
      </c>
      <c r="CD69" s="49">
        <v>2.411</v>
      </c>
      <c r="CE69" s="50">
        <v>1.5089999999999999</v>
      </c>
      <c r="CF69" s="49">
        <v>2.2330000000000001</v>
      </c>
      <c r="CG69" s="50">
        <v>13.958</v>
      </c>
      <c r="CH69" s="49">
        <v>13.746</v>
      </c>
      <c r="CI69" s="3"/>
      <c r="CJ69" s="3"/>
      <c r="CK69" s="3"/>
      <c r="CL69" s="49">
        <v>0</v>
      </c>
      <c r="CM69" s="49">
        <v>0.2</v>
      </c>
      <c r="CN69" s="50">
        <v>0</v>
      </c>
      <c r="CO69" s="49">
        <v>0</v>
      </c>
      <c r="CP69" s="49">
        <v>98.706999999999994</v>
      </c>
      <c r="CQ69" s="49">
        <v>96.540999999999997</v>
      </c>
      <c r="CR69" s="50">
        <v>128.125</v>
      </c>
      <c r="CS69" s="50">
        <v>133.369</v>
      </c>
      <c r="CT69" s="50">
        <v>0.40600000000000003</v>
      </c>
      <c r="CU69" s="50">
        <v>3.3380000000000001</v>
      </c>
      <c r="CV69" s="50">
        <v>4.1369999999999996</v>
      </c>
      <c r="CW69" s="50">
        <v>3.44</v>
      </c>
      <c r="CX69" s="50">
        <v>3.7389999999999999</v>
      </c>
      <c r="CY69" s="50">
        <v>3.2370000000000001</v>
      </c>
      <c r="CZ69" s="50">
        <v>3.04</v>
      </c>
      <c r="DA69" s="50">
        <v>3.04</v>
      </c>
      <c r="DB69" s="50">
        <v>3.8370000000000002</v>
      </c>
      <c r="DC69" s="50">
        <v>0</v>
      </c>
      <c r="DD69" s="50">
        <v>0</v>
      </c>
      <c r="DE69" s="49">
        <v>7.5999999999999998E-2</v>
      </c>
      <c r="DF69" s="49">
        <v>-6.0000000000000001E-3</v>
      </c>
      <c r="DG69" s="49">
        <v>9.5000000000000001E-2</v>
      </c>
      <c r="DH69" s="49">
        <v>0.99099999999999999</v>
      </c>
      <c r="DI69" s="49">
        <v>0.70799999999999996</v>
      </c>
      <c r="DJ69" s="49">
        <v>-2.5999999999999999E-2</v>
      </c>
      <c r="DK69" s="49">
        <v>0.63200000000000001</v>
      </c>
      <c r="DL69" s="49">
        <v>0.34899999999999998</v>
      </c>
      <c r="DM69" s="49">
        <v>0.21</v>
      </c>
      <c r="DN69" s="49">
        <v>0.42599999999999999</v>
      </c>
      <c r="DO69" s="49">
        <v>0.183</v>
      </c>
      <c r="DP69" s="49">
        <v>67.884</v>
      </c>
      <c r="DQ69" s="49">
        <v>56.326999999999998</v>
      </c>
      <c r="DR69" s="49">
        <v>53.588000000000001</v>
      </c>
      <c r="DS69" s="50">
        <v>52.481000000000002</v>
      </c>
      <c r="DT69" s="50">
        <v>10.02</v>
      </c>
      <c r="DU69" s="50">
        <v>19.77</v>
      </c>
      <c r="DV69" s="49">
        <v>15.78</v>
      </c>
      <c r="DW69" s="49">
        <v>10.88</v>
      </c>
      <c r="DX69" s="50">
        <v>10.18</v>
      </c>
      <c r="DY69" s="50">
        <v>20.04</v>
      </c>
      <c r="DZ69" s="49">
        <v>15.36</v>
      </c>
      <c r="EA69" s="49">
        <v>10.68</v>
      </c>
      <c r="EB69" s="49">
        <v>38.22</v>
      </c>
      <c r="EC69" s="49">
        <v>28.55</v>
      </c>
      <c r="ED69" s="49">
        <v>29.85</v>
      </c>
      <c r="EE69" s="50">
        <v>35.049999999999997</v>
      </c>
      <c r="EF69" s="49">
        <v>41.58</v>
      </c>
      <c r="EG69" s="49">
        <v>31.63</v>
      </c>
      <c r="EH69" s="49">
        <v>39.01</v>
      </c>
      <c r="EI69" s="49">
        <v>43.38</v>
      </c>
      <c r="EJ69" s="50">
        <v>6.9059999999999997</v>
      </c>
      <c r="EK69" s="49">
        <v>61</v>
      </c>
      <c r="EL69" s="49">
        <v>2.2000000000000002</v>
      </c>
      <c r="EM69" s="49">
        <v>1.75</v>
      </c>
      <c r="EN69" s="50">
        <v>1.17</v>
      </c>
      <c r="EO69" s="49">
        <v>1.17</v>
      </c>
      <c r="EP69" s="49">
        <v>-111.47799999999999</v>
      </c>
      <c r="EQ69" s="49">
        <v>-2.3730000000000002</v>
      </c>
      <c r="ER69" s="50">
        <v>130.006</v>
      </c>
      <c r="ES69" s="49">
        <v>1.4990000000000001</v>
      </c>
      <c r="ET69" s="49">
        <v>1.63</v>
      </c>
      <c r="EU69" s="49">
        <v>1.4419999999999999</v>
      </c>
      <c r="EV69" s="49">
        <v>7.891</v>
      </c>
      <c r="EW69" s="49">
        <v>2.766</v>
      </c>
      <c r="EX69" s="49">
        <v>72.53</v>
      </c>
      <c r="EY69" s="49">
        <v>0.10100000000000001</v>
      </c>
      <c r="EZ69" s="49">
        <v>6.8000000000000005E-2</v>
      </c>
      <c r="FA69" s="50">
        <v>0</v>
      </c>
      <c r="FB69" s="50">
        <v>9.2110000000000003</v>
      </c>
      <c r="FC69" s="50">
        <v>74.525999999999996</v>
      </c>
      <c r="FD69" s="50">
        <v>69.869</v>
      </c>
      <c r="FE69" s="50">
        <v>88.808000000000007</v>
      </c>
      <c r="FF69" s="50">
        <v>84.352000000000004</v>
      </c>
      <c r="FG69" s="49">
        <v>0.91900000000000004</v>
      </c>
      <c r="FH69" s="49">
        <v>0.91800000000000004</v>
      </c>
      <c r="FI69" s="49">
        <v>0.996</v>
      </c>
      <c r="FJ69" s="49">
        <v>1</v>
      </c>
      <c r="FK69" s="49">
        <v>0</v>
      </c>
      <c r="FL69" s="49">
        <v>83</v>
      </c>
      <c r="FM69" s="49">
        <v>3.68</v>
      </c>
      <c r="FN69" s="50">
        <v>-0.05</v>
      </c>
      <c r="FO69" s="49">
        <v>5.47</v>
      </c>
      <c r="FP69" s="50">
        <v>3.8</v>
      </c>
      <c r="FQ69" s="49">
        <v>4.3499999999999996</v>
      </c>
      <c r="FR69" s="50">
        <v>5</v>
      </c>
      <c r="FS69" s="49">
        <v>6.7030000000000003</v>
      </c>
      <c r="FT69" s="49">
        <v>1069.9000000000001</v>
      </c>
      <c r="FU69" s="49">
        <v>6.39</v>
      </c>
      <c r="FV69" s="50">
        <v>23.65</v>
      </c>
      <c r="FW69" s="49">
        <v>3083.5</v>
      </c>
      <c r="FX69" s="49">
        <v>168900</v>
      </c>
      <c r="FY69" s="49">
        <v>170600</v>
      </c>
      <c r="FZ69" s="49">
        <v>47.597000000000001</v>
      </c>
      <c r="GA69" s="49">
        <v>47.69</v>
      </c>
      <c r="GB69" s="49">
        <v>2142.1999999999998</v>
      </c>
      <c r="GC69" s="49">
        <v>2212.1</v>
      </c>
      <c r="GD69" s="49">
        <v>2188.4</v>
      </c>
      <c r="GE69" s="49">
        <v>2212.1</v>
      </c>
      <c r="GF69" s="49">
        <v>1359.5938000000001</v>
      </c>
      <c r="GG69" s="49">
        <v>30</v>
      </c>
      <c r="GH69" s="49">
        <v>30</v>
      </c>
      <c r="GI69" s="49">
        <v>47.1</v>
      </c>
      <c r="GJ69" s="49">
        <v>51.9</v>
      </c>
      <c r="GK69" s="49">
        <v>99.5</v>
      </c>
      <c r="GL69" s="49">
        <v>74.2</v>
      </c>
      <c r="GM69" s="50">
        <v>0</v>
      </c>
      <c r="GN69" s="50">
        <v>28.184000000000001</v>
      </c>
      <c r="GO69" s="50">
        <v>130.006</v>
      </c>
      <c r="GP69" s="50">
        <v>0</v>
      </c>
      <c r="GQ69" s="49">
        <v>1.8879999999999999</v>
      </c>
      <c r="GR69" s="50">
        <v>0</v>
      </c>
      <c r="GS69" s="49">
        <v>2.0059999999999998</v>
      </c>
      <c r="GT69" s="50">
        <v>0</v>
      </c>
      <c r="GU69" s="49">
        <v>1.8879999999999999</v>
      </c>
      <c r="GV69" s="50">
        <v>0</v>
      </c>
      <c r="GW69" s="49">
        <v>13.788</v>
      </c>
      <c r="GX69" s="49">
        <v>15.288</v>
      </c>
      <c r="GY69" s="50">
        <v>0</v>
      </c>
      <c r="GZ69" s="50">
        <v>0</v>
      </c>
      <c r="HA69" s="50">
        <v>0</v>
      </c>
      <c r="HB69" s="49">
        <v>0</v>
      </c>
      <c r="HC69" s="50">
        <v>23.672999999999998</v>
      </c>
      <c r="HD69" s="49">
        <v>82</v>
      </c>
      <c r="HE69" s="50">
        <v>0</v>
      </c>
      <c r="HF69" s="50">
        <v>0</v>
      </c>
      <c r="HG69" s="49">
        <v>69.66</v>
      </c>
      <c r="HH69" s="49">
        <v>81.459999999999994</v>
      </c>
      <c r="HI69" s="50">
        <v>0</v>
      </c>
      <c r="HJ69" s="50">
        <v>0</v>
      </c>
      <c r="HK69" s="50">
        <v>0</v>
      </c>
      <c r="HL69" s="49">
        <v>61</v>
      </c>
      <c r="HM69" s="50">
        <v>51</v>
      </c>
      <c r="HN69" s="50">
        <v>65</v>
      </c>
      <c r="HO69" s="50">
        <v>59</v>
      </c>
      <c r="HP69" s="50">
        <v>62</v>
      </c>
      <c r="HQ69" s="50">
        <v>60</v>
      </c>
      <c r="HR69" s="50">
        <v>51</v>
      </c>
      <c r="HS69" s="50">
        <v>70</v>
      </c>
      <c r="HT69" s="49">
        <v>-1.373</v>
      </c>
      <c r="HU69" s="50">
        <v>0</v>
      </c>
      <c r="HV69" s="49">
        <v>0.37</v>
      </c>
      <c r="HW69" s="49">
        <v>41.08</v>
      </c>
      <c r="HX69" s="50">
        <v>43.82</v>
      </c>
      <c r="HY69" s="3"/>
      <c r="HZ69" s="3"/>
      <c r="IA69" s="49">
        <v>2.75</v>
      </c>
      <c r="IB69" s="50">
        <v>104</v>
      </c>
      <c r="IC69" s="49">
        <v>22.675000000000001</v>
      </c>
      <c r="ID69" s="49">
        <v>-0.31900000000000001</v>
      </c>
      <c r="IE69" s="49">
        <v>-0.151</v>
      </c>
      <c r="IF69" s="49">
        <v>803.2</v>
      </c>
      <c r="IG69" s="49">
        <v>748</v>
      </c>
      <c r="IH69" s="49">
        <v>815</v>
      </c>
      <c r="II69" s="49">
        <v>763.1</v>
      </c>
      <c r="IJ69" s="49">
        <v>-4.0000000000000001E-3</v>
      </c>
      <c r="IK69" s="49">
        <v>1.9E-2</v>
      </c>
      <c r="IL69" s="49">
        <v>80.989999999999995</v>
      </c>
      <c r="IM69" s="49">
        <v>80.989999999999995</v>
      </c>
      <c r="IN69" s="50">
        <v>15.064</v>
      </c>
      <c r="IO69" s="49">
        <v>0.23300000000000001</v>
      </c>
      <c r="IP69" s="49">
        <v>9.73</v>
      </c>
      <c r="IQ69" s="49">
        <v>0</v>
      </c>
      <c r="IR69" s="49">
        <v>0</v>
      </c>
      <c r="IS69">
        <v>0.48100000000000021</v>
      </c>
      <c r="IT69">
        <v>0.28300000000000014</v>
      </c>
    </row>
    <row r="70" spans="2:254" x14ac:dyDescent="0.25">
      <c r="IS70">
        <v>0.48100000000000021</v>
      </c>
      <c r="IT70">
        <v>0.28300000000000014</v>
      </c>
    </row>
    <row r="71" spans="2:254" x14ac:dyDescent="0.25">
      <c r="IS71">
        <v>0.48100000000000021</v>
      </c>
      <c r="IT71">
        <v>0.28300000000000014</v>
      </c>
    </row>
    <row r="72" spans="2:254" x14ac:dyDescent="0.25">
      <c r="IS72">
        <v>0.48100000000000021</v>
      </c>
      <c r="IT72">
        <v>0.28300000000000014</v>
      </c>
    </row>
    <row r="73" spans="2:254" x14ac:dyDescent="0.25">
      <c r="B73" s="2" t="s">
        <v>412</v>
      </c>
      <c r="C73" s="2" t="s">
        <v>41</v>
      </c>
      <c r="D73" s="61">
        <v>4.3872685185185186E-3</v>
      </c>
      <c r="E73" s="50">
        <v>379.05599999999998</v>
      </c>
      <c r="F73" s="49">
        <v>325.39</v>
      </c>
      <c r="G73" s="49">
        <v>5.91</v>
      </c>
      <c r="H73" s="49">
        <v>27.2</v>
      </c>
      <c r="I73" s="50">
        <v>1.43</v>
      </c>
      <c r="J73" s="50">
        <v>21.8</v>
      </c>
      <c r="K73" s="50">
        <v>6</v>
      </c>
      <c r="L73" s="50">
        <v>4</v>
      </c>
      <c r="M73" s="50">
        <v>7</v>
      </c>
      <c r="N73" s="50">
        <v>3</v>
      </c>
      <c r="O73" s="50">
        <v>3</v>
      </c>
      <c r="P73" s="50">
        <v>0.64300000000000002</v>
      </c>
      <c r="Q73" s="50">
        <v>1.417</v>
      </c>
      <c r="R73" s="50">
        <v>0.63200000000000001</v>
      </c>
      <c r="S73" s="50">
        <v>0.39300000000000002</v>
      </c>
      <c r="T73" s="49">
        <v>58.38</v>
      </c>
      <c r="U73" s="50">
        <v>62.188000000000002</v>
      </c>
      <c r="V73" s="50">
        <v>197.5</v>
      </c>
      <c r="W73" s="50">
        <v>216.66</v>
      </c>
      <c r="X73" s="50">
        <v>130</v>
      </c>
      <c r="Y73" s="50">
        <v>160</v>
      </c>
      <c r="Z73" s="49">
        <v>340.89</v>
      </c>
      <c r="AA73" s="49">
        <v>358.53</v>
      </c>
      <c r="AB73" s="49">
        <v>225.07</v>
      </c>
      <c r="AC73" s="49">
        <v>281.06</v>
      </c>
      <c r="AD73" s="49">
        <v>1.6850000000000001</v>
      </c>
      <c r="AE73" s="49">
        <v>1.78</v>
      </c>
      <c r="AF73" s="49">
        <v>1.5680000000000001</v>
      </c>
      <c r="AG73" s="49">
        <v>1.641</v>
      </c>
      <c r="AH73" s="49">
        <v>59.98</v>
      </c>
      <c r="AI73" s="49">
        <v>55.8</v>
      </c>
      <c r="AJ73" s="49">
        <v>67.06</v>
      </c>
      <c r="AK73" s="49">
        <v>65.75</v>
      </c>
      <c r="AL73" s="49">
        <v>574.09500000000003</v>
      </c>
      <c r="AM73" s="49">
        <v>586.26099999999997</v>
      </c>
      <c r="AN73" s="49">
        <v>720.16899999999998</v>
      </c>
      <c r="AO73" s="49">
        <v>725.91099999999994</v>
      </c>
      <c r="AP73" s="49">
        <v>1.42</v>
      </c>
      <c r="AQ73" s="49">
        <v>1.972</v>
      </c>
      <c r="AR73" s="50">
        <v>42.524999999999999</v>
      </c>
      <c r="AS73" s="49">
        <v>38.954999999999998</v>
      </c>
      <c r="AT73" s="50">
        <v>86</v>
      </c>
      <c r="AU73" s="49">
        <v>115</v>
      </c>
      <c r="AV73" s="49">
        <v>1.9770000000000001</v>
      </c>
      <c r="AW73" s="49">
        <v>4.7946999999999997</v>
      </c>
      <c r="AX73" s="49">
        <v>1019.5</v>
      </c>
      <c r="AY73" s="50">
        <v>2.93</v>
      </c>
      <c r="AZ73" s="49">
        <v>4.9000000000000004</v>
      </c>
      <c r="BA73" s="49">
        <v>69.7</v>
      </c>
      <c r="BB73" s="49">
        <v>69.8</v>
      </c>
      <c r="BC73" s="49">
        <v>7831</v>
      </c>
      <c r="BD73" s="49">
        <v>88.5</v>
      </c>
      <c r="BE73" s="49">
        <v>15.78</v>
      </c>
      <c r="BF73" s="49">
        <v>13.23</v>
      </c>
      <c r="BG73" s="49">
        <v>28.01</v>
      </c>
      <c r="BH73" s="49">
        <v>27.51</v>
      </c>
      <c r="BI73" s="49">
        <v>65.168000000000006</v>
      </c>
      <c r="BJ73" s="50">
        <v>82.186000000000007</v>
      </c>
      <c r="BK73" s="49">
        <v>63.368000000000002</v>
      </c>
      <c r="BL73" s="50">
        <v>79.932000000000002</v>
      </c>
      <c r="BM73" s="49">
        <v>78.998000000000005</v>
      </c>
      <c r="BN73" s="50">
        <v>151.352</v>
      </c>
      <c r="BO73" s="50">
        <v>152.16800000000001</v>
      </c>
      <c r="BP73" s="49">
        <v>128.66399999999999</v>
      </c>
      <c r="BQ73" s="49">
        <v>133.816</v>
      </c>
      <c r="BR73" s="49">
        <v>57.834000000000003</v>
      </c>
      <c r="BS73" s="49">
        <v>26.9</v>
      </c>
      <c r="BT73" s="49">
        <v>7401.9380000000001</v>
      </c>
      <c r="BU73" s="50">
        <v>50.814999999999998</v>
      </c>
      <c r="BV73" s="49">
        <v>54.093000000000004</v>
      </c>
      <c r="BW73" s="50">
        <v>55.018000000000001</v>
      </c>
      <c r="BX73" s="49">
        <v>55.360999999999997</v>
      </c>
      <c r="BY73" s="50">
        <v>1.599</v>
      </c>
      <c r="BZ73" s="49">
        <v>2.3319999999999999</v>
      </c>
      <c r="CA73" s="49">
        <v>3.1909999999999998</v>
      </c>
      <c r="CB73" s="49">
        <v>2.9670000000000001</v>
      </c>
      <c r="CC73" s="49">
        <v>1.0009999999999999</v>
      </c>
      <c r="CD73" s="49">
        <v>2.274</v>
      </c>
      <c r="CE73" s="49">
        <v>1.341</v>
      </c>
      <c r="CF73" s="50">
        <v>2.1840000000000002</v>
      </c>
      <c r="CG73" s="49">
        <v>13.696999999999999</v>
      </c>
      <c r="CH73" s="50">
        <v>10.012</v>
      </c>
      <c r="CI73" s="49">
        <v>4.508</v>
      </c>
      <c r="CJ73" s="49">
        <v>3.5339999999999998</v>
      </c>
      <c r="CK73" s="49">
        <v>1.4079999999999999</v>
      </c>
      <c r="CL73" s="49">
        <v>0</v>
      </c>
      <c r="CM73" s="49">
        <v>0.2</v>
      </c>
      <c r="CN73" s="50">
        <v>0</v>
      </c>
      <c r="CO73" s="50">
        <v>0</v>
      </c>
      <c r="CP73" s="50">
        <v>113.97199999999999</v>
      </c>
      <c r="CQ73" s="50">
        <v>115.31399999999999</v>
      </c>
      <c r="CR73" s="49">
        <v>112.361</v>
      </c>
      <c r="CS73" s="49">
        <v>118.261</v>
      </c>
      <c r="CT73" s="49">
        <v>0.44900000000000001</v>
      </c>
      <c r="CU73" s="50">
        <v>1.6970000000000001</v>
      </c>
      <c r="CV73" s="50">
        <v>2.5</v>
      </c>
      <c r="CW73" s="50">
        <v>1.7010000000000001</v>
      </c>
      <c r="CX73" s="49">
        <v>1.597</v>
      </c>
      <c r="CY73" s="50">
        <v>0.998</v>
      </c>
      <c r="CZ73" s="50">
        <v>1.3</v>
      </c>
      <c r="DA73" s="49">
        <v>0.59899999999999998</v>
      </c>
      <c r="DB73" s="50">
        <v>2.5950000000000002</v>
      </c>
      <c r="DC73" s="50">
        <v>0</v>
      </c>
      <c r="DD73" s="50">
        <v>0</v>
      </c>
      <c r="DE73" s="49">
        <v>0.216</v>
      </c>
      <c r="DF73" s="50">
        <v>0.11799999999999999</v>
      </c>
      <c r="DG73" s="49">
        <v>0.161</v>
      </c>
      <c r="DH73" s="50">
        <v>2.7490000000000001</v>
      </c>
      <c r="DI73" s="49">
        <v>0.73599999999999999</v>
      </c>
      <c r="DJ73" s="50">
        <v>0.192</v>
      </c>
      <c r="DK73" s="50">
        <v>0.72199999999999998</v>
      </c>
      <c r="DL73" s="50">
        <v>0.40799999999999997</v>
      </c>
      <c r="DM73" s="50">
        <v>0.47399999999999998</v>
      </c>
      <c r="DN73" s="49">
        <v>0.08</v>
      </c>
      <c r="DO73" s="50">
        <v>0.33900000000000002</v>
      </c>
      <c r="DP73" s="49">
        <v>63.279000000000003</v>
      </c>
      <c r="DQ73" s="49">
        <v>60.139000000000003</v>
      </c>
      <c r="DR73" s="49">
        <v>50.951999999999998</v>
      </c>
      <c r="DS73" s="49">
        <v>49.823</v>
      </c>
      <c r="DT73" s="49">
        <v>3.12</v>
      </c>
      <c r="DU73" s="49">
        <v>3.43</v>
      </c>
      <c r="DV73" s="49">
        <v>6.34</v>
      </c>
      <c r="DW73" s="49">
        <v>5.16</v>
      </c>
      <c r="DX73" s="49">
        <v>3.24</v>
      </c>
      <c r="DY73" s="49">
        <v>3.36</v>
      </c>
      <c r="DZ73" s="49">
        <v>5.7</v>
      </c>
      <c r="EA73" s="49">
        <v>4.75</v>
      </c>
      <c r="EB73" s="49">
        <v>27.51</v>
      </c>
      <c r="EC73" s="49">
        <v>26.79</v>
      </c>
      <c r="ED73" s="49">
        <v>22.64</v>
      </c>
      <c r="EE73" s="49">
        <v>23.7</v>
      </c>
      <c r="EF73" s="50">
        <v>66.13</v>
      </c>
      <c r="EG73" s="50">
        <v>66.42</v>
      </c>
      <c r="EH73" s="50">
        <v>65.319999999999993</v>
      </c>
      <c r="EI73" s="50">
        <v>66.39</v>
      </c>
      <c r="EJ73" s="49">
        <v>6.4669999999999996</v>
      </c>
      <c r="EK73" s="49">
        <v>60.603000000000002</v>
      </c>
      <c r="EL73" s="50">
        <v>2.6</v>
      </c>
      <c r="EM73" s="50">
        <v>1.75</v>
      </c>
      <c r="EN73" s="50">
        <v>1.21</v>
      </c>
      <c r="EO73" s="50">
        <v>1.2</v>
      </c>
      <c r="EP73" s="49">
        <v>-108.26600000000001</v>
      </c>
      <c r="EQ73" s="50">
        <v>-1.6910000000000001</v>
      </c>
      <c r="ER73" s="49">
        <v>97.593999999999994</v>
      </c>
      <c r="ES73" s="49">
        <v>1.3029999999999999</v>
      </c>
      <c r="ET73" s="49">
        <v>1.4219999999999999</v>
      </c>
      <c r="EU73" s="49">
        <v>1.266</v>
      </c>
      <c r="EV73" s="49">
        <v>7.6769999999999996</v>
      </c>
      <c r="EW73" s="49">
        <v>2.9289999999999998</v>
      </c>
      <c r="EX73" s="49">
        <v>71.55</v>
      </c>
      <c r="EY73" s="50">
        <v>3.0609999999999999</v>
      </c>
      <c r="EZ73" s="49">
        <v>0</v>
      </c>
      <c r="FA73" s="50">
        <v>0</v>
      </c>
      <c r="FB73" s="49">
        <v>8.2959999999999994</v>
      </c>
      <c r="FC73" s="49">
        <v>57.158999999999999</v>
      </c>
      <c r="FD73" s="49">
        <v>54.116</v>
      </c>
      <c r="FE73" s="49">
        <v>54.686999999999998</v>
      </c>
      <c r="FF73" s="49">
        <v>56.301000000000002</v>
      </c>
      <c r="FG73" s="50">
        <v>0.98799999999999999</v>
      </c>
      <c r="FH73" s="50">
        <v>0.96599999999999997</v>
      </c>
      <c r="FI73" s="50">
        <v>1.0009999999999999</v>
      </c>
      <c r="FJ73" s="50">
        <v>1.004</v>
      </c>
      <c r="FK73" s="50">
        <v>0.30199999999999999</v>
      </c>
      <c r="FL73" s="50">
        <v>87</v>
      </c>
      <c r="FM73" s="49">
        <v>3.66</v>
      </c>
      <c r="FN73" s="50">
        <v>-0.47</v>
      </c>
      <c r="FO73" s="49">
        <v>4.83</v>
      </c>
      <c r="FP73" s="50">
        <v>0.4</v>
      </c>
      <c r="FQ73" s="50">
        <v>1.85</v>
      </c>
      <c r="FR73" s="49">
        <v>5.05</v>
      </c>
      <c r="FS73" s="49">
        <v>6.6074999999999999</v>
      </c>
      <c r="FT73" s="49">
        <v>1078.2</v>
      </c>
      <c r="FU73" s="49">
        <v>5.98</v>
      </c>
      <c r="FV73" s="49">
        <v>29.56</v>
      </c>
      <c r="FW73" s="49">
        <v>2952</v>
      </c>
      <c r="FX73" s="49">
        <v>165100</v>
      </c>
      <c r="FY73" s="49">
        <v>165700</v>
      </c>
      <c r="FZ73" s="50">
        <v>48.505000000000003</v>
      </c>
      <c r="GA73" s="50">
        <v>48.457999999999998</v>
      </c>
      <c r="GB73" s="49">
        <v>2142.6999999999998</v>
      </c>
      <c r="GC73" s="50">
        <v>2197</v>
      </c>
      <c r="GD73" s="49">
        <v>2179.1</v>
      </c>
      <c r="GE73" s="49">
        <v>2197</v>
      </c>
      <c r="GF73" s="50">
        <v>1461.1719000000001</v>
      </c>
      <c r="GG73" s="49">
        <v>31</v>
      </c>
      <c r="GH73" s="49">
        <v>31.4</v>
      </c>
      <c r="GI73" s="50">
        <v>55.7</v>
      </c>
      <c r="GJ73" s="50">
        <v>59.9</v>
      </c>
      <c r="GK73" s="50">
        <v>95.5</v>
      </c>
      <c r="GL73" s="50">
        <v>100.5</v>
      </c>
      <c r="GM73" s="50">
        <v>0</v>
      </c>
      <c r="GN73" s="49">
        <v>27.949000000000002</v>
      </c>
      <c r="GO73" s="49">
        <v>108.26600000000001</v>
      </c>
      <c r="GP73" s="50">
        <v>0</v>
      </c>
      <c r="GQ73" s="50">
        <v>4.13</v>
      </c>
      <c r="GR73" s="50">
        <v>0</v>
      </c>
      <c r="GS73" s="50">
        <v>4.13</v>
      </c>
      <c r="GT73" s="50">
        <v>0</v>
      </c>
      <c r="GU73" s="50">
        <v>3.9529999999999998</v>
      </c>
      <c r="GV73" s="50">
        <v>0</v>
      </c>
      <c r="GW73" s="50">
        <v>2.1000000000000001E-2</v>
      </c>
      <c r="GX73" s="50">
        <v>22.245999999999999</v>
      </c>
      <c r="GY73" s="50">
        <v>0</v>
      </c>
      <c r="GZ73" s="49">
        <v>12.233000000000001</v>
      </c>
      <c r="HA73" s="50">
        <v>21.853999999999999</v>
      </c>
      <c r="HB73" s="50">
        <v>1</v>
      </c>
      <c r="HC73" s="50">
        <v>26.664999999999999</v>
      </c>
      <c r="HD73" s="50">
        <v>90</v>
      </c>
      <c r="HE73" s="50">
        <v>0</v>
      </c>
      <c r="HF73" s="50">
        <v>0</v>
      </c>
      <c r="HG73" s="50">
        <v>74.400000000000006</v>
      </c>
      <c r="HH73" s="49">
        <v>83.61</v>
      </c>
      <c r="HI73" s="50">
        <v>0</v>
      </c>
      <c r="HJ73" s="50">
        <v>0</v>
      </c>
      <c r="HK73" s="50">
        <v>0</v>
      </c>
      <c r="HL73" s="50">
        <v>66</v>
      </c>
      <c r="HM73" s="50">
        <v>53</v>
      </c>
      <c r="HN73" s="50">
        <v>66</v>
      </c>
      <c r="HO73" s="49">
        <v>58</v>
      </c>
      <c r="HP73" s="49">
        <v>61</v>
      </c>
      <c r="HQ73" s="49">
        <v>59</v>
      </c>
      <c r="HR73" s="50">
        <v>52</v>
      </c>
      <c r="HS73" s="49">
        <v>62</v>
      </c>
      <c r="HT73" s="49">
        <v>-1.3955</v>
      </c>
      <c r="HU73" s="50">
        <v>0</v>
      </c>
      <c r="HV73" s="49">
        <v>-8.1000000000000003E-2</v>
      </c>
      <c r="HW73" s="50">
        <v>39.229999999999997</v>
      </c>
      <c r="HX73" s="49">
        <v>40.36</v>
      </c>
      <c r="HY73" s="3"/>
      <c r="HZ73" s="3"/>
      <c r="IA73" s="49">
        <v>2.6779999999999999</v>
      </c>
      <c r="IB73" s="49">
        <v>100</v>
      </c>
      <c r="IC73" s="49">
        <v>19.253</v>
      </c>
      <c r="ID73" s="50">
        <v>-0.19</v>
      </c>
      <c r="IE73" s="50">
        <v>-7.6999999999999999E-2</v>
      </c>
      <c r="IF73" s="49">
        <v>794.4</v>
      </c>
      <c r="IG73" s="49">
        <v>672.3</v>
      </c>
      <c r="IH73" s="49">
        <v>806</v>
      </c>
      <c r="II73" s="49">
        <v>688.1</v>
      </c>
      <c r="IJ73" s="50">
        <v>2.8000000000000001E-2</v>
      </c>
      <c r="IK73" s="50">
        <v>2.7E-2</v>
      </c>
      <c r="IL73" s="50">
        <v>229.57400000000001</v>
      </c>
      <c r="IM73" s="50">
        <v>229.57400000000001</v>
      </c>
      <c r="IN73" s="50">
        <v>15.933</v>
      </c>
      <c r="IO73" s="49">
        <v>0.16300000000000001</v>
      </c>
      <c r="IP73" s="50">
        <v>9.83</v>
      </c>
      <c r="IQ73" s="49">
        <v>1E-3</v>
      </c>
      <c r="IR73" s="50">
        <v>0.01</v>
      </c>
      <c r="IS73">
        <v>0.48100000000000021</v>
      </c>
      <c r="IT73">
        <v>0.28300000000000014</v>
      </c>
    </row>
    <row r="74" spans="2:254" x14ac:dyDescent="0.25">
      <c r="B74" s="2" t="s">
        <v>412</v>
      </c>
      <c r="C74" s="2" t="s">
        <v>42</v>
      </c>
      <c r="D74" s="61">
        <v>2.4428240740740738E-3</v>
      </c>
      <c r="E74" s="49">
        <v>211.1</v>
      </c>
      <c r="F74" s="49">
        <v>328.27</v>
      </c>
      <c r="G74" s="49">
        <v>6.16</v>
      </c>
      <c r="H74" s="49">
        <v>27.2</v>
      </c>
      <c r="I74" s="49">
        <v>0</v>
      </c>
      <c r="J74" s="49">
        <v>12.1</v>
      </c>
      <c r="K74" s="50">
        <v>6</v>
      </c>
      <c r="L74" s="50">
        <v>4</v>
      </c>
      <c r="M74" s="50">
        <v>7</v>
      </c>
      <c r="N74" s="50">
        <v>3</v>
      </c>
      <c r="O74" s="50">
        <v>3</v>
      </c>
      <c r="P74" s="49">
        <v>0.54200000000000004</v>
      </c>
      <c r="Q74" s="49">
        <v>1.296</v>
      </c>
      <c r="R74" s="49">
        <v>0.51800000000000002</v>
      </c>
      <c r="S74" s="49">
        <v>0.253</v>
      </c>
      <c r="T74" s="49">
        <v>73.55</v>
      </c>
      <c r="U74" s="49">
        <v>60.529000000000003</v>
      </c>
      <c r="V74" s="49">
        <v>280</v>
      </c>
      <c r="W74" s="49">
        <v>307</v>
      </c>
      <c r="X74" s="49">
        <v>195</v>
      </c>
      <c r="Y74" s="49">
        <v>236.66</v>
      </c>
      <c r="Z74" s="50">
        <v>413.46</v>
      </c>
      <c r="AA74" s="50">
        <v>436.52</v>
      </c>
      <c r="AB74" s="49">
        <v>317.49</v>
      </c>
      <c r="AC74" s="49">
        <v>387.57</v>
      </c>
      <c r="AD74" s="49">
        <v>1.7689999999999999</v>
      </c>
      <c r="AE74" s="49">
        <v>1.85</v>
      </c>
      <c r="AF74" s="49">
        <v>1.744</v>
      </c>
      <c r="AG74" s="49">
        <v>1.796</v>
      </c>
      <c r="AH74" s="49">
        <v>77.069999999999993</v>
      </c>
      <c r="AI74" s="49">
        <v>68.63</v>
      </c>
      <c r="AJ74" s="49">
        <v>100.53</v>
      </c>
      <c r="AK74" s="49">
        <v>96.77</v>
      </c>
      <c r="AL74" s="50">
        <v>694.56399999999996</v>
      </c>
      <c r="AM74" s="49">
        <v>673.09</v>
      </c>
      <c r="AN74" s="49">
        <v>849.65800000000002</v>
      </c>
      <c r="AO74" s="50">
        <v>814.98400000000004</v>
      </c>
      <c r="AP74" s="50">
        <v>1.427</v>
      </c>
      <c r="AQ74" s="50">
        <v>1.986</v>
      </c>
      <c r="AR74" s="49">
        <v>42.209000000000003</v>
      </c>
      <c r="AS74" s="49">
        <v>39.088000000000001</v>
      </c>
      <c r="AT74" s="49">
        <v>83</v>
      </c>
      <c r="AU74" s="49">
        <v>119</v>
      </c>
      <c r="AV74" s="49">
        <v>1.5765</v>
      </c>
      <c r="AW74" s="49">
        <v>4.9851000000000001</v>
      </c>
      <c r="AX74" s="50">
        <v>1022.7</v>
      </c>
      <c r="AY74" s="49">
        <v>2.39</v>
      </c>
      <c r="AZ74" s="50">
        <v>4.74</v>
      </c>
      <c r="BA74" s="49">
        <v>118.717</v>
      </c>
      <c r="BB74" s="49">
        <v>118.003</v>
      </c>
      <c r="BC74" s="49">
        <v>7957</v>
      </c>
      <c r="BD74" s="50">
        <v>89.75</v>
      </c>
      <c r="BE74" s="50">
        <v>17.670000000000002</v>
      </c>
      <c r="BF74" s="49">
        <v>15.14</v>
      </c>
      <c r="BG74" s="49">
        <v>29.26</v>
      </c>
      <c r="BH74" s="49">
        <v>28.01</v>
      </c>
      <c r="BI74" s="3"/>
      <c r="BJ74" s="3"/>
      <c r="BK74" s="3"/>
      <c r="BL74" s="3"/>
      <c r="BM74" s="3"/>
      <c r="BN74" s="49">
        <v>107.72</v>
      </c>
      <c r="BO74" s="49">
        <v>107.352</v>
      </c>
      <c r="BP74" s="49">
        <v>130.71199999999999</v>
      </c>
      <c r="BQ74" s="49">
        <v>134.68</v>
      </c>
      <c r="BR74" s="3"/>
      <c r="BS74" s="49">
        <v>26.9</v>
      </c>
      <c r="BT74" s="49">
        <v>7431.1239999999998</v>
      </c>
      <c r="BU74" s="49">
        <v>49.871000000000002</v>
      </c>
      <c r="BV74" s="49">
        <v>53.268000000000001</v>
      </c>
      <c r="BW74" s="49">
        <v>54.265000000000001</v>
      </c>
      <c r="BX74" s="49">
        <v>55.268000000000001</v>
      </c>
      <c r="BY74" s="49">
        <v>1.3149999999999999</v>
      </c>
      <c r="BZ74" s="49">
        <v>3.0529999999999999</v>
      </c>
      <c r="CA74" s="49">
        <v>3.4540000000000002</v>
      </c>
      <c r="CB74" s="50">
        <v>4.1769999999999996</v>
      </c>
      <c r="CC74" s="49">
        <v>1.08</v>
      </c>
      <c r="CD74" s="49">
        <v>2.3290000000000002</v>
      </c>
      <c r="CE74" s="50">
        <v>1.373</v>
      </c>
      <c r="CF74" s="49">
        <v>2.1779999999999999</v>
      </c>
      <c r="CG74" s="49">
        <v>13.942</v>
      </c>
      <c r="CH74" s="49">
        <v>13.8</v>
      </c>
      <c r="CI74" s="50">
        <v>5.0519999999999996</v>
      </c>
      <c r="CJ74" s="50">
        <v>3.6680000000000001</v>
      </c>
      <c r="CK74" s="50">
        <v>1.6479999999999999</v>
      </c>
      <c r="CL74" s="49">
        <v>0</v>
      </c>
      <c r="CM74" s="50">
        <v>2</v>
      </c>
      <c r="CN74" s="50">
        <v>0</v>
      </c>
      <c r="CO74" s="50">
        <v>0</v>
      </c>
      <c r="CP74" s="49">
        <v>102.34</v>
      </c>
      <c r="CQ74" s="49">
        <v>102.949</v>
      </c>
      <c r="CR74" s="49">
        <v>118.357</v>
      </c>
      <c r="CS74" s="49">
        <v>124.435</v>
      </c>
      <c r="CT74" s="49">
        <v>0.379</v>
      </c>
      <c r="CU74" s="49">
        <v>1</v>
      </c>
      <c r="CV74" s="49">
        <v>1.4</v>
      </c>
      <c r="CW74" s="49">
        <v>0.79800000000000004</v>
      </c>
      <c r="CX74" s="49">
        <v>1.097</v>
      </c>
      <c r="CY74" s="49">
        <v>0.79600000000000004</v>
      </c>
      <c r="CZ74" s="49">
        <v>1.2989999999999999</v>
      </c>
      <c r="DA74" s="50">
        <v>1.3009999999999999</v>
      </c>
      <c r="DB74" s="49">
        <v>1.296</v>
      </c>
      <c r="DC74" s="50">
        <v>0</v>
      </c>
      <c r="DD74" s="50">
        <v>0</v>
      </c>
      <c r="DE74" s="50">
        <v>0.22900000000000001</v>
      </c>
      <c r="DF74" s="49">
        <v>7.1999999999999995E-2</v>
      </c>
      <c r="DG74" s="50">
        <v>1.3049999999999999</v>
      </c>
      <c r="DH74" s="49">
        <v>2.5870000000000002</v>
      </c>
      <c r="DI74" s="50">
        <v>0.98899999999999999</v>
      </c>
      <c r="DJ74" s="49">
        <v>0.11799999999999999</v>
      </c>
      <c r="DK74" s="49">
        <v>0.65800000000000003</v>
      </c>
      <c r="DL74" s="49">
        <v>0.40300000000000002</v>
      </c>
      <c r="DM74" s="49">
        <v>0.442</v>
      </c>
      <c r="DN74" s="49">
        <v>0.28599999999999998</v>
      </c>
      <c r="DO74" s="49">
        <v>0.309</v>
      </c>
      <c r="DP74" s="49">
        <v>64.42</v>
      </c>
      <c r="DQ74" s="49">
        <v>60.731000000000002</v>
      </c>
      <c r="DR74" s="49">
        <v>54.09</v>
      </c>
      <c r="DS74" s="49">
        <v>52.039000000000001</v>
      </c>
      <c r="DT74" s="49">
        <v>7.04</v>
      </c>
      <c r="DU74" s="49">
        <v>6.87</v>
      </c>
      <c r="DV74" s="49">
        <v>14.04</v>
      </c>
      <c r="DW74" s="49">
        <v>10.77</v>
      </c>
      <c r="DX74" s="49">
        <v>7.22</v>
      </c>
      <c r="DY74" s="49">
        <v>7.16</v>
      </c>
      <c r="DZ74" s="49">
        <v>13.17</v>
      </c>
      <c r="EA74" s="49">
        <v>10.48</v>
      </c>
      <c r="EB74" s="49">
        <v>41.48</v>
      </c>
      <c r="EC74" s="49">
        <v>40.89</v>
      </c>
      <c r="ED74" s="49">
        <v>31.87</v>
      </c>
      <c r="EE74" s="49">
        <v>35.21</v>
      </c>
      <c r="EF74" s="49">
        <v>44.26</v>
      </c>
      <c r="EG74" s="49">
        <v>45.08</v>
      </c>
      <c r="EH74" s="49">
        <v>40.92</v>
      </c>
      <c r="EI74" s="49">
        <v>43.54</v>
      </c>
      <c r="EJ74" s="49">
        <v>6.7649999999999997</v>
      </c>
      <c r="EK74" s="49">
        <v>61.347999999999999</v>
      </c>
      <c r="EL74" s="49">
        <v>2.15</v>
      </c>
      <c r="EM74" s="50">
        <v>1.75</v>
      </c>
      <c r="EN74" s="49">
        <v>1.18</v>
      </c>
      <c r="EO74" s="49">
        <v>1.18</v>
      </c>
      <c r="EP74" s="49">
        <v>-109.142</v>
      </c>
      <c r="EQ74" s="49">
        <v>-2.7149999999999999</v>
      </c>
      <c r="ER74" s="49">
        <v>99.346000000000004</v>
      </c>
      <c r="ES74" s="50">
        <v>1.4279999999999999</v>
      </c>
      <c r="ET74" s="50">
        <v>1.6259999999999999</v>
      </c>
      <c r="EU74" s="49">
        <v>1.4159999999999999</v>
      </c>
      <c r="EV74" s="49">
        <v>7.6980000000000004</v>
      </c>
      <c r="EW74" s="49">
        <v>2.9180000000000001</v>
      </c>
      <c r="EX74" s="49">
        <v>76.66</v>
      </c>
      <c r="EY74" s="49">
        <v>0</v>
      </c>
      <c r="EZ74" s="49">
        <v>5.0999999999999997E-2</v>
      </c>
      <c r="FA74" s="50">
        <v>0</v>
      </c>
      <c r="FB74" s="49">
        <v>9.1440000000000001</v>
      </c>
      <c r="FC74" s="49">
        <v>67.635000000000005</v>
      </c>
      <c r="FD74" s="49">
        <v>62.040999999999997</v>
      </c>
      <c r="FE74" s="49">
        <v>72.290999999999997</v>
      </c>
      <c r="FF74" s="49">
        <v>71.165999999999997</v>
      </c>
      <c r="FG74" s="49">
        <v>0.91800000000000004</v>
      </c>
      <c r="FH74" s="49">
        <v>0.91800000000000004</v>
      </c>
      <c r="FI74" s="49">
        <v>0.996</v>
      </c>
      <c r="FJ74" s="49">
        <v>1.002</v>
      </c>
      <c r="FK74" s="49">
        <v>0</v>
      </c>
      <c r="FL74" s="49">
        <v>83</v>
      </c>
      <c r="FM74" s="49">
        <v>3.67</v>
      </c>
      <c r="FN74" s="49">
        <v>-0.35</v>
      </c>
      <c r="FO74" s="50">
        <v>4.7300000000000004</v>
      </c>
      <c r="FP74" s="3"/>
      <c r="FQ74" s="49">
        <v>4.9000000000000004</v>
      </c>
      <c r="FR74" s="49">
        <v>5.15</v>
      </c>
      <c r="FS74" s="49">
        <v>6.5415000000000001</v>
      </c>
      <c r="FT74" s="50">
        <v>1086.8</v>
      </c>
      <c r="FU74" s="49">
        <v>6.12</v>
      </c>
      <c r="FV74" s="49">
        <v>35.72</v>
      </c>
      <c r="FW74" s="49">
        <v>2909.5</v>
      </c>
      <c r="FX74" s="50">
        <v>166000</v>
      </c>
      <c r="FY74" s="50">
        <v>166100</v>
      </c>
      <c r="FZ74" s="49">
        <v>47.570999999999998</v>
      </c>
      <c r="GA74" s="49">
        <v>47.747</v>
      </c>
      <c r="GB74" s="49">
        <v>2149</v>
      </c>
      <c r="GC74" s="49">
        <v>2158.1999999999998</v>
      </c>
      <c r="GD74" s="49">
        <v>2202</v>
      </c>
      <c r="GE74" s="50">
        <v>2201.8000000000002</v>
      </c>
      <c r="GF74" s="49">
        <v>1395.1094000000001</v>
      </c>
      <c r="GG74" s="49">
        <v>32</v>
      </c>
      <c r="GH74" s="49">
        <v>31.8</v>
      </c>
      <c r="GI74" s="49">
        <v>48.8</v>
      </c>
      <c r="GJ74" s="49">
        <v>54.2</v>
      </c>
      <c r="GK74" s="49">
        <v>99.5</v>
      </c>
      <c r="GL74" s="49">
        <v>89.7</v>
      </c>
      <c r="GM74" s="50">
        <v>0</v>
      </c>
      <c r="GN74" s="49">
        <v>27.423999999999999</v>
      </c>
      <c r="GO74" s="49">
        <v>109.142</v>
      </c>
      <c r="GP74" s="49">
        <v>0.53100000000000003</v>
      </c>
      <c r="GQ74" s="49">
        <v>1.8879999999999999</v>
      </c>
      <c r="GR74" s="49">
        <v>0.82599999999999996</v>
      </c>
      <c r="GS74" s="49">
        <v>2.0059999999999998</v>
      </c>
      <c r="GT74" s="49">
        <v>0.59</v>
      </c>
      <c r="GU74" s="49">
        <v>1.8879999999999999</v>
      </c>
      <c r="GV74" s="50">
        <v>0</v>
      </c>
      <c r="GW74" s="49">
        <v>0</v>
      </c>
      <c r="GX74" s="49">
        <v>0</v>
      </c>
      <c r="GY74" s="49">
        <v>12.054</v>
      </c>
      <c r="GZ74" s="50">
        <v>13.901999999999999</v>
      </c>
      <c r="HA74" s="49">
        <v>15.875999999999999</v>
      </c>
      <c r="HB74" s="49">
        <v>0</v>
      </c>
      <c r="HC74" s="49">
        <v>23.393000000000001</v>
      </c>
      <c r="HD74" s="49">
        <v>78</v>
      </c>
      <c r="HE74" s="50">
        <v>0</v>
      </c>
      <c r="HF74" s="50">
        <v>0</v>
      </c>
      <c r="HG74" s="49">
        <v>71.650000000000006</v>
      </c>
      <c r="HH74" s="50">
        <v>83.81</v>
      </c>
      <c r="HI74" s="50">
        <v>0</v>
      </c>
      <c r="HJ74" s="50">
        <v>0</v>
      </c>
      <c r="HK74" s="50">
        <v>0</v>
      </c>
      <c r="HL74" s="49">
        <v>62</v>
      </c>
      <c r="HM74" s="49">
        <v>52</v>
      </c>
      <c r="HN74" s="49">
        <v>65</v>
      </c>
      <c r="HO74" s="50">
        <v>59</v>
      </c>
      <c r="HP74" s="49">
        <v>61</v>
      </c>
      <c r="HQ74" s="49">
        <v>59</v>
      </c>
      <c r="HR74" s="50">
        <v>52</v>
      </c>
      <c r="HS74" s="49">
        <v>66</v>
      </c>
      <c r="HT74" s="50">
        <v>-1.4319999999999999</v>
      </c>
      <c r="HU74" s="50">
        <v>0</v>
      </c>
      <c r="HV74" s="49">
        <v>0.30199999999999999</v>
      </c>
      <c r="HW74" s="50">
        <v>39.229999999999997</v>
      </c>
      <c r="HX74" s="50">
        <v>37.46</v>
      </c>
      <c r="HY74" s="49">
        <v>50.51</v>
      </c>
      <c r="HZ74" s="49">
        <v>61.19</v>
      </c>
      <c r="IA74" s="49">
        <v>2.9460000000000002</v>
      </c>
      <c r="IB74" s="49">
        <v>104</v>
      </c>
      <c r="IC74" s="49">
        <v>22.715</v>
      </c>
      <c r="ID74" s="49">
        <v>-0.33500000000000002</v>
      </c>
      <c r="IE74" s="49">
        <v>-0.13600000000000001</v>
      </c>
      <c r="IF74" s="49">
        <v>802</v>
      </c>
      <c r="IG74" s="49">
        <v>756.7</v>
      </c>
      <c r="IH74" s="49">
        <v>809.1</v>
      </c>
      <c r="II74" s="50">
        <v>769.1</v>
      </c>
      <c r="IJ74" s="49">
        <v>-2.1000000000000001E-2</v>
      </c>
      <c r="IK74" s="49">
        <v>1.6E-2</v>
      </c>
      <c r="IL74" s="49">
        <v>66.849999999999994</v>
      </c>
      <c r="IM74" s="49">
        <v>66.849999999999994</v>
      </c>
      <c r="IN74" s="49">
        <v>12.394</v>
      </c>
      <c r="IO74" s="49">
        <v>0.23100000000000001</v>
      </c>
      <c r="IP74" s="49">
        <v>9.5</v>
      </c>
      <c r="IQ74" s="49">
        <v>8.9999999999999993E-3</v>
      </c>
      <c r="IR74" s="49">
        <v>4.0000000000000001E-3</v>
      </c>
      <c r="IS74">
        <v>0.49000000000000021</v>
      </c>
      <c r="IT74">
        <v>0.28700000000000014</v>
      </c>
    </row>
    <row r="75" spans="2:254" x14ac:dyDescent="0.25">
      <c r="B75" s="2" t="s">
        <v>412</v>
      </c>
      <c r="C75" s="62" t="s">
        <v>43</v>
      </c>
      <c r="D75" s="63">
        <v>2.4230324074074076E-3</v>
      </c>
      <c r="E75" s="49">
        <v>209.39</v>
      </c>
      <c r="F75" s="50">
        <v>328.49</v>
      </c>
      <c r="G75" s="50">
        <v>6.18</v>
      </c>
      <c r="H75" s="50">
        <v>27.4</v>
      </c>
      <c r="I75" s="49">
        <v>0</v>
      </c>
      <c r="J75" s="49">
        <v>10.4</v>
      </c>
      <c r="K75" s="50">
        <v>6</v>
      </c>
      <c r="L75" s="50">
        <v>4</v>
      </c>
      <c r="M75" s="50">
        <v>7</v>
      </c>
      <c r="N75" s="50">
        <v>3</v>
      </c>
      <c r="O75" s="50">
        <v>3</v>
      </c>
      <c r="P75" s="49">
        <v>0.28599999999999998</v>
      </c>
      <c r="Q75" s="49">
        <v>0.92100000000000004</v>
      </c>
      <c r="R75" s="49">
        <v>9.6000000000000002E-2</v>
      </c>
      <c r="S75" s="49">
        <v>0.17499999999999999</v>
      </c>
      <c r="T75" s="50">
        <v>82.72</v>
      </c>
      <c r="U75" s="49">
        <v>60.125</v>
      </c>
      <c r="V75" s="49">
        <v>251.66</v>
      </c>
      <c r="W75" s="49">
        <v>288.33999999999997</v>
      </c>
      <c r="X75" s="49">
        <v>211.66</v>
      </c>
      <c r="Y75" s="49">
        <v>258.33999999999997</v>
      </c>
      <c r="Z75" s="49">
        <v>391.44</v>
      </c>
      <c r="AA75" s="49">
        <v>424.06</v>
      </c>
      <c r="AB75" s="50">
        <v>328.96</v>
      </c>
      <c r="AC75" s="50">
        <v>402.65</v>
      </c>
      <c r="AD75" s="49">
        <v>1.8069999999999999</v>
      </c>
      <c r="AE75" s="49">
        <v>1.881</v>
      </c>
      <c r="AF75" s="49">
        <v>1.8380000000000001</v>
      </c>
      <c r="AG75" s="49">
        <v>1.883</v>
      </c>
      <c r="AH75" s="50">
        <v>82.91</v>
      </c>
      <c r="AI75" s="50">
        <v>73.16</v>
      </c>
      <c r="AJ75" s="49">
        <v>113.31</v>
      </c>
      <c r="AK75" s="49">
        <v>108.98</v>
      </c>
      <c r="AL75" s="49">
        <v>689.09</v>
      </c>
      <c r="AM75" s="50">
        <v>685.53499999999997</v>
      </c>
      <c r="AN75" s="50">
        <v>887.22299999999996</v>
      </c>
      <c r="AO75" s="49">
        <v>803.75099999999998</v>
      </c>
      <c r="AP75" s="49">
        <v>1.411</v>
      </c>
      <c r="AQ75" s="49">
        <v>1.95</v>
      </c>
      <c r="AR75" s="49">
        <v>41.917999999999999</v>
      </c>
      <c r="AS75" s="49">
        <v>38.238</v>
      </c>
      <c r="AT75" s="49">
        <v>83</v>
      </c>
      <c r="AU75" s="49">
        <v>121</v>
      </c>
      <c r="AV75" s="50">
        <v>1.482</v>
      </c>
      <c r="AW75" s="50">
        <v>5.0186000000000002</v>
      </c>
      <c r="AX75" s="49">
        <v>1018.2</v>
      </c>
      <c r="AY75" s="49">
        <v>2.39</v>
      </c>
      <c r="AZ75" s="49">
        <v>4.9400000000000004</v>
      </c>
      <c r="BA75" s="49">
        <v>106.441</v>
      </c>
      <c r="BB75" s="49">
        <v>107.447</v>
      </c>
      <c r="BC75" s="50">
        <v>8054</v>
      </c>
      <c r="BD75" s="49">
        <v>89</v>
      </c>
      <c r="BE75" s="49">
        <v>17.405000000000001</v>
      </c>
      <c r="BF75" s="50">
        <v>15.34</v>
      </c>
      <c r="BG75" s="50">
        <v>30.28</v>
      </c>
      <c r="BH75" s="50">
        <v>29.58</v>
      </c>
      <c r="BI75" s="3"/>
      <c r="BJ75" s="3"/>
      <c r="BK75" s="3"/>
      <c r="BL75" s="3"/>
      <c r="BM75" s="3"/>
      <c r="BN75" s="49">
        <v>105.896</v>
      </c>
      <c r="BO75" s="49">
        <v>106.392</v>
      </c>
      <c r="BP75" s="49">
        <v>135.91200000000001</v>
      </c>
      <c r="BQ75" s="49">
        <v>141.06399999999999</v>
      </c>
      <c r="BR75" s="3"/>
      <c r="BS75" s="50">
        <v>27.1</v>
      </c>
      <c r="BT75" s="50">
        <v>7442.5240000000003</v>
      </c>
      <c r="BU75" s="49">
        <v>50.131</v>
      </c>
      <c r="BV75" s="50">
        <v>54.164999999999999</v>
      </c>
      <c r="BW75" s="49">
        <v>54.113</v>
      </c>
      <c r="BX75" s="49">
        <v>55.043999999999997</v>
      </c>
      <c r="BY75" s="49">
        <v>1.4550000000000001</v>
      </c>
      <c r="BZ75" s="50">
        <v>3.11</v>
      </c>
      <c r="CA75" s="50">
        <v>3.976</v>
      </c>
      <c r="CB75" s="49">
        <v>3.669</v>
      </c>
      <c r="CC75" s="50">
        <v>1.2</v>
      </c>
      <c r="CD75" s="50">
        <v>2.335</v>
      </c>
      <c r="CE75" s="49">
        <v>1.369</v>
      </c>
      <c r="CF75" s="49">
        <v>2.149</v>
      </c>
      <c r="CG75" s="49">
        <v>13.939</v>
      </c>
      <c r="CH75" s="49">
        <v>13.781000000000001</v>
      </c>
      <c r="CI75" s="49">
        <v>4.782</v>
      </c>
      <c r="CJ75" s="49">
        <v>3.4980000000000002</v>
      </c>
      <c r="CK75" s="49">
        <v>1.456</v>
      </c>
      <c r="CL75" s="50">
        <v>0.1</v>
      </c>
      <c r="CM75" s="49">
        <v>0.3</v>
      </c>
      <c r="CN75" s="50">
        <v>0</v>
      </c>
      <c r="CO75" s="50">
        <v>0</v>
      </c>
      <c r="CP75" s="49">
        <v>98.921999999999997</v>
      </c>
      <c r="CQ75" s="49">
        <v>101.74299999999999</v>
      </c>
      <c r="CR75" s="49">
        <v>128.85499999999999</v>
      </c>
      <c r="CS75" s="49">
        <v>134.90199999999999</v>
      </c>
      <c r="CT75" s="49">
        <v>0.39100000000000001</v>
      </c>
      <c r="CU75" s="49">
        <v>0.79900000000000004</v>
      </c>
      <c r="CV75" s="49">
        <v>1.103</v>
      </c>
      <c r="CW75" s="49">
        <v>1.202</v>
      </c>
      <c r="CX75" s="49">
        <v>1.6990000000000001</v>
      </c>
      <c r="CY75" s="50">
        <v>0.998</v>
      </c>
      <c r="CZ75" s="49">
        <v>1.198</v>
      </c>
      <c r="DA75" s="49">
        <v>0.79900000000000004</v>
      </c>
      <c r="DB75" s="49">
        <v>1.8</v>
      </c>
      <c r="DC75" s="50">
        <v>0</v>
      </c>
      <c r="DD75" s="50">
        <v>0</v>
      </c>
      <c r="DE75" s="49">
        <v>0.13700000000000001</v>
      </c>
      <c r="DF75" s="49">
        <v>5.3999999999999999E-2</v>
      </c>
      <c r="DG75" s="49">
        <v>0.68300000000000005</v>
      </c>
      <c r="DH75" s="49">
        <v>1.9159999999999999</v>
      </c>
      <c r="DI75" s="49">
        <v>0.66500000000000004</v>
      </c>
      <c r="DJ75" s="49">
        <v>-4.2999999999999997E-2</v>
      </c>
      <c r="DK75" s="49">
        <v>0.48199999999999998</v>
      </c>
      <c r="DL75" s="49">
        <v>0.40100000000000002</v>
      </c>
      <c r="DM75" s="49">
        <v>-0.95099999999999996</v>
      </c>
      <c r="DN75" s="49">
        <v>-6.69</v>
      </c>
      <c r="DO75" s="49">
        <v>0.23100000000000001</v>
      </c>
      <c r="DP75" s="49">
        <v>65.481999999999999</v>
      </c>
      <c r="DQ75" s="50">
        <v>61.500999999999998</v>
      </c>
      <c r="DR75" s="50">
        <v>55.179000000000002</v>
      </c>
      <c r="DS75" s="50">
        <v>52.686</v>
      </c>
      <c r="DT75" s="50">
        <v>7.16</v>
      </c>
      <c r="DU75" s="50">
        <v>6.98</v>
      </c>
      <c r="DV75" s="50">
        <v>14.26</v>
      </c>
      <c r="DW75" s="50">
        <v>10.95</v>
      </c>
      <c r="DX75" s="50">
        <v>7.24</v>
      </c>
      <c r="DY75" s="50">
        <v>7.25</v>
      </c>
      <c r="DZ75" s="50">
        <v>13.54</v>
      </c>
      <c r="EA75" s="50">
        <v>11</v>
      </c>
      <c r="EB75" s="49">
        <v>41.33</v>
      </c>
      <c r="EC75" s="49">
        <v>41.21</v>
      </c>
      <c r="ED75" s="49">
        <v>31.54</v>
      </c>
      <c r="EE75" s="50">
        <v>35.42</v>
      </c>
      <c r="EF75" s="49">
        <v>44.27</v>
      </c>
      <c r="EG75" s="49">
        <v>44.56</v>
      </c>
      <c r="EH75" s="49">
        <v>40.65</v>
      </c>
      <c r="EI75" s="49">
        <v>42.63</v>
      </c>
      <c r="EJ75" s="49">
        <v>6.851</v>
      </c>
      <c r="EK75" s="49">
        <v>61.427999999999997</v>
      </c>
      <c r="EL75" s="49">
        <v>2.25</v>
      </c>
      <c r="EM75" s="50">
        <v>1.75</v>
      </c>
      <c r="EN75" s="49">
        <v>1.17</v>
      </c>
      <c r="EO75" s="49">
        <v>1.17</v>
      </c>
      <c r="EP75" s="50">
        <v>-113.52200000000001</v>
      </c>
      <c r="EQ75" s="49">
        <v>-2.621</v>
      </c>
      <c r="ER75" s="50">
        <v>105.47799999999999</v>
      </c>
      <c r="ES75" s="49">
        <v>1.3979999999999999</v>
      </c>
      <c r="ET75" s="49">
        <v>1.6020000000000001</v>
      </c>
      <c r="EU75" s="49">
        <v>1.391</v>
      </c>
      <c r="EV75" s="49">
        <v>7.7290000000000001</v>
      </c>
      <c r="EW75" s="49">
        <v>2.919</v>
      </c>
      <c r="EX75" s="50">
        <v>76.84</v>
      </c>
      <c r="EY75" s="49">
        <v>0</v>
      </c>
      <c r="EZ75" s="49">
        <v>0</v>
      </c>
      <c r="FA75" s="50">
        <v>0</v>
      </c>
      <c r="FB75" s="49">
        <v>9.1359999999999992</v>
      </c>
      <c r="FC75" s="49">
        <v>73.069000000000003</v>
      </c>
      <c r="FD75" s="49">
        <v>66.691999999999993</v>
      </c>
      <c r="FE75" s="49">
        <v>84.167000000000002</v>
      </c>
      <c r="FF75" s="49">
        <v>81.843999999999994</v>
      </c>
      <c r="FG75" s="49">
        <v>0.91800000000000004</v>
      </c>
      <c r="FH75" s="49">
        <v>0.91800000000000004</v>
      </c>
      <c r="FI75" s="49">
        <v>0.996</v>
      </c>
      <c r="FJ75" s="49">
        <v>1.0009999999999999</v>
      </c>
      <c r="FK75" s="49">
        <v>0</v>
      </c>
      <c r="FL75" s="49">
        <v>83</v>
      </c>
      <c r="FM75" s="50">
        <v>3.69</v>
      </c>
      <c r="FN75" s="49">
        <v>0</v>
      </c>
      <c r="FO75" s="49">
        <v>4.92</v>
      </c>
      <c r="FP75" s="3"/>
      <c r="FQ75" s="49">
        <v>4.9000000000000004</v>
      </c>
      <c r="FR75" s="50">
        <v>4.95</v>
      </c>
      <c r="FS75" s="50">
        <v>6.6315</v>
      </c>
      <c r="FT75" s="49">
        <v>1071.0999999999999</v>
      </c>
      <c r="FU75" s="49">
        <v>6.22</v>
      </c>
      <c r="FV75" s="49">
        <v>41.89</v>
      </c>
      <c r="FW75" s="49">
        <v>2902.5</v>
      </c>
      <c r="FX75" s="49">
        <v>162700</v>
      </c>
      <c r="FY75" s="49">
        <v>164300</v>
      </c>
      <c r="FZ75" s="49">
        <v>47.253999999999998</v>
      </c>
      <c r="GA75" s="49">
        <v>47.280999999999999</v>
      </c>
      <c r="GB75" s="49">
        <v>2143.6</v>
      </c>
      <c r="GC75" s="49">
        <v>2147.6</v>
      </c>
      <c r="GD75" s="50">
        <v>2390.8000000000002</v>
      </c>
      <c r="GE75" s="49">
        <v>2179.1999999999998</v>
      </c>
      <c r="GF75" s="49">
        <v>1327.3905999999999</v>
      </c>
      <c r="GG75" s="50">
        <v>33</v>
      </c>
      <c r="GH75" s="49">
        <v>32.5</v>
      </c>
      <c r="GI75" s="49">
        <v>47.6</v>
      </c>
      <c r="GJ75" s="49">
        <v>52.5</v>
      </c>
      <c r="GK75" s="49">
        <v>99.5</v>
      </c>
      <c r="GL75" s="49">
        <v>90.3</v>
      </c>
      <c r="GM75" s="50">
        <v>0</v>
      </c>
      <c r="GN75" s="49">
        <v>27.596</v>
      </c>
      <c r="GO75" s="50">
        <v>113.52200000000001</v>
      </c>
      <c r="GP75" s="49">
        <v>0.41299999999999998</v>
      </c>
      <c r="GQ75" s="49">
        <v>1.8879999999999999</v>
      </c>
      <c r="GR75" s="49">
        <v>0.70799999999999996</v>
      </c>
      <c r="GS75" s="49">
        <v>2.0059999999999998</v>
      </c>
      <c r="GT75" s="49">
        <v>0.53100000000000003</v>
      </c>
      <c r="GU75" s="49">
        <v>1.8879999999999999</v>
      </c>
      <c r="GV75" s="50">
        <v>0</v>
      </c>
      <c r="GW75" s="49">
        <v>0</v>
      </c>
      <c r="GX75" s="49">
        <v>0</v>
      </c>
      <c r="GY75" s="49">
        <v>12.544</v>
      </c>
      <c r="GZ75" s="49">
        <v>13.866</v>
      </c>
      <c r="HA75" s="49">
        <v>16.170000000000002</v>
      </c>
      <c r="HB75" s="49">
        <v>0</v>
      </c>
      <c r="HC75" s="49">
        <v>23.425999999999998</v>
      </c>
      <c r="HD75" s="49">
        <v>78</v>
      </c>
      <c r="HE75" s="50">
        <v>0</v>
      </c>
      <c r="HF75" s="50">
        <v>0</v>
      </c>
      <c r="HG75" s="49">
        <v>71.08</v>
      </c>
      <c r="HH75" s="49">
        <v>83.5</v>
      </c>
      <c r="HI75" s="50">
        <v>0</v>
      </c>
      <c r="HJ75" s="50">
        <v>0</v>
      </c>
      <c r="HK75" s="50">
        <v>0</v>
      </c>
      <c r="HL75" s="49">
        <v>62</v>
      </c>
      <c r="HM75" s="49">
        <v>52</v>
      </c>
      <c r="HN75" s="49">
        <v>65</v>
      </c>
      <c r="HO75" s="50">
        <v>59</v>
      </c>
      <c r="HP75" s="50">
        <v>62</v>
      </c>
      <c r="HQ75" s="50">
        <v>60</v>
      </c>
      <c r="HR75" s="49">
        <v>51</v>
      </c>
      <c r="HS75" s="50">
        <v>70</v>
      </c>
      <c r="HT75" s="49">
        <v>-1.4105000000000001</v>
      </c>
      <c r="HU75" s="50">
        <v>0</v>
      </c>
      <c r="HV75" s="50">
        <v>0.42</v>
      </c>
      <c r="HW75" s="49">
        <v>40.5</v>
      </c>
      <c r="HX75" s="50">
        <v>37.46</v>
      </c>
      <c r="HY75" s="50">
        <v>51.13</v>
      </c>
      <c r="HZ75" s="50">
        <v>61.89</v>
      </c>
      <c r="IA75" s="50">
        <v>3.1110000000000002</v>
      </c>
      <c r="IB75" s="50">
        <v>105</v>
      </c>
      <c r="IC75" s="50">
        <v>22.952999999999999</v>
      </c>
      <c r="ID75" s="49">
        <v>-0.39900000000000002</v>
      </c>
      <c r="IE75" s="49">
        <v>-0.159</v>
      </c>
      <c r="IF75" s="49">
        <v>804.4</v>
      </c>
      <c r="IG75" s="50">
        <v>756.8</v>
      </c>
      <c r="IH75" s="49">
        <v>802.6</v>
      </c>
      <c r="II75" s="49">
        <v>767.8</v>
      </c>
      <c r="IJ75" s="49">
        <v>-0.02</v>
      </c>
      <c r="IK75" s="49">
        <v>0</v>
      </c>
      <c r="IL75" s="49">
        <v>64.703999999999994</v>
      </c>
      <c r="IM75" s="49">
        <v>64.703999999999994</v>
      </c>
      <c r="IN75" s="49">
        <v>11.096</v>
      </c>
      <c r="IO75" s="50">
        <v>0.24399999999999999</v>
      </c>
      <c r="IP75" s="49">
        <v>9.48</v>
      </c>
      <c r="IQ75" s="50">
        <v>1.0999999999999999E-2</v>
      </c>
      <c r="IR75" s="49">
        <v>6.0000000000000001E-3</v>
      </c>
      <c r="IS75">
        <v>0.50100000000000022</v>
      </c>
      <c r="IT75">
        <v>0.29300000000000015</v>
      </c>
    </row>
    <row r="76" spans="2:254" x14ac:dyDescent="0.25">
      <c r="B76" s="2" t="s">
        <v>412</v>
      </c>
      <c r="C76" s="2" t="s">
        <v>44</v>
      </c>
      <c r="D76" s="61">
        <v>2.8606481481481482E-3</v>
      </c>
      <c r="E76" s="49">
        <v>247.16300000000001</v>
      </c>
      <c r="F76" s="49">
        <v>326.7</v>
      </c>
      <c r="G76" s="49">
        <v>5.98</v>
      </c>
      <c r="H76" s="49">
        <v>27.3</v>
      </c>
      <c r="I76" s="49">
        <v>0</v>
      </c>
      <c r="J76" s="49">
        <v>13.9</v>
      </c>
      <c r="K76" s="50">
        <v>6</v>
      </c>
      <c r="L76" s="50">
        <v>4</v>
      </c>
      <c r="M76" s="50">
        <v>7</v>
      </c>
      <c r="N76" s="50">
        <v>3</v>
      </c>
      <c r="O76" s="50">
        <v>3</v>
      </c>
      <c r="P76" s="49">
        <v>0.23599999999999999</v>
      </c>
      <c r="Q76" s="49">
        <v>0.72299999999999998</v>
      </c>
      <c r="R76" s="49">
        <v>0.12</v>
      </c>
      <c r="S76" s="49">
        <v>8.8999999999999996E-2</v>
      </c>
      <c r="T76" s="49">
        <v>75.09</v>
      </c>
      <c r="U76" s="49">
        <v>60.125</v>
      </c>
      <c r="V76" s="49">
        <v>260</v>
      </c>
      <c r="W76" s="49">
        <v>301</v>
      </c>
      <c r="X76" s="49">
        <v>215</v>
      </c>
      <c r="Y76" s="49">
        <v>271.66000000000003</v>
      </c>
      <c r="Z76" s="49">
        <v>391.68</v>
      </c>
      <c r="AA76" s="49">
        <v>419.65</v>
      </c>
      <c r="AB76" s="49">
        <v>305.27999999999997</v>
      </c>
      <c r="AC76" s="49">
        <v>375.97</v>
      </c>
      <c r="AD76" s="50">
        <v>1.8169999999999999</v>
      </c>
      <c r="AE76" s="50">
        <v>1.8939999999999999</v>
      </c>
      <c r="AF76" s="50">
        <v>1.8740000000000001</v>
      </c>
      <c r="AG76" s="50">
        <v>1.919</v>
      </c>
      <c r="AH76" s="49">
        <v>82.69</v>
      </c>
      <c r="AI76" s="49">
        <v>72.8</v>
      </c>
      <c r="AJ76" s="50">
        <v>113.91</v>
      </c>
      <c r="AK76" s="50">
        <v>110.59</v>
      </c>
      <c r="AL76" s="49">
        <v>636.36099999999999</v>
      </c>
      <c r="AM76" s="49">
        <v>633.74599999999998</v>
      </c>
      <c r="AN76" s="49">
        <v>780.56299999999999</v>
      </c>
      <c r="AO76" s="49">
        <v>778.40499999999997</v>
      </c>
      <c r="AP76" s="49">
        <v>1.4259999999999999</v>
      </c>
      <c r="AQ76" s="49">
        <v>1.9419999999999999</v>
      </c>
      <c r="AR76" s="49">
        <v>42.170999999999999</v>
      </c>
      <c r="AS76" s="50">
        <v>40.807000000000002</v>
      </c>
      <c r="AT76" s="49">
        <v>83</v>
      </c>
      <c r="AU76" s="50">
        <v>122</v>
      </c>
      <c r="AV76" s="49">
        <v>1.6635</v>
      </c>
      <c r="AW76" s="49">
        <v>4.8334000000000001</v>
      </c>
      <c r="AX76" s="49">
        <v>1014</v>
      </c>
      <c r="AY76" s="49">
        <v>2.39</v>
      </c>
      <c r="AZ76" s="49">
        <v>5.05</v>
      </c>
      <c r="BA76" s="50">
        <v>68.900000000000006</v>
      </c>
      <c r="BB76" s="50">
        <v>69.099999999999994</v>
      </c>
      <c r="BC76" s="49">
        <v>7750</v>
      </c>
      <c r="BD76" s="49">
        <v>89.25</v>
      </c>
      <c r="BE76" s="49">
        <v>17.04</v>
      </c>
      <c r="BF76" s="49">
        <v>12.97</v>
      </c>
      <c r="BG76" s="49">
        <v>30.24</v>
      </c>
      <c r="BH76" s="49">
        <v>26.21</v>
      </c>
      <c r="BI76" s="50">
        <v>66.48</v>
      </c>
      <c r="BJ76" s="49">
        <v>81.293999999999997</v>
      </c>
      <c r="BK76" s="50">
        <v>64.914000000000001</v>
      </c>
      <c r="BL76" s="49">
        <v>76.994</v>
      </c>
      <c r="BM76" s="50">
        <v>80.856999999999999</v>
      </c>
      <c r="BN76" s="49">
        <v>117.83199999999999</v>
      </c>
      <c r="BO76" s="49">
        <v>120.648</v>
      </c>
      <c r="BP76" s="50">
        <v>140.376</v>
      </c>
      <c r="BQ76" s="50">
        <v>144.15199999999999</v>
      </c>
      <c r="BR76" s="50">
        <v>60.170999999999999</v>
      </c>
      <c r="BS76" s="50">
        <v>27.1</v>
      </c>
      <c r="BT76" s="49">
        <v>7393.9979999999996</v>
      </c>
      <c r="BU76" s="49">
        <v>48.463999999999999</v>
      </c>
      <c r="BV76" s="49">
        <v>53.73</v>
      </c>
      <c r="BW76" s="49">
        <v>54.46</v>
      </c>
      <c r="BX76" s="50">
        <v>55.427</v>
      </c>
      <c r="BY76" s="49">
        <v>1.379</v>
      </c>
      <c r="BZ76" s="49">
        <v>3.0510000000000002</v>
      </c>
      <c r="CA76" s="49">
        <v>3.0920000000000001</v>
      </c>
      <c r="CB76" s="49">
        <v>3.3359999999999999</v>
      </c>
      <c r="CC76" s="49">
        <v>0.80100000000000005</v>
      </c>
      <c r="CD76" s="49">
        <v>2.2930000000000001</v>
      </c>
      <c r="CE76" s="49">
        <v>1.2829999999999999</v>
      </c>
      <c r="CF76" s="49">
        <v>2.0859999999999999</v>
      </c>
      <c r="CG76" s="50">
        <v>13.95</v>
      </c>
      <c r="CH76" s="49">
        <v>13.507999999999999</v>
      </c>
      <c r="CI76" s="3"/>
      <c r="CJ76" s="3"/>
      <c r="CK76" s="3"/>
      <c r="CL76" s="49">
        <v>0</v>
      </c>
      <c r="CM76" s="49">
        <v>0.2</v>
      </c>
      <c r="CN76" s="50">
        <v>0</v>
      </c>
      <c r="CO76" s="50">
        <v>0</v>
      </c>
      <c r="CP76" s="49">
        <v>100.038</v>
      </c>
      <c r="CQ76" s="49">
        <v>103.22799999999999</v>
      </c>
      <c r="CR76" s="50">
        <v>130.71799999999999</v>
      </c>
      <c r="CS76" s="50">
        <v>136.501</v>
      </c>
      <c r="CT76" s="50">
        <v>0.52</v>
      </c>
      <c r="CU76" s="49">
        <v>0.79800000000000004</v>
      </c>
      <c r="CV76" s="49">
        <v>0.90100000000000002</v>
      </c>
      <c r="CW76" s="50">
        <v>1.7010000000000001</v>
      </c>
      <c r="CX76" s="50">
        <v>1.7989999999999999</v>
      </c>
      <c r="CY76" s="49">
        <v>0.89900000000000002</v>
      </c>
      <c r="CZ76" s="49">
        <v>1.0009999999999999</v>
      </c>
      <c r="DA76" s="49">
        <v>0.3</v>
      </c>
      <c r="DB76" s="49">
        <v>2.4009999999999998</v>
      </c>
      <c r="DC76" s="50">
        <v>0</v>
      </c>
      <c r="DD76" s="50">
        <v>0</v>
      </c>
      <c r="DE76" s="49">
        <v>0.108</v>
      </c>
      <c r="DF76" s="49">
        <v>2.5000000000000001E-2</v>
      </c>
      <c r="DG76" s="49">
        <v>0.23100000000000001</v>
      </c>
      <c r="DH76" s="49">
        <v>1.2929999999999999</v>
      </c>
      <c r="DI76" s="49">
        <v>0.746</v>
      </c>
      <c r="DJ76" s="49">
        <v>-3.1E-2</v>
      </c>
      <c r="DK76" s="49">
        <v>0.51200000000000001</v>
      </c>
      <c r="DL76" s="50">
        <v>0.40799999999999997</v>
      </c>
      <c r="DM76" s="49">
        <v>0.46200000000000002</v>
      </c>
      <c r="DN76" s="50">
        <v>0.42599999999999999</v>
      </c>
      <c r="DO76" s="49">
        <v>0.26400000000000001</v>
      </c>
      <c r="DP76" s="50">
        <v>66.048000000000002</v>
      </c>
      <c r="DQ76" s="49">
        <v>61.183999999999997</v>
      </c>
      <c r="DR76" s="49">
        <v>54.466000000000001</v>
      </c>
      <c r="DS76" s="49">
        <v>52.421999999999997</v>
      </c>
      <c r="DT76" s="49">
        <v>5.2</v>
      </c>
      <c r="DU76" s="49">
        <v>5.51</v>
      </c>
      <c r="DV76" s="49">
        <v>11.81</v>
      </c>
      <c r="DW76" s="49">
        <v>9.3000000000000007</v>
      </c>
      <c r="DX76" s="49">
        <v>5.61</v>
      </c>
      <c r="DY76" s="49">
        <v>5.66</v>
      </c>
      <c r="DZ76" s="49">
        <v>11.06</v>
      </c>
      <c r="EA76" s="49">
        <v>8.7899999999999991</v>
      </c>
      <c r="EB76" s="50">
        <v>42.86</v>
      </c>
      <c r="EC76" s="50">
        <v>41.51</v>
      </c>
      <c r="ED76" s="50">
        <v>32.22</v>
      </c>
      <c r="EE76" s="49">
        <v>34.79</v>
      </c>
      <c r="EF76" s="49">
        <v>46.33</v>
      </c>
      <c r="EG76" s="49">
        <v>47.31</v>
      </c>
      <c r="EH76" s="49">
        <v>44.9</v>
      </c>
      <c r="EI76" s="49">
        <v>47.12</v>
      </c>
      <c r="EJ76" s="50">
        <v>7.33</v>
      </c>
      <c r="EK76" s="50">
        <v>61.683999999999997</v>
      </c>
      <c r="EL76" s="49">
        <v>2.2000000000000002</v>
      </c>
      <c r="EM76" s="50">
        <v>1.75</v>
      </c>
      <c r="EN76" s="49">
        <v>1.17</v>
      </c>
      <c r="EO76" s="49">
        <v>1.19</v>
      </c>
      <c r="EP76" s="49">
        <v>-105.346</v>
      </c>
      <c r="EQ76" s="49">
        <v>-2.4129999999999998</v>
      </c>
      <c r="ER76" s="49">
        <v>82.41</v>
      </c>
      <c r="ES76" s="49">
        <v>1.42</v>
      </c>
      <c r="ET76" s="49">
        <v>1.5960000000000001</v>
      </c>
      <c r="EU76" s="50">
        <v>1.417</v>
      </c>
      <c r="EV76" s="50">
        <v>7.8680000000000003</v>
      </c>
      <c r="EW76" s="50">
        <v>3.0739999999999998</v>
      </c>
      <c r="EX76" s="49">
        <v>71.25</v>
      </c>
      <c r="EY76" s="49">
        <v>8.1000000000000003E-2</v>
      </c>
      <c r="EZ76" s="50">
        <v>5.3999999999999999E-2</v>
      </c>
      <c r="FA76" s="50">
        <v>0</v>
      </c>
      <c r="FB76" s="50">
        <v>9.2319999999999993</v>
      </c>
      <c r="FC76" s="50">
        <v>74.343999999999994</v>
      </c>
      <c r="FD76" s="50">
        <v>68.003</v>
      </c>
      <c r="FE76" s="50">
        <v>88.382000000000005</v>
      </c>
      <c r="FF76" s="50">
        <v>86.067999999999998</v>
      </c>
      <c r="FG76" s="49">
        <v>0.92400000000000004</v>
      </c>
      <c r="FH76" s="49">
        <v>0.94299999999999995</v>
      </c>
      <c r="FI76" s="49">
        <v>0.997</v>
      </c>
      <c r="FJ76" s="49">
        <v>1</v>
      </c>
      <c r="FK76" s="49">
        <v>0</v>
      </c>
      <c r="FL76" s="49">
        <v>83</v>
      </c>
      <c r="FM76" s="50">
        <v>3.69</v>
      </c>
      <c r="FN76" s="49">
        <v>-0.43</v>
      </c>
      <c r="FO76" s="49">
        <v>4.97</v>
      </c>
      <c r="FP76" s="49">
        <v>2.95</v>
      </c>
      <c r="FQ76" s="49">
        <v>4.55</v>
      </c>
      <c r="FR76" s="50">
        <v>4.95</v>
      </c>
      <c r="FS76" s="49">
        <v>6.5549999999999997</v>
      </c>
      <c r="FT76" s="49">
        <v>1075.5</v>
      </c>
      <c r="FU76" s="50">
        <v>6.32</v>
      </c>
      <c r="FV76" s="50">
        <v>47.88</v>
      </c>
      <c r="FW76" s="50">
        <v>3005</v>
      </c>
      <c r="FX76" s="49">
        <v>161900</v>
      </c>
      <c r="FY76" s="49">
        <v>163100</v>
      </c>
      <c r="FZ76" s="49">
        <v>47.307000000000002</v>
      </c>
      <c r="GA76" s="49">
        <v>47.378999999999998</v>
      </c>
      <c r="GB76" s="50">
        <v>2156.8000000000002</v>
      </c>
      <c r="GC76" s="49">
        <v>2157.8000000000002</v>
      </c>
      <c r="GD76" s="49">
        <v>2270</v>
      </c>
      <c r="GE76" s="49">
        <v>2173.4</v>
      </c>
      <c r="GF76" s="49">
        <v>1373.9844000000001</v>
      </c>
      <c r="GG76" s="50">
        <v>33</v>
      </c>
      <c r="GH76" s="50">
        <v>33.299999999999997</v>
      </c>
      <c r="GI76" s="49">
        <v>47.8</v>
      </c>
      <c r="GJ76" s="49">
        <v>52.7</v>
      </c>
      <c r="GK76" s="49">
        <v>99.5</v>
      </c>
      <c r="GL76" s="49">
        <v>77.2</v>
      </c>
      <c r="GM76" s="50">
        <v>0</v>
      </c>
      <c r="GN76" s="50">
        <v>28.731000000000002</v>
      </c>
      <c r="GO76" s="49">
        <v>105.346</v>
      </c>
      <c r="GP76" s="50">
        <v>0</v>
      </c>
      <c r="GQ76" s="49">
        <v>1.9470000000000001</v>
      </c>
      <c r="GR76" s="50">
        <v>0</v>
      </c>
      <c r="GS76" s="49">
        <v>2.0059999999999998</v>
      </c>
      <c r="GT76" s="50">
        <v>0</v>
      </c>
      <c r="GU76" s="49">
        <v>1.8879999999999999</v>
      </c>
      <c r="GV76" s="50">
        <v>0</v>
      </c>
      <c r="GW76" s="49">
        <v>0</v>
      </c>
      <c r="GX76" s="49">
        <v>0</v>
      </c>
      <c r="GY76" s="50">
        <v>0</v>
      </c>
      <c r="GZ76" s="49">
        <v>13.804</v>
      </c>
      <c r="HA76" s="49">
        <v>15.385999999999999</v>
      </c>
      <c r="HB76" s="50">
        <v>1</v>
      </c>
      <c r="HC76" s="49">
        <v>23.404</v>
      </c>
      <c r="HD76" s="49">
        <v>82</v>
      </c>
      <c r="HE76" s="50">
        <v>0</v>
      </c>
      <c r="HF76" s="50">
        <v>0</v>
      </c>
      <c r="HG76" s="49">
        <v>71.2</v>
      </c>
      <c r="HH76" s="49">
        <v>83.39</v>
      </c>
      <c r="HI76" s="50">
        <v>0</v>
      </c>
      <c r="HJ76" s="50">
        <v>0</v>
      </c>
      <c r="HK76" s="50">
        <v>0</v>
      </c>
      <c r="HL76" s="49">
        <v>61</v>
      </c>
      <c r="HM76" s="49">
        <v>52</v>
      </c>
      <c r="HN76" s="49">
        <v>65</v>
      </c>
      <c r="HO76" s="50">
        <v>59</v>
      </c>
      <c r="HP76" s="50">
        <v>62</v>
      </c>
      <c r="HQ76" s="50">
        <v>60</v>
      </c>
      <c r="HR76" s="49">
        <v>51</v>
      </c>
      <c r="HS76" s="49">
        <v>66</v>
      </c>
      <c r="HT76" s="49">
        <v>-1.3955</v>
      </c>
      <c r="HU76" s="50">
        <v>0</v>
      </c>
      <c r="HV76" s="49">
        <v>0.3</v>
      </c>
      <c r="HW76" s="49">
        <v>40.5</v>
      </c>
      <c r="HX76" s="49">
        <v>43.43</v>
      </c>
      <c r="HY76" s="3"/>
      <c r="HZ76" s="3"/>
      <c r="IA76" s="49">
        <v>2.7970000000000002</v>
      </c>
      <c r="IB76" s="49">
        <v>104</v>
      </c>
      <c r="IC76" s="49">
        <v>22.678999999999998</v>
      </c>
      <c r="ID76" s="49">
        <v>-0.249</v>
      </c>
      <c r="IE76" s="49">
        <v>-0.11</v>
      </c>
      <c r="IF76" s="50">
        <v>805.2</v>
      </c>
      <c r="IG76" s="49">
        <v>740.2</v>
      </c>
      <c r="IH76" s="50">
        <v>815.9</v>
      </c>
      <c r="II76" s="49">
        <v>753.8</v>
      </c>
      <c r="IJ76" s="49">
        <v>2E-3</v>
      </c>
      <c r="IK76" s="49">
        <v>0</v>
      </c>
      <c r="IL76" s="49">
        <v>78.893000000000001</v>
      </c>
      <c r="IM76" s="49">
        <v>78.893000000000001</v>
      </c>
      <c r="IN76" s="49">
        <v>13.632</v>
      </c>
      <c r="IO76" s="49">
        <v>0.17299999999999999</v>
      </c>
      <c r="IP76" s="49">
        <v>9.4700000000000006</v>
      </c>
      <c r="IQ76" s="49">
        <v>0</v>
      </c>
      <c r="IR76" s="49">
        <v>0</v>
      </c>
      <c r="IS76">
        <v>0.50100000000000022</v>
      </c>
      <c r="IT76">
        <v>0.29300000000000015</v>
      </c>
    </row>
    <row r="77" spans="2:254" x14ac:dyDescent="0.25">
      <c r="IS77">
        <v>0.50100000000000022</v>
      </c>
      <c r="IT77">
        <v>0.29300000000000015</v>
      </c>
    </row>
    <row r="78" spans="2:254" x14ac:dyDescent="0.25">
      <c r="IS78">
        <v>0.50100000000000022</v>
      </c>
      <c r="IT78">
        <v>0.29300000000000015</v>
      </c>
    </row>
    <row r="79" spans="2:254" x14ac:dyDescent="0.25">
      <c r="IS79">
        <v>0.50100000000000022</v>
      </c>
      <c r="IT79">
        <v>0.29300000000000015</v>
      </c>
    </row>
    <row r="80" spans="2:254" x14ac:dyDescent="0.25">
      <c r="B80" s="2" t="s">
        <v>412</v>
      </c>
      <c r="C80" s="2" t="s">
        <v>41</v>
      </c>
      <c r="D80" s="61">
        <v>1.0271296296296296E-2</v>
      </c>
      <c r="E80" s="50">
        <v>887.43799999999999</v>
      </c>
      <c r="F80" s="49">
        <v>324.64999999999998</v>
      </c>
      <c r="G80" s="49">
        <v>5.76</v>
      </c>
      <c r="H80" s="49">
        <v>23.6</v>
      </c>
      <c r="I80" s="50">
        <v>0</v>
      </c>
      <c r="J80" s="50">
        <v>115.6</v>
      </c>
      <c r="K80" s="50">
        <v>6</v>
      </c>
      <c r="L80" s="50">
        <v>6</v>
      </c>
      <c r="M80" s="50">
        <v>7</v>
      </c>
      <c r="N80" s="50">
        <v>3</v>
      </c>
      <c r="O80" s="50">
        <v>3</v>
      </c>
      <c r="P80" s="49">
        <v>0.497</v>
      </c>
      <c r="Q80" s="49">
        <v>0.87</v>
      </c>
      <c r="R80" s="49">
        <v>0.26900000000000002</v>
      </c>
      <c r="S80" s="49">
        <v>0.17399999999999999</v>
      </c>
      <c r="T80" s="49">
        <v>69</v>
      </c>
      <c r="U80" s="49">
        <v>60.28</v>
      </c>
      <c r="V80" s="50">
        <v>60</v>
      </c>
      <c r="W80" s="50">
        <v>40</v>
      </c>
      <c r="X80" s="50">
        <v>80</v>
      </c>
      <c r="Y80" s="50">
        <v>70</v>
      </c>
      <c r="Z80" s="49">
        <v>124.77</v>
      </c>
      <c r="AA80" s="49">
        <v>119.02</v>
      </c>
      <c r="AB80" s="49">
        <v>111.72</v>
      </c>
      <c r="AC80" s="49">
        <v>121.77</v>
      </c>
      <c r="AD80" s="49">
        <v>0.496</v>
      </c>
      <c r="AE80" s="49">
        <v>0.51</v>
      </c>
      <c r="AF80" s="49">
        <v>0.45500000000000002</v>
      </c>
      <c r="AG80" s="49">
        <v>0.504</v>
      </c>
      <c r="AH80" s="49">
        <v>-9.11</v>
      </c>
      <c r="AI80" s="49">
        <v>-11.92</v>
      </c>
      <c r="AJ80" s="49">
        <v>-8.58</v>
      </c>
      <c r="AK80" s="49">
        <v>-6.79</v>
      </c>
      <c r="AL80" s="49">
        <v>603.54700000000003</v>
      </c>
      <c r="AM80" s="49">
        <v>619.34699999999998</v>
      </c>
      <c r="AN80" s="49">
        <v>734.36</v>
      </c>
      <c r="AO80" s="49">
        <v>736.47299999999996</v>
      </c>
      <c r="AP80" s="50">
        <v>1.464</v>
      </c>
      <c r="AQ80" s="50">
        <v>1.9259999999999999</v>
      </c>
      <c r="AR80" s="49">
        <v>41.654000000000003</v>
      </c>
      <c r="AS80" s="49">
        <v>37.027999999999999</v>
      </c>
      <c r="AT80" s="50">
        <v>82</v>
      </c>
      <c r="AU80" s="49">
        <v>90</v>
      </c>
      <c r="AV80" s="49">
        <v>2.0085000000000002</v>
      </c>
      <c r="AW80" s="50">
        <v>5.3992000000000004</v>
      </c>
      <c r="AX80" s="50">
        <v>1024.4000000000001</v>
      </c>
      <c r="AY80" s="50">
        <v>2.5499999999999998</v>
      </c>
      <c r="AZ80" s="50">
        <v>0.76</v>
      </c>
      <c r="BA80" s="49">
        <v>69.701999999999998</v>
      </c>
      <c r="BB80" s="49">
        <v>69.7</v>
      </c>
      <c r="BC80" s="49">
        <v>7730</v>
      </c>
      <c r="BD80" s="49">
        <v>88.75</v>
      </c>
      <c r="BE80" s="49">
        <v>14.42</v>
      </c>
      <c r="BF80" s="49">
        <v>12.09</v>
      </c>
      <c r="BG80" s="49">
        <v>29.07</v>
      </c>
      <c r="BH80" s="49">
        <v>28.29</v>
      </c>
      <c r="BI80" s="49">
        <v>65.491</v>
      </c>
      <c r="BJ80" s="49">
        <v>81.292000000000002</v>
      </c>
      <c r="BK80" s="49">
        <v>63.82</v>
      </c>
      <c r="BL80" s="50">
        <v>78.585999999999999</v>
      </c>
      <c r="BM80" s="49">
        <v>78.945999999999998</v>
      </c>
      <c r="BN80" s="49">
        <v>77.944000000000003</v>
      </c>
      <c r="BO80" s="49">
        <v>75.784000000000006</v>
      </c>
      <c r="BP80" s="49">
        <v>92.6</v>
      </c>
      <c r="BQ80" s="49">
        <v>94.376000000000005</v>
      </c>
      <c r="BR80" s="49">
        <v>57.326000000000001</v>
      </c>
      <c r="BS80" s="49">
        <v>22.8</v>
      </c>
      <c r="BT80" s="49">
        <v>7131.6369999999997</v>
      </c>
      <c r="BU80" s="49">
        <v>36.665999999999997</v>
      </c>
      <c r="BV80" s="49">
        <v>52.52</v>
      </c>
      <c r="BW80" s="50">
        <v>54.695999999999998</v>
      </c>
      <c r="BX80" s="49">
        <v>54.662999999999997</v>
      </c>
      <c r="BY80" s="49">
        <v>1.2949999999999999</v>
      </c>
      <c r="BZ80" s="49">
        <v>2.8159999999999998</v>
      </c>
      <c r="CA80" s="49">
        <v>3.2690000000000001</v>
      </c>
      <c r="CB80" s="49">
        <v>2.855</v>
      </c>
      <c r="CC80" s="50">
        <v>1.2749999999999999</v>
      </c>
      <c r="CD80" s="49">
        <v>2.4300000000000002</v>
      </c>
      <c r="CE80" s="50">
        <v>1.5149999999999999</v>
      </c>
      <c r="CF80" s="50">
        <v>2.2959999999999998</v>
      </c>
      <c r="CG80" s="49">
        <v>13.545</v>
      </c>
      <c r="CH80" s="50">
        <v>10.327999999999999</v>
      </c>
      <c r="CI80" s="49">
        <v>4.5830000000000002</v>
      </c>
      <c r="CJ80" s="49">
        <v>2.5110000000000001</v>
      </c>
      <c r="CK80" s="49">
        <v>1.2090000000000001</v>
      </c>
      <c r="CL80" s="49">
        <v>0</v>
      </c>
      <c r="CM80" s="49">
        <v>0.1</v>
      </c>
      <c r="CN80" s="50">
        <v>0</v>
      </c>
      <c r="CO80" s="50">
        <v>0</v>
      </c>
      <c r="CP80" s="49">
        <v>35.908000000000001</v>
      </c>
      <c r="CQ80" s="49">
        <v>34.481000000000002</v>
      </c>
      <c r="CR80" s="49">
        <v>39.75</v>
      </c>
      <c r="CS80" s="49">
        <v>37.417000000000002</v>
      </c>
      <c r="CT80" s="49">
        <v>0.224</v>
      </c>
      <c r="CU80" s="49">
        <v>1.296</v>
      </c>
      <c r="CV80" s="49">
        <v>1.2969999999999999</v>
      </c>
      <c r="CW80" s="49">
        <v>0.69799999999999995</v>
      </c>
      <c r="CX80" s="49">
        <v>0.999</v>
      </c>
      <c r="CY80" s="49">
        <v>0.1</v>
      </c>
      <c r="CZ80" s="49">
        <v>0.79900000000000004</v>
      </c>
      <c r="DA80" s="49">
        <v>0.499</v>
      </c>
      <c r="DB80" s="49">
        <v>0.9</v>
      </c>
      <c r="DC80" s="50">
        <v>0</v>
      </c>
      <c r="DD80" s="50">
        <v>0</v>
      </c>
      <c r="DE80" s="49">
        <v>5.3999999999999999E-2</v>
      </c>
      <c r="DF80" s="49">
        <v>0.05</v>
      </c>
      <c r="DG80" s="49">
        <v>9.5000000000000001E-2</v>
      </c>
      <c r="DH80" s="49">
        <v>0.94799999999999995</v>
      </c>
      <c r="DI80" s="49">
        <v>0.84799999999999998</v>
      </c>
      <c r="DJ80" s="50">
        <v>0.155</v>
      </c>
      <c r="DK80" s="49">
        <v>0.7</v>
      </c>
      <c r="DL80" s="50">
        <v>0.42</v>
      </c>
      <c r="DM80" s="49">
        <v>0.47399999999999998</v>
      </c>
      <c r="DN80" s="49">
        <v>0.49299999999999999</v>
      </c>
      <c r="DO80" s="49">
        <v>0.38500000000000001</v>
      </c>
      <c r="DP80" s="49">
        <v>60.348999999999997</v>
      </c>
      <c r="DQ80" s="49">
        <v>62.698</v>
      </c>
      <c r="DR80" s="49">
        <v>53.167000000000002</v>
      </c>
      <c r="DS80" s="49">
        <v>50.097000000000001</v>
      </c>
      <c r="DT80" s="49">
        <v>1.1200000000000001</v>
      </c>
      <c r="DU80" s="49">
        <v>1.18</v>
      </c>
      <c r="DV80" s="49">
        <v>2.09</v>
      </c>
      <c r="DW80" s="49">
        <v>1.63</v>
      </c>
      <c r="DX80" s="49">
        <v>1.24</v>
      </c>
      <c r="DY80" s="49">
        <v>1.1399999999999999</v>
      </c>
      <c r="DZ80" s="49">
        <v>1.93</v>
      </c>
      <c r="EA80" s="49">
        <v>1.51</v>
      </c>
      <c r="EB80" s="49">
        <v>13.33</v>
      </c>
      <c r="EC80" s="49">
        <v>13.56</v>
      </c>
      <c r="ED80" s="49">
        <v>11.21</v>
      </c>
      <c r="EE80" s="49">
        <v>11.93</v>
      </c>
      <c r="EF80" s="50">
        <v>84.31</v>
      </c>
      <c r="EG80" s="50">
        <v>84.12</v>
      </c>
      <c r="EH80" s="50">
        <v>84.77</v>
      </c>
      <c r="EI80" s="50">
        <v>84.93</v>
      </c>
      <c r="EJ80" s="49">
        <v>4.6749999999999998</v>
      </c>
      <c r="EK80" s="49">
        <v>55.771000000000001</v>
      </c>
      <c r="EL80" s="50">
        <v>2.5499999999999998</v>
      </c>
      <c r="EM80" s="50">
        <v>1.7</v>
      </c>
      <c r="EN80" s="49">
        <v>1.08</v>
      </c>
      <c r="EO80" s="49">
        <v>1.08</v>
      </c>
      <c r="EP80" s="49">
        <v>-103.886</v>
      </c>
      <c r="EQ80" s="50">
        <v>-1.0940000000000001</v>
      </c>
      <c r="ER80" s="49">
        <v>105.47799999999999</v>
      </c>
      <c r="ES80" s="49">
        <v>0.50900000000000001</v>
      </c>
      <c r="ET80" s="49">
        <v>0.52600000000000002</v>
      </c>
      <c r="EU80" s="49">
        <v>0.496</v>
      </c>
      <c r="EV80" s="50">
        <v>8.1010000000000009</v>
      </c>
      <c r="EW80" s="50">
        <v>2.996</v>
      </c>
      <c r="EX80" s="49">
        <v>-517.5</v>
      </c>
      <c r="EY80" s="50">
        <v>0.18</v>
      </c>
      <c r="EZ80" s="49">
        <v>18.079999999999998</v>
      </c>
      <c r="FA80" s="50">
        <v>0</v>
      </c>
      <c r="FB80" s="49">
        <v>2.387</v>
      </c>
      <c r="FC80" s="49">
        <v>18.696999999999999</v>
      </c>
      <c r="FD80" s="49">
        <v>17.725000000000001</v>
      </c>
      <c r="FE80" s="49">
        <v>19.21</v>
      </c>
      <c r="FF80" s="49">
        <v>20.542999999999999</v>
      </c>
      <c r="FG80" s="50">
        <v>1.0089999999999999</v>
      </c>
      <c r="FH80" s="50">
        <v>1.0089999999999999</v>
      </c>
      <c r="FI80" s="50">
        <v>1.0009999999999999</v>
      </c>
      <c r="FJ80" s="50">
        <v>1.002</v>
      </c>
      <c r="FK80" s="50">
        <v>0.2</v>
      </c>
      <c r="FL80" s="49">
        <v>82</v>
      </c>
      <c r="FM80" s="49">
        <v>3.61</v>
      </c>
      <c r="FN80" s="50">
        <v>-0.9</v>
      </c>
      <c r="FO80" s="50">
        <v>0.76</v>
      </c>
      <c r="FP80" s="50">
        <v>0.2</v>
      </c>
      <c r="FQ80" s="49">
        <v>4.7</v>
      </c>
      <c r="FR80" s="49">
        <v>5.2</v>
      </c>
      <c r="FS80" s="49">
        <v>6.6455000000000002</v>
      </c>
      <c r="FT80" s="49">
        <v>1069.2</v>
      </c>
      <c r="FU80" s="49">
        <v>4.38</v>
      </c>
      <c r="FV80" s="49">
        <v>5.76</v>
      </c>
      <c r="FW80" s="50">
        <v>16383.5</v>
      </c>
      <c r="FX80" s="49">
        <v>160300</v>
      </c>
      <c r="FY80" s="49">
        <v>161100</v>
      </c>
      <c r="FZ80" s="50">
        <v>48.447000000000003</v>
      </c>
      <c r="GA80" s="50">
        <v>48.341000000000001</v>
      </c>
      <c r="GB80" s="49">
        <v>2128.4</v>
      </c>
      <c r="GC80" s="49">
        <v>2133.6</v>
      </c>
      <c r="GD80" s="49">
        <v>2145.4</v>
      </c>
      <c r="GE80" s="49">
        <v>2236.3000000000002</v>
      </c>
      <c r="GF80" s="50">
        <v>1440.9530999999999</v>
      </c>
      <c r="GG80" s="50">
        <v>38</v>
      </c>
      <c r="GH80" s="50">
        <v>37.9</v>
      </c>
      <c r="GI80" s="50">
        <v>74.2</v>
      </c>
      <c r="GJ80" s="50">
        <v>75.5</v>
      </c>
      <c r="GK80" s="50">
        <v>96.5</v>
      </c>
      <c r="GL80" s="49">
        <v>109.4</v>
      </c>
      <c r="GM80" s="50">
        <v>0</v>
      </c>
      <c r="GN80" s="49">
        <v>22.739000000000001</v>
      </c>
      <c r="GO80" s="49">
        <v>105.47799999999999</v>
      </c>
      <c r="GP80" s="50">
        <v>0</v>
      </c>
      <c r="GQ80" s="49">
        <v>4.2480000000000002</v>
      </c>
      <c r="GR80" s="50">
        <v>0</v>
      </c>
      <c r="GS80" s="49">
        <v>4.7789999999999999</v>
      </c>
      <c r="GT80" s="50">
        <v>0</v>
      </c>
      <c r="GU80" s="49">
        <v>5.0739999999999998</v>
      </c>
      <c r="GV80" s="50">
        <v>0</v>
      </c>
      <c r="GW80" s="49">
        <v>4.1929999999999996</v>
      </c>
      <c r="GX80" s="50">
        <v>24.99</v>
      </c>
      <c r="GY80" s="50">
        <v>0</v>
      </c>
      <c r="GZ80" s="50">
        <v>0</v>
      </c>
      <c r="HA80" s="50">
        <v>0</v>
      </c>
      <c r="HB80" s="50">
        <v>1</v>
      </c>
      <c r="HC80" s="49">
        <v>18.702999999999999</v>
      </c>
      <c r="HD80" s="49">
        <v>74</v>
      </c>
      <c r="HE80" s="50">
        <v>0</v>
      </c>
      <c r="HF80" s="50">
        <v>0</v>
      </c>
      <c r="HG80" s="49">
        <v>86.46</v>
      </c>
      <c r="HH80" s="49">
        <v>78.58</v>
      </c>
      <c r="HI80" s="50">
        <v>0</v>
      </c>
      <c r="HJ80" s="50">
        <v>0</v>
      </c>
      <c r="HK80" s="50">
        <v>0</v>
      </c>
      <c r="HL80" s="49">
        <v>53</v>
      </c>
      <c r="HM80" s="50">
        <v>50</v>
      </c>
      <c r="HN80" s="49">
        <v>54</v>
      </c>
      <c r="HO80" s="49">
        <v>47</v>
      </c>
      <c r="HP80" s="49">
        <v>50</v>
      </c>
      <c r="HQ80" s="49">
        <v>48</v>
      </c>
      <c r="HR80" s="49">
        <v>44</v>
      </c>
      <c r="HS80" s="49">
        <v>54</v>
      </c>
      <c r="HT80" s="49">
        <v>-1.3380000000000001</v>
      </c>
      <c r="HU80" s="50">
        <v>0</v>
      </c>
      <c r="HV80" s="49">
        <v>-1.7410000000000001</v>
      </c>
      <c r="HW80" s="49">
        <v>40.04</v>
      </c>
      <c r="HX80" s="49">
        <v>51.28</v>
      </c>
      <c r="HY80" s="3"/>
      <c r="HZ80" s="3"/>
      <c r="IA80" s="49">
        <v>2.3149999999999999</v>
      </c>
      <c r="IB80" s="49">
        <v>79</v>
      </c>
      <c r="IC80" s="49">
        <v>5.556</v>
      </c>
      <c r="ID80" s="50">
        <v>-8.1000000000000003E-2</v>
      </c>
      <c r="IE80" s="50">
        <v>-4.9000000000000002E-2</v>
      </c>
      <c r="IF80" s="49">
        <v>805.5</v>
      </c>
      <c r="IG80" s="49">
        <v>265.7</v>
      </c>
      <c r="IH80" s="49">
        <v>808.1</v>
      </c>
      <c r="II80" s="49">
        <v>274.89999999999998</v>
      </c>
      <c r="IJ80" s="49">
        <v>-7.0000000000000001E-3</v>
      </c>
      <c r="IK80" s="49">
        <v>-7.0000000000000001E-3</v>
      </c>
      <c r="IL80" s="50">
        <v>737.86599999999999</v>
      </c>
      <c r="IM80" s="50">
        <v>737.86599999999999</v>
      </c>
      <c r="IN80" s="49">
        <v>9.7799999999999994</v>
      </c>
      <c r="IO80" s="49">
        <v>5.3999999999999999E-2</v>
      </c>
      <c r="IP80" s="50">
        <v>9.42</v>
      </c>
      <c r="IQ80" s="50">
        <v>2.9000000000000001E-2</v>
      </c>
      <c r="IR80" s="50">
        <v>4.2000000000000003E-2</v>
      </c>
      <c r="IS80">
        <v>0.50100000000000022</v>
      </c>
      <c r="IT80">
        <v>0.29300000000000015</v>
      </c>
    </row>
    <row r="81" spans="1:254" x14ac:dyDescent="0.25">
      <c r="B81" s="2" t="s">
        <v>412</v>
      </c>
      <c r="C81" s="2" t="s">
        <v>42</v>
      </c>
      <c r="D81" s="61">
        <v>2.521064814814815E-3</v>
      </c>
      <c r="E81" s="49">
        <v>217.86</v>
      </c>
      <c r="F81" s="50">
        <v>331.66</v>
      </c>
      <c r="G81" s="49">
        <v>5.79</v>
      </c>
      <c r="H81" s="49">
        <v>24.5</v>
      </c>
      <c r="I81" s="50">
        <v>0</v>
      </c>
      <c r="J81" s="49">
        <v>15.7</v>
      </c>
      <c r="K81" s="50">
        <v>6</v>
      </c>
      <c r="L81" s="50">
        <v>6</v>
      </c>
      <c r="M81" s="50">
        <v>7</v>
      </c>
      <c r="N81" s="50">
        <v>3</v>
      </c>
      <c r="O81" s="50">
        <v>3</v>
      </c>
      <c r="P81" s="50">
        <v>0.60099999999999998</v>
      </c>
      <c r="Q81" s="50">
        <v>1.381</v>
      </c>
      <c r="R81" s="50">
        <v>0.42499999999999999</v>
      </c>
      <c r="S81" s="49">
        <v>0.14899999999999999</v>
      </c>
      <c r="T81" s="49">
        <v>80.97</v>
      </c>
      <c r="U81" s="49">
        <v>60.444000000000003</v>
      </c>
      <c r="V81" s="49">
        <v>211.66</v>
      </c>
      <c r="W81" s="49">
        <v>225</v>
      </c>
      <c r="X81" s="49">
        <v>162.5</v>
      </c>
      <c r="Y81" s="49">
        <v>205</v>
      </c>
      <c r="Z81" s="49">
        <v>369.5</v>
      </c>
      <c r="AA81" s="49">
        <v>380.52</v>
      </c>
      <c r="AB81" s="49">
        <v>271.81</v>
      </c>
      <c r="AC81" s="49">
        <v>339.08</v>
      </c>
      <c r="AD81" s="49">
        <v>1.8089999999999999</v>
      </c>
      <c r="AE81" s="49">
        <v>1.88</v>
      </c>
      <c r="AF81" s="49">
        <v>1.7869999999999999</v>
      </c>
      <c r="AG81" s="49">
        <v>1.857</v>
      </c>
      <c r="AH81" s="49">
        <v>73.91</v>
      </c>
      <c r="AI81" s="49">
        <v>65.89</v>
      </c>
      <c r="AJ81" s="49">
        <v>94.85</v>
      </c>
      <c r="AK81" s="49">
        <v>93.18</v>
      </c>
      <c r="AL81" s="49">
        <v>639.90800000000002</v>
      </c>
      <c r="AM81" s="49">
        <v>632.745</v>
      </c>
      <c r="AN81" s="49">
        <v>797.41200000000003</v>
      </c>
      <c r="AO81" s="50">
        <v>814.60299999999995</v>
      </c>
      <c r="AP81" s="49">
        <v>1.4610000000000001</v>
      </c>
      <c r="AQ81" s="49">
        <v>1.921</v>
      </c>
      <c r="AR81" s="49">
        <v>42.378999999999998</v>
      </c>
      <c r="AS81" s="50">
        <v>40.557000000000002</v>
      </c>
      <c r="AT81" s="50">
        <v>82</v>
      </c>
      <c r="AU81" s="49">
        <v>104</v>
      </c>
      <c r="AV81" s="49">
        <v>1.8674999999999999</v>
      </c>
      <c r="AW81" s="49">
        <v>4.9352999999999998</v>
      </c>
      <c r="AX81" s="49">
        <v>1012.7</v>
      </c>
      <c r="AY81" s="49">
        <v>2.4</v>
      </c>
      <c r="AZ81" s="49">
        <v>5.65</v>
      </c>
      <c r="BA81" s="49">
        <v>112.407</v>
      </c>
      <c r="BB81" s="49">
        <v>104.039</v>
      </c>
      <c r="BC81" s="49">
        <v>7713</v>
      </c>
      <c r="BD81" s="50">
        <v>89.5</v>
      </c>
      <c r="BE81" s="49">
        <v>14.09</v>
      </c>
      <c r="BF81" s="49">
        <v>12.53</v>
      </c>
      <c r="BG81" s="49">
        <v>27.91</v>
      </c>
      <c r="BH81" s="49">
        <v>27.74</v>
      </c>
      <c r="BI81" s="3"/>
      <c r="BJ81" s="3"/>
      <c r="BK81" s="3"/>
      <c r="BL81" s="3"/>
      <c r="BM81" s="3"/>
      <c r="BN81" s="49">
        <v>94.567999999999998</v>
      </c>
      <c r="BO81" s="49">
        <v>94.231999999999999</v>
      </c>
      <c r="BP81" s="49">
        <v>112.04</v>
      </c>
      <c r="BQ81" s="49">
        <v>115.416</v>
      </c>
      <c r="BR81" s="3"/>
      <c r="BS81" s="49">
        <v>24.1</v>
      </c>
      <c r="BT81" s="50">
        <v>7449.0240000000003</v>
      </c>
      <c r="BU81" s="49">
        <v>49.124000000000002</v>
      </c>
      <c r="BV81" s="49">
        <v>52.594999999999999</v>
      </c>
      <c r="BW81" s="49">
        <v>53.401000000000003</v>
      </c>
      <c r="BX81" s="49">
        <v>54.216000000000001</v>
      </c>
      <c r="BY81" s="49">
        <v>1.395</v>
      </c>
      <c r="BZ81" s="49">
        <v>2.9729999999999999</v>
      </c>
      <c r="CA81" s="50">
        <v>3.593</v>
      </c>
      <c r="CB81" s="49">
        <v>3.403</v>
      </c>
      <c r="CC81" s="49">
        <v>1.1970000000000001</v>
      </c>
      <c r="CD81" s="50">
        <v>2.5259999999999998</v>
      </c>
      <c r="CE81" s="49">
        <v>1.44</v>
      </c>
      <c r="CF81" s="49">
        <v>2.2309999999999999</v>
      </c>
      <c r="CG81" s="49">
        <v>13.768000000000001</v>
      </c>
      <c r="CH81" s="49">
        <v>13.651999999999999</v>
      </c>
      <c r="CI81" s="50">
        <v>5.4950000000000001</v>
      </c>
      <c r="CJ81" s="49">
        <v>3.5779999999999998</v>
      </c>
      <c r="CK81" s="49">
        <v>1.5860000000000001</v>
      </c>
      <c r="CL81" s="49">
        <v>0</v>
      </c>
      <c r="CM81" s="49">
        <v>0.2</v>
      </c>
      <c r="CN81" s="50">
        <v>0</v>
      </c>
      <c r="CO81" s="50">
        <v>0</v>
      </c>
      <c r="CP81" s="49">
        <v>86.096000000000004</v>
      </c>
      <c r="CQ81" s="49">
        <v>86.427000000000007</v>
      </c>
      <c r="CR81" s="49">
        <v>102.047</v>
      </c>
      <c r="CS81" s="49">
        <v>106.348</v>
      </c>
      <c r="CT81" s="49">
        <v>0.34899999999999998</v>
      </c>
      <c r="CU81" s="49">
        <v>0.70199999999999996</v>
      </c>
      <c r="CV81" s="49">
        <v>0.9</v>
      </c>
      <c r="CW81" s="50">
        <v>1.298</v>
      </c>
      <c r="CX81" s="49">
        <v>1.2030000000000001</v>
      </c>
      <c r="CY81" s="49">
        <v>0.6</v>
      </c>
      <c r="CZ81" s="49">
        <v>0.9</v>
      </c>
      <c r="DA81" s="50">
        <v>0.90100000000000002</v>
      </c>
      <c r="DB81" s="49">
        <v>1.7050000000000001</v>
      </c>
      <c r="DC81" s="50">
        <v>0</v>
      </c>
      <c r="DD81" s="50">
        <v>0</v>
      </c>
      <c r="DE81" s="50">
        <v>0.20599999999999999</v>
      </c>
      <c r="DF81" s="49">
        <v>4.4999999999999998E-2</v>
      </c>
      <c r="DG81" s="50">
        <v>0.56699999999999995</v>
      </c>
      <c r="DH81" s="50">
        <v>2.0739999999999998</v>
      </c>
      <c r="DI81" s="50">
        <v>1.0389999999999999</v>
      </c>
      <c r="DJ81" s="49">
        <v>7.3999999999999996E-2</v>
      </c>
      <c r="DK81" s="50">
        <v>0.82199999999999995</v>
      </c>
      <c r="DL81" s="50">
        <v>0.42</v>
      </c>
      <c r="DM81" s="49">
        <v>0.57999999999999996</v>
      </c>
      <c r="DN81" s="50">
        <v>0.82899999999999996</v>
      </c>
      <c r="DO81" s="50">
        <v>1.175</v>
      </c>
      <c r="DP81" s="49">
        <v>64.548000000000002</v>
      </c>
      <c r="DQ81" s="49">
        <v>61.433</v>
      </c>
      <c r="DR81" s="49">
        <v>54.655000000000001</v>
      </c>
      <c r="DS81" s="49">
        <v>53.037999999999997</v>
      </c>
      <c r="DT81" s="49">
        <v>5.47</v>
      </c>
      <c r="DU81" s="49">
        <v>5.26</v>
      </c>
      <c r="DV81" s="49">
        <v>10.53</v>
      </c>
      <c r="DW81" s="49">
        <v>7.65</v>
      </c>
      <c r="DX81" s="49">
        <v>5.69</v>
      </c>
      <c r="DY81" s="49">
        <v>5.42</v>
      </c>
      <c r="DZ81" s="49">
        <v>9.6999999999999993</v>
      </c>
      <c r="EA81" s="49">
        <v>7.15</v>
      </c>
      <c r="EB81" s="50">
        <v>43.29</v>
      </c>
      <c r="EC81" s="50">
        <v>42.49</v>
      </c>
      <c r="ED81" s="50">
        <v>35.56</v>
      </c>
      <c r="EE81" s="50">
        <v>38.51</v>
      </c>
      <c r="EF81" s="49">
        <v>45.55</v>
      </c>
      <c r="EG81" s="49">
        <v>46.83</v>
      </c>
      <c r="EH81" s="49">
        <v>44.21</v>
      </c>
      <c r="EI81" s="49">
        <v>46.7</v>
      </c>
      <c r="EJ81" s="49">
        <v>5.29</v>
      </c>
      <c r="EK81" s="49">
        <v>62.201999999999998</v>
      </c>
      <c r="EL81" s="49">
        <v>2.2000000000000002</v>
      </c>
      <c r="EM81" s="49">
        <v>1.8</v>
      </c>
      <c r="EN81" s="49">
        <v>1.21</v>
      </c>
      <c r="EO81" s="49">
        <v>1.21</v>
      </c>
      <c r="EP81" s="49">
        <v>-103.30200000000001</v>
      </c>
      <c r="EQ81" s="49">
        <v>-3.0009999999999999</v>
      </c>
      <c r="ER81" s="49">
        <v>78.614000000000004</v>
      </c>
      <c r="ES81" s="50">
        <v>1.5169999999999999</v>
      </c>
      <c r="ET81" s="49">
        <v>1.6</v>
      </c>
      <c r="EU81" s="50">
        <v>1.454</v>
      </c>
      <c r="EV81" s="49">
        <v>7.8280000000000003</v>
      </c>
      <c r="EW81" s="49">
        <v>2.9710000000000001</v>
      </c>
      <c r="EX81" s="49">
        <v>70.42</v>
      </c>
      <c r="EY81" s="49">
        <v>8.1000000000000003E-2</v>
      </c>
      <c r="EZ81" s="49">
        <v>25.306000000000001</v>
      </c>
      <c r="FA81" s="50">
        <v>0</v>
      </c>
      <c r="FB81" s="49">
        <v>8.9429999999999996</v>
      </c>
      <c r="FC81" s="49">
        <v>65.203000000000003</v>
      </c>
      <c r="FD81" s="49">
        <v>60.716000000000001</v>
      </c>
      <c r="FE81" s="49">
        <v>72.183999999999997</v>
      </c>
      <c r="FF81" s="49">
        <v>71.347999999999999</v>
      </c>
      <c r="FG81" s="49">
        <v>0.91600000000000004</v>
      </c>
      <c r="FH81" s="49">
        <v>0.91700000000000004</v>
      </c>
      <c r="FI81" s="49">
        <v>0.998</v>
      </c>
      <c r="FJ81" s="49">
        <v>1</v>
      </c>
      <c r="FK81" s="49">
        <v>0</v>
      </c>
      <c r="FL81" s="49">
        <v>82</v>
      </c>
      <c r="FM81" s="49">
        <v>3.71</v>
      </c>
      <c r="FN81" s="49">
        <v>-0.78</v>
      </c>
      <c r="FO81" s="49">
        <v>5.49</v>
      </c>
      <c r="FP81" s="3"/>
      <c r="FQ81" s="49">
        <v>4.7</v>
      </c>
      <c r="FR81" s="49">
        <v>5</v>
      </c>
      <c r="FS81" s="49">
        <v>6.694</v>
      </c>
      <c r="FT81" s="49">
        <v>1073.9000000000001</v>
      </c>
      <c r="FU81" s="49">
        <v>4.88</v>
      </c>
      <c r="FV81" s="49">
        <v>11.54</v>
      </c>
      <c r="FW81" s="49">
        <v>3299</v>
      </c>
      <c r="FX81" s="50">
        <v>165400</v>
      </c>
      <c r="FY81" s="49">
        <v>165500</v>
      </c>
      <c r="FZ81" s="49">
        <v>47.786999999999999</v>
      </c>
      <c r="GA81" s="49">
        <v>47.89</v>
      </c>
      <c r="GB81" s="50">
        <v>2211.1</v>
      </c>
      <c r="GC81" s="49">
        <v>2152.5</v>
      </c>
      <c r="GD81" s="50">
        <v>2345.5</v>
      </c>
      <c r="GE81" s="49">
        <v>2234.8000000000002</v>
      </c>
      <c r="GF81" s="49">
        <v>1401.75</v>
      </c>
      <c r="GG81" s="49">
        <v>26</v>
      </c>
      <c r="GH81" s="49">
        <v>26.3</v>
      </c>
      <c r="GI81" s="49">
        <v>48.7</v>
      </c>
      <c r="GJ81" s="49">
        <v>53.5</v>
      </c>
      <c r="GK81" s="49">
        <v>99.5</v>
      </c>
      <c r="GL81" s="50">
        <v>110.8</v>
      </c>
      <c r="GM81" s="50">
        <v>0</v>
      </c>
      <c r="GN81" s="49">
        <v>26.097999999999999</v>
      </c>
      <c r="GO81" s="49">
        <v>103.30200000000001</v>
      </c>
      <c r="GP81" s="49">
        <v>0.94399999999999995</v>
      </c>
      <c r="GQ81" s="49">
        <v>1.8879999999999999</v>
      </c>
      <c r="GR81" s="49">
        <v>1.2390000000000001</v>
      </c>
      <c r="GS81" s="49">
        <v>2.0059999999999998</v>
      </c>
      <c r="GT81" s="49">
        <v>0.70799999999999996</v>
      </c>
      <c r="GU81" s="49">
        <v>1.829</v>
      </c>
      <c r="GV81" s="49">
        <v>12.74</v>
      </c>
      <c r="GW81" s="50">
        <v>13.887</v>
      </c>
      <c r="GX81" s="49">
        <v>15.778</v>
      </c>
      <c r="GY81" s="50">
        <v>0</v>
      </c>
      <c r="GZ81" s="50">
        <v>0</v>
      </c>
      <c r="HA81" s="50">
        <v>0</v>
      </c>
      <c r="HB81" s="49">
        <v>0</v>
      </c>
      <c r="HC81" s="49">
        <v>35.014000000000003</v>
      </c>
      <c r="HD81" s="49">
        <v>78</v>
      </c>
      <c r="HE81" s="50">
        <v>0</v>
      </c>
      <c r="HF81" s="50">
        <v>0</v>
      </c>
      <c r="HG81" s="50">
        <v>86.91</v>
      </c>
      <c r="HH81" s="50">
        <v>79.790000000000006</v>
      </c>
      <c r="HI81" s="50">
        <v>0</v>
      </c>
      <c r="HJ81" s="50">
        <v>0</v>
      </c>
      <c r="HK81" s="50">
        <v>0</v>
      </c>
      <c r="HL81" s="49">
        <v>51</v>
      </c>
      <c r="HM81" s="49">
        <v>49</v>
      </c>
      <c r="HN81" s="49">
        <v>56</v>
      </c>
      <c r="HO81" s="49">
        <v>49</v>
      </c>
      <c r="HP81" s="49">
        <v>53</v>
      </c>
      <c r="HQ81" s="49">
        <v>51</v>
      </c>
      <c r="HR81" s="49">
        <v>44</v>
      </c>
      <c r="HS81" s="50">
        <v>70</v>
      </c>
      <c r="HT81" s="49">
        <v>-1.3720000000000001</v>
      </c>
      <c r="HU81" s="50">
        <v>0</v>
      </c>
      <c r="HV81" s="49">
        <v>-1.2E-2</v>
      </c>
      <c r="HW81" s="50">
        <v>39.58</v>
      </c>
      <c r="HX81" s="49">
        <v>49.87</v>
      </c>
      <c r="HY81" s="49">
        <v>51.98</v>
      </c>
      <c r="HZ81" s="49">
        <v>51.98</v>
      </c>
      <c r="IA81" s="49">
        <v>2.4660000000000002</v>
      </c>
      <c r="IB81" s="50">
        <v>103</v>
      </c>
      <c r="IC81" s="49">
        <v>21.74</v>
      </c>
      <c r="ID81" s="49">
        <v>-0.44600000000000001</v>
      </c>
      <c r="IE81" s="49">
        <v>-0.26300000000000001</v>
      </c>
      <c r="IF81" s="49">
        <v>805.5</v>
      </c>
      <c r="IG81" s="49">
        <v>755.8</v>
      </c>
      <c r="IH81" s="49">
        <v>817.3</v>
      </c>
      <c r="II81" s="49">
        <v>767.3</v>
      </c>
      <c r="IJ81" s="49">
        <v>-2.3E-2</v>
      </c>
      <c r="IK81" s="49">
        <v>-1E-3</v>
      </c>
      <c r="IL81" s="49">
        <v>78.742999999999995</v>
      </c>
      <c r="IM81" s="49">
        <v>78.742999999999995</v>
      </c>
      <c r="IN81" s="49">
        <v>11.456</v>
      </c>
      <c r="IO81" s="49">
        <v>0.183</v>
      </c>
      <c r="IP81" s="49">
        <v>8.77</v>
      </c>
      <c r="IQ81" s="49">
        <v>1.0999999999999999E-2</v>
      </c>
      <c r="IR81" s="49">
        <v>0.01</v>
      </c>
      <c r="IS81">
        <v>0.51200000000000023</v>
      </c>
      <c r="IT81">
        <v>0.30300000000000016</v>
      </c>
    </row>
    <row r="82" spans="1:254" x14ac:dyDescent="0.25">
      <c r="B82" s="2" t="s">
        <v>412</v>
      </c>
      <c r="C82" s="2" t="s">
        <v>43</v>
      </c>
      <c r="D82" s="61">
        <v>2.5363425925925926E-3</v>
      </c>
      <c r="E82" s="49">
        <v>219.18</v>
      </c>
      <c r="F82" s="49">
        <v>327.05</v>
      </c>
      <c r="G82" s="49">
        <v>5.7</v>
      </c>
      <c r="H82" s="49">
        <v>25.1</v>
      </c>
      <c r="I82" s="50">
        <v>0</v>
      </c>
      <c r="J82" s="49">
        <v>22.3</v>
      </c>
      <c r="K82" s="50">
        <v>6</v>
      </c>
      <c r="L82" s="50">
        <v>6</v>
      </c>
      <c r="M82" s="50">
        <v>7</v>
      </c>
      <c r="N82" s="50">
        <v>3</v>
      </c>
      <c r="O82" s="50">
        <v>3</v>
      </c>
      <c r="P82" s="49">
        <v>0.46200000000000002</v>
      </c>
      <c r="Q82" s="49">
        <v>1.137</v>
      </c>
      <c r="R82" s="49">
        <v>0.33600000000000002</v>
      </c>
      <c r="S82" s="49">
        <v>0.121</v>
      </c>
      <c r="T82" s="49">
        <v>73.19</v>
      </c>
      <c r="U82" s="50">
        <v>60.557000000000002</v>
      </c>
      <c r="V82" s="49">
        <v>213.34</v>
      </c>
      <c r="W82" s="49">
        <v>231.66</v>
      </c>
      <c r="X82" s="49">
        <v>150</v>
      </c>
      <c r="Y82" s="49">
        <v>190</v>
      </c>
      <c r="Z82" s="49">
        <v>354.84</v>
      </c>
      <c r="AA82" s="49">
        <v>370.31</v>
      </c>
      <c r="AB82" s="49">
        <v>249.33</v>
      </c>
      <c r="AC82" s="49">
        <v>316.01</v>
      </c>
      <c r="AD82" s="49">
        <v>1.825</v>
      </c>
      <c r="AE82" s="49">
        <v>1.8919999999999999</v>
      </c>
      <c r="AF82" s="49">
        <v>1.83</v>
      </c>
      <c r="AG82" s="49">
        <v>1.8939999999999999</v>
      </c>
      <c r="AH82" s="49">
        <v>76.77</v>
      </c>
      <c r="AI82" s="49">
        <v>67.53</v>
      </c>
      <c r="AJ82" s="49">
        <v>100.71</v>
      </c>
      <c r="AK82" s="49">
        <v>98.61</v>
      </c>
      <c r="AL82" s="49">
        <v>649.54600000000005</v>
      </c>
      <c r="AM82" s="49">
        <v>653.94100000000003</v>
      </c>
      <c r="AN82" s="50">
        <v>863.35900000000004</v>
      </c>
      <c r="AO82" s="49">
        <v>785.06899999999996</v>
      </c>
      <c r="AP82" s="49">
        <v>1.427</v>
      </c>
      <c r="AQ82" s="49">
        <v>1.9139999999999999</v>
      </c>
      <c r="AR82" s="49">
        <v>40.857999999999997</v>
      </c>
      <c r="AS82" s="49">
        <v>38.558999999999997</v>
      </c>
      <c r="AT82" s="50">
        <v>82</v>
      </c>
      <c r="AU82" s="49">
        <v>110</v>
      </c>
      <c r="AV82" s="49">
        <v>1.7769999999999999</v>
      </c>
      <c r="AW82" s="49">
        <v>4.9229000000000003</v>
      </c>
      <c r="AX82" s="49">
        <v>1013.9</v>
      </c>
      <c r="AY82" s="49">
        <v>2.36</v>
      </c>
      <c r="AZ82" s="49">
        <v>5.64</v>
      </c>
      <c r="BA82" s="49">
        <v>120.566</v>
      </c>
      <c r="BB82" s="49">
        <v>119.041</v>
      </c>
      <c r="BC82" s="50">
        <v>7799</v>
      </c>
      <c r="BD82" s="49">
        <v>89</v>
      </c>
      <c r="BE82" s="49">
        <v>14.67</v>
      </c>
      <c r="BF82" s="50">
        <v>13.645</v>
      </c>
      <c r="BG82" s="50">
        <v>30.05</v>
      </c>
      <c r="BH82" s="49">
        <v>28.08</v>
      </c>
      <c r="BI82" s="3"/>
      <c r="BJ82" s="3"/>
      <c r="BK82" s="3"/>
      <c r="BL82" s="3"/>
      <c r="BM82" s="3"/>
      <c r="BN82" s="49">
        <v>95.927999999999997</v>
      </c>
      <c r="BO82" s="49">
        <v>97.016000000000005</v>
      </c>
      <c r="BP82" s="49">
        <v>111.91200000000001</v>
      </c>
      <c r="BQ82" s="49">
        <v>117.91200000000001</v>
      </c>
      <c r="BR82" s="3"/>
      <c r="BS82" s="49">
        <v>24.8</v>
      </c>
      <c r="BT82" s="49">
        <v>7333.6940000000004</v>
      </c>
      <c r="BU82" s="49">
        <v>49.484999999999999</v>
      </c>
      <c r="BV82" s="49">
        <v>51.475999999999999</v>
      </c>
      <c r="BW82" s="49">
        <v>53.738999999999997</v>
      </c>
      <c r="BX82" s="49">
        <v>53.735999999999997</v>
      </c>
      <c r="BY82" s="49">
        <v>1.468</v>
      </c>
      <c r="BZ82" s="49">
        <v>3.19</v>
      </c>
      <c r="CA82" s="49">
        <v>3.2949999999999999</v>
      </c>
      <c r="CB82" s="49">
        <v>3.133</v>
      </c>
      <c r="CC82" s="49">
        <v>1.0009999999999999</v>
      </c>
      <c r="CD82" s="49">
        <v>2.2890000000000001</v>
      </c>
      <c r="CE82" s="49">
        <v>1.4470000000000001</v>
      </c>
      <c r="CF82" s="49">
        <v>2.2080000000000002</v>
      </c>
      <c r="CG82" s="49">
        <v>13.759</v>
      </c>
      <c r="CH82" s="49">
        <v>13.624000000000001</v>
      </c>
      <c r="CI82" s="49">
        <v>4.6879999999999997</v>
      </c>
      <c r="CJ82" s="50">
        <v>3.6749999999999998</v>
      </c>
      <c r="CK82" s="50">
        <v>1.6779999999999999</v>
      </c>
      <c r="CL82" s="50">
        <v>0.5</v>
      </c>
      <c r="CM82" s="49">
        <v>0.4</v>
      </c>
      <c r="CN82" s="50">
        <v>0</v>
      </c>
      <c r="CO82" s="50">
        <v>0</v>
      </c>
      <c r="CP82" s="49">
        <v>91.620999999999995</v>
      </c>
      <c r="CQ82" s="49">
        <v>92.914000000000001</v>
      </c>
      <c r="CR82" s="49">
        <v>105.651</v>
      </c>
      <c r="CS82" s="49">
        <v>112.014</v>
      </c>
      <c r="CT82" s="49">
        <v>0.39600000000000002</v>
      </c>
      <c r="CU82" s="50">
        <v>1.7010000000000001</v>
      </c>
      <c r="CV82" s="50">
        <v>1.4970000000000001</v>
      </c>
      <c r="CW82" s="49">
        <v>0.999</v>
      </c>
      <c r="CX82" s="49">
        <v>1.095</v>
      </c>
      <c r="CY82" s="49">
        <v>0.503</v>
      </c>
      <c r="CZ82" s="49">
        <v>0.89800000000000002</v>
      </c>
      <c r="DA82" s="49">
        <v>0.4</v>
      </c>
      <c r="DB82" s="50">
        <v>2.496</v>
      </c>
      <c r="DC82" s="50">
        <v>0</v>
      </c>
      <c r="DD82" s="50">
        <v>0</v>
      </c>
      <c r="DE82" s="49">
        <v>0.13200000000000001</v>
      </c>
      <c r="DF82" s="49">
        <v>3.2000000000000001E-2</v>
      </c>
      <c r="DG82" s="49">
        <v>0.33600000000000002</v>
      </c>
      <c r="DH82" s="49">
        <v>1.409</v>
      </c>
      <c r="DI82" s="49">
        <v>0.69799999999999995</v>
      </c>
      <c r="DJ82" s="49">
        <v>5.0999999999999997E-2</v>
      </c>
      <c r="DK82" s="49">
        <v>0.64500000000000002</v>
      </c>
      <c r="DL82" s="49">
        <v>0.41199999999999998</v>
      </c>
      <c r="DM82" s="50">
        <v>0.70199999999999996</v>
      </c>
      <c r="DN82" s="49">
        <v>0.41899999999999998</v>
      </c>
      <c r="DO82" s="49">
        <v>0.35299999999999998</v>
      </c>
      <c r="DP82" s="49">
        <v>66.626000000000005</v>
      </c>
      <c r="DQ82" s="49">
        <v>61.338000000000001</v>
      </c>
      <c r="DR82" s="50">
        <v>54.741</v>
      </c>
      <c r="DS82" s="49">
        <v>52.817</v>
      </c>
      <c r="DT82" s="50">
        <v>6.36</v>
      </c>
      <c r="DU82" s="50">
        <v>6.23</v>
      </c>
      <c r="DV82" s="50">
        <v>11.2</v>
      </c>
      <c r="DW82" s="49">
        <v>8.51</v>
      </c>
      <c r="DX82" s="50">
        <v>6.84</v>
      </c>
      <c r="DY82" s="50">
        <v>6.48</v>
      </c>
      <c r="DZ82" s="50">
        <v>10.64</v>
      </c>
      <c r="EA82" s="49">
        <v>8.0500000000000007</v>
      </c>
      <c r="EB82" s="49">
        <v>42.29</v>
      </c>
      <c r="EC82" s="49">
        <v>41.42</v>
      </c>
      <c r="ED82" s="49">
        <v>35.25</v>
      </c>
      <c r="EE82" s="49">
        <v>38.17</v>
      </c>
      <c r="EF82" s="49">
        <v>44.51</v>
      </c>
      <c r="EG82" s="49">
        <v>45.86</v>
      </c>
      <c r="EH82" s="49">
        <v>42.91</v>
      </c>
      <c r="EI82" s="49">
        <v>45.28</v>
      </c>
      <c r="EJ82" s="49">
        <v>5.8940000000000001</v>
      </c>
      <c r="EK82" s="49">
        <v>62.148000000000003</v>
      </c>
      <c r="EL82" s="49">
        <v>2.2000000000000002</v>
      </c>
      <c r="EM82" s="49">
        <v>1.75</v>
      </c>
      <c r="EN82" s="50">
        <v>1.25</v>
      </c>
      <c r="EO82" s="50">
        <v>1.26</v>
      </c>
      <c r="EP82" s="49">
        <v>-91.622</v>
      </c>
      <c r="EQ82" s="49">
        <v>-2.59</v>
      </c>
      <c r="ER82" s="50">
        <v>112.77800000000001</v>
      </c>
      <c r="ES82" s="49">
        <v>1.4830000000000001</v>
      </c>
      <c r="ET82" s="49">
        <v>1.611</v>
      </c>
      <c r="EU82" s="49">
        <v>1.4370000000000001</v>
      </c>
      <c r="EV82" s="49">
        <v>7.6870000000000003</v>
      </c>
      <c r="EW82" s="49">
        <v>2.85</v>
      </c>
      <c r="EX82" s="49">
        <v>69.44</v>
      </c>
      <c r="EY82" s="49">
        <v>0</v>
      </c>
      <c r="EZ82" s="49">
        <v>1.5289999999999999</v>
      </c>
      <c r="FA82" s="50">
        <v>0</v>
      </c>
      <c r="FB82" s="49">
        <v>9.0020000000000007</v>
      </c>
      <c r="FC82" s="49">
        <v>67.558000000000007</v>
      </c>
      <c r="FD82" s="49">
        <v>62.256999999999998</v>
      </c>
      <c r="FE82" s="49">
        <v>76.608000000000004</v>
      </c>
      <c r="FF82" s="49">
        <v>75.126000000000005</v>
      </c>
      <c r="FG82" s="49">
        <v>0.91800000000000004</v>
      </c>
      <c r="FH82" s="49">
        <v>0.91800000000000004</v>
      </c>
      <c r="FI82" s="49">
        <v>0.996</v>
      </c>
      <c r="FJ82" s="49">
        <v>0.998</v>
      </c>
      <c r="FK82" s="49">
        <v>0</v>
      </c>
      <c r="FL82" s="50">
        <v>83</v>
      </c>
      <c r="FM82" s="49">
        <v>3.79</v>
      </c>
      <c r="FN82" s="49">
        <v>-0.56000000000000005</v>
      </c>
      <c r="FO82" s="49">
        <v>5.46</v>
      </c>
      <c r="FP82" s="49">
        <v>4.1500000000000004</v>
      </c>
      <c r="FQ82" s="50">
        <v>4.4000000000000004</v>
      </c>
      <c r="FR82" s="49">
        <v>5</v>
      </c>
      <c r="FS82" s="49">
        <v>6.7184999999999997</v>
      </c>
      <c r="FT82" s="49">
        <v>1068.4000000000001</v>
      </c>
      <c r="FU82" s="49">
        <v>5.51</v>
      </c>
      <c r="FV82" s="49">
        <v>17.25</v>
      </c>
      <c r="FW82" s="49">
        <v>3205</v>
      </c>
      <c r="FX82" s="49">
        <v>164400</v>
      </c>
      <c r="FY82" s="50">
        <v>166200</v>
      </c>
      <c r="FZ82" s="49">
        <v>47.911000000000001</v>
      </c>
      <c r="GA82" s="49">
        <v>47.88</v>
      </c>
      <c r="GB82" s="49">
        <v>2151.1999999999998</v>
      </c>
      <c r="GC82" s="50">
        <v>2241.9</v>
      </c>
      <c r="GD82" s="49">
        <v>2232.8000000000002</v>
      </c>
      <c r="GE82" s="49">
        <v>2241.9</v>
      </c>
      <c r="GF82" s="49">
        <v>1413.7655999999999</v>
      </c>
      <c r="GG82" s="49">
        <v>27</v>
      </c>
      <c r="GH82" s="49">
        <v>26.9</v>
      </c>
      <c r="GI82" s="49">
        <v>44.9</v>
      </c>
      <c r="GJ82" s="49">
        <v>49.9</v>
      </c>
      <c r="GK82" s="49">
        <v>99.5</v>
      </c>
      <c r="GL82" s="50">
        <v>110.8</v>
      </c>
      <c r="GM82" s="50">
        <v>0</v>
      </c>
      <c r="GN82" s="50">
        <v>27.2</v>
      </c>
      <c r="GO82" s="50">
        <v>112.77800000000001</v>
      </c>
      <c r="GP82" s="49">
        <v>0.76700000000000002</v>
      </c>
      <c r="GQ82" s="49">
        <v>1.829</v>
      </c>
      <c r="GR82" s="49">
        <v>1.298</v>
      </c>
      <c r="GS82" s="49">
        <v>2.0059999999999998</v>
      </c>
      <c r="GT82" s="49">
        <v>0.70799999999999996</v>
      </c>
      <c r="GU82" s="49">
        <v>1.829</v>
      </c>
      <c r="GV82" s="49">
        <v>12.641999999999999</v>
      </c>
      <c r="GW82" s="49">
        <v>13.865</v>
      </c>
      <c r="GX82" s="49">
        <v>15.582000000000001</v>
      </c>
      <c r="GY82" s="50">
        <v>0</v>
      </c>
      <c r="GZ82" s="50">
        <v>0</v>
      </c>
      <c r="HA82" s="50">
        <v>0</v>
      </c>
      <c r="HB82" s="49">
        <v>0</v>
      </c>
      <c r="HC82" s="49">
        <v>35.799999999999997</v>
      </c>
      <c r="HD82" s="49">
        <v>78</v>
      </c>
      <c r="HE82" s="50">
        <v>0</v>
      </c>
      <c r="HF82" s="50">
        <v>0</v>
      </c>
      <c r="HG82" s="49">
        <v>73.75</v>
      </c>
      <c r="HH82" s="49">
        <v>79.19</v>
      </c>
      <c r="HI82" s="50">
        <v>0</v>
      </c>
      <c r="HJ82" s="50">
        <v>0</v>
      </c>
      <c r="HK82" s="50">
        <v>0</v>
      </c>
      <c r="HL82" s="49">
        <v>54</v>
      </c>
      <c r="HM82" s="49">
        <v>48</v>
      </c>
      <c r="HN82" s="49">
        <v>58</v>
      </c>
      <c r="HO82" s="49">
        <v>51</v>
      </c>
      <c r="HP82" s="49">
        <v>55</v>
      </c>
      <c r="HQ82" s="49">
        <v>53</v>
      </c>
      <c r="HR82" s="49">
        <v>46</v>
      </c>
      <c r="HS82" s="49">
        <v>62</v>
      </c>
      <c r="HT82" s="49">
        <v>-1.3779999999999999</v>
      </c>
      <c r="HU82" s="50">
        <v>0</v>
      </c>
      <c r="HV82" s="49">
        <v>0.51300000000000001</v>
      </c>
      <c r="HW82" s="50">
        <v>39.58</v>
      </c>
      <c r="HX82" s="50">
        <v>45.47</v>
      </c>
      <c r="HY82" s="49">
        <v>51.67</v>
      </c>
      <c r="HZ82" s="49">
        <v>51.67</v>
      </c>
      <c r="IA82" s="49">
        <v>2.5459999999999998</v>
      </c>
      <c r="IB82" s="50">
        <v>103</v>
      </c>
      <c r="IC82" s="49">
        <v>21.888999999999999</v>
      </c>
      <c r="ID82" s="49">
        <v>-0.373</v>
      </c>
      <c r="IE82" s="49">
        <v>-0.222</v>
      </c>
      <c r="IF82" s="49">
        <v>803.6</v>
      </c>
      <c r="IG82" s="49">
        <v>751.4</v>
      </c>
      <c r="IH82" s="49">
        <v>813.2</v>
      </c>
      <c r="II82" s="49">
        <v>763.6</v>
      </c>
      <c r="IJ82" s="50">
        <v>1.4E-2</v>
      </c>
      <c r="IK82" s="49">
        <v>0.02</v>
      </c>
      <c r="IL82" s="49">
        <v>85.325999999999993</v>
      </c>
      <c r="IM82" s="49">
        <v>85.325999999999993</v>
      </c>
      <c r="IN82" s="49">
        <v>12.321999999999999</v>
      </c>
      <c r="IO82" s="49">
        <v>0.16600000000000001</v>
      </c>
      <c r="IP82" s="49">
        <v>9</v>
      </c>
      <c r="IQ82" s="49">
        <v>8.9999999999999993E-3</v>
      </c>
      <c r="IR82" s="49">
        <v>6.0000000000000001E-3</v>
      </c>
      <c r="IS82">
        <v>0.52100000000000024</v>
      </c>
      <c r="IT82">
        <v>0.30900000000000016</v>
      </c>
    </row>
    <row r="83" spans="1:254" x14ac:dyDescent="0.25">
      <c r="B83" s="2" t="s">
        <v>412</v>
      </c>
      <c r="C83" s="62" t="s">
        <v>44</v>
      </c>
      <c r="D83" s="63">
        <v>2.4795138888888892E-3</v>
      </c>
      <c r="E83" s="49">
        <v>214.27</v>
      </c>
      <c r="F83" s="49">
        <v>329.49</v>
      </c>
      <c r="G83" s="50">
        <v>5.98</v>
      </c>
      <c r="H83" s="50">
        <v>25.4</v>
      </c>
      <c r="I83" s="50">
        <v>0</v>
      </c>
      <c r="J83" s="49">
        <v>15.4</v>
      </c>
      <c r="K83" s="50">
        <v>6</v>
      </c>
      <c r="L83" s="50">
        <v>6</v>
      </c>
      <c r="M83" s="50">
        <v>7</v>
      </c>
      <c r="N83" s="50">
        <v>3</v>
      </c>
      <c r="O83" s="50">
        <v>3</v>
      </c>
      <c r="P83" s="49">
        <v>0.38500000000000001</v>
      </c>
      <c r="Q83" s="49">
        <v>0.92</v>
      </c>
      <c r="R83" s="49">
        <v>0.10299999999999999</v>
      </c>
      <c r="S83" s="50">
        <v>0.20300000000000001</v>
      </c>
      <c r="T83" s="50">
        <v>90.5</v>
      </c>
      <c r="U83" s="49">
        <v>60.509</v>
      </c>
      <c r="V83" s="49">
        <v>225</v>
      </c>
      <c r="W83" s="49">
        <v>241.66</v>
      </c>
      <c r="X83" s="49">
        <v>165</v>
      </c>
      <c r="Y83" s="49">
        <v>210</v>
      </c>
      <c r="Z83" s="50">
        <v>372.54</v>
      </c>
      <c r="AA83" s="50">
        <v>382.47</v>
      </c>
      <c r="AB83" s="49">
        <v>271.33999999999997</v>
      </c>
      <c r="AC83" s="49">
        <v>342.45</v>
      </c>
      <c r="AD83" s="49">
        <v>1.829</v>
      </c>
      <c r="AE83" s="49">
        <v>1.8979999999999999</v>
      </c>
      <c r="AF83" s="49">
        <v>1.8560000000000001</v>
      </c>
      <c r="AG83" s="49">
        <v>1.917</v>
      </c>
      <c r="AH83" s="49">
        <v>77.77</v>
      </c>
      <c r="AI83" s="49">
        <v>68.58</v>
      </c>
      <c r="AJ83" s="49">
        <v>103.64</v>
      </c>
      <c r="AK83" s="49">
        <v>101.15</v>
      </c>
      <c r="AL83" s="50">
        <v>655.24699999999996</v>
      </c>
      <c r="AM83" s="49">
        <v>653.55600000000004</v>
      </c>
      <c r="AN83" s="49">
        <v>840.10699999999997</v>
      </c>
      <c r="AO83" s="49">
        <v>784.52599999999995</v>
      </c>
      <c r="AP83" s="49">
        <v>1.425</v>
      </c>
      <c r="AQ83" s="49">
        <v>1.88</v>
      </c>
      <c r="AR83" s="49">
        <v>40.710999999999999</v>
      </c>
      <c r="AS83" s="49">
        <v>37.984000000000002</v>
      </c>
      <c r="AT83" s="50">
        <v>82</v>
      </c>
      <c r="AU83" s="49">
        <v>116</v>
      </c>
      <c r="AV83" s="49">
        <v>1.69</v>
      </c>
      <c r="AW83" s="49">
        <v>5.0046999999999997</v>
      </c>
      <c r="AX83" s="49">
        <v>1015.5</v>
      </c>
      <c r="AY83" s="49">
        <v>2.41</v>
      </c>
      <c r="AZ83" s="49">
        <v>5.73</v>
      </c>
      <c r="BA83" s="49">
        <v>139.70599999999999</v>
      </c>
      <c r="BB83" s="49">
        <v>137.63900000000001</v>
      </c>
      <c r="BC83" s="49">
        <v>7683</v>
      </c>
      <c r="BD83" s="49">
        <v>89</v>
      </c>
      <c r="BE83" s="49">
        <v>14.645</v>
      </c>
      <c r="BF83" s="49">
        <v>13.23</v>
      </c>
      <c r="BG83" s="49">
        <v>28.82</v>
      </c>
      <c r="BH83" s="49">
        <v>27.97</v>
      </c>
      <c r="BI83" s="3"/>
      <c r="BJ83" s="3"/>
      <c r="BK83" s="3"/>
      <c r="BL83" s="3"/>
      <c r="BM83" s="3"/>
      <c r="BN83" s="49">
        <v>94.712000000000003</v>
      </c>
      <c r="BO83" s="49">
        <v>95.304000000000002</v>
      </c>
      <c r="BP83" s="49">
        <v>114.872</v>
      </c>
      <c r="BQ83" s="49">
        <v>119.512</v>
      </c>
      <c r="BR83" s="3"/>
      <c r="BS83" s="50">
        <v>25.1</v>
      </c>
      <c r="BT83" s="49">
        <v>7350.2290000000003</v>
      </c>
      <c r="BU83" s="50">
        <v>49.564999999999998</v>
      </c>
      <c r="BV83" s="50">
        <v>52.991999999999997</v>
      </c>
      <c r="BW83" s="49">
        <v>52.125</v>
      </c>
      <c r="BX83" s="49">
        <v>54.161999999999999</v>
      </c>
      <c r="BY83" s="49">
        <v>1.2529999999999999</v>
      </c>
      <c r="BZ83" s="50">
        <v>3.31</v>
      </c>
      <c r="CA83" s="49">
        <v>3.4159999999999999</v>
      </c>
      <c r="CB83" s="49">
        <v>3.3170000000000002</v>
      </c>
      <c r="CC83" s="49">
        <v>1.2070000000000001</v>
      </c>
      <c r="CD83" s="49">
        <v>2.3839999999999999</v>
      </c>
      <c r="CE83" s="49">
        <v>1.33</v>
      </c>
      <c r="CF83" s="49">
        <v>2.1</v>
      </c>
      <c r="CG83" s="49">
        <v>13.747</v>
      </c>
      <c r="CH83" s="49">
        <v>13.587999999999999</v>
      </c>
      <c r="CI83" s="49">
        <v>3.944</v>
      </c>
      <c r="CJ83" s="49">
        <v>3.4580000000000002</v>
      </c>
      <c r="CK83" s="49">
        <v>1.47</v>
      </c>
      <c r="CL83" s="49">
        <v>0.1</v>
      </c>
      <c r="CM83" s="49">
        <v>1</v>
      </c>
      <c r="CN83" s="50">
        <v>0</v>
      </c>
      <c r="CO83" s="50">
        <v>0</v>
      </c>
      <c r="CP83" s="49">
        <v>91.215999999999994</v>
      </c>
      <c r="CQ83" s="49">
        <v>92.259</v>
      </c>
      <c r="CR83" s="49">
        <v>106.741</v>
      </c>
      <c r="CS83" s="49">
        <v>113.67700000000001</v>
      </c>
      <c r="CT83" s="49">
        <v>0.32200000000000001</v>
      </c>
      <c r="CU83" s="49">
        <v>0.80200000000000005</v>
      </c>
      <c r="CV83" s="49">
        <v>1.3959999999999999</v>
      </c>
      <c r="CW83" s="49">
        <v>1.103</v>
      </c>
      <c r="CX83" s="50">
        <v>1.296</v>
      </c>
      <c r="CY83" s="49">
        <v>0.30199999999999999</v>
      </c>
      <c r="CZ83" s="49">
        <v>0.79700000000000004</v>
      </c>
      <c r="DA83" s="49">
        <v>0.4</v>
      </c>
      <c r="DB83" s="49">
        <v>1.5</v>
      </c>
      <c r="DC83" s="50">
        <v>0</v>
      </c>
      <c r="DD83" s="50">
        <v>0</v>
      </c>
      <c r="DE83" s="49">
        <v>0.125</v>
      </c>
      <c r="DF83" s="49">
        <v>4.3999999999999997E-2</v>
      </c>
      <c r="DG83" s="49">
        <v>0.496</v>
      </c>
      <c r="DH83" s="49">
        <v>1.0129999999999999</v>
      </c>
      <c r="DI83" s="49">
        <v>0.67100000000000004</v>
      </c>
      <c r="DJ83" s="49">
        <v>2E-3</v>
      </c>
      <c r="DK83" s="49">
        <v>0.77800000000000002</v>
      </c>
      <c r="DL83" s="49">
        <v>0.41799999999999998</v>
      </c>
      <c r="DM83" s="49">
        <v>0.435</v>
      </c>
      <c r="DN83" s="49">
        <v>0.28299999999999997</v>
      </c>
      <c r="DO83" s="49">
        <v>0.27100000000000002</v>
      </c>
      <c r="DP83" s="49">
        <v>65.945999999999998</v>
      </c>
      <c r="DQ83" s="49">
        <v>59.715000000000003</v>
      </c>
      <c r="DR83" s="49">
        <v>54.274000000000001</v>
      </c>
      <c r="DS83" s="49">
        <v>52.204000000000001</v>
      </c>
      <c r="DT83" s="49">
        <v>5.99</v>
      </c>
      <c r="DU83" s="49">
        <v>6.1</v>
      </c>
      <c r="DV83" s="49">
        <v>10.95</v>
      </c>
      <c r="DW83" s="50">
        <v>8.5299999999999994</v>
      </c>
      <c r="DX83" s="49">
        <v>6.18</v>
      </c>
      <c r="DY83" s="49">
        <v>6.12</v>
      </c>
      <c r="DZ83" s="49">
        <v>10.31</v>
      </c>
      <c r="EA83" s="50">
        <v>8.1300000000000008</v>
      </c>
      <c r="EB83" s="49">
        <v>42.49</v>
      </c>
      <c r="EC83" s="49">
        <v>41.65</v>
      </c>
      <c r="ED83" s="49">
        <v>35.44</v>
      </c>
      <c r="EE83" s="49">
        <v>37.96</v>
      </c>
      <c r="EF83" s="49">
        <v>45.33</v>
      </c>
      <c r="EG83" s="49">
        <v>46.12</v>
      </c>
      <c r="EH83" s="49">
        <v>43.3</v>
      </c>
      <c r="EI83" s="49">
        <v>45.38</v>
      </c>
      <c r="EJ83" s="49">
        <v>6.681</v>
      </c>
      <c r="EK83" s="50">
        <v>62.828000000000003</v>
      </c>
      <c r="EL83" s="49">
        <v>2.2000000000000002</v>
      </c>
      <c r="EM83" s="49">
        <v>1.85</v>
      </c>
      <c r="EN83" s="49">
        <v>1.19</v>
      </c>
      <c r="EO83" s="49">
        <v>1.19</v>
      </c>
      <c r="EP83" s="50">
        <v>-105.346</v>
      </c>
      <c r="EQ83" s="49">
        <v>-2.9470000000000001</v>
      </c>
      <c r="ER83" s="49">
        <v>97.885999999999996</v>
      </c>
      <c r="ES83" s="49">
        <v>1.4450000000000001</v>
      </c>
      <c r="ET83" s="50">
        <v>1.6140000000000001</v>
      </c>
      <c r="EU83" s="49">
        <v>1.4159999999999999</v>
      </c>
      <c r="EV83" s="49">
        <v>7.875</v>
      </c>
      <c r="EW83" s="49">
        <v>2.9420000000000002</v>
      </c>
      <c r="EX83" s="50">
        <v>73.58</v>
      </c>
      <c r="EY83" s="49">
        <v>0</v>
      </c>
      <c r="EZ83" s="50">
        <v>187.66499999999999</v>
      </c>
      <c r="FA83" s="50">
        <v>0</v>
      </c>
      <c r="FB83" s="49">
        <v>9.0129999999999999</v>
      </c>
      <c r="FC83" s="49">
        <v>67.899000000000001</v>
      </c>
      <c r="FD83" s="49">
        <v>62.656999999999996</v>
      </c>
      <c r="FE83" s="49">
        <v>78.369</v>
      </c>
      <c r="FF83" s="49">
        <v>76.707999999999998</v>
      </c>
      <c r="FG83" s="49">
        <v>0.91400000000000003</v>
      </c>
      <c r="FH83" s="49">
        <v>0.91400000000000003</v>
      </c>
      <c r="FI83" s="49">
        <v>0.996</v>
      </c>
      <c r="FJ83" s="49">
        <v>0.998</v>
      </c>
      <c r="FK83" s="49">
        <v>0</v>
      </c>
      <c r="FL83" s="50">
        <v>83</v>
      </c>
      <c r="FM83" s="49">
        <v>3.76</v>
      </c>
      <c r="FN83" s="49">
        <v>-0.25</v>
      </c>
      <c r="FO83" s="49">
        <v>5.52</v>
      </c>
      <c r="FP83" s="3"/>
      <c r="FQ83" s="49">
        <v>4.6500000000000004</v>
      </c>
      <c r="FR83" s="50">
        <v>4.95</v>
      </c>
      <c r="FS83" s="50">
        <v>6.7220000000000004</v>
      </c>
      <c r="FT83" s="50">
        <v>1075.3</v>
      </c>
      <c r="FU83" s="49">
        <v>6.19</v>
      </c>
      <c r="FV83" s="49">
        <v>23.23</v>
      </c>
      <c r="FW83" s="49">
        <v>3189.5</v>
      </c>
      <c r="FX83" s="49">
        <v>160800</v>
      </c>
      <c r="FY83" s="49">
        <v>163100</v>
      </c>
      <c r="FZ83" s="49">
        <v>47.406999999999996</v>
      </c>
      <c r="GA83" s="49">
        <v>47.581000000000003</v>
      </c>
      <c r="GB83" s="49">
        <v>2150</v>
      </c>
      <c r="GC83" s="49">
        <v>2151.8000000000002</v>
      </c>
      <c r="GD83" s="49">
        <v>2163.6</v>
      </c>
      <c r="GE83" s="50">
        <v>2275.5</v>
      </c>
      <c r="GF83" s="49">
        <v>1363.4219000000001</v>
      </c>
      <c r="GG83" s="49">
        <v>27</v>
      </c>
      <c r="GH83" s="49">
        <v>27.4</v>
      </c>
      <c r="GI83" s="49">
        <v>44.8</v>
      </c>
      <c r="GJ83" s="49">
        <v>50</v>
      </c>
      <c r="GK83" s="49">
        <v>99.5</v>
      </c>
      <c r="GL83" s="49">
        <v>110.2</v>
      </c>
      <c r="GM83" s="50">
        <v>0</v>
      </c>
      <c r="GN83" s="49">
        <v>25.06</v>
      </c>
      <c r="GO83" s="49">
        <v>105.346</v>
      </c>
      <c r="GP83" s="49">
        <v>0.53100000000000003</v>
      </c>
      <c r="GQ83" s="49">
        <v>1.829</v>
      </c>
      <c r="GR83" s="49">
        <v>1.121</v>
      </c>
      <c r="GS83" s="49">
        <v>1.9470000000000001</v>
      </c>
      <c r="GT83" s="49">
        <v>0.70799999999999996</v>
      </c>
      <c r="GU83" s="49">
        <v>1.829</v>
      </c>
      <c r="GV83" s="49">
        <v>12.544</v>
      </c>
      <c r="GW83" s="49">
        <v>13.823</v>
      </c>
      <c r="GX83" s="49">
        <v>14.896000000000001</v>
      </c>
      <c r="GY83" s="50">
        <v>0</v>
      </c>
      <c r="GZ83" s="50">
        <v>0</v>
      </c>
      <c r="HA83" s="50">
        <v>0</v>
      </c>
      <c r="HB83" s="49">
        <v>0</v>
      </c>
      <c r="HC83" s="50">
        <v>36.133000000000003</v>
      </c>
      <c r="HD83" s="50">
        <v>82</v>
      </c>
      <c r="HE83" s="50">
        <v>0</v>
      </c>
      <c r="HF83" s="50">
        <v>0</v>
      </c>
      <c r="HG83" s="49">
        <v>86.73</v>
      </c>
      <c r="HH83" s="49">
        <v>79.430000000000007</v>
      </c>
      <c r="HI83" s="50">
        <v>0</v>
      </c>
      <c r="HJ83" s="50">
        <v>0</v>
      </c>
      <c r="HK83" s="50">
        <v>0</v>
      </c>
      <c r="HL83" s="49">
        <v>55</v>
      </c>
      <c r="HM83" s="49">
        <v>48</v>
      </c>
      <c r="HN83" s="49">
        <v>59</v>
      </c>
      <c r="HO83" s="49">
        <v>53</v>
      </c>
      <c r="HP83" s="49">
        <v>57</v>
      </c>
      <c r="HQ83" s="49">
        <v>55</v>
      </c>
      <c r="HR83" s="49">
        <v>47</v>
      </c>
      <c r="HS83" s="50">
        <v>70</v>
      </c>
      <c r="HT83" s="49">
        <v>-1.3859999999999999</v>
      </c>
      <c r="HU83" s="50">
        <v>0</v>
      </c>
      <c r="HV83" s="49">
        <v>0.63300000000000001</v>
      </c>
      <c r="HW83" s="49">
        <v>43.79</v>
      </c>
      <c r="HX83" s="50">
        <v>45.47</v>
      </c>
      <c r="HY83" s="50">
        <v>52.25</v>
      </c>
      <c r="HZ83" s="50">
        <v>52.25</v>
      </c>
      <c r="IA83" s="50">
        <v>2.7370000000000001</v>
      </c>
      <c r="IB83" s="50">
        <v>103</v>
      </c>
      <c r="IC83" s="49">
        <v>22.193999999999999</v>
      </c>
      <c r="ID83" s="49">
        <v>-0.46200000000000002</v>
      </c>
      <c r="IE83" s="49">
        <v>-0.26800000000000002</v>
      </c>
      <c r="IF83" s="49">
        <v>808</v>
      </c>
      <c r="IG83" s="50">
        <v>758.8</v>
      </c>
      <c r="IH83" s="49">
        <v>816</v>
      </c>
      <c r="II83" s="50">
        <v>770.4</v>
      </c>
      <c r="IJ83" s="49">
        <v>-1.9E-2</v>
      </c>
      <c r="IK83" s="49">
        <v>1E-3</v>
      </c>
      <c r="IL83" s="49">
        <v>73.025999999999996</v>
      </c>
      <c r="IM83" s="49">
        <v>73.025999999999996</v>
      </c>
      <c r="IN83" s="49">
        <v>11.718999999999999</v>
      </c>
      <c r="IO83" s="49">
        <v>0.25700000000000001</v>
      </c>
      <c r="IP83" s="49">
        <v>9.1300000000000008</v>
      </c>
      <c r="IQ83" s="49">
        <v>7.0000000000000001E-3</v>
      </c>
      <c r="IR83" s="49">
        <v>5.0000000000000001E-3</v>
      </c>
      <c r="IS83">
        <v>0.52800000000000025</v>
      </c>
      <c r="IT83">
        <v>0.31400000000000017</v>
      </c>
    </row>
    <row r="84" spans="1:254" x14ac:dyDescent="0.25">
      <c r="B84" s="2" t="s">
        <v>412</v>
      </c>
      <c r="C84" s="2" t="s">
        <v>45</v>
      </c>
      <c r="D84" s="61">
        <v>2.8502314814814814E-3</v>
      </c>
      <c r="E84" s="49">
        <v>246.261</v>
      </c>
      <c r="F84" s="49">
        <v>328.78</v>
      </c>
      <c r="G84" s="49">
        <v>-23.23</v>
      </c>
      <c r="H84" s="50">
        <v>25.4</v>
      </c>
      <c r="I84" s="50">
        <v>0</v>
      </c>
      <c r="J84" s="49">
        <v>18.7</v>
      </c>
      <c r="K84" s="50">
        <v>6</v>
      </c>
      <c r="L84" s="50">
        <v>6</v>
      </c>
      <c r="M84" s="50">
        <v>7</v>
      </c>
      <c r="N84" s="50">
        <v>3</v>
      </c>
      <c r="O84" s="50">
        <v>3</v>
      </c>
      <c r="P84" s="49">
        <v>0.437</v>
      </c>
      <c r="Q84" s="49">
        <v>1.1739999999999999</v>
      </c>
      <c r="R84" s="49">
        <v>0.36</v>
      </c>
      <c r="S84" s="49">
        <v>0.11</v>
      </c>
      <c r="T84" s="49">
        <v>84.18</v>
      </c>
      <c r="U84" s="49">
        <v>60.496000000000002</v>
      </c>
      <c r="V84" s="49">
        <v>228.34</v>
      </c>
      <c r="W84" s="49">
        <v>255</v>
      </c>
      <c r="X84" s="49">
        <v>175</v>
      </c>
      <c r="Y84" s="49">
        <v>220</v>
      </c>
      <c r="Z84" s="49">
        <v>366.75</v>
      </c>
      <c r="AA84" s="49">
        <v>380.79</v>
      </c>
      <c r="AB84" s="50">
        <v>274.54000000000002</v>
      </c>
      <c r="AC84" s="50">
        <v>344.46</v>
      </c>
      <c r="AD84" s="50">
        <v>1.841</v>
      </c>
      <c r="AE84" s="50">
        <v>1.909</v>
      </c>
      <c r="AF84" s="50">
        <v>1.8839999999999999</v>
      </c>
      <c r="AG84" s="50">
        <v>1.9430000000000001</v>
      </c>
      <c r="AH84" s="50">
        <v>79</v>
      </c>
      <c r="AI84" s="50">
        <v>70</v>
      </c>
      <c r="AJ84" s="50">
        <v>105.92</v>
      </c>
      <c r="AK84" s="50">
        <v>103.35</v>
      </c>
      <c r="AL84" s="49">
        <v>645.16499999999996</v>
      </c>
      <c r="AM84" s="50">
        <v>666.73299999999995</v>
      </c>
      <c r="AN84" s="49">
        <v>814.11199999999997</v>
      </c>
      <c r="AO84" s="49">
        <v>801.46299999999997</v>
      </c>
      <c r="AP84" s="49">
        <v>1.417</v>
      </c>
      <c r="AQ84" s="49">
        <v>1.8859999999999999</v>
      </c>
      <c r="AR84" s="50">
        <v>42.817999999999998</v>
      </c>
      <c r="AS84" s="49">
        <v>40.524000000000001</v>
      </c>
      <c r="AT84" s="50">
        <v>82</v>
      </c>
      <c r="AU84" s="50">
        <v>118</v>
      </c>
      <c r="AV84" s="50">
        <v>1.6445000000000001</v>
      </c>
      <c r="AW84" s="49">
        <v>4.7873000000000001</v>
      </c>
      <c r="AX84" s="49">
        <v>1016.2</v>
      </c>
      <c r="AY84" s="49">
        <v>2.4</v>
      </c>
      <c r="AZ84" s="49">
        <v>5.64</v>
      </c>
      <c r="BA84" s="50">
        <v>69.2</v>
      </c>
      <c r="BB84" s="50">
        <v>69.307000000000002</v>
      </c>
      <c r="BC84" s="49">
        <v>7686</v>
      </c>
      <c r="BD84" s="49">
        <v>89.25</v>
      </c>
      <c r="BE84" s="50">
        <v>15.045</v>
      </c>
      <c r="BF84" s="49">
        <v>13.345000000000001</v>
      </c>
      <c r="BG84" s="49">
        <v>29.18</v>
      </c>
      <c r="BH84" s="50">
        <v>29.86</v>
      </c>
      <c r="BI84" s="50">
        <v>66.22</v>
      </c>
      <c r="BJ84" s="50">
        <v>81.793000000000006</v>
      </c>
      <c r="BK84" s="50">
        <v>64.572999999999993</v>
      </c>
      <c r="BL84" s="49">
        <v>78.567999999999998</v>
      </c>
      <c r="BM84" s="50">
        <v>80.039000000000001</v>
      </c>
      <c r="BN84" s="50">
        <v>109.496</v>
      </c>
      <c r="BO84" s="50">
        <v>108.63200000000001</v>
      </c>
      <c r="BP84" s="50">
        <v>127.4</v>
      </c>
      <c r="BQ84" s="50">
        <v>131.72</v>
      </c>
      <c r="BR84" s="50">
        <v>60.253999999999998</v>
      </c>
      <c r="BS84" s="50">
        <v>25.1</v>
      </c>
      <c r="BT84" s="49">
        <v>7328.9489999999996</v>
      </c>
      <c r="BU84" s="49">
        <v>48.627000000000002</v>
      </c>
      <c r="BV84" s="49">
        <v>51.779000000000003</v>
      </c>
      <c r="BW84" s="49">
        <v>51.682000000000002</v>
      </c>
      <c r="BX84" s="50">
        <v>54.83</v>
      </c>
      <c r="BY84" s="50">
        <v>1.762</v>
      </c>
      <c r="BZ84" s="49">
        <v>3.2360000000000002</v>
      </c>
      <c r="CA84" s="49">
        <v>3.0529999999999999</v>
      </c>
      <c r="CB84" s="50">
        <v>3.456</v>
      </c>
      <c r="CC84" s="49">
        <v>1.0109999999999999</v>
      </c>
      <c r="CD84" s="49">
        <v>2.3959999999999999</v>
      </c>
      <c r="CE84" s="49">
        <v>1.341</v>
      </c>
      <c r="CF84" s="49">
        <v>2.056</v>
      </c>
      <c r="CG84" s="50">
        <v>13.769</v>
      </c>
      <c r="CH84" s="49">
        <v>13.388</v>
      </c>
      <c r="CI84" s="3"/>
      <c r="CJ84" s="3"/>
      <c r="CK84" s="3"/>
      <c r="CL84" s="49">
        <v>0</v>
      </c>
      <c r="CM84" s="50">
        <v>3.2</v>
      </c>
      <c r="CN84" s="50">
        <v>0</v>
      </c>
      <c r="CO84" s="50">
        <v>0</v>
      </c>
      <c r="CP84" s="50">
        <v>93.465000000000003</v>
      </c>
      <c r="CQ84" s="50">
        <v>93.841999999999999</v>
      </c>
      <c r="CR84" s="50">
        <v>114.06100000000001</v>
      </c>
      <c r="CS84" s="50">
        <v>120.34</v>
      </c>
      <c r="CT84" s="50">
        <v>0.61099999999999999</v>
      </c>
      <c r="CU84" s="49">
        <v>0.89700000000000002</v>
      </c>
      <c r="CV84" s="49">
        <v>0.9</v>
      </c>
      <c r="CW84" s="49">
        <v>0.9</v>
      </c>
      <c r="CX84" s="49">
        <v>0.8</v>
      </c>
      <c r="CY84" s="50">
        <v>0.70099999999999996</v>
      </c>
      <c r="CZ84" s="50">
        <v>1.198</v>
      </c>
      <c r="DA84" s="49">
        <v>0.89800000000000002</v>
      </c>
      <c r="DB84" s="49">
        <v>1.3979999999999999</v>
      </c>
      <c r="DC84" s="50">
        <v>0</v>
      </c>
      <c r="DD84" s="50">
        <v>0</v>
      </c>
      <c r="DE84" s="49">
        <v>0.14299999999999999</v>
      </c>
      <c r="DF84" s="50">
        <v>5.0999999999999997E-2</v>
      </c>
      <c r="DG84" s="49">
        <v>0.28199999999999997</v>
      </c>
      <c r="DH84" s="49">
        <v>1.494</v>
      </c>
      <c r="DI84" s="49">
        <v>0.67400000000000004</v>
      </c>
      <c r="DJ84" s="49">
        <v>5.8000000000000003E-2</v>
      </c>
      <c r="DK84" s="49">
        <v>0.65200000000000002</v>
      </c>
      <c r="DL84" s="49">
        <v>0.41399999999999998</v>
      </c>
      <c r="DM84" s="49">
        <v>0.35899999999999999</v>
      </c>
      <c r="DN84" s="49">
        <v>0.375</v>
      </c>
      <c r="DO84" s="49">
        <v>0.19400000000000001</v>
      </c>
      <c r="DP84" s="50">
        <v>67.825999999999993</v>
      </c>
      <c r="DQ84" s="50">
        <v>62.767000000000003</v>
      </c>
      <c r="DR84" s="49">
        <v>53.828000000000003</v>
      </c>
      <c r="DS84" s="50">
        <v>53.088999999999999</v>
      </c>
      <c r="DT84" s="49">
        <v>5.61</v>
      </c>
      <c r="DU84" s="49">
        <v>5.99</v>
      </c>
      <c r="DV84" s="49">
        <v>10.35</v>
      </c>
      <c r="DW84" s="49">
        <v>8.14</v>
      </c>
      <c r="DX84" s="49">
        <v>5.75</v>
      </c>
      <c r="DY84" s="49">
        <v>6.16</v>
      </c>
      <c r="DZ84" s="49">
        <v>9.83</v>
      </c>
      <c r="EA84" s="49">
        <v>7.93</v>
      </c>
      <c r="EB84" s="49">
        <v>42.73</v>
      </c>
      <c r="EC84" s="49">
        <v>40.840000000000003</v>
      </c>
      <c r="ED84" s="49">
        <v>34.56</v>
      </c>
      <c r="EE84" s="49">
        <v>36.49</v>
      </c>
      <c r="EF84" s="49">
        <v>45.91</v>
      </c>
      <c r="EG84" s="49">
        <v>47.02</v>
      </c>
      <c r="EH84" s="49">
        <v>45.26</v>
      </c>
      <c r="EI84" s="49">
        <v>47.44</v>
      </c>
      <c r="EJ84" s="50">
        <v>6.6959999999999997</v>
      </c>
      <c r="EK84" s="49">
        <v>62.624000000000002</v>
      </c>
      <c r="EL84" s="49">
        <v>2.2999999999999998</v>
      </c>
      <c r="EM84" s="49">
        <v>1.85</v>
      </c>
      <c r="EN84" s="49">
        <v>1.18</v>
      </c>
      <c r="EO84" s="49">
        <v>1.18</v>
      </c>
      <c r="EP84" s="49">
        <v>-93.665999999999997</v>
      </c>
      <c r="EQ84" s="49">
        <v>-2.63</v>
      </c>
      <c r="ER84" s="49">
        <v>82.701999999999998</v>
      </c>
      <c r="ES84" s="49">
        <v>1.425</v>
      </c>
      <c r="ET84" s="49">
        <v>1.579</v>
      </c>
      <c r="EU84" s="49">
        <v>1.405</v>
      </c>
      <c r="EV84" s="49">
        <v>7.7409999999999997</v>
      </c>
      <c r="EW84" s="49">
        <v>2.786</v>
      </c>
      <c r="EX84" s="49">
        <v>71.099999999999994</v>
      </c>
      <c r="EY84" s="49">
        <v>8.1000000000000003E-2</v>
      </c>
      <c r="EZ84" s="49">
        <v>0</v>
      </c>
      <c r="FA84" s="50">
        <v>0</v>
      </c>
      <c r="FB84" s="50">
        <v>9.0830000000000002</v>
      </c>
      <c r="FC84" s="50">
        <v>68.87</v>
      </c>
      <c r="FD84" s="50">
        <v>63.32</v>
      </c>
      <c r="FE84" s="50">
        <v>80.747</v>
      </c>
      <c r="FF84" s="50">
        <v>78.831000000000003</v>
      </c>
      <c r="FG84" s="49">
        <v>0.93100000000000005</v>
      </c>
      <c r="FH84" s="49">
        <v>0.92500000000000004</v>
      </c>
      <c r="FI84" s="49">
        <v>0.996</v>
      </c>
      <c r="FJ84" s="49">
        <v>0.998</v>
      </c>
      <c r="FK84" s="49">
        <v>0</v>
      </c>
      <c r="FL84" s="50">
        <v>83</v>
      </c>
      <c r="FM84" s="50">
        <v>3.82</v>
      </c>
      <c r="FN84" s="49">
        <v>0.84</v>
      </c>
      <c r="FO84" s="49">
        <v>5.45</v>
      </c>
      <c r="FP84" s="49">
        <v>3.85</v>
      </c>
      <c r="FQ84" s="49">
        <v>4.5</v>
      </c>
      <c r="FR84" s="49">
        <v>5.05</v>
      </c>
      <c r="FS84" s="49">
        <v>6.6505000000000001</v>
      </c>
      <c r="FT84" s="49">
        <v>1073.8</v>
      </c>
      <c r="FU84" s="50">
        <v>6.27</v>
      </c>
      <c r="FV84" s="50">
        <v>29.1</v>
      </c>
      <c r="FW84" s="49">
        <v>3141.5</v>
      </c>
      <c r="FX84" s="49">
        <v>162000</v>
      </c>
      <c r="FY84" s="49">
        <v>163100</v>
      </c>
      <c r="FZ84" s="49">
        <v>47.183</v>
      </c>
      <c r="GA84" s="49">
        <v>47.557000000000002</v>
      </c>
      <c r="GB84" s="49">
        <v>2145</v>
      </c>
      <c r="GC84" s="49">
        <v>2147.1999999999998</v>
      </c>
      <c r="GD84" s="49">
        <v>2198.5</v>
      </c>
      <c r="GE84" s="49">
        <v>2201.9</v>
      </c>
      <c r="GF84" s="49">
        <v>1293.1875</v>
      </c>
      <c r="GG84" s="49">
        <v>28</v>
      </c>
      <c r="GH84" s="49">
        <v>28.3</v>
      </c>
      <c r="GI84" s="49">
        <v>44.8</v>
      </c>
      <c r="GJ84" s="49">
        <v>50.2</v>
      </c>
      <c r="GK84" s="49">
        <v>99.5</v>
      </c>
      <c r="GL84" s="49">
        <v>108.8</v>
      </c>
      <c r="GM84" s="50">
        <v>0</v>
      </c>
      <c r="GN84" s="49">
        <v>26.277000000000001</v>
      </c>
      <c r="GO84" s="49">
        <v>93.665999999999997</v>
      </c>
      <c r="GP84" s="50">
        <v>0</v>
      </c>
      <c r="GQ84" s="50">
        <v>5.1920000000000002</v>
      </c>
      <c r="GR84" s="50">
        <v>0</v>
      </c>
      <c r="GS84" s="50">
        <v>5.2510000000000003</v>
      </c>
      <c r="GT84" s="50">
        <v>0</v>
      </c>
      <c r="GU84" s="50">
        <v>5.1920000000000002</v>
      </c>
      <c r="GV84" s="50">
        <v>0</v>
      </c>
      <c r="GW84" s="49">
        <v>13.483000000000001</v>
      </c>
      <c r="GX84" s="49">
        <v>15.092000000000001</v>
      </c>
      <c r="GY84" s="50">
        <v>0</v>
      </c>
      <c r="GZ84" s="50">
        <v>0</v>
      </c>
      <c r="HA84" s="50">
        <v>0</v>
      </c>
      <c r="HB84" s="49">
        <v>0</v>
      </c>
      <c r="HC84" s="49">
        <v>34.386000000000003</v>
      </c>
      <c r="HD84" s="50">
        <v>82</v>
      </c>
      <c r="HE84" s="50">
        <v>0</v>
      </c>
      <c r="HF84" s="50">
        <v>0</v>
      </c>
      <c r="HG84" s="49">
        <v>74.930000000000007</v>
      </c>
      <c r="HH84" s="49">
        <v>78.510000000000005</v>
      </c>
      <c r="HI84" s="50">
        <v>0</v>
      </c>
      <c r="HJ84" s="50">
        <v>0</v>
      </c>
      <c r="HK84" s="50">
        <v>0</v>
      </c>
      <c r="HL84" s="50">
        <v>56</v>
      </c>
      <c r="HM84" s="49">
        <v>49</v>
      </c>
      <c r="HN84" s="50">
        <v>61</v>
      </c>
      <c r="HO84" s="50">
        <v>54</v>
      </c>
      <c r="HP84" s="50">
        <v>58</v>
      </c>
      <c r="HQ84" s="50">
        <v>56</v>
      </c>
      <c r="HR84" s="50">
        <v>48</v>
      </c>
      <c r="HS84" s="49">
        <v>62</v>
      </c>
      <c r="HT84" s="50">
        <v>-1.407</v>
      </c>
      <c r="HU84" s="50">
        <v>0</v>
      </c>
      <c r="HV84" s="50">
        <v>0.74099999999999999</v>
      </c>
      <c r="HW84" s="49">
        <v>45.97</v>
      </c>
      <c r="HX84" s="49">
        <v>47.68</v>
      </c>
      <c r="HY84" s="3"/>
      <c r="HZ84" s="3"/>
      <c r="IA84" s="49">
        <v>2.6659999999999999</v>
      </c>
      <c r="IB84" s="50">
        <v>103</v>
      </c>
      <c r="IC84" s="50">
        <v>22.233000000000001</v>
      </c>
      <c r="ID84" s="49">
        <v>-0.36099999999999999</v>
      </c>
      <c r="IE84" s="49">
        <v>-0.20300000000000001</v>
      </c>
      <c r="IF84" s="50">
        <v>817.5</v>
      </c>
      <c r="IG84" s="49">
        <v>746</v>
      </c>
      <c r="IH84" s="50">
        <v>822.4</v>
      </c>
      <c r="II84" s="49">
        <v>759.9</v>
      </c>
      <c r="IJ84" s="49">
        <v>-0.03</v>
      </c>
      <c r="IK84" s="50">
        <v>2.1999999999999999E-2</v>
      </c>
      <c r="IL84" s="49">
        <v>84.573999999999998</v>
      </c>
      <c r="IM84" s="49">
        <v>84.573999999999998</v>
      </c>
      <c r="IN84" s="50">
        <v>14.093999999999999</v>
      </c>
      <c r="IO84" s="50">
        <v>0.25900000000000001</v>
      </c>
      <c r="IP84" s="49">
        <v>9.32</v>
      </c>
      <c r="IQ84" s="49">
        <v>0</v>
      </c>
      <c r="IR84" s="49">
        <v>0</v>
      </c>
      <c r="IS84">
        <v>0.52800000000000025</v>
      </c>
      <c r="IT84">
        <v>0.31400000000000017</v>
      </c>
    </row>
    <row r="85" spans="1:254" x14ac:dyDescent="0.25">
      <c r="IS85">
        <v>0.52800000000000025</v>
      </c>
      <c r="IT85">
        <v>0.31400000000000017</v>
      </c>
    </row>
    <row r="86" spans="1:254" x14ac:dyDescent="0.25">
      <c r="IS86">
        <v>0.52800000000000025</v>
      </c>
      <c r="IT86">
        <v>0.31400000000000017</v>
      </c>
    </row>
    <row r="87" spans="1:254" x14ac:dyDescent="0.25">
      <c r="IS87">
        <v>0.52800000000000025</v>
      </c>
      <c r="IT87">
        <v>0.31400000000000017</v>
      </c>
    </row>
    <row r="88" spans="1:254" x14ac:dyDescent="0.25">
      <c r="B88" s="2" t="s">
        <v>412</v>
      </c>
      <c r="C88" s="2" t="s">
        <v>41</v>
      </c>
      <c r="D88" s="61">
        <v>3.5311342592592595E-3</v>
      </c>
      <c r="E88" s="50">
        <v>305.09100000000001</v>
      </c>
      <c r="F88" s="49">
        <v>329.67</v>
      </c>
      <c r="G88" s="49">
        <v>5.74</v>
      </c>
      <c r="H88" s="49">
        <v>25.3</v>
      </c>
      <c r="I88" s="50">
        <v>0</v>
      </c>
      <c r="J88" s="50">
        <v>35.299999999999997</v>
      </c>
      <c r="K88" s="50">
        <v>6</v>
      </c>
      <c r="L88" s="50">
        <v>6</v>
      </c>
      <c r="M88" s="50">
        <v>7</v>
      </c>
      <c r="N88" s="50">
        <v>2</v>
      </c>
      <c r="O88" s="50">
        <v>3</v>
      </c>
      <c r="P88" s="49">
        <v>0.42599999999999999</v>
      </c>
      <c r="Q88" s="49">
        <v>0.80500000000000005</v>
      </c>
      <c r="R88" s="49">
        <v>0.433</v>
      </c>
      <c r="S88" s="49">
        <v>0.26800000000000002</v>
      </c>
      <c r="T88" s="49">
        <v>59.75</v>
      </c>
      <c r="U88" s="50">
        <v>61.497999999999998</v>
      </c>
      <c r="V88" s="50">
        <v>165</v>
      </c>
      <c r="W88" s="50">
        <v>192.5</v>
      </c>
      <c r="X88" s="50">
        <v>122.5</v>
      </c>
      <c r="Y88" s="50">
        <v>147.5</v>
      </c>
      <c r="Z88" s="49">
        <v>322.42</v>
      </c>
      <c r="AA88" s="49">
        <v>341.2</v>
      </c>
      <c r="AB88" s="49">
        <v>217.3</v>
      </c>
      <c r="AC88" s="49">
        <v>276.20999999999998</v>
      </c>
      <c r="AD88" s="49">
        <v>1.8089999999999999</v>
      </c>
      <c r="AE88" s="49">
        <v>1.827</v>
      </c>
      <c r="AF88" s="49">
        <v>1.782</v>
      </c>
      <c r="AG88" s="49">
        <v>1.8129999999999999</v>
      </c>
      <c r="AH88" s="49">
        <v>68.37</v>
      </c>
      <c r="AI88" s="49">
        <v>61.03</v>
      </c>
      <c r="AJ88" s="49">
        <v>89.34</v>
      </c>
      <c r="AK88" s="49">
        <v>81.400000000000006</v>
      </c>
      <c r="AL88" s="49">
        <v>623.78099999999995</v>
      </c>
      <c r="AM88" s="49">
        <v>639.47500000000002</v>
      </c>
      <c r="AN88" s="49">
        <v>807.61400000000003</v>
      </c>
      <c r="AO88" s="49">
        <v>792.39499999999998</v>
      </c>
      <c r="AP88" s="50">
        <v>1.4430000000000001</v>
      </c>
      <c r="AQ88" s="50">
        <v>1.9119999999999999</v>
      </c>
      <c r="AR88" s="49">
        <v>41.627000000000002</v>
      </c>
      <c r="AS88" s="49">
        <v>38.433999999999997</v>
      </c>
      <c r="AT88" s="50">
        <v>85</v>
      </c>
      <c r="AU88" s="49">
        <v>114</v>
      </c>
      <c r="AV88" s="49">
        <v>1.6975</v>
      </c>
      <c r="AW88" s="49">
        <v>4.5468000000000002</v>
      </c>
      <c r="AX88" s="50">
        <v>1020.4</v>
      </c>
      <c r="AY88" s="50">
        <v>2.93</v>
      </c>
      <c r="AZ88" s="49">
        <v>5.71</v>
      </c>
      <c r="BA88" s="50">
        <v>65.706000000000003</v>
      </c>
      <c r="BB88" s="50">
        <v>66.7</v>
      </c>
      <c r="BC88" s="49">
        <v>7779</v>
      </c>
      <c r="BD88" s="49">
        <v>87.5</v>
      </c>
      <c r="BE88" s="49">
        <v>15.65</v>
      </c>
      <c r="BF88" s="49">
        <v>12.87</v>
      </c>
      <c r="BG88" s="49">
        <v>28.95</v>
      </c>
      <c r="BH88" s="49">
        <v>27.89</v>
      </c>
      <c r="BI88" s="49">
        <v>64.840999999999994</v>
      </c>
      <c r="BJ88" s="49">
        <v>80.683999999999997</v>
      </c>
      <c r="BK88" s="49">
        <v>63.165999999999997</v>
      </c>
      <c r="BL88" s="49">
        <v>78.260000000000005</v>
      </c>
      <c r="BM88" s="49">
        <v>78.043000000000006</v>
      </c>
      <c r="BN88" s="50">
        <v>132.63200000000001</v>
      </c>
      <c r="BO88" s="50">
        <v>133.4</v>
      </c>
      <c r="BP88" s="49">
        <v>126.248</v>
      </c>
      <c r="BQ88" s="49">
        <v>131.89599999999999</v>
      </c>
      <c r="BR88" s="49">
        <v>58.121000000000002</v>
      </c>
      <c r="BS88" s="49">
        <v>25.1</v>
      </c>
      <c r="BT88" s="49">
        <v>7363.2020000000002</v>
      </c>
      <c r="BU88" s="50">
        <v>54.411000000000001</v>
      </c>
      <c r="BV88" s="50">
        <v>54.363999999999997</v>
      </c>
      <c r="BW88" s="50">
        <v>55.774000000000001</v>
      </c>
      <c r="BX88" s="49">
        <v>56.703000000000003</v>
      </c>
      <c r="BY88" s="49">
        <v>1.375</v>
      </c>
      <c r="BZ88" s="49">
        <v>2.33</v>
      </c>
      <c r="CA88" s="49">
        <v>3.2930000000000001</v>
      </c>
      <c r="CB88" s="49">
        <v>3.145</v>
      </c>
      <c r="CC88" s="49">
        <v>1.101</v>
      </c>
      <c r="CD88" s="49">
        <v>2.3159999999999998</v>
      </c>
      <c r="CE88" s="50">
        <v>1.3260000000000001</v>
      </c>
      <c r="CF88" s="50">
        <v>2.1829999999999998</v>
      </c>
      <c r="CG88" s="49">
        <v>13.616</v>
      </c>
      <c r="CH88" s="50">
        <v>10.093999999999999</v>
      </c>
      <c r="CI88" s="50">
        <v>4.8680000000000003</v>
      </c>
      <c r="CJ88" s="49">
        <v>3.3090000000000002</v>
      </c>
      <c r="CK88" s="49">
        <v>1.5580000000000001</v>
      </c>
      <c r="CL88" s="49">
        <v>0</v>
      </c>
      <c r="CM88" s="49">
        <v>1.5</v>
      </c>
      <c r="CN88" s="50">
        <v>0</v>
      </c>
      <c r="CO88" s="50">
        <v>0</v>
      </c>
      <c r="CP88" s="50">
        <v>105.851</v>
      </c>
      <c r="CQ88" s="50">
        <v>106.821</v>
      </c>
      <c r="CR88" s="49">
        <v>109.239</v>
      </c>
      <c r="CS88" s="49">
        <v>115.483</v>
      </c>
      <c r="CT88" s="49">
        <v>0.19700000000000001</v>
      </c>
      <c r="CU88" s="49">
        <v>0.996</v>
      </c>
      <c r="CV88" s="49">
        <v>2.0920000000000001</v>
      </c>
      <c r="CW88" s="49">
        <v>1.298</v>
      </c>
      <c r="CX88" s="49">
        <v>1.796</v>
      </c>
      <c r="CY88" s="49">
        <v>0.995</v>
      </c>
      <c r="CZ88" s="49">
        <v>1.4950000000000001</v>
      </c>
      <c r="DA88" s="49">
        <v>0.60099999999999998</v>
      </c>
      <c r="DB88" s="49">
        <v>1.8959999999999999</v>
      </c>
      <c r="DC88" s="50">
        <v>0</v>
      </c>
      <c r="DD88" s="50">
        <v>0</v>
      </c>
      <c r="DE88" s="49">
        <v>0.151</v>
      </c>
      <c r="DF88" s="49">
        <v>0.08</v>
      </c>
      <c r="DG88" s="49">
        <v>0.17299999999999999</v>
      </c>
      <c r="DH88" s="49">
        <v>1.53</v>
      </c>
      <c r="DI88" s="49">
        <v>0.74299999999999999</v>
      </c>
      <c r="DJ88" s="50">
        <v>0.155</v>
      </c>
      <c r="DK88" s="49">
        <v>0.69099999999999995</v>
      </c>
      <c r="DL88" s="50">
        <v>0.41499999999999998</v>
      </c>
      <c r="DM88" s="50">
        <v>0.504</v>
      </c>
      <c r="DN88" s="49">
        <v>0.51100000000000001</v>
      </c>
      <c r="DO88" s="50">
        <v>0.90500000000000003</v>
      </c>
      <c r="DP88" s="49">
        <v>65.323999999999998</v>
      </c>
      <c r="DQ88" s="49">
        <v>60.719000000000001</v>
      </c>
      <c r="DR88" s="49">
        <v>54.206000000000003</v>
      </c>
      <c r="DS88" s="49">
        <v>51.322000000000003</v>
      </c>
      <c r="DT88" s="49">
        <v>3.86</v>
      </c>
      <c r="DU88" s="49">
        <v>3.87</v>
      </c>
      <c r="DV88" s="49">
        <v>7.3</v>
      </c>
      <c r="DW88" s="49">
        <v>5.69</v>
      </c>
      <c r="DX88" s="49">
        <v>4.16</v>
      </c>
      <c r="DY88" s="49">
        <v>3.93</v>
      </c>
      <c r="DZ88" s="49">
        <v>6.72</v>
      </c>
      <c r="EA88" s="49">
        <v>5.31</v>
      </c>
      <c r="EB88" s="49">
        <v>34.590000000000003</v>
      </c>
      <c r="EC88" s="49">
        <v>34.9</v>
      </c>
      <c r="ED88" s="49">
        <v>29.43</v>
      </c>
      <c r="EE88" s="49">
        <v>30.64</v>
      </c>
      <c r="EF88" s="50">
        <v>57.38</v>
      </c>
      <c r="EG88" s="50">
        <v>57.3</v>
      </c>
      <c r="EH88" s="50">
        <v>56.55</v>
      </c>
      <c r="EI88" s="50">
        <v>58.36</v>
      </c>
      <c r="EJ88" s="49">
        <v>6.5659999999999998</v>
      </c>
      <c r="EK88" s="49">
        <v>62.186999999999998</v>
      </c>
      <c r="EL88" s="50">
        <v>2.65</v>
      </c>
      <c r="EM88" s="49">
        <v>1.85</v>
      </c>
      <c r="EN88" s="49">
        <v>1.17</v>
      </c>
      <c r="EO88" s="49">
        <v>1.18</v>
      </c>
      <c r="EP88" s="49">
        <v>-94.25</v>
      </c>
      <c r="EQ88" s="50">
        <v>-2.0049999999999999</v>
      </c>
      <c r="ER88" s="49">
        <v>108.398</v>
      </c>
      <c r="ES88" s="49">
        <v>1.1870000000000001</v>
      </c>
      <c r="ET88" s="49">
        <v>1.2330000000000001</v>
      </c>
      <c r="EU88" s="49">
        <v>1.149</v>
      </c>
      <c r="EV88" s="49">
        <v>7.8170000000000002</v>
      </c>
      <c r="EW88" s="49">
        <v>2.9079999999999999</v>
      </c>
      <c r="EX88" s="49">
        <v>-284.02</v>
      </c>
      <c r="EY88" s="49">
        <v>0</v>
      </c>
      <c r="EZ88" s="49">
        <v>0</v>
      </c>
      <c r="FA88" s="50">
        <v>0</v>
      </c>
      <c r="FB88" s="49">
        <v>7.82</v>
      </c>
      <c r="FC88" s="49">
        <v>67.478999999999999</v>
      </c>
      <c r="FD88" s="49">
        <v>62.256</v>
      </c>
      <c r="FE88" s="49">
        <v>76.004000000000005</v>
      </c>
      <c r="FF88" s="49">
        <v>74.438999999999993</v>
      </c>
      <c r="FG88" s="49">
        <v>0.96499999999999997</v>
      </c>
      <c r="FH88" s="49">
        <v>0.97</v>
      </c>
      <c r="FI88" s="50">
        <v>1</v>
      </c>
      <c r="FJ88" s="50">
        <v>1.002</v>
      </c>
      <c r="FK88" s="50">
        <v>0.20100000000000001</v>
      </c>
      <c r="FL88" s="50">
        <v>85</v>
      </c>
      <c r="FM88" s="49">
        <v>3.72</v>
      </c>
      <c r="FN88" s="49">
        <v>-0.09</v>
      </c>
      <c r="FO88" s="49">
        <v>5.49</v>
      </c>
      <c r="FP88" s="50">
        <v>0.35</v>
      </c>
      <c r="FQ88" s="50">
        <v>1.8</v>
      </c>
      <c r="FR88" s="49">
        <v>5.15</v>
      </c>
      <c r="FS88" s="49">
        <v>6.6455000000000002</v>
      </c>
      <c r="FT88" s="49">
        <v>1073.5999999999999</v>
      </c>
      <c r="FU88" s="49">
        <v>5.94</v>
      </c>
      <c r="FV88" s="49">
        <v>5.74</v>
      </c>
      <c r="FW88" s="49">
        <v>3210</v>
      </c>
      <c r="FX88" s="50">
        <v>166500</v>
      </c>
      <c r="FY88" s="50">
        <v>168300</v>
      </c>
      <c r="FZ88" s="50">
        <v>47.725000000000001</v>
      </c>
      <c r="GA88" s="50">
        <v>48.034999999999997</v>
      </c>
      <c r="GB88" s="50">
        <v>2185.1</v>
      </c>
      <c r="GC88" s="49">
        <v>2185.9</v>
      </c>
      <c r="GD88" s="49">
        <v>2185.1</v>
      </c>
      <c r="GE88" s="49">
        <v>2185.9</v>
      </c>
      <c r="GF88" s="49">
        <v>1259.875</v>
      </c>
      <c r="GG88" s="50">
        <v>29</v>
      </c>
      <c r="GH88" s="49">
        <v>29</v>
      </c>
      <c r="GI88" s="50">
        <v>49.8</v>
      </c>
      <c r="GJ88" s="50">
        <v>55.8</v>
      </c>
      <c r="GK88" s="50">
        <v>98</v>
      </c>
      <c r="GL88" s="50">
        <v>114</v>
      </c>
      <c r="GM88" s="50">
        <v>0</v>
      </c>
      <c r="GN88" s="49">
        <v>23.785</v>
      </c>
      <c r="GO88" s="49">
        <v>108.398</v>
      </c>
      <c r="GP88" s="50">
        <v>0</v>
      </c>
      <c r="GQ88" s="49">
        <v>3.4809999999999999</v>
      </c>
      <c r="GR88" s="50">
        <v>0</v>
      </c>
      <c r="GS88" s="49">
        <v>3.6579999999999999</v>
      </c>
      <c r="GT88" s="50">
        <v>0</v>
      </c>
      <c r="GU88" s="49">
        <v>4.4249999999999998</v>
      </c>
      <c r="GV88" s="50">
        <v>0</v>
      </c>
      <c r="GW88" s="49">
        <v>10.547000000000001</v>
      </c>
      <c r="GX88" s="49">
        <v>17.835999999999999</v>
      </c>
      <c r="GY88" s="50">
        <v>0</v>
      </c>
      <c r="GZ88" s="49">
        <v>0</v>
      </c>
      <c r="HA88" s="49">
        <v>0</v>
      </c>
      <c r="HB88" s="50">
        <v>1</v>
      </c>
      <c r="HC88" s="49">
        <v>32.238999999999997</v>
      </c>
      <c r="HD88" s="50">
        <v>90</v>
      </c>
      <c r="HE88" s="50">
        <v>0</v>
      </c>
      <c r="HF88" s="50">
        <v>0</v>
      </c>
      <c r="HG88" s="50">
        <v>87.44</v>
      </c>
      <c r="HH88" s="49">
        <v>80.7</v>
      </c>
      <c r="HI88" s="50">
        <v>0</v>
      </c>
      <c r="HJ88" s="50">
        <v>0</v>
      </c>
      <c r="HK88" s="50">
        <v>0</v>
      </c>
      <c r="HL88" s="50">
        <v>61</v>
      </c>
      <c r="HM88" s="50">
        <v>50</v>
      </c>
      <c r="HN88" s="49">
        <v>62</v>
      </c>
      <c r="HO88" s="49">
        <v>55</v>
      </c>
      <c r="HP88" s="49">
        <v>58</v>
      </c>
      <c r="HQ88" s="49">
        <v>56</v>
      </c>
      <c r="HR88" s="49">
        <v>50</v>
      </c>
      <c r="HS88" s="49">
        <v>62</v>
      </c>
      <c r="HT88" s="49">
        <v>-1.421</v>
      </c>
      <c r="HU88" s="50">
        <v>0</v>
      </c>
      <c r="HV88" s="49">
        <v>0.13100000000000001</v>
      </c>
      <c r="HW88" s="49">
        <v>42.33</v>
      </c>
      <c r="HX88" s="49">
        <v>49.07</v>
      </c>
      <c r="HY88" s="3"/>
      <c r="HZ88" s="3"/>
      <c r="IA88" s="49">
        <v>2.4620000000000002</v>
      </c>
      <c r="IB88" s="49">
        <v>100</v>
      </c>
      <c r="IC88" s="49">
        <v>18.878</v>
      </c>
      <c r="ID88" s="50">
        <v>-0.23100000000000001</v>
      </c>
      <c r="IE88" s="50">
        <v>-0.125</v>
      </c>
      <c r="IF88" s="49">
        <v>817.7</v>
      </c>
      <c r="IG88" s="49">
        <v>670.3</v>
      </c>
      <c r="IH88" s="49">
        <v>812.6</v>
      </c>
      <c r="II88" s="49">
        <v>686.9</v>
      </c>
      <c r="IJ88" s="50">
        <v>5.0000000000000001E-3</v>
      </c>
      <c r="IK88" s="49">
        <v>2.5000000000000001E-2</v>
      </c>
      <c r="IL88" s="50">
        <v>160.32400000000001</v>
      </c>
      <c r="IM88" s="50">
        <v>160.32400000000001</v>
      </c>
      <c r="IN88" s="50">
        <v>16.867000000000001</v>
      </c>
      <c r="IO88" s="49">
        <v>0.19700000000000001</v>
      </c>
      <c r="IP88" s="50">
        <v>9.6</v>
      </c>
      <c r="IQ88" s="49">
        <v>3.0000000000000001E-3</v>
      </c>
      <c r="IR88" s="49">
        <v>-1E-3</v>
      </c>
      <c r="IS88">
        <v>0.52800000000000025</v>
      </c>
      <c r="IT88">
        <v>0.31400000000000017</v>
      </c>
    </row>
    <row r="89" spans="1:254" x14ac:dyDescent="0.25">
      <c r="A89" s="6" t="s">
        <v>51</v>
      </c>
      <c r="B89" s="2" t="s">
        <v>412</v>
      </c>
      <c r="C89" s="2" t="s">
        <v>42</v>
      </c>
      <c r="D89" s="61">
        <v>2.5193287037037037E-3</v>
      </c>
      <c r="E89" s="49">
        <v>217.67</v>
      </c>
      <c r="F89" s="49">
        <v>328</v>
      </c>
      <c r="G89" s="50">
        <v>5.96</v>
      </c>
      <c r="H89" s="49">
        <v>25.3</v>
      </c>
      <c r="I89" s="50">
        <v>0</v>
      </c>
      <c r="J89" s="49">
        <v>17.600000000000001</v>
      </c>
      <c r="K89" s="50">
        <v>6</v>
      </c>
      <c r="L89" s="50">
        <v>6</v>
      </c>
      <c r="M89" s="50">
        <v>7</v>
      </c>
      <c r="N89" s="50">
        <v>2</v>
      </c>
      <c r="O89" s="50">
        <v>3</v>
      </c>
      <c r="P89" s="50">
        <v>0.48499999999999999</v>
      </c>
      <c r="Q89" s="49">
        <v>1.0349999999999999</v>
      </c>
      <c r="R89" s="50">
        <v>0.52500000000000002</v>
      </c>
      <c r="S89" s="49">
        <v>0.16700000000000001</v>
      </c>
      <c r="T89" s="49">
        <v>63.63</v>
      </c>
      <c r="U89" s="49">
        <v>60.412999999999997</v>
      </c>
      <c r="V89" s="49">
        <v>228.34</v>
      </c>
      <c r="W89" s="49">
        <v>253.34</v>
      </c>
      <c r="X89" s="49">
        <v>152.5</v>
      </c>
      <c r="Y89" s="49">
        <v>200</v>
      </c>
      <c r="Z89" s="49">
        <v>378.25</v>
      </c>
      <c r="AA89" s="49">
        <v>405.65</v>
      </c>
      <c r="AB89" s="49">
        <v>273.27</v>
      </c>
      <c r="AC89" s="49">
        <v>344.6</v>
      </c>
      <c r="AD89" s="49">
        <v>1.8169999999999999</v>
      </c>
      <c r="AE89" s="49">
        <v>1.8260000000000001</v>
      </c>
      <c r="AF89" s="49">
        <v>1.8149999999999999</v>
      </c>
      <c r="AG89" s="49">
        <v>1.8420000000000001</v>
      </c>
      <c r="AH89" s="49">
        <v>75.290000000000006</v>
      </c>
      <c r="AI89" s="49">
        <v>66.900000000000006</v>
      </c>
      <c r="AJ89" s="49">
        <v>97.17</v>
      </c>
      <c r="AK89" s="49">
        <v>95.71</v>
      </c>
      <c r="AL89" s="49">
        <v>664.58299999999997</v>
      </c>
      <c r="AM89" s="49">
        <v>670.80499999999995</v>
      </c>
      <c r="AN89" s="49">
        <v>830.21900000000005</v>
      </c>
      <c r="AO89" s="49">
        <v>804.73599999999999</v>
      </c>
      <c r="AP89" s="49">
        <v>1.4239999999999999</v>
      </c>
      <c r="AQ89" s="49">
        <v>1.8939999999999999</v>
      </c>
      <c r="AR89" s="49">
        <v>41.542000000000002</v>
      </c>
      <c r="AS89" s="49">
        <v>38.468000000000004</v>
      </c>
      <c r="AT89" s="49">
        <v>82</v>
      </c>
      <c r="AU89" s="49">
        <v>117</v>
      </c>
      <c r="AV89" s="49">
        <v>1.6445000000000001</v>
      </c>
      <c r="AW89" s="49">
        <v>4.8011999999999997</v>
      </c>
      <c r="AX89" s="49">
        <v>1018.8</v>
      </c>
      <c r="AY89" s="49">
        <v>2.4300000000000002</v>
      </c>
      <c r="AZ89" s="50">
        <v>5.5</v>
      </c>
      <c r="BA89" s="49">
        <v>134.56100000000001</v>
      </c>
      <c r="BB89" s="49">
        <v>132.79400000000001</v>
      </c>
      <c r="BC89" s="49">
        <v>7746</v>
      </c>
      <c r="BD89" s="49">
        <v>88.75</v>
      </c>
      <c r="BE89" s="50">
        <v>17.77</v>
      </c>
      <c r="BF89" s="49">
        <v>13.445</v>
      </c>
      <c r="BG89" s="50">
        <v>29.62</v>
      </c>
      <c r="BH89" s="49">
        <v>28.21</v>
      </c>
      <c r="BI89" s="3"/>
      <c r="BJ89" s="3"/>
      <c r="BK89" s="3"/>
      <c r="BL89" s="3"/>
      <c r="BM89" s="3"/>
      <c r="BN89" s="49">
        <v>98.903999999999996</v>
      </c>
      <c r="BO89" s="49">
        <v>99.575999999999993</v>
      </c>
      <c r="BP89" s="49">
        <v>116.42400000000001</v>
      </c>
      <c r="BQ89" s="49">
        <v>121.11199999999999</v>
      </c>
      <c r="BR89" s="3"/>
      <c r="BS89" s="49">
        <v>25.1</v>
      </c>
      <c r="BT89" s="50">
        <v>7454.5680000000002</v>
      </c>
      <c r="BU89" s="49">
        <v>51.231999999999999</v>
      </c>
      <c r="BV89" s="49">
        <v>53.42</v>
      </c>
      <c r="BW89" s="49">
        <v>55.561999999999998</v>
      </c>
      <c r="BX89" s="50">
        <v>57.28</v>
      </c>
      <c r="BY89" s="49">
        <v>1.4710000000000001</v>
      </c>
      <c r="BZ89" s="49">
        <v>2.5880000000000001</v>
      </c>
      <c r="CA89" s="49">
        <v>3.34</v>
      </c>
      <c r="CB89" s="49">
        <v>3.04</v>
      </c>
      <c r="CC89" s="49">
        <v>1.1339999999999999</v>
      </c>
      <c r="CD89" s="50">
        <v>2.3959999999999999</v>
      </c>
      <c r="CE89" s="49">
        <v>1.3149999999999999</v>
      </c>
      <c r="CF89" s="49">
        <v>2.133</v>
      </c>
      <c r="CG89" s="50">
        <v>13.736000000000001</v>
      </c>
      <c r="CH89" s="49">
        <v>13.553000000000001</v>
      </c>
      <c r="CI89" s="49">
        <v>4.7960000000000003</v>
      </c>
      <c r="CJ89" s="50">
        <v>3.718</v>
      </c>
      <c r="CK89" s="49">
        <v>1.548</v>
      </c>
      <c r="CL89" s="49">
        <v>0.1</v>
      </c>
      <c r="CM89" s="49">
        <v>0.6</v>
      </c>
      <c r="CN89" s="50">
        <v>0</v>
      </c>
      <c r="CO89" s="50">
        <v>0</v>
      </c>
      <c r="CP89" s="49">
        <v>94.066000000000003</v>
      </c>
      <c r="CQ89" s="49">
        <v>96</v>
      </c>
      <c r="CR89" s="49">
        <v>106.97799999999999</v>
      </c>
      <c r="CS89" s="49">
        <v>114.32</v>
      </c>
      <c r="CT89" s="49">
        <v>0.32800000000000001</v>
      </c>
      <c r="CU89" s="49">
        <v>0.6</v>
      </c>
      <c r="CV89" s="49">
        <v>1.198</v>
      </c>
      <c r="CW89" s="49">
        <v>1.1020000000000001</v>
      </c>
      <c r="CX89" s="49">
        <v>1.6020000000000001</v>
      </c>
      <c r="CY89" s="49">
        <v>0.3</v>
      </c>
      <c r="CZ89" s="49">
        <v>1.403</v>
      </c>
      <c r="DA89" s="49">
        <v>0.89700000000000002</v>
      </c>
      <c r="DB89" s="49">
        <v>1.3979999999999999</v>
      </c>
      <c r="DC89" s="50">
        <v>0</v>
      </c>
      <c r="DD89" s="50">
        <v>0</v>
      </c>
      <c r="DE89" s="49">
        <v>0.183</v>
      </c>
      <c r="DF89" s="49">
        <v>5.2999999999999999E-2</v>
      </c>
      <c r="DG89" s="49">
        <v>0.65800000000000003</v>
      </c>
      <c r="DH89" s="49">
        <v>1.79</v>
      </c>
      <c r="DI89" s="49">
        <v>0.70299999999999996</v>
      </c>
      <c r="DJ89" s="49">
        <v>9.2999999999999999E-2</v>
      </c>
      <c r="DK89" s="49">
        <v>0.69599999999999995</v>
      </c>
      <c r="DL89" s="50">
        <v>0.41499999999999998</v>
      </c>
      <c r="DM89" s="49">
        <v>0.46300000000000002</v>
      </c>
      <c r="DN89" s="50">
        <v>0.64300000000000002</v>
      </c>
      <c r="DO89" s="49">
        <v>0.36699999999999999</v>
      </c>
      <c r="DP89" s="49">
        <v>65.436000000000007</v>
      </c>
      <c r="DQ89" s="49">
        <v>60.472000000000001</v>
      </c>
      <c r="DR89" s="49">
        <v>53.27</v>
      </c>
      <c r="DS89" s="49">
        <v>51.088999999999999</v>
      </c>
      <c r="DT89" s="49">
        <v>6.24</v>
      </c>
      <c r="DU89" s="49">
        <v>6.18</v>
      </c>
      <c r="DV89" s="49">
        <v>11.57</v>
      </c>
      <c r="DW89" s="50">
        <v>8.94</v>
      </c>
      <c r="DX89" s="49">
        <v>6.61</v>
      </c>
      <c r="DY89" s="49">
        <v>6.41</v>
      </c>
      <c r="DZ89" s="49">
        <v>11.19</v>
      </c>
      <c r="EA89" s="50">
        <v>8.7200000000000006</v>
      </c>
      <c r="EB89" s="49">
        <v>42.06</v>
      </c>
      <c r="EC89" s="50">
        <v>41.72</v>
      </c>
      <c r="ED89" s="50">
        <v>35.130000000000003</v>
      </c>
      <c r="EE89" s="49">
        <v>37.43</v>
      </c>
      <c r="EF89" s="49">
        <v>45.09</v>
      </c>
      <c r="EG89" s="49">
        <v>45.69</v>
      </c>
      <c r="EH89" s="49">
        <v>42.11</v>
      </c>
      <c r="EI89" s="49">
        <v>44.91</v>
      </c>
      <c r="EJ89" s="49">
        <v>6.7839999999999998</v>
      </c>
      <c r="EK89" s="50">
        <v>62.843000000000004</v>
      </c>
      <c r="EL89" s="49">
        <v>2.2000000000000002</v>
      </c>
      <c r="EM89" s="50">
        <v>1.8</v>
      </c>
      <c r="EN89" s="49">
        <v>1.2</v>
      </c>
      <c r="EO89" s="49">
        <v>1.21</v>
      </c>
      <c r="EP89" s="49">
        <v>-105.054</v>
      </c>
      <c r="EQ89" s="49">
        <v>-3.3410000000000002</v>
      </c>
      <c r="ER89" s="49">
        <v>82.41</v>
      </c>
      <c r="ES89" s="50">
        <v>1.52</v>
      </c>
      <c r="ET89" s="49">
        <v>1.6120000000000001</v>
      </c>
      <c r="EU89" s="50">
        <v>1.456</v>
      </c>
      <c r="EV89" s="50">
        <v>7.9749999999999996</v>
      </c>
      <c r="EW89" s="50">
        <v>3.097</v>
      </c>
      <c r="EX89" s="50">
        <v>73.08</v>
      </c>
      <c r="EY89" s="49">
        <v>0</v>
      </c>
      <c r="EZ89" s="50">
        <v>1.39</v>
      </c>
      <c r="FA89" s="50">
        <v>0</v>
      </c>
      <c r="FB89" s="49">
        <v>9</v>
      </c>
      <c r="FC89" s="49">
        <v>66.594999999999999</v>
      </c>
      <c r="FD89" s="49">
        <v>61.45</v>
      </c>
      <c r="FE89" s="49">
        <v>74</v>
      </c>
      <c r="FF89" s="49">
        <v>73.507000000000005</v>
      </c>
      <c r="FG89" s="49">
        <v>0.91700000000000004</v>
      </c>
      <c r="FH89" s="49">
        <v>0.91800000000000004</v>
      </c>
      <c r="FI89" s="49">
        <v>0.996</v>
      </c>
      <c r="FJ89" s="49">
        <v>0.998</v>
      </c>
      <c r="FK89" s="49">
        <v>0</v>
      </c>
      <c r="FL89" s="49">
        <v>83</v>
      </c>
      <c r="FM89" s="49">
        <v>3.76</v>
      </c>
      <c r="FN89" s="49">
        <v>-0.22</v>
      </c>
      <c r="FO89" s="49">
        <v>5.31</v>
      </c>
      <c r="FP89" s="3"/>
      <c r="FQ89" s="49">
        <v>4.55</v>
      </c>
      <c r="FR89" s="49">
        <v>4.95</v>
      </c>
      <c r="FS89" s="49">
        <v>6.6245000000000003</v>
      </c>
      <c r="FT89" s="50">
        <v>1078.9000000000001</v>
      </c>
      <c r="FU89" s="49">
        <v>5.92</v>
      </c>
      <c r="FV89" s="49">
        <v>11.69</v>
      </c>
      <c r="FW89" s="50">
        <v>3213.5</v>
      </c>
      <c r="FX89" s="49">
        <v>162700</v>
      </c>
      <c r="FY89" s="49">
        <v>163800</v>
      </c>
      <c r="FZ89" s="49">
        <v>47.283000000000001</v>
      </c>
      <c r="GA89" s="49">
        <v>47.927</v>
      </c>
      <c r="GB89" s="49">
        <v>2142.5</v>
      </c>
      <c r="GC89" s="49">
        <v>2137.4</v>
      </c>
      <c r="GD89" s="49">
        <v>2187.5</v>
      </c>
      <c r="GE89" s="49">
        <v>2170.5</v>
      </c>
      <c r="GF89" s="49">
        <v>1479.4688000000001</v>
      </c>
      <c r="GG89" s="49">
        <v>28</v>
      </c>
      <c r="GH89" s="49">
        <v>27.6</v>
      </c>
      <c r="GI89" s="49">
        <v>45.8</v>
      </c>
      <c r="GJ89" s="49">
        <v>51.2</v>
      </c>
      <c r="GK89" s="49">
        <v>99.5</v>
      </c>
      <c r="GL89" s="49">
        <v>109.1</v>
      </c>
      <c r="GM89" s="50">
        <v>0</v>
      </c>
      <c r="GN89" s="49">
        <v>25.087</v>
      </c>
      <c r="GO89" s="49">
        <v>105.054</v>
      </c>
      <c r="GP89" s="49">
        <v>0.94399999999999995</v>
      </c>
      <c r="GQ89" s="49">
        <v>1.829</v>
      </c>
      <c r="GR89" s="49">
        <v>1.2390000000000001</v>
      </c>
      <c r="GS89" s="49">
        <v>1.9470000000000001</v>
      </c>
      <c r="GT89" s="49">
        <v>0.76700000000000002</v>
      </c>
      <c r="GU89" s="49">
        <v>1.829</v>
      </c>
      <c r="GV89" s="49">
        <v>12.348000000000001</v>
      </c>
      <c r="GW89" s="49">
        <v>13.778</v>
      </c>
      <c r="GX89" s="49">
        <v>15.19</v>
      </c>
      <c r="GY89" s="50">
        <v>0</v>
      </c>
      <c r="GZ89" s="49">
        <v>0</v>
      </c>
      <c r="HA89" s="49">
        <v>0</v>
      </c>
      <c r="HB89" s="49">
        <v>0</v>
      </c>
      <c r="HC89" s="49">
        <v>36.371000000000002</v>
      </c>
      <c r="HD89" s="49">
        <v>82</v>
      </c>
      <c r="HE89" s="50">
        <v>0</v>
      </c>
      <c r="HF89" s="50">
        <v>0</v>
      </c>
      <c r="HG89" s="49">
        <v>73.91</v>
      </c>
      <c r="HH89" s="49">
        <v>80.63</v>
      </c>
      <c r="HI89" s="50">
        <v>0</v>
      </c>
      <c r="HJ89" s="50">
        <v>0</v>
      </c>
      <c r="HK89" s="50">
        <v>0</v>
      </c>
      <c r="HL89" s="49">
        <v>57</v>
      </c>
      <c r="HM89" s="49">
        <v>49</v>
      </c>
      <c r="HN89" s="49">
        <v>62</v>
      </c>
      <c r="HO89" s="49">
        <v>56</v>
      </c>
      <c r="HP89" s="49">
        <v>59</v>
      </c>
      <c r="HQ89" s="49">
        <v>57</v>
      </c>
      <c r="HR89" s="49">
        <v>50</v>
      </c>
      <c r="HS89" s="49">
        <v>70</v>
      </c>
      <c r="HT89" s="49">
        <v>-1.4155</v>
      </c>
      <c r="HU89" s="50">
        <v>0</v>
      </c>
      <c r="HV89" s="49">
        <v>0.65400000000000003</v>
      </c>
      <c r="HW89" s="50">
        <v>37.17</v>
      </c>
      <c r="HX89" s="49">
        <v>49.07</v>
      </c>
      <c r="HY89" s="49">
        <v>52.49</v>
      </c>
      <c r="HZ89" s="49">
        <v>52.49</v>
      </c>
      <c r="IA89" s="49">
        <v>2.4980000000000002</v>
      </c>
      <c r="IB89" s="50">
        <v>103</v>
      </c>
      <c r="IC89" s="49">
        <v>22.029</v>
      </c>
      <c r="ID89" s="49">
        <v>-0.39600000000000002</v>
      </c>
      <c r="IE89" s="49">
        <v>-0.23100000000000001</v>
      </c>
      <c r="IF89" s="50">
        <v>830.6</v>
      </c>
      <c r="IG89" s="50">
        <v>761.2</v>
      </c>
      <c r="IH89" s="49">
        <v>825</v>
      </c>
      <c r="II89" s="50">
        <v>770.5</v>
      </c>
      <c r="IJ89" s="49">
        <v>-3.1E-2</v>
      </c>
      <c r="IK89" s="49">
        <v>4.8000000000000001E-2</v>
      </c>
      <c r="IL89" s="49">
        <v>76.902000000000001</v>
      </c>
      <c r="IM89" s="49">
        <v>76.902000000000001</v>
      </c>
      <c r="IN89" s="49">
        <v>9.7200000000000006</v>
      </c>
      <c r="IO89" s="50">
        <v>0.39500000000000002</v>
      </c>
      <c r="IP89" s="49">
        <v>9.5</v>
      </c>
      <c r="IQ89" s="49">
        <v>5.0000000000000001E-3</v>
      </c>
      <c r="IR89" s="50">
        <v>7.0000000000000001E-3</v>
      </c>
      <c r="IS89">
        <v>0.53300000000000025</v>
      </c>
      <c r="IT89">
        <v>0.32100000000000017</v>
      </c>
    </row>
    <row r="90" spans="1:254" x14ac:dyDescent="0.25">
      <c r="B90" s="2" t="s">
        <v>412</v>
      </c>
      <c r="C90" s="2" t="s">
        <v>43</v>
      </c>
      <c r="D90" s="61">
        <v>2.5099537037037035E-3</v>
      </c>
      <c r="E90" s="49">
        <v>216.86</v>
      </c>
      <c r="F90" s="49">
        <v>331.06</v>
      </c>
      <c r="G90" s="49">
        <v>5.91</v>
      </c>
      <c r="H90" s="49">
        <v>25.6</v>
      </c>
      <c r="I90" s="50">
        <v>0</v>
      </c>
      <c r="J90" s="49">
        <v>18.100000000000001</v>
      </c>
      <c r="K90" s="50">
        <v>6</v>
      </c>
      <c r="L90" s="50">
        <v>6</v>
      </c>
      <c r="M90" s="50">
        <v>7</v>
      </c>
      <c r="N90" s="50">
        <v>2</v>
      </c>
      <c r="O90" s="50">
        <v>3</v>
      </c>
      <c r="P90" s="49">
        <v>0.39600000000000002</v>
      </c>
      <c r="Q90" s="49">
        <v>0.89500000000000002</v>
      </c>
      <c r="R90" s="49">
        <v>0.29499999999999998</v>
      </c>
      <c r="S90" s="49">
        <v>0.17399999999999999</v>
      </c>
      <c r="T90" s="49">
        <v>72.66</v>
      </c>
      <c r="U90" s="49">
        <v>60.43</v>
      </c>
      <c r="V90" s="49">
        <v>230</v>
      </c>
      <c r="W90" s="49">
        <v>260</v>
      </c>
      <c r="X90" s="49">
        <v>165</v>
      </c>
      <c r="Y90" s="49">
        <v>213.34</v>
      </c>
      <c r="Z90" s="50">
        <v>382.41</v>
      </c>
      <c r="AA90" s="50">
        <v>409.94</v>
      </c>
      <c r="AB90" s="50">
        <v>285.05</v>
      </c>
      <c r="AC90" s="50">
        <v>357.48</v>
      </c>
      <c r="AD90" s="49">
        <v>1.835</v>
      </c>
      <c r="AE90" s="49">
        <v>1.8420000000000001</v>
      </c>
      <c r="AF90" s="49">
        <v>1.851</v>
      </c>
      <c r="AG90" s="49">
        <v>1.8779999999999999</v>
      </c>
      <c r="AH90" s="49">
        <v>78.959999999999994</v>
      </c>
      <c r="AI90" s="49">
        <v>68.819999999999993</v>
      </c>
      <c r="AJ90" s="49">
        <v>102.52</v>
      </c>
      <c r="AK90" s="49">
        <v>100.94</v>
      </c>
      <c r="AL90" s="49">
        <v>649.79600000000005</v>
      </c>
      <c r="AM90" s="49">
        <v>664.173</v>
      </c>
      <c r="AN90" s="49">
        <v>813.44399999999996</v>
      </c>
      <c r="AO90" s="49">
        <v>796.59100000000001</v>
      </c>
      <c r="AP90" s="49">
        <v>1.4019999999999999</v>
      </c>
      <c r="AQ90" s="49">
        <v>1.89</v>
      </c>
      <c r="AR90" s="49">
        <v>42.082999999999998</v>
      </c>
      <c r="AS90" s="49">
        <v>39.183999999999997</v>
      </c>
      <c r="AT90" s="49">
        <v>83</v>
      </c>
      <c r="AU90" s="49">
        <v>119</v>
      </c>
      <c r="AV90" s="49">
        <v>1.7430000000000001</v>
      </c>
      <c r="AW90" s="50">
        <v>4.8494000000000002</v>
      </c>
      <c r="AX90" s="49">
        <v>1016.1</v>
      </c>
      <c r="AY90" s="49">
        <v>2.4</v>
      </c>
      <c r="AZ90" s="49">
        <v>5.71</v>
      </c>
      <c r="BA90" s="49">
        <v>100.06699999999999</v>
      </c>
      <c r="BB90" s="49">
        <v>99.566999999999993</v>
      </c>
      <c r="BC90" s="49">
        <v>7685</v>
      </c>
      <c r="BD90" s="49">
        <v>87.5</v>
      </c>
      <c r="BE90" s="49">
        <v>17.254999999999999</v>
      </c>
      <c r="BF90" s="49">
        <v>13.395</v>
      </c>
      <c r="BG90" s="49">
        <v>29.48</v>
      </c>
      <c r="BH90" s="49">
        <v>27.97</v>
      </c>
      <c r="BI90" s="3"/>
      <c r="BJ90" s="3"/>
      <c r="BK90" s="3"/>
      <c r="BL90" s="3"/>
      <c r="BM90" s="3"/>
      <c r="BN90" s="49">
        <v>99.944000000000003</v>
      </c>
      <c r="BO90" s="49">
        <v>102.52</v>
      </c>
      <c r="BP90" s="49">
        <v>121.752</v>
      </c>
      <c r="BQ90" s="49">
        <v>126.712</v>
      </c>
      <c r="BR90" s="3"/>
      <c r="BS90" s="49">
        <v>25.3</v>
      </c>
      <c r="BT90" s="49">
        <v>7414.8649999999998</v>
      </c>
      <c r="BU90" s="49">
        <v>51.326999999999998</v>
      </c>
      <c r="BV90" s="49">
        <v>53.289000000000001</v>
      </c>
      <c r="BW90" s="49">
        <v>55.697000000000003</v>
      </c>
      <c r="BX90" s="49">
        <v>56.863999999999997</v>
      </c>
      <c r="BY90" s="49">
        <v>1.3919999999999999</v>
      </c>
      <c r="BZ90" s="49">
        <v>2.7170000000000001</v>
      </c>
      <c r="CA90" s="49">
        <v>3.4420000000000002</v>
      </c>
      <c r="CB90" s="49">
        <v>3.0070000000000001</v>
      </c>
      <c r="CC90" s="49">
        <v>1.022</v>
      </c>
      <c r="CD90" s="49">
        <v>2.3290000000000002</v>
      </c>
      <c r="CE90" s="49">
        <v>1.3069999999999999</v>
      </c>
      <c r="CF90" s="49">
        <v>2.1150000000000002</v>
      </c>
      <c r="CG90" s="49">
        <v>13.734</v>
      </c>
      <c r="CH90" s="49">
        <v>13.557</v>
      </c>
      <c r="CI90" s="49">
        <v>4.7279999999999998</v>
      </c>
      <c r="CJ90" s="49">
        <v>3.7160000000000002</v>
      </c>
      <c r="CK90" s="50">
        <v>1.611</v>
      </c>
      <c r="CL90" s="50">
        <v>0.4</v>
      </c>
      <c r="CM90" s="49">
        <v>0.6</v>
      </c>
      <c r="CN90" s="50">
        <v>0</v>
      </c>
      <c r="CO90" s="50">
        <v>0</v>
      </c>
      <c r="CP90" s="49">
        <v>95.63</v>
      </c>
      <c r="CQ90" s="49">
        <v>98.686000000000007</v>
      </c>
      <c r="CR90" s="49">
        <v>114.602</v>
      </c>
      <c r="CS90" s="49">
        <v>120.753</v>
      </c>
      <c r="CT90" s="50">
        <v>0.38200000000000001</v>
      </c>
      <c r="CU90" s="49">
        <v>0.60099999999999998</v>
      </c>
      <c r="CV90" s="49">
        <v>1.5940000000000001</v>
      </c>
      <c r="CW90" s="49">
        <v>0.999</v>
      </c>
      <c r="CX90" s="50">
        <v>1.9</v>
      </c>
      <c r="CY90" s="49">
        <v>0.89700000000000002</v>
      </c>
      <c r="CZ90" s="49">
        <v>1.2010000000000001</v>
      </c>
      <c r="DA90" s="49">
        <v>0.4</v>
      </c>
      <c r="DB90" s="49">
        <v>1.198</v>
      </c>
      <c r="DC90" s="50">
        <v>0</v>
      </c>
      <c r="DD90" s="50">
        <v>0</v>
      </c>
      <c r="DE90" s="49">
        <v>0.17100000000000001</v>
      </c>
      <c r="DF90" s="49">
        <v>0.06</v>
      </c>
      <c r="DG90" s="49">
        <v>0.52200000000000002</v>
      </c>
      <c r="DH90" s="50">
        <v>1.8360000000000001</v>
      </c>
      <c r="DI90" s="49">
        <v>0.64800000000000002</v>
      </c>
      <c r="DJ90" s="49">
        <v>6.5000000000000002E-2</v>
      </c>
      <c r="DK90" s="49">
        <v>0.70499999999999996</v>
      </c>
      <c r="DL90" s="49">
        <v>0.41199999999999998</v>
      </c>
      <c r="DM90" s="49">
        <v>0.48299999999999998</v>
      </c>
      <c r="DN90" s="49">
        <v>0.48799999999999999</v>
      </c>
      <c r="DO90" s="49">
        <v>0.86699999999999999</v>
      </c>
      <c r="DP90" s="49">
        <v>67.932000000000002</v>
      </c>
      <c r="DQ90" s="49">
        <v>60.893000000000001</v>
      </c>
      <c r="DR90" s="50">
        <v>55.106999999999999</v>
      </c>
      <c r="DS90" s="49">
        <v>52.38</v>
      </c>
      <c r="DT90" s="49">
        <v>6.07</v>
      </c>
      <c r="DU90" s="49">
        <v>6.13</v>
      </c>
      <c r="DV90" s="49">
        <v>11.49</v>
      </c>
      <c r="DW90" s="49">
        <v>8.66</v>
      </c>
      <c r="DX90" s="49">
        <v>6.67</v>
      </c>
      <c r="DY90" s="49">
        <v>6.32</v>
      </c>
      <c r="DZ90" s="49">
        <v>11.24</v>
      </c>
      <c r="EA90" s="49">
        <v>8.32</v>
      </c>
      <c r="EB90" s="50">
        <v>42.58</v>
      </c>
      <c r="EC90" s="49">
        <v>41.12</v>
      </c>
      <c r="ED90" s="50">
        <v>35.130000000000003</v>
      </c>
      <c r="EE90" s="50">
        <v>37.53</v>
      </c>
      <c r="EF90" s="49">
        <v>44.68</v>
      </c>
      <c r="EG90" s="49">
        <v>46.43</v>
      </c>
      <c r="EH90" s="49">
        <v>42.14</v>
      </c>
      <c r="EI90" s="49">
        <v>45.49</v>
      </c>
      <c r="EJ90" s="49">
        <v>6.5659999999999998</v>
      </c>
      <c r="EK90" s="49">
        <v>62.466000000000001</v>
      </c>
      <c r="EL90" s="49">
        <v>2.25</v>
      </c>
      <c r="EM90" s="49">
        <v>1.85</v>
      </c>
      <c r="EN90" s="49">
        <v>1.2</v>
      </c>
      <c r="EO90" s="49">
        <v>1.21</v>
      </c>
      <c r="EP90" s="49">
        <v>-106.22199999999999</v>
      </c>
      <c r="EQ90" s="49">
        <v>-3.0760000000000001</v>
      </c>
      <c r="ER90" s="49">
        <v>96.426000000000002</v>
      </c>
      <c r="ES90" s="49">
        <v>1.4830000000000001</v>
      </c>
      <c r="ET90" s="49">
        <v>1.6160000000000001</v>
      </c>
      <c r="EU90" s="49">
        <v>1.4259999999999999</v>
      </c>
      <c r="EV90" s="49">
        <v>7.6040000000000001</v>
      </c>
      <c r="EW90" s="49">
        <v>2.8559999999999999</v>
      </c>
      <c r="EX90" s="49">
        <v>72.36</v>
      </c>
      <c r="EY90" s="49">
        <v>0</v>
      </c>
      <c r="EZ90" s="49">
        <v>6.0999999999999999E-2</v>
      </c>
      <c r="FA90" s="50">
        <v>0</v>
      </c>
      <c r="FB90" s="49">
        <v>8.9879999999999995</v>
      </c>
      <c r="FC90" s="49">
        <v>68.864000000000004</v>
      </c>
      <c r="FD90" s="49">
        <v>63.499000000000002</v>
      </c>
      <c r="FE90" s="49">
        <v>78.197000000000003</v>
      </c>
      <c r="FF90" s="49">
        <v>77.284000000000006</v>
      </c>
      <c r="FG90" s="49">
        <v>0.91400000000000003</v>
      </c>
      <c r="FH90" s="49">
        <v>0.91400000000000003</v>
      </c>
      <c r="FI90" s="49">
        <v>0.995</v>
      </c>
      <c r="FJ90" s="49">
        <v>0.997</v>
      </c>
      <c r="FK90" s="49">
        <v>0</v>
      </c>
      <c r="FL90" s="49">
        <v>83</v>
      </c>
      <c r="FM90" s="49">
        <v>3.73</v>
      </c>
      <c r="FN90" s="50">
        <v>-0.63</v>
      </c>
      <c r="FO90" s="49">
        <v>5.39</v>
      </c>
      <c r="FP90" s="3"/>
      <c r="FQ90" s="49">
        <v>4.55</v>
      </c>
      <c r="FR90" s="50">
        <v>4.75</v>
      </c>
      <c r="FS90" s="50">
        <v>6.6820000000000004</v>
      </c>
      <c r="FT90" s="49">
        <v>1069.8</v>
      </c>
      <c r="FU90" s="49">
        <v>6.33</v>
      </c>
      <c r="FV90" s="49">
        <v>17.61</v>
      </c>
      <c r="FW90" s="49">
        <v>3049.5</v>
      </c>
      <c r="FX90" s="49">
        <v>163000</v>
      </c>
      <c r="FY90" s="49">
        <v>164800</v>
      </c>
      <c r="FZ90" s="49">
        <v>47.055</v>
      </c>
      <c r="GA90" s="49">
        <v>47.64</v>
      </c>
      <c r="GB90" s="49">
        <v>2135.6</v>
      </c>
      <c r="GC90" s="50">
        <v>2352.4</v>
      </c>
      <c r="GD90" s="50">
        <v>2258.1999999999998</v>
      </c>
      <c r="GE90" s="50">
        <v>2352.4</v>
      </c>
      <c r="GF90" s="49">
        <v>1472.7969000000001</v>
      </c>
      <c r="GG90" s="49">
        <v>28</v>
      </c>
      <c r="GH90" s="49">
        <v>28.1</v>
      </c>
      <c r="GI90" s="49">
        <v>45.2</v>
      </c>
      <c r="GJ90" s="49">
        <v>50</v>
      </c>
      <c r="GK90" s="49">
        <v>99.5</v>
      </c>
      <c r="GL90" s="49">
        <v>112.6</v>
      </c>
      <c r="GM90" s="50">
        <v>0</v>
      </c>
      <c r="GN90" s="50">
        <v>25.27</v>
      </c>
      <c r="GO90" s="49">
        <v>106.22199999999999</v>
      </c>
      <c r="GP90" s="49">
        <v>0.76700000000000002</v>
      </c>
      <c r="GQ90" s="49">
        <v>1.829</v>
      </c>
      <c r="GR90" s="49">
        <v>1.2390000000000001</v>
      </c>
      <c r="GS90" s="49">
        <v>1.9470000000000001</v>
      </c>
      <c r="GT90" s="49">
        <v>0.76700000000000002</v>
      </c>
      <c r="GU90" s="49">
        <v>1.829</v>
      </c>
      <c r="GV90" s="49">
        <v>12.74</v>
      </c>
      <c r="GW90" s="49">
        <v>13.787000000000001</v>
      </c>
      <c r="GX90" s="49">
        <v>14.896000000000001</v>
      </c>
      <c r="GY90" s="50">
        <v>0</v>
      </c>
      <c r="GZ90" s="49">
        <v>0</v>
      </c>
      <c r="HA90" s="49">
        <v>0</v>
      </c>
      <c r="HB90" s="49">
        <v>0</v>
      </c>
      <c r="HC90" s="49">
        <v>36.348999999999997</v>
      </c>
      <c r="HD90" s="49">
        <v>78</v>
      </c>
      <c r="HE90" s="50">
        <v>0</v>
      </c>
      <c r="HF90" s="50">
        <v>0</v>
      </c>
      <c r="HG90" s="49">
        <v>72.31</v>
      </c>
      <c r="HH90" s="49">
        <v>80.55</v>
      </c>
      <c r="HI90" s="50">
        <v>0</v>
      </c>
      <c r="HJ90" s="50">
        <v>0</v>
      </c>
      <c r="HK90" s="50">
        <v>0</v>
      </c>
      <c r="HL90" s="49">
        <v>57</v>
      </c>
      <c r="HM90" s="49">
        <v>49</v>
      </c>
      <c r="HN90" s="49">
        <v>63</v>
      </c>
      <c r="HO90" s="49">
        <v>57</v>
      </c>
      <c r="HP90" s="49">
        <v>60</v>
      </c>
      <c r="HQ90" s="49">
        <v>58</v>
      </c>
      <c r="HR90" s="49">
        <v>51</v>
      </c>
      <c r="HS90" s="49">
        <v>70</v>
      </c>
      <c r="HT90" s="50">
        <v>-1.4315</v>
      </c>
      <c r="HU90" s="50">
        <v>0</v>
      </c>
      <c r="HV90" s="50">
        <v>0.73699999999999999</v>
      </c>
      <c r="HW90" s="50">
        <v>37.17</v>
      </c>
      <c r="HX90" s="49">
        <v>51.76</v>
      </c>
      <c r="HY90" s="49">
        <v>52.13</v>
      </c>
      <c r="HZ90" s="49">
        <v>52.13</v>
      </c>
      <c r="IA90" s="49">
        <v>2.7130000000000001</v>
      </c>
      <c r="IB90" s="50">
        <v>103</v>
      </c>
      <c r="IC90" s="50">
        <v>22.186</v>
      </c>
      <c r="ID90" s="49">
        <v>-0.42099999999999999</v>
      </c>
      <c r="IE90" s="49">
        <v>-0.23400000000000001</v>
      </c>
      <c r="IF90" s="49">
        <v>820.1</v>
      </c>
      <c r="IG90" s="49">
        <v>759.7</v>
      </c>
      <c r="IH90" s="50">
        <v>830.7</v>
      </c>
      <c r="II90" s="50">
        <v>770.5</v>
      </c>
      <c r="IJ90" s="49">
        <v>-3.3000000000000002E-2</v>
      </c>
      <c r="IK90" s="50">
        <v>5.7000000000000002E-2</v>
      </c>
      <c r="IL90" s="49">
        <v>76.620999999999995</v>
      </c>
      <c r="IM90" s="49">
        <v>76.620999999999995</v>
      </c>
      <c r="IN90" s="49">
        <v>11.426</v>
      </c>
      <c r="IO90" s="49">
        <v>0.35099999999999998</v>
      </c>
      <c r="IP90" s="49">
        <v>9.3800000000000008</v>
      </c>
      <c r="IQ90" s="49">
        <v>4.0000000000000001E-3</v>
      </c>
      <c r="IR90" s="49">
        <v>1E-3</v>
      </c>
      <c r="IS90">
        <v>0.53700000000000025</v>
      </c>
      <c r="IT90">
        <v>0.32200000000000017</v>
      </c>
    </row>
    <row r="91" spans="1:254" x14ac:dyDescent="0.25">
      <c r="B91" s="2" t="s">
        <v>412</v>
      </c>
      <c r="C91" s="62" t="s">
        <v>44</v>
      </c>
      <c r="D91" s="63">
        <v>2.5057870370370368E-3</v>
      </c>
      <c r="E91" s="49">
        <v>216.5</v>
      </c>
      <c r="F91" s="50">
        <v>331.68</v>
      </c>
      <c r="G91" s="49">
        <v>5.9</v>
      </c>
      <c r="H91" s="50">
        <v>25.7</v>
      </c>
      <c r="I91" s="50">
        <v>0</v>
      </c>
      <c r="J91" s="49">
        <v>16.8</v>
      </c>
      <c r="K91" s="50">
        <v>6</v>
      </c>
      <c r="L91" s="50">
        <v>6</v>
      </c>
      <c r="M91" s="50">
        <v>7</v>
      </c>
      <c r="N91" s="50">
        <v>2</v>
      </c>
      <c r="O91" s="50">
        <v>3</v>
      </c>
      <c r="P91" s="49">
        <v>0.38200000000000001</v>
      </c>
      <c r="Q91" s="49">
        <v>0.73099999999999998</v>
      </c>
      <c r="R91" s="49">
        <v>0.46200000000000002</v>
      </c>
      <c r="S91" s="49">
        <v>0.20100000000000001</v>
      </c>
      <c r="T91" s="49">
        <v>70.56</v>
      </c>
      <c r="U91" s="49">
        <v>60.451999999999998</v>
      </c>
      <c r="V91" s="49">
        <v>245</v>
      </c>
      <c r="W91" s="49">
        <v>278.33999999999997</v>
      </c>
      <c r="X91" s="49">
        <v>170</v>
      </c>
      <c r="Y91" s="49">
        <v>216.66</v>
      </c>
      <c r="Z91" s="49">
        <v>381.35</v>
      </c>
      <c r="AA91" s="49">
        <v>407.83</v>
      </c>
      <c r="AB91" s="49">
        <v>270.57</v>
      </c>
      <c r="AC91" s="49">
        <v>342.74</v>
      </c>
      <c r="AD91" s="49">
        <v>1.835</v>
      </c>
      <c r="AE91" s="49">
        <v>1.8440000000000001</v>
      </c>
      <c r="AF91" s="49">
        <v>1.8580000000000001</v>
      </c>
      <c r="AG91" s="49">
        <v>1.8779999999999999</v>
      </c>
      <c r="AH91" s="49">
        <v>78.61</v>
      </c>
      <c r="AI91" s="49">
        <v>68.77</v>
      </c>
      <c r="AJ91" s="49">
        <v>101.74</v>
      </c>
      <c r="AK91" s="49">
        <v>100.8</v>
      </c>
      <c r="AL91" s="49">
        <v>659.96</v>
      </c>
      <c r="AM91" s="49">
        <v>671.26199999999994</v>
      </c>
      <c r="AN91" s="50">
        <v>855.08600000000001</v>
      </c>
      <c r="AO91" s="49">
        <v>782.95399999999995</v>
      </c>
      <c r="AP91" s="49">
        <v>1.4039999999999999</v>
      </c>
      <c r="AQ91" s="49">
        <v>1.8759999999999999</v>
      </c>
      <c r="AR91" s="50">
        <v>42.274000000000001</v>
      </c>
      <c r="AS91" s="50">
        <v>39.247</v>
      </c>
      <c r="AT91" s="49">
        <v>83</v>
      </c>
      <c r="AU91" s="49">
        <v>119</v>
      </c>
      <c r="AV91" s="49">
        <v>1.6595</v>
      </c>
      <c r="AW91" s="49">
        <v>4.8063000000000002</v>
      </c>
      <c r="AX91" s="49">
        <v>1015.3</v>
      </c>
      <c r="AY91" s="49">
        <v>2.4300000000000002</v>
      </c>
      <c r="AZ91" s="49">
        <v>5.53</v>
      </c>
      <c r="BA91" s="49">
        <v>95.2</v>
      </c>
      <c r="BB91" s="49">
        <v>91.725999999999999</v>
      </c>
      <c r="BC91" s="50">
        <v>7860</v>
      </c>
      <c r="BD91" s="49">
        <v>88.75</v>
      </c>
      <c r="BE91" s="49">
        <v>15.93</v>
      </c>
      <c r="BF91" s="49">
        <v>14.9</v>
      </c>
      <c r="BG91" s="49">
        <v>28.46</v>
      </c>
      <c r="BH91" s="50">
        <v>31.4</v>
      </c>
      <c r="BI91" s="3"/>
      <c r="BJ91" s="3"/>
      <c r="BK91" s="3"/>
      <c r="BL91" s="3"/>
      <c r="BM91" s="3"/>
      <c r="BN91" s="49">
        <v>103.032</v>
      </c>
      <c r="BO91" s="49">
        <v>107.08</v>
      </c>
      <c r="BP91" s="49">
        <v>122.024</v>
      </c>
      <c r="BQ91" s="49">
        <v>126.88800000000001</v>
      </c>
      <c r="BR91" s="3"/>
      <c r="BS91" s="50">
        <v>25.5</v>
      </c>
      <c r="BT91" s="49">
        <v>7381.6769999999997</v>
      </c>
      <c r="BU91" s="49">
        <v>51.085000000000001</v>
      </c>
      <c r="BV91" s="49">
        <v>52.597999999999999</v>
      </c>
      <c r="BW91" s="49">
        <v>54.244</v>
      </c>
      <c r="BX91" s="49">
        <v>56.256999999999998</v>
      </c>
      <c r="BY91" s="49">
        <v>1.589</v>
      </c>
      <c r="BZ91" s="50">
        <v>2.9889999999999999</v>
      </c>
      <c r="CA91" s="50">
        <v>3.6190000000000002</v>
      </c>
      <c r="CB91" s="49">
        <v>3.137</v>
      </c>
      <c r="CC91" s="49">
        <v>0.81699999999999995</v>
      </c>
      <c r="CD91" s="49">
        <v>2.2349999999999999</v>
      </c>
      <c r="CE91" s="49">
        <v>1.3220000000000001</v>
      </c>
      <c r="CF91" s="49">
        <v>2.141</v>
      </c>
      <c r="CG91" s="49">
        <v>13.734</v>
      </c>
      <c r="CH91" s="49">
        <v>13.602</v>
      </c>
      <c r="CI91" s="49">
        <v>4.5720000000000001</v>
      </c>
      <c r="CJ91" s="49">
        <v>3.5019999999999998</v>
      </c>
      <c r="CK91" s="49">
        <v>1.603</v>
      </c>
      <c r="CL91" s="49">
        <v>0</v>
      </c>
      <c r="CM91" s="50">
        <v>2.8</v>
      </c>
      <c r="CN91" s="50">
        <v>0</v>
      </c>
      <c r="CO91" s="50">
        <v>0</v>
      </c>
      <c r="CP91" s="49">
        <v>96.852999999999994</v>
      </c>
      <c r="CQ91" s="49">
        <v>99.968999999999994</v>
      </c>
      <c r="CR91" s="49">
        <v>114.70399999999999</v>
      </c>
      <c r="CS91" s="49">
        <v>120.866</v>
      </c>
      <c r="CT91" s="49">
        <v>0.252</v>
      </c>
      <c r="CU91" s="50">
        <v>1.1040000000000001</v>
      </c>
      <c r="CV91" s="50">
        <v>2.101</v>
      </c>
      <c r="CW91" s="50">
        <v>1.4970000000000001</v>
      </c>
      <c r="CX91" s="49">
        <v>1.8</v>
      </c>
      <c r="CY91" s="50">
        <v>1.2050000000000001</v>
      </c>
      <c r="CZ91" s="49">
        <v>0.9</v>
      </c>
      <c r="DA91" s="50">
        <v>1.5</v>
      </c>
      <c r="DB91" s="50">
        <v>2.0979999999999999</v>
      </c>
      <c r="DC91" s="50">
        <v>0</v>
      </c>
      <c r="DD91" s="50">
        <v>0</v>
      </c>
      <c r="DE91" s="50">
        <v>0.20200000000000001</v>
      </c>
      <c r="DF91" s="49">
        <v>8.6999999999999994E-2</v>
      </c>
      <c r="DG91" s="50">
        <v>0.92</v>
      </c>
      <c r="DH91" s="49">
        <v>1.732</v>
      </c>
      <c r="DI91" s="49">
        <v>0.79900000000000004</v>
      </c>
      <c r="DJ91" s="49">
        <v>0.14699999999999999</v>
      </c>
      <c r="DK91" s="50">
        <v>0.82099999999999995</v>
      </c>
      <c r="DL91" s="49">
        <v>0.41299999999999998</v>
      </c>
      <c r="DM91" s="49">
        <v>0.42799999999999999</v>
      </c>
      <c r="DN91" s="49">
        <v>0.374</v>
      </c>
      <c r="DO91" s="49">
        <v>0.41699999999999998</v>
      </c>
      <c r="DP91" s="49">
        <v>68.281000000000006</v>
      </c>
      <c r="DQ91" s="49">
        <v>59.500999999999998</v>
      </c>
      <c r="DR91" s="49">
        <v>54.378</v>
      </c>
      <c r="DS91" s="50">
        <v>53.454000000000001</v>
      </c>
      <c r="DT91" s="50">
        <v>6.37</v>
      </c>
      <c r="DU91" s="50">
        <v>6.63</v>
      </c>
      <c r="DV91" s="50">
        <v>12.2</v>
      </c>
      <c r="DW91" s="49">
        <v>8.77</v>
      </c>
      <c r="DX91" s="50">
        <v>6.88</v>
      </c>
      <c r="DY91" s="50">
        <v>7.04</v>
      </c>
      <c r="DZ91" s="50">
        <v>11.6</v>
      </c>
      <c r="EA91" s="49">
        <v>8.5500000000000007</v>
      </c>
      <c r="EB91" s="49">
        <v>42.14</v>
      </c>
      <c r="EC91" s="49">
        <v>41.35</v>
      </c>
      <c r="ED91" s="49">
        <v>34.53</v>
      </c>
      <c r="EE91" s="49">
        <v>37.46</v>
      </c>
      <c r="EF91" s="49">
        <v>44.6</v>
      </c>
      <c r="EG91" s="49">
        <v>44.98</v>
      </c>
      <c r="EH91" s="49">
        <v>41.67</v>
      </c>
      <c r="EI91" s="49">
        <v>45.23</v>
      </c>
      <c r="EJ91" s="49">
        <v>6.734</v>
      </c>
      <c r="EK91" s="49">
        <v>62.48</v>
      </c>
      <c r="EL91" s="49">
        <v>2.25</v>
      </c>
      <c r="EM91" s="49">
        <v>1.85</v>
      </c>
      <c r="EN91" s="49">
        <v>1.21</v>
      </c>
      <c r="EO91" s="49">
        <v>1.21</v>
      </c>
      <c r="EP91" s="50">
        <v>-112.062</v>
      </c>
      <c r="EQ91" s="49">
        <v>-3.0550000000000002</v>
      </c>
      <c r="ER91" s="50">
        <v>113.07</v>
      </c>
      <c r="ES91" s="49">
        <v>1.44</v>
      </c>
      <c r="ET91" s="50">
        <v>1.6220000000000001</v>
      </c>
      <c r="EU91" s="49">
        <v>1.4059999999999999</v>
      </c>
      <c r="EV91" s="49">
        <v>7.6059999999999999</v>
      </c>
      <c r="EW91" s="49">
        <v>2.823</v>
      </c>
      <c r="EX91" s="49">
        <v>72.22</v>
      </c>
      <c r="EY91" s="49">
        <v>0</v>
      </c>
      <c r="EZ91" s="49">
        <v>0</v>
      </c>
      <c r="FA91" s="50">
        <v>0</v>
      </c>
      <c r="FB91" s="49">
        <v>8.9819999999999993</v>
      </c>
      <c r="FC91" s="49">
        <v>69.757000000000005</v>
      </c>
      <c r="FD91" s="49">
        <v>64.521000000000001</v>
      </c>
      <c r="FE91" s="49">
        <v>79.534999999999997</v>
      </c>
      <c r="FF91" s="49">
        <v>78.593999999999994</v>
      </c>
      <c r="FG91" s="49">
        <v>0.91600000000000004</v>
      </c>
      <c r="FH91" s="49">
        <v>0.91500000000000004</v>
      </c>
      <c r="FI91" s="49">
        <v>0.995</v>
      </c>
      <c r="FJ91" s="49">
        <v>0.997</v>
      </c>
      <c r="FK91" s="49">
        <v>0</v>
      </c>
      <c r="FL91" s="49">
        <v>83</v>
      </c>
      <c r="FM91" s="49">
        <v>3.72</v>
      </c>
      <c r="FN91" s="49">
        <v>-0.56000000000000005</v>
      </c>
      <c r="FO91" s="49">
        <v>5.5</v>
      </c>
      <c r="FP91" s="49">
        <v>4.55</v>
      </c>
      <c r="FQ91" s="49">
        <v>4.5</v>
      </c>
      <c r="FR91" s="49">
        <v>5.05</v>
      </c>
      <c r="FS91" s="49">
        <v>6.6055000000000001</v>
      </c>
      <c r="FT91" s="49">
        <v>1078.7</v>
      </c>
      <c r="FU91" s="50">
        <v>6.36</v>
      </c>
      <c r="FV91" s="49">
        <v>23.51</v>
      </c>
      <c r="FW91" s="49">
        <v>3189.5</v>
      </c>
      <c r="FX91" s="49">
        <v>162700</v>
      </c>
      <c r="FY91" s="49">
        <v>163200</v>
      </c>
      <c r="FZ91" s="49">
        <v>47.341000000000001</v>
      </c>
      <c r="GA91" s="49">
        <v>47.637999999999998</v>
      </c>
      <c r="GB91" s="49">
        <v>2156.6</v>
      </c>
      <c r="GC91" s="49">
        <v>2168.3000000000002</v>
      </c>
      <c r="GD91" s="49">
        <v>2215.1999999999998</v>
      </c>
      <c r="GE91" s="49">
        <v>2217</v>
      </c>
      <c r="GF91" s="50">
        <v>1621.5625</v>
      </c>
      <c r="GG91" s="50">
        <v>29</v>
      </c>
      <c r="GH91" s="49">
        <v>28.6</v>
      </c>
      <c r="GI91" s="49">
        <v>45.6</v>
      </c>
      <c r="GJ91" s="49">
        <v>50.5</v>
      </c>
      <c r="GK91" s="49">
        <v>99.5</v>
      </c>
      <c r="GL91" s="49">
        <v>109.2</v>
      </c>
      <c r="GM91" s="50">
        <v>0</v>
      </c>
      <c r="GN91" s="49">
        <v>22.712</v>
      </c>
      <c r="GO91" s="50">
        <v>113.07</v>
      </c>
      <c r="GP91" s="49">
        <v>0.53100000000000003</v>
      </c>
      <c r="GQ91" s="49">
        <v>1.829</v>
      </c>
      <c r="GR91" s="49">
        <v>1.298</v>
      </c>
      <c r="GS91" s="49">
        <v>2.0059999999999998</v>
      </c>
      <c r="GT91" s="49">
        <v>0.70799999999999996</v>
      </c>
      <c r="GU91" s="49">
        <v>1.829</v>
      </c>
      <c r="GV91" s="49">
        <v>12.641999999999999</v>
      </c>
      <c r="GW91" s="50">
        <v>13.81</v>
      </c>
      <c r="GX91" s="49">
        <v>14.994</v>
      </c>
      <c r="GY91" s="50">
        <v>0</v>
      </c>
      <c r="GZ91" s="49">
        <v>0</v>
      </c>
      <c r="HA91" s="49">
        <v>0</v>
      </c>
      <c r="HB91" s="49">
        <v>0</v>
      </c>
      <c r="HC91" s="50">
        <v>36.390999999999998</v>
      </c>
      <c r="HD91" s="49">
        <v>82</v>
      </c>
      <c r="HE91" s="50">
        <v>0</v>
      </c>
      <c r="HF91" s="50">
        <v>0</v>
      </c>
      <c r="HG91" s="49">
        <v>74.790000000000006</v>
      </c>
      <c r="HH91" s="50">
        <v>80.97</v>
      </c>
      <c r="HI91" s="50">
        <v>0</v>
      </c>
      <c r="HJ91" s="50">
        <v>0</v>
      </c>
      <c r="HK91" s="50">
        <v>0</v>
      </c>
      <c r="HL91" s="49">
        <v>58</v>
      </c>
      <c r="HM91" s="50">
        <v>50</v>
      </c>
      <c r="HN91" s="50">
        <v>64</v>
      </c>
      <c r="HO91" s="49">
        <v>57</v>
      </c>
      <c r="HP91" s="50">
        <v>61</v>
      </c>
      <c r="HQ91" s="50">
        <v>59</v>
      </c>
      <c r="HR91" s="49">
        <v>51</v>
      </c>
      <c r="HS91" s="50">
        <v>82</v>
      </c>
      <c r="HT91" s="49">
        <v>-1.4035</v>
      </c>
      <c r="HU91" s="50">
        <v>0</v>
      </c>
      <c r="HV91" s="49">
        <v>0.72399999999999998</v>
      </c>
      <c r="HW91" s="49">
        <v>38.119999999999997</v>
      </c>
      <c r="HX91" s="50">
        <v>48.18</v>
      </c>
      <c r="HY91" s="50">
        <v>52.59</v>
      </c>
      <c r="HZ91" s="50">
        <v>52.59</v>
      </c>
      <c r="IA91" s="49">
        <v>2.6120000000000001</v>
      </c>
      <c r="IB91" s="50">
        <v>103</v>
      </c>
      <c r="IC91" s="49">
        <v>22.08</v>
      </c>
      <c r="ID91" s="49">
        <v>-0.41599999999999998</v>
      </c>
      <c r="IE91" s="49">
        <v>-0.23499999999999999</v>
      </c>
      <c r="IF91" s="49">
        <v>802.3</v>
      </c>
      <c r="IG91" s="49">
        <v>757.4</v>
      </c>
      <c r="IH91" s="49">
        <v>815.1</v>
      </c>
      <c r="II91" s="49">
        <v>769.1</v>
      </c>
      <c r="IJ91" s="49">
        <v>-1.6E-2</v>
      </c>
      <c r="IK91" s="49">
        <v>3.7999999999999999E-2</v>
      </c>
      <c r="IL91" s="49">
        <v>77.326999999999998</v>
      </c>
      <c r="IM91" s="49">
        <v>77.326999999999998</v>
      </c>
      <c r="IN91" s="49">
        <v>11.754</v>
      </c>
      <c r="IO91" s="49">
        <v>0.26800000000000002</v>
      </c>
      <c r="IP91" s="49">
        <v>9.35</v>
      </c>
      <c r="IQ91" s="50">
        <v>8.9999999999999993E-3</v>
      </c>
      <c r="IR91" s="50">
        <v>7.0000000000000001E-3</v>
      </c>
      <c r="IS91">
        <v>0.54600000000000026</v>
      </c>
      <c r="IT91">
        <v>0.32900000000000018</v>
      </c>
    </row>
    <row r="92" spans="1:254" x14ac:dyDescent="0.25">
      <c r="B92" s="2" t="s">
        <v>412</v>
      </c>
      <c r="C92" s="2" t="s">
        <v>45</v>
      </c>
      <c r="D92" s="61">
        <v>2.9621527777777784E-3</v>
      </c>
      <c r="E92" s="49">
        <v>255.928</v>
      </c>
      <c r="F92" s="49">
        <v>330.06</v>
      </c>
      <c r="G92" s="49">
        <v>-23.51</v>
      </c>
      <c r="H92" s="49">
        <v>25.6</v>
      </c>
      <c r="I92" s="50">
        <v>0</v>
      </c>
      <c r="J92" s="49">
        <v>27.2</v>
      </c>
      <c r="K92" s="50">
        <v>6</v>
      </c>
      <c r="L92" s="50">
        <v>6</v>
      </c>
      <c r="M92" s="50">
        <v>7</v>
      </c>
      <c r="N92" s="50">
        <v>2</v>
      </c>
      <c r="O92" s="50">
        <v>3</v>
      </c>
      <c r="P92" s="49">
        <v>0.46899999999999997</v>
      </c>
      <c r="Q92" s="50">
        <v>1.0569999999999999</v>
      </c>
      <c r="R92" s="49">
        <v>0.214</v>
      </c>
      <c r="S92" s="50">
        <v>0.28199999999999997</v>
      </c>
      <c r="T92" s="50">
        <v>74.3</v>
      </c>
      <c r="U92" s="49">
        <v>60.576000000000001</v>
      </c>
      <c r="V92" s="49">
        <v>230</v>
      </c>
      <c r="W92" s="49">
        <v>261.66000000000003</v>
      </c>
      <c r="X92" s="49">
        <v>165</v>
      </c>
      <c r="Y92" s="49">
        <v>208.34</v>
      </c>
      <c r="Z92" s="49">
        <v>369.09</v>
      </c>
      <c r="AA92" s="49">
        <v>395.64</v>
      </c>
      <c r="AB92" s="49">
        <v>274.7</v>
      </c>
      <c r="AC92" s="49">
        <v>339.75</v>
      </c>
      <c r="AD92" s="50">
        <v>1.855</v>
      </c>
      <c r="AE92" s="50">
        <v>1.861</v>
      </c>
      <c r="AF92" s="50">
        <v>1.88</v>
      </c>
      <c r="AG92" s="50">
        <v>1.9019999999999999</v>
      </c>
      <c r="AH92" s="50">
        <v>81.040000000000006</v>
      </c>
      <c r="AI92" s="50">
        <v>70.540000000000006</v>
      </c>
      <c r="AJ92" s="50">
        <v>104.46</v>
      </c>
      <c r="AK92" s="50">
        <v>102.85</v>
      </c>
      <c r="AL92" s="50">
        <v>692.88699999999994</v>
      </c>
      <c r="AM92" s="50">
        <v>707.35400000000004</v>
      </c>
      <c r="AN92" s="49">
        <v>850.84299999999996</v>
      </c>
      <c r="AO92" s="50">
        <v>859.53499999999997</v>
      </c>
      <c r="AP92" s="49">
        <v>1.4039999999999999</v>
      </c>
      <c r="AQ92" s="49">
        <v>1.87</v>
      </c>
      <c r="AR92" s="49">
        <v>41.984000000000002</v>
      </c>
      <c r="AS92" s="49">
        <v>38.508000000000003</v>
      </c>
      <c r="AT92" s="49">
        <v>83</v>
      </c>
      <c r="AU92" s="50">
        <v>120</v>
      </c>
      <c r="AV92" s="50">
        <v>1.5085</v>
      </c>
      <c r="AW92" s="49">
        <v>4.6585999999999999</v>
      </c>
      <c r="AX92" s="49">
        <v>1015.6</v>
      </c>
      <c r="AY92" s="49">
        <v>2.4300000000000002</v>
      </c>
      <c r="AZ92" s="49">
        <v>5.64</v>
      </c>
      <c r="BA92" s="49">
        <v>69.400000000000006</v>
      </c>
      <c r="BB92" s="49">
        <v>69.400000000000006</v>
      </c>
      <c r="BC92" s="49">
        <v>7698</v>
      </c>
      <c r="BD92" s="50">
        <v>89</v>
      </c>
      <c r="BE92" s="49">
        <v>17.57</v>
      </c>
      <c r="BF92" s="50">
        <v>15.065</v>
      </c>
      <c r="BG92" s="49">
        <v>29.29</v>
      </c>
      <c r="BH92" s="49">
        <v>27.78</v>
      </c>
      <c r="BI92" s="50">
        <v>65.841999999999999</v>
      </c>
      <c r="BJ92" s="50">
        <v>82.007000000000005</v>
      </c>
      <c r="BK92" s="50">
        <v>64.132999999999996</v>
      </c>
      <c r="BL92" s="50">
        <v>78.867999999999995</v>
      </c>
      <c r="BM92" s="50">
        <v>79.977999999999994</v>
      </c>
      <c r="BN92" s="49">
        <v>117.464</v>
      </c>
      <c r="BO92" s="49">
        <v>120.47199999999999</v>
      </c>
      <c r="BP92" s="50">
        <v>132.77600000000001</v>
      </c>
      <c r="BQ92" s="50">
        <v>134.136</v>
      </c>
      <c r="BR92" s="50">
        <v>59.98</v>
      </c>
      <c r="BS92" s="49">
        <v>25.4</v>
      </c>
      <c r="BT92" s="49">
        <v>7389.9120000000003</v>
      </c>
      <c r="BU92" s="49">
        <v>51.503999999999998</v>
      </c>
      <c r="BV92" s="49">
        <v>51.771999999999998</v>
      </c>
      <c r="BW92" s="49">
        <v>54.317</v>
      </c>
      <c r="BX92" s="49">
        <v>57.076000000000001</v>
      </c>
      <c r="BY92" s="50">
        <v>1.744</v>
      </c>
      <c r="BZ92" s="49">
        <v>2.8769999999999998</v>
      </c>
      <c r="CA92" s="49">
        <v>3.3220000000000001</v>
      </c>
      <c r="CB92" s="50">
        <v>3.53</v>
      </c>
      <c r="CC92" s="50">
        <v>1.1419999999999999</v>
      </c>
      <c r="CD92" s="49">
        <v>2.323</v>
      </c>
      <c r="CE92" s="49">
        <v>1.2929999999999999</v>
      </c>
      <c r="CF92" s="49">
        <v>2.0920000000000001</v>
      </c>
      <c r="CG92" s="49">
        <v>13.718999999999999</v>
      </c>
      <c r="CH92" s="49">
        <v>10.382999999999999</v>
      </c>
      <c r="CI92" s="3"/>
      <c r="CJ92" s="3"/>
      <c r="CK92" s="3"/>
      <c r="CL92" s="49">
        <v>0.1</v>
      </c>
      <c r="CM92" s="49">
        <v>0</v>
      </c>
      <c r="CN92" s="50">
        <v>0</v>
      </c>
      <c r="CO92" s="50">
        <v>0</v>
      </c>
      <c r="CP92" s="49">
        <v>96.768000000000001</v>
      </c>
      <c r="CQ92" s="49">
        <v>99.141000000000005</v>
      </c>
      <c r="CR92" s="50">
        <v>116.035</v>
      </c>
      <c r="CS92" s="50">
        <v>121.15300000000001</v>
      </c>
      <c r="CT92" s="49">
        <v>0.312</v>
      </c>
      <c r="CU92" s="49">
        <v>0.70099999999999996</v>
      </c>
      <c r="CV92" s="49">
        <v>1.2010000000000001</v>
      </c>
      <c r="CW92" s="49">
        <v>1.198</v>
      </c>
      <c r="CX92" s="49">
        <v>1.5</v>
      </c>
      <c r="CY92" s="49">
        <v>1.002</v>
      </c>
      <c r="CZ92" s="50">
        <v>1.7989999999999999</v>
      </c>
      <c r="DA92" s="49">
        <v>0.79900000000000004</v>
      </c>
      <c r="DB92" s="49">
        <v>1.7030000000000001</v>
      </c>
      <c r="DC92" s="50">
        <v>0</v>
      </c>
      <c r="DD92" s="50">
        <v>0</v>
      </c>
      <c r="DE92" s="49">
        <v>0.18</v>
      </c>
      <c r="DF92" s="50">
        <v>0.104</v>
      </c>
      <c r="DG92" s="49">
        <v>0.216</v>
      </c>
      <c r="DH92" s="49">
        <v>1.829</v>
      </c>
      <c r="DI92" s="50">
        <v>0.81699999999999995</v>
      </c>
      <c r="DJ92" s="49">
        <v>3.1E-2</v>
      </c>
      <c r="DK92" s="49">
        <v>0.79100000000000004</v>
      </c>
      <c r="DL92" s="49">
        <v>0.40400000000000003</v>
      </c>
      <c r="DM92" s="49">
        <v>0.45800000000000002</v>
      </c>
      <c r="DN92" s="49">
        <v>-2.528</v>
      </c>
      <c r="DO92" s="49">
        <v>0.29399999999999998</v>
      </c>
      <c r="DP92" s="50">
        <v>68.653000000000006</v>
      </c>
      <c r="DQ92" s="50">
        <v>61.756999999999998</v>
      </c>
      <c r="DR92" s="49">
        <v>53.162999999999997</v>
      </c>
      <c r="DS92" s="49">
        <v>53.389000000000003</v>
      </c>
      <c r="DT92" s="49">
        <v>6.19</v>
      </c>
      <c r="DU92" s="49">
        <v>6.48</v>
      </c>
      <c r="DV92" s="49">
        <v>10.59</v>
      </c>
      <c r="DW92" s="49">
        <v>8.3000000000000007</v>
      </c>
      <c r="DX92" s="49">
        <v>6.31</v>
      </c>
      <c r="DY92" s="49">
        <v>6.69</v>
      </c>
      <c r="DZ92" s="49">
        <v>10.199999999999999</v>
      </c>
      <c r="EA92" s="49">
        <v>8.24</v>
      </c>
      <c r="EB92" s="49">
        <v>40.65</v>
      </c>
      <c r="EC92" s="49">
        <v>39.89</v>
      </c>
      <c r="ED92" s="49">
        <v>33.31</v>
      </c>
      <c r="EE92" s="49">
        <v>34.76</v>
      </c>
      <c r="EF92" s="49">
        <v>46.85</v>
      </c>
      <c r="EG92" s="49">
        <v>46.94</v>
      </c>
      <c r="EH92" s="49">
        <v>45.9</v>
      </c>
      <c r="EI92" s="49">
        <v>48.7</v>
      </c>
      <c r="EJ92" s="50">
        <v>6.8579999999999997</v>
      </c>
      <c r="EK92" s="49">
        <v>62.610999999999997</v>
      </c>
      <c r="EL92" s="49">
        <v>2.2999999999999998</v>
      </c>
      <c r="EM92" s="49">
        <v>1.85</v>
      </c>
      <c r="EN92" s="50">
        <v>1.22</v>
      </c>
      <c r="EO92" s="50">
        <v>1.24</v>
      </c>
      <c r="EP92" s="49">
        <v>-100.96599999999999</v>
      </c>
      <c r="EQ92" s="49">
        <v>-2.8220000000000001</v>
      </c>
      <c r="ER92" s="49">
        <v>110.44199999999999</v>
      </c>
      <c r="ES92" s="49">
        <v>1.4259999999999999</v>
      </c>
      <c r="ET92" s="49">
        <v>1.59</v>
      </c>
      <c r="EU92" s="49">
        <v>1.393</v>
      </c>
      <c r="EV92" s="49">
        <v>7.7350000000000003</v>
      </c>
      <c r="EW92" s="49">
        <v>2.9289999999999998</v>
      </c>
      <c r="EX92" s="49">
        <v>71.02</v>
      </c>
      <c r="EY92" s="50">
        <v>1.9E-2</v>
      </c>
      <c r="EZ92" s="49">
        <v>0</v>
      </c>
      <c r="FA92" s="50">
        <v>0</v>
      </c>
      <c r="FB92" s="50">
        <v>9.0470000000000006</v>
      </c>
      <c r="FC92" s="50">
        <v>70.337999999999994</v>
      </c>
      <c r="FD92" s="50">
        <v>64.778000000000006</v>
      </c>
      <c r="FE92" s="50">
        <v>80.358000000000004</v>
      </c>
      <c r="FF92" s="50">
        <v>79.242999999999995</v>
      </c>
      <c r="FG92" s="50">
        <v>0.98299999999999998</v>
      </c>
      <c r="FH92" s="50">
        <v>1.01</v>
      </c>
      <c r="FI92" s="49">
        <v>0.995</v>
      </c>
      <c r="FJ92" s="49">
        <v>0.997</v>
      </c>
      <c r="FK92" s="49">
        <v>0</v>
      </c>
      <c r="FL92" s="49">
        <v>83</v>
      </c>
      <c r="FM92" s="50">
        <v>3.84</v>
      </c>
      <c r="FN92" s="49">
        <v>-0.37</v>
      </c>
      <c r="FO92" s="50">
        <v>5.28</v>
      </c>
      <c r="FP92" s="49">
        <v>3.7</v>
      </c>
      <c r="FQ92" s="49">
        <v>4.55</v>
      </c>
      <c r="FR92" s="49">
        <v>4.8499999999999996</v>
      </c>
      <c r="FS92" s="49">
        <v>6.5759999999999996</v>
      </c>
      <c r="FT92" s="49">
        <v>1071.5</v>
      </c>
      <c r="FU92" s="49">
        <v>6.32</v>
      </c>
      <c r="FV92" s="50">
        <v>29.36</v>
      </c>
      <c r="FW92" s="49">
        <v>3158.5</v>
      </c>
      <c r="FX92" s="49">
        <v>165000</v>
      </c>
      <c r="FY92" s="49">
        <v>164300</v>
      </c>
      <c r="FZ92" s="49">
        <v>47.021999999999998</v>
      </c>
      <c r="GA92" s="49">
        <v>47.345999999999997</v>
      </c>
      <c r="GB92" s="49">
        <v>2169</v>
      </c>
      <c r="GC92" s="49">
        <v>2171.6</v>
      </c>
      <c r="GD92" s="49">
        <v>2179.6999999999998</v>
      </c>
      <c r="GE92" s="49">
        <v>2262.9</v>
      </c>
      <c r="GF92" s="49">
        <v>1357.8280999999999</v>
      </c>
      <c r="GG92" s="50">
        <v>29</v>
      </c>
      <c r="GH92" s="50">
        <v>29.2</v>
      </c>
      <c r="GI92" s="49">
        <v>45.5</v>
      </c>
      <c r="GJ92" s="49">
        <v>50.9</v>
      </c>
      <c r="GK92" s="49">
        <v>98.5</v>
      </c>
      <c r="GL92" s="49">
        <v>109.5</v>
      </c>
      <c r="GM92" s="50">
        <v>0</v>
      </c>
      <c r="GN92" s="49">
        <v>24.843</v>
      </c>
      <c r="GO92" s="49">
        <v>110.44199999999999</v>
      </c>
      <c r="GP92" s="50">
        <v>0</v>
      </c>
      <c r="GQ92" s="50">
        <v>5.782</v>
      </c>
      <c r="GR92" s="50">
        <v>0</v>
      </c>
      <c r="GS92" s="50">
        <v>4.8380000000000001</v>
      </c>
      <c r="GT92" s="50">
        <v>0</v>
      </c>
      <c r="GU92" s="50">
        <v>5.9589999999999996</v>
      </c>
      <c r="GV92" s="50">
        <v>0</v>
      </c>
      <c r="GW92" s="49">
        <v>12.455</v>
      </c>
      <c r="GX92" s="50">
        <v>20.972000000000001</v>
      </c>
      <c r="GY92" s="50">
        <v>0</v>
      </c>
      <c r="GZ92" s="50">
        <v>0.68400000000000005</v>
      </c>
      <c r="HA92" s="50">
        <v>24.99</v>
      </c>
      <c r="HB92" s="50">
        <v>1</v>
      </c>
      <c r="HC92" s="49">
        <v>33.935000000000002</v>
      </c>
      <c r="HD92" s="49">
        <v>86</v>
      </c>
      <c r="HE92" s="50">
        <v>0</v>
      </c>
      <c r="HF92" s="50">
        <v>0</v>
      </c>
      <c r="HG92" s="49">
        <v>73.73</v>
      </c>
      <c r="HH92" s="49">
        <v>80.81</v>
      </c>
      <c r="HI92" s="50">
        <v>0</v>
      </c>
      <c r="HJ92" s="50">
        <v>0</v>
      </c>
      <c r="HK92" s="50">
        <v>0</v>
      </c>
      <c r="HL92" s="49">
        <v>57</v>
      </c>
      <c r="HM92" s="50">
        <v>50</v>
      </c>
      <c r="HN92" s="50">
        <v>64</v>
      </c>
      <c r="HO92" s="50">
        <v>58</v>
      </c>
      <c r="HP92" s="50">
        <v>61</v>
      </c>
      <c r="HQ92" s="50">
        <v>59</v>
      </c>
      <c r="HR92" s="50">
        <v>52</v>
      </c>
      <c r="HS92" s="49">
        <v>62</v>
      </c>
      <c r="HT92" s="49">
        <v>-1.407</v>
      </c>
      <c r="HU92" s="50">
        <v>0</v>
      </c>
      <c r="HV92" s="49">
        <v>0.40200000000000002</v>
      </c>
      <c r="HW92" s="49">
        <v>38.119999999999997</v>
      </c>
      <c r="HX92" s="50">
        <v>48.18</v>
      </c>
      <c r="HY92" s="3"/>
      <c r="HZ92" s="3"/>
      <c r="IA92" s="50">
        <v>2.8069999999999999</v>
      </c>
      <c r="IB92" s="50">
        <v>103</v>
      </c>
      <c r="IC92" s="49">
        <v>21.882999999999999</v>
      </c>
      <c r="ID92" s="49">
        <v>-0.30599999999999999</v>
      </c>
      <c r="IE92" s="49">
        <v>-0.17100000000000001</v>
      </c>
      <c r="IF92" s="49">
        <v>819.2</v>
      </c>
      <c r="IG92" s="49">
        <v>734.1</v>
      </c>
      <c r="IH92" s="49">
        <v>815.4</v>
      </c>
      <c r="II92" s="49">
        <v>748.2</v>
      </c>
      <c r="IJ92" s="49">
        <v>-3.7999999999999999E-2</v>
      </c>
      <c r="IK92" s="49">
        <v>2E-3</v>
      </c>
      <c r="IL92" s="49">
        <v>95.932000000000002</v>
      </c>
      <c r="IM92" s="49">
        <v>95.932000000000002</v>
      </c>
      <c r="IN92" s="49">
        <v>14.2</v>
      </c>
      <c r="IO92" s="49">
        <v>0.22600000000000001</v>
      </c>
      <c r="IP92" s="49">
        <v>9.24</v>
      </c>
      <c r="IQ92" s="49">
        <v>0</v>
      </c>
      <c r="IR92" s="49">
        <v>0</v>
      </c>
      <c r="IS92">
        <v>0.54600000000000026</v>
      </c>
      <c r="IT92">
        <v>0.32900000000000018</v>
      </c>
    </row>
    <row r="93" spans="1:254" x14ac:dyDescent="0.25">
      <c r="IS93">
        <v>0.54600000000000026</v>
      </c>
      <c r="IT93">
        <v>0.32900000000000018</v>
      </c>
    </row>
    <row r="94" spans="1:254" x14ac:dyDescent="0.25">
      <c r="IS94">
        <v>0.54600000000000026</v>
      </c>
      <c r="IT94">
        <v>0.32900000000000018</v>
      </c>
    </row>
    <row r="95" spans="1:254" x14ac:dyDescent="0.25">
      <c r="IS95">
        <v>0.54600000000000026</v>
      </c>
      <c r="IT95">
        <v>0.32900000000000018</v>
      </c>
    </row>
    <row r="96" spans="1:254" x14ac:dyDescent="0.25">
      <c r="B96" s="2" t="s">
        <v>412</v>
      </c>
      <c r="C96" s="2" t="s">
        <v>41</v>
      </c>
      <c r="D96" s="61">
        <v>3.457638888888889E-3</v>
      </c>
      <c r="E96" s="49">
        <v>298.74400000000003</v>
      </c>
      <c r="F96" s="49">
        <v>328.48</v>
      </c>
      <c r="G96" s="49">
        <v>5.76</v>
      </c>
      <c r="H96" s="49">
        <v>25.6</v>
      </c>
      <c r="I96" s="50">
        <v>0</v>
      </c>
      <c r="J96" s="49">
        <v>71.400000000000006</v>
      </c>
      <c r="K96" s="50">
        <v>6</v>
      </c>
      <c r="L96" s="50">
        <v>6</v>
      </c>
      <c r="M96" s="50">
        <v>7</v>
      </c>
      <c r="N96" s="50">
        <v>2</v>
      </c>
      <c r="O96" s="50">
        <v>3</v>
      </c>
      <c r="P96" s="49">
        <v>0.44700000000000001</v>
      </c>
      <c r="Q96" s="49">
        <v>0.76900000000000002</v>
      </c>
      <c r="R96" s="49">
        <v>0.49</v>
      </c>
      <c r="S96" s="50">
        <v>0.35299999999999998</v>
      </c>
      <c r="T96" s="49">
        <v>55.09</v>
      </c>
      <c r="U96" s="50">
        <v>60.917000000000002</v>
      </c>
      <c r="V96" s="49">
        <v>218.34</v>
      </c>
      <c r="W96" s="49">
        <v>235</v>
      </c>
      <c r="X96" s="49">
        <v>140</v>
      </c>
      <c r="Y96" s="49">
        <v>167.5</v>
      </c>
      <c r="Z96" s="49">
        <v>343.51</v>
      </c>
      <c r="AA96" s="49">
        <v>366.32</v>
      </c>
      <c r="AB96" s="49">
        <v>219.12</v>
      </c>
      <c r="AC96" s="49">
        <v>270.56</v>
      </c>
      <c r="AD96" s="49">
        <v>1.823</v>
      </c>
      <c r="AE96" s="49">
        <v>1.8360000000000001</v>
      </c>
      <c r="AF96" s="49">
        <v>1.8049999999999999</v>
      </c>
      <c r="AG96" s="49">
        <v>1.831</v>
      </c>
      <c r="AH96" s="49">
        <v>70.37</v>
      </c>
      <c r="AI96" s="49">
        <v>62.51</v>
      </c>
      <c r="AJ96" s="49">
        <v>90.16</v>
      </c>
      <c r="AK96" s="49">
        <v>89.29</v>
      </c>
      <c r="AL96" s="49">
        <v>619.399</v>
      </c>
      <c r="AM96" s="49">
        <v>664.77800000000002</v>
      </c>
      <c r="AN96" s="49">
        <v>805.03300000000002</v>
      </c>
      <c r="AO96" s="49">
        <v>771.17899999999997</v>
      </c>
      <c r="AP96" s="50">
        <v>1.429</v>
      </c>
      <c r="AQ96" s="49">
        <v>1.8979999999999999</v>
      </c>
      <c r="AR96" s="50">
        <v>43.402999999999999</v>
      </c>
      <c r="AS96" s="50">
        <v>40.890999999999998</v>
      </c>
      <c r="AT96" s="50">
        <v>84</v>
      </c>
      <c r="AU96" s="49">
        <v>116</v>
      </c>
      <c r="AV96" s="49">
        <v>1.5805</v>
      </c>
      <c r="AW96" s="49">
        <v>4.4134000000000002</v>
      </c>
      <c r="AX96" s="50">
        <v>1020.1</v>
      </c>
      <c r="AY96" s="50">
        <v>2.89</v>
      </c>
      <c r="AZ96" s="50">
        <v>4.41</v>
      </c>
      <c r="BA96" s="50">
        <v>65.602000000000004</v>
      </c>
      <c r="BB96" s="50">
        <v>66.3</v>
      </c>
      <c r="BC96" s="49">
        <v>7769</v>
      </c>
      <c r="BD96" s="49">
        <v>89</v>
      </c>
      <c r="BE96" s="49">
        <v>15.565</v>
      </c>
      <c r="BF96" s="49">
        <v>13.205</v>
      </c>
      <c r="BG96" s="49">
        <v>28.31</v>
      </c>
      <c r="BH96" s="50">
        <v>29.84</v>
      </c>
      <c r="BI96" s="50">
        <v>65.328999999999994</v>
      </c>
      <c r="BJ96" s="49">
        <v>80.89</v>
      </c>
      <c r="BK96" s="50">
        <v>63.683999999999997</v>
      </c>
      <c r="BL96" s="49">
        <v>78.507000000000005</v>
      </c>
      <c r="BM96" s="49">
        <v>78.298000000000002</v>
      </c>
      <c r="BN96" s="50">
        <v>133.672</v>
      </c>
      <c r="BO96" s="50">
        <v>139.68799999999999</v>
      </c>
      <c r="BP96" s="49">
        <v>129.72</v>
      </c>
      <c r="BQ96" s="49">
        <v>131.864</v>
      </c>
      <c r="BR96" s="49">
        <v>57.972000000000001</v>
      </c>
      <c r="BS96" s="49">
        <v>25.3</v>
      </c>
      <c r="BT96" s="49">
        <v>7194.3829999999998</v>
      </c>
      <c r="BU96" s="50">
        <v>54.183</v>
      </c>
      <c r="BV96" s="50">
        <v>55.414999999999999</v>
      </c>
      <c r="BW96" s="50">
        <v>55.636000000000003</v>
      </c>
      <c r="BX96" s="49">
        <v>56.11</v>
      </c>
      <c r="BY96" s="49">
        <v>1.4390000000000001</v>
      </c>
      <c r="BZ96" s="49">
        <v>2.218</v>
      </c>
      <c r="CA96" s="49">
        <v>2.9670000000000001</v>
      </c>
      <c r="CB96" s="49">
        <v>2.9329999999999998</v>
      </c>
      <c r="CC96" s="49">
        <v>1.048</v>
      </c>
      <c r="CD96" s="49">
        <v>2.4630000000000001</v>
      </c>
      <c r="CE96" s="50">
        <v>1.381</v>
      </c>
      <c r="CF96" s="50">
        <v>2.2040000000000002</v>
      </c>
      <c r="CG96" s="49">
        <v>13.555</v>
      </c>
      <c r="CH96" s="50">
        <v>9.91</v>
      </c>
      <c r="CI96" s="50">
        <v>4.8250000000000002</v>
      </c>
      <c r="CJ96" s="50">
        <v>4.01</v>
      </c>
      <c r="CK96" s="49">
        <v>1.0489999999999999</v>
      </c>
      <c r="CL96" s="49">
        <v>0.1</v>
      </c>
      <c r="CM96" s="49">
        <v>0.4</v>
      </c>
      <c r="CN96" s="50">
        <v>0</v>
      </c>
      <c r="CO96" s="50">
        <v>0</v>
      </c>
      <c r="CP96" s="50">
        <v>109.23399999999999</v>
      </c>
      <c r="CQ96" s="50">
        <v>112.61799999999999</v>
      </c>
      <c r="CR96" s="49">
        <v>110.258</v>
      </c>
      <c r="CS96" s="49">
        <v>113.425</v>
      </c>
      <c r="CT96" s="49">
        <v>0.27500000000000002</v>
      </c>
      <c r="CU96" s="50">
        <v>1.5</v>
      </c>
      <c r="CV96" s="50">
        <v>2.0939999999999999</v>
      </c>
      <c r="CW96" s="49">
        <v>1.8009999999999999</v>
      </c>
      <c r="CX96" s="50">
        <v>2.194</v>
      </c>
      <c r="CY96" s="49">
        <v>0.89800000000000002</v>
      </c>
      <c r="CZ96" s="49">
        <v>1.6</v>
      </c>
      <c r="DA96" s="49">
        <v>0.89900000000000002</v>
      </c>
      <c r="DB96" s="49">
        <v>1.8</v>
      </c>
      <c r="DC96" s="50">
        <v>0</v>
      </c>
      <c r="DD96" s="50">
        <v>0</v>
      </c>
      <c r="DE96" s="49">
        <v>0.16700000000000001</v>
      </c>
      <c r="DF96" s="50">
        <v>0.105</v>
      </c>
      <c r="DG96" s="49">
        <v>0.28199999999999997</v>
      </c>
      <c r="DH96" s="49">
        <v>1.55</v>
      </c>
      <c r="DI96" s="50">
        <v>0.94</v>
      </c>
      <c r="DJ96" s="49">
        <v>9.5000000000000001E-2</v>
      </c>
      <c r="DK96" s="49">
        <v>0.77300000000000002</v>
      </c>
      <c r="DL96" s="50">
        <v>0.41099999999999998</v>
      </c>
      <c r="DM96" s="49">
        <v>0.50600000000000001</v>
      </c>
      <c r="DN96" s="49">
        <v>2.5000000000000001E-2</v>
      </c>
      <c r="DO96" s="50">
        <v>0.42899999999999999</v>
      </c>
      <c r="DP96" s="49">
        <v>63.33</v>
      </c>
      <c r="DQ96" s="49">
        <v>59.701999999999998</v>
      </c>
      <c r="DR96" s="50">
        <v>55.33</v>
      </c>
      <c r="DS96" s="49">
        <v>52.33</v>
      </c>
      <c r="DT96" s="49">
        <v>3.69</v>
      </c>
      <c r="DU96" s="49">
        <v>4.53</v>
      </c>
      <c r="DV96" s="49">
        <v>7.28</v>
      </c>
      <c r="DW96" s="49">
        <v>5.54</v>
      </c>
      <c r="DX96" s="49">
        <v>3.99</v>
      </c>
      <c r="DY96" s="49">
        <v>4.54</v>
      </c>
      <c r="DZ96" s="49">
        <v>6.7</v>
      </c>
      <c r="EA96" s="49">
        <v>5.21</v>
      </c>
      <c r="EB96" s="49">
        <v>35.17</v>
      </c>
      <c r="EC96" s="49">
        <v>34.65</v>
      </c>
      <c r="ED96" s="49">
        <v>29.74</v>
      </c>
      <c r="EE96" s="49">
        <v>33.25</v>
      </c>
      <c r="EF96" s="50">
        <v>57.14</v>
      </c>
      <c r="EG96" s="49">
        <v>56.28</v>
      </c>
      <c r="EH96" s="49">
        <v>56.27</v>
      </c>
      <c r="EI96" s="49">
        <v>55.99</v>
      </c>
      <c r="EJ96" s="49">
        <v>6.556</v>
      </c>
      <c r="EK96" s="49">
        <v>61.942999999999998</v>
      </c>
      <c r="EL96" s="50">
        <v>2.7</v>
      </c>
      <c r="EM96" s="49">
        <v>1.85</v>
      </c>
      <c r="EN96" s="49">
        <v>1.19</v>
      </c>
      <c r="EO96" s="49">
        <v>1.2</v>
      </c>
      <c r="EP96" s="49">
        <v>-101.842</v>
      </c>
      <c r="EQ96" s="49">
        <v>-1.84</v>
      </c>
      <c r="ER96" s="50">
        <v>99.054000000000002</v>
      </c>
      <c r="ES96" s="49">
        <v>1.244</v>
      </c>
      <c r="ET96" s="49">
        <v>1.304</v>
      </c>
      <c r="EU96" s="49">
        <v>1.2130000000000001</v>
      </c>
      <c r="EV96" s="49">
        <v>7.5670000000000002</v>
      </c>
      <c r="EW96" s="49">
        <v>2.661</v>
      </c>
      <c r="EX96" s="49">
        <v>-287.76</v>
      </c>
      <c r="EY96" s="49">
        <v>0</v>
      </c>
      <c r="EZ96" s="49">
        <v>0</v>
      </c>
      <c r="FA96" s="50">
        <v>0</v>
      </c>
      <c r="FB96" s="49">
        <v>7.9720000000000004</v>
      </c>
      <c r="FC96" s="49">
        <v>68.778000000000006</v>
      </c>
      <c r="FD96" s="49">
        <v>64.200999999999993</v>
      </c>
      <c r="FE96" s="50">
        <v>76.14</v>
      </c>
      <c r="FF96" s="50">
        <v>75.125</v>
      </c>
      <c r="FG96" s="49">
        <v>0.96299999999999997</v>
      </c>
      <c r="FH96" s="49">
        <v>0.96799999999999997</v>
      </c>
      <c r="FI96" s="49">
        <v>0.998</v>
      </c>
      <c r="FJ96" s="49">
        <v>1.0009999999999999</v>
      </c>
      <c r="FK96" s="50">
        <v>0.10100000000000001</v>
      </c>
      <c r="FL96" s="50">
        <v>86</v>
      </c>
      <c r="FM96" s="50">
        <v>3.72</v>
      </c>
      <c r="FN96" s="49">
        <v>-0.41</v>
      </c>
      <c r="FO96" s="50">
        <v>4.4400000000000004</v>
      </c>
      <c r="FP96" s="50">
        <v>0.55000000000000004</v>
      </c>
      <c r="FQ96" s="50">
        <v>4.3499999999999996</v>
      </c>
      <c r="FR96" s="49">
        <v>5</v>
      </c>
      <c r="FS96" s="50">
        <v>6.5220000000000002</v>
      </c>
      <c r="FT96" s="49">
        <v>1075.5</v>
      </c>
      <c r="FU96" s="50">
        <v>6.41</v>
      </c>
      <c r="FV96" s="49">
        <v>5.76</v>
      </c>
      <c r="FW96" s="50">
        <v>3046</v>
      </c>
      <c r="FX96" s="50">
        <v>163000</v>
      </c>
      <c r="FY96" s="50">
        <v>163900</v>
      </c>
      <c r="FZ96" s="50">
        <v>47.970999999999997</v>
      </c>
      <c r="GA96" s="49">
        <v>48.171999999999997</v>
      </c>
      <c r="GB96" s="49">
        <v>2162.4</v>
      </c>
      <c r="GC96" s="49">
        <v>2164</v>
      </c>
      <c r="GD96" s="49">
        <v>2263.8000000000002</v>
      </c>
      <c r="GE96" s="49">
        <v>2262.1999999999998</v>
      </c>
      <c r="GF96" s="49">
        <v>1409.2655999999999</v>
      </c>
      <c r="GG96" s="50">
        <v>30</v>
      </c>
      <c r="GH96" s="49">
        <v>29.7</v>
      </c>
      <c r="GI96" s="50">
        <v>50.5</v>
      </c>
      <c r="GJ96" s="49">
        <v>55.8</v>
      </c>
      <c r="GK96" s="50">
        <v>97</v>
      </c>
      <c r="GL96" s="49">
        <v>111.1</v>
      </c>
      <c r="GM96" s="50">
        <v>0</v>
      </c>
      <c r="GN96" s="49">
        <v>23.843</v>
      </c>
      <c r="GO96" s="49">
        <v>101.842</v>
      </c>
      <c r="GP96" s="50">
        <v>0</v>
      </c>
      <c r="GQ96" s="49">
        <v>3.8940000000000001</v>
      </c>
      <c r="GR96" s="50">
        <v>0</v>
      </c>
      <c r="GS96" s="49">
        <v>4.0119999999999996</v>
      </c>
      <c r="GT96" s="50">
        <v>0</v>
      </c>
      <c r="GU96" s="49">
        <v>4.1890000000000001</v>
      </c>
      <c r="GV96" s="50">
        <v>0</v>
      </c>
      <c r="GW96" s="50">
        <v>0.02</v>
      </c>
      <c r="GX96" s="50">
        <v>19.795999999999999</v>
      </c>
      <c r="GY96" s="50">
        <v>0</v>
      </c>
      <c r="GZ96" s="49">
        <v>10.821999999999999</v>
      </c>
      <c r="HA96" s="49">
        <v>20.58</v>
      </c>
      <c r="HB96" s="50">
        <v>1</v>
      </c>
      <c r="HC96" s="49">
        <v>33.64</v>
      </c>
      <c r="HD96" s="50">
        <v>90</v>
      </c>
      <c r="HE96" s="50">
        <v>0</v>
      </c>
      <c r="HF96" s="50">
        <v>0</v>
      </c>
      <c r="HG96" s="50">
        <v>78.459999999999994</v>
      </c>
      <c r="HH96" s="50">
        <v>100</v>
      </c>
      <c r="HI96" s="50">
        <v>0</v>
      </c>
      <c r="HJ96" s="50">
        <v>0</v>
      </c>
      <c r="HK96" s="50">
        <v>0</v>
      </c>
      <c r="HL96" s="50">
        <v>63</v>
      </c>
      <c r="HM96" s="50">
        <v>51</v>
      </c>
      <c r="HN96" s="49">
        <v>64</v>
      </c>
      <c r="HO96" s="49">
        <v>57</v>
      </c>
      <c r="HP96" s="49">
        <v>61</v>
      </c>
      <c r="HQ96" s="50">
        <v>59</v>
      </c>
      <c r="HR96" s="49">
        <v>53</v>
      </c>
      <c r="HS96" s="50">
        <v>70</v>
      </c>
      <c r="HT96" s="49">
        <v>-1.4139999999999999</v>
      </c>
      <c r="HU96" s="50">
        <v>0</v>
      </c>
      <c r="HV96" s="49">
        <v>0.24199999999999999</v>
      </c>
      <c r="HW96" s="49">
        <v>42.11</v>
      </c>
      <c r="HX96" s="49">
        <v>45.08</v>
      </c>
      <c r="HY96" s="3"/>
      <c r="HZ96" s="3"/>
      <c r="IA96" s="49">
        <v>2.6850000000000001</v>
      </c>
      <c r="IB96" s="49">
        <v>100</v>
      </c>
      <c r="IC96" s="49">
        <v>19.13</v>
      </c>
      <c r="ID96" s="49">
        <v>-0.154</v>
      </c>
      <c r="IE96" s="49">
        <v>-8.1000000000000003E-2</v>
      </c>
      <c r="IF96" s="49">
        <v>805.9</v>
      </c>
      <c r="IG96" s="49">
        <v>670.6</v>
      </c>
      <c r="IH96" s="49">
        <v>807.1</v>
      </c>
      <c r="II96" s="49">
        <v>685.2</v>
      </c>
      <c r="IJ96" s="49">
        <v>-1E-3</v>
      </c>
      <c r="IK96" s="49">
        <v>7.0000000000000001E-3</v>
      </c>
      <c r="IL96" s="49">
        <v>154.096</v>
      </c>
      <c r="IM96" s="49">
        <v>154.096</v>
      </c>
      <c r="IN96" s="49">
        <v>14.9</v>
      </c>
      <c r="IO96" s="49">
        <v>0.159</v>
      </c>
      <c r="IP96" s="50">
        <v>9.31</v>
      </c>
      <c r="IQ96" s="49">
        <v>8.9999999999999993E-3</v>
      </c>
      <c r="IR96" s="49">
        <v>4.0000000000000001E-3</v>
      </c>
      <c r="IS96">
        <v>0.54600000000000026</v>
      </c>
      <c r="IT96">
        <v>0.32900000000000018</v>
      </c>
    </row>
    <row r="97" spans="2:254" x14ac:dyDescent="0.25">
      <c r="B97" s="2" t="s">
        <v>412</v>
      </c>
      <c r="C97" s="2" t="s">
        <v>42</v>
      </c>
      <c r="D97" s="61">
        <v>3.1888888888888891E-3</v>
      </c>
      <c r="E97" s="49">
        <v>275.56</v>
      </c>
      <c r="F97" s="50">
        <v>331.93</v>
      </c>
      <c r="G97" s="49">
        <v>5.59</v>
      </c>
      <c r="H97" s="50">
        <v>25.8</v>
      </c>
      <c r="I97" s="50">
        <v>0</v>
      </c>
      <c r="J97" s="49">
        <v>10.4</v>
      </c>
      <c r="K97" s="50">
        <v>6</v>
      </c>
      <c r="L97" s="50">
        <v>6</v>
      </c>
      <c r="M97" s="50">
        <v>7</v>
      </c>
      <c r="N97" s="50">
        <v>2</v>
      </c>
      <c r="O97" s="50">
        <v>3</v>
      </c>
      <c r="P97" s="50">
        <v>0.66</v>
      </c>
      <c r="Q97" s="49">
        <v>0.90500000000000003</v>
      </c>
      <c r="R97" s="50">
        <v>0.71599999999999997</v>
      </c>
      <c r="S97" s="3"/>
      <c r="T97" s="49">
        <v>62.41</v>
      </c>
      <c r="U97" s="49">
        <v>60.054000000000002</v>
      </c>
      <c r="V97" s="49">
        <v>203.34</v>
      </c>
      <c r="W97" s="49">
        <v>231.66</v>
      </c>
      <c r="X97" s="49">
        <v>185</v>
      </c>
      <c r="Y97" s="49">
        <v>220</v>
      </c>
      <c r="Z97" s="49">
        <v>382.33</v>
      </c>
      <c r="AA97" s="50">
        <v>409.23</v>
      </c>
      <c r="AB97" s="50">
        <v>297.18</v>
      </c>
      <c r="AC97" s="50">
        <v>358.71</v>
      </c>
      <c r="AD97" s="50">
        <v>1.8380000000000001</v>
      </c>
      <c r="AE97" s="50">
        <v>1.843</v>
      </c>
      <c r="AF97" s="50">
        <v>1.843</v>
      </c>
      <c r="AG97" s="50">
        <v>1.8580000000000001</v>
      </c>
      <c r="AH97" s="50">
        <v>75.8</v>
      </c>
      <c r="AI97" s="50">
        <v>67.16</v>
      </c>
      <c r="AJ97" s="50">
        <v>96.45</v>
      </c>
      <c r="AK97" s="50">
        <v>93.85</v>
      </c>
      <c r="AL97" s="50">
        <v>758.51599999999996</v>
      </c>
      <c r="AM97" s="50">
        <v>705.95600000000002</v>
      </c>
      <c r="AN97" s="49">
        <v>928.68299999999999</v>
      </c>
      <c r="AO97" s="50">
        <v>816.32500000000005</v>
      </c>
      <c r="AP97" s="49">
        <v>1.3939999999999999</v>
      </c>
      <c r="AQ97" s="50">
        <v>1.905</v>
      </c>
      <c r="AR97" s="49">
        <v>42.44</v>
      </c>
      <c r="AS97" s="49">
        <v>38.563000000000002</v>
      </c>
      <c r="AT97" s="49">
        <v>83</v>
      </c>
      <c r="AU97" s="50">
        <v>118</v>
      </c>
      <c r="AV97" s="49">
        <v>2.2519999999999998</v>
      </c>
      <c r="AW97" s="49">
        <v>4.4794</v>
      </c>
      <c r="AX97" s="49">
        <v>1018.3</v>
      </c>
      <c r="AY97" s="49">
        <v>2.48</v>
      </c>
      <c r="AZ97" s="49">
        <v>4.8899999999999997</v>
      </c>
      <c r="BA97" s="49">
        <v>70.903000000000006</v>
      </c>
      <c r="BB97" s="49">
        <v>72.739000000000004</v>
      </c>
      <c r="BC97" s="49">
        <v>7787</v>
      </c>
      <c r="BD97" s="49">
        <v>88.75</v>
      </c>
      <c r="BE97" s="50">
        <v>17</v>
      </c>
      <c r="BF97" s="50">
        <v>15.654999999999999</v>
      </c>
      <c r="BG97" s="50">
        <v>31.25</v>
      </c>
      <c r="BH97" s="49">
        <v>29.46</v>
      </c>
      <c r="BI97" s="3"/>
      <c r="BJ97" s="3"/>
      <c r="BK97" s="3"/>
      <c r="BL97" s="3"/>
      <c r="BM97" s="3"/>
      <c r="BN97" s="49">
        <v>128.072</v>
      </c>
      <c r="BO97" s="49">
        <v>130.26400000000001</v>
      </c>
      <c r="BP97" s="50">
        <v>148.52000000000001</v>
      </c>
      <c r="BQ97" s="49">
        <v>147.624</v>
      </c>
      <c r="BR97" s="3"/>
      <c r="BS97" s="50">
        <v>25.4</v>
      </c>
      <c r="BT97" s="49">
        <v>7138.2610000000004</v>
      </c>
      <c r="BU97" s="49">
        <v>46.683999999999997</v>
      </c>
      <c r="BV97" s="49">
        <v>54.206000000000003</v>
      </c>
      <c r="BW97" s="49">
        <v>54.902000000000001</v>
      </c>
      <c r="BX97" s="49">
        <v>56.42</v>
      </c>
      <c r="BY97" s="49">
        <v>1.363</v>
      </c>
      <c r="BZ97" s="50">
        <v>3.0859999999999999</v>
      </c>
      <c r="CA97" s="49">
        <v>3.008</v>
      </c>
      <c r="CB97" s="50">
        <v>4.0579999999999998</v>
      </c>
      <c r="CC97" s="50">
        <v>1.1859999999999999</v>
      </c>
      <c r="CD97" s="49">
        <v>2.5</v>
      </c>
      <c r="CE97" s="49">
        <v>1.3089999999999999</v>
      </c>
      <c r="CF97" s="49">
        <v>2.15</v>
      </c>
      <c r="CG97" s="50">
        <v>13.76</v>
      </c>
      <c r="CH97" s="49">
        <v>13.574999999999999</v>
      </c>
      <c r="CI97" s="49">
        <v>4.4850000000000003</v>
      </c>
      <c r="CJ97" s="49">
        <v>3.2109999999999999</v>
      </c>
      <c r="CK97" s="49">
        <v>1.37</v>
      </c>
      <c r="CL97" s="49">
        <v>0.2</v>
      </c>
      <c r="CM97" s="49">
        <v>0.1</v>
      </c>
      <c r="CN97" s="50">
        <v>0</v>
      </c>
      <c r="CO97" s="50">
        <v>0</v>
      </c>
      <c r="CP97" s="49">
        <v>109.16</v>
      </c>
      <c r="CQ97" s="49">
        <v>110.755</v>
      </c>
      <c r="CR97" s="50">
        <v>124.80800000000001</v>
      </c>
      <c r="CS97" s="49">
        <v>126.488</v>
      </c>
      <c r="CT97" s="49">
        <v>0.40300000000000002</v>
      </c>
      <c r="CU97" s="49">
        <v>0.79800000000000004</v>
      </c>
      <c r="CV97" s="49">
        <v>1.198</v>
      </c>
      <c r="CW97" s="49">
        <v>1.796</v>
      </c>
      <c r="CX97" s="49">
        <v>2.0009999999999999</v>
      </c>
      <c r="CY97" s="50">
        <v>0.998</v>
      </c>
      <c r="CZ97" s="49">
        <v>1.595</v>
      </c>
      <c r="DA97" s="49">
        <v>1</v>
      </c>
      <c r="DB97" s="49">
        <v>1.5029999999999999</v>
      </c>
      <c r="DC97" s="50">
        <v>0</v>
      </c>
      <c r="DD97" s="50">
        <v>0</v>
      </c>
      <c r="DE97" s="49">
        <v>0.17699999999999999</v>
      </c>
      <c r="DF97" s="49">
        <v>0.08</v>
      </c>
      <c r="DG97" s="49">
        <v>0.28999999999999998</v>
      </c>
      <c r="DH97" s="49">
        <v>1.7629999999999999</v>
      </c>
      <c r="DI97" s="49">
        <v>0.93899999999999995</v>
      </c>
      <c r="DJ97" s="49">
        <v>9.1999999999999998E-2</v>
      </c>
      <c r="DK97" s="50">
        <v>1.032</v>
      </c>
      <c r="DL97" s="49">
        <v>0.39500000000000002</v>
      </c>
      <c r="DM97" s="49">
        <v>0.38500000000000001</v>
      </c>
      <c r="DN97" s="49">
        <v>0.109</v>
      </c>
      <c r="DO97" s="49">
        <v>-0.30599999999999999</v>
      </c>
      <c r="DP97" s="50">
        <v>65.257000000000005</v>
      </c>
      <c r="DQ97" s="50">
        <v>62.396999999999998</v>
      </c>
      <c r="DR97" s="49">
        <v>55.161999999999999</v>
      </c>
      <c r="DS97" s="50">
        <v>52.654000000000003</v>
      </c>
      <c r="DT97" s="49">
        <v>4.6399999999999997</v>
      </c>
      <c r="DU97" s="49">
        <v>4.3099999999999996</v>
      </c>
      <c r="DV97" s="49">
        <v>7.72</v>
      </c>
      <c r="DW97" s="49">
        <v>5.63</v>
      </c>
      <c r="DX97" s="49">
        <v>4.57</v>
      </c>
      <c r="DY97" s="49">
        <v>4.62</v>
      </c>
      <c r="DZ97" s="49">
        <v>7.27</v>
      </c>
      <c r="EA97" s="49">
        <v>5.6</v>
      </c>
      <c r="EB97" s="49">
        <v>42.2</v>
      </c>
      <c r="EC97" s="49">
        <v>42.5</v>
      </c>
      <c r="ED97" s="49">
        <v>35.380000000000003</v>
      </c>
      <c r="EE97" s="49">
        <v>38.06</v>
      </c>
      <c r="EF97" s="49">
        <v>48.58</v>
      </c>
      <c r="EG97" s="49">
        <v>48.57</v>
      </c>
      <c r="EH97" s="49">
        <v>49.62</v>
      </c>
      <c r="EI97" s="49">
        <v>50.71</v>
      </c>
      <c r="EJ97" s="49">
        <v>7.165</v>
      </c>
      <c r="EK97" s="49">
        <v>62.25</v>
      </c>
      <c r="EL97" s="49">
        <v>2.25</v>
      </c>
      <c r="EM97" s="49">
        <v>1.8</v>
      </c>
      <c r="EN97" s="49">
        <v>1.44</v>
      </c>
      <c r="EO97" s="49">
        <v>1.43</v>
      </c>
      <c r="EP97" s="50">
        <v>-133.96199999999999</v>
      </c>
      <c r="EQ97" s="49">
        <v>-2.3439999999999999</v>
      </c>
      <c r="ER97" s="49">
        <v>88.834000000000003</v>
      </c>
      <c r="ES97" s="50">
        <v>1.5409999999999999</v>
      </c>
      <c r="ET97" s="49">
        <v>1.6279999999999999</v>
      </c>
      <c r="EU97" s="50">
        <v>1.5109999999999999</v>
      </c>
      <c r="EV97" s="49">
        <v>7.468</v>
      </c>
      <c r="EW97" s="49">
        <v>2.8439999999999999</v>
      </c>
      <c r="EX97" s="49">
        <v>66.959999999999994</v>
      </c>
      <c r="EY97" s="49">
        <v>0</v>
      </c>
      <c r="EZ97" s="49">
        <v>1.0999999999999999E-2</v>
      </c>
      <c r="FA97" s="50">
        <v>0</v>
      </c>
      <c r="FB97" s="49">
        <v>9.1010000000000009</v>
      </c>
      <c r="FC97" s="50">
        <v>69.546000000000006</v>
      </c>
      <c r="FD97" s="50">
        <v>64.260000000000005</v>
      </c>
      <c r="FE97" s="49">
        <v>76.045000000000002</v>
      </c>
      <c r="FF97" s="49">
        <v>74.302000000000007</v>
      </c>
      <c r="FG97" s="49">
        <v>0.91700000000000004</v>
      </c>
      <c r="FH97" s="49">
        <v>0.91900000000000004</v>
      </c>
      <c r="FI97" s="49">
        <v>0.99299999999999999</v>
      </c>
      <c r="FJ97" s="49">
        <v>0.998</v>
      </c>
      <c r="FK97" s="49">
        <v>0</v>
      </c>
      <c r="FL97" s="49">
        <v>83</v>
      </c>
      <c r="FM97" s="49">
        <v>3.7</v>
      </c>
      <c r="FN97" s="49">
        <v>0.05</v>
      </c>
      <c r="FO97" s="49">
        <v>4.99</v>
      </c>
      <c r="FP97" s="49">
        <v>4.3499999999999996</v>
      </c>
      <c r="FQ97" s="49">
        <v>4.5</v>
      </c>
      <c r="FR97" s="50">
        <v>4.9000000000000004</v>
      </c>
      <c r="FS97" s="49">
        <v>6.4335000000000004</v>
      </c>
      <c r="FT97" s="50">
        <v>1076.3</v>
      </c>
      <c r="FU97" s="49">
        <v>6.21</v>
      </c>
      <c r="FV97" s="49">
        <v>11.35</v>
      </c>
      <c r="FW97" s="49">
        <v>2888.5</v>
      </c>
      <c r="FX97" s="49">
        <v>159400</v>
      </c>
      <c r="FY97" s="49">
        <v>161300</v>
      </c>
      <c r="FZ97" s="49">
        <v>47.689</v>
      </c>
      <c r="GA97" s="49">
        <v>48.408999999999999</v>
      </c>
      <c r="GB97" s="49">
        <v>2145.6</v>
      </c>
      <c r="GC97" s="49">
        <v>2146.1</v>
      </c>
      <c r="GD97" s="49">
        <v>2162.6</v>
      </c>
      <c r="GE97" s="50">
        <v>2305.4</v>
      </c>
      <c r="GF97" s="49">
        <v>1527.5155999999999</v>
      </c>
      <c r="GG97" s="49">
        <v>29</v>
      </c>
      <c r="GH97" s="49">
        <v>28.6</v>
      </c>
      <c r="GI97" s="49">
        <v>46.7</v>
      </c>
      <c r="GJ97" s="49">
        <v>52.4</v>
      </c>
      <c r="GK97" s="49">
        <v>99.5</v>
      </c>
      <c r="GL97" s="50">
        <v>114.4</v>
      </c>
      <c r="GM97" s="50">
        <v>0</v>
      </c>
      <c r="GN97" s="49">
        <v>24.821000000000002</v>
      </c>
      <c r="GO97" s="50">
        <v>133.96199999999999</v>
      </c>
      <c r="GP97" s="49">
        <v>0.94399999999999995</v>
      </c>
      <c r="GQ97" s="49">
        <v>1.8879999999999999</v>
      </c>
      <c r="GR97" s="49">
        <v>1.298</v>
      </c>
      <c r="GS97" s="49">
        <v>2.0059999999999998</v>
      </c>
      <c r="GT97" s="49">
        <v>1.0029999999999999</v>
      </c>
      <c r="GU97" s="49">
        <v>1.829</v>
      </c>
      <c r="GV97" s="50">
        <v>0</v>
      </c>
      <c r="GW97" s="49">
        <v>0</v>
      </c>
      <c r="GX97" s="49">
        <v>0</v>
      </c>
      <c r="GY97" s="49">
        <v>12.25</v>
      </c>
      <c r="GZ97" s="50">
        <v>13.794</v>
      </c>
      <c r="HA97" s="49">
        <v>15.19</v>
      </c>
      <c r="HB97" s="49">
        <v>0</v>
      </c>
      <c r="HC97" s="49">
        <v>36.237000000000002</v>
      </c>
      <c r="HD97" s="50">
        <v>90</v>
      </c>
      <c r="HE97" s="50">
        <v>0</v>
      </c>
      <c r="HF97" s="50">
        <v>0</v>
      </c>
      <c r="HG97" s="49">
        <v>70.53</v>
      </c>
      <c r="HH97" s="49">
        <v>80.099999999999994</v>
      </c>
      <c r="HI97" s="50">
        <v>0</v>
      </c>
      <c r="HJ97" s="50">
        <v>0</v>
      </c>
      <c r="HK97" s="50">
        <v>0</v>
      </c>
      <c r="HL97" s="49">
        <v>60</v>
      </c>
      <c r="HM97" s="50">
        <v>51</v>
      </c>
      <c r="HN97" s="49">
        <v>64</v>
      </c>
      <c r="HO97" s="50">
        <v>58</v>
      </c>
      <c r="HP97" s="50">
        <v>62</v>
      </c>
      <c r="HQ97" s="50">
        <v>59</v>
      </c>
      <c r="HR97" s="49">
        <v>53</v>
      </c>
      <c r="HS97" s="50">
        <v>70</v>
      </c>
      <c r="HT97" s="49">
        <v>-1.4515</v>
      </c>
      <c r="HU97" s="50">
        <v>0</v>
      </c>
      <c r="HV97" s="50">
        <v>0.442</v>
      </c>
      <c r="HW97" s="49">
        <v>41.09</v>
      </c>
      <c r="HX97" s="49">
        <v>45.08</v>
      </c>
      <c r="HY97" s="3"/>
      <c r="HZ97" s="3"/>
      <c r="IA97" s="49">
        <v>2.7229999999999999</v>
      </c>
      <c r="IB97" s="49">
        <v>101</v>
      </c>
      <c r="IC97" s="49">
        <v>20.940999999999999</v>
      </c>
      <c r="ID97" s="49">
        <v>-0.22600000000000001</v>
      </c>
      <c r="IE97" s="49">
        <v>-0.124</v>
      </c>
      <c r="IF97" s="49">
        <v>806.3</v>
      </c>
      <c r="IG97" s="49">
        <v>694.2</v>
      </c>
      <c r="IH97" s="49">
        <v>815.3</v>
      </c>
      <c r="II97" s="49">
        <v>709.4</v>
      </c>
      <c r="IJ97" s="49">
        <v>-8.0000000000000002E-3</v>
      </c>
      <c r="IK97" s="50">
        <v>5.1999999999999998E-2</v>
      </c>
      <c r="IL97" s="49">
        <v>153.63</v>
      </c>
      <c r="IM97" s="49">
        <v>153.63</v>
      </c>
      <c r="IN97" s="49">
        <v>15.512</v>
      </c>
      <c r="IO97" s="49">
        <v>0.28899999999999998</v>
      </c>
      <c r="IP97" s="49">
        <v>9.14</v>
      </c>
      <c r="IQ97" s="49">
        <v>6.0000000000000001E-3</v>
      </c>
      <c r="IR97" s="49">
        <v>6.0000000000000001E-3</v>
      </c>
      <c r="IS97">
        <v>0.55200000000000027</v>
      </c>
      <c r="IT97">
        <v>0.33500000000000019</v>
      </c>
    </row>
    <row r="98" spans="2:254" x14ac:dyDescent="0.25">
      <c r="B98" s="2" t="s">
        <v>412</v>
      </c>
      <c r="C98" s="2" t="s">
        <v>43</v>
      </c>
      <c r="D98" s="61">
        <v>2.83125E-3</v>
      </c>
      <c r="E98" s="49">
        <v>244.68</v>
      </c>
      <c r="F98" s="49">
        <v>329.08</v>
      </c>
      <c r="G98" s="49">
        <v>5.74</v>
      </c>
      <c r="H98" s="49">
        <v>25.5</v>
      </c>
      <c r="I98" s="50">
        <v>0</v>
      </c>
      <c r="J98" s="49">
        <v>15</v>
      </c>
      <c r="K98" s="50">
        <v>6</v>
      </c>
      <c r="L98" s="50">
        <v>6</v>
      </c>
      <c r="M98" s="50">
        <v>7</v>
      </c>
      <c r="N98" s="50">
        <v>2</v>
      </c>
      <c r="O98" s="50">
        <v>3</v>
      </c>
      <c r="P98" s="49">
        <v>0.58799999999999997</v>
      </c>
      <c r="Q98" s="49">
        <v>1.1240000000000001</v>
      </c>
      <c r="R98" s="49">
        <v>0.48799999999999999</v>
      </c>
      <c r="S98" s="49">
        <v>0.29799999999999999</v>
      </c>
      <c r="T98" s="49">
        <v>73.3</v>
      </c>
      <c r="U98" s="49">
        <v>60.319000000000003</v>
      </c>
      <c r="V98" s="49">
        <v>225</v>
      </c>
      <c r="W98" s="49">
        <v>248.34</v>
      </c>
      <c r="X98" s="49">
        <v>162.5</v>
      </c>
      <c r="Y98" s="49">
        <v>210</v>
      </c>
      <c r="Z98" s="49">
        <v>364.18</v>
      </c>
      <c r="AA98" s="49">
        <v>389.95</v>
      </c>
      <c r="AB98" s="49">
        <v>274.14</v>
      </c>
      <c r="AC98" s="49">
        <v>351.72</v>
      </c>
      <c r="AD98" s="49">
        <v>1.796</v>
      </c>
      <c r="AE98" s="49">
        <v>1.8029999999999999</v>
      </c>
      <c r="AF98" s="49">
        <v>1.8069999999999999</v>
      </c>
      <c r="AG98" s="49">
        <v>1.821</v>
      </c>
      <c r="AH98" s="49">
        <v>68.77</v>
      </c>
      <c r="AI98" s="49">
        <v>60.6</v>
      </c>
      <c r="AJ98" s="49">
        <v>89.33</v>
      </c>
      <c r="AK98" s="49">
        <v>86.66</v>
      </c>
      <c r="AL98" s="49">
        <v>642.25</v>
      </c>
      <c r="AM98" s="49">
        <v>644.29600000000005</v>
      </c>
      <c r="AN98" s="49">
        <v>810.471</v>
      </c>
      <c r="AO98" s="49">
        <v>762.37699999999995</v>
      </c>
      <c r="AP98" s="49">
        <v>1.413</v>
      </c>
      <c r="AQ98" s="49">
        <v>1.8740000000000001</v>
      </c>
      <c r="AR98" s="49">
        <v>40.372</v>
      </c>
      <c r="AS98" s="49">
        <v>37.076000000000001</v>
      </c>
      <c r="AT98" s="49">
        <v>82</v>
      </c>
      <c r="AU98" s="49">
        <v>115</v>
      </c>
      <c r="AV98" s="49">
        <v>1.8485</v>
      </c>
      <c r="AW98" s="49">
        <v>4.5849000000000002</v>
      </c>
      <c r="AX98" s="49">
        <v>1014.2</v>
      </c>
      <c r="AY98" s="49">
        <v>2.41</v>
      </c>
      <c r="AZ98" s="49">
        <v>4.8600000000000003</v>
      </c>
      <c r="BA98" s="49">
        <v>73.822000000000003</v>
      </c>
      <c r="BB98" s="49">
        <v>73.900000000000006</v>
      </c>
      <c r="BC98" s="49">
        <v>7670</v>
      </c>
      <c r="BD98" s="50">
        <v>89.25</v>
      </c>
      <c r="BE98" s="49">
        <v>15.715</v>
      </c>
      <c r="BF98" s="49">
        <v>14.22</v>
      </c>
      <c r="BG98" s="49">
        <v>28.9</v>
      </c>
      <c r="BH98" s="49">
        <v>26.04</v>
      </c>
      <c r="BI98" s="3"/>
      <c r="BJ98" s="3"/>
      <c r="BK98" s="3"/>
      <c r="BL98" s="3"/>
      <c r="BM98" s="3"/>
      <c r="BN98" s="49">
        <v>115.048</v>
      </c>
      <c r="BO98" s="49">
        <v>117.64</v>
      </c>
      <c r="BP98" s="49">
        <v>137.36799999999999</v>
      </c>
      <c r="BQ98" s="49">
        <v>140.96799999999999</v>
      </c>
      <c r="BR98" s="3"/>
      <c r="BS98" s="49">
        <v>25.2</v>
      </c>
      <c r="BT98" s="49">
        <v>7142.442</v>
      </c>
      <c r="BU98" s="49">
        <v>47.988999999999997</v>
      </c>
      <c r="BV98" s="49">
        <v>54.753999999999998</v>
      </c>
      <c r="BW98" s="49">
        <v>54.097999999999999</v>
      </c>
      <c r="BX98" s="49">
        <v>57.225000000000001</v>
      </c>
      <c r="BY98" s="49">
        <v>1.43</v>
      </c>
      <c r="BZ98" s="49">
        <v>2.782</v>
      </c>
      <c r="CA98" s="49">
        <v>2.7330000000000001</v>
      </c>
      <c r="CB98" s="49">
        <v>3.3969999999999998</v>
      </c>
      <c r="CC98" s="49">
        <v>1.0489999999999999</v>
      </c>
      <c r="CD98" s="49">
        <v>2.2890000000000001</v>
      </c>
      <c r="CE98" s="49">
        <v>1.2669999999999999</v>
      </c>
      <c r="CF98" s="49">
        <v>2.0619999999999998</v>
      </c>
      <c r="CG98" s="49">
        <v>13.749000000000001</v>
      </c>
      <c r="CH98" s="49">
        <v>13.56</v>
      </c>
      <c r="CI98" s="49">
        <v>4.6950000000000003</v>
      </c>
      <c r="CJ98" s="49">
        <v>3.7309999999999999</v>
      </c>
      <c r="CK98" s="50">
        <v>1.6619999999999999</v>
      </c>
      <c r="CL98" s="50">
        <v>0.5</v>
      </c>
      <c r="CM98" s="50">
        <v>0.9</v>
      </c>
      <c r="CN98" s="50">
        <v>0</v>
      </c>
      <c r="CO98" s="50">
        <v>0</v>
      </c>
      <c r="CP98" s="49">
        <v>100.672</v>
      </c>
      <c r="CQ98" s="49">
        <v>103.505</v>
      </c>
      <c r="CR98" s="49">
        <v>122.47799999999999</v>
      </c>
      <c r="CS98" s="50">
        <v>127.776</v>
      </c>
      <c r="CT98" s="50">
        <v>0.47</v>
      </c>
      <c r="CU98" s="49">
        <v>0.89900000000000002</v>
      </c>
      <c r="CV98" s="49">
        <v>1.9990000000000001</v>
      </c>
      <c r="CW98" s="49">
        <v>1.9019999999999999</v>
      </c>
      <c r="CX98" s="49">
        <v>1.8979999999999999</v>
      </c>
      <c r="CY98" s="49">
        <v>0.7</v>
      </c>
      <c r="CZ98" s="49">
        <v>1.6</v>
      </c>
      <c r="DA98" s="50">
        <v>1.3009999999999999</v>
      </c>
      <c r="DB98" s="50">
        <v>2.2050000000000001</v>
      </c>
      <c r="DC98" s="50">
        <v>0</v>
      </c>
      <c r="DD98" s="50">
        <v>0</v>
      </c>
      <c r="DE98" s="49">
        <v>0.186</v>
      </c>
      <c r="DF98" s="49">
        <v>7.3999999999999996E-2</v>
      </c>
      <c r="DG98" s="50">
        <v>0.66800000000000004</v>
      </c>
      <c r="DH98" s="49">
        <v>1.478</v>
      </c>
      <c r="DI98" s="49">
        <v>0.73599999999999999</v>
      </c>
      <c r="DJ98" s="50">
        <v>0.187</v>
      </c>
      <c r="DK98" s="49">
        <v>0.95399999999999996</v>
      </c>
      <c r="DL98" s="49">
        <v>0.41</v>
      </c>
      <c r="DM98" s="49">
        <v>0.39400000000000002</v>
      </c>
      <c r="DN98" s="49">
        <v>-0.999</v>
      </c>
      <c r="DO98" s="49">
        <v>0.31900000000000001</v>
      </c>
      <c r="DP98" s="49">
        <v>62.857999999999997</v>
      </c>
      <c r="DQ98" s="49">
        <v>61.436999999999998</v>
      </c>
      <c r="DR98" s="49">
        <v>53.933</v>
      </c>
      <c r="DS98" s="49">
        <v>52.085999999999999</v>
      </c>
      <c r="DT98" s="49">
        <v>4.9800000000000004</v>
      </c>
      <c r="DU98" s="49">
        <v>4.84</v>
      </c>
      <c r="DV98" s="49">
        <v>8.91</v>
      </c>
      <c r="DW98" s="49">
        <v>6.77</v>
      </c>
      <c r="DX98" s="49">
        <v>5.1100000000000003</v>
      </c>
      <c r="DY98" s="49">
        <v>4.96</v>
      </c>
      <c r="DZ98" s="49">
        <v>8.3000000000000007</v>
      </c>
      <c r="EA98" s="49">
        <v>6.57</v>
      </c>
      <c r="EB98" s="49">
        <v>42.46</v>
      </c>
      <c r="EC98" s="50">
        <v>42.63</v>
      </c>
      <c r="ED98" s="50">
        <v>36.17</v>
      </c>
      <c r="EE98" s="50">
        <v>38.75</v>
      </c>
      <c r="EF98" s="49">
        <v>47.44</v>
      </c>
      <c r="EG98" s="49">
        <v>47.57</v>
      </c>
      <c r="EH98" s="49">
        <v>46.62</v>
      </c>
      <c r="EI98" s="49">
        <v>47.92</v>
      </c>
      <c r="EJ98" s="49">
        <v>7.024</v>
      </c>
      <c r="EK98" s="49">
        <v>62.633000000000003</v>
      </c>
      <c r="EL98" s="49">
        <v>2.2000000000000002</v>
      </c>
      <c r="EM98" s="50">
        <v>1.75</v>
      </c>
      <c r="EN98" s="49">
        <v>1.25</v>
      </c>
      <c r="EO98" s="49">
        <v>1.25</v>
      </c>
      <c r="EP98" s="49">
        <v>-98.046000000000006</v>
      </c>
      <c r="EQ98" s="49">
        <v>-2.617</v>
      </c>
      <c r="ER98" s="49">
        <v>82.41</v>
      </c>
      <c r="ES98" s="49">
        <v>1.516</v>
      </c>
      <c r="ET98" s="50">
        <v>1.633</v>
      </c>
      <c r="EU98" s="49">
        <v>1.4810000000000001</v>
      </c>
      <c r="EV98" s="50">
        <v>7.6680000000000001</v>
      </c>
      <c r="EW98" s="49">
        <v>2.867</v>
      </c>
      <c r="EX98" s="49">
        <v>69.06</v>
      </c>
      <c r="EY98" s="50">
        <v>9.9000000000000005E-2</v>
      </c>
      <c r="EZ98" s="50">
        <v>1.9450000000000001</v>
      </c>
      <c r="FA98" s="50">
        <v>0</v>
      </c>
      <c r="FB98" s="49">
        <v>9.0980000000000008</v>
      </c>
      <c r="FC98" s="49">
        <v>67.37</v>
      </c>
      <c r="FD98" s="49">
        <v>62.777000000000001</v>
      </c>
      <c r="FE98" s="49">
        <v>74.984999999999999</v>
      </c>
      <c r="FF98" s="49">
        <v>73.225999999999999</v>
      </c>
      <c r="FG98" s="49">
        <v>0.92300000000000004</v>
      </c>
      <c r="FH98" s="49">
        <v>0.92300000000000004</v>
      </c>
      <c r="FI98" s="49">
        <v>0.998</v>
      </c>
      <c r="FJ98" s="49">
        <v>1.002</v>
      </c>
      <c r="FK98" s="49">
        <v>0</v>
      </c>
      <c r="FL98" s="49">
        <v>83</v>
      </c>
      <c r="FM98" s="49">
        <v>3.54</v>
      </c>
      <c r="FN98" s="50">
        <v>-0.71</v>
      </c>
      <c r="FO98" s="49">
        <v>5.16</v>
      </c>
      <c r="FP98" s="49">
        <v>4.5999999999999996</v>
      </c>
      <c r="FQ98" s="49">
        <v>4.55</v>
      </c>
      <c r="FR98" s="49">
        <v>5.05</v>
      </c>
      <c r="FS98" s="49">
        <v>6.3710000000000004</v>
      </c>
      <c r="FT98" s="49">
        <v>1069.7</v>
      </c>
      <c r="FU98" s="49">
        <v>6.05</v>
      </c>
      <c r="FV98" s="49">
        <v>17.09</v>
      </c>
      <c r="FW98" s="49">
        <v>2961.5</v>
      </c>
      <c r="FX98" s="49">
        <v>160700</v>
      </c>
      <c r="FY98" s="49">
        <v>161200</v>
      </c>
      <c r="FZ98" s="49">
        <v>47.750999999999998</v>
      </c>
      <c r="GA98" s="50">
        <v>48.534999999999997</v>
      </c>
      <c r="GB98" s="49">
        <v>2151.3000000000002</v>
      </c>
      <c r="GC98" s="49">
        <v>2154.1999999999998</v>
      </c>
      <c r="GD98" s="49">
        <v>2170.3000000000002</v>
      </c>
      <c r="GE98" s="49">
        <v>2172.6999999999998</v>
      </c>
      <c r="GF98" s="50">
        <v>1658.1719000000001</v>
      </c>
      <c r="GG98" s="49">
        <v>29</v>
      </c>
      <c r="GH98" s="49">
        <v>29.1</v>
      </c>
      <c r="GI98" s="49">
        <v>46.9</v>
      </c>
      <c r="GJ98" s="49">
        <v>52.4</v>
      </c>
      <c r="GK98" s="49">
        <v>99.5</v>
      </c>
      <c r="GL98" s="49">
        <v>108.1</v>
      </c>
      <c r="GM98" s="50">
        <v>0</v>
      </c>
      <c r="GN98" s="50">
        <v>26.094000000000001</v>
      </c>
      <c r="GO98" s="49">
        <v>98.046000000000006</v>
      </c>
      <c r="GP98" s="49">
        <v>0.88500000000000001</v>
      </c>
      <c r="GQ98" s="49">
        <v>1.9470000000000001</v>
      </c>
      <c r="GR98" s="49">
        <v>1.298</v>
      </c>
      <c r="GS98" s="49">
        <v>2.0059999999999998</v>
      </c>
      <c r="GT98" s="49">
        <v>0.76700000000000002</v>
      </c>
      <c r="GU98" s="49">
        <v>1.829</v>
      </c>
      <c r="GV98" s="50">
        <v>0</v>
      </c>
      <c r="GW98" s="49">
        <v>0</v>
      </c>
      <c r="GX98" s="49">
        <v>0</v>
      </c>
      <c r="GY98" s="49">
        <v>11.858000000000001</v>
      </c>
      <c r="GZ98" s="49">
        <v>13.75</v>
      </c>
      <c r="HA98" s="49">
        <v>15.68</v>
      </c>
      <c r="HB98" s="49">
        <v>0</v>
      </c>
      <c r="HC98" s="50">
        <v>36.314999999999998</v>
      </c>
      <c r="HD98" s="49">
        <v>86</v>
      </c>
      <c r="HE98" s="50">
        <v>0</v>
      </c>
      <c r="HF98" s="50">
        <v>0</v>
      </c>
      <c r="HG98" s="49">
        <v>70.41</v>
      </c>
      <c r="HH98" s="49">
        <v>79.760000000000005</v>
      </c>
      <c r="HI98" s="50">
        <v>0</v>
      </c>
      <c r="HJ98" s="50">
        <v>0</v>
      </c>
      <c r="HK98" s="50">
        <v>0</v>
      </c>
      <c r="HL98" s="49">
        <v>61</v>
      </c>
      <c r="HM98" s="49">
        <v>50</v>
      </c>
      <c r="HN98" s="49">
        <v>64</v>
      </c>
      <c r="HO98" s="50">
        <v>58</v>
      </c>
      <c r="HP98" s="49">
        <v>61</v>
      </c>
      <c r="HQ98" s="50">
        <v>59</v>
      </c>
      <c r="HR98" s="49">
        <v>53</v>
      </c>
      <c r="HS98" s="49">
        <v>62</v>
      </c>
      <c r="HT98" s="49">
        <v>-1.456</v>
      </c>
      <c r="HU98" s="50">
        <v>0</v>
      </c>
      <c r="HV98" s="49">
        <v>9.6000000000000002E-2</v>
      </c>
      <c r="HW98" s="50">
        <v>35.299999999999997</v>
      </c>
      <c r="HX98" s="49">
        <v>46</v>
      </c>
      <c r="HY98" s="50">
        <v>56.22</v>
      </c>
      <c r="HZ98" s="50">
        <v>56.22</v>
      </c>
      <c r="IA98" s="50">
        <v>3.0070000000000001</v>
      </c>
      <c r="IB98" s="49">
        <v>101</v>
      </c>
      <c r="IC98" s="49">
        <v>20.481000000000002</v>
      </c>
      <c r="ID98" s="49">
        <v>-0.11700000000000001</v>
      </c>
      <c r="IE98" s="49">
        <v>-6.3E-2</v>
      </c>
      <c r="IF98" s="49">
        <v>807.1</v>
      </c>
      <c r="IG98" s="49">
        <v>739.4</v>
      </c>
      <c r="IH98" s="50">
        <v>827.3</v>
      </c>
      <c r="II98" s="49">
        <v>751.9</v>
      </c>
      <c r="IJ98" s="50">
        <v>2E-3</v>
      </c>
      <c r="IK98" s="49">
        <v>3.2000000000000001E-2</v>
      </c>
      <c r="IL98" s="49">
        <v>105.727</v>
      </c>
      <c r="IM98" s="49">
        <v>105.727</v>
      </c>
      <c r="IN98" s="49">
        <v>12.699</v>
      </c>
      <c r="IO98" s="49">
        <v>0.36299999999999999</v>
      </c>
      <c r="IP98" s="49">
        <v>9.15</v>
      </c>
      <c r="IQ98" s="49">
        <v>2E-3</v>
      </c>
      <c r="IR98" s="49">
        <v>4.0000000000000001E-3</v>
      </c>
      <c r="IS98">
        <v>0.55400000000000027</v>
      </c>
      <c r="IT98">
        <v>0.33900000000000019</v>
      </c>
    </row>
    <row r="99" spans="2:254" x14ac:dyDescent="0.25">
      <c r="B99" s="2" t="s">
        <v>412</v>
      </c>
      <c r="C99" s="62" t="s">
        <v>44</v>
      </c>
      <c r="D99" s="63">
        <v>2.5331018518518519E-3</v>
      </c>
      <c r="E99" s="49">
        <v>218.9</v>
      </c>
      <c r="F99" s="49">
        <v>329.12</v>
      </c>
      <c r="G99" s="50">
        <v>6.04</v>
      </c>
      <c r="H99" s="49">
        <v>25.3</v>
      </c>
      <c r="I99" s="50">
        <v>0</v>
      </c>
      <c r="J99" s="49">
        <v>10.4</v>
      </c>
      <c r="K99" s="50">
        <v>6</v>
      </c>
      <c r="L99" s="50">
        <v>6</v>
      </c>
      <c r="M99" s="50">
        <v>7</v>
      </c>
      <c r="N99" s="50">
        <v>2</v>
      </c>
      <c r="O99" s="50">
        <v>3</v>
      </c>
      <c r="P99" s="49">
        <v>0.40799999999999997</v>
      </c>
      <c r="Q99" s="50">
        <v>1.1819999999999999</v>
      </c>
      <c r="R99" s="49">
        <v>0.12</v>
      </c>
      <c r="S99" s="49">
        <v>2.3E-2</v>
      </c>
      <c r="T99" s="50">
        <v>76.39</v>
      </c>
      <c r="U99" s="49">
        <v>60.238</v>
      </c>
      <c r="V99" s="49">
        <v>228.34</v>
      </c>
      <c r="W99" s="49">
        <v>248.34</v>
      </c>
      <c r="X99" s="49">
        <v>150</v>
      </c>
      <c r="Y99" s="49">
        <v>200</v>
      </c>
      <c r="Z99" s="50">
        <v>384</v>
      </c>
      <c r="AA99" s="49">
        <v>407.3</v>
      </c>
      <c r="AB99" s="49">
        <v>280.67</v>
      </c>
      <c r="AC99" s="49">
        <v>357.44</v>
      </c>
      <c r="AD99" s="49">
        <v>1.7969999999999999</v>
      </c>
      <c r="AE99" s="49">
        <v>1.8080000000000001</v>
      </c>
      <c r="AF99" s="49">
        <v>1.819</v>
      </c>
      <c r="AG99" s="49">
        <v>1.8320000000000001</v>
      </c>
      <c r="AH99" s="49">
        <v>71.59</v>
      </c>
      <c r="AI99" s="49">
        <v>63.1</v>
      </c>
      <c r="AJ99" s="49">
        <v>93.1</v>
      </c>
      <c r="AK99" s="49">
        <v>91.14</v>
      </c>
      <c r="AL99" s="49">
        <v>660.23900000000003</v>
      </c>
      <c r="AM99" s="49">
        <v>674.15499999999997</v>
      </c>
      <c r="AN99" s="49">
        <v>848.44200000000001</v>
      </c>
      <c r="AO99" s="49">
        <v>798.87699999999995</v>
      </c>
      <c r="AP99" s="49">
        <v>1.3959999999999999</v>
      </c>
      <c r="AQ99" s="49">
        <v>1.869</v>
      </c>
      <c r="AR99" s="49">
        <v>41.786000000000001</v>
      </c>
      <c r="AS99" s="49">
        <v>38.802999999999997</v>
      </c>
      <c r="AT99" s="49">
        <v>83</v>
      </c>
      <c r="AU99" s="49">
        <v>115</v>
      </c>
      <c r="AV99" s="50">
        <v>1.3839999999999999</v>
      </c>
      <c r="AW99" s="50">
        <v>4.7634999999999996</v>
      </c>
      <c r="AX99" s="49">
        <v>1013.4</v>
      </c>
      <c r="AY99" s="49">
        <v>2.46</v>
      </c>
      <c r="AZ99" s="49">
        <v>4.8899999999999997</v>
      </c>
      <c r="BA99" s="49">
        <v>95.126000000000005</v>
      </c>
      <c r="BB99" s="49">
        <v>95.466999999999999</v>
      </c>
      <c r="BC99" s="50">
        <v>7795</v>
      </c>
      <c r="BD99" s="50">
        <v>89.25</v>
      </c>
      <c r="BE99" s="49">
        <v>14.62</v>
      </c>
      <c r="BF99" s="49">
        <v>11.74</v>
      </c>
      <c r="BG99" s="49">
        <v>29.75</v>
      </c>
      <c r="BH99" s="49">
        <v>29.03</v>
      </c>
      <c r="BI99" s="3"/>
      <c r="BJ99" s="3"/>
      <c r="BK99" s="3"/>
      <c r="BL99" s="3"/>
      <c r="BM99" s="3"/>
      <c r="BN99" s="49">
        <v>102.392</v>
      </c>
      <c r="BO99" s="49">
        <v>104.024</v>
      </c>
      <c r="BP99" s="49">
        <v>124.712</v>
      </c>
      <c r="BQ99" s="49">
        <v>130.12</v>
      </c>
      <c r="BR99" s="3"/>
      <c r="BS99" s="49">
        <v>25</v>
      </c>
      <c r="BT99" s="50">
        <v>7236.0479999999998</v>
      </c>
      <c r="BU99" s="49">
        <v>50.600999999999999</v>
      </c>
      <c r="BV99" s="49">
        <v>53.741999999999997</v>
      </c>
      <c r="BW99" s="49">
        <v>54.762</v>
      </c>
      <c r="BX99" s="49">
        <v>56.462000000000003</v>
      </c>
      <c r="BY99" s="50">
        <v>1.6639999999999999</v>
      </c>
      <c r="BZ99" s="49">
        <v>3.008</v>
      </c>
      <c r="CA99" s="50">
        <v>3.6259999999999999</v>
      </c>
      <c r="CB99" s="49">
        <v>4.0110000000000001</v>
      </c>
      <c r="CC99" s="49">
        <v>0.96599999999999997</v>
      </c>
      <c r="CD99" s="49">
        <v>2.2530000000000001</v>
      </c>
      <c r="CE99" s="49">
        <v>1.29</v>
      </c>
      <c r="CF99" s="49">
        <v>2.141</v>
      </c>
      <c r="CG99" s="49">
        <v>13.738</v>
      </c>
      <c r="CH99" s="49">
        <v>13.531000000000001</v>
      </c>
      <c r="CI99" s="49">
        <v>3.3180000000000001</v>
      </c>
      <c r="CJ99" s="49">
        <v>2.8860000000000001</v>
      </c>
      <c r="CK99" s="49">
        <v>1.1599999999999999</v>
      </c>
      <c r="CL99" s="49">
        <v>0.1</v>
      </c>
      <c r="CM99" s="49">
        <v>0.6</v>
      </c>
      <c r="CN99" s="50">
        <v>0</v>
      </c>
      <c r="CO99" s="50">
        <v>0</v>
      </c>
      <c r="CP99" s="49">
        <v>95.433000000000007</v>
      </c>
      <c r="CQ99" s="49">
        <v>97.16</v>
      </c>
      <c r="CR99" s="49">
        <v>113.148</v>
      </c>
      <c r="CS99" s="49">
        <v>120.87</v>
      </c>
      <c r="CT99" s="49">
        <v>0.40799999999999997</v>
      </c>
      <c r="CU99" s="49">
        <v>0.79700000000000004</v>
      </c>
      <c r="CV99" s="49">
        <v>1.4990000000000001</v>
      </c>
      <c r="CW99" s="49">
        <v>1.401</v>
      </c>
      <c r="CX99" s="49">
        <v>1.8029999999999999</v>
      </c>
      <c r="CY99" s="49">
        <v>0.80100000000000005</v>
      </c>
      <c r="CZ99" s="50">
        <v>2.198</v>
      </c>
      <c r="DA99" s="49">
        <v>0.9</v>
      </c>
      <c r="DB99" s="49">
        <v>1.298</v>
      </c>
      <c r="DC99" s="50">
        <v>0</v>
      </c>
      <c r="DD99" s="50">
        <v>0</v>
      </c>
      <c r="DE99" s="50">
        <v>0.19600000000000001</v>
      </c>
      <c r="DF99" s="49">
        <v>5.5E-2</v>
      </c>
      <c r="DG99" s="49">
        <v>0.58499999999999996</v>
      </c>
      <c r="DH99" s="50">
        <v>2.129</v>
      </c>
      <c r="DI99" s="49">
        <v>0.879</v>
      </c>
      <c r="DJ99" s="49">
        <v>0.11799999999999999</v>
      </c>
      <c r="DK99" s="49">
        <v>0.79700000000000004</v>
      </c>
      <c r="DL99" s="49">
        <v>0.41</v>
      </c>
      <c r="DM99" s="50">
        <v>0.621</v>
      </c>
      <c r="DN99" s="49">
        <v>0.45500000000000002</v>
      </c>
      <c r="DO99" s="49">
        <v>0.35599999999999998</v>
      </c>
      <c r="DP99" s="49">
        <v>64.346999999999994</v>
      </c>
      <c r="DQ99" s="49">
        <v>62.231000000000002</v>
      </c>
      <c r="DR99" s="49">
        <v>53.908000000000001</v>
      </c>
      <c r="DS99" s="49">
        <v>51.756</v>
      </c>
      <c r="DT99" s="50">
        <v>6.13</v>
      </c>
      <c r="DU99" s="50">
        <v>5.93</v>
      </c>
      <c r="DV99" s="50">
        <v>11.6</v>
      </c>
      <c r="DW99" s="50">
        <v>8.52</v>
      </c>
      <c r="DX99" s="50">
        <v>6.37</v>
      </c>
      <c r="DY99" s="50">
        <v>6.28</v>
      </c>
      <c r="DZ99" s="50">
        <v>11.07</v>
      </c>
      <c r="EA99" s="50">
        <v>8.26</v>
      </c>
      <c r="EB99" s="50">
        <v>42.62</v>
      </c>
      <c r="EC99" s="49">
        <v>42.17</v>
      </c>
      <c r="ED99" s="49">
        <v>35.020000000000003</v>
      </c>
      <c r="EE99" s="49">
        <v>37.9</v>
      </c>
      <c r="EF99" s="49">
        <v>44.87</v>
      </c>
      <c r="EG99" s="49">
        <v>45.63</v>
      </c>
      <c r="EH99" s="49">
        <v>42.3</v>
      </c>
      <c r="EI99" s="49">
        <v>45.32</v>
      </c>
      <c r="EJ99" s="49">
        <v>6.6779999999999999</v>
      </c>
      <c r="EK99" s="50">
        <v>62.843000000000004</v>
      </c>
      <c r="EL99" s="49">
        <v>2.2999999999999998</v>
      </c>
      <c r="EM99" s="49">
        <v>1.85</v>
      </c>
      <c r="EN99" s="49">
        <v>1.2</v>
      </c>
      <c r="EO99" s="49">
        <v>1.2</v>
      </c>
      <c r="EP99" s="49">
        <v>-103.886</v>
      </c>
      <c r="EQ99" s="49">
        <v>-2.9950000000000001</v>
      </c>
      <c r="ER99" s="49">
        <v>98.762</v>
      </c>
      <c r="ES99" s="49">
        <v>1.4670000000000001</v>
      </c>
      <c r="ET99" s="49">
        <v>1.63</v>
      </c>
      <c r="EU99" s="49">
        <v>1.4330000000000001</v>
      </c>
      <c r="EV99" s="49">
        <v>7.556</v>
      </c>
      <c r="EW99" s="49">
        <v>2.77</v>
      </c>
      <c r="EX99" s="50">
        <v>74.22</v>
      </c>
      <c r="EY99" s="49">
        <v>4.1000000000000002E-2</v>
      </c>
      <c r="EZ99" s="49">
        <v>0</v>
      </c>
      <c r="FA99" s="50">
        <v>0</v>
      </c>
      <c r="FB99" s="49">
        <v>9.1120000000000001</v>
      </c>
      <c r="FC99" s="49">
        <v>65.772999999999996</v>
      </c>
      <c r="FD99" s="49">
        <v>61.332999999999998</v>
      </c>
      <c r="FE99" s="49">
        <v>74.186000000000007</v>
      </c>
      <c r="FF99" s="49">
        <v>72.84</v>
      </c>
      <c r="FG99" s="49">
        <v>0.92100000000000004</v>
      </c>
      <c r="FH99" s="49">
        <v>0.92200000000000004</v>
      </c>
      <c r="FI99" s="49">
        <v>0.997</v>
      </c>
      <c r="FJ99" s="49">
        <v>1.002</v>
      </c>
      <c r="FK99" s="49">
        <v>0</v>
      </c>
      <c r="FL99" s="49">
        <v>83</v>
      </c>
      <c r="FM99" s="49">
        <v>3.67</v>
      </c>
      <c r="FN99" s="49">
        <v>-0.7</v>
      </c>
      <c r="FO99" s="49">
        <v>4.83</v>
      </c>
      <c r="FP99" s="3"/>
      <c r="FQ99" s="49">
        <v>4.95</v>
      </c>
      <c r="FR99" s="49">
        <v>5.05</v>
      </c>
      <c r="FS99" s="49">
        <v>6.4489999999999998</v>
      </c>
      <c r="FT99" s="49">
        <v>1071.7</v>
      </c>
      <c r="FU99" s="49">
        <v>6.37</v>
      </c>
      <c r="FV99" s="49">
        <v>23.13</v>
      </c>
      <c r="FW99" s="49">
        <v>2962.5</v>
      </c>
      <c r="FX99" s="49">
        <v>160400</v>
      </c>
      <c r="FY99" s="49">
        <v>162500</v>
      </c>
      <c r="FZ99" s="49">
        <v>46.911000000000001</v>
      </c>
      <c r="GA99" s="49">
        <v>47.918999999999997</v>
      </c>
      <c r="GB99" s="50">
        <v>2166.6</v>
      </c>
      <c r="GC99" s="49">
        <v>2166.4</v>
      </c>
      <c r="GD99" s="49">
        <v>2206.4</v>
      </c>
      <c r="GE99" s="49">
        <v>2207.9</v>
      </c>
      <c r="GF99" s="49">
        <v>1381.9375</v>
      </c>
      <c r="GG99" s="49">
        <v>29</v>
      </c>
      <c r="GH99" s="49">
        <v>29.5</v>
      </c>
      <c r="GI99" s="49">
        <v>45.7</v>
      </c>
      <c r="GJ99" s="49">
        <v>51.3</v>
      </c>
      <c r="GK99" s="49">
        <v>99.5</v>
      </c>
      <c r="GL99" s="49">
        <v>107.6</v>
      </c>
      <c r="GM99" s="50">
        <v>0</v>
      </c>
      <c r="GN99" s="49">
        <v>25.363</v>
      </c>
      <c r="GO99" s="49">
        <v>103.886</v>
      </c>
      <c r="GP99" s="49">
        <v>0.76700000000000002</v>
      </c>
      <c r="GQ99" s="49">
        <v>1.8879999999999999</v>
      </c>
      <c r="GR99" s="49">
        <v>1.2390000000000001</v>
      </c>
      <c r="GS99" s="49">
        <v>2.0649999999999999</v>
      </c>
      <c r="GT99" s="49">
        <v>0.76700000000000002</v>
      </c>
      <c r="GU99" s="49">
        <v>1.8879999999999999</v>
      </c>
      <c r="GV99" s="50">
        <v>0</v>
      </c>
      <c r="GW99" s="49">
        <v>0</v>
      </c>
      <c r="GX99" s="49">
        <v>0</v>
      </c>
      <c r="GY99" s="49">
        <v>12.151999999999999</v>
      </c>
      <c r="GZ99" s="49">
        <v>13.644</v>
      </c>
      <c r="HA99" s="49">
        <v>15.288</v>
      </c>
      <c r="HB99" s="49">
        <v>0</v>
      </c>
      <c r="HC99" s="49">
        <v>36.124000000000002</v>
      </c>
      <c r="HD99" s="49">
        <v>82</v>
      </c>
      <c r="HE99" s="50">
        <v>0</v>
      </c>
      <c r="HF99" s="50">
        <v>0</v>
      </c>
      <c r="HG99" s="49">
        <v>71.73</v>
      </c>
      <c r="HH99" s="49">
        <v>80.22</v>
      </c>
      <c r="HI99" s="50">
        <v>0</v>
      </c>
      <c r="HJ99" s="50">
        <v>0</v>
      </c>
      <c r="HK99" s="50">
        <v>0</v>
      </c>
      <c r="HL99" s="49">
        <v>59</v>
      </c>
      <c r="HM99" s="49">
        <v>50</v>
      </c>
      <c r="HN99" s="49">
        <v>64</v>
      </c>
      <c r="HO99" s="50">
        <v>58</v>
      </c>
      <c r="HP99" s="50">
        <v>62</v>
      </c>
      <c r="HQ99" s="50">
        <v>59</v>
      </c>
      <c r="HR99" s="49">
        <v>53</v>
      </c>
      <c r="HS99" s="49">
        <v>62</v>
      </c>
      <c r="HT99" s="50">
        <v>-1.4575</v>
      </c>
      <c r="HU99" s="50">
        <v>0</v>
      </c>
      <c r="HV99" s="49">
        <v>0.374</v>
      </c>
      <c r="HW99" s="50">
        <v>35.299999999999997</v>
      </c>
      <c r="HX99" s="50">
        <v>42.68</v>
      </c>
      <c r="HY99" s="3"/>
      <c r="HZ99" s="3"/>
      <c r="IA99" s="49">
        <v>2.7069999999999999</v>
      </c>
      <c r="IB99" s="50">
        <v>103</v>
      </c>
      <c r="IC99" s="50">
        <v>21.436</v>
      </c>
      <c r="ID99" s="49">
        <v>-0.14299999999999999</v>
      </c>
      <c r="IE99" s="49">
        <v>-8.4000000000000005E-2</v>
      </c>
      <c r="IF99" s="50">
        <v>807.4</v>
      </c>
      <c r="IG99" s="50">
        <v>757.1</v>
      </c>
      <c r="IH99" s="49">
        <v>806.8</v>
      </c>
      <c r="II99" s="50">
        <v>767.6</v>
      </c>
      <c r="IJ99" s="49">
        <v>-2.3E-2</v>
      </c>
      <c r="IK99" s="49">
        <v>2.1000000000000001E-2</v>
      </c>
      <c r="IL99" s="49">
        <v>75.084999999999994</v>
      </c>
      <c r="IM99" s="49">
        <v>75.084999999999994</v>
      </c>
      <c r="IN99" s="49">
        <v>10.516999999999999</v>
      </c>
      <c r="IO99" s="50">
        <v>0.52400000000000002</v>
      </c>
      <c r="IP99" s="49">
        <v>9.07</v>
      </c>
      <c r="IQ99" s="50">
        <v>1.2999999999999999E-2</v>
      </c>
      <c r="IR99" s="50">
        <v>7.0000000000000001E-3</v>
      </c>
      <c r="IS99">
        <v>0.56700000000000028</v>
      </c>
      <c r="IT99">
        <v>0.3460000000000002</v>
      </c>
    </row>
    <row r="100" spans="2:254" x14ac:dyDescent="0.25">
      <c r="B100" s="2" t="s">
        <v>412</v>
      </c>
      <c r="C100" s="2" t="s">
        <v>45</v>
      </c>
      <c r="D100" s="61">
        <v>5.7333333333333333E-3</v>
      </c>
      <c r="E100" s="50">
        <v>495.36200000000002</v>
      </c>
      <c r="F100" s="49">
        <v>329.95</v>
      </c>
      <c r="G100" s="49">
        <v>-23.13</v>
      </c>
      <c r="H100" s="49">
        <v>25.3</v>
      </c>
      <c r="I100" s="50">
        <v>0</v>
      </c>
      <c r="J100" s="50">
        <v>73.7</v>
      </c>
      <c r="K100" s="50">
        <v>6</v>
      </c>
      <c r="L100" s="50">
        <v>6</v>
      </c>
      <c r="M100" s="50">
        <v>7</v>
      </c>
      <c r="N100" s="50">
        <v>2</v>
      </c>
      <c r="O100" s="50">
        <v>3</v>
      </c>
      <c r="P100" s="49">
        <v>0.42799999999999999</v>
      </c>
      <c r="Q100" s="49">
        <v>0.80300000000000005</v>
      </c>
      <c r="R100" s="49">
        <v>0.17</v>
      </c>
      <c r="S100" s="3"/>
      <c r="T100" s="49">
        <v>75.92</v>
      </c>
      <c r="U100" s="49">
        <v>60.814999999999998</v>
      </c>
      <c r="V100" s="50">
        <v>70</v>
      </c>
      <c r="W100" s="50">
        <v>40</v>
      </c>
      <c r="X100" s="50">
        <v>90</v>
      </c>
      <c r="Y100" s="50">
        <v>90</v>
      </c>
      <c r="Z100" s="49">
        <v>210.16</v>
      </c>
      <c r="AA100" s="49">
        <v>222.65</v>
      </c>
      <c r="AB100" s="49">
        <v>185.1</v>
      </c>
      <c r="AC100" s="49">
        <v>221.51</v>
      </c>
      <c r="AD100" s="49">
        <v>1.7370000000000001</v>
      </c>
      <c r="AE100" s="49">
        <v>1.756</v>
      </c>
      <c r="AF100" s="49">
        <v>1.738</v>
      </c>
      <c r="AG100" s="49">
        <v>1.754</v>
      </c>
      <c r="AH100" s="49">
        <v>61.14</v>
      </c>
      <c r="AI100" s="49">
        <v>52.81</v>
      </c>
      <c r="AJ100" s="49">
        <v>77.92</v>
      </c>
      <c r="AK100" s="49">
        <v>76.45</v>
      </c>
      <c r="AL100" s="49">
        <v>694.06</v>
      </c>
      <c r="AM100" s="49">
        <v>684.577</v>
      </c>
      <c r="AN100" s="50">
        <v>973.57799999999997</v>
      </c>
      <c r="AO100" s="49">
        <v>761.73800000000006</v>
      </c>
      <c r="AP100" s="49">
        <v>1.389</v>
      </c>
      <c r="AQ100" s="49">
        <v>1.865</v>
      </c>
      <c r="AR100" s="49">
        <v>42.722999999999999</v>
      </c>
      <c r="AS100" s="49">
        <v>39.052999999999997</v>
      </c>
      <c r="AT100" s="49">
        <v>83</v>
      </c>
      <c r="AU100" s="49">
        <v>117</v>
      </c>
      <c r="AV100" s="49">
        <v>2.3290000000000002</v>
      </c>
      <c r="AW100" s="49">
        <v>4.6193999999999997</v>
      </c>
      <c r="AX100" s="49">
        <v>1012.3</v>
      </c>
      <c r="AY100" s="49">
        <v>2.4900000000000002</v>
      </c>
      <c r="AZ100" s="49">
        <v>5.16</v>
      </c>
      <c r="BA100" s="49">
        <v>69.408000000000001</v>
      </c>
      <c r="BB100" s="49">
        <v>70.703999999999994</v>
      </c>
      <c r="BC100" s="49">
        <v>7659</v>
      </c>
      <c r="BD100" s="49">
        <v>88.75</v>
      </c>
      <c r="BE100" s="49">
        <v>15.335000000000001</v>
      </c>
      <c r="BF100" s="49">
        <v>13.02</v>
      </c>
      <c r="BG100" s="49">
        <v>28.29</v>
      </c>
      <c r="BH100" s="49">
        <v>24.09</v>
      </c>
      <c r="BI100" s="49">
        <v>65.037000000000006</v>
      </c>
      <c r="BJ100" s="50">
        <v>82.475999999999999</v>
      </c>
      <c r="BK100" s="49">
        <v>63.192999999999998</v>
      </c>
      <c r="BL100" s="50">
        <v>79.593999999999994</v>
      </c>
      <c r="BM100" s="50">
        <v>79.783000000000001</v>
      </c>
      <c r="BN100" s="49">
        <v>118.92</v>
      </c>
      <c r="BO100" s="49">
        <v>121.752</v>
      </c>
      <c r="BP100" s="49">
        <v>144.24799999999999</v>
      </c>
      <c r="BQ100" s="50">
        <v>148.71199999999999</v>
      </c>
      <c r="BR100" s="50">
        <v>59.981000000000002</v>
      </c>
      <c r="BS100" s="49">
        <v>24.8</v>
      </c>
      <c r="BT100" s="49">
        <v>6739.116</v>
      </c>
      <c r="BU100" s="49">
        <v>39.86</v>
      </c>
      <c r="BV100" s="49">
        <v>53.070999999999998</v>
      </c>
      <c r="BW100" s="49">
        <v>54.241999999999997</v>
      </c>
      <c r="BX100" s="50">
        <v>57.277000000000001</v>
      </c>
      <c r="BY100" s="49">
        <v>1.3580000000000001</v>
      </c>
      <c r="BZ100" s="49">
        <v>2.9039999999999999</v>
      </c>
      <c r="CA100" s="49">
        <v>3.0630000000000002</v>
      </c>
      <c r="CB100" s="49">
        <v>3.3879999999999999</v>
      </c>
      <c r="CC100" s="49">
        <v>0.89600000000000002</v>
      </c>
      <c r="CD100" s="50">
        <v>2.5550000000000002</v>
      </c>
      <c r="CE100" s="49">
        <v>1.24</v>
      </c>
      <c r="CF100" s="49">
        <v>2.11</v>
      </c>
      <c r="CG100" s="49">
        <v>13.712999999999999</v>
      </c>
      <c r="CH100" s="49">
        <v>10.504</v>
      </c>
      <c r="CI100" s="3"/>
      <c r="CJ100" s="3"/>
      <c r="CK100" s="3"/>
      <c r="CL100" s="49">
        <v>0.3</v>
      </c>
      <c r="CM100" s="49">
        <v>0</v>
      </c>
      <c r="CN100" s="50">
        <v>0</v>
      </c>
      <c r="CO100" s="50">
        <v>0</v>
      </c>
      <c r="CP100" s="49">
        <v>94.742000000000004</v>
      </c>
      <c r="CQ100" s="49">
        <v>98.176000000000002</v>
      </c>
      <c r="CR100" s="49">
        <v>115.286</v>
      </c>
      <c r="CS100" s="49">
        <v>120.45399999999999</v>
      </c>
      <c r="CT100" s="49">
        <v>0.16</v>
      </c>
      <c r="CU100" s="49">
        <v>0.6</v>
      </c>
      <c r="CV100" s="49">
        <v>1.401</v>
      </c>
      <c r="CW100" s="50">
        <v>2.8010000000000002</v>
      </c>
      <c r="CX100" s="49">
        <v>0.998</v>
      </c>
      <c r="CY100" s="49">
        <v>0.6</v>
      </c>
      <c r="CZ100" s="49">
        <v>0.80500000000000005</v>
      </c>
      <c r="DA100" s="49">
        <v>0.59599999999999997</v>
      </c>
      <c r="DB100" s="49">
        <v>0.999</v>
      </c>
      <c r="DC100" s="50">
        <v>0</v>
      </c>
      <c r="DD100" s="50">
        <v>0</v>
      </c>
      <c r="DE100" s="49">
        <v>7.6999999999999999E-2</v>
      </c>
      <c r="DF100" s="49">
        <v>7.2999999999999995E-2</v>
      </c>
      <c r="DG100" s="49">
        <v>0.10199999999999999</v>
      </c>
      <c r="DH100" s="49">
        <v>0.71799999999999997</v>
      </c>
      <c r="DI100" s="49">
        <v>0.72299999999999998</v>
      </c>
      <c r="DJ100" s="49">
        <v>1E-3</v>
      </c>
      <c r="DK100" s="49">
        <v>0.61099999999999999</v>
      </c>
      <c r="DL100" s="49">
        <v>0.40799999999999997</v>
      </c>
      <c r="DM100" s="49">
        <v>0.48799999999999999</v>
      </c>
      <c r="DN100" s="50">
        <v>0.92900000000000005</v>
      </c>
      <c r="DO100" s="49">
        <v>0.13500000000000001</v>
      </c>
      <c r="DP100" s="49">
        <v>63.162999999999997</v>
      </c>
      <c r="DQ100" s="49">
        <v>61.527000000000001</v>
      </c>
      <c r="DR100" s="49">
        <v>55.088999999999999</v>
      </c>
      <c r="DS100" s="49">
        <v>52.372</v>
      </c>
      <c r="DT100" s="49">
        <v>1.69</v>
      </c>
      <c r="DU100" s="49">
        <v>1.59</v>
      </c>
      <c r="DV100" s="49">
        <v>2.69</v>
      </c>
      <c r="DW100" s="49">
        <v>1.88</v>
      </c>
      <c r="DX100" s="49">
        <v>1.72</v>
      </c>
      <c r="DY100" s="49">
        <v>1.72</v>
      </c>
      <c r="DZ100" s="49">
        <v>2.52</v>
      </c>
      <c r="EA100" s="49">
        <v>1.91</v>
      </c>
      <c r="EB100" s="49">
        <v>39.78</v>
      </c>
      <c r="EC100" s="49">
        <v>39.56</v>
      </c>
      <c r="ED100" s="49">
        <v>33.270000000000003</v>
      </c>
      <c r="EE100" s="49">
        <v>33.4</v>
      </c>
      <c r="EF100" s="49">
        <v>56.81</v>
      </c>
      <c r="EG100" s="50">
        <v>57.13</v>
      </c>
      <c r="EH100" s="50">
        <v>61.51</v>
      </c>
      <c r="EI100" s="50">
        <v>62.79</v>
      </c>
      <c r="EJ100" s="50">
        <v>7.2069999999999999</v>
      </c>
      <c r="EK100" s="49">
        <v>61.542999999999999</v>
      </c>
      <c r="EL100" s="49">
        <v>2.2999999999999998</v>
      </c>
      <c r="EM100" s="49">
        <v>1.9</v>
      </c>
      <c r="EN100" s="50">
        <v>1.62</v>
      </c>
      <c r="EO100" s="50">
        <v>1.6</v>
      </c>
      <c r="EP100" s="49">
        <v>-118.194</v>
      </c>
      <c r="EQ100" s="50">
        <v>-1.1120000000000001</v>
      </c>
      <c r="ER100" s="49">
        <v>93.506</v>
      </c>
      <c r="ES100" s="49">
        <v>1.498</v>
      </c>
      <c r="ET100" s="49">
        <v>1.58</v>
      </c>
      <c r="EU100" s="49">
        <v>1.48</v>
      </c>
      <c r="EV100" s="49">
        <v>7.53</v>
      </c>
      <c r="EW100" s="50">
        <v>2.9369999999999998</v>
      </c>
      <c r="EX100" s="49">
        <v>39.4</v>
      </c>
      <c r="EY100" s="49">
        <v>0</v>
      </c>
      <c r="EZ100" s="49">
        <v>0.26</v>
      </c>
      <c r="FA100" s="50">
        <v>0</v>
      </c>
      <c r="FB100" s="50">
        <v>9.2799999999999994</v>
      </c>
      <c r="FC100" s="49">
        <v>65.281999999999996</v>
      </c>
      <c r="FD100" s="49">
        <v>61.34</v>
      </c>
      <c r="FE100" s="49">
        <v>74.22</v>
      </c>
      <c r="FF100" s="49">
        <v>73.019000000000005</v>
      </c>
      <c r="FG100" s="50">
        <v>1.133</v>
      </c>
      <c r="FH100" s="50">
        <v>1.1240000000000001</v>
      </c>
      <c r="FI100" s="50">
        <v>1</v>
      </c>
      <c r="FJ100" s="50">
        <v>1.0029999999999999</v>
      </c>
      <c r="FK100" s="49">
        <v>0</v>
      </c>
      <c r="FL100" s="49">
        <v>83</v>
      </c>
      <c r="FM100" s="49">
        <v>3.48</v>
      </c>
      <c r="FN100" s="49">
        <v>0.31</v>
      </c>
      <c r="FO100" s="49">
        <v>5.2</v>
      </c>
      <c r="FP100" s="49">
        <v>4.3</v>
      </c>
      <c r="FQ100" s="49">
        <v>4.5999999999999996</v>
      </c>
      <c r="FR100" s="49">
        <v>5</v>
      </c>
      <c r="FS100" s="49">
        <v>6.4145000000000003</v>
      </c>
      <c r="FT100" s="49">
        <v>1069.3</v>
      </c>
      <c r="FU100" s="49">
        <v>6.12</v>
      </c>
      <c r="FV100" s="50">
        <v>27.1</v>
      </c>
      <c r="FW100" s="49">
        <v>2860</v>
      </c>
      <c r="FX100" s="49">
        <v>160900</v>
      </c>
      <c r="FY100" s="49">
        <v>162600</v>
      </c>
      <c r="FZ100" s="49">
        <v>46.679000000000002</v>
      </c>
      <c r="GA100" s="49">
        <v>47.765000000000001</v>
      </c>
      <c r="GB100" s="49">
        <v>2141.4</v>
      </c>
      <c r="GC100" s="50">
        <v>2188.4</v>
      </c>
      <c r="GD100" s="50">
        <v>2404.5</v>
      </c>
      <c r="GE100" s="49">
        <v>2225.4</v>
      </c>
      <c r="GF100" s="49">
        <v>1391.5</v>
      </c>
      <c r="GG100" s="50">
        <v>30</v>
      </c>
      <c r="GH100" s="50">
        <v>30.4</v>
      </c>
      <c r="GI100" s="50">
        <v>50.5</v>
      </c>
      <c r="GJ100" s="50">
        <v>57.2</v>
      </c>
      <c r="GK100" s="50">
        <v>97</v>
      </c>
      <c r="GL100" s="49">
        <v>110.2</v>
      </c>
      <c r="GM100" s="50">
        <v>0</v>
      </c>
      <c r="GN100" s="49">
        <v>23.263000000000002</v>
      </c>
      <c r="GO100" s="49">
        <v>118.194</v>
      </c>
      <c r="GP100" s="50">
        <v>0</v>
      </c>
      <c r="GQ100" s="50">
        <v>5.9</v>
      </c>
      <c r="GR100" s="50">
        <v>0</v>
      </c>
      <c r="GS100" s="50">
        <v>4.484</v>
      </c>
      <c r="GT100" s="50">
        <v>0</v>
      </c>
      <c r="GU100" s="50">
        <v>6.1360000000000001</v>
      </c>
      <c r="GV100" s="50">
        <v>0</v>
      </c>
      <c r="GW100" s="49">
        <v>6.0000000000000001E-3</v>
      </c>
      <c r="GX100" s="49">
        <v>19.501999999999999</v>
      </c>
      <c r="GY100" s="50">
        <v>0</v>
      </c>
      <c r="GZ100" s="49">
        <v>12.356</v>
      </c>
      <c r="HA100" s="50">
        <v>21.07</v>
      </c>
      <c r="HB100" s="49">
        <v>0</v>
      </c>
      <c r="HC100" s="49">
        <v>33.271999999999998</v>
      </c>
      <c r="HD100" s="50">
        <v>90</v>
      </c>
      <c r="HE100" s="50">
        <v>0</v>
      </c>
      <c r="HF100" s="50">
        <v>0</v>
      </c>
      <c r="HG100" s="49">
        <v>71.62</v>
      </c>
      <c r="HH100" s="49">
        <v>79.69</v>
      </c>
      <c r="HI100" s="50">
        <v>0</v>
      </c>
      <c r="HJ100" s="50">
        <v>0</v>
      </c>
      <c r="HK100" s="50">
        <v>0</v>
      </c>
      <c r="HL100" s="49">
        <v>59</v>
      </c>
      <c r="HM100" s="49">
        <v>50</v>
      </c>
      <c r="HN100" s="50">
        <v>65</v>
      </c>
      <c r="HO100" s="50">
        <v>58</v>
      </c>
      <c r="HP100" s="50">
        <v>62</v>
      </c>
      <c r="HQ100" s="50">
        <v>59</v>
      </c>
      <c r="HR100" s="50">
        <v>55</v>
      </c>
      <c r="HS100" s="49">
        <v>60</v>
      </c>
      <c r="HT100" s="49">
        <v>-1.4384999999999999</v>
      </c>
      <c r="HU100" s="50">
        <v>0</v>
      </c>
      <c r="HV100" s="49">
        <v>0.114</v>
      </c>
      <c r="HW100" s="49">
        <v>40.64</v>
      </c>
      <c r="HX100" s="50">
        <v>42.68</v>
      </c>
      <c r="HY100" s="3"/>
      <c r="HZ100" s="3"/>
      <c r="IA100" s="49">
        <v>2.8679999999999999</v>
      </c>
      <c r="IB100" s="49">
        <v>95</v>
      </c>
      <c r="IC100" s="49">
        <v>15.797000000000001</v>
      </c>
      <c r="ID100" s="50">
        <v>-4.5999999999999999E-2</v>
      </c>
      <c r="IE100" s="50">
        <v>-2.5999999999999999E-2</v>
      </c>
      <c r="IF100" s="49">
        <v>804.6</v>
      </c>
      <c r="IG100" s="49">
        <v>560.79999999999995</v>
      </c>
      <c r="IH100" s="49">
        <v>812.3</v>
      </c>
      <c r="II100" s="49">
        <v>584.6</v>
      </c>
      <c r="IJ100" s="49">
        <v>-1.4999999999999999E-2</v>
      </c>
      <c r="IK100" s="49">
        <v>4.0000000000000001E-3</v>
      </c>
      <c r="IL100" s="50">
        <v>393.89100000000002</v>
      </c>
      <c r="IM100" s="50">
        <v>393.89100000000002</v>
      </c>
      <c r="IN100" s="50">
        <v>23.931000000000001</v>
      </c>
      <c r="IO100" s="49">
        <v>0.129</v>
      </c>
      <c r="IP100" s="49">
        <v>9.27</v>
      </c>
      <c r="IQ100" s="49">
        <v>0</v>
      </c>
      <c r="IR100" s="49">
        <v>0</v>
      </c>
      <c r="IS100">
        <v>0.56700000000000028</v>
      </c>
      <c r="IT100">
        <v>0.3460000000000002</v>
      </c>
    </row>
    <row r="101" spans="2:254" x14ac:dyDescent="0.25">
      <c r="IS101">
        <v>0.56700000000000028</v>
      </c>
      <c r="IT101">
        <v>0.3460000000000002</v>
      </c>
    </row>
    <row r="102" spans="2:254" x14ac:dyDescent="0.25">
      <c r="IS102">
        <v>0.56700000000000028</v>
      </c>
      <c r="IT102">
        <v>0.3460000000000002</v>
      </c>
    </row>
    <row r="103" spans="2:254" x14ac:dyDescent="0.25">
      <c r="IS103">
        <v>0.56700000000000028</v>
      </c>
      <c r="IT103">
        <v>0.3460000000000002</v>
      </c>
    </row>
    <row r="104" spans="2:254" x14ac:dyDescent="0.25">
      <c r="B104" s="2" t="s">
        <v>412</v>
      </c>
      <c r="C104" s="2" t="s">
        <v>41</v>
      </c>
      <c r="D104" s="61">
        <v>4.3629629629629635E-3</v>
      </c>
      <c r="E104" s="50">
        <v>376.96100000000001</v>
      </c>
      <c r="F104" s="49">
        <v>329.19</v>
      </c>
      <c r="G104" s="49">
        <v>5.73</v>
      </c>
      <c r="H104" s="49">
        <v>24.9</v>
      </c>
      <c r="I104" s="50">
        <v>0.42</v>
      </c>
      <c r="J104" s="50">
        <v>153.4</v>
      </c>
      <c r="K104" s="50">
        <v>6</v>
      </c>
      <c r="L104" s="50">
        <v>6</v>
      </c>
      <c r="M104" s="50">
        <v>7</v>
      </c>
      <c r="N104" s="49">
        <v>2</v>
      </c>
      <c r="O104" s="50">
        <v>3</v>
      </c>
      <c r="P104" s="50">
        <v>0.92100000000000004</v>
      </c>
      <c r="Q104" s="50">
        <v>1.605</v>
      </c>
      <c r="R104" s="50">
        <v>0.91700000000000004</v>
      </c>
      <c r="S104" s="49">
        <v>0.65300000000000002</v>
      </c>
      <c r="T104" s="49">
        <v>76.14</v>
      </c>
      <c r="U104" s="50">
        <v>60.688000000000002</v>
      </c>
      <c r="V104" s="50">
        <v>70</v>
      </c>
      <c r="W104" s="50">
        <v>40</v>
      </c>
      <c r="X104" s="50">
        <v>80</v>
      </c>
      <c r="Y104" s="50">
        <v>90</v>
      </c>
      <c r="Z104" s="49">
        <v>241.73</v>
      </c>
      <c r="AA104" s="49">
        <v>247.09</v>
      </c>
      <c r="AB104" s="49">
        <v>193.97</v>
      </c>
      <c r="AC104" s="49">
        <v>236.91</v>
      </c>
      <c r="AD104" s="50">
        <v>1.9810000000000001</v>
      </c>
      <c r="AE104" s="50">
        <v>2.085</v>
      </c>
      <c r="AF104" s="50">
        <v>1.992</v>
      </c>
      <c r="AG104" s="50">
        <v>2.0659999999999998</v>
      </c>
      <c r="AH104" s="49">
        <v>76.36</v>
      </c>
      <c r="AI104" s="50">
        <v>71.739999999999995</v>
      </c>
      <c r="AJ104" s="49">
        <v>82.88</v>
      </c>
      <c r="AK104" s="49">
        <v>79.64</v>
      </c>
      <c r="AL104" s="49">
        <v>657.02800000000002</v>
      </c>
      <c r="AM104" s="49">
        <v>678.52300000000002</v>
      </c>
      <c r="AN104" s="49">
        <v>821.54499999999996</v>
      </c>
      <c r="AO104" s="49">
        <v>802.91099999999994</v>
      </c>
      <c r="AP104" s="50">
        <v>1.4339999999999999</v>
      </c>
      <c r="AQ104" s="50">
        <v>1.9119999999999999</v>
      </c>
      <c r="AR104" s="50">
        <v>42.494999999999997</v>
      </c>
      <c r="AS104" s="49">
        <v>37.665999999999997</v>
      </c>
      <c r="AT104" s="49">
        <v>82</v>
      </c>
      <c r="AU104" s="49">
        <v>100</v>
      </c>
      <c r="AV104" s="49">
        <v>1.8109999999999999</v>
      </c>
      <c r="AW104" s="50">
        <v>4.8564999999999996</v>
      </c>
      <c r="AX104" s="49">
        <v>1014.2</v>
      </c>
      <c r="AY104" s="50">
        <v>2.54</v>
      </c>
      <c r="AZ104" s="50">
        <v>4.46</v>
      </c>
      <c r="BA104" s="50">
        <v>66.8</v>
      </c>
      <c r="BB104" s="50">
        <v>67.5</v>
      </c>
      <c r="BC104" s="49">
        <v>7632</v>
      </c>
      <c r="BD104" s="49">
        <v>88</v>
      </c>
      <c r="BE104" s="49">
        <v>15.35</v>
      </c>
      <c r="BF104" s="49">
        <v>12.68</v>
      </c>
      <c r="BG104" s="49">
        <v>29.01</v>
      </c>
      <c r="BH104" s="49">
        <v>28.42</v>
      </c>
      <c r="BI104" s="50">
        <v>66.158000000000001</v>
      </c>
      <c r="BJ104" s="49">
        <v>79.459000000000003</v>
      </c>
      <c r="BK104" s="50">
        <v>64.751000000000005</v>
      </c>
      <c r="BL104" s="50">
        <v>77.349999999999994</v>
      </c>
      <c r="BM104" s="49">
        <v>77.313999999999993</v>
      </c>
      <c r="BN104" s="49">
        <v>80.391999999999996</v>
      </c>
      <c r="BO104" s="49">
        <v>80.087999999999994</v>
      </c>
      <c r="BP104" s="49">
        <v>96.936000000000007</v>
      </c>
      <c r="BQ104" s="49">
        <v>100.84</v>
      </c>
      <c r="BR104" s="49">
        <v>57.597999999999999</v>
      </c>
      <c r="BS104" s="49">
        <v>24.4</v>
      </c>
      <c r="BT104" s="49">
        <v>7168.4139999999998</v>
      </c>
      <c r="BU104" s="49">
        <v>46.981000000000002</v>
      </c>
      <c r="BV104" s="50">
        <v>52.865000000000002</v>
      </c>
      <c r="BW104" s="50">
        <v>53.101999999999997</v>
      </c>
      <c r="BX104" s="49">
        <v>54.655000000000001</v>
      </c>
      <c r="BY104" s="50">
        <v>1.623</v>
      </c>
      <c r="BZ104" s="49">
        <v>3.0209999999999999</v>
      </c>
      <c r="CA104" s="49">
        <v>3.4980000000000002</v>
      </c>
      <c r="CB104" s="49">
        <v>3.714</v>
      </c>
      <c r="CC104" s="49">
        <v>1.177</v>
      </c>
      <c r="CD104" s="49">
        <v>2.3439999999999999</v>
      </c>
      <c r="CE104" s="50">
        <v>1.397</v>
      </c>
      <c r="CF104" s="49">
        <v>2.1179999999999999</v>
      </c>
      <c r="CG104" s="49">
        <v>13.57</v>
      </c>
      <c r="CH104" s="50">
        <v>9.9160000000000004</v>
      </c>
      <c r="CI104" s="50">
        <v>4.7690000000000001</v>
      </c>
      <c r="CJ104" s="49">
        <v>3.544</v>
      </c>
      <c r="CK104" s="49">
        <v>1.29</v>
      </c>
      <c r="CL104" s="49">
        <v>0</v>
      </c>
      <c r="CM104" s="49">
        <v>0.1</v>
      </c>
      <c r="CN104" s="50">
        <v>0</v>
      </c>
      <c r="CO104" s="50">
        <v>0</v>
      </c>
      <c r="CP104" s="49">
        <v>60.435000000000002</v>
      </c>
      <c r="CQ104" s="49">
        <v>61.542999999999999</v>
      </c>
      <c r="CR104" s="49">
        <v>71.962999999999994</v>
      </c>
      <c r="CS104" s="49">
        <v>73.867000000000004</v>
      </c>
      <c r="CT104" s="50">
        <v>0.34</v>
      </c>
      <c r="CU104" s="50">
        <v>1.099</v>
      </c>
      <c r="CV104" s="49">
        <v>1.599</v>
      </c>
      <c r="CW104" s="50">
        <v>1.202</v>
      </c>
      <c r="CX104" s="49">
        <v>1.4</v>
      </c>
      <c r="CY104" s="49">
        <v>0.2</v>
      </c>
      <c r="CZ104" s="50">
        <v>1.3009999999999999</v>
      </c>
      <c r="DA104" s="49">
        <v>0.70099999999999996</v>
      </c>
      <c r="DB104" s="49">
        <v>1.798</v>
      </c>
      <c r="DC104" s="50">
        <v>0</v>
      </c>
      <c r="DD104" s="50">
        <v>0</v>
      </c>
      <c r="DE104" s="50">
        <v>0.32800000000000001</v>
      </c>
      <c r="DF104" s="50">
        <v>0.11</v>
      </c>
      <c r="DG104" s="49">
        <v>0.33700000000000002</v>
      </c>
      <c r="DH104" s="49">
        <v>1.889</v>
      </c>
      <c r="DI104" s="50">
        <v>1.357</v>
      </c>
      <c r="DJ104" s="50">
        <v>0.312</v>
      </c>
      <c r="DK104" s="50">
        <v>0.98699999999999999</v>
      </c>
      <c r="DL104" s="50">
        <v>0.41799999999999998</v>
      </c>
      <c r="DM104" s="49">
        <v>0.47699999999999998</v>
      </c>
      <c r="DN104" s="49">
        <v>0.45700000000000002</v>
      </c>
      <c r="DO104" s="49">
        <v>0.35899999999999999</v>
      </c>
      <c r="DP104" s="49">
        <v>65.486000000000004</v>
      </c>
      <c r="DQ104" s="49">
        <v>59.42</v>
      </c>
      <c r="DR104" s="49">
        <v>53.856999999999999</v>
      </c>
      <c r="DS104" s="49">
        <v>49.819000000000003</v>
      </c>
      <c r="DT104" s="49">
        <v>3.31</v>
      </c>
      <c r="DU104" s="49">
        <v>3.47</v>
      </c>
      <c r="DV104" s="49">
        <v>5.98</v>
      </c>
      <c r="DW104" s="49">
        <v>4.91</v>
      </c>
      <c r="DX104" s="49">
        <v>3.51</v>
      </c>
      <c r="DY104" s="49">
        <v>3.4</v>
      </c>
      <c r="DZ104" s="49">
        <v>5.61</v>
      </c>
      <c r="EA104" s="49">
        <v>4.74</v>
      </c>
      <c r="EB104" s="49">
        <v>27.12</v>
      </c>
      <c r="EC104" s="49">
        <v>26.31</v>
      </c>
      <c r="ED104" s="49">
        <v>22.82</v>
      </c>
      <c r="EE104" s="49">
        <v>24.69</v>
      </c>
      <c r="EF104" s="50">
        <v>66.06</v>
      </c>
      <c r="EG104" s="50">
        <v>66.819999999999993</v>
      </c>
      <c r="EH104" s="50">
        <v>65.58</v>
      </c>
      <c r="EI104" s="50">
        <v>65.66</v>
      </c>
      <c r="EJ104" s="49">
        <v>6.0510000000000002</v>
      </c>
      <c r="EK104" s="49">
        <v>61.331000000000003</v>
      </c>
      <c r="EL104" s="49">
        <v>2.2999999999999998</v>
      </c>
      <c r="EM104" s="50">
        <v>1.8</v>
      </c>
      <c r="EN104" s="49">
        <v>1.19</v>
      </c>
      <c r="EO104" s="50">
        <v>1.2</v>
      </c>
      <c r="EP104" s="49">
        <v>-96.001999999999995</v>
      </c>
      <c r="EQ104" s="50">
        <v>-1.177</v>
      </c>
      <c r="ER104" s="49">
        <v>93.506</v>
      </c>
      <c r="ES104" s="49">
        <v>1.423</v>
      </c>
      <c r="ET104" s="49">
        <v>1.472</v>
      </c>
      <c r="EU104" s="49">
        <v>1.3859999999999999</v>
      </c>
      <c r="EV104" s="50">
        <v>7.9329999999999998</v>
      </c>
      <c r="EW104" s="49">
        <v>3.5670000000000002</v>
      </c>
      <c r="EX104" s="49">
        <v>-250.82</v>
      </c>
      <c r="EY104" s="50">
        <v>0.98</v>
      </c>
      <c r="EZ104" s="49">
        <v>0</v>
      </c>
      <c r="FA104" s="50">
        <v>0</v>
      </c>
      <c r="FB104" s="49">
        <v>8.08</v>
      </c>
      <c r="FC104" s="50">
        <v>86.897000000000006</v>
      </c>
      <c r="FD104" s="50">
        <v>86.981999999999999</v>
      </c>
      <c r="FE104" s="50">
        <v>85.97</v>
      </c>
      <c r="FF104" s="50">
        <v>83.757000000000005</v>
      </c>
      <c r="FG104" s="49">
        <v>0.93500000000000005</v>
      </c>
      <c r="FH104" s="50">
        <v>0.93500000000000005</v>
      </c>
      <c r="FI104" s="50">
        <v>1.0029999999999999</v>
      </c>
      <c r="FJ104" s="50">
        <v>1.0049999999999999</v>
      </c>
      <c r="FK104" s="50">
        <v>0.30299999999999999</v>
      </c>
      <c r="FL104" s="49">
        <v>82</v>
      </c>
      <c r="FM104" s="49">
        <v>3.8</v>
      </c>
      <c r="FN104" s="50">
        <v>-0.22</v>
      </c>
      <c r="FO104" s="49">
        <v>4.34</v>
      </c>
      <c r="FP104" s="49">
        <v>4.5</v>
      </c>
      <c r="FQ104" s="50">
        <v>0.45</v>
      </c>
      <c r="FR104" s="49">
        <v>5.0999999999999996</v>
      </c>
      <c r="FS104" s="49">
        <v>6.4335000000000004</v>
      </c>
      <c r="FT104" s="49">
        <v>1071.4000000000001</v>
      </c>
      <c r="FU104" s="49">
        <v>6.51</v>
      </c>
      <c r="FV104" s="49">
        <v>5.73</v>
      </c>
      <c r="FW104" s="50">
        <v>3204</v>
      </c>
      <c r="FX104" s="49">
        <v>159900</v>
      </c>
      <c r="FY104" s="49">
        <v>160700</v>
      </c>
      <c r="FZ104" s="50">
        <v>47.633000000000003</v>
      </c>
      <c r="GA104" s="50">
        <v>48.204000000000001</v>
      </c>
      <c r="GB104" s="49">
        <v>2131.5</v>
      </c>
      <c r="GC104" s="49">
        <v>2136.3000000000002</v>
      </c>
      <c r="GD104" s="49">
        <v>2155.4</v>
      </c>
      <c r="GE104" s="49">
        <v>2155.6</v>
      </c>
      <c r="GF104" s="49">
        <v>1394.2655999999999</v>
      </c>
      <c r="GG104" s="50">
        <v>32</v>
      </c>
      <c r="GH104" s="50">
        <v>31.7</v>
      </c>
      <c r="GI104" s="50">
        <v>63</v>
      </c>
      <c r="GJ104" s="50">
        <v>68.099999999999994</v>
      </c>
      <c r="GK104" s="50">
        <v>95.5</v>
      </c>
      <c r="GL104" s="49">
        <v>109.9</v>
      </c>
      <c r="GM104" s="50">
        <v>0</v>
      </c>
      <c r="GN104" s="50">
        <v>24.936</v>
      </c>
      <c r="GO104" s="49">
        <v>96.001999999999995</v>
      </c>
      <c r="GP104" s="50">
        <v>0</v>
      </c>
      <c r="GQ104" s="50">
        <v>3.9529999999999998</v>
      </c>
      <c r="GR104" s="50">
        <v>0</v>
      </c>
      <c r="GS104" s="50">
        <v>4.72</v>
      </c>
      <c r="GT104" s="50">
        <v>0</v>
      </c>
      <c r="GU104" s="50">
        <v>3.8940000000000001</v>
      </c>
      <c r="GV104" s="50">
        <v>0</v>
      </c>
      <c r="GW104" s="50">
        <v>1.0999999999999999E-2</v>
      </c>
      <c r="GX104" s="50">
        <v>19.501999999999999</v>
      </c>
      <c r="GY104" s="50">
        <v>0</v>
      </c>
      <c r="GZ104" s="49">
        <v>12.454000000000001</v>
      </c>
      <c r="HA104" s="50">
        <v>19.600000000000001</v>
      </c>
      <c r="HB104" s="50">
        <v>1</v>
      </c>
      <c r="HC104" s="50">
        <v>38.941000000000003</v>
      </c>
      <c r="HD104" s="50">
        <v>86</v>
      </c>
      <c r="HE104" s="50">
        <v>0</v>
      </c>
      <c r="HF104" s="50">
        <v>0</v>
      </c>
      <c r="HG104" s="50">
        <v>88.04</v>
      </c>
      <c r="HH104" s="50">
        <v>77.650000000000006</v>
      </c>
      <c r="HI104" s="50">
        <v>0</v>
      </c>
      <c r="HJ104" s="50">
        <v>0</v>
      </c>
      <c r="HK104" s="50">
        <v>0</v>
      </c>
      <c r="HL104" s="50">
        <v>62</v>
      </c>
      <c r="HM104" s="50">
        <v>51</v>
      </c>
      <c r="HN104" s="49">
        <v>64</v>
      </c>
      <c r="HO104" s="49">
        <v>56</v>
      </c>
      <c r="HP104" s="49">
        <v>59</v>
      </c>
      <c r="HQ104" s="49">
        <v>57</v>
      </c>
      <c r="HR104" s="50">
        <v>55</v>
      </c>
      <c r="HS104" s="49">
        <v>58</v>
      </c>
      <c r="HT104" s="49">
        <v>-1.4444999999999999</v>
      </c>
      <c r="HU104" s="50">
        <v>0</v>
      </c>
      <c r="HV104" s="49">
        <v>0.497</v>
      </c>
      <c r="HW104" s="50">
        <v>36.85</v>
      </c>
      <c r="HX104" s="50">
        <v>42.22</v>
      </c>
      <c r="HY104" s="3"/>
      <c r="HZ104" s="3"/>
      <c r="IA104" s="49">
        <v>2.589</v>
      </c>
      <c r="IB104" s="49">
        <v>96</v>
      </c>
      <c r="IC104" s="49">
        <v>16.544</v>
      </c>
      <c r="ID104" s="50">
        <v>-0.34799999999999998</v>
      </c>
      <c r="IE104" s="49">
        <v>-0.193</v>
      </c>
      <c r="IF104" s="49">
        <v>801.3</v>
      </c>
      <c r="IG104" s="49">
        <v>668</v>
      </c>
      <c r="IH104" s="49">
        <v>809</v>
      </c>
      <c r="II104" s="49">
        <v>674.8</v>
      </c>
      <c r="IJ104" s="50">
        <v>-3.2000000000000001E-2</v>
      </c>
      <c r="IK104" s="49">
        <v>4.4999999999999998E-2</v>
      </c>
      <c r="IL104" s="50">
        <v>234.11799999999999</v>
      </c>
      <c r="IM104" s="50">
        <v>233.958</v>
      </c>
      <c r="IN104" s="49">
        <v>8.5009999999999994</v>
      </c>
      <c r="IO104" s="49">
        <v>0.249</v>
      </c>
      <c r="IP104" s="50">
        <v>9.16</v>
      </c>
      <c r="IQ104" s="50">
        <v>1.4999999999999999E-2</v>
      </c>
      <c r="IR104" s="49">
        <v>1E-3</v>
      </c>
      <c r="IS104">
        <v>0.56700000000000028</v>
      </c>
      <c r="IT104">
        <v>0.3460000000000002</v>
      </c>
    </row>
    <row r="105" spans="2:254" x14ac:dyDescent="0.25">
      <c r="B105" s="2" t="s">
        <v>412</v>
      </c>
      <c r="C105" s="2" t="s">
        <v>42</v>
      </c>
      <c r="D105" s="61">
        <v>2.4775462962962963E-3</v>
      </c>
      <c r="E105" s="49">
        <v>214.1</v>
      </c>
      <c r="F105" s="49">
        <v>333</v>
      </c>
      <c r="G105" s="49">
        <v>6.03</v>
      </c>
      <c r="H105" s="49">
        <v>25.4</v>
      </c>
      <c r="I105" s="49">
        <v>0</v>
      </c>
      <c r="J105" s="49">
        <v>12.9</v>
      </c>
      <c r="K105" s="50">
        <v>6</v>
      </c>
      <c r="L105" s="50">
        <v>6</v>
      </c>
      <c r="M105" s="50">
        <v>7</v>
      </c>
      <c r="N105" s="49">
        <v>2</v>
      </c>
      <c r="O105" s="50">
        <v>3</v>
      </c>
      <c r="P105" s="49">
        <v>0.754</v>
      </c>
      <c r="Q105" s="49">
        <v>1.337</v>
      </c>
      <c r="R105" s="49">
        <v>0.61699999999999999</v>
      </c>
      <c r="S105" s="50">
        <v>0.71099999999999997</v>
      </c>
      <c r="T105" s="49">
        <v>84.45</v>
      </c>
      <c r="U105" s="49">
        <v>60.088000000000001</v>
      </c>
      <c r="V105" s="49">
        <v>225</v>
      </c>
      <c r="W105" s="49">
        <v>245</v>
      </c>
      <c r="X105" s="49">
        <v>185</v>
      </c>
      <c r="Y105" s="49">
        <v>225</v>
      </c>
      <c r="Z105" s="50">
        <v>377.59</v>
      </c>
      <c r="AA105" s="50">
        <v>397.02</v>
      </c>
      <c r="AB105" s="50">
        <v>312.33999999999997</v>
      </c>
      <c r="AC105" s="50">
        <v>381.34</v>
      </c>
      <c r="AD105" s="49">
        <v>1.8069999999999999</v>
      </c>
      <c r="AE105" s="49">
        <v>1.8740000000000001</v>
      </c>
      <c r="AF105" s="49">
        <v>1.8460000000000001</v>
      </c>
      <c r="AG105" s="49">
        <v>1.9159999999999999</v>
      </c>
      <c r="AH105" s="49">
        <v>75.739999999999995</v>
      </c>
      <c r="AI105" s="49">
        <v>70.14</v>
      </c>
      <c r="AJ105" s="49">
        <v>103.83</v>
      </c>
      <c r="AK105" s="49">
        <v>103.79</v>
      </c>
      <c r="AL105" s="50">
        <v>702.18299999999999</v>
      </c>
      <c r="AM105" s="49">
        <v>678.93600000000004</v>
      </c>
      <c r="AN105" s="50">
        <v>937.13099999999997</v>
      </c>
      <c r="AO105" s="49">
        <v>845.59199999999998</v>
      </c>
      <c r="AP105" s="49">
        <v>1.4279999999999999</v>
      </c>
      <c r="AQ105" s="49">
        <v>1.9039999999999999</v>
      </c>
      <c r="AR105" s="49">
        <v>40.259</v>
      </c>
      <c r="AS105" s="49">
        <v>36.529000000000003</v>
      </c>
      <c r="AT105" s="50">
        <v>83</v>
      </c>
      <c r="AU105" s="49">
        <v>112</v>
      </c>
      <c r="AV105" s="49">
        <v>1.3839999999999999</v>
      </c>
      <c r="AW105" s="49">
        <v>4.7845000000000004</v>
      </c>
      <c r="AX105" s="49">
        <v>1015.9</v>
      </c>
      <c r="AY105" s="49">
        <v>2.4500000000000002</v>
      </c>
      <c r="AZ105" s="49">
        <v>4.87</v>
      </c>
      <c r="BA105" s="49">
        <v>69.813999999999993</v>
      </c>
      <c r="BB105" s="49">
        <v>69.096999999999994</v>
      </c>
      <c r="BC105" s="49">
        <v>7734</v>
      </c>
      <c r="BD105" s="49">
        <v>88.25</v>
      </c>
      <c r="BE105" s="50">
        <v>16.684999999999999</v>
      </c>
      <c r="BF105" s="49">
        <v>11.715</v>
      </c>
      <c r="BG105" s="49">
        <v>29.09</v>
      </c>
      <c r="BH105" s="49">
        <v>28.46</v>
      </c>
      <c r="BI105" s="3"/>
      <c r="BJ105" s="3"/>
      <c r="BK105" s="3"/>
      <c r="BL105" s="3"/>
      <c r="BM105" s="3"/>
      <c r="BN105" s="49">
        <v>95.671999999999997</v>
      </c>
      <c r="BO105" s="49">
        <v>95.896000000000001</v>
      </c>
      <c r="BP105" s="49">
        <v>124.84</v>
      </c>
      <c r="BQ105" s="49">
        <v>129.08000000000001</v>
      </c>
      <c r="BR105" s="3"/>
      <c r="BS105" s="49">
        <v>25.1</v>
      </c>
      <c r="BT105" s="49">
        <v>7328.8860000000004</v>
      </c>
      <c r="BU105" s="50">
        <v>49.433</v>
      </c>
      <c r="BV105" s="49">
        <v>52.183</v>
      </c>
      <c r="BW105" s="49">
        <v>52.107999999999997</v>
      </c>
      <c r="BX105" s="50">
        <v>55.768000000000001</v>
      </c>
      <c r="BY105" s="49">
        <v>1.399</v>
      </c>
      <c r="BZ105" s="49">
        <v>3.0209999999999999</v>
      </c>
      <c r="CA105" s="49">
        <v>3.8879999999999999</v>
      </c>
      <c r="CB105" s="50">
        <v>4.0949999999999998</v>
      </c>
      <c r="CC105" s="50">
        <v>1.3380000000000001</v>
      </c>
      <c r="CD105" s="50">
        <v>2.4300000000000002</v>
      </c>
      <c r="CE105" s="49">
        <v>1.371</v>
      </c>
      <c r="CF105" s="50">
        <v>2.25</v>
      </c>
      <c r="CG105" s="49">
        <v>13.733000000000001</v>
      </c>
      <c r="CH105" s="49">
        <v>13.6</v>
      </c>
      <c r="CI105" s="49">
        <v>4.5410000000000004</v>
      </c>
      <c r="CJ105" s="50">
        <v>3.7280000000000002</v>
      </c>
      <c r="CK105" s="50">
        <v>1.659</v>
      </c>
      <c r="CL105" s="49">
        <v>0</v>
      </c>
      <c r="CM105" s="49">
        <v>0.1</v>
      </c>
      <c r="CN105" s="50">
        <v>0</v>
      </c>
      <c r="CO105" s="50">
        <v>0</v>
      </c>
      <c r="CP105" s="49">
        <v>86.918999999999997</v>
      </c>
      <c r="CQ105" s="49">
        <v>88.278999999999996</v>
      </c>
      <c r="CR105" s="49">
        <v>110.631</v>
      </c>
      <c r="CS105" s="49">
        <v>116.056</v>
      </c>
      <c r="CT105" s="49">
        <v>0.28599999999999998</v>
      </c>
      <c r="CU105" s="50">
        <v>1.099</v>
      </c>
      <c r="CV105" s="49">
        <v>1.2</v>
      </c>
      <c r="CW105" s="49">
        <v>1.2010000000000001</v>
      </c>
      <c r="CX105" s="49">
        <v>1.4</v>
      </c>
      <c r="CY105" s="49">
        <v>0.499</v>
      </c>
      <c r="CZ105" s="49">
        <v>1.0980000000000001</v>
      </c>
      <c r="DA105" s="49">
        <v>0.4</v>
      </c>
      <c r="DB105" s="50">
        <v>2.2010000000000001</v>
      </c>
      <c r="DC105" s="50">
        <v>0</v>
      </c>
      <c r="DD105" s="50">
        <v>0</v>
      </c>
      <c r="DE105" s="49">
        <v>0.26</v>
      </c>
      <c r="DF105" s="49">
        <v>7.9000000000000001E-2</v>
      </c>
      <c r="DG105" s="50">
        <v>0.81</v>
      </c>
      <c r="DH105" s="50">
        <v>2.0390000000000001</v>
      </c>
      <c r="DI105" s="50">
        <v>1.357</v>
      </c>
      <c r="DJ105" s="49">
        <v>0.249</v>
      </c>
      <c r="DK105" s="49">
        <v>0.84099999999999997</v>
      </c>
      <c r="DL105" s="49">
        <v>0.41499999999999998</v>
      </c>
      <c r="DM105" s="50">
        <v>0.51100000000000001</v>
      </c>
      <c r="DN105" s="50">
        <v>0.65500000000000003</v>
      </c>
      <c r="DO105" s="50">
        <v>0.433</v>
      </c>
      <c r="DP105" s="49">
        <v>64.882999999999996</v>
      </c>
      <c r="DQ105" s="49">
        <v>59.253</v>
      </c>
      <c r="DR105" s="49">
        <v>54.563000000000002</v>
      </c>
      <c r="DS105" s="49">
        <v>50.368000000000002</v>
      </c>
      <c r="DT105" s="49">
        <v>6.53</v>
      </c>
      <c r="DU105" s="49">
        <v>6.34</v>
      </c>
      <c r="DV105" s="49">
        <v>11.92</v>
      </c>
      <c r="DW105" s="49">
        <v>9.3699999999999992</v>
      </c>
      <c r="DX105" s="49">
        <v>7.04</v>
      </c>
      <c r="DY105" s="49">
        <v>6.64</v>
      </c>
      <c r="DZ105" s="49">
        <v>11.37</v>
      </c>
      <c r="EA105" s="49">
        <v>8.99</v>
      </c>
      <c r="EB105" s="50">
        <v>42.71</v>
      </c>
      <c r="EC105" s="50">
        <v>42.31</v>
      </c>
      <c r="ED105" s="50">
        <v>34.54</v>
      </c>
      <c r="EE105" s="50">
        <v>37.79</v>
      </c>
      <c r="EF105" s="49">
        <v>43.72</v>
      </c>
      <c r="EG105" s="49">
        <v>44.7</v>
      </c>
      <c r="EH105" s="49">
        <v>42.17</v>
      </c>
      <c r="EI105" s="49">
        <v>43.86</v>
      </c>
      <c r="EJ105" s="49">
        <v>6.6420000000000003</v>
      </c>
      <c r="EK105" s="49">
        <v>62.902999999999999</v>
      </c>
      <c r="EL105" s="49">
        <v>2.25</v>
      </c>
      <c r="EM105" s="49">
        <v>1.9</v>
      </c>
      <c r="EN105" s="49">
        <v>1.17</v>
      </c>
      <c r="EO105" s="49">
        <v>1.18</v>
      </c>
      <c r="EP105" s="49">
        <v>-97.754000000000005</v>
      </c>
      <c r="EQ105" s="49">
        <v>-2.38</v>
      </c>
      <c r="ER105" s="49">
        <v>95.841999999999999</v>
      </c>
      <c r="ES105" s="50">
        <v>1.5209999999999999</v>
      </c>
      <c r="ET105" s="49">
        <v>1.61</v>
      </c>
      <c r="EU105" s="50">
        <v>1.4670000000000001</v>
      </c>
      <c r="EV105" s="49">
        <v>7.9279999999999999</v>
      </c>
      <c r="EW105" s="50">
        <v>3.6539999999999999</v>
      </c>
      <c r="EX105" s="49">
        <v>73.66</v>
      </c>
      <c r="EY105" s="49">
        <v>0</v>
      </c>
      <c r="EZ105" s="49">
        <v>0</v>
      </c>
      <c r="FA105" s="50">
        <v>0</v>
      </c>
      <c r="FB105" s="49">
        <v>8.9469999999999992</v>
      </c>
      <c r="FC105" s="49">
        <v>72.39</v>
      </c>
      <c r="FD105" s="49">
        <v>69.539000000000001</v>
      </c>
      <c r="FE105" s="49">
        <v>80.549000000000007</v>
      </c>
      <c r="FF105" s="49">
        <v>78.122</v>
      </c>
      <c r="FG105" s="49">
        <v>0.91300000000000003</v>
      </c>
      <c r="FH105" s="49">
        <v>0.91300000000000003</v>
      </c>
      <c r="FI105" s="49">
        <v>0.995</v>
      </c>
      <c r="FJ105" s="49">
        <v>1</v>
      </c>
      <c r="FK105" s="49">
        <v>0</v>
      </c>
      <c r="FL105" s="50">
        <v>83</v>
      </c>
      <c r="FM105" s="49">
        <v>3.92</v>
      </c>
      <c r="FN105" s="49">
        <v>1.33</v>
      </c>
      <c r="FO105" s="49">
        <v>4.9800000000000004</v>
      </c>
      <c r="FP105" s="3"/>
      <c r="FQ105" s="49">
        <v>4.55</v>
      </c>
      <c r="FR105" s="49">
        <v>5</v>
      </c>
      <c r="FS105" s="50">
        <v>6.6040000000000001</v>
      </c>
      <c r="FT105" s="49">
        <v>1075.8</v>
      </c>
      <c r="FU105" s="49">
        <v>6.09</v>
      </c>
      <c r="FV105" s="49">
        <v>11.76</v>
      </c>
      <c r="FW105" s="49">
        <v>3014</v>
      </c>
      <c r="FX105" s="50">
        <v>163600</v>
      </c>
      <c r="FY105" s="49">
        <v>163600</v>
      </c>
      <c r="FZ105" s="49">
        <v>47.302</v>
      </c>
      <c r="GA105" s="49">
        <v>47.9</v>
      </c>
      <c r="GB105" s="49">
        <v>2166.1</v>
      </c>
      <c r="GC105" s="50">
        <v>2167.5</v>
      </c>
      <c r="GD105" s="49">
        <v>2295.4</v>
      </c>
      <c r="GE105" s="49">
        <v>2219.1999999999998</v>
      </c>
      <c r="GF105" s="49">
        <v>1329.7344000000001</v>
      </c>
      <c r="GG105" s="49">
        <v>29</v>
      </c>
      <c r="GH105" s="49">
        <v>29.3</v>
      </c>
      <c r="GI105" s="49">
        <v>48</v>
      </c>
      <c r="GJ105" s="49">
        <v>53.6</v>
      </c>
      <c r="GK105" s="49">
        <v>99.5</v>
      </c>
      <c r="GL105" s="49">
        <v>109.8</v>
      </c>
      <c r="GM105" s="50">
        <v>0</v>
      </c>
      <c r="GN105" s="49">
        <v>23.864000000000001</v>
      </c>
      <c r="GO105" s="49">
        <v>97.754000000000005</v>
      </c>
      <c r="GP105" s="49">
        <v>1.0029999999999999</v>
      </c>
      <c r="GQ105" s="49">
        <v>1.8879999999999999</v>
      </c>
      <c r="GR105" s="49">
        <v>1.298</v>
      </c>
      <c r="GS105" s="49">
        <v>2.0059999999999998</v>
      </c>
      <c r="GT105" s="49">
        <v>0.82599999999999996</v>
      </c>
      <c r="GU105" s="49">
        <v>1.829</v>
      </c>
      <c r="GV105" s="50">
        <v>0</v>
      </c>
      <c r="GW105" s="49">
        <v>0</v>
      </c>
      <c r="GX105" s="49">
        <v>0</v>
      </c>
      <c r="GY105" s="49">
        <v>11.956</v>
      </c>
      <c r="GZ105" s="50">
        <v>13.557</v>
      </c>
      <c r="HA105" s="49">
        <v>15.778</v>
      </c>
      <c r="HB105" s="49">
        <v>0</v>
      </c>
      <c r="HC105" s="49">
        <v>36.207000000000001</v>
      </c>
      <c r="HD105" s="49">
        <v>78</v>
      </c>
      <c r="HE105" s="50">
        <v>0</v>
      </c>
      <c r="HF105" s="50">
        <v>0</v>
      </c>
      <c r="HG105" s="49">
        <v>72.260000000000005</v>
      </c>
      <c r="HH105" s="49">
        <v>77.13</v>
      </c>
      <c r="HI105" s="50">
        <v>0</v>
      </c>
      <c r="HJ105" s="50">
        <v>0</v>
      </c>
      <c r="HK105" s="50">
        <v>0</v>
      </c>
      <c r="HL105" s="49">
        <v>55</v>
      </c>
      <c r="HM105" s="50">
        <v>51</v>
      </c>
      <c r="HN105" s="49">
        <v>64</v>
      </c>
      <c r="HO105" s="49">
        <v>57</v>
      </c>
      <c r="HP105" s="49">
        <v>60</v>
      </c>
      <c r="HQ105" s="50">
        <v>59</v>
      </c>
      <c r="HR105" s="49">
        <v>54</v>
      </c>
      <c r="HS105" s="49">
        <v>62</v>
      </c>
      <c r="HT105" s="49">
        <v>-1.454</v>
      </c>
      <c r="HU105" s="50">
        <v>0</v>
      </c>
      <c r="HV105" s="49">
        <v>1.206</v>
      </c>
      <c r="HW105" s="50">
        <v>36.85</v>
      </c>
      <c r="HX105" s="50">
        <v>42.22</v>
      </c>
      <c r="HY105" s="50">
        <v>51.09</v>
      </c>
      <c r="HZ105" s="50">
        <v>51.09</v>
      </c>
      <c r="IA105" s="49">
        <v>2.7890000000000001</v>
      </c>
      <c r="IB105" s="49">
        <v>103</v>
      </c>
      <c r="IC105" s="49">
        <v>22.102</v>
      </c>
      <c r="ID105" s="49">
        <v>-0.50700000000000001</v>
      </c>
      <c r="IE105" s="49">
        <v>-0.26600000000000001</v>
      </c>
      <c r="IF105" s="49">
        <v>805.5</v>
      </c>
      <c r="IG105" s="50">
        <v>764.5</v>
      </c>
      <c r="IH105" s="49">
        <v>817.1</v>
      </c>
      <c r="II105" s="50">
        <v>775.6</v>
      </c>
      <c r="IJ105" s="49">
        <v>-0.06</v>
      </c>
      <c r="IK105" s="49">
        <v>4.9000000000000002E-2</v>
      </c>
      <c r="IL105" s="49">
        <v>72.873999999999995</v>
      </c>
      <c r="IM105" s="49">
        <v>72.873999999999995</v>
      </c>
      <c r="IN105" s="49">
        <v>11.125</v>
      </c>
      <c r="IO105" s="49">
        <v>0.442</v>
      </c>
      <c r="IP105" s="49">
        <v>8.84</v>
      </c>
      <c r="IQ105" s="49">
        <v>1.2E-2</v>
      </c>
      <c r="IR105" s="49">
        <v>0</v>
      </c>
      <c r="IS105">
        <v>0.57900000000000029</v>
      </c>
      <c r="IT105">
        <v>0.3460000000000002</v>
      </c>
    </row>
    <row r="106" spans="2:254" x14ac:dyDescent="0.25">
      <c r="B106" s="2" t="s">
        <v>412</v>
      </c>
      <c r="C106" s="62" t="s">
        <v>43</v>
      </c>
      <c r="D106" s="63">
        <v>2.4431712962962962E-3</v>
      </c>
      <c r="E106" s="49">
        <v>211.13</v>
      </c>
      <c r="F106" s="49">
        <v>330.24</v>
      </c>
      <c r="G106" s="50">
        <v>6.04</v>
      </c>
      <c r="H106" s="49">
        <v>25.7</v>
      </c>
      <c r="I106" s="49">
        <v>0</v>
      </c>
      <c r="J106" s="49">
        <v>13.5</v>
      </c>
      <c r="K106" s="50">
        <v>6</v>
      </c>
      <c r="L106" s="50">
        <v>6</v>
      </c>
      <c r="M106" s="50">
        <v>7</v>
      </c>
      <c r="N106" s="49">
        <v>2</v>
      </c>
      <c r="O106" s="50">
        <v>3</v>
      </c>
      <c r="P106" s="49">
        <v>0.57799999999999996</v>
      </c>
      <c r="Q106" s="49">
        <v>1.1910000000000001</v>
      </c>
      <c r="R106" s="49">
        <v>0.434</v>
      </c>
      <c r="S106" s="49">
        <v>0.373</v>
      </c>
      <c r="T106" s="50">
        <v>91.27</v>
      </c>
      <c r="U106" s="49">
        <v>60.052999999999997</v>
      </c>
      <c r="V106" s="49">
        <v>223.34</v>
      </c>
      <c r="W106" s="49">
        <v>243.34</v>
      </c>
      <c r="X106" s="49">
        <v>187.5</v>
      </c>
      <c r="Y106" s="49">
        <v>230</v>
      </c>
      <c r="Z106" s="49">
        <v>372.54</v>
      </c>
      <c r="AA106" s="49">
        <v>390.41</v>
      </c>
      <c r="AB106" s="49">
        <v>303.69</v>
      </c>
      <c r="AC106" s="49">
        <v>375.01</v>
      </c>
      <c r="AD106" s="49">
        <v>1.8</v>
      </c>
      <c r="AE106" s="49">
        <v>1.8560000000000001</v>
      </c>
      <c r="AF106" s="49">
        <v>1.877</v>
      </c>
      <c r="AG106" s="49">
        <v>1.944</v>
      </c>
      <c r="AH106" s="49">
        <v>75.88</v>
      </c>
      <c r="AI106" s="49">
        <v>69.739999999999995</v>
      </c>
      <c r="AJ106" s="49">
        <v>109.39</v>
      </c>
      <c r="AK106" s="49">
        <v>108.93</v>
      </c>
      <c r="AL106" s="49">
        <v>674.50400000000002</v>
      </c>
      <c r="AM106" s="50">
        <v>698.51099999999997</v>
      </c>
      <c r="AN106" s="49">
        <v>894.61500000000001</v>
      </c>
      <c r="AO106" s="50">
        <v>912.87699999999995</v>
      </c>
      <c r="AP106" s="49">
        <v>1.421</v>
      </c>
      <c r="AQ106" s="49">
        <v>1.8839999999999999</v>
      </c>
      <c r="AR106" s="49">
        <v>40.74</v>
      </c>
      <c r="AS106" s="49">
        <v>39.274000000000001</v>
      </c>
      <c r="AT106" s="50">
        <v>83</v>
      </c>
      <c r="AU106" s="49">
        <v>117</v>
      </c>
      <c r="AV106" s="50">
        <v>1.331</v>
      </c>
      <c r="AW106" s="49">
        <v>4.7579000000000002</v>
      </c>
      <c r="AX106" s="50">
        <v>1017</v>
      </c>
      <c r="AY106" s="49">
        <v>2.5</v>
      </c>
      <c r="AZ106" s="49">
        <v>5.07</v>
      </c>
      <c r="BA106" s="49">
        <v>128.19999999999999</v>
      </c>
      <c r="BB106" s="49">
        <v>127</v>
      </c>
      <c r="BC106" s="50">
        <v>7809</v>
      </c>
      <c r="BD106" s="50">
        <v>89.5</v>
      </c>
      <c r="BE106" s="49">
        <v>15.41</v>
      </c>
      <c r="BF106" s="50">
        <v>15.705</v>
      </c>
      <c r="BG106" s="50">
        <v>29.33</v>
      </c>
      <c r="BH106" s="49">
        <v>28.63</v>
      </c>
      <c r="BI106" s="3"/>
      <c r="BJ106" s="3"/>
      <c r="BK106" s="3"/>
      <c r="BL106" s="3"/>
      <c r="BM106" s="3"/>
      <c r="BN106" s="49">
        <v>97.24</v>
      </c>
      <c r="BO106" s="49">
        <v>97.784000000000006</v>
      </c>
      <c r="BP106" s="50">
        <v>128.93600000000001</v>
      </c>
      <c r="BQ106" s="50">
        <v>133.672</v>
      </c>
      <c r="BR106" s="3"/>
      <c r="BS106" s="49">
        <v>25.4</v>
      </c>
      <c r="BT106" s="49">
        <v>7366.5659999999998</v>
      </c>
      <c r="BU106" s="49">
        <v>48.503999999999998</v>
      </c>
      <c r="BV106" s="49">
        <v>50.57</v>
      </c>
      <c r="BW106" s="49">
        <v>52.442999999999998</v>
      </c>
      <c r="BX106" s="49">
        <v>53.673999999999999</v>
      </c>
      <c r="BY106" s="49">
        <v>1.48</v>
      </c>
      <c r="BZ106" s="50">
        <v>3.3410000000000002</v>
      </c>
      <c r="CA106" s="50">
        <v>4.1760000000000002</v>
      </c>
      <c r="CB106" s="49">
        <v>3.597</v>
      </c>
      <c r="CC106" s="49">
        <v>1.222</v>
      </c>
      <c r="CD106" s="49">
        <v>2.4249999999999998</v>
      </c>
      <c r="CE106" s="49">
        <v>1.3580000000000001</v>
      </c>
      <c r="CF106" s="49">
        <v>2.0680000000000001</v>
      </c>
      <c r="CG106" s="49">
        <v>13.727</v>
      </c>
      <c r="CH106" s="49">
        <v>13.542999999999999</v>
      </c>
      <c r="CI106" s="49">
        <v>4.3419999999999996</v>
      </c>
      <c r="CJ106" s="49">
        <v>3.407</v>
      </c>
      <c r="CK106" s="49">
        <v>1.5529999999999999</v>
      </c>
      <c r="CL106" s="49">
        <v>0.1</v>
      </c>
      <c r="CM106" s="50">
        <v>0.9</v>
      </c>
      <c r="CN106" s="50">
        <v>0</v>
      </c>
      <c r="CO106" s="50">
        <v>0</v>
      </c>
      <c r="CP106" s="49">
        <v>92.492999999999995</v>
      </c>
      <c r="CQ106" s="49">
        <v>93.641000000000005</v>
      </c>
      <c r="CR106" s="50">
        <v>121.28</v>
      </c>
      <c r="CS106" s="50">
        <v>127.18</v>
      </c>
      <c r="CT106" s="49">
        <v>0.33600000000000002</v>
      </c>
      <c r="CU106" s="49">
        <v>0.79900000000000004</v>
      </c>
      <c r="CV106" s="49">
        <v>1.5009999999999999</v>
      </c>
      <c r="CW106" s="49">
        <v>1.2010000000000001</v>
      </c>
      <c r="CX106" s="50">
        <v>2</v>
      </c>
      <c r="CY106" s="50">
        <v>1.5980000000000001</v>
      </c>
      <c r="CZ106" s="49">
        <v>1.296</v>
      </c>
      <c r="DA106" s="50">
        <v>1.3959999999999999</v>
      </c>
      <c r="DB106" s="49">
        <v>1.7989999999999999</v>
      </c>
      <c r="DC106" s="50">
        <v>0</v>
      </c>
      <c r="DD106" s="50">
        <v>0</v>
      </c>
      <c r="DE106" s="49">
        <v>0.20300000000000001</v>
      </c>
      <c r="DF106" s="49">
        <v>7.4999999999999997E-2</v>
      </c>
      <c r="DG106" s="49">
        <v>0.76800000000000002</v>
      </c>
      <c r="DH106" s="49">
        <v>1.784</v>
      </c>
      <c r="DI106" s="49">
        <v>0.99199999999999999</v>
      </c>
      <c r="DJ106" s="49">
        <v>0.217</v>
      </c>
      <c r="DK106" s="49">
        <v>0.96499999999999997</v>
      </c>
      <c r="DL106" s="49">
        <v>0.41699999999999998</v>
      </c>
      <c r="DM106" s="49">
        <v>0.16900000000000001</v>
      </c>
      <c r="DN106" s="49">
        <v>-2.3170000000000002</v>
      </c>
      <c r="DO106" s="49">
        <v>0.32600000000000001</v>
      </c>
      <c r="DP106" s="50">
        <v>67.796000000000006</v>
      </c>
      <c r="DQ106" s="49">
        <v>58.35</v>
      </c>
      <c r="DR106" s="50">
        <v>54.826000000000001</v>
      </c>
      <c r="DS106" s="50">
        <v>50.595999999999997</v>
      </c>
      <c r="DT106" s="50">
        <v>6.76</v>
      </c>
      <c r="DU106" s="50">
        <v>7.06</v>
      </c>
      <c r="DV106" s="50">
        <v>12.41</v>
      </c>
      <c r="DW106" s="50">
        <v>9.9700000000000006</v>
      </c>
      <c r="DX106" s="50">
        <v>7.14</v>
      </c>
      <c r="DY106" s="50">
        <v>7.19</v>
      </c>
      <c r="DZ106" s="50">
        <v>12</v>
      </c>
      <c r="EA106" s="50">
        <v>9.8699999999999992</v>
      </c>
      <c r="EB106" s="49">
        <v>42.1</v>
      </c>
      <c r="EC106" s="49">
        <v>40.700000000000003</v>
      </c>
      <c r="ED106" s="49">
        <v>34.29</v>
      </c>
      <c r="EE106" s="49">
        <v>36.92</v>
      </c>
      <c r="EF106" s="49">
        <v>44</v>
      </c>
      <c r="EG106" s="49">
        <v>45.06</v>
      </c>
      <c r="EH106" s="49">
        <v>41.29</v>
      </c>
      <c r="EI106" s="49">
        <v>43.25</v>
      </c>
      <c r="EJ106" s="49">
        <v>7.0289999999999999</v>
      </c>
      <c r="EK106" s="50">
        <v>62.969000000000001</v>
      </c>
      <c r="EL106" s="49">
        <v>2.2999999999999998</v>
      </c>
      <c r="EM106" s="49">
        <v>1.85</v>
      </c>
      <c r="EN106" s="49">
        <v>1.18</v>
      </c>
      <c r="EO106" s="49">
        <v>1.19</v>
      </c>
      <c r="EP106" s="49">
        <v>-101.842</v>
      </c>
      <c r="EQ106" s="49">
        <v>-2.3140000000000001</v>
      </c>
      <c r="ER106" s="50">
        <v>114.238</v>
      </c>
      <c r="ES106" s="49">
        <v>1.4690000000000001</v>
      </c>
      <c r="ET106" s="50">
        <v>1.6140000000000001</v>
      </c>
      <c r="EU106" s="49">
        <v>1.417</v>
      </c>
      <c r="EV106" s="49">
        <v>7.8940000000000001</v>
      </c>
      <c r="EW106" s="49">
        <v>3.5720000000000001</v>
      </c>
      <c r="EX106" s="50">
        <v>74.28</v>
      </c>
      <c r="EY106" s="49">
        <v>0</v>
      </c>
      <c r="EZ106" s="49">
        <v>0</v>
      </c>
      <c r="FA106" s="50">
        <v>0</v>
      </c>
      <c r="FB106" s="49">
        <v>8.9510000000000005</v>
      </c>
      <c r="FC106" s="49">
        <v>70.614999999999995</v>
      </c>
      <c r="FD106" s="49">
        <v>65.813999999999993</v>
      </c>
      <c r="FE106" s="49">
        <v>83.036000000000001</v>
      </c>
      <c r="FF106" s="49">
        <v>80.228999999999999</v>
      </c>
      <c r="FG106" s="49">
        <v>0.91600000000000004</v>
      </c>
      <c r="FH106" s="49">
        <v>0.91700000000000004</v>
      </c>
      <c r="FI106" s="49">
        <v>0.99399999999999999</v>
      </c>
      <c r="FJ106" s="49">
        <v>0.999</v>
      </c>
      <c r="FK106" s="49">
        <v>0</v>
      </c>
      <c r="FL106" s="50">
        <v>83</v>
      </c>
      <c r="FM106" s="49">
        <v>3.98</v>
      </c>
      <c r="FN106" s="49">
        <v>2.58</v>
      </c>
      <c r="FO106" s="50">
        <v>4.29</v>
      </c>
      <c r="FP106" s="3"/>
      <c r="FQ106" s="49">
        <v>4.55</v>
      </c>
      <c r="FR106" s="49">
        <v>5.05</v>
      </c>
      <c r="FS106" s="49">
        <v>6.4995000000000003</v>
      </c>
      <c r="FT106" s="50">
        <v>1077.4000000000001</v>
      </c>
      <c r="FU106" s="50">
        <v>6.53</v>
      </c>
      <c r="FV106" s="49">
        <v>17.8</v>
      </c>
      <c r="FW106" s="49">
        <v>2990.5</v>
      </c>
      <c r="FX106" s="49">
        <v>161800</v>
      </c>
      <c r="FY106" s="49">
        <v>162200</v>
      </c>
      <c r="FZ106" s="49">
        <v>46.904000000000003</v>
      </c>
      <c r="GA106" s="49">
        <v>47.741999999999997</v>
      </c>
      <c r="GB106" s="49">
        <v>2218.3000000000002</v>
      </c>
      <c r="GC106" s="49">
        <v>2146.1999999999998</v>
      </c>
      <c r="GD106" s="49">
        <v>2265.3000000000002</v>
      </c>
      <c r="GE106" s="50">
        <v>2266.1999999999998</v>
      </c>
      <c r="GF106" s="50">
        <v>1528.5313000000001</v>
      </c>
      <c r="GG106" s="49">
        <v>30</v>
      </c>
      <c r="GH106" s="49">
        <v>29.8</v>
      </c>
      <c r="GI106" s="49">
        <v>45.8</v>
      </c>
      <c r="GJ106" s="49">
        <v>50.6</v>
      </c>
      <c r="GK106" s="49">
        <v>99.5</v>
      </c>
      <c r="GL106" s="50">
        <v>110.7</v>
      </c>
      <c r="GM106" s="50">
        <v>0</v>
      </c>
      <c r="GN106" s="49">
        <v>24.25</v>
      </c>
      <c r="GO106" s="50">
        <v>114.238</v>
      </c>
      <c r="GP106" s="49">
        <v>0.47199999999999998</v>
      </c>
      <c r="GQ106" s="49">
        <v>1.8879999999999999</v>
      </c>
      <c r="GR106" s="49">
        <v>1.2390000000000001</v>
      </c>
      <c r="GS106" s="49">
        <v>1.9470000000000001</v>
      </c>
      <c r="GT106" s="49">
        <v>0.70799999999999996</v>
      </c>
      <c r="GU106" s="49">
        <v>1.8879999999999999</v>
      </c>
      <c r="GV106" s="50">
        <v>0</v>
      </c>
      <c r="GW106" s="49">
        <v>0</v>
      </c>
      <c r="GX106" s="49">
        <v>0</v>
      </c>
      <c r="GY106" s="49">
        <v>11.76</v>
      </c>
      <c r="GZ106" s="49">
        <v>13.548</v>
      </c>
      <c r="HA106" s="49">
        <v>14.896000000000001</v>
      </c>
      <c r="HB106" s="49">
        <v>0</v>
      </c>
      <c r="HC106" s="49">
        <v>36.398000000000003</v>
      </c>
      <c r="HD106" s="49">
        <v>82</v>
      </c>
      <c r="HE106" s="50">
        <v>0</v>
      </c>
      <c r="HF106" s="50">
        <v>0</v>
      </c>
      <c r="HG106" s="49">
        <v>67.400000000000006</v>
      </c>
      <c r="HH106" s="49">
        <v>76.739999999999995</v>
      </c>
      <c r="HI106" s="50">
        <v>0</v>
      </c>
      <c r="HJ106" s="50">
        <v>0</v>
      </c>
      <c r="HK106" s="50">
        <v>0</v>
      </c>
      <c r="HL106" s="49">
        <v>56</v>
      </c>
      <c r="HM106" s="49">
        <v>50</v>
      </c>
      <c r="HN106" s="49">
        <v>64</v>
      </c>
      <c r="HO106" s="50">
        <v>58</v>
      </c>
      <c r="HP106" s="49">
        <v>61</v>
      </c>
      <c r="HQ106" s="50">
        <v>59</v>
      </c>
      <c r="HR106" s="49">
        <v>54</v>
      </c>
      <c r="HS106" s="49">
        <v>62</v>
      </c>
      <c r="HT106" s="50">
        <v>-1.476</v>
      </c>
      <c r="HU106" s="50">
        <v>0</v>
      </c>
      <c r="HV106" s="50">
        <v>1.3320000000000001</v>
      </c>
      <c r="HW106" s="49">
        <v>37.61</v>
      </c>
      <c r="HX106" s="49">
        <v>44.39</v>
      </c>
      <c r="HY106" s="49">
        <v>50.68</v>
      </c>
      <c r="HZ106" s="49">
        <v>50.68</v>
      </c>
      <c r="IA106" s="50">
        <v>2.859</v>
      </c>
      <c r="IB106" s="50">
        <v>104</v>
      </c>
      <c r="IC106" s="50">
        <v>22.375</v>
      </c>
      <c r="ID106" s="49">
        <v>-0.45100000000000001</v>
      </c>
      <c r="IE106" s="49">
        <v>-0.23</v>
      </c>
      <c r="IF106" s="50">
        <v>807.6</v>
      </c>
      <c r="IG106" s="49">
        <v>760.4</v>
      </c>
      <c r="IH106" s="49">
        <v>814.1</v>
      </c>
      <c r="II106" s="49">
        <v>771.8</v>
      </c>
      <c r="IJ106" s="49">
        <v>-9.9000000000000005E-2</v>
      </c>
      <c r="IK106" s="50">
        <v>6.3E-2</v>
      </c>
      <c r="IL106" s="49">
        <v>72.069999999999993</v>
      </c>
      <c r="IM106" s="49">
        <v>72.069999999999993</v>
      </c>
      <c r="IN106" s="49">
        <v>11.542</v>
      </c>
      <c r="IO106" s="50">
        <v>0.53100000000000003</v>
      </c>
      <c r="IP106" s="49">
        <v>8.9499999999999993</v>
      </c>
      <c r="IQ106" s="49">
        <v>0.01</v>
      </c>
      <c r="IR106" s="50">
        <v>7.0000000000000001E-3</v>
      </c>
      <c r="IS106">
        <v>0.5890000000000003</v>
      </c>
      <c r="IT106">
        <v>0.3530000000000002</v>
      </c>
    </row>
    <row r="107" spans="2:254" x14ac:dyDescent="0.25">
      <c r="B107" s="2" t="s">
        <v>412</v>
      </c>
      <c r="C107" s="2" t="s">
        <v>44</v>
      </c>
      <c r="D107" s="61">
        <v>2.8603009259259259E-3</v>
      </c>
      <c r="E107" s="49">
        <v>247.13499999999999</v>
      </c>
      <c r="F107" s="50">
        <v>334.35</v>
      </c>
      <c r="G107" s="49">
        <v>5.76</v>
      </c>
      <c r="H107" s="50">
        <v>26</v>
      </c>
      <c r="I107" s="49">
        <v>0</v>
      </c>
      <c r="J107" s="49">
        <v>19.7</v>
      </c>
      <c r="K107" s="50">
        <v>6</v>
      </c>
      <c r="L107" s="50">
        <v>6</v>
      </c>
      <c r="M107" s="50">
        <v>7</v>
      </c>
      <c r="N107" s="50">
        <v>3</v>
      </c>
      <c r="O107" s="50">
        <v>3</v>
      </c>
      <c r="P107" s="49">
        <v>0.70899999999999996</v>
      </c>
      <c r="Q107" s="49">
        <v>1.448</v>
      </c>
      <c r="R107" s="49">
        <v>0.503</v>
      </c>
      <c r="S107" s="49">
        <v>0.48399999999999999</v>
      </c>
      <c r="T107" s="49">
        <v>83.06</v>
      </c>
      <c r="U107" s="49">
        <v>60.338000000000001</v>
      </c>
      <c r="V107" s="49">
        <v>231.66</v>
      </c>
      <c r="W107" s="49">
        <v>251.66</v>
      </c>
      <c r="X107" s="49">
        <v>175</v>
      </c>
      <c r="Y107" s="49">
        <v>221.66</v>
      </c>
      <c r="Z107" s="49">
        <v>361.01</v>
      </c>
      <c r="AA107" s="49">
        <v>376.94</v>
      </c>
      <c r="AB107" s="49">
        <v>270.36</v>
      </c>
      <c r="AC107" s="49">
        <v>338.84</v>
      </c>
      <c r="AD107" s="49">
        <v>1.7949999999999999</v>
      </c>
      <c r="AE107" s="49">
        <v>1.8580000000000001</v>
      </c>
      <c r="AF107" s="49">
        <v>1.889</v>
      </c>
      <c r="AG107" s="49">
        <v>1.9650000000000001</v>
      </c>
      <c r="AH107" s="50">
        <v>76.56</v>
      </c>
      <c r="AI107" s="49">
        <v>70.22</v>
      </c>
      <c r="AJ107" s="50">
        <v>110.17</v>
      </c>
      <c r="AK107" s="50">
        <v>111.08</v>
      </c>
      <c r="AL107" s="49">
        <v>666.33299999999997</v>
      </c>
      <c r="AM107" s="49">
        <v>675.40899999999999</v>
      </c>
      <c r="AN107" s="49">
        <v>866.96100000000001</v>
      </c>
      <c r="AO107" s="49">
        <v>847.84299999999996</v>
      </c>
      <c r="AP107" s="49">
        <v>1.41</v>
      </c>
      <c r="AQ107" s="49">
        <v>1.88</v>
      </c>
      <c r="AR107" s="49">
        <v>41.423999999999999</v>
      </c>
      <c r="AS107" s="50">
        <v>40.418999999999997</v>
      </c>
      <c r="AT107" s="50">
        <v>83</v>
      </c>
      <c r="AU107" s="50">
        <v>119</v>
      </c>
      <c r="AV107" s="49">
        <v>1.361</v>
      </c>
      <c r="AW107" s="49">
        <v>4.5216000000000003</v>
      </c>
      <c r="AX107" s="49">
        <v>1014.8</v>
      </c>
      <c r="AY107" s="49">
        <v>2.4700000000000002</v>
      </c>
      <c r="AZ107" s="49">
        <v>5.0599999999999996</v>
      </c>
      <c r="BA107" s="49">
        <v>95.513999999999996</v>
      </c>
      <c r="BB107" s="49">
        <v>99.313999999999993</v>
      </c>
      <c r="BC107" s="49">
        <v>7771</v>
      </c>
      <c r="BD107" s="50">
        <v>89.5</v>
      </c>
      <c r="BE107" s="49">
        <v>14.78</v>
      </c>
      <c r="BF107" s="49">
        <v>13.535</v>
      </c>
      <c r="BG107" s="49">
        <v>28.14</v>
      </c>
      <c r="BH107" s="50">
        <v>31.23</v>
      </c>
      <c r="BI107" s="49">
        <v>65.36</v>
      </c>
      <c r="BJ107" s="50">
        <v>79.491</v>
      </c>
      <c r="BK107" s="49">
        <v>63.866</v>
      </c>
      <c r="BL107" s="49">
        <v>76.787000000000006</v>
      </c>
      <c r="BM107" s="50">
        <v>77.677000000000007</v>
      </c>
      <c r="BN107" s="50">
        <v>109.176</v>
      </c>
      <c r="BO107" s="50">
        <v>109.08</v>
      </c>
      <c r="BP107" s="49">
        <v>125.8</v>
      </c>
      <c r="BQ107" s="49">
        <v>130.68</v>
      </c>
      <c r="BR107" s="50">
        <v>60.183</v>
      </c>
      <c r="BS107" s="50">
        <v>25.7</v>
      </c>
      <c r="BT107" s="50">
        <v>7391.5640000000003</v>
      </c>
      <c r="BU107" s="49">
        <v>48.085999999999999</v>
      </c>
      <c r="BV107" s="49">
        <v>52.14</v>
      </c>
      <c r="BW107" s="49">
        <v>51.101999999999997</v>
      </c>
      <c r="BX107" s="49">
        <v>53.19</v>
      </c>
      <c r="BY107" s="49">
        <v>1.601</v>
      </c>
      <c r="BZ107" s="49">
        <v>3.2890000000000001</v>
      </c>
      <c r="CA107" s="49">
        <v>3.0539999999999998</v>
      </c>
      <c r="CB107" s="49">
        <v>3.335</v>
      </c>
      <c r="CC107" s="49">
        <v>1.329</v>
      </c>
      <c r="CD107" s="49">
        <v>2.36</v>
      </c>
      <c r="CE107" s="49">
        <v>1.2769999999999999</v>
      </c>
      <c r="CF107" s="49">
        <v>2.0659999999999998</v>
      </c>
      <c r="CG107" s="50">
        <v>13.754</v>
      </c>
      <c r="CH107" s="49">
        <v>13.433</v>
      </c>
      <c r="CI107" s="3"/>
      <c r="CJ107" s="3"/>
      <c r="CK107" s="3"/>
      <c r="CL107" s="50">
        <v>0.2</v>
      </c>
      <c r="CM107" s="49">
        <v>0.4</v>
      </c>
      <c r="CN107" s="50">
        <v>0</v>
      </c>
      <c r="CO107" s="50">
        <v>0</v>
      </c>
      <c r="CP107" s="50">
        <v>94.141999999999996</v>
      </c>
      <c r="CQ107" s="50">
        <v>94.671999999999997</v>
      </c>
      <c r="CR107" s="49">
        <v>118.43</v>
      </c>
      <c r="CS107" s="49">
        <v>124.753</v>
      </c>
      <c r="CT107" s="49">
        <v>0.28499999999999998</v>
      </c>
      <c r="CU107" s="49">
        <v>1.0980000000000001</v>
      </c>
      <c r="CV107" s="50">
        <v>2.1</v>
      </c>
      <c r="CW107" s="49">
        <v>0.9</v>
      </c>
      <c r="CX107" s="49">
        <v>1.702</v>
      </c>
      <c r="CY107" s="49">
        <v>0.89800000000000002</v>
      </c>
      <c r="CZ107" s="49">
        <v>1.202</v>
      </c>
      <c r="DA107" s="49">
        <v>0.69899999999999995</v>
      </c>
      <c r="DB107" s="49">
        <v>1.1970000000000001</v>
      </c>
      <c r="DC107" s="50">
        <v>0</v>
      </c>
      <c r="DD107" s="50">
        <v>0</v>
      </c>
      <c r="DE107" s="49">
        <v>0.186</v>
      </c>
      <c r="DF107" s="49">
        <v>8.5999999999999993E-2</v>
      </c>
      <c r="DG107" s="49">
        <v>0.29199999999999998</v>
      </c>
      <c r="DH107" s="49">
        <v>1.52</v>
      </c>
      <c r="DI107" s="49">
        <v>0.88600000000000001</v>
      </c>
      <c r="DJ107" s="49">
        <v>1.9E-2</v>
      </c>
      <c r="DK107" s="49">
        <v>0.74199999999999999</v>
      </c>
      <c r="DL107" s="49">
        <v>0.41599999999999998</v>
      </c>
      <c r="DM107" s="49">
        <v>6.0999999999999999E-2</v>
      </c>
      <c r="DN107" s="49">
        <v>-11.182</v>
      </c>
      <c r="DO107" s="49">
        <v>0.30199999999999999</v>
      </c>
      <c r="DP107" s="49">
        <v>66.903999999999996</v>
      </c>
      <c r="DQ107" s="50">
        <v>61.429000000000002</v>
      </c>
      <c r="DR107" s="49">
        <v>53.887999999999998</v>
      </c>
      <c r="DS107" s="49">
        <v>50.424999999999997</v>
      </c>
      <c r="DT107" s="49">
        <v>5.85</v>
      </c>
      <c r="DU107" s="49">
        <v>5.94</v>
      </c>
      <c r="DV107" s="49">
        <v>10.7</v>
      </c>
      <c r="DW107" s="49">
        <v>8.69</v>
      </c>
      <c r="DX107" s="49">
        <v>6.09</v>
      </c>
      <c r="DY107" s="49">
        <v>6.17</v>
      </c>
      <c r="DZ107" s="49">
        <v>10.28</v>
      </c>
      <c r="EA107" s="49">
        <v>8.43</v>
      </c>
      <c r="EB107" s="49">
        <v>41.76</v>
      </c>
      <c r="EC107" s="49">
        <v>41.09</v>
      </c>
      <c r="ED107" s="49">
        <v>33.82</v>
      </c>
      <c r="EE107" s="49">
        <v>36.39</v>
      </c>
      <c r="EF107" s="49">
        <v>46.29</v>
      </c>
      <c r="EG107" s="49">
        <v>46.79</v>
      </c>
      <c r="EH107" s="49">
        <v>45.19</v>
      </c>
      <c r="EI107" s="49">
        <v>46.49</v>
      </c>
      <c r="EJ107" s="50">
        <v>7.1669999999999998</v>
      </c>
      <c r="EK107" s="49">
        <v>62.567999999999998</v>
      </c>
      <c r="EL107" s="50">
        <v>2.35</v>
      </c>
      <c r="EM107" s="49">
        <v>1.85</v>
      </c>
      <c r="EN107" s="50">
        <v>1.23</v>
      </c>
      <c r="EO107" s="50">
        <v>1.2</v>
      </c>
      <c r="EP107" s="50">
        <v>-103.886</v>
      </c>
      <c r="EQ107" s="49">
        <v>-2.2410000000000001</v>
      </c>
      <c r="ER107" s="49">
        <v>84.162000000000006</v>
      </c>
      <c r="ES107" s="49">
        <v>1.4410000000000001</v>
      </c>
      <c r="ET107" s="49">
        <v>1.5740000000000001</v>
      </c>
      <c r="EU107" s="49">
        <v>1.393</v>
      </c>
      <c r="EV107" s="49">
        <v>7.6280000000000001</v>
      </c>
      <c r="EW107" s="49">
        <v>3.4239999999999999</v>
      </c>
      <c r="EX107" s="49">
        <v>69.28</v>
      </c>
      <c r="EY107" s="49">
        <v>0.18</v>
      </c>
      <c r="EZ107" s="50">
        <v>1.7909999999999999</v>
      </c>
      <c r="FA107" s="50">
        <v>0</v>
      </c>
      <c r="FB107" s="50">
        <v>9.0459999999999994</v>
      </c>
      <c r="FC107" s="49">
        <v>70.378</v>
      </c>
      <c r="FD107" s="49">
        <v>65.165999999999997</v>
      </c>
      <c r="FE107" s="49">
        <v>84.025000000000006</v>
      </c>
      <c r="FF107" s="49">
        <v>81.611999999999995</v>
      </c>
      <c r="FG107" s="50">
        <v>0.97099999999999997</v>
      </c>
      <c r="FH107" s="49">
        <v>0.92400000000000004</v>
      </c>
      <c r="FI107" s="49">
        <v>0.995</v>
      </c>
      <c r="FJ107" s="49">
        <v>0.999</v>
      </c>
      <c r="FK107" s="49">
        <v>0</v>
      </c>
      <c r="FL107" s="50">
        <v>83</v>
      </c>
      <c r="FM107" s="50">
        <v>3.99</v>
      </c>
      <c r="FN107" s="49">
        <v>2.21</v>
      </c>
      <c r="FO107" s="49">
        <v>4.8099999999999996</v>
      </c>
      <c r="FP107" s="50">
        <v>3.7</v>
      </c>
      <c r="FQ107" s="49">
        <v>4.5</v>
      </c>
      <c r="FR107" s="50">
        <v>4.95</v>
      </c>
      <c r="FS107" s="49">
        <v>6.5774999999999997</v>
      </c>
      <c r="FT107" s="49">
        <v>1074</v>
      </c>
      <c r="FU107" s="49">
        <v>5.99</v>
      </c>
      <c r="FV107" s="50">
        <v>23.56</v>
      </c>
      <c r="FW107" s="49">
        <v>3058</v>
      </c>
      <c r="FX107" s="49">
        <v>163500</v>
      </c>
      <c r="FY107" s="50">
        <v>164700</v>
      </c>
      <c r="FZ107" s="49">
        <v>47.238999999999997</v>
      </c>
      <c r="GA107" s="49">
        <v>47.627000000000002</v>
      </c>
      <c r="GB107" s="50">
        <v>2301.1</v>
      </c>
      <c r="GC107" s="49">
        <v>2136.6</v>
      </c>
      <c r="GD107" s="50">
        <v>2358.3000000000002</v>
      </c>
      <c r="GE107" s="49">
        <v>2224.9</v>
      </c>
      <c r="GF107" s="49">
        <v>1268.5</v>
      </c>
      <c r="GG107" s="49">
        <v>30</v>
      </c>
      <c r="GH107" s="49">
        <v>30.4</v>
      </c>
      <c r="GI107" s="49">
        <v>45.9</v>
      </c>
      <c r="GJ107" s="49">
        <v>51.2</v>
      </c>
      <c r="GK107" s="49">
        <v>99.5</v>
      </c>
      <c r="GL107" s="49">
        <v>109.3</v>
      </c>
      <c r="GM107" s="50">
        <v>0</v>
      </c>
      <c r="GN107" s="49">
        <v>23.401</v>
      </c>
      <c r="GO107" s="49">
        <v>103.886</v>
      </c>
      <c r="GP107" s="50">
        <v>0</v>
      </c>
      <c r="GQ107" s="49">
        <v>1.8879999999999999</v>
      </c>
      <c r="GR107" s="50">
        <v>0</v>
      </c>
      <c r="GS107" s="49">
        <v>1.9470000000000001</v>
      </c>
      <c r="GT107" s="50">
        <v>0</v>
      </c>
      <c r="GU107" s="49">
        <v>1.8879999999999999</v>
      </c>
      <c r="GV107" s="50">
        <v>0</v>
      </c>
      <c r="GW107" s="49">
        <v>0</v>
      </c>
      <c r="GX107" s="49">
        <v>0</v>
      </c>
      <c r="GY107" s="50">
        <v>0</v>
      </c>
      <c r="GZ107" s="49">
        <v>13.253</v>
      </c>
      <c r="HA107" s="49">
        <v>14.896000000000001</v>
      </c>
      <c r="HB107" s="49">
        <v>0</v>
      </c>
      <c r="HC107" s="49">
        <v>34.704000000000001</v>
      </c>
      <c r="HD107" s="50">
        <v>86</v>
      </c>
      <c r="HE107" s="50">
        <v>0</v>
      </c>
      <c r="HF107" s="50">
        <v>0</v>
      </c>
      <c r="HG107" s="49">
        <v>66.900000000000006</v>
      </c>
      <c r="HH107" s="49">
        <v>76.47</v>
      </c>
      <c r="HI107" s="50">
        <v>0</v>
      </c>
      <c r="HJ107" s="50">
        <v>0</v>
      </c>
      <c r="HK107" s="50">
        <v>0</v>
      </c>
      <c r="HL107" s="49">
        <v>57</v>
      </c>
      <c r="HM107" s="49">
        <v>50</v>
      </c>
      <c r="HN107" s="50">
        <v>65</v>
      </c>
      <c r="HO107" s="50">
        <v>58</v>
      </c>
      <c r="HP107" s="50">
        <v>62</v>
      </c>
      <c r="HQ107" s="50">
        <v>59</v>
      </c>
      <c r="HR107" s="49">
        <v>54</v>
      </c>
      <c r="HS107" s="50">
        <v>70</v>
      </c>
      <c r="HT107" s="49">
        <v>-1.4630000000000001</v>
      </c>
      <c r="HU107" s="50">
        <v>0</v>
      </c>
      <c r="HV107" s="49">
        <v>1.091</v>
      </c>
      <c r="HW107" s="49">
        <v>44.42</v>
      </c>
      <c r="HX107" s="49">
        <v>44.39</v>
      </c>
      <c r="HY107" s="3"/>
      <c r="HZ107" s="3"/>
      <c r="IA107" s="49">
        <v>2.7469999999999999</v>
      </c>
      <c r="IB107" s="49">
        <v>103</v>
      </c>
      <c r="IC107" s="49">
        <v>22.172999999999998</v>
      </c>
      <c r="ID107" s="49">
        <v>-0.373</v>
      </c>
      <c r="IE107" s="50">
        <v>-0.191</v>
      </c>
      <c r="IF107" s="49">
        <v>807.5</v>
      </c>
      <c r="IG107" s="49">
        <v>741.4</v>
      </c>
      <c r="IH107" s="50">
        <v>822</v>
      </c>
      <c r="II107" s="49">
        <v>755</v>
      </c>
      <c r="IJ107" s="49">
        <v>-4.5999999999999999E-2</v>
      </c>
      <c r="IK107" s="49">
        <v>1.2999999999999999E-2</v>
      </c>
      <c r="IL107" s="49">
        <v>88.605999999999995</v>
      </c>
      <c r="IM107" s="49">
        <v>88.605999999999995</v>
      </c>
      <c r="IN107" s="50">
        <v>13.603999999999999</v>
      </c>
      <c r="IO107" s="49">
        <v>0.26500000000000001</v>
      </c>
      <c r="IP107" s="49">
        <v>9.1300000000000008</v>
      </c>
      <c r="IQ107" s="49">
        <v>0</v>
      </c>
      <c r="IR107" s="49">
        <v>0</v>
      </c>
      <c r="IS107">
        <v>0.5890000000000003</v>
      </c>
      <c r="IT107">
        <v>0.3530000000000002</v>
      </c>
    </row>
    <row r="108" spans="2:254" x14ac:dyDescent="0.25">
      <c r="IS108">
        <v>0.5890000000000003</v>
      </c>
      <c r="IT108">
        <v>0.3530000000000002</v>
      </c>
    </row>
    <row r="109" spans="2:254" x14ac:dyDescent="0.25">
      <c r="IS109">
        <v>0.5890000000000003</v>
      </c>
      <c r="IT109">
        <v>0.3530000000000002</v>
      </c>
    </row>
    <row r="110" spans="2:254" x14ac:dyDescent="0.25">
      <c r="IS110">
        <v>0.5890000000000003</v>
      </c>
      <c r="IT110">
        <v>0.3530000000000002</v>
      </c>
    </row>
    <row r="111" spans="2:254" x14ac:dyDescent="0.25">
      <c r="B111" s="2" t="s">
        <v>412</v>
      </c>
      <c r="C111" s="2" t="s">
        <v>41</v>
      </c>
      <c r="D111" s="61">
        <v>3.3234953703703708E-3</v>
      </c>
      <c r="E111" s="50">
        <v>287.154</v>
      </c>
      <c r="F111" s="49">
        <v>327.02999999999997</v>
      </c>
      <c r="G111" s="49">
        <v>5.82</v>
      </c>
      <c r="H111" s="49">
        <v>26</v>
      </c>
      <c r="I111" s="50">
        <v>0</v>
      </c>
      <c r="J111" s="50">
        <v>64</v>
      </c>
      <c r="K111" s="49">
        <v>6</v>
      </c>
      <c r="L111" s="50">
        <v>6</v>
      </c>
      <c r="M111" s="50">
        <v>7</v>
      </c>
      <c r="N111" s="50">
        <v>3</v>
      </c>
      <c r="O111" s="50">
        <v>3</v>
      </c>
      <c r="P111" s="50">
        <v>0.84199999999999997</v>
      </c>
      <c r="Q111" s="50">
        <v>1.355</v>
      </c>
      <c r="R111" s="50">
        <v>1.069</v>
      </c>
      <c r="S111" s="49">
        <v>0.65100000000000002</v>
      </c>
      <c r="T111" s="49">
        <v>65.28</v>
      </c>
      <c r="U111" s="50">
        <v>61.334000000000003</v>
      </c>
      <c r="V111" s="50">
        <v>203.34</v>
      </c>
      <c r="W111" s="50">
        <v>213.34</v>
      </c>
      <c r="X111" s="50">
        <v>127.5</v>
      </c>
      <c r="Y111" s="50">
        <v>155</v>
      </c>
      <c r="Z111" s="49">
        <v>340.11</v>
      </c>
      <c r="AA111" s="49">
        <v>352.89</v>
      </c>
      <c r="AB111" s="49">
        <v>213.73</v>
      </c>
      <c r="AC111" s="49">
        <v>273.85000000000002</v>
      </c>
      <c r="AD111" s="49">
        <v>1.756</v>
      </c>
      <c r="AE111" s="49">
        <v>1.792</v>
      </c>
      <c r="AF111" s="49">
        <v>1.7529999999999999</v>
      </c>
      <c r="AG111" s="49">
        <v>1.786</v>
      </c>
      <c r="AH111" s="49">
        <v>66.75</v>
      </c>
      <c r="AI111" s="49">
        <v>61.22</v>
      </c>
      <c r="AJ111" s="49">
        <v>92.71</v>
      </c>
      <c r="AK111" s="49">
        <v>93.85</v>
      </c>
      <c r="AL111" s="49">
        <v>637.64300000000003</v>
      </c>
      <c r="AM111" s="49">
        <v>638.34500000000003</v>
      </c>
      <c r="AN111" s="49">
        <v>828.05700000000002</v>
      </c>
      <c r="AO111" s="49">
        <v>814.99699999999996</v>
      </c>
      <c r="AP111" s="50">
        <v>1.363</v>
      </c>
      <c r="AQ111" s="49">
        <v>1.81</v>
      </c>
      <c r="AR111" s="49">
        <v>42.613</v>
      </c>
      <c r="AS111" s="49">
        <v>37.720999999999997</v>
      </c>
      <c r="AT111" s="50">
        <v>84</v>
      </c>
      <c r="AU111" s="49">
        <v>116</v>
      </c>
      <c r="AV111" s="49">
        <v>1.5385</v>
      </c>
      <c r="AW111" s="49">
        <v>4.3726000000000003</v>
      </c>
      <c r="AX111" s="50">
        <v>1016.7</v>
      </c>
      <c r="AY111" s="50">
        <v>2.89</v>
      </c>
      <c r="AZ111" s="49">
        <v>4.82</v>
      </c>
      <c r="BA111" s="50">
        <v>65.106999999999999</v>
      </c>
      <c r="BB111" s="50">
        <v>66.900000000000006</v>
      </c>
      <c r="BC111" s="49">
        <v>7795</v>
      </c>
      <c r="BD111" s="49">
        <v>89</v>
      </c>
      <c r="BE111" s="49">
        <v>15.36</v>
      </c>
      <c r="BF111" s="49">
        <v>14.375</v>
      </c>
      <c r="BG111" s="49">
        <v>27.5</v>
      </c>
      <c r="BH111" s="49">
        <v>28.63</v>
      </c>
      <c r="BI111" s="49">
        <v>65.331000000000003</v>
      </c>
      <c r="BJ111" s="49">
        <v>79.213999999999999</v>
      </c>
      <c r="BK111" s="49">
        <v>63.863</v>
      </c>
      <c r="BL111" s="49">
        <v>77.247</v>
      </c>
      <c r="BM111" s="49">
        <v>76.742000000000004</v>
      </c>
      <c r="BN111" s="50">
        <v>128.66399999999999</v>
      </c>
      <c r="BO111" s="50">
        <v>127.16</v>
      </c>
      <c r="BP111" s="49">
        <v>127.032</v>
      </c>
      <c r="BQ111" s="49">
        <v>130.68</v>
      </c>
      <c r="BR111" s="49">
        <v>57.912999999999997</v>
      </c>
      <c r="BS111" s="49">
        <v>25.7</v>
      </c>
      <c r="BT111" s="49">
        <v>7300.2309999999998</v>
      </c>
      <c r="BU111" s="50">
        <v>51.393999999999998</v>
      </c>
      <c r="BV111" s="50">
        <v>51.39</v>
      </c>
      <c r="BW111" s="50">
        <v>54.497999999999998</v>
      </c>
      <c r="BX111" s="50">
        <v>54.552999999999997</v>
      </c>
      <c r="BY111" s="50">
        <v>1.609</v>
      </c>
      <c r="BZ111" s="49">
        <v>2.9660000000000002</v>
      </c>
      <c r="CA111" s="50">
        <v>3.5990000000000002</v>
      </c>
      <c r="CB111" s="49">
        <v>4.1550000000000002</v>
      </c>
      <c r="CC111" s="49">
        <v>0.83</v>
      </c>
      <c r="CD111" s="50">
        <v>2.298</v>
      </c>
      <c r="CE111" s="49">
        <v>1.254</v>
      </c>
      <c r="CF111" s="49">
        <v>1.9950000000000001</v>
      </c>
      <c r="CG111" s="49">
        <v>13.593999999999999</v>
      </c>
      <c r="CH111" s="50">
        <v>10.19</v>
      </c>
      <c r="CI111" s="50">
        <v>5.4059999999999997</v>
      </c>
      <c r="CJ111" s="49">
        <v>3.3319999999999999</v>
      </c>
      <c r="CK111" s="49">
        <v>1.355</v>
      </c>
      <c r="CL111" s="50">
        <v>0.2</v>
      </c>
      <c r="CM111" s="49">
        <v>0.5</v>
      </c>
      <c r="CN111" s="49">
        <v>0</v>
      </c>
      <c r="CO111" s="49">
        <v>0</v>
      </c>
      <c r="CP111" s="50">
        <v>105.846</v>
      </c>
      <c r="CQ111" s="50">
        <v>105.628</v>
      </c>
      <c r="CR111" s="49">
        <v>107.294</v>
      </c>
      <c r="CS111" s="49">
        <v>111.90600000000001</v>
      </c>
      <c r="CT111" s="50">
        <v>0.49299999999999999</v>
      </c>
      <c r="CU111" s="49">
        <v>1.1990000000000001</v>
      </c>
      <c r="CV111" s="49">
        <v>1.6990000000000001</v>
      </c>
      <c r="CW111" s="50">
        <v>1.7</v>
      </c>
      <c r="CX111" s="50">
        <v>2.097</v>
      </c>
      <c r="CY111" s="50">
        <v>1.298</v>
      </c>
      <c r="CZ111" s="49">
        <v>1.202</v>
      </c>
      <c r="DA111" s="50">
        <v>1.101</v>
      </c>
      <c r="DB111" s="50">
        <v>2.1989999999999998</v>
      </c>
      <c r="DC111" s="50">
        <v>8.0000000000000002E-3</v>
      </c>
      <c r="DD111" s="50">
        <v>0</v>
      </c>
      <c r="DE111" s="49">
        <v>0.23599999999999999</v>
      </c>
      <c r="DF111" s="49">
        <v>0.13400000000000001</v>
      </c>
      <c r="DG111" s="49">
        <v>0.38500000000000001</v>
      </c>
      <c r="DH111" s="49">
        <v>2.4180000000000001</v>
      </c>
      <c r="DI111" s="49">
        <v>1.216</v>
      </c>
      <c r="DJ111" s="49">
        <v>0.221</v>
      </c>
      <c r="DK111" s="49">
        <v>0.93200000000000005</v>
      </c>
      <c r="DL111" s="50">
        <v>0.40799999999999997</v>
      </c>
      <c r="DM111" s="49">
        <v>0.91300000000000003</v>
      </c>
      <c r="DN111" s="49">
        <v>0.47899999999999998</v>
      </c>
      <c r="DO111" s="50">
        <v>0.47199999999999998</v>
      </c>
      <c r="DP111" s="49">
        <v>65.909000000000006</v>
      </c>
      <c r="DQ111" s="50">
        <v>60.524999999999999</v>
      </c>
      <c r="DR111" s="50">
        <v>55.527000000000001</v>
      </c>
      <c r="DS111" s="50">
        <v>51.17</v>
      </c>
      <c r="DT111" s="49">
        <v>4.34</v>
      </c>
      <c r="DU111" s="49">
        <v>4.4400000000000004</v>
      </c>
      <c r="DV111" s="49">
        <v>8.26</v>
      </c>
      <c r="DW111" s="49">
        <v>6.59</v>
      </c>
      <c r="DX111" s="49">
        <v>4.51</v>
      </c>
      <c r="DY111" s="49">
        <v>4.3899999999999997</v>
      </c>
      <c r="DZ111" s="49">
        <v>7.82</v>
      </c>
      <c r="EA111" s="49">
        <v>6.22</v>
      </c>
      <c r="EB111" s="49">
        <v>35.51</v>
      </c>
      <c r="EC111" s="49">
        <v>35.380000000000003</v>
      </c>
      <c r="ED111" s="49">
        <v>28.8</v>
      </c>
      <c r="EE111" s="49">
        <v>31.74</v>
      </c>
      <c r="EF111" s="50">
        <v>55.64</v>
      </c>
      <c r="EG111" s="50">
        <v>55.79</v>
      </c>
      <c r="EH111" s="50">
        <v>55.12</v>
      </c>
      <c r="EI111" s="50">
        <v>55.46</v>
      </c>
      <c r="EJ111" s="49">
        <v>7.0149999999999997</v>
      </c>
      <c r="EK111" s="49">
        <v>62.448</v>
      </c>
      <c r="EL111" s="50">
        <v>2.65</v>
      </c>
      <c r="EM111" s="50">
        <v>1.9</v>
      </c>
      <c r="EN111" s="49">
        <v>1.19</v>
      </c>
      <c r="EO111" s="50">
        <v>1.2</v>
      </c>
      <c r="EP111" s="49">
        <v>-86.95</v>
      </c>
      <c r="EQ111" s="50">
        <v>-1.359</v>
      </c>
      <c r="ER111" s="49">
        <v>101.974</v>
      </c>
      <c r="ES111" s="49">
        <v>1.1479999999999999</v>
      </c>
      <c r="ET111" s="49">
        <v>1.2629999999999999</v>
      </c>
      <c r="EU111" s="49">
        <v>1.1080000000000001</v>
      </c>
      <c r="EV111" s="49">
        <v>7.5860000000000003</v>
      </c>
      <c r="EW111" s="49">
        <v>3.4049999999999998</v>
      </c>
      <c r="EX111" s="49">
        <v>-215.48</v>
      </c>
      <c r="EY111" s="50">
        <v>0.10100000000000001</v>
      </c>
      <c r="EZ111" s="49">
        <v>0</v>
      </c>
      <c r="FA111" s="50">
        <v>0</v>
      </c>
      <c r="FB111" s="49">
        <v>8.02</v>
      </c>
      <c r="FC111" s="49">
        <v>67.948999999999998</v>
      </c>
      <c r="FD111" s="49">
        <v>63.55</v>
      </c>
      <c r="FE111" s="49">
        <v>76.501000000000005</v>
      </c>
      <c r="FF111" s="49">
        <v>75.245999999999995</v>
      </c>
      <c r="FG111" s="49">
        <v>1</v>
      </c>
      <c r="FH111" s="50">
        <v>1.012</v>
      </c>
      <c r="FI111" s="50">
        <v>1</v>
      </c>
      <c r="FJ111" s="50">
        <v>1.004</v>
      </c>
      <c r="FK111" s="50">
        <v>0.20200000000000001</v>
      </c>
      <c r="FL111" s="50">
        <v>84</v>
      </c>
      <c r="FM111" s="50">
        <v>3.92</v>
      </c>
      <c r="FN111" s="49">
        <v>1.63</v>
      </c>
      <c r="FO111" s="49">
        <v>4.82</v>
      </c>
      <c r="FP111" s="50">
        <v>0.45</v>
      </c>
      <c r="FQ111" s="49">
        <v>4.75</v>
      </c>
      <c r="FR111" s="50">
        <v>4.95</v>
      </c>
      <c r="FS111" s="50">
        <v>6.4684999999999997</v>
      </c>
      <c r="FT111" s="50">
        <v>1071.2</v>
      </c>
      <c r="FU111" s="49">
        <v>6.02</v>
      </c>
      <c r="FV111" s="49">
        <v>29.38</v>
      </c>
      <c r="FW111" s="49">
        <v>2904.5</v>
      </c>
      <c r="FX111" s="49">
        <v>161400</v>
      </c>
      <c r="FY111" s="49">
        <v>162500</v>
      </c>
      <c r="FZ111" s="50">
        <v>47.887</v>
      </c>
      <c r="GA111" s="50">
        <v>48.317</v>
      </c>
      <c r="GB111" s="50">
        <v>2181.1</v>
      </c>
      <c r="GC111" s="49">
        <v>2141.8000000000002</v>
      </c>
      <c r="GD111" s="49">
        <v>2186</v>
      </c>
      <c r="GE111" s="49">
        <v>2186.3000000000002</v>
      </c>
      <c r="GF111" s="50">
        <v>1474.2813000000001</v>
      </c>
      <c r="GG111" s="49">
        <v>31</v>
      </c>
      <c r="GH111" s="49">
        <v>31.2</v>
      </c>
      <c r="GI111" s="50">
        <v>49.7</v>
      </c>
      <c r="GJ111" s="50">
        <v>55.3</v>
      </c>
      <c r="GK111" s="50">
        <v>98</v>
      </c>
      <c r="GL111" s="49">
        <v>110.8</v>
      </c>
      <c r="GM111" s="50">
        <v>0</v>
      </c>
      <c r="GN111" s="49">
        <v>24.363</v>
      </c>
      <c r="GO111" s="49">
        <v>101.974</v>
      </c>
      <c r="GP111" s="50">
        <v>0</v>
      </c>
      <c r="GQ111" s="50">
        <v>3.2450000000000001</v>
      </c>
      <c r="GR111" s="50">
        <v>0</v>
      </c>
      <c r="GS111" s="50">
        <v>3.363</v>
      </c>
      <c r="GT111" s="50">
        <v>0</v>
      </c>
      <c r="GU111" s="50">
        <v>4.484</v>
      </c>
      <c r="GV111" s="50">
        <v>0</v>
      </c>
      <c r="GW111" s="50">
        <v>0.01</v>
      </c>
      <c r="GX111" s="50">
        <v>21.56</v>
      </c>
      <c r="GY111" s="50">
        <v>0</v>
      </c>
      <c r="GZ111" s="49">
        <v>10.728999999999999</v>
      </c>
      <c r="HA111" s="50">
        <v>21.265999999999998</v>
      </c>
      <c r="HB111" s="50">
        <v>1</v>
      </c>
      <c r="HC111" s="49">
        <v>33.119999999999997</v>
      </c>
      <c r="HD111" s="50">
        <v>90</v>
      </c>
      <c r="HE111" s="50">
        <v>0</v>
      </c>
      <c r="HF111" s="50">
        <v>0</v>
      </c>
      <c r="HG111" s="50">
        <v>77.78</v>
      </c>
      <c r="HH111" s="50">
        <v>100</v>
      </c>
      <c r="HI111" s="50">
        <v>0</v>
      </c>
      <c r="HJ111" s="50">
        <v>0</v>
      </c>
      <c r="HK111" s="50">
        <v>0</v>
      </c>
      <c r="HL111" s="50">
        <v>61</v>
      </c>
      <c r="HM111" s="50">
        <v>51</v>
      </c>
      <c r="HN111" s="50">
        <v>65</v>
      </c>
      <c r="HO111" s="50">
        <v>58</v>
      </c>
      <c r="HP111" s="49">
        <v>61</v>
      </c>
      <c r="HQ111" s="50">
        <v>59</v>
      </c>
      <c r="HR111" s="50">
        <v>54</v>
      </c>
      <c r="HS111" s="50">
        <v>64</v>
      </c>
      <c r="HT111" s="49">
        <v>-1.4730000000000001</v>
      </c>
      <c r="HU111" s="50">
        <v>0</v>
      </c>
      <c r="HV111" s="49">
        <v>0.66600000000000004</v>
      </c>
      <c r="HW111" s="49">
        <v>41.22</v>
      </c>
      <c r="HX111" s="49">
        <v>42.01</v>
      </c>
      <c r="HY111" s="3"/>
      <c r="HZ111" s="3"/>
      <c r="IA111" s="49">
        <v>2.8220000000000001</v>
      </c>
      <c r="IB111" s="49">
        <v>100</v>
      </c>
      <c r="IC111" s="49">
        <v>19.143000000000001</v>
      </c>
      <c r="ID111" s="50">
        <v>-0.19700000000000001</v>
      </c>
      <c r="IE111" s="50">
        <v>-0.10100000000000001</v>
      </c>
      <c r="IF111" s="49">
        <v>802.3</v>
      </c>
      <c r="IG111" s="49">
        <v>678.1</v>
      </c>
      <c r="IH111" s="49">
        <v>810.1</v>
      </c>
      <c r="II111" s="49">
        <v>694.9</v>
      </c>
      <c r="IJ111" s="50">
        <v>-8.0000000000000002E-3</v>
      </c>
      <c r="IK111" s="50">
        <v>2.1000000000000001E-2</v>
      </c>
      <c r="IL111" s="50">
        <v>141.631</v>
      </c>
      <c r="IM111" s="50">
        <v>141.631</v>
      </c>
      <c r="IN111" s="50">
        <v>17.189</v>
      </c>
      <c r="IO111" s="49">
        <v>0.22800000000000001</v>
      </c>
      <c r="IP111" s="50">
        <v>9.2899999999999991</v>
      </c>
      <c r="IQ111" s="49">
        <v>3.0000000000000001E-3</v>
      </c>
      <c r="IR111" s="50">
        <v>4.0000000000000001E-3</v>
      </c>
      <c r="IS111">
        <v>0.5890000000000003</v>
      </c>
      <c r="IT111">
        <v>0.3530000000000002</v>
      </c>
    </row>
    <row r="112" spans="2:254" x14ac:dyDescent="0.25">
      <c r="B112" s="2" t="s">
        <v>412</v>
      </c>
      <c r="C112" s="62" t="s">
        <v>42</v>
      </c>
      <c r="D112" s="63">
        <v>2.4440972222222221E-3</v>
      </c>
      <c r="E112" s="49">
        <v>211.17</v>
      </c>
      <c r="F112" s="49">
        <v>330.92</v>
      </c>
      <c r="G112" s="50">
        <v>6.09</v>
      </c>
      <c r="H112" s="50">
        <v>26.1</v>
      </c>
      <c r="I112" s="50">
        <v>0</v>
      </c>
      <c r="J112" s="49">
        <v>11</v>
      </c>
      <c r="K112" s="50">
        <v>7</v>
      </c>
      <c r="L112" s="50">
        <v>6</v>
      </c>
      <c r="M112" s="50">
        <v>7</v>
      </c>
      <c r="N112" s="50">
        <v>3</v>
      </c>
      <c r="O112" s="50">
        <v>3</v>
      </c>
      <c r="P112" s="49">
        <v>0.76200000000000001</v>
      </c>
      <c r="Q112" s="49">
        <v>1.28</v>
      </c>
      <c r="R112" s="49">
        <v>0.79200000000000004</v>
      </c>
      <c r="S112" s="50">
        <v>0.79</v>
      </c>
      <c r="T112" s="50">
        <v>78.73</v>
      </c>
      <c r="U112" s="49">
        <v>60.177</v>
      </c>
      <c r="V112" s="49">
        <v>240</v>
      </c>
      <c r="W112" s="49">
        <v>263.33999999999997</v>
      </c>
      <c r="X112" s="49">
        <v>172.5</v>
      </c>
      <c r="Y112" s="49">
        <v>213.34</v>
      </c>
      <c r="Z112" s="50">
        <v>384.97</v>
      </c>
      <c r="AA112" s="50">
        <v>403.85</v>
      </c>
      <c r="AB112" s="50">
        <v>296.8</v>
      </c>
      <c r="AC112" s="50">
        <v>362.16</v>
      </c>
      <c r="AD112" s="49">
        <v>1.7809999999999999</v>
      </c>
      <c r="AE112" s="49">
        <v>1.7969999999999999</v>
      </c>
      <c r="AF112" s="49">
        <v>1.804</v>
      </c>
      <c r="AG112" s="49">
        <v>1.8149999999999999</v>
      </c>
      <c r="AH112" s="49">
        <v>75.2</v>
      </c>
      <c r="AI112" s="49">
        <v>69.06</v>
      </c>
      <c r="AJ112" s="49">
        <v>104.14</v>
      </c>
      <c r="AK112" s="49">
        <v>104.42</v>
      </c>
      <c r="AL112" s="50">
        <v>705.846</v>
      </c>
      <c r="AM112" s="50">
        <v>715.86699999999996</v>
      </c>
      <c r="AN112" s="50">
        <v>947.755</v>
      </c>
      <c r="AO112" s="50">
        <v>888.95399999999995</v>
      </c>
      <c r="AP112" s="49">
        <v>1.3520000000000001</v>
      </c>
      <c r="AQ112" s="50">
        <v>1.8280000000000001</v>
      </c>
      <c r="AR112" s="49">
        <v>40.567</v>
      </c>
      <c r="AS112" s="49">
        <v>36.206000000000003</v>
      </c>
      <c r="AT112" s="49">
        <v>83</v>
      </c>
      <c r="AU112" s="49">
        <v>120</v>
      </c>
      <c r="AV112" s="50">
        <v>1.244</v>
      </c>
      <c r="AW112" s="50">
        <v>4.7260999999999997</v>
      </c>
      <c r="AX112" s="49">
        <v>1015.2</v>
      </c>
      <c r="AY112" s="49">
        <v>2.5099999999999998</v>
      </c>
      <c r="AZ112" s="50">
        <v>4.66</v>
      </c>
      <c r="BA112" s="49">
        <v>113.934</v>
      </c>
      <c r="BB112" s="49">
        <v>113.82599999999999</v>
      </c>
      <c r="BC112" s="50">
        <v>8250</v>
      </c>
      <c r="BD112" s="49">
        <v>88.75</v>
      </c>
      <c r="BE112" s="50">
        <v>17.329999999999998</v>
      </c>
      <c r="BF112" s="49">
        <v>14.234999999999999</v>
      </c>
      <c r="BG112" s="50">
        <v>30.2</v>
      </c>
      <c r="BH112" s="50">
        <v>29.99</v>
      </c>
      <c r="BI112" s="3"/>
      <c r="BJ112" s="3"/>
      <c r="BK112" s="3"/>
      <c r="BL112" s="3"/>
      <c r="BM112" s="3"/>
      <c r="BN112" s="49">
        <v>100.47199999999999</v>
      </c>
      <c r="BO112" s="49">
        <v>99.128</v>
      </c>
      <c r="BP112" s="49">
        <v>123.11199999999999</v>
      </c>
      <c r="BQ112" s="49">
        <v>125.57599999999999</v>
      </c>
      <c r="BR112" s="3"/>
      <c r="BS112" s="49">
        <v>25.8</v>
      </c>
      <c r="BT112" s="49">
        <v>7267.8249999999998</v>
      </c>
      <c r="BU112" s="49">
        <v>47.854999999999997</v>
      </c>
      <c r="BV112" s="49">
        <v>51.006</v>
      </c>
      <c r="BW112" s="49">
        <v>51.082999999999998</v>
      </c>
      <c r="BX112" s="49">
        <v>52.53</v>
      </c>
      <c r="BY112" s="49">
        <v>1.3580000000000001</v>
      </c>
      <c r="BZ112" s="50">
        <v>3.6640000000000001</v>
      </c>
      <c r="CA112" s="49">
        <v>3.4089999999999998</v>
      </c>
      <c r="CB112" s="50">
        <v>4.1769999999999996</v>
      </c>
      <c r="CC112" s="49">
        <v>0.88900000000000001</v>
      </c>
      <c r="CD112" s="49">
        <v>2.13</v>
      </c>
      <c r="CE112" s="50">
        <v>1.2829999999999999</v>
      </c>
      <c r="CF112" s="50">
        <v>2.0499999999999998</v>
      </c>
      <c r="CG112" s="49">
        <v>13.726000000000001</v>
      </c>
      <c r="CH112" s="49">
        <v>13.541</v>
      </c>
      <c r="CI112" s="49">
        <v>4.1749999999999998</v>
      </c>
      <c r="CJ112" s="50">
        <v>3.472</v>
      </c>
      <c r="CK112" s="50">
        <v>1.73</v>
      </c>
      <c r="CL112" s="49">
        <v>0.1</v>
      </c>
      <c r="CM112" s="49">
        <v>0.7</v>
      </c>
      <c r="CN112" s="49">
        <v>0</v>
      </c>
      <c r="CO112" s="49">
        <v>0</v>
      </c>
      <c r="CP112" s="49">
        <v>95.4</v>
      </c>
      <c r="CQ112" s="49">
        <v>95.899000000000001</v>
      </c>
      <c r="CR112" s="49">
        <v>110.965</v>
      </c>
      <c r="CS112" s="49">
        <v>116.298</v>
      </c>
      <c r="CT112" s="49">
        <v>0.29799999999999999</v>
      </c>
      <c r="CU112" s="49">
        <v>1.1000000000000001</v>
      </c>
      <c r="CV112" s="49">
        <v>1.4</v>
      </c>
      <c r="CW112" s="49">
        <v>0.70099999999999996</v>
      </c>
      <c r="CX112" s="49">
        <v>1.099</v>
      </c>
      <c r="CY112" s="49">
        <v>0.30099999999999999</v>
      </c>
      <c r="CZ112" s="50">
        <v>1.204</v>
      </c>
      <c r="DA112" s="49">
        <v>0.499</v>
      </c>
      <c r="DB112" s="49">
        <v>1.2989999999999999</v>
      </c>
      <c r="DC112" s="49">
        <v>0</v>
      </c>
      <c r="DD112" s="50">
        <v>0</v>
      </c>
      <c r="DE112" s="50">
        <v>0.312</v>
      </c>
      <c r="DF112" s="50">
        <v>0.16500000000000001</v>
      </c>
      <c r="DG112" s="50">
        <v>1.0469999999999999</v>
      </c>
      <c r="DH112" s="50">
        <v>2.4630000000000001</v>
      </c>
      <c r="DI112" s="50">
        <v>1.252</v>
      </c>
      <c r="DJ112" s="50">
        <v>0.32800000000000001</v>
      </c>
      <c r="DK112" s="49">
        <v>0.96499999999999997</v>
      </c>
      <c r="DL112" s="49">
        <v>0.40600000000000003</v>
      </c>
      <c r="DM112" s="50">
        <v>0.95899999999999996</v>
      </c>
      <c r="DN112" s="49">
        <v>0.42799999999999999</v>
      </c>
      <c r="DO112" s="49">
        <v>-0.9</v>
      </c>
      <c r="DP112" s="50">
        <v>65.912000000000006</v>
      </c>
      <c r="DQ112" s="49">
        <v>58.831000000000003</v>
      </c>
      <c r="DR112" s="49">
        <v>53.976999999999997</v>
      </c>
      <c r="DS112" s="49">
        <v>49.771000000000001</v>
      </c>
      <c r="DT112" s="50">
        <v>6.62</v>
      </c>
      <c r="DU112" s="50">
        <v>6.59</v>
      </c>
      <c r="DV112" s="50">
        <v>12.82</v>
      </c>
      <c r="DW112" s="50">
        <v>9.75</v>
      </c>
      <c r="DX112" s="50">
        <v>7.16</v>
      </c>
      <c r="DY112" s="50">
        <v>6.9</v>
      </c>
      <c r="DZ112" s="50">
        <v>12.31</v>
      </c>
      <c r="EA112" s="50">
        <v>9.8800000000000008</v>
      </c>
      <c r="EB112" s="50">
        <v>42.46</v>
      </c>
      <c r="EC112" s="50">
        <v>41.78</v>
      </c>
      <c r="ED112" s="49">
        <v>33.619999999999997</v>
      </c>
      <c r="EE112" s="50">
        <v>37.130000000000003</v>
      </c>
      <c r="EF112" s="49">
        <v>43.76</v>
      </c>
      <c r="EG112" s="49">
        <v>44.73</v>
      </c>
      <c r="EH112" s="49">
        <v>41.25</v>
      </c>
      <c r="EI112" s="49">
        <v>43.24</v>
      </c>
      <c r="EJ112" s="49">
        <v>7.476</v>
      </c>
      <c r="EK112" s="50">
        <v>62.978000000000002</v>
      </c>
      <c r="EL112" s="49">
        <v>2.2999999999999998</v>
      </c>
      <c r="EM112" s="50">
        <v>1.9</v>
      </c>
      <c r="EN112" s="49">
        <v>1.18</v>
      </c>
      <c r="EO112" s="49">
        <v>1.19</v>
      </c>
      <c r="EP112" s="49">
        <v>-106.514</v>
      </c>
      <c r="EQ112" s="49">
        <v>-2.484</v>
      </c>
      <c r="ER112" s="50">
        <v>113.946</v>
      </c>
      <c r="ES112" s="50">
        <v>1.401</v>
      </c>
      <c r="ET112" s="50">
        <v>1.5980000000000001</v>
      </c>
      <c r="EU112" s="50">
        <v>1.381</v>
      </c>
      <c r="EV112" s="50">
        <v>7.6379999999999999</v>
      </c>
      <c r="EW112" s="49">
        <v>3.54</v>
      </c>
      <c r="EX112" s="50">
        <v>75.239999999999995</v>
      </c>
      <c r="EY112" s="49">
        <v>0</v>
      </c>
      <c r="EZ112" s="50">
        <v>2.7E-2</v>
      </c>
      <c r="FA112" s="50">
        <v>0</v>
      </c>
      <c r="FB112" s="49">
        <v>8.9960000000000004</v>
      </c>
      <c r="FC112" s="49">
        <v>68.394999999999996</v>
      </c>
      <c r="FD112" s="49">
        <v>63.332000000000001</v>
      </c>
      <c r="FE112" s="49">
        <v>76.537000000000006</v>
      </c>
      <c r="FF112" s="49">
        <v>74.695999999999998</v>
      </c>
      <c r="FG112" s="49">
        <v>0.91700000000000004</v>
      </c>
      <c r="FH112" s="49">
        <v>0.91800000000000004</v>
      </c>
      <c r="FI112" s="49">
        <v>0.997</v>
      </c>
      <c r="FJ112" s="49">
        <v>1.0029999999999999</v>
      </c>
      <c r="FK112" s="49">
        <v>0</v>
      </c>
      <c r="FL112" s="49">
        <v>83</v>
      </c>
      <c r="FM112" s="49">
        <v>3.78</v>
      </c>
      <c r="FN112" s="49">
        <v>1.29</v>
      </c>
      <c r="FO112" s="50">
        <v>4.79</v>
      </c>
      <c r="FP112" s="3"/>
      <c r="FQ112" s="49">
        <v>4.6500000000000004</v>
      </c>
      <c r="FR112" s="49">
        <v>5</v>
      </c>
      <c r="FS112" s="49">
        <v>6.4005000000000001</v>
      </c>
      <c r="FT112" s="49">
        <v>1067.5</v>
      </c>
      <c r="FU112" s="49">
        <v>6.03</v>
      </c>
      <c r="FV112" s="49">
        <v>35.47</v>
      </c>
      <c r="FW112" s="49">
        <v>2911.5</v>
      </c>
      <c r="FX112" s="50">
        <v>164800</v>
      </c>
      <c r="FY112" s="50">
        <v>166100</v>
      </c>
      <c r="FZ112" s="49">
        <v>46.765999999999998</v>
      </c>
      <c r="GA112" s="49">
        <v>47.186999999999998</v>
      </c>
      <c r="GB112" s="49">
        <v>2154.3000000000002</v>
      </c>
      <c r="GC112" s="50">
        <v>2154.1</v>
      </c>
      <c r="GD112" s="49">
        <v>2172.1</v>
      </c>
      <c r="GE112" s="49">
        <v>2173.5</v>
      </c>
      <c r="GF112" s="49">
        <v>1289.0313000000001</v>
      </c>
      <c r="GG112" s="49">
        <v>32</v>
      </c>
      <c r="GH112" s="49">
        <v>31.8</v>
      </c>
      <c r="GI112" s="49">
        <v>46.9</v>
      </c>
      <c r="GJ112" s="49">
        <v>52.1</v>
      </c>
      <c r="GK112" s="49">
        <v>99.5</v>
      </c>
      <c r="GL112" s="49">
        <v>107.6</v>
      </c>
      <c r="GM112" s="50">
        <v>0</v>
      </c>
      <c r="GN112" s="49">
        <v>25.050999999999998</v>
      </c>
      <c r="GO112" s="50">
        <v>113.946</v>
      </c>
      <c r="GP112" s="49">
        <v>0.47199999999999998</v>
      </c>
      <c r="GQ112" s="49">
        <v>1.829</v>
      </c>
      <c r="GR112" s="49">
        <v>0.76700000000000002</v>
      </c>
      <c r="GS112" s="49">
        <v>2.0059999999999998</v>
      </c>
      <c r="GT112" s="49">
        <v>0.53100000000000003</v>
      </c>
      <c r="GU112" s="49">
        <v>1.829</v>
      </c>
      <c r="GV112" s="50">
        <v>0</v>
      </c>
      <c r="GW112" s="49">
        <v>0</v>
      </c>
      <c r="GX112" s="49">
        <v>0</v>
      </c>
      <c r="GY112" s="49">
        <v>11.76</v>
      </c>
      <c r="GZ112" s="50">
        <v>13.579000000000001</v>
      </c>
      <c r="HA112" s="49">
        <v>14.994</v>
      </c>
      <c r="HB112" s="49">
        <v>0</v>
      </c>
      <c r="HC112" s="50">
        <v>36.558</v>
      </c>
      <c r="HD112" s="49">
        <v>82</v>
      </c>
      <c r="HE112" s="50">
        <v>0</v>
      </c>
      <c r="HF112" s="50">
        <v>0</v>
      </c>
      <c r="HG112" s="49">
        <v>66.8</v>
      </c>
      <c r="HH112" s="49">
        <v>78.010000000000005</v>
      </c>
      <c r="HI112" s="50">
        <v>0</v>
      </c>
      <c r="HJ112" s="50">
        <v>0</v>
      </c>
      <c r="HK112" s="50">
        <v>0</v>
      </c>
      <c r="HL112" s="49">
        <v>58</v>
      </c>
      <c r="HM112" s="50">
        <v>51</v>
      </c>
      <c r="HN112" s="50">
        <v>65</v>
      </c>
      <c r="HO112" s="50">
        <v>58</v>
      </c>
      <c r="HP112" s="50">
        <v>62</v>
      </c>
      <c r="HQ112" s="50">
        <v>59</v>
      </c>
      <c r="HR112" s="50">
        <v>54</v>
      </c>
      <c r="HS112" s="49">
        <v>62</v>
      </c>
      <c r="HT112" s="49">
        <v>-1.5115000000000001</v>
      </c>
      <c r="HU112" s="50">
        <v>0</v>
      </c>
      <c r="HV112" s="50">
        <v>0.97899999999999998</v>
      </c>
      <c r="HW112" s="50">
        <v>40.409999999999997</v>
      </c>
      <c r="HX112" s="50">
        <v>40.15</v>
      </c>
      <c r="HY112" s="50">
        <v>50.74</v>
      </c>
      <c r="HZ112" s="50">
        <v>50.74</v>
      </c>
      <c r="IA112" s="49">
        <v>2.9350000000000001</v>
      </c>
      <c r="IB112" s="50">
        <v>104</v>
      </c>
      <c r="IC112" s="50">
        <v>22.454000000000001</v>
      </c>
      <c r="ID112" s="49">
        <v>-0.26500000000000001</v>
      </c>
      <c r="IE112" s="49">
        <v>-0.14499999999999999</v>
      </c>
      <c r="IF112" s="49">
        <v>805.1</v>
      </c>
      <c r="IG112" s="50">
        <v>758.1</v>
      </c>
      <c r="IH112" s="50">
        <v>811.1</v>
      </c>
      <c r="II112" s="50">
        <v>769.3</v>
      </c>
      <c r="IJ112" s="49">
        <v>-6.0999999999999999E-2</v>
      </c>
      <c r="IK112" s="49">
        <v>-1.7999999999999999E-2</v>
      </c>
      <c r="IL112" s="49">
        <v>66.807000000000002</v>
      </c>
      <c r="IM112" s="49">
        <v>66.807000000000002</v>
      </c>
      <c r="IN112" s="49">
        <v>11.423999999999999</v>
      </c>
      <c r="IO112" s="50">
        <v>0.33</v>
      </c>
      <c r="IP112" s="49">
        <v>9.19</v>
      </c>
      <c r="IQ112" s="50">
        <v>8.0000000000000002E-3</v>
      </c>
      <c r="IR112" s="50">
        <v>4.0000000000000001E-3</v>
      </c>
      <c r="IS112">
        <v>0.59700000000000031</v>
      </c>
      <c r="IT112">
        <v>0.35700000000000021</v>
      </c>
    </row>
    <row r="113" spans="1:254" x14ac:dyDescent="0.25">
      <c r="B113" s="2" t="s">
        <v>412</v>
      </c>
      <c r="C113" s="2" t="s">
        <v>43</v>
      </c>
      <c r="D113" s="61">
        <v>2.9267361111111113E-3</v>
      </c>
      <c r="E113" s="49">
        <v>252.86600000000001</v>
      </c>
      <c r="F113" s="50">
        <v>333.12</v>
      </c>
      <c r="G113" s="49">
        <v>5.99</v>
      </c>
      <c r="H113" s="50">
        <v>26.1</v>
      </c>
      <c r="I113" s="50">
        <v>0</v>
      </c>
      <c r="J113" s="49">
        <v>27.7</v>
      </c>
      <c r="K113" s="50">
        <v>7</v>
      </c>
      <c r="L113" s="50">
        <v>6</v>
      </c>
      <c r="M113" s="50">
        <v>7</v>
      </c>
      <c r="N113" s="50">
        <v>3</v>
      </c>
      <c r="O113" s="50">
        <v>3</v>
      </c>
      <c r="P113" s="49">
        <v>0.72899999999999998</v>
      </c>
      <c r="Q113" s="49">
        <v>1.2290000000000001</v>
      </c>
      <c r="R113" s="49">
        <v>0.78600000000000003</v>
      </c>
      <c r="S113" s="49">
        <v>0.59699999999999998</v>
      </c>
      <c r="T113" s="49">
        <v>75.36</v>
      </c>
      <c r="U113" s="49">
        <v>60.167000000000002</v>
      </c>
      <c r="V113" s="49">
        <v>250</v>
      </c>
      <c r="W113" s="49">
        <v>270</v>
      </c>
      <c r="X113" s="49">
        <v>187.5</v>
      </c>
      <c r="Y113" s="49">
        <v>225</v>
      </c>
      <c r="Z113" s="49">
        <v>380.78</v>
      </c>
      <c r="AA113" s="49">
        <v>398.6</v>
      </c>
      <c r="AB113" s="49">
        <v>286.33999999999997</v>
      </c>
      <c r="AC113" s="49">
        <v>344.41</v>
      </c>
      <c r="AD113" s="50">
        <v>1.7969999999999999</v>
      </c>
      <c r="AE113" s="50">
        <v>1.821</v>
      </c>
      <c r="AF113" s="50">
        <v>1.8440000000000001</v>
      </c>
      <c r="AG113" s="50">
        <v>1.857</v>
      </c>
      <c r="AH113" s="50">
        <v>77.430000000000007</v>
      </c>
      <c r="AI113" s="50">
        <v>71.86</v>
      </c>
      <c r="AJ113" s="50">
        <v>108.16</v>
      </c>
      <c r="AK113" s="50">
        <v>109.15</v>
      </c>
      <c r="AL113" s="49">
        <v>677.971</v>
      </c>
      <c r="AM113" s="49">
        <v>665.11500000000001</v>
      </c>
      <c r="AN113" s="49">
        <v>870.96</v>
      </c>
      <c r="AO113" s="49">
        <v>883.62</v>
      </c>
      <c r="AP113" s="49">
        <v>1.335</v>
      </c>
      <c r="AQ113" s="49">
        <v>1.8089999999999999</v>
      </c>
      <c r="AR113" s="50">
        <v>43.127000000000002</v>
      </c>
      <c r="AS113" s="50">
        <v>38.177999999999997</v>
      </c>
      <c r="AT113" s="49">
        <v>83</v>
      </c>
      <c r="AU113" s="50">
        <v>122</v>
      </c>
      <c r="AV113" s="49">
        <v>1.331</v>
      </c>
      <c r="AW113" s="49">
        <v>4.5163000000000002</v>
      </c>
      <c r="AX113" s="49">
        <v>1014.9</v>
      </c>
      <c r="AY113" s="49">
        <v>2.48</v>
      </c>
      <c r="AZ113" s="49">
        <v>5.08</v>
      </c>
      <c r="BA113" s="49">
        <v>69.3</v>
      </c>
      <c r="BB113" s="49">
        <v>69.307000000000002</v>
      </c>
      <c r="BC113" s="49">
        <v>8076</v>
      </c>
      <c r="BD113" s="50">
        <v>90</v>
      </c>
      <c r="BE113" s="49">
        <v>16.535</v>
      </c>
      <c r="BF113" s="50">
        <v>14.885</v>
      </c>
      <c r="BG113" s="49">
        <v>28.56</v>
      </c>
      <c r="BH113" s="49">
        <v>29.6</v>
      </c>
      <c r="BI113" s="50">
        <v>65.474999999999994</v>
      </c>
      <c r="BJ113" s="50">
        <v>80.010999999999996</v>
      </c>
      <c r="BK113" s="50">
        <v>63.938000000000002</v>
      </c>
      <c r="BL113" s="50">
        <v>77.293999999999997</v>
      </c>
      <c r="BM113" s="50">
        <v>78.08</v>
      </c>
      <c r="BN113" s="49">
        <v>115.91200000000001</v>
      </c>
      <c r="BO113" s="49">
        <v>120.47199999999999</v>
      </c>
      <c r="BP113" s="50">
        <v>134.55199999999999</v>
      </c>
      <c r="BQ113" s="50">
        <v>135</v>
      </c>
      <c r="BR113" s="50">
        <v>60.195999999999998</v>
      </c>
      <c r="BS113" s="50">
        <v>25.9</v>
      </c>
      <c r="BT113" s="50">
        <v>7327.4849999999997</v>
      </c>
      <c r="BU113" s="49">
        <v>48.040999999999997</v>
      </c>
      <c r="BV113" s="49">
        <v>50.121000000000002</v>
      </c>
      <c r="BW113" s="49">
        <v>52.182000000000002</v>
      </c>
      <c r="BX113" s="49">
        <v>53.563000000000002</v>
      </c>
      <c r="BY113" s="49">
        <v>1.389</v>
      </c>
      <c r="BZ113" s="49">
        <v>3.12</v>
      </c>
      <c r="CA113" s="49">
        <v>3.157</v>
      </c>
      <c r="CB113" s="49">
        <v>3.6259999999999999</v>
      </c>
      <c r="CC113" s="50">
        <v>1.123</v>
      </c>
      <c r="CD113" s="49">
        <v>2.2389999999999999</v>
      </c>
      <c r="CE113" s="49">
        <v>1.2010000000000001</v>
      </c>
      <c r="CF113" s="49">
        <v>1.9910000000000001</v>
      </c>
      <c r="CG113" s="50">
        <v>13.738</v>
      </c>
      <c r="CH113" s="49">
        <v>13.22</v>
      </c>
      <c r="CI113" s="3"/>
      <c r="CJ113" s="3"/>
      <c r="CK113" s="3"/>
      <c r="CL113" s="49">
        <v>0</v>
      </c>
      <c r="CM113" s="50">
        <v>0.8</v>
      </c>
      <c r="CN113" s="50">
        <v>0.1</v>
      </c>
      <c r="CO113" s="50">
        <v>0.1</v>
      </c>
      <c r="CP113" s="49">
        <v>97.188000000000002</v>
      </c>
      <c r="CQ113" s="49">
        <v>98.480999999999995</v>
      </c>
      <c r="CR113" s="50">
        <v>119.557</v>
      </c>
      <c r="CS113" s="50">
        <v>122.593</v>
      </c>
      <c r="CT113" s="49">
        <v>0.38200000000000001</v>
      </c>
      <c r="CU113" s="50">
        <v>1.3029999999999999</v>
      </c>
      <c r="CV113" s="50">
        <v>1.7050000000000001</v>
      </c>
      <c r="CW113" s="49">
        <v>1.099</v>
      </c>
      <c r="CX113" s="49">
        <v>0.79900000000000004</v>
      </c>
      <c r="CY113" s="49">
        <v>0.498</v>
      </c>
      <c r="CZ113" s="49">
        <v>1.0009999999999999</v>
      </c>
      <c r="DA113" s="49">
        <v>0.60099999999999998</v>
      </c>
      <c r="DB113" s="49">
        <v>1.599</v>
      </c>
      <c r="DC113" s="49">
        <v>0</v>
      </c>
      <c r="DD113" s="50">
        <v>0</v>
      </c>
      <c r="DE113" s="49">
        <v>0.246</v>
      </c>
      <c r="DF113" s="49">
        <v>0.13200000000000001</v>
      </c>
      <c r="DG113" s="49">
        <v>0.41599999999999998</v>
      </c>
      <c r="DH113" s="49">
        <v>1.9379999999999999</v>
      </c>
      <c r="DI113" s="49">
        <v>0.94</v>
      </c>
      <c r="DJ113" s="49">
        <v>0.127</v>
      </c>
      <c r="DK113" s="50">
        <v>1.1020000000000001</v>
      </c>
      <c r="DL113" s="49">
        <v>0.40699999999999997</v>
      </c>
      <c r="DM113" s="49">
        <v>5.7000000000000002E-2</v>
      </c>
      <c r="DN113" s="50">
        <v>0.48</v>
      </c>
      <c r="DO113" s="49">
        <v>0.40300000000000002</v>
      </c>
      <c r="DP113" s="49">
        <v>64.971999999999994</v>
      </c>
      <c r="DQ113" s="49">
        <v>56.716999999999999</v>
      </c>
      <c r="DR113" s="49">
        <v>52.737000000000002</v>
      </c>
      <c r="DS113" s="49">
        <v>50.621000000000002</v>
      </c>
      <c r="DT113" s="49">
        <v>5.65</v>
      </c>
      <c r="DU113" s="49">
        <v>5.51</v>
      </c>
      <c r="DV113" s="49">
        <v>10.48</v>
      </c>
      <c r="DW113" s="49">
        <v>8.18</v>
      </c>
      <c r="DX113" s="49">
        <v>5.93</v>
      </c>
      <c r="DY113" s="49">
        <v>5.69</v>
      </c>
      <c r="DZ113" s="49">
        <v>10.19</v>
      </c>
      <c r="EA113" s="49">
        <v>8.16</v>
      </c>
      <c r="EB113" s="49">
        <v>41.43</v>
      </c>
      <c r="EC113" s="49">
        <v>40.43</v>
      </c>
      <c r="ED113" s="50">
        <v>33.83</v>
      </c>
      <c r="EE113" s="49">
        <v>35.17</v>
      </c>
      <c r="EF113" s="49">
        <v>46.99</v>
      </c>
      <c r="EG113" s="49">
        <v>48.37</v>
      </c>
      <c r="EH113" s="49">
        <v>45.5</v>
      </c>
      <c r="EI113" s="49">
        <v>48.49</v>
      </c>
      <c r="EJ113" s="50">
        <v>7.6150000000000002</v>
      </c>
      <c r="EK113" s="49">
        <v>62.896000000000001</v>
      </c>
      <c r="EL113" s="49">
        <v>2.4</v>
      </c>
      <c r="EM113" s="50">
        <v>1.9</v>
      </c>
      <c r="EN113" s="50">
        <v>1.25</v>
      </c>
      <c r="EO113" s="50">
        <v>1.2</v>
      </c>
      <c r="EP113" s="50">
        <v>-112.646</v>
      </c>
      <c r="EQ113" s="49">
        <v>-2.0139999999999998</v>
      </c>
      <c r="ER113" s="49">
        <v>101.39</v>
      </c>
      <c r="ES113" s="49">
        <v>1.329</v>
      </c>
      <c r="ET113" s="49">
        <v>1.496</v>
      </c>
      <c r="EU113" s="49">
        <v>1.3129999999999999</v>
      </c>
      <c r="EV113" s="49">
        <v>7.4930000000000003</v>
      </c>
      <c r="EW113" s="50">
        <v>3.5640000000000001</v>
      </c>
      <c r="EX113" s="49">
        <v>72.739999999999995</v>
      </c>
      <c r="EY113" s="49">
        <v>0</v>
      </c>
      <c r="EZ113" s="49">
        <v>0</v>
      </c>
      <c r="FA113" s="50">
        <v>0</v>
      </c>
      <c r="FB113" s="50">
        <v>9.0790000000000006</v>
      </c>
      <c r="FC113" s="50">
        <v>70.614000000000004</v>
      </c>
      <c r="FD113" s="50">
        <v>65.525000000000006</v>
      </c>
      <c r="FE113" s="50">
        <v>81.846999999999994</v>
      </c>
      <c r="FF113" s="50">
        <v>79.366</v>
      </c>
      <c r="FG113" s="50">
        <v>1.06</v>
      </c>
      <c r="FH113" s="49">
        <v>0.98099999999999998</v>
      </c>
      <c r="FI113" s="49">
        <v>0.997</v>
      </c>
      <c r="FJ113" s="49">
        <v>1.002</v>
      </c>
      <c r="FK113" s="49">
        <v>0</v>
      </c>
      <c r="FL113" s="49">
        <v>83</v>
      </c>
      <c r="FM113" s="49">
        <v>3.78</v>
      </c>
      <c r="FN113" s="50">
        <v>0.78</v>
      </c>
      <c r="FO113" s="49">
        <v>5.09</v>
      </c>
      <c r="FP113" s="49">
        <v>3.9</v>
      </c>
      <c r="FQ113" s="50">
        <v>4.5</v>
      </c>
      <c r="FR113" s="49">
        <v>5.05</v>
      </c>
      <c r="FS113" s="49">
        <v>6.4390000000000001</v>
      </c>
      <c r="FT113" s="49">
        <v>1069.7</v>
      </c>
      <c r="FU113" s="50">
        <v>6.3</v>
      </c>
      <c r="FV113" s="50">
        <v>41.46</v>
      </c>
      <c r="FW113" s="50">
        <v>2953.5</v>
      </c>
      <c r="FX113" s="49">
        <v>163400</v>
      </c>
      <c r="FY113" s="49">
        <v>164900</v>
      </c>
      <c r="FZ113" s="49">
        <v>46.707000000000001</v>
      </c>
      <c r="GA113" s="49">
        <v>47.112000000000002</v>
      </c>
      <c r="GB113" s="49">
        <v>2146.8000000000002</v>
      </c>
      <c r="GC113" s="49">
        <v>2151.9</v>
      </c>
      <c r="GD113" s="50">
        <v>2384.5</v>
      </c>
      <c r="GE113" s="50">
        <v>2201.8000000000002</v>
      </c>
      <c r="GF113" s="49">
        <v>1385.0625</v>
      </c>
      <c r="GG113" s="50">
        <v>33</v>
      </c>
      <c r="GH113" s="50">
        <v>32.5</v>
      </c>
      <c r="GI113" s="49">
        <v>46.4</v>
      </c>
      <c r="GJ113" s="49">
        <v>51.2</v>
      </c>
      <c r="GK113" s="49">
        <v>99</v>
      </c>
      <c r="GL113" s="50">
        <v>112</v>
      </c>
      <c r="GM113" s="50">
        <v>0</v>
      </c>
      <c r="GN113" s="50">
        <v>26.012</v>
      </c>
      <c r="GO113" s="49">
        <v>112.646</v>
      </c>
      <c r="GP113" s="50">
        <v>0</v>
      </c>
      <c r="GQ113" s="49">
        <v>1.8879999999999999</v>
      </c>
      <c r="GR113" s="50">
        <v>0</v>
      </c>
      <c r="GS113" s="49">
        <v>2.0059999999999998</v>
      </c>
      <c r="GT113" s="50">
        <v>0</v>
      </c>
      <c r="GU113" s="49">
        <v>1.829</v>
      </c>
      <c r="GV113" s="50">
        <v>0</v>
      </c>
      <c r="GW113" s="49">
        <v>0</v>
      </c>
      <c r="GX113" s="49">
        <v>0</v>
      </c>
      <c r="GY113" s="50">
        <v>0</v>
      </c>
      <c r="GZ113" s="49">
        <v>12.813000000000001</v>
      </c>
      <c r="HA113" s="49">
        <v>16.170000000000002</v>
      </c>
      <c r="HB113" s="49">
        <v>0</v>
      </c>
      <c r="HC113" s="49">
        <v>34.106999999999999</v>
      </c>
      <c r="HD113" s="49">
        <v>82</v>
      </c>
      <c r="HE113" s="50">
        <v>0</v>
      </c>
      <c r="HF113" s="50">
        <v>0</v>
      </c>
      <c r="HG113" s="49">
        <v>66.91</v>
      </c>
      <c r="HH113" s="49">
        <v>78.27</v>
      </c>
      <c r="HI113" s="50">
        <v>0</v>
      </c>
      <c r="HJ113" s="50">
        <v>0</v>
      </c>
      <c r="HK113" s="50">
        <v>0</v>
      </c>
      <c r="HL113" s="49">
        <v>58</v>
      </c>
      <c r="HM113" s="50">
        <v>51</v>
      </c>
      <c r="HN113" s="50">
        <v>65</v>
      </c>
      <c r="HO113" s="50">
        <v>58</v>
      </c>
      <c r="HP113" s="50">
        <v>62</v>
      </c>
      <c r="HQ113" s="50">
        <v>59</v>
      </c>
      <c r="HR113" s="50">
        <v>54</v>
      </c>
      <c r="HS113" s="50">
        <v>64</v>
      </c>
      <c r="HT113" s="50">
        <v>-1.5149999999999999</v>
      </c>
      <c r="HU113" s="50">
        <v>0</v>
      </c>
      <c r="HV113" s="49">
        <v>0.61399999999999999</v>
      </c>
      <c r="HW113" s="50">
        <v>40.409999999999997</v>
      </c>
      <c r="HX113" s="50">
        <v>40.15</v>
      </c>
      <c r="HY113" s="3"/>
      <c r="HZ113" s="3"/>
      <c r="IA113" s="50">
        <v>2.9969999999999999</v>
      </c>
      <c r="IB113" s="49">
        <v>103</v>
      </c>
      <c r="IC113" s="49">
        <v>22.143999999999998</v>
      </c>
      <c r="ID113" s="49">
        <v>-0.29799999999999999</v>
      </c>
      <c r="IE113" s="49">
        <v>-0.16200000000000001</v>
      </c>
      <c r="IF113" s="50">
        <v>808.7</v>
      </c>
      <c r="IG113" s="49">
        <v>736.4</v>
      </c>
      <c r="IH113" s="50">
        <v>811.1</v>
      </c>
      <c r="II113" s="49">
        <v>749.6</v>
      </c>
      <c r="IJ113" s="49">
        <v>-6.9000000000000006E-2</v>
      </c>
      <c r="IK113" s="49">
        <v>-1.7000000000000001E-2</v>
      </c>
      <c r="IL113" s="49">
        <v>87.584000000000003</v>
      </c>
      <c r="IM113" s="49">
        <v>87.584000000000003</v>
      </c>
      <c r="IN113" s="49">
        <v>13.590999999999999</v>
      </c>
      <c r="IO113" s="49">
        <v>0.26</v>
      </c>
      <c r="IP113" s="49">
        <v>9.07</v>
      </c>
      <c r="IQ113" s="49">
        <v>0</v>
      </c>
      <c r="IR113" s="49">
        <v>0</v>
      </c>
      <c r="IS113">
        <v>0.59700000000000031</v>
      </c>
      <c r="IT113">
        <v>0.35700000000000021</v>
      </c>
    </row>
    <row r="114" spans="1:254" x14ac:dyDescent="0.25">
      <c r="IS114">
        <v>0.59700000000000031</v>
      </c>
      <c r="IT114">
        <v>0.35700000000000021</v>
      </c>
    </row>
    <row r="115" spans="1:254" x14ac:dyDescent="0.25">
      <c r="IS115">
        <v>0.59700000000000031</v>
      </c>
      <c r="IT115">
        <v>0.35700000000000021</v>
      </c>
    </row>
    <row r="116" spans="1:254" x14ac:dyDescent="0.25">
      <c r="IS116">
        <v>0.59700000000000031</v>
      </c>
      <c r="IT116">
        <v>0.35700000000000021</v>
      </c>
    </row>
    <row r="117" spans="1:254" x14ac:dyDescent="0.25">
      <c r="B117" s="2" t="s">
        <v>412</v>
      </c>
      <c r="C117" s="2" t="s">
        <v>41</v>
      </c>
      <c r="D117" s="2" t="s">
        <v>432</v>
      </c>
      <c r="E117" s="49">
        <v>291.16500000000002</v>
      </c>
      <c r="F117" s="49">
        <v>329.48</v>
      </c>
      <c r="G117" s="49">
        <v>5.84</v>
      </c>
      <c r="H117" s="49">
        <v>25.9</v>
      </c>
      <c r="I117" s="50">
        <v>0</v>
      </c>
      <c r="J117" s="49">
        <v>30.3</v>
      </c>
      <c r="K117" s="50">
        <v>7</v>
      </c>
      <c r="L117" s="50">
        <v>6</v>
      </c>
      <c r="M117" s="50">
        <v>7</v>
      </c>
      <c r="N117" s="50">
        <v>3</v>
      </c>
      <c r="O117" s="50">
        <v>3</v>
      </c>
      <c r="P117" s="49">
        <v>0.78300000000000003</v>
      </c>
      <c r="Q117" s="49">
        <v>1.0740000000000001</v>
      </c>
      <c r="R117" s="49">
        <v>0.879</v>
      </c>
      <c r="S117" s="49">
        <v>0.76600000000000001</v>
      </c>
      <c r="T117" s="49">
        <v>59.96</v>
      </c>
      <c r="U117" s="50">
        <v>60.444000000000003</v>
      </c>
      <c r="V117" s="49">
        <v>170</v>
      </c>
      <c r="W117" s="49">
        <v>187.5</v>
      </c>
      <c r="X117" s="49">
        <v>130</v>
      </c>
      <c r="Y117" s="49">
        <v>152.5</v>
      </c>
      <c r="Z117" s="49">
        <v>327.14</v>
      </c>
      <c r="AA117" s="49">
        <v>338.9</v>
      </c>
      <c r="AB117" s="49">
        <v>226.18</v>
      </c>
      <c r="AC117" s="49">
        <v>283.89999999999998</v>
      </c>
      <c r="AD117" s="49">
        <v>1.754</v>
      </c>
      <c r="AE117" s="49">
        <v>1.7929999999999999</v>
      </c>
      <c r="AF117" s="49">
        <v>1.7529999999999999</v>
      </c>
      <c r="AG117" s="49">
        <v>1.7789999999999999</v>
      </c>
      <c r="AH117" s="49">
        <v>67.12</v>
      </c>
      <c r="AI117" s="49">
        <v>62.46</v>
      </c>
      <c r="AJ117" s="49">
        <v>91.41</v>
      </c>
      <c r="AK117" s="49">
        <v>93.94</v>
      </c>
      <c r="AL117" s="49">
        <v>639.18799999999999</v>
      </c>
      <c r="AM117" s="49">
        <v>651.673</v>
      </c>
      <c r="AN117" s="49">
        <v>815.05600000000004</v>
      </c>
      <c r="AO117" s="49">
        <v>833.13699999999994</v>
      </c>
      <c r="AP117" s="50">
        <v>1.3620000000000001</v>
      </c>
      <c r="AQ117" s="49">
        <v>1.8029999999999999</v>
      </c>
      <c r="AR117" s="49">
        <v>41.061999999999998</v>
      </c>
      <c r="AS117" s="49">
        <v>37.262</v>
      </c>
      <c r="AT117" s="50">
        <v>85</v>
      </c>
      <c r="AU117" s="49">
        <v>118</v>
      </c>
      <c r="AV117" s="49">
        <v>1.4365000000000001</v>
      </c>
      <c r="AW117" s="49">
        <v>4.3083</v>
      </c>
      <c r="AX117" s="50">
        <v>1018</v>
      </c>
      <c r="AY117" s="50">
        <v>2.95</v>
      </c>
      <c r="AZ117" s="49">
        <v>4.79</v>
      </c>
      <c r="BA117" s="50">
        <v>65.5</v>
      </c>
      <c r="BB117" s="50">
        <v>66.400000000000006</v>
      </c>
      <c r="BC117" s="49">
        <v>7736</v>
      </c>
      <c r="BD117" s="50">
        <v>89.75</v>
      </c>
      <c r="BE117" s="49">
        <v>15.78</v>
      </c>
      <c r="BF117" s="50">
        <v>14.65</v>
      </c>
      <c r="BG117" s="49">
        <v>28.16</v>
      </c>
      <c r="BH117" s="50">
        <v>32.049999999999997</v>
      </c>
      <c r="BI117" s="49">
        <v>65.602000000000004</v>
      </c>
      <c r="BJ117" s="49">
        <v>79.552000000000007</v>
      </c>
      <c r="BK117" s="49">
        <v>64.126999999999995</v>
      </c>
      <c r="BL117" s="49">
        <v>77.350999999999999</v>
      </c>
      <c r="BM117" s="49">
        <v>77.293000000000006</v>
      </c>
      <c r="BN117" s="50">
        <v>131.99199999999999</v>
      </c>
      <c r="BO117" s="50">
        <v>139.19200000000001</v>
      </c>
      <c r="BP117" s="50">
        <v>134.584</v>
      </c>
      <c r="BQ117" s="50">
        <v>135.17599999999999</v>
      </c>
      <c r="BR117" s="49">
        <v>58.173000000000002</v>
      </c>
      <c r="BS117" s="49">
        <v>25.6</v>
      </c>
      <c r="BT117" s="49">
        <v>7359.6840000000002</v>
      </c>
      <c r="BU117" s="50">
        <v>52.62</v>
      </c>
      <c r="BV117" s="49">
        <v>51.691000000000003</v>
      </c>
      <c r="BW117" s="50">
        <v>53.719000000000001</v>
      </c>
      <c r="BX117" s="50">
        <v>54.162999999999997</v>
      </c>
      <c r="BY117" s="50">
        <v>1.516</v>
      </c>
      <c r="BZ117" s="49">
        <v>2.629</v>
      </c>
      <c r="CA117" s="49">
        <v>3.3410000000000002</v>
      </c>
      <c r="CB117" s="49">
        <v>3.202</v>
      </c>
      <c r="CC117" s="50">
        <v>1.0049999999999999</v>
      </c>
      <c r="CD117" s="49">
        <v>2.0739999999999998</v>
      </c>
      <c r="CE117" s="50">
        <v>1.1970000000000001</v>
      </c>
      <c r="CF117" s="50">
        <v>1.9930000000000001</v>
      </c>
      <c r="CG117" s="49">
        <v>13.532</v>
      </c>
      <c r="CH117" s="50">
        <v>10.131</v>
      </c>
      <c r="CI117" s="49">
        <v>5.6210000000000004</v>
      </c>
      <c r="CJ117" s="49">
        <v>3.3879999999999999</v>
      </c>
      <c r="CK117" s="49">
        <v>1.4359999999999999</v>
      </c>
      <c r="CL117" s="49">
        <v>0</v>
      </c>
      <c r="CM117" s="49">
        <v>0.2</v>
      </c>
      <c r="CN117" s="50">
        <v>0</v>
      </c>
      <c r="CO117" s="50">
        <v>0</v>
      </c>
      <c r="CP117" s="50">
        <v>105.282</v>
      </c>
      <c r="CQ117" s="50">
        <v>108.79900000000001</v>
      </c>
      <c r="CR117" s="50">
        <v>113.35</v>
      </c>
      <c r="CS117" s="50">
        <v>116.307</v>
      </c>
      <c r="CT117" s="49">
        <v>0.32400000000000001</v>
      </c>
      <c r="CU117" s="49">
        <v>0.79900000000000004</v>
      </c>
      <c r="CV117" s="49">
        <v>0.30199999999999999</v>
      </c>
      <c r="CW117" s="49">
        <v>1.202</v>
      </c>
      <c r="CX117" s="49">
        <v>1.1990000000000001</v>
      </c>
      <c r="CY117" s="49">
        <v>0.5</v>
      </c>
      <c r="CZ117" s="50">
        <v>1.897</v>
      </c>
      <c r="DA117" s="49">
        <v>0.80200000000000005</v>
      </c>
      <c r="DB117" s="49">
        <v>1.399</v>
      </c>
      <c r="DC117" s="50">
        <v>6.0000000000000001E-3</v>
      </c>
      <c r="DD117" s="50">
        <v>0</v>
      </c>
      <c r="DE117" s="49">
        <v>0.23100000000000001</v>
      </c>
      <c r="DF117" s="49">
        <v>0.152</v>
      </c>
      <c r="DG117" s="49">
        <v>0.189</v>
      </c>
      <c r="DH117" s="49">
        <v>1.8380000000000001</v>
      </c>
      <c r="DI117" s="49">
        <v>1.113</v>
      </c>
      <c r="DJ117" s="49">
        <v>0.26400000000000001</v>
      </c>
      <c r="DK117" s="49">
        <v>0.91200000000000003</v>
      </c>
      <c r="DL117" s="49">
        <v>0.39500000000000002</v>
      </c>
      <c r="DM117" s="49">
        <v>0.504</v>
      </c>
      <c r="DN117" s="49">
        <v>0.438</v>
      </c>
      <c r="DO117" s="49">
        <v>0.35899999999999999</v>
      </c>
      <c r="DP117" s="49">
        <v>65.254000000000005</v>
      </c>
      <c r="DQ117" s="49">
        <v>58.994999999999997</v>
      </c>
      <c r="DR117" s="49">
        <v>54.752000000000002</v>
      </c>
      <c r="DS117" s="49">
        <v>49.886000000000003</v>
      </c>
      <c r="DT117" s="49">
        <v>4.2300000000000004</v>
      </c>
      <c r="DU117" s="49">
        <v>4.72</v>
      </c>
      <c r="DV117" s="49">
        <v>8.2799999999999994</v>
      </c>
      <c r="DW117" s="49">
        <v>6.68</v>
      </c>
      <c r="DX117" s="49">
        <v>4.5</v>
      </c>
      <c r="DY117" s="49">
        <v>4.6500000000000004</v>
      </c>
      <c r="DZ117" s="49">
        <v>7.85</v>
      </c>
      <c r="EA117" s="49">
        <v>6.45</v>
      </c>
      <c r="EB117" s="49">
        <v>34.44</v>
      </c>
      <c r="EC117" s="49">
        <v>33.159999999999997</v>
      </c>
      <c r="ED117" s="49">
        <v>29.23</v>
      </c>
      <c r="EE117" s="49">
        <v>30.82</v>
      </c>
      <c r="EF117" s="50">
        <v>56.83</v>
      </c>
      <c r="EG117" s="50">
        <v>57.47</v>
      </c>
      <c r="EH117" s="49">
        <v>54.64</v>
      </c>
      <c r="EI117" s="49">
        <v>56.04</v>
      </c>
      <c r="EJ117" s="49">
        <v>7.202</v>
      </c>
      <c r="EK117" s="49">
        <v>62.445999999999998</v>
      </c>
      <c r="EL117" s="50">
        <v>2.75</v>
      </c>
      <c r="EM117" s="50">
        <v>1.9</v>
      </c>
      <c r="EN117" s="49">
        <v>1.17</v>
      </c>
      <c r="EO117" s="49">
        <v>1.18</v>
      </c>
      <c r="EP117" s="49">
        <v>-99.213999999999999</v>
      </c>
      <c r="EQ117" s="49">
        <v>-0.91500000000000004</v>
      </c>
      <c r="ER117" s="50">
        <v>115.69799999999999</v>
      </c>
      <c r="ES117" s="49">
        <v>1.097</v>
      </c>
      <c r="ET117" s="49">
        <v>1.232</v>
      </c>
      <c r="EU117" s="49">
        <v>1.089</v>
      </c>
      <c r="EV117" s="50">
        <v>7.7560000000000002</v>
      </c>
      <c r="EW117" s="49">
        <v>3.4569999999999999</v>
      </c>
      <c r="EX117" s="49">
        <v>-148.04</v>
      </c>
      <c r="EY117" s="50">
        <v>0.38</v>
      </c>
      <c r="EZ117" s="50">
        <v>0</v>
      </c>
      <c r="FA117" s="50">
        <v>0</v>
      </c>
      <c r="FB117" s="49">
        <v>7.8460000000000001</v>
      </c>
      <c r="FC117" s="49">
        <v>68.575999999999993</v>
      </c>
      <c r="FD117" s="50">
        <v>64.734999999999999</v>
      </c>
      <c r="FE117" s="49">
        <v>76.375</v>
      </c>
      <c r="FF117" s="49">
        <v>75.260999999999996</v>
      </c>
      <c r="FG117" s="49">
        <v>0.96899999999999997</v>
      </c>
      <c r="FH117" s="50">
        <v>0.97199999999999998</v>
      </c>
      <c r="FI117" s="49">
        <v>1.002</v>
      </c>
      <c r="FJ117" s="49">
        <v>1.006</v>
      </c>
      <c r="FK117" s="50">
        <v>0.10299999999999999</v>
      </c>
      <c r="FL117" s="50">
        <v>86</v>
      </c>
      <c r="FM117" s="49">
        <v>3.82</v>
      </c>
      <c r="FN117" s="49">
        <v>1.07</v>
      </c>
      <c r="FO117" s="49">
        <v>4.75</v>
      </c>
      <c r="FP117" s="50">
        <v>0.8</v>
      </c>
      <c r="FQ117" s="49">
        <v>4.6500000000000004</v>
      </c>
      <c r="FR117" s="50">
        <v>4.9000000000000004</v>
      </c>
      <c r="FS117" s="49">
        <v>6.5724999999999998</v>
      </c>
      <c r="FT117" s="49">
        <v>1066.8</v>
      </c>
      <c r="FU117" s="49">
        <v>5.58</v>
      </c>
      <c r="FV117" s="49">
        <v>47.3</v>
      </c>
      <c r="FW117" s="49">
        <v>3088.5</v>
      </c>
      <c r="FX117" s="49">
        <v>163400</v>
      </c>
      <c r="FY117" s="49">
        <v>164300</v>
      </c>
      <c r="FZ117" s="50">
        <v>47.831000000000003</v>
      </c>
      <c r="GA117" s="50">
        <v>48.027999999999999</v>
      </c>
      <c r="GB117" s="49">
        <v>2143.4</v>
      </c>
      <c r="GC117" s="49">
        <v>2145.8000000000002</v>
      </c>
      <c r="GD117" s="49">
        <v>2174.5</v>
      </c>
      <c r="GE117" s="49">
        <v>2203.1999999999998</v>
      </c>
      <c r="GF117" s="49">
        <v>1219.0938000000001</v>
      </c>
      <c r="GG117" s="49">
        <v>33</v>
      </c>
      <c r="GH117" s="49">
        <v>33.4</v>
      </c>
      <c r="GI117" s="50">
        <v>50.5</v>
      </c>
      <c r="GJ117" s="49">
        <v>55.7</v>
      </c>
      <c r="GK117" s="50">
        <v>97</v>
      </c>
      <c r="GL117" s="50">
        <v>111.1</v>
      </c>
      <c r="GM117" s="50">
        <v>0</v>
      </c>
      <c r="GN117" s="50">
        <v>25.738</v>
      </c>
      <c r="GO117" s="49">
        <v>115.69799999999999</v>
      </c>
      <c r="GP117" s="50">
        <v>0</v>
      </c>
      <c r="GQ117" s="50">
        <v>4.1890000000000001</v>
      </c>
      <c r="GR117" s="50">
        <v>0</v>
      </c>
      <c r="GS117" s="50">
        <v>3.4220000000000002</v>
      </c>
      <c r="GT117" s="50">
        <v>0</v>
      </c>
      <c r="GU117" s="50">
        <v>3.5990000000000002</v>
      </c>
      <c r="GV117" s="50">
        <v>0</v>
      </c>
      <c r="GW117" s="50">
        <v>8.9999999999999993E-3</v>
      </c>
      <c r="GX117" s="50">
        <v>20.678000000000001</v>
      </c>
      <c r="GY117" s="50">
        <v>0</v>
      </c>
      <c r="GZ117" s="49">
        <v>10.685</v>
      </c>
      <c r="HA117" s="50">
        <v>20.384</v>
      </c>
      <c r="HB117" s="50">
        <v>1</v>
      </c>
      <c r="HC117" s="49">
        <v>33.783999999999999</v>
      </c>
      <c r="HD117" s="50">
        <v>90</v>
      </c>
      <c r="HE117" s="50">
        <v>0</v>
      </c>
      <c r="HF117" s="50">
        <v>0</v>
      </c>
      <c r="HG117" s="49">
        <v>75.680000000000007</v>
      </c>
      <c r="HH117" s="49">
        <v>77.900000000000006</v>
      </c>
      <c r="HI117" s="50">
        <v>0</v>
      </c>
      <c r="HJ117" s="50">
        <v>0</v>
      </c>
      <c r="HK117" s="50">
        <v>0</v>
      </c>
      <c r="HL117" s="50">
        <v>62</v>
      </c>
      <c r="HM117" s="50">
        <v>52</v>
      </c>
      <c r="HN117" s="49">
        <v>65</v>
      </c>
      <c r="HO117" s="49">
        <v>58</v>
      </c>
      <c r="HP117" s="49">
        <v>61</v>
      </c>
      <c r="HQ117" s="49">
        <v>59</v>
      </c>
      <c r="HR117" s="49">
        <v>54</v>
      </c>
      <c r="HS117" s="50">
        <v>70</v>
      </c>
      <c r="HT117" s="49">
        <v>-1.4984999999999999</v>
      </c>
      <c r="HU117" s="50">
        <v>0</v>
      </c>
      <c r="HV117" s="49">
        <v>0.54700000000000004</v>
      </c>
      <c r="HW117" s="49">
        <v>43.43</v>
      </c>
      <c r="HX117" s="50">
        <v>43.64</v>
      </c>
      <c r="HY117" s="3"/>
      <c r="HZ117" s="3"/>
      <c r="IA117" s="49">
        <v>2.6659999999999999</v>
      </c>
      <c r="IB117" s="49">
        <v>100</v>
      </c>
      <c r="IC117" s="49">
        <v>19.155000000000001</v>
      </c>
      <c r="ID117" s="49">
        <v>-0.23300000000000001</v>
      </c>
      <c r="IE117" s="49">
        <v>-0.122</v>
      </c>
      <c r="IF117" s="49">
        <v>803.8</v>
      </c>
      <c r="IG117" s="49">
        <v>677.7</v>
      </c>
      <c r="IH117" s="49">
        <v>813</v>
      </c>
      <c r="II117" s="49">
        <v>694</v>
      </c>
      <c r="IJ117" s="49">
        <v>-1.2E-2</v>
      </c>
      <c r="IK117" s="49">
        <v>8.0000000000000002E-3</v>
      </c>
      <c r="IL117" s="49">
        <v>143.334</v>
      </c>
      <c r="IM117" s="49">
        <v>143.334</v>
      </c>
      <c r="IN117" s="49">
        <v>16.584</v>
      </c>
      <c r="IO117" s="49">
        <v>0.16800000000000001</v>
      </c>
      <c r="IP117" s="50">
        <v>9.09</v>
      </c>
      <c r="IQ117" s="49">
        <v>0.01</v>
      </c>
      <c r="IR117" s="49">
        <v>5.0000000000000001E-3</v>
      </c>
      <c r="IS117">
        <v>0.59700000000000031</v>
      </c>
      <c r="IT117">
        <v>0.35700000000000021</v>
      </c>
    </row>
    <row r="118" spans="1:254" x14ac:dyDescent="0.25">
      <c r="A118" s="6" t="s">
        <v>52</v>
      </c>
      <c r="B118" s="2" t="s">
        <v>412</v>
      </c>
      <c r="C118" s="62" t="s">
        <v>42</v>
      </c>
      <c r="D118" s="62" t="s">
        <v>433</v>
      </c>
      <c r="E118" s="49">
        <v>211.94</v>
      </c>
      <c r="F118" s="49">
        <v>330.58</v>
      </c>
      <c r="G118" s="50">
        <v>6.02</v>
      </c>
      <c r="H118" s="49">
        <v>25.8</v>
      </c>
      <c r="I118" s="50">
        <v>0</v>
      </c>
      <c r="J118" s="49">
        <v>13.4</v>
      </c>
      <c r="K118" s="50">
        <v>7</v>
      </c>
      <c r="L118" s="50">
        <v>6</v>
      </c>
      <c r="M118" s="50">
        <v>7</v>
      </c>
      <c r="N118" s="50">
        <v>3</v>
      </c>
      <c r="O118" s="50">
        <v>3</v>
      </c>
      <c r="P118" s="49">
        <v>0.875</v>
      </c>
      <c r="Q118" s="49">
        <v>1.2410000000000001</v>
      </c>
      <c r="R118" s="49">
        <v>0.90700000000000003</v>
      </c>
      <c r="S118" s="50">
        <v>0.82299999999999995</v>
      </c>
      <c r="T118" s="49">
        <v>71.72</v>
      </c>
      <c r="U118" s="49">
        <v>60.015000000000001</v>
      </c>
      <c r="V118" s="49">
        <v>230</v>
      </c>
      <c r="W118" s="49">
        <v>246.66</v>
      </c>
      <c r="X118" s="49">
        <v>165</v>
      </c>
      <c r="Y118" s="49">
        <v>206.66</v>
      </c>
      <c r="Z118" s="50">
        <v>377.99</v>
      </c>
      <c r="AA118" s="50">
        <v>389.08</v>
      </c>
      <c r="AB118" s="50">
        <v>279.22000000000003</v>
      </c>
      <c r="AC118" s="50">
        <v>345.88</v>
      </c>
      <c r="AD118" s="49">
        <v>1.7689999999999999</v>
      </c>
      <c r="AE118" s="49">
        <v>1.79</v>
      </c>
      <c r="AF118" s="49">
        <v>1.788</v>
      </c>
      <c r="AG118" s="49">
        <v>1.806</v>
      </c>
      <c r="AH118" s="49">
        <v>75.03</v>
      </c>
      <c r="AI118" s="49">
        <v>69.930000000000007</v>
      </c>
      <c r="AJ118" s="49">
        <v>100.73</v>
      </c>
      <c r="AK118" s="49">
        <v>102.64</v>
      </c>
      <c r="AL118" s="50">
        <v>700.21</v>
      </c>
      <c r="AM118" s="50">
        <v>704.45500000000004</v>
      </c>
      <c r="AN118" s="49">
        <v>866.36300000000006</v>
      </c>
      <c r="AO118" s="49">
        <v>850.40700000000004</v>
      </c>
      <c r="AP118" s="49">
        <v>1.339</v>
      </c>
      <c r="AQ118" s="50">
        <v>1.804</v>
      </c>
      <c r="AR118" s="49">
        <v>41.563000000000002</v>
      </c>
      <c r="AS118" s="49">
        <v>38.549999999999997</v>
      </c>
      <c r="AT118" s="49">
        <v>83</v>
      </c>
      <c r="AU118" s="49">
        <v>120</v>
      </c>
      <c r="AV118" s="50">
        <v>1.2855000000000001</v>
      </c>
      <c r="AW118" s="50">
        <v>4.6193999999999997</v>
      </c>
      <c r="AX118" s="49">
        <v>1017.4</v>
      </c>
      <c r="AY118" s="49">
        <v>2.4700000000000002</v>
      </c>
      <c r="AZ118" s="49">
        <v>4.79</v>
      </c>
      <c r="BA118" s="49">
        <v>98.03</v>
      </c>
      <c r="BB118" s="49">
        <v>98.53</v>
      </c>
      <c r="BC118" s="49">
        <v>7683</v>
      </c>
      <c r="BD118" s="49">
        <v>88.75</v>
      </c>
      <c r="BE118" s="49">
        <v>15.89</v>
      </c>
      <c r="BF118" s="49">
        <v>14.55</v>
      </c>
      <c r="BG118" s="50">
        <v>28.65</v>
      </c>
      <c r="BH118" s="49">
        <v>31.61</v>
      </c>
      <c r="BI118" s="3"/>
      <c r="BJ118" s="3"/>
      <c r="BK118" s="3"/>
      <c r="BL118" s="3"/>
      <c r="BM118" s="3"/>
      <c r="BN118" s="49">
        <v>96.855999999999995</v>
      </c>
      <c r="BO118" s="49">
        <v>98.152000000000001</v>
      </c>
      <c r="BP118" s="49">
        <v>117.464</v>
      </c>
      <c r="BQ118" s="49">
        <v>121.928</v>
      </c>
      <c r="BR118" s="3"/>
      <c r="BS118" s="49">
        <v>25.5</v>
      </c>
      <c r="BT118" s="49">
        <v>7429.759</v>
      </c>
      <c r="BU118" s="49">
        <v>49.052</v>
      </c>
      <c r="BV118" s="49">
        <v>51.228999999999999</v>
      </c>
      <c r="BW118" s="49">
        <v>51.573999999999998</v>
      </c>
      <c r="BX118" s="49">
        <v>52.985999999999997</v>
      </c>
      <c r="BY118" s="49">
        <v>1.4490000000000001</v>
      </c>
      <c r="BZ118" s="49">
        <v>2.7629999999999999</v>
      </c>
      <c r="CA118" s="49">
        <v>3.5059999999999998</v>
      </c>
      <c r="CB118" s="50">
        <v>3.6539999999999999</v>
      </c>
      <c r="CC118" s="49">
        <v>0.88200000000000001</v>
      </c>
      <c r="CD118" s="49">
        <v>2.0630000000000002</v>
      </c>
      <c r="CE118" s="49">
        <v>1.1830000000000001</v>
      </c>
      <c r="CF118" s="49">
        <v>1.98</v>
      </c>
      <c r="CG118" s="49">
        <v>13.728999999999999</v>
      </c>
      <c r="CH118" s="49">
        <v>13.558999999999999</v>
      </c>
      <c r="CI118" s="50">
        <v>5.6680000000000001</v>
      </c>
      <c r="CJ118" s="50">
        <v>3.8050000000000002</v>
      </c>
      <c r="CK118" s="50">
        <v>1.63</v>
      </c>
      <c r="CL118" s="49">
        <v>0.1</v>
      </c>
      <c r="CM118" s="49">
        <v>0.3</v>
      </c>
      <c r="CN118" s="50">
        <v>0</v>
      </c>
      <c r="CO118" s="50">
        <v>0</v>
      </c>
      <c r="CP118" s="49">
        <v>92.578000000000003</v>
      </c>
      <c r="CQ118" s="49">
        <v>93.799000000000007</v>
      </c>
      <c r="CR118" s="49">
        <v>109.032</v>
      </c>
      <c r="CS118" s="49">
        <v>115.566</v>
      </c>
      <c r="CT118" s="50">
        <v>0.38700000000000001</v>
      </c>
      <c r="CU118" s="49">
        <v>0.59799999999999998</v>
      </c>
      <c r="CV118" s="49">
        <v>0.60199999999999998</v>
      </c>
      <c r="CW118" s="49">
        <v>0.90100000000000002</v>
      </c>
      <c r="CX118" s="49">
        <v>1.1000000000000001</v>
      </c>
      <c r="CY118" s="50">
        <v>1.3</v>
      </c>
      <c r="CZ118" s="49">
        <v>1.4990000000000001</v>
      </c>
      <c r="DA118" s="49">
        <v>0.70299999999999996</v>
      </c>
      <c r="DB118" s="49">
        <v>1.3979999999999999</v>
      </c>
      <c r="DC118" s="49">
        <v>0</v>
      </c>
      <c r="DD118" s="50">
        <v>0</v>
      </c>
      <c r="DE118" s="50">
        <v>0.34100000000000003</v>
      </c>
      <c r="DF118" s="50">
        <v>0.18099999999999999</v>
      </c>
      <c r="DG118" s="50">
        <v>0.93300000000000005</v>
      </c>
      <c r="DH118" s="50">
        <v>2.2029999999999998</v>
      </c>
      <c r="DI118" s="50">
        <v>1.276</v>
      </c>
      <c r="DJ118" s="49">
        <v>0.25800000000000001</v>
      </c>
      <c r="DK118" s="49">
        <v>1.1859999999999999</v>
      </c>
      <c r="DL118" s="49">
        <v>0.40400000000000003</v>
      </c>
      <c r="DM118" s="49">
        <v>0.47499999999999998</v>
      </c>
      <c r="DN118" s="49">
        <v>0.46400000000000002</v>
      </c>
      <c r="DO118" s="49">
        <v>0.307</v>
      </c>
      <c r="DP118" s="49">
        <v>66.343000000000004</v>
      </c>
      <c r="DQ118" s="49">
        <v>59.47</v>
      </c>
      <c r="DR118" s="50">
        <v>55.151000000000003</v>
      </c>
      <c r="DS118" s="49">
        <v>51.29</v>
      </c>
      <c r="DT118" s="50">
        <v>7.27</v>
      </c>
      <c r="DU118" s="50">
        <v>7.48</v>
      </c>
      <c r="DV118" s="50">
        <v>13.18</v>
      </c>
      <c r="DW118" s="50">
        <v>10.39</v>
      </c>
      <c r="DX118" s="50">
        <v>7.6</v>
      </c>
      <c r="DY118" s="50">
        <v>7.87</v>
      </c>
      <c r="DZ118" s="50">
        <v>12.82</v>
      </c>
      <c r="EA118" s="50">
        <v>10.01</v>
      </c>
      <c r="EB118" s="49">
        <v>41.43</v>
      </c>
      <c r="EC118" s="49">
        <v>40.74</v>
      </c>
      <c r="ED118" s="49">
        <v>33.31</v>
      </c>
      <c r="EE118" s="49">
        <v>36.130000000000003</v>
      </c>
      <c r="EF118" s="49">
        <v>43.7</v>
      </c>
      <c r="EG118" s="49">
        <v>43.91</v>
      </c>
      <c r="EH118" s="49">
        <v>40.69</v>
      </c>
      <c r="EI118" s="49">
        <v>43.48</v>
      </c>
      <c r="EJ118" s="49">
        <v>7.1230000000000002</v>
      </c>
      <c r="EK118" s="50">
        <v>62.820999999999998</v>
      </c>
      <c r="EL118" s="49">
        <v>2.2999999999999998</v>
      </c>
      <c r="EM118" s="49">
        <v>1.95</v>
      </c>
      <c r="EN118" s="49">
        <v>1.19</v>
      </c>
      <c r="EO118" s="49">
        <v>1.2</v>
      </c>
      <c r="EP118" s="49">
        <v>-108.55800000000001</v>
      </c>
      <c r="EQ118" s="49">
        <v>-2.19</v>
      </c>
      <c r="ER118" s="49">
        <v>99.638000000000005</v>
      </c>
      <c r="ES118" s="49">
        <v>1.337</v>
      </c>
      <c r="ET118" s="49">
        <v>1.5289999999999999</v>
      </c>
      <c r="EU118" s="49">
        <v>1.3280000000000001</v>
      </c>
      <c r="EV118" s="49">
        <v>7.5090000000000003</v>
      </c>
      <c r="EW118" s="49">
        <v>3.375</v>
      </c>
      <c r="EX118" s="50">
        <v>73.5</v>
      </c>
      <c r="EY118" s="49">
        <v>0.28000000000000003</v>
      </c>
      <c r="EZ118" s="50">
        <v>0</v>
      </c>
      <c r="FA118" s="50">
        <v>0</v>
      </c>
      <c r="FB118" s="49">
        <v>8.9949999999999992</v>
      </c>
      <c r="FC118" s="49">
        <v>67.028000000000006</v>
      </c>
      <c r="FD118" s="49">
        <v>62.87</v>
      </c>
      <c r="FE118" s="49">
        <v>75.274000000000001</v>
      </c>
      <c r="FF118" s="49">
        <v>74.150999999999996</v>
      </c>
      <c r="FG118" s="49">
        <v>0.91600000000000004</v>
      </c>
      <c r="FH118" s="49">
        <v>0.91600000000000004</v>
      </c>
      <c r="FI118" s="49">
        <v>0.997</v>
      </c>
      <c r="FJ118" s="49">
        <v>1.004</v>
      </c>
      <c r="FK118" s="49">
        <v>0</v>
      </c>
      <c r="FL118" s="49">
        <v>83</v>
      </c>
      <c r="FM118" s="49">
        <v>3.78</v>
      </c>
      <c r="FN118" s="49">
        <v>0.49</v>
      </c>
      <c r="FO118" s="49">
        <v>4.83</v>
      </c>
      <c r="FP118" s="3"/>
      <c r="FQ118" s="49">
        <v>4.5999999999999996</v>
      </c>
      <c r="FR118" s="49">
        <v>5.05</v>
      </c>
      <c r="FS118" s="49">
        <v>6.4820000000000002</v>
      </c>
      <c r="FT118" s="49">
        <v>1068.5</v>
      </c>
      <c r="FU118" s="49">
        <v>5.81</v>
      </c>
      <c r="FV118" s="49">
        <v>53.32</v>
      </c>
      <c r="FW118" s="49">
        <v>2907</v>
      </c>
      <c r="FX118" s="50">
        <v>170200</v>
      </c>
      <c r="FY118" s="50">
        <v>171000</v>
      </c>
      <c r="FZ118" s="49">
        <v>47.274999999999999</v>
      </c>
      <c r="GA118" s="49">
        <v>47.651000000000003</v>
      </c>
      <c r="GB118" s="49">
        <v>2141.8000000000002</v>
      </c>
      <c r="GC118" s="50">
        <v>2427.1</v>
      </c>
      <c r="GD118" s="49">
        <v>2169.6</v>
      </c>
      <c r="GE118" s="50">
        <v>2428.8000000000002</v>
      </c>
      <c r="GF118" s="50">
        <v>1555.9063000000001</v>
      </c>
      <c r="GG118" s="49">
        <v>34</v>
      </c>
      <c r="GH118" s="49">
        <v>34.200000000000003</v>
      </c>
      <c r="GI118" s="49">
        <v>47.1</v>
      </c>
      <c r="GJ118" s="49">
        <v>52</v>
      </c>
      <c r="GK118" s="49">
        <v>99.5</v>
      </c>
      <c r="GL118" s="49">
        <v>109.7</v>
      </c>
      <c r="GM118" s="50">
        <v>0</v>
      </c>
      <c r="GN118" s="49">
        <v>23.91</v>
      </c>
      <c r="GO118" s="49">
        <v>108.55800000000001</v>
      </c>
      <c r="GP118" s="49">
        <v>0.29499999999999998</v>
      </c>
      <c r="GQ118" s="49">
        <v>1.829</v>
      </c>
      <c r="GR118" s="49">
        <v>0.59</v>
      </c>
      <c r="GS118" s="49">
        <v>1.9470000000000001</v>
      </c>
      <c r="GT118" s="49">
        <v>0.53100000000000003</v>
      </c>
      <c r="GU118" s="49">
        <v>1.8879999999999999</v>
      </c>
      <c r="GV118" s="50">
        <v>0</v>
      </c>
      <c r="GW118" s="49">
        <v>0</v>
      </c>
      <c r="GX118" s="49">
        <v>0</v>
      </c>
      <c r="GY118" s="49">
        <v>11.858000000000001</v>
      </c>
      <c r="GZ118" s="49">
        <v>13.561</v>
      </c>
      <c r="HA118" s="49">
        <v>15.092000000000001</v>
      </c>
      <c r="HB118" s="49">
        <v>0</v>
      </c>
      <c r="HC118" s="50">
        <v>36.188000000000002</v>
      </c>
      <c r="HD118" s="49">
        <v>82</v>
      </c>
      <c r="HE118" s="50">
        <v>0</v>
      </c>
      <c r="HF118" s="50">
        <v>0</v>
      </c>
      <c r="HG118" s="50">
        <v>83.22</v>
      </c>
      <c r="HH118" s="50">
        <v>78.95</v>
      </c>
      <c r="HI118" s="50">
        <v>0</v>
      </c>
      <c r="HJ118" s="50">
        <v>0</v>
      </c>
      <c r="HK118" s="50">
        <v>0</v>
      </c>
      <c r="HL118" s="49">
        <v>58</v>
      </c>
      <c r="HM118" s="49">
        <v>51</v>
      </c>
      <c r="HN118" s="49">
        <v>65</v>
      </c>
      <c r="HO118" s="49">
        <v>58</v>
      </c>
      <c r="HP118" s="50">
        <v>62</v>
      </c>
      <c r="HQ118" s="49">
        <v>59</v>
      </c>
      <c r="HR118" s="49">
        <v>54</v>
      </c>
      <c r="HS118" s="49">
        <v>62</v>
      </c>
      <c r="HT118" s="49">
        <v>-1.4995000000000001</v>
      </c>
      <c r="HU118" s="50">
        <v>0</v>
      </c>
      <c r="HV118" s="49">
        <v>0.58299999999999996</v>
      </c>
      <c r="HW118" s="50">
        <v>40.380000000000003</v>
      </c>
      <c r="HX118" s="50">
        <v>43.64</v>
      </c>
      <c r="HY118" s="3"/>
      <c r="HZ118" s="3"/>
      <c r="IA118" s="50">
        <v>2.8610000000000002</v>
      </c>
      <c r="IB118" s="50">
        <v>104</v>
      </c>
      <c r="IC118" s="49">
        <v>22.446999999999999</v>
      </c>
      <c r="ID118" s="49">
        <v>-0.38700000000000001</v>
      </c>
      <c r="IE118" s="49">
        <v>-0.215</v>
      </c>
      <c r="IF118" s="50">
        <v>818.2</v>
      </c>
      <c r="IG118" s="50">
        <v>760.2</v>
      </c>
      <c r="IH118" s="49">
        <v>831.3</v>
      </c>
      <c r="II118" s="50">
        <v>771.6</v>
      </c>
      <c r="IJ118" s="49">
        <v>-5.0999999999999997E-2</v>
      </c>
      <c r="IK118" s="49">
        <v>3.0000000000000001E-3</v>
      </c>
      <c r="IL118" s="49">
        <v>72.774000000000001</v>
      </c>
      <c r="IM118" s="49">
        <v>72.774000000000001</v>
      </c>
      <c r="IN118" s="49">
        <v>11.727</v>
      </c>
      <c r="IO118" s="49">
        <v>0.308</v>
      </c>
      <c r="IP118" s="49">
        <v>9.0399999999999991</v>
      </c>
      <c r="IQ118" s="49">
        <v>8.9999999999999993E-3</v>
      </c>
      <c r="IR118" s="49">
        <v>6.0000000000000001E-3</v>
      </c>
      <c r="IS118">
        <v>0.60600000000000032</v>
      </c>
      <c r="IT118">
        <v>0.36300000000000021</v>
      </c>
    </row>
    <row r="119" spans="1:254" x14ac:dyDescent="0.25">
      <c r="B119" s="2" t="s">
        <v>412</v>
      </c>
      <c r="C119" s="2" t="s">
        <v>43</v>
      </c>
      <c r="D119" s="61">
        <v>2.4789351851851851E-3</v>
      </c>
      <c r="E119" s="49">
        <v>214.22</v>
      </c>
      <c r="F119" s="50">
        <v>333.29</v>
      </c>
      <c r="G119" s="49">
        <v>5.93</v>
      </c>
      <c r="H119" s="50">
        <v>26</v>
      </c>
      <c r="I119" s="50">
        <v>0</v>
      </c>
      <c r="J119" s="49">
        <v>16.2</v>
      </c>
      <c r="K119" s="50">
        <v>7</v>
      </c>
      <c r="L119" s="50">
        <v>6</v>
      </c>
      <c r="M119" s="50">
        <v>7</v>
      </c>
      <c r="N119" s="50">
        <v>3</v>
      </c>
      <c r="O119" s="50">
        <v>3</v>
      </c>
      <c r="P119" s="49">
        <v>0.83899999999999997</v>
      </c>
      <c r="Q119" s="49">
        <v>1.2030000000000001</v>
      </c>
      <c r="R119" s="49">
        <v>0.88200000000000001</v>
      </c>
      <c r="S119" s="49">
        <v>0.76500000000000001</v>
      </c>
      <c r="T119" s="49">
        <v>71.569999999999993</v>
      </c>
      <c r="U119" s="49">
        <v>60.109000000000002</v>
      </c>
      <c r="V119" s="49">
        <v>231.66</v>
      </c>
      <c r="W119" s="49">
        <v>241.66</v>
      </c>
      <c r="X119" s="49">
        <v>165</v>
      </c>
      <c r="Y119" s="49">
        <v>203.34</v>
      </c>
      <c r="Z119" s="49">
        <v>373.06</v>
      </c>
      <c r="AA119" s="49">
        <v>386.24</v>
      </c>
      <c r="AB119" s="49">
        <v>255.94</v>
      </c>
      <c r="AC119" s="49">
        <v>318.66000000000003</v>
      </c>
      <c r="AD119" s="50">
        <v>1.78</v>
      </c>
      <c r="AE119" s="50">
        <v>1.8069999999999999</v>
      </c>
      <c r="AF119" s="50">
        <v>1.8129999999999999</v>
      </c>
      <c r="AG119" s="50">
        <v>1.8240000000000001</v>
      </c>
      <c r="AH119" s="50">
        <v>77.73</v>
      </c>
      <c r="AI119" s="50">
        <v>73.56</v>
      </c>
      <c r="AJ119" s="50">
        <v>104.38</v>
      </c>
      <c r="AK119" s="50">
        <v>105.06</v>
      </c>
      <c r="AL119" s="49">
        <v>669.78800000000001</v>
      </c>
      <c r="AM119" s="49">
        <v>671.40899999999999</v>
      </c>
      <c r="AN119" s="50">
        <v>881.21400000000006</v>
      </c>
      <c r="AO119" s="50">
        <v>854.19899999999996</v>
      </c>
      <c r="AP119" s="49">
        <v>1.282</v>
      </c>
      <c r="AQ119" s="49">
        <v>1.7749999999999999</v>
      </c>
      <c r="AR119" s="50">
        <v>44.564</v>
      </c>
      <c r="AS119" s="50">
        <v>40.921999999999997</v>
      </c>
      <c r="AT119" s="49">
        <v>83</v>
      </c>
      <c r="AU119" s="50">
        <v>121</v>
      </c>
      <c r="AV119" s="49">
        <v>1.3759999999999999</v>
      </c>
      <c r="AW119" s="49">
        <v>4.5937000000000001</v>
      </c>
      <c r="AX119" s="49">
        <v>1015.5</v>
      </c>
      <c r="AY119" s="49">
        <v>2.4500000000000002</v>
      </c>
      <c r="AZ119" s="50">
        <v>4.33</v>
      </c>
      <c r="BA119" s="49">
        <v>92.814999999999998</v>
      </c>
      <c r="BB119" s="49">
        <v>92.59</v>
      </c>
      <c r="BC119" s="49">
        <v>7710</v>
      </c>
      <c r="BD119" s="49">
        <v>88</v>
      </c>
      <c r="BE119" s="50">
        <v>16.71</v>
      </c>
      <c r="BF119" s="49">
        <v>14.01</v>
      </c>
      <c r="BG119" s="49">
        <v>28.35</v>
      </c>
      <c r="BH119" s="49">
        <v>31.34</v>
      </c>
      <c r="BI119" s="3"/>
      <c r="BJ119" s="3"/>
      <c r="BK119" s="3"/>
      <c r="BL119" s="3"/>
      <c r="BM119" s="3"/>
      <c r="BN119" s="49">
        <v>98.792000000000002</v>
      </c>
      <c r="BO119" s="49">
        <v>98.2</v>
      </c>
      <c r="BP119" s="49">
        <v>115.416</v>
      </c>
      <c r="BQ119" s="49">
        <v>120.056</v>
      </c>
      <c r="BR119" s="3"/>
      <c r="BS119" s="50">
        <v>25.8</v>
      </c>
      <c r="BT119" s="49">
        <v>7425.5559999999996</v>
      </c>
      <c r="BU119" s="49">
        <v>48.493000000000002</v>
      </c>
      <c r="BV119" s="50">
        <v>51.942</v>
      </c>
      <c r="BW119" s="49">
        <v>51.237000000000002</v>
      </c>
      <c r="BX119" s="49">
        <v>54.018999999999998</v>
      </c>
      <c r="BY119" s="49">
        <v>1.4870000000000001</v>
      </c>
      <c r="BZ119" s="50">
        <v>2.83</v>
      </c>
      <c r="CA119" s="49">
        <v>3.343</v>
      </c>
      <c r="CB119" s="49">
        <v>3.609</v>
      </c>
      <c r="CC119" s="49">
        <v>0.92900000000000005</v>
      </c>
      <c r="CD119" s="50">
        <v>2.16</v>
      </c>
      <c r="CE119" s="49">
        <v>1.121</v>
      </c>
      <c r="CF119" s="49">
        <v>1.984</v>
      </c>
      <c r="CG119" s="49">
        <v>13.73</v>
      </c>
      <c r="CH119" s="49">
        <v>13.606</v>
      </c>
      <c r="CI119" s="49">
        <v>4.1589999999999998</v>
      </c>
      <c r="CJ119" s="49">
        <v>2.8420000000000001</v>
      </c>
      <c r="CK119" s="49">
        <v>1.137</v>
      </c>
      <c r="CL119" s="50">
        <v>0.2</v>
      </c>
      <c r="CM119" s="50">
        <v>0.5</v>
      </c>
      <c r="CN119" s="50">
        <v>0</v>
      </c>
      <c r="CO119" s="50">
        <v>0</v>
      </c>
      <c r="CP119" s="49">
        <v>93.757000000000005</v>
      </c>
      <c r="CQ119" s="49">
        <v>94.307000000000002</v>
      </c>
      <c r="CR119" s="49">
        <v>109.367</v>
      </c>
      <c r="CS119" s="49">
        <v>113.54600000000001</v>
      </c>
      <c r="CT119" s="49">
        <v>0.311</v>
      </c>
      <c r="CU119" s="50">
        <v>1.2969999999999999</v>
      </c>
      <c r="CV119" s="50">
        <v>1.897</v>
      </c>
      <c r="CW119" s="50">
        <v>1.399</v>
      </c>
      <c r="CX119" s="50">
        <v>1.401</v>
      </c>
      <c r="CY119" s="49">
        <v>1.1000000000000001</v>
      </c>
      <c r="CZ119" s="49">
        <v>1.097</v>
      </c>
      <c r="DA119" s="50">
        <v>0.998</v>
      </c>
      <c r="DB119" s="50">
        <v>1.4990000000000001</v>
      </c>
      <c r="DC119" s="49">
        <v>0</v>
      </c>
      <c r="DD119" s="50">
        <v>0</v>
      </c>
      <c r="DE119" s="49">
        <v>0.312</v>
      </c>
      <c r="DF119" s="49">
        <v>0.17499999999999999</v>
      </c>
      <c r="DG119" s="49">
        <v>0.83899999999999997</v>
      </c>
      <c r="DH119" s="49">
        <v>1.8520000000000001</v>
      </c>
      <c r="DI119" s="49">
        <v>1.0409999999999999</v>
      </c>
      <c r="DJ119" s="49">
        <v>0.29099999999999998</v>
      </c>
      <c r="DK119" s="50">
        <v>1.288</v>
      </c>
      <c r="DL119" s="49">
        <v>0.40400000000000003</v>
      </c>
      <c r="DM119" s="49">
        <v>0.432</v>
      </c>
      <c r="DN119" s="49">
        <v>3.9E-2</v>
      </c>
      <c r="DO119" s="49">
        <v>6.5000000000000002E-2</v>
      </c>
      <c r="DP119" s="50">
        <v>68.364999999999995</v>
      </c>
      <c r="DQ119" s="49">
        <v>58.713999999999999</v>
      </c>
      <c r="DR119" s="49">
        <v>54.576999999999998</v>
      </c>
      <c r="DS119" s="49">
        <v>51.191000000000003</v>
      </c>
      <c r="DT119" s="49">
        <v>7.07</v>
      </c>
      <c r="DU119" s="49">
        <v>6.62</v>
      </c>
      <c r="DV119" s="49">
        <v>12.6</v>
      </c>
      <c r="DW119" s="49">
        <v>10.08</v>
      </c>
      <c r="DX119" s="49">
        <v>7.35</v>
      </c>
      <c r="DY119" s="49">
        <v>7.1</v>
      </c>
      <c r="DZ119" s="49">
        <v>11.95</v>
      </c>
      <c r="EA119" s="49">
        <v>9.75</v>
      </c>
      <c r="EB119" s="49">
        <v>41.48</v>
      </c>
      <c r="EC119" s="49">
        <v>41.28</v>
      </c>
      <c r="ED119" s="49">
        <v>33.72</v>
      </c>
      <c r="EE119" s="50">
        <v>36.770000000000003</v>
      </c>
      <c r="EF119" s="49">
        <v>44.1</v>
      </c>
      <c r="EG119" s="49">
        <v>45</v>
      </c>
      <c r="EH119" s="49">
        <v>41.73</v>
      </c>
      <c r="EI119" s="49">
        <v>43.39</v>
      </c>
      <c r="EJ119" s="49">
        <v>7.1379999999999999</v>
      </c>
      <c r="EK119" s="49">
        <v>62.526000000000003</v>
      </c>
      <c r="EL119" s="49">
        <v>2.2999999999999998</v>
      </c>
      <c r="EM119" s="49">
        <v>1.95</v>
      </c>
      <c r="EN119" s="49">
        <v>1.22</v>
      </c>
      <c r="EO119" s="49">
        <v>1.22</v>
      </c>
      <c r="EP119" s="49">
        <v>-109.726</v>
      </c>
      <c r="EQ119" s="49">
        <v>-2.117</v>
      </c>
      <c r="ER119" s="49">
        <v>91.17</v>
      </c>
      <c r="ES119" s="49">
        <v>1.3180000000000001</v>
      </c>
      <c r="ET119" s="49">
        <v>1.4770000000000001</v>
      </c>
      <c r="EU119" s="49">
        <v>1.292</v>
      </c>
      <c r="EV119" s="49">
        <v>7.117</v>
      </c>
      <c r="EW119" s="49">
        <v>3.13</v>
      </c>
      <c r="EX119" s="49">
        <v>72.040000000000006</v>
      </c>
      <c r="EY119" s="49">
        <v>0</v>
      </c>
      <c r="EZ119" s="50">
        <v>0</v>
      </c>
      <c r="FA119" s="50">
        <v>0</v>
      </c>
      <c r="FB119" s="49">
        <v>8.9860000000000007</v>
      </c>
      <c r="FC119" s="50">
        <v>69.13</v>
      </c>
      <c r="FD119" s="49">
        <v>64.69</v>
      </c>
      <c r="FE119" s="50">
        <v>78.762</v>
      </c>
      <c r="FF119" s="50">
        <v>76.777000000000001</v>
      </c>
      <c r="FG119" s="49">
        <v>0.91500000000000004</v>
      </c>
      <c r="FH119" s="49">
        <v>0.91700000000000004</v>
      </c>
      <c r="FI119" s="49">
        <v>0.997</v>
      </c>
      <c r="FJ119" s="49">
        <v>1.004</v>
      </c>
      <c r="FK119" s="49">
        <v>0</v>
      </c>
      <c r="FL119" s="49">
        <v>83</v>
      </c>
      <c r="FM119" s="50">
        <v>3.89</v>
      </c>
      <c r="FN119" s="50">
        <v>0.19</v>
      </c>
      <c r="FO119" s="50">
        <v>4.37</v>
      </c>
      <c r="FP119" s="3"/>
      <c r="FQ119" s="49">
        <v>4.55</v>
      </c>
      <c r="FR119" s="49">
        <v>5</v>
      </c>
      <c r="FS119" s="50">
        <v>6.6040000000000001</v>
      </c>
      <c r="FT119" s="50">
        <v>1083</v>
      </c>
      <c r="FU119" s="50">
        <v>6.09</v>
      </c>
      <c r="FV119" s="49">
        <v>59.24</v>
      </c>
      <c r="FW119" s="50">
        <v>3190</v>
      </c>
      <c r="FX119" s="49">
        <v>167300</v>
      </c>
      <c r="FY119" s="49">
        <v>167900</v>
      </c>
      <c r="FZ119" s="49">
        <v>47.360999999999997</v>
      </c>
      <c r="GA119" s="49">
        <v>47.817</v>
      </c>
      <c r="GB119" s="50">
        <v>2228.3000000000002</v>
      </c>
      <c r="GC119" s="49">
        <v>2153.9</v>
      </c>
      <c r="GD119" s="50">
        <v>2263.9</v>
      </c>
      <c r="GE119" s="49">
        <v>2245</v>
      </c>
      <c r="GF119" s="49">
        <v>1309.4530999999999</v>
      </c>
      <c r="GG119" s="49">
        <v>35</v>
      </c>
      <c r="GH119" s="49">
        <v>35</v>
      </c>
      <c r="GI119" s="49">
        <v>46.9</v>
      </c>
      <c r="GJ119" s="49">
        <v>51.8</v>
      </c>
      <c r="GK119" s="49">
        <v>99.5</v>
      </c>
      <c r="GL119" s="49">
        <v>108.6</v>
      </c>
      <c r="GM119" s="50">
        <v>0</v>
      </c>
      <c r="GN119" s="49">
        <v>25.632000000000001</v>
      </c>
      <c r="GO119" s="49">
        <v>109.726</v>
      </c>
      <c r="GP119" s="49">
        <v>0.35399999999999998</v>
      </c>
      <c r="GQ119" s="49">
        <v>1.829</v>
      </c>
      <c r="GR119" s="49">
        <v>0.59</v>
      </c>
      <c r="GS119" s="49">
        <v>1.9470000000000001</v>
      </c>
      <c r="GT119" s="49">
        <v>0.53100000000000003</v>
      </c>
      <c r="GU119" s="49">
        <v>1.829</v>
      </c>
      <c r="GV119" s="50">
        <v>0</v>
      </c>
      <c r="GW119" s="49">
        <v>0</v>
      </c>
      <c r="GX119" s="49">
        <v>0</v>
      </c>
      <c r="GY119" s="49">
        <v>11.27</v>
      </c>
      <c r="GZ119" s="49">
        <v>13.590999999999999</v>
      </c>
      <c r="HA119" s="49">
        <v>15.092000000000001</v>
      </c>
      <c r="HB119" s="49">
        <v>0</v>
      </c>
      <c r="HC119" s="49">
        <v>36.148000000000003</v>
      </c>
      <c r="HD119" s="49">
        <v>82</v>
      </c>
      <c r="HE119" s="50">
        <v>0</v>
      </c>
      <c r="HF119" s="50">
        <v>0</v>
      </c>
      <c r="HG119" s="49">
        <v>69.540000000000006</v>
      </c>
      <c r="HH119" s="49">
        <v>78.28</v>
      </c>
      <c r="HI119" s="50">
        <v>0</v>
      </c>
      <c r="HJ119" s="50">
        <v>0</v>
      </c>
      <c r="HK119" s="50">
        <v>0</v>
      </c>
      <c r="HL119" s="49">
        <v>57</v>
      </c>
      <c r="HM119" s="49">
        <v>51</v>
      </c>
      <c r="HN119" s="49">
        <v>65</v>
      </c>
      <c r="HO119" s="49">
        <v>58</v>
      </c>
      <c r="HP119" s="50">
        <v>62</v>
      </c>
      <c r="HQ119" s="50">
        <v>60</v>
      </c>
      <c r="HR119" s="49">
        <v>54</v>
      </c>
      <c r="HS119" s="49">
        <v>62</v>
      </c>
      <c r="HT119" s="50">
        <v>-1.518</v>
      </c>
      <c r="HU119" s="50">
        <v>0</v>
      </c>
      <c r="HV119" s="50">
        <v>0.751</v>
      </c>
      <c r="HW119" s="50">
        <v>40.380000000000003</v>
      </c>
      <c r="HX119" s="49">
        <v>46.15</v>
      </c>
      <c r="HY119" s="3"/>
      <c r="HZ119" s="3"/>
      <c r="IA119" s="49">
        <v>2.8330000000000002</v>
      </c>
      <c r="IB119" s="50">
        <v>104</v>
      </c>
      <c r="IC119" s="50">
        <v>22.472000000000001</v>
      </c>
      <c r="ID119" s="49">
        <v>-0.41199999999999998</v>
      </c>
      <c r="IE119" s="49">
        <v>-0.21099999999999999</v>
      </c>
      <c r="IF119" s="49">
        <v>804.1</v>
      </c>
      <c r="IG119" s="49">
        <v>755.6</v>
      </c>
      <c r="IH119" s="49">
        <v>810.1</v>
      </c>
      <c r="II119" s="49">
        <v>765</v>
      </c>
      <c r="IJ119" s="49">
        <v>-2.1000000000000001E-2</v>
      </c>
      <c r="IK119" s="50">
        <v>4.4999999999999998E-2</v>
      </c>
      <c r="IL119" s="49">
        <v>78.507999999999996</v>
      </c>
      <c r="IM119" s="49">
        <v>78.507999999999996</v>
      </c>
      <c r="IN119" s="49">
        <v>10.16</v>
      </c>
      <c r="IO119" s="50">
        <v>0.33500000000000002</v>
      </c>
      <c r="IP119" s="49">
        <v>8.8699999999999992</v>
      </c>
      <c r="IQ119" s="50">
        <v>1.4999999999999999E-2</v>
      </c>
      <c r="IR119" s="50">
        <v>8.0000000000000002E-3</v>
      </c>
      <c r="IS119">
        <v>0.62100000000000033</v>
      </c>
      <c r="IT119">
        <v>0.37100000000000022</v>
      </c>
    </row>
    <row r="120" spans="1:254" x14ac:dyDescent="0.25">
      <c r="B120" s="2" t="s">
        <v>412</v>
      </c>
      <c r="C120" s="2" t="s">
        <v>44</v>
      </c>
      <c r="D120" s="2" t="s">
        <v>434</v>
      </c>
      <c r="E120" s="50">
        <v>462.06799999999998</v>
      </c>
      <c r="F120" s="49">
        <v>330.35</v>
      </c>
      <c r="G120" s="49">
        <v>3.84</v>
      </c>
      <c r="H120" s="49">
        <v>25.9</v>
      </c>
      <c r="I120" s="50">
        <v>0</v>
      </c>
      <c r="J120" s="50">
        <v>43.1</v>
      </c>
      <c r="K120" s="50">
        <v>7</v>
      </c>
      <c r="L120" s="50">
        <v>6</v>
      </c>
      <c r="M120" s="50">
        <v>7</v>
      </c>
      <c r="N120" s="49">
        <v>2</v>
      </c>
      <c r="O120" s="50">
        <v>3</v>
      </c>
      <c r="P120" s="50">
        <v>1.046</v>
      </c>
      <c r="Q120" s="50">
        <v>1.4570000000000001</v>
      </c>
      <c r="R120" s="50">
        <v>1.056</v>
      </c>
      <c r="S120" s="3"/>
      <c r="T120" s="50">
        <v>72.13</v>
      </c>
      <c r="U120" s="49">
        <v>60.433999999999997</v>
      </c>
      <c r="V120" s="50">
        <v>70</v>
      </c>
      <c r="W120" s="50">
        <v>40</v>
      </c>
      <c r="X120" s="50">
        <v>80</v>
      </c>
      <c r="Y120" s="50">
        <v>80</v>
      </c>
      <c r="Z120" s="49">
        <v>195.5</v>
      </c>
      <c r="AA120" s="49">
        <v>200.41</v>
      </c>
      <c r="AB120" s="49">
        <v>152.16</v>
      </c>
      <c r="AC120" s="49">
        <v>181.05</v>
      </c>
      <c r="AD120" s="49">
        <v>1.6659999999999999</v>
      </c>
      <c r="AE120" s="49">
        <v>1.7050000000000001</v>
      </c>
      <c r="AF120" s="49">
        <v>1.6379999999999999</v>
      </c>
      <c r="AG120" s="49">
        <v>1.67</v>
      </c>
      <c r="AH120" s="49">
        <v>60.42</v>
      </c>
      <c r="AI120" s="49">
        <v>57.97</v>
      </c>
      <c r="AJ120" s="49">
        <v>77.59</v>
      </c>
      <c r="AK120" s="49">
        <v>79.599999999999994</v>
      </c>
      <c r="AL120" s="49">
        <v>640.19000000000005</v>
      </c>
      <c r="AM120" s="49">
        <v>644.55799999999999</v>
      </c>
      <c r="AN120" s="49">
        <v>815.47299999999996</v>
      </c>
      <c r="AO120" s="49">
        <v>823.28300000000002</v>
      </c>
      <c r="AP120" s="49">
        <v>1.3109999999999999</v>
      </c>
      <c r="AQ120" s="49">
        <v>1.78</v>
      </c>
      <c r="AR120" s="49">
        <v>42.420999999999999</v>
      </c>
      <c r="AS120" s="49">
        <v>38.817</v>
      </c>
      <c r="AT120" s="49">
        <v>83</v>
      </c>
      <c r="AU120" s="50">
        <v>121</v>
      </c>
      <c r="AV120" s="49">
        <v>1.966</v>
      </c>
      <c r="AW120" s="49">
        <v>4.4268000000000001</v>
      </c>
      <c r="AX120" s="49">
        <v>1007.4</v>
      </c>
      <c r="AY120" s="49">
        <v>2.5099999999999998</v>
      </c>
      <c r="AZ120" s="49">
        <v>4.9000000000000004</v>
      </c>
      <c r="BA120" s="49">
        <v>73.793000000000006</v>
      </c>
      <c r="BB120" s="49">
        <v>74.5</v>
      </c>
      <c r="BC120" s="50">
        <v>7785</v>
      </c>
      <c r="BD120" s="49">
        <v>88.75</v>
      </c>
      <c r="BE120" s="49">
        <v>15.17</v>
      </c>
      <c r="BF120" s="49">
        <v>11.715</v>
      </c>
      <c r="BG120" s="49">
        <v>26.48</v>
      </c>
      <c r="BH120" s="49">
        <v>23.44</v>
      </c>
      <c r="BI120" s="50">
        <v>65.674000000000007</v>
      </c>
      <c r="BJ120" s="50">
        <v>80.254000000000005</v>
      </c>
      <c r="BK120" s="50">
        <v>64.132000000000005</v>
      </c>
      <c r="BL120" s="50">
        <v>77.988</v>
      </c>
      <c r="BM120" s="50">
        <v>77.858000000000004</v>
      </c>
      <c r="BN120" s="49">
        <v>107.72</v>
      </c>
      <c r="BO120" s="49">
        <v>109.27200000000001</v>
      </c>
      <c r="BP120" s="49">
        <v>118.872</v>
      </c>
      <c r="BQ120" s="49">
        <v>120.92</v>
      </c>
      <c r="BR120" s="50">
        <v>59.468000000000004</v>
      </c>
      <c r="BS120" s="49">
        <v>25.5</v>
      </c>
      <c r="BT120" s="50">
        <v>7487.8540000000003</v>
      </c>
      <c r="BU120" s="49">
        <v>35.606999999999999</v>
      </c>
      <c r="BV120" s="49">
        <v>49.078000000000003</v>
      </c>
      <c r="BW120" s="49">
        <v>52.923999999999999</v>
      </c>
      <c r="BX120" s="49">
        <v>53.890999999999998</v>
      </c>
      <c r="BY120" s="49">
        <v>1.3169999999999999</v>
      </c>
      <c r="BZ120" s="49">
        <v>2.7280000000000002</v>
      </c>
      <c r="CA120" s="50">
        <v>3.718</v>
      </c>
      <c r="CB120" s="49">
        <v>3.0049999999999999</v>
      </c>
      <c r="CC120" s="49">
        <v>0.95299999999999996</v>
      </c>
      <c r="CD120" s="49">
        <v>1.925</v>
      </c>
      <c r="CE120" s="49">
        <v>1.1930000000000001</v>
      </c>
      <c r="CF120" s="49">
        <v>1.964</v>
      </c>
      <c r="CG120" s="50">
        <v>13.798999999999999</v>
      </c>
      <c r="CH120" s="49">
        <v>10.278</v>
      </c>
      <c r="CI120" s="3"/>
      <c r="CJ120" s="3"/>
      <c r="CK120" s="3"/>
      <c r="CL120" s="49">
        <v>0.1</v>
      </c>
      <c r="CM120" s="49">
        <v>0</v>
      </c>
      <c r="CN120" s="50">
        <v>0</v>
      </c>
      <c r="CO120" s="50">
        <v>0</v>
      </c>
      <c r="CP120" s="49">
        <v>87.899000000000001</v>
      </c>
      <c r="CQ120" s="49">
        <v>89.2</v>
      </c>
      <c r="CR120" s="49">
        <v>96.882999999999996</v>
      </c>
      <c r="CS120" s="49">
        <v>99.947999999999993</v>
      </c>
      <c r="CT120" s="49">
        <v>0.11700000000000001</v>
      </c>
      <c r="CU120" s="49">
        <v>0.70099999999999996</v>
      </c>
      <c r="CV120" s="49">
        <v>0.8</v>
      </c>
      <c r="CW120" s="49">
        <v>1.1000000000000001</v>
      </c>
      <c r="CX120" s="49">
        <v>0.90100000000000002</v>
      </c>
      <c r="CY120" s="49">
        <v>0.7</v>
      </c>
      <c r="CZ120" s="49">
        <v>0.70099999999999996</v>
      </c>
      <c r="DA120" s="49">
        <v>0.1</v>
      </c>
      <c r="DB120" s="49">
        <v>1.1000000000000001</v>
      </c>
      <c r="DC120" s="49">
        <v>0</v>
      </c>
      <c r="DD120" s="50">
        <v>0</v>
      </c>
      <c r="DE120" s="49">
        <v>0.14099999999999999</v>
      </c>
      <c r="DF120" s="49">
        <v>9.0999999999999998E-2</v>
      </c>
      <c r="DG120" s="49">
        <v>0.20899999999999999</v>
      </c>
      <c r="DH120" s="49">
        <v>0.84899999999999998</v>
      </c>
      <c r="DI120" s="49">
        <v>0.94299999999999995</v>
      </c>
      <c r="DJ120" s="50">
        <v>0.41099999999999998</v>
      </c>
      <c r="DK120" s="49">
        <v>1.0449999999999999</v>
      </c>
      <c r="DL120" s="50">
        <v>0.40699999999999997</v>
      </c>
      <c r="DM120" s="50">
        <v>0.53400000000000003</v>
      </c>
      <c r="DN120" s="50">
        <v>0.61299999999999999</v>
      </c>
      <c r="DO120" s="50">
        <v>0.41899999999999998</v>
      </c>
      <c r="DP120" s="49">
        <v>66.771000000000001</v>
      </c>
      <c r="DQ120" s="50">
        <v>61.070999999999998</v>
      </c>
      <c r="DR120" s="49">
        <v>54.631</v>
      </c>
      <c r="DS120" s="50">
        <v>52.253999999999998</v>
      </c>
      <c r="DT120" s="49">
        <v>1.51</v>
      </c>
      <c r="DU120" s="49">
        <v>1.51</v>
      </c>
      <c r="DV120" s="49">
        <v>2.65</v>
      </c>
      <c r="DW120" s="49">
        <v>2.04</v>
      </c>
      <c r="DX120" s="49">
        <v>1.59</v>
      </c>
      <c r="DY120" s="49">
        <v>1.68</v>
      </c>
      <c r="DZ120" s="49">
        <v>2.48</v>
      </c>
      <c r="EA120" s="49">
        <v>2.0299999999999998</v>
      </c>
      <c r="EB120" s="50">
        <v>42.41</v>
      </c>
      <c r="EC120" s="50">
        <v>42.95</v>
      </c>
      <c r="ED120" s="50">
        <v>34.65</v>
      </c>
      <c r="EE120" s="49">
        <v>34.01</v>
      </c>
      <c r="EF120" s="49">
        <v>54.49</v>
      </c>
      <c r="EG120" s="49">
        <v>53.86</v>
      </c>
      <c r="EH120" s="50">
        <v>60.23</v>
      </c>
      <c r="EI120" s="50">
        <v>61.92</v>
      </c>
      <c r="EJ120" s="50">
        <v>8.2680000000000007</v>
      </c>
      <c r="EK120" s="49">
        <v>61.936999999999998</v>
      </c>
      <c r="EL120" s="49">
        <v>2.2999999999999998</v>
      </c>
      <c r="EM120" s="49">
        <v>2</v>
      </c>
      <c r="EN120" s="50">
        <v>1.53</v>
      </c>
      <c r="EO120" s="50">
        <v>1.52</v>
      </c>
      <c r="EP120" s="50">
        <v>-118.194</v>
      </c>
      <c r="EQ120" s="50">
        <v>-0.56699999999999995</v>
      </c>
      <c r="ER120" s="49">
        <v>90.001999999999995</v>
      </c>
      <c r="ES120" s="50">
        <v>1.5169999999999999</v>
      </c>
      <c r="ET120" s="50">
        <v>1.6220000000000001</v>
      </c>
      <c r="EU120" s="50">
        <v>1.512</v>
      </c>
      <c r="EV120" s="49">
        <v>7.51</v>
      </c>
      <c r="EW120" s="50">
        <v>3.4860000000000002</v>
      </c>
      <c r="EX120" s="49">
        <v>35.840000000000003</v>
      </c>
      <c r="EY120" s="49">
        <v>0</v>
      </c>
      <c r="EZ120" s="50">
        <v>0</v>
      </c>
      <c r="FA120" s="50">
        <v>0</v>
      </c>
      <c r="FB120" s="50">
        <v>9.3249999999999993</v>
      </c>
      <c r="FC120" s="49">
        <v>65.239000000000004</v>
      </c>
      <c r="FD120" s="49">
        <v>61.991</v>
      </c>
      <c r="FE120" s="49">
        <v>72.183000000000007</v>
      </c>
      <c r="FF120" s="49">
        <v>70.873000000000005</v>
      </c>
      <c r="FG120" s="50">
        <v>0.97199999999999998</v>
      </c>
      <c r="FH120" s="49">
        <v>0.95599999999999996</v>
      </c>
      <c r="FI120" s="50">
        <v>1.0209999999999999</v>
      </c>
      <c r="FJ120" s="50">
        <v>1.022</v>
      </c>
      <c r="FK120" s="49">
        <v>0</v>
      </c>
      <c r="FL120" s="49">
        <v>83</v>
      </c>
      <c r="FM120" s="49">
        <v>3.86</v>
      </c>
      <c r="FN120" s="49">
        <v>1.59</v>
      </c>
      <c r="FO120" s="49">
        <v>4.8899999999999997</v>
      </c>
      <c r="FP120" s="49">
        <v>4.05</v>
      </c>
      <c r="FQ120" s="50">
        <v>4.45</v>
      </c>
      <c r="FR120" s="49">
        <v>5.2</v>
      </c>
      <c r="FS120" s="49">
        <v>6.3765000000000001</v>
      </c>
      <c r="FT120" s="49">
        <v>1073.5999999999999</v>
      </c>
      <c r="FU120" s="49">
        <v>5.81</v>
      </c>
      <c r="FV120" s="50">
        <v>63.09</v>
      </c>
      <c r="FW120" s="49">
        <v>2872</v>
      </c>
      <c r="FX120" s="49">
        <v>165300</v>
      </c>
      <c r="FY120" s="49">
        <v>165800</v>
      </c>
      <c r="FZ120" s="49">
        <v>47.023000000000003</v>
      </c>
      <c r="GA120" s="49">
        <v>47.509</v>
      </c>
      <c r="GB120" s="49">
        <v>2152.6999999999998</v>
      </c>
      <c r="GC120" s="49">
        <v>2166.1</v>
      </c>
      <c r="GD120" s="49">
        <v>2222.1999999999998</v>
      </c>
      <c r="GE120" s="49">
        <v>2222.6999999999998</v>
      </c>
      <c r="GF120" s="49">
        <v>1300.0625</v>
      </c>
      <c r="GG120" s="50">
        <v>36</v>
      </c>
      <c r="GH120" s="50">
        <v>35.6</v>
      </c>
      <c r="GI120" s="49">
        <v>49.6</v>
      </c>
      <c r="GJ120" s="50">
        <v>56.4</v>
      </c>
      <c r="GK120" s="49">
        <v>99</v>
      </c>
      <c r="GL120" s="49">
        <v>110.4</v>
      </c>
      <c r="GM120" s="50">
        <v>0</v>
      </c>
      <c r="GN120" s="49">
        <v>24.422000000000001</v>
      </c>
      <c r="GO120" s="50">
        <v>118.194</v>
      </c>
      <c r="GP120" s="50">
        <v>0</v>
      </c>
      <c r="GQ120" s="49">
        <v>1.9470000000000001</v>
      </c>
      <c r="GR120" s="50">
        <v>0</v>
      </c>
      <c r="GS120" s="49">
        <v>2.1240000000000001</v>
      </c>
      <c r="GT120" s="50">
        <v>0</v>
      </c>
      <c r="GU120" s="49">
        <v>2.1240000000000001</v>
      </c>
      <c r="GV120" s="50">
        <v>0</v>
      </c>
      <c r="GW120" s="49">
        <v>0</v>
      </c>
      <c r="GX120" s="49">
        <v>0</v>
      </c>
      <c r="GY120" s="50">
        <v>0</v>
      </c>
      <c r="GZ120" s="50">
        <v>13.949</v>
      </c>
      <c r="HA120" s="49">
        <v>17.346</v>
      </c>
      <c r="HB120" s="50">
        <v>1</v>
      </c>
      <c r="HC120" s="49">
        <v>35.215000000000003</v>
      </c>
      <c r="HD120" s="50">
        <v>90</v>
      </c>
      <c r="HE120" s="50">
        <v>0</v>
      </c>
      <c r="HF120" s="50">
        <v>0</v>
      </c>
      <c r="HG120" s="49">
        <v>69.08</v>
      </c>
      <c r="HH120" s="49">
        <v>78.37</v>
      </c>
      <c r="HI120" s="50">
        <v>0</v>
      </c>
      <c r="HJ120" s="50">
        <v>0</v>
      </c>
      <c r="HK120" s="50">
        <v>0</v>
      </c>
      <c r="HL120" s="49">
        <v>58</v>
      </c>
      <c r="HM120" s="50">
        <v>52</v>
      </c>
      <c r="HN120" s="50">
        <v>66</v>
      </c>
      <c r="HO120" s="50">
        <v>59</v>
      </c>
      <c r="HP120" s="50">
        <v>62</v>
      </c>
      <c r="HQ120" s="50">
        <v>60</v>
      </c>
      <c r="HR120" s="50">
        <v>55</v>
      </c>
      <c r="HS120" s="49">
        <v>64</v>
      </c>
      <c r="HT120" s="49">
        <v>-1.5089999999999999</v>
      </c>
      <c r="HU120" s="50">
        <v>0</v>
      </c>
      <c r="HV120" s="49">
        <v>0.40500000000000003</v>
      </c>
      <c r="HW120" s="49">
        <v>41.2</v>
      </c>
      <c r="HX120" s="49">
        <v>47.05</v>
      </c>
      <c r="HY120" s="3"/>
      <c r="HZ120" s="3"/>
      <c r="IA120" s="49">
        <v>2.6850000000000001</v>
      </c>
      <c r="IB120" s="49">
        <v>96</v>
      </c>
      <c r="IC120" s="49">
        <v>16.716000000000001</v>
      </c>
      <c r="ID120" s="50">
        <v>-0.1</v>
      </c>
      <c r="IE120" s="50">
        <v>-5.8999999999999997E-2</v>
      </c>
      <c r="IF120" s="49">
        <v>802.6</v>
      </c>
      <c r="IG120" s="49">
        <v>600.1</v>
      </c>
      <c r="IH120" s="50">
        <v>834.5</v>
      </c>
      <c r="II120" s="49">
        <v>619</v>
      </c>
      <c r="IJ120" s="50">
        <v>-0.01</v>
      </c>
      <c r="IK120" s="49">
        <v>7.0000000000000001E-3</v>
      </c>
      <c r="IL120" s="50">
        <v>336.43599999999998</v>
      </c>
      <c r="IM120" s="50">
        <v>336.43599999999998</v>
      </c>
      <c r="IN120" s="50">
        <v>18.815999999999999</v>
      </c>
      <c r="IO120" s="49">
        <v>6.3E-2</v>
      </c>
      <c r="IP120" s="49">
        <v>9</v>
      </c>
      <c r="IQ120" s="49">
        <v>0</v>
      </c>
      <c r="IR120" s="49">
        <v>0</v>
      </c>
      <c r="IS120">
        <v>0.62100000000000033</v>
      </c>
      <c r="IT120">
        <v>0.37100000000000022</v>
      </c>
    </row>
    <row r="121" spans="1:254" x14ac:dyDescent="0.25">
      <c r="IS121">
        <v>0.62100000000000033</v>
      </c>
      <c r="IT121">
        <v>0.37100000000000022</v>
      </c>
    </row>
    <row r="122" spans="1:254" x14ac:dyDescent="0.25">
      <c r="IS122">
        <v>0.62100000000000033</v>
      </c>
      <c r="IT122">
        <v>0.37100000000000022</v>
      </c>
    </row>
    <row r="123" spans="1:254" x14ac:dyDescent="0.25">
      <c r="IS123">
        <v>0.62100000000000033</v>
      </c>
      <c r="IT123">
        <v>0.37100000000000022</v>
      </c>
    </row>
    <row r="124" spans="1:254" x14ac:dyDescent="0.25">
      <c r="IS124">
        <v>0.62100000000000033</v>
      </c>
      <c r="IT124">
        <v>0.37100000000000022</v>
      </c>
    </row>
    <row r="147" spans="1:1" x14ac:dyDescent="0.25">
      <c r="A147" s="6" t="s">
        <v>58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12"/>
  <sheetViews>
    <sheetView zoomScale="70" zoomScaleNormal="70" workbookViewId="0">
      <selection activeCell="D7" sqref="D7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53" t="s">
        <v>411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2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2" t="s">
        <v>413</v>
      </c>
      <c r="E7" s="50">
        <v>1472.097</v>
      </c>
      <c r="F7" s="49">
        <v>326.04000000000002</v>
      </c>
      <c r="G7" s="49">
        <v>4.92</v>
      </c>
      <c r="H7" s="49">
        <v>26</v>
      </c>
      <c r="I7" s="50">
        <v>0</v>
      </c>
      <c r="J7" s="50">
        <v>1216.7</v>
      </c>
      <c r="K7" s="50">
        <v>8</v>
      </c>
      <c r="L7" s="50">
        <v>5</v>
      </c>
      <c r="M7" s="49">
        <v>5</v>
      </c>
      <c r="N7" s="50">
        <v>3</v>
      </c>
      <c r="O7" s="50">
        <v>3</v>
      </c>
      <c r="P7" s="50">
        <v>0.73099999999999998</v>
      </c>
      <c r="Q7" s="49">
        <v>1.04</v>
      </c>
      <c r="R7" s="49">
        <v>0.65900000000000003</v>
      </c>
      <c r="S7" s="50">
        <v>0.47899999999999998</v>
      </c>
      <c r="T7" s="49">
        <v>60.11</v>
      </c>
      <c r="U7" s="50">
        <v>60.767000000000003</v>
      </c>
      <c r="V7" s="50">
        <v>50</v>
      </c>
      <c r="W7" s="50">
        <v>40</v>
      </c>
      <c r="X7" s="50">
        <v>80</v>
      </c>
      <c r="Y7" s="50">
        <v>80</v>
      </c>
      <c r="Z7" s="49">
        <v>108.87</v>
      </c>
      <c r="AA7" s="49">
        <v>107.16</v>
      </c>
      <c r="AB7" s="49">
        <v>99.85</v>
      </c>
      <c r="AC7" s="49">
        <v>101.82</v>
      </c>
      <c r="AD7" s="49">
        <v>0.35</v>
      </c>
      <c r="AE7" s="49">
        <v>0.36499999999999999</v>
      </c>
      <c r="AF7" s="49">
        <v>0.36</v>
      </c>
      <c r="AG7" s="49">
        <v>0.372</v>
      </c>
      <c r="AH7" s="49">
        <v>-17.22</v>
      </c>
      <c r="AI7" s="49">
        <v>-17.77</v>
      </c>
      <c r="AJ7" s="49">
        <v>-13.43</v>
      </c>
      <c r="AK7" s="49">
        <v>-14.09</v>
      </c>
      <c r="AL7" s="49">
        <v>601.20500000000004</v>
      </c>
      <c r="AM7" s="49">
        <v>608.875</v>
      </c>
      <c r="AN7" s="49">
        <v>741.46</v>
      </c>
      <c r="AO7" s="49">
        <v>749.947</v>
      </c>
      <c r="AP7" s="50">
        <v>1.44</v>
      </c>
      <c r="AQ7" s="50">
        <v>1.966</v>
      </c>
      <c r="AR7" s="49">
        <v>40.575000000000003</v>
      </c>
      <c r="AS7" s="49">
        <v>33.262</v>
      </c>
      <c r="AT7" s="49">
        <v>82</v>
      </c>
      <c r="AU7" s="49">
        <v>85</v>
      </c>
      <c r="AV7" s="49">
        <v>2.6145</v>
      </c>
      <c r="AW7" s="50">
        <v>6.0892999999999997</v>
      </c>
      <c r="AX7" s="50">
        <v>1026.2</v>
      </c>
      <c r="AY7" s="49">
        <v>1.77</v>
      </c>
      <c r="AZ7" s="50">
        <v>0.22</v>
      </c>
      <c r="BA7" s="49">
        <v>135.893</v>
      </c>
      <c r="BB7" s="49">
        <v>130.47499999999999</v>
      </c>
      <c r="BC7" s="49">
        <v>7620</v>
      </c>
      <c r="BD7" s="49">
        <v>88.25</v>
      </c>
      <c r="BE7" s="49">
        <v>15.31</v>
      </c>
      <c r="BF7" s="49">
        <v>12.705</v>
      </c>
      <c r="BG7" s="49">
        <v>26.68</v>
      </c>
      <c r="BH7" s="49">
        <v>26.42</v>
      </c>
      <c r="BI7" s="50">
        <v>64.873999999999995</v>
      </c>
      <c r="BJ7" s="50">
        <v>81.978999999999999</v>
      </c>
      <c r="BK7" s="50">
        <v>63.066000000000003</v>
      </c>
      <c r="BL7" s="50">
        <v>78.775999999999996</v>
      </c>
      <c r="BM7" s="50">
        <v>79.712000000000003</v>
      </c>
      <c r="BN7" s="49">
        <v>83.24</v>
      </c>
      <c r="BO7" s="49">
        <v>84.84</v>
      </c>
      <c r="BP7" s="49">
        <v>87.367999999999995</v>
      </c>
      <c r="BQ7" s="49">
        <v>84.536000000000001</v>
      </c>
      <c r="BR7" s="49">
        <v>58.305</v>
      </c>
      <c r="BS7" s="49">
        <v>23.8</v>
      </c>
      <c r="BT7" s="49">
        <v>6634.9539999999997</v>
      </c>
      <c r="BU7" s="50">
        <v>56.116999999999997</v>
      </c>
      <c r="BV7" s="50">
        <v>57.186999999999998</v>
      </c>
      <c r="BW7" s="50">
        <v>57.765000000000001</v>
      </c>
      <c r="BX7" s="49">
        <v>57.493000000000002</v>
      </c>
      <c r="BY7" s="49">
        <v>1.5469999999999999</v>
      </c>
      <c r="BZ7" s="49">
        <v>2.367</v>
      </c>
      <c r="CA7" s="49">
        <v>2.85</v>
      </c>
      <c r="CB7" s="49">
        <v>3.5710000000000002</v>
      </c>
      <c r="CC7" s="49">
        <v>1.2110000000000001</v>
      </c>
      <c r="CD7" s="49">
        <v>2.6070000000000002</v>
      </c>
      <c r="CE7" s="50">
        <v>1.498</v>
      </c>
      <c r="CF7" s="50">
        <v>2.3279999999999998</v>
      </c>
      <c r="CG7" s="49">
        <v>13.023</v>
      </c>
      <c r="CH7" s="50">
        <v>9.9649999999999999</v>
      </c>
      <c r="CI7" s="50">
        <v>14.084</v>
      </c>
      <c r="CJ7" s="50">
        <v>15.163</v>
      </c>
      <c r="CK7" s="49">
        <v>1.0369999999999999</v>
      </c>
      <c r="CL7" s="49">
        <v>0</v>
      </c>
      <c r="CM7" s="49">
        <v>0</v>
      </c>
      <c r="CN7" s="49">
        <v>0</v>
      </c>
      <c r="CO7" s="49">
        <v>0</v>
      </c>
      <c r="CP7" s="49">
        <v>30.044</v>
      </c>
      <c r="CQ7" s="49">
        <v>30.678999999999998</v>
      </c>
      <c r="CR7" s="49">
        <v>31.998000000000001</v>
      </c>
      <c r="CS7" s="49">
        <v>30.033999999999999</v>
      </c>
      <c r="CT7" s="49">
        <v>0.379</v>
      </c>
      <c r="CU7" s="49">
        <v>0.999</v>
      </c>
      <c r="CV7" s="49">
        <v>1.595</v>
      </c>
      <c r="CW7" s="49">
        <v>0.89800000000000002</v>
      </c>
      <c r="CX7" s="49">
        <v>0.79900000000000004</v>
      </c>
      <c r="CY7" s="50">
        <v>0.79600000000000004</v>
      </c>
      <c r="CZ7" s="49">
        <v>1.101</v>
      </c>
      <c r="DA7" s="49">
        <v>0.9</v>
      </c>
      <c r="DB7" s="49">
        <v>0.998</v>
      </c>
      <c r="DC7" s="50">
        <v>0</v>
      </c>
      <c r="DD7" s="50">
        <v>0</v>
      </c>
      <c r="DE7" s="49">
        <v>0.05</v>
      </c>
      <c r="DF7" s="50">
        <v>0.106</v>
      </c>
      <c r="DG7" s="49">
        <v>0.193</v>
      </c>
      <c r="DH7" s="49">
        <v>0.90300000000000002</v>
      </c>
      <c r="DI7" s="49">
        <v>0.97299999999999998</v>
      </c>
      <c r="DJ7" s="50">
        <v>0.129</v>
      </c>
      <c r="DK7" s="50">
        <v>0.93700000000000006</v>
      </c>
      <c r="DL7" s="50">
        <v>0.41399999999999998</v>
      </c>
      <c r="DM7" s="50">
        <v>0.54600000000000004</v>
      </c>
      <c r="DN7" s="49">
        <v>0.156</v>
      </c>
      <c r="DO7" s="50">
        <v>0.372</v>
      </c>
      <c r="DP7" s="49">
        <v>62.255000000000003</v>
      </c>
      <c r="DQ7" s="49">
        <v>60.051000000000002</v>
      </c>
      <c r="DR7" s="49">
        <v>50.404000000000003</v>
      </c>
      <c r="DS7" s="49">
        <v>50.787999999999997</v>
      </c>
      <c r="DT7" s="49">
        <v>0.62</v>
      </c>
      <c r="DU7" s="49">
        <v>0.63</v>
      </c>
      <c r="DV7" s="49">
        <v>1.34</v>
      </c>
      <c r="DW7" s="49">
        <v>1.32</v>
      </c>
      <c r="DX7" s="49">
        <v>0.66</v>
      </c>
      <c r="DY7" s="49">
        <v>0.65</v>
      </c>
      <c r="DZ7" s="49">
        <v>1.22</v>
      </c>
      <c r="EA7" s="49">
        <v>1.22</v>
      </c>
      <c r="EB7" s="49">
        <v>8.9600000000000009</v>
      </c>
      <c r="EC7" s="50">
        <v>74.16</v>
      </c>
      <c r="ED7" s="50">
        <v>72.349999999999994</v>
      </c>
      <c r="EE7" s="50">
        <v>72.62</v>
      </c>
      <c r="EF7" s="50">
        <v>89.75</v>
      </c>
      <c r="EG7" s="49">
        <v>24.56</v>
      </c>
      <c r="EH7" s="49">
        <v>25.08</v>
      </c>
      <c r="EI7" s="49">
        <v>24.84</v>
      </c>
      <c r="EJ7" s="49">
        <v>2.2799999999999998</v>
      </c>
      <c r="EK7" s="49">
        <v>51.935000000000002</v>
      </c>
      <c r="EL7" s="49">
        <v>1.7</v>
      </c>
      <c r="EM7" s="50">
        <v>1.1000000000000001</v>
      </c>
      <c r="EN7" s="49">
        <v>1.06</v>
      </c>
      <c r="EO7" s="49">
        <v>1.07</v>
      </c>
      <c r="EP7" s="49">
        <v>-97.608000000000004</v>
      </c>
      <c r="EQ7" s="50">
        <v>-0.21099999999999999</v>
      </c>
      <c r="ER7" s="49">
        <v>91.608000000000004</v>
      </c>
      <c r="ES7" s="49">
        <v>0.36399999999999999</v>
      </c>
      <c r="ET7" s="49">
        <v>0.38100000000000001</v>
      </c>
      <c r="EU7" s="49">
        <v>0.35599999999999998</v>
      </c>
      <c r="EV7" s="49">
        <v>7.5869999999999997</v>
      </c>
      <c r="EW7" s="49">
        <v>0.63100000000000001</v>
      </c>
      <c r="EX7" s="49">
        <v>64.44</v>
      </c>
      <c r="EY7" s="49">
        <v>0.06</v>
      </c>
      <c r="EZ7" s="49">
        <v>0</v>
      </c>
      <c r="FA7" s="50">
        <v>0</v>
      </c>
      <c r="FB7" s="49">
        <v>1.718</v>
      </c>
      <c r="FC7" s="49">
        <v>16.218</v>
      </c>
      <c r="FD7" s="49">
        <v>16.056999999999999</v>
      </c>
      <c r="FE7" s="49">
        <v>18.628</v>
      </c>
      <c r="FF7" s="49">
        <v>17.942</v>
      </c>
      <c r="FG7" s="50">
        <v>1.0129999999999999</v>
      </c>
      <c r="FH7" s="50">
        <v>1.0169999999999999</v>
      </c>
      <c r="FI7" s="50">
        <v>1.0009999999999999</v>
      </c>
      <c r="FJ7" s="50">
        <v>1.0009999999999999</v>
      </c>
      <c r="FK7" s="50">
        <v>0.30199999999999999</v>
      </c>
      <c r="FL7" s="49">
        <v>82</v>
      </c>
      <c r="FM7" s="49">
        <v>2.7</v>
      </c>
      <c r="FN7" s="50">
        <v>-0.88</v>
      </c>
      <c r="FO7" s="50">
        <v>0.22</v>
      </c>
      <c r="FP7" s="50">
        <v>0.15</v>
      </c>
      <c r="FQ7" s="50">
        <v>0.55000000000000004</v>
      </c>
      <c r="FR7" s="49">
        <v>5.35</v>
      </c>
      <c r="FS7" s="50">
        <v>7.1734999999999998</v>
      </c>
      <c r="FT7" s="50">
        <v>1074.2</v>
      </c>
      <c r="FU7" s="49">
        <v>7.38</v>
      </c>
      <c r="FV7" s="49">
        <v>5.3</v>
      </c>
      <c r="FW7" s="50">
        <v>16383.5</v>
      </c>
      <c r="FX7" s="49">
        <v>164900</v>
      </c>
      <c r="FY7" s="49">
        <v>165700</v>
      </c>
      <c r="FZ7" s="50">
        <v>49.674999999999997</v>
      </c>
      <c r="GA7" s="50">
        <v>48.9</v>
      </c>
      <c r="GB7" s="49">
        <v>2241</v>
      </c>
      <c r="GC7" s="49">
        <v>2198.5</v>
      </c>
      <c r="GD7" s="49">
        <v>2247.5</v>
      </c>
      <c r="GE7" s="50">
        <v>2898.3</v>
      </c>
      <c r="GF7" s="49">
        <v>1423.4219000000001</v>
      </c>
      <c r="GG7" s="50">
        <v>32</v>
      </c>
      <c r="GH7" s="50">
        <v>32.1</v>
      </c>
      <c r="GI7" s="50">
        <v>71.400000000000006</v>
      </c>
      <c r="GJ7" s="50">
        <v>71.599999999999994</v>
      </c>
      <c r="GK7" s="50">
        <v>77</v>
      </c>
      <c r="GL7" s="49">
        <v>77.5</v>
      </c>
      <c r="GM7" s="50">
        <v>0</v>
      </c>
      <c r="GN7" s="49">
        <v>26.398</v>
      </c>
      <c r="GO7" s="49">
        <v>97.608000000000004</v>
      </c>
      <c r="GP7" s="50">
        <v>0</v>
      </c>
      <c r="GQ7" s="50">
        <v>5.782</v>
      </c>
      <c r="GR7" s="50">
        <v>0</v>
      </c>
      <c r="GS7" s="50">
        <v>6.0179999999999998</v>
      </c>
      <c r="GT7" s="50">
        <v>0</v>
      </c>
      <c r="GU7" s="50">
        <v>5.6050000000000004</v>
      </c>
      <c r="GV7" s="50">
        <v>0</v>
      </c>
      <c r="GW7" s="49">
        <v>3.0880000000000001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19.847000000000001</v>
      </c>
      <c r="HD7" s="49">
        <v>78</v>
      </c>
      <c r="HE7" s="7">
        <v>0</v>
      </c>
      <c r="HF7" s="7">
        <v>0</v>
      </c>
      <c r="HG7" s="7">
        <v>85.44</v>
      </c>
      <c r="HH7" s="7">
        <v>80.36</v>
      </c>
      <c r="HI7" s="7">
        <v>0</v>
      </c>
      <c r="HJ7" s="7">
        <v>0</v>
      </c>
      <c r="HK7" s="7">
        <v>0</v>
      </c>
      <c r="HL7" s="7">
        <v>48</v>
      </c>
      <c r="HM7" s="7">
        <v>50</v>
      </c>
      <c r="HN7" s="7">
        <v>54</v>
      </c>
      <c r="HO7" s="7">
        <v>47</v>
      </c>
      <c r="HP7" s="7">
        <v>50</v>
      </c>
      <c r="HQ7" s="7">
        <v>48</v>
      </c>
      <c r="HR7" s="7">
        <v>43</v>
      </c>
      <c r="HS7" s="7">
        <v>56</v>
      </c>
      <c r="HT7" s="7">
        <v>-1.2035</v>
      </c>
      <c r="HU7" s="7">
        <v>0</v>
      </c>
      <c r="HV7" s="7">
        <v>0.435</v>
      </c>
      <c r="HW7" s="7">
        <v>40.130000000000003</v>
      </c>
      <c r="HX7" s="7">
        <v>45.89</v>
      </c>
      <c r="HY7" s="3"/>
      <c r="HZ7" s="3"/>
      <c r="IA7" s="7">
        <v>2.754</v>
      </c>
      <c r="IB7" s="7">
        <v>74</v>
      </c>
      <c r="IC7" s="7">
        <v>4.5720000000000001</v>
      </c>
      <c r="ID7" s="7">
        <v>-1.7999999999999999E-2</v>
      </c>
      <c r="IE7" s="7">
        <v>-8.9999999999999993E-3</v>
      </c>
      <c r="IF7" s="7">
        <v>823.1</v>
      </c>
      <c r="IG7" s="7">
        <v>243.6</v>
      </c>
      <c r="IH7" s="7">
        <v>824.3</v>
      </c>
      <c r="II7" s="7">
        <v>254.7</v>
      </c>
      <c r="IJ7" s="7">
        <v>-1E-3</v>
      </c>
      <c r="IK7" s="7">
        <v>-6.0000000000000001E-3</v>
      </c>
      <c r="IL7" s="7">
        <v>1299.348</v>
      </c>
      <c r="IM7" s="7">
        <v>1299.1679999999999</v>
      </c>
      <c r="IN7" s="7">
        <v>11.567</v>
      </c>
      <c r="IO7" s="7">
        <v>8.2000000000000003E-2</v>
      </c>
      <c r="IP7" s="7">
        <v>12.92</v>
      </c>
      <c r="IQ7" s="7">
        <v>2.5000000000000001E-2</v>
      </c>
      <c r="IR7" s="7">
        <v>7.4999999999999997E-2</v>
      </c>
    </row>
    <row r="8" spans="2:252" x14ac:dyDescent="0.25">
      <c r="B8" s="2" t="s">
        <v>412</v>
      </c>
      <c r="C8" s="2" t="s">
        <v>42</v>
      </c>
      <c r="D8" s="61">
        <v>2.5464120370370371E-3</v>
      </c>
      <c r="E8" s="49">
        <v>220.05</v>
      </c>
      <c r="F8" s="50">
        <v>332.23</v>
      </c>
      <c r="G8" s="49">
        <v>5.82</v>
      </c>
      <c r="H8" s="49">
        <v>27.4</v>
      </c>
      <c r="I8" s="50">
        <v>0</v>
      </c>
      <c r="J8" s="49">
        <v>11.6</v>
      </c>
      <c r="K8" s="50">
        <v>8</v>
      </c>
      <c r="L8" s="50">
        <v>5</v>
      </c>
      <c r="M8" s="49">
        <v>5</v>
      </c>
      <c r="N8" s="50">
        <v>3</v>
      </c>
      <c r="O8" s="50">
        <v>3</v>
      </c>
      <c r="P8" s="49">
        <v>0.67100000000000004</v>
      </c>
      <c r="Q8" s="50">
        <v>1.1910000000000001</v>
      </c>
      <c r="R8" s="50">
        <v>0.66500000000000004</v>
      </c>
      <c r="S8" s="3"/>
      <c r="T8" s="49">
        <v>72.61</v>
      </c>
      <c r="U8" s="49">
        <v>60.295000000000002</v>
      </c>
      <c r="V8" s="49">
        <v>273.33999999999997</v>
      </c>
      <c r="W8" s="49">
        <v>291.66000000000003</v>
      </c>
      <c r="X8" s="49">
        <v>195</v>
      </c>
      <c r="Y8" s="49">
        <v>228.34</v>
      </c>
      <c r="Z8" s="49">
        <v>436.41</v>
      </c>
      <c r="AA8" s="49">
        <v>453.95</v>
      </c>
      <c r="AB8" s="49">
        <v>360.91</v>
      </c>
      <c r="AC8" s="49">
        <v>428.63</v>
      </c>
      <c r="AD8" s="49">
        <v>1.8759999999999999</v>
      </c>
      <c r="AE8" s="50">
        <v>1.944</v>
      </c>
      <c r="AF8" s="49">
        <v>1.865</v>
      </c>
      <c r="AG8" s="49">
        <v>1.9419999999999999</v>
      </c>
      <c r="AH8" s="49">
        <v>80.78</v>
      </c>
      <c r="AI8" s="49">
        <v>77.069999999999993</v>
      </c>
      <c r="AJ8" s="49">
        <v>105.36</v>
      </c>
      <c r="AK8" s="49">
        <v>100.5</v>
      </c>
      <c r="AL8" s="49">
        <v>649.10799999999995</v>
      </c>
      <c r="AM8" s="49">
        <v>645.976</v>
      </c>
      <c r="AN8" s="49">
        <v>757.55</v>
      </c>
      <c r="AO8" s="49">
        <v>724.42499999999995</v>
      </c>
      <c r="AP8" s="49">
        <v>1.4379999999999999</v>
      </c>
      <c r="AQ8" s="49">
        <v>1.944</v>
      </c>
      <c r="AR8" s="50">
        <v>40.889000000000003</v>
      </c>
      <c r="AS8" s="49">
        <v>34.375999999999998</v>
      </c>
      <c r="AT8" s="50">
        <v>83</v>
      </c>
      <c r="AU8" s="49">
        <v>102</v>
      </c>
      <c r="AV8" s="49">
        <v>3.234</v>
      </c>
      <c r="AW8" s="49">
        <v>5.5739000000000001</v>
      </c>
      <c r="AX8" s="49">
        <v>1017.9</v>
      </c>
      <c r="AY8" s="49">
        <v>1.76</v>
      </c>
      <c r="AZ8" s="49">
        <v>5.75</v>
      </c>
      <c r="BA8" s="49">
        <v>140.916</v>
      </c>
      <c r="BB8" s="49">
        <v>139.61099999999999</v>
      </c>
      <c r="BC8" s="49">
        <v>7706</v>
      </c>
      <c r="BD8" s="49">
        <v>89.5</v>
      </c>
      <c r="BE8" s="49">
        <v>17.190000000000001</v>
      </c>
      <c r="BF8" s="49">
        <v>12.565</v>
      </c>
      <c r="BG8" s="49">
        <v>27.86</v>
      </c>
      <c r="BH8" s="49">
        <v>26.32</v>
      </c>
      <c r="BI8" s="3"/>
      <c r="BJ8" s="3"/>
      <c r="BK8" s="3"/>
      <c r="BL8" s="3"/>
      <c r="BM8" s="3"/>
      <c r="BN8" s="49">
        <v>113.592</v>
      </c>
      <c r="BO8" s="49">
        <v>110.408</v>
      </c>
      <c r="BP8" s="49">
        <v>145.75200000000001</v>
      </c>
      <c r="BQ8" s="49">
        <v>146.34399999999999</v>
      </c>
      <c r="BR8" s="3"/>
      <c r="BS8" s="49">
        <v>26.7</v>
      </c>
      <c r="BT8" s="49">
        <v>7337.8980000000001</v>
      </c>
      <c r="BU8" s="49">
        <v>50.936999999999998</v>
      </c>
      <c r="BV8" s="49">
        <v>54.765999999999998</v>
      </c>
      <c r="BW8" s="49">
        <v>56.207999999999998</v>
      </c>
      <c r="BX8" s="49">
        <v>56.228999999999999</v>
      </c>
      <c r="BY8" s="49">
        <v>1.4179999999999999</v>
      </c>
      <c r="BZ8" s="49">
        <v>3.0409999999999999</v>
      </c>
      <c r="CA8" s="49">
        <v>2.9</v>
      </c>
      <c r="CB8" s="49">
        <v>3.4</v>
      </c>
      <c r="CC8" s="50">
        <v>1.288</v>
      </c>
      <c r="CD8" s="50">
        <v>2.6949999999999998</v>
      </c>
      <c r="CE8" s="49">
        <v>1.385</v>
      </c>
      <c r="CF8" s="49">
        <v>2.2400000000000002</v>
      </c>
      <c r="CG8" s="50">
        <v>13.943</v>
      </c>
      <c r="CH8" s="49">
        <v>13.755000000000001</v>
      </c>
      <c r="CI8" s="49">
        <v>4.8849999999999998</v>
      </c>
      <c r="CJ8" s="49">
        <v>3.3439999999999999</v>
      </c>
      <c r="CK8" s="49">
        <v>1.4430000000000001</v>
      </c>
      <c r="CL8" s="49">
        <v>0</v>
      </c>
      <c r="CM8" s="49">
        <v>0</v>
      </c>
      <c r="CN8" s="49">
        <v>0</v>
      </c>
      <c r="CO8" s="49">
        <v>0</v>
      </c>
      <c r="CP8" s="49">
        <v>96.628</v>
      </c>
      <c r="CQ8" s="49">
        <v>97.539000000000001</v>
      </c>
      <c r="CR8" s="49">
        <v>114.09399999999999</v>
      </c>
      <c r="CS8" s="49">
        <v>115.142</v>
      </c>
      <c r="CT8" s="50">
        <v>0.61599999999999999</v>
      </c>
      <c r="CU8" s="49">
        <v>1.099</v>
      </c>
      <c r="CV8" s="49">
        <v>1.4</v>
      </c>
      <c r="CW8" s="49">
        <v>1.002</v>
      </c>
      <c r="CX8" s="49">
        <v>1.5009999999999999</v>
      </c>
      <c r="CY8" s="49">
        <v>0.70199999999999996</v>
      </c>
      <c r="CZ8" s="50">
        <v>1.9</v>
      </c>
      <c r="DA8" s="50">
        <v>1.0009999999999999</v>
      </c>
      <c r="DB8" s="50">
        <v>1.105</v>
      </c>
      <c r="DC8" s="50">
        <v>0</v>
      </c>
      <c r="DD8" s="50">
        <v>0</v>
      </c>
      <c r="DE8" s="50">
        <v>0.24</v>
      </c>
      <c r="DF8" s="49">
        <v>5.8000000000000003E-2</v>
      </c>
      <c r="DG8" s="49">
        <v>0.375</v>
      </c>
      <c r="DH8" s="50">
        <v>2.077</v>
      </c>
      <c r="DI8" s="50">
        <v>1.0880000000000001</v>
      </c>
      <c r="DJ8" s="49">
        <v>0.11700000000000001</v>
      </c>
      <c r="DK8" s="49">
        <v>0.79300000000000004</v>
      </c>
      <c r="DL8" s="49">
        <v>0.41099999999999998</v>
      </c>
      <c r="DM8" s="49">
        <v>0.46400000000000002</v>
      </c>
      <c r="DN8" s="49">
        <v>0.432</v>
      </c>
      <c r="DO8" s="49">
        <v>0.35099999999999998</v>
      </c>
      <c r="DP8" s="50">
        <v>63.445</v>
      </c>
      <c r="DQ8" s="49">
        <v>60.402999999999999</v>
      </c>
      <c r="DR8" s="49">
        <v>52.779000000000003</v>
      </c>
      <c r="DS8" s="49">
        <v>51.923999999999999</v>
      </c>
      <c r="DT8" s="49">
        <v>5.54</v>
      </c>
      <c r="DU8" s="49">
        <v>5.12</v>
      </c>
      <c r="DV8" s="49">
        <v>11.67</v>
      </c>
      <c r="DW8" s="49">
        <v>10.11</v>
      </c>
      <c r="DX8" s="49">
        <v>5.8</v>
      </c>
      <c r="DY8" s="49">
        <v>5.0999999999999996</v>
      </c>
      <c r="DZ8" s="49">
        <v>11.1</v>
      </c>
      <c r="EA8" s="49">
        <v>9.86</v>
      </c>
      <c r="EB8" s="50">
        <v>43.05</v>
      </c>
      <c r="EC8" s="49">
        <v>42.9</v>
      </c>
      <c r="ED8" s="49">
        <v>34.18</v>
      </c>
      <c r="EE8" s="49">
        <v>36.409999999999997</v>
      </c>
      <c r="EF8" s="49">
        <v>45.61</v>
      </c>
      <c r="EG8" s="50">
        <v>46.87</v>
      </c>
      <c r="EH8" s="49">
        <v>43.05</v>
      </c>
      <c r="EI8" s="49">
        <v>43.61</v>
      </c>
      <c r="EJ8" s="49">
        <v>4.1360000000000001</v>
      </c>
      <c r="EK8" s="49">
        <v>58.734000000000002</v>
      </c>
      <c r="EL8" s="49">
        <v>1.6</v>
      </c>
      <c r="EM8" s="49">
        <v>1.2</v>
      </c>
      <c r="EN8" s="50">
        <v>1.23</v>
      </c>
      <c r="EO8" s="50">
        <v>1.23</v>
      </c>
      <c r="EP8" s="50">
        <v>-125.494</v>
      </c>
      <c r="EQ8" s="49">
        <v>-2.6019999999999999</v>
      </c>
      <c r="ER8" s="49">
        <v>81.825999999999993</v>
      </c>
      <c r="ES8" s="50">
        <v>1.583</v>
      </c>
      <c r="ET8" s="49">
        <v>1.647</v>
      </c>
      <c r="EU8" s="50">
        <v>1.5720000000000001</v>
      </c>
      <c r="EV8" s="49">
        <v>7.5270000000000001</v>
      </c>
      <c r="EW8" s="49">
        <v>0.70399999999999996</v>
      </c>
      <c r="EX8" s="49">
        <v>74.239999999999995</v>
      </c>
      <c r="EY8" s="49">
        <v>4.1000000000000002E-2</v>
      </c>
      <c r="EZ8" s="50">
        <v>0.27200000000000002</v>
      </c>
      <c r="FA8" s="50">
        <v>0</v>
      </c>
      <c r="FB8" s="49">
        <v>9.1120000000000001</v>
      </c>
      <c r="FC8" s="49">
        <v>75.572999999999993</v>
      </c>
      <c r="FD8" s="50">
        <v>72.694999999999993</v>
      </c>
      <c r="FE8" s="49">
        <v>80.703999999999994</v>
      </c>
      <c r="FF8" s="49">
        <v>77.906999999999996</v>
      </c>
      <c r="FG8" s="49">
        <v>0.94699999999999995</v>
      </c>
      <c r="FH8" s="49">
        <v>0.94699999999999995</v>
      </c>
      <c r="FI8" s="49">
        <v>0.98499999999999999</v>
      </c>
      <c r="FJ8" s="49">
        <v>0.98799999999999999</v>
      </c>
      <c r="FK8" s="49">
        <v>0</v>
      </c>
      <c r="FL8" s="50">
        <v>83</v>
      </c>
      <c r="FM8" s="49">
        <v>2.87</v>
      </c>
      <c r="FN8" s="49">
        <v>-0.83</v>
      </c>
      <c r="FO8" s="49">
        <v>5.56</v>
      </c>
      <c r="FP8" s="3"/>
      <c r="FQ8" s="49">
        <v>4.9000000000000004</v>
      </c>
      <c r="FR8" s="49">
        <v>5.05</v>
      </c>
      <c r="FS8" s="49">
        <v>6.9249999999999998</v>
      </c>
      <c r="FT8" s="50">
        <v>1074.2</v>
      </c>
      <c r="FU8" s="49">
        <v>8.1</v>
      </c>
      <c r="FV8" s="49">
        <v>11.11</v>
      </c>
      <c r="FW8" s="49">
        <v>3224.5</v>
      </c>
      <c r="FX8" s="49">
        <v>163100</v>
      </c>
      <c r="FY8" s="49">
        <v>166000</v>
      </c>
      <c r="FZ8" s="49">
        <v>47.648000000000003</v>
      </c>
      <c r="GA8" s="49">
        <v>47.018000000000001</v>
      </c>
      <c r="GB8" s="49">
        <v>2246.6999999999998</v>
      </c>
      <c r="GC8" s="49">
        <v>2269.6999999999998</v>
      </c>
      <c r="GD8" s="49">
        <v>2298</v>
      </c>
      <c r="GE8" s="49">
        <v>2350.9</v>
      </c>
      <c r="GF8" s="49">
        <v>1293.5469000000001</v>
      </c>
      <c r="GG8" s="49">
        <v>23</v>
      </c>
      <c r="GH8" s="49">
        <v>23.5</v>
      </c>
      <c r="GI8" s="49">
        <v>49.2</v>
      </c>
      <c r="GJ8" s="49">
        <v>53.6</v>
      </c>
      <c r="GK8" s="49">
        <v>99.5</v>
      </c>
      <c r="GL8" s="49">
        <v>89.2</v>
      </c>
      <c r="GM8" s="50">
        <v>0</v>
      </c>
      <c r="GN8" s="50">
        <v>27.149000000000001</v>
      </c>
      <c r="GO8" s="50">
        <v>125.494</v>
      </c>
      <c r="GP8" s="49">
        <v>1.2390000000000001</v>
      </c>
      <c r="GQ8" s="49">
        <v>1.9470000000000001</v>
      </c>
      <c r="GR8" s="49">
        <v>1.298</v>
      </c>
      <c r="GS8" s="49">
        <v>2.0059999999999998</v>
      </c>
      <c r="GT8" s="49">
        <v>1.2390000000000001</v>
      </c>
      <c r="GU8" s="49">
        <v>1.829</v>
      </c>
      <c r="GV8" s="49">
        <v>12.74</v>
      </c>
      <c r="GW8" s="50">
        <v>14.051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50">
        <v>24.309000000000001</v>
      </c>
      <c r="HD8" s="49">
        <v>82</v>
      </c>
      <c r="HE8" s="7">
        <v>0</v>
      </c>
      <c r="HF8" s="7">
        <v>0</v>
      </c>
      <c r="HG8" s="7">
        <v>72.47</v>
      </c>
      <c r="HH8" s="7">
        <v>80.260000000000005</v>
      </c>
      <c r="HI8" s="7">
        <v>0</v>
      </c>
      <c r="HJ8" s="7">
        <v>0</v>
      </c>
      <c r="HK8" s="7">
        <v>0</v>
      </c>
      <c r="HL8" s="7">
        <v>55</v>
      </c>
      <c r="HM8" s="7">
        <v>49</v>
      </c>
      <c r="HN8" s="7">
        <v>56</v>
      </c>
      <c r="HO8" s="7">
        <v>50</v>
      </c>
      <c r="HP8" s="7">
        <v>53</v>
      </c>
      <c r="HQ8" s="7">
        <v>51</v>
      </c>
      <c r="HR8" s="7">
        <v>44</v>
      </c>
      <c r="HS8" s="7">
        <v>70</v>
      </c>
      <c r="HT8" s="7">
        <v>-1.21</v>
      </c>
      <c r="HU8" s="7">
        <v>0</v>
      </c>
      <c r="HV8" s="7">
        <v>1E-3</v>
      </c>
      <c r="HW8" s="7">
        <v>39.18</v>
      </c>
      <c r="HX8" s="7">
        <v>37.36</v>
      </c>
      <c r="HY8" s="3"/>
      <c r="HZ8" s="3"/>
      <c r="IA8" s="7">
        <v>2.758</v>
      </c>
      <c r="IB8" s="7">
        <v>103</v>
      </c>
      <c r="IC8" s="7">
        <v>22.102</v>
      </c>
      <c r="ID8" s="7">
        <v>-0.19700000000000001</v>
      </c>
      <c r="IE8" s="7">
        <v>-7.2999999999999995E-2</v>
      </c>
      <c r="IF8" s="7">
        <v>816.7</v>
      </c>
      <c r="IG8" s="7">
        <v>769</v>
      </c>
      <c r="IH8" s="7">
        <v>829</v>
      </c>
      <c r="II8" s="7">
        <v>780.3</v>
      </c>
      <c r="IJ8" s="7">
        <v>-7.3999999999999996E-2</v>
      </c>
      <c r="IK8" s="7">
        <v>-0.122</v>
      </c>
      <c r="IL8" s="7">
        <v>74.271000000000001</v>
      </c>
      <c r="IM8" s="7">
        <v>74.271000000000001</v>
      </c>
      <c r="IN8" s="7">
        <v>11.332000000000001</v>
      </c>
      <c r="IO8" s="7">
        <v>0.41699999999999998</v>
      </c>
      <c r="IP8" s="7">
        <v>11.07</v>
      </c>
      <c r="IQ8" s="7">
        <v>-1E-3</v>
      </c>
      <c r="IR8" s="7">
        <v>1.2E-2</v>
      </c>
    </row>
    <row r="9" spans="2:252" x14ac:dyDescent="0.25">
      <c r="B9" s="2" t="s">
        <v>412</v>
      </c>
      <c r="C9" s="62" t="s">
        <v>43</v>
      </c>
      <c r="D9" s="63">
        <v>2.457638888888889E-3</v>
      </c>
      <c r="E9" s="49">
        <v>212.38</v>
      </c>
      <c r="F9" s="49">
        <v>330.06</v>
      </c>
      <c r="G9" s="50">
        <v>5.96</v>
      </c>
      <c r="H9" s="49">
        <v>28.1</v>
      </c>
      <c r="I9" s="50">
        <v>0</v>
      </c>
      <c r="J9" s="49">
        <v>9.9</v>
      </c>
      <c r="K9" s="50">
        <v>8</v>
      </c>
      <c r="L9" s="50">
        <v>5</v>
      </c>
      <c r="M9" s="49">
        <v>5</v>
      </c>
      <c r="N9" s="50">
        <v>3</v>
      </c>
      <c r="O9" s="50">
        <v>3</v>
      </c>
      <c r="P9" s="49">
        <v>0.41699999999999998</v>
      </c>
      <c r="Q9" s="49">
        <v>1.0069999999999999</v>
      </c>
      <c r="R9" s="49">
        <v>0.35</v>
      </c>
      <c r="S9" s="49">
        <v>0.29099999999999998</v>
      </c>
      <c r="T9" s="49">
        <v>82.45</v>
      </c>
      <c r="U9" s="49">
        <v>60.222000000000001</v>
      </c>
      <c r="V9" s="49">
        <v>300</v>
      </c>
      <c r="W9" s="49">
        <v>316</v>
      </c>
      <c r="X9" s="49">
        <v>245</v>
      </c>
      <c r="Y9" s="49">
        <v>309</v>
      </c>
      <c r="Z9" s="50">
        <v>440.72</v>
      </c>
      <c r="AA9" s="50">
        <v>462.41</v>
      </c>
      <c r="AB9" s="50">
        <v>386.89</v>
      </c>
      <c r="AC9" s="50">
        <v>466.86</v>
      </c>
      <c r="AD9" s="49">
        <v>1.8740000000000001</v>
      </c>
      <c r="AE9" s="49">
        <v>1.9279999999999999</v>
      </c>
      <c r="AF9" s="49">
        <v>1.919</v>
      </c>
      <c r="AG9" s="49">
        <v>1.994</v>
      </c>
      <c r="AH9" s="49">
        <v>80.92</v>
      </c>
      <c r="AI9" s="49">
        <v>76.02</v>
      </c>
      <c r="AJ9" s="49">
        <v>112.94</v>
      </c>
      <c r="AK9" s="49">
        <v>107.31</v>
      </c>
      <c r="AL9" s="50">
        <v>694.78300000000002</v>
      </c>
      <c r="AM9" s="50">
        <v>697.58299999999997</v>
      </c>
      <c r="AN9" s="49">
        <v>834.03800000000001</v>
      </c>
      <c r="AO9" s="50">
        <v>818.44899999999996</v>
      </c>
      <c r="AP9" s="49">
        <v>1.425</v>
      </c>
      <c r="AQ9" s="49">
        <v>1.887</v>
      </c>
      <c r="AR9" s="49">
        <v>40.021000000000001</v>
      </c>
      <c r="AS9" s="49">
        <v>32.792999999999999</v>
      </c>
      <c r="AT9" s="50">
        <v>83</v>
      </c>
      <c r="AU9" s="49">
        <v>112</v>
      </c>
      <c r="AV9" s="49">
        <v>2.641</v>
      </c>
      <c r="AW9" s="49">
        <v>5.5320999999999998</v>
      </c>
      <c r="AX9" s="49">
        <v>1018.1</v>
      </c>
      <c r="AY9" s="49">
        <v>1.85</v>
      </c>
      <c r="AZ9" s="49">
        <v>5.37</v>
      </c>
      <c r="BA9" s="49">
        <v>108.381</v>
      </c>
      <c r="BB9" s="49">
        <v>107.996</v>
      </c>
      <c r="BC9" s="49">
        <v>7671</v>
      </c>
      <c r="BD9" s="50">
        <v>89.75</v>
      </c>
      <c r="BE9" s="50">
        <v>17.43</v>
      </c>
      <c r="BF9" s="49">
        <v>13.835000000000001</v>
      </c>
      <c r="BG9" s="49">
        <v>28.99</v>
      </c>
      <c r="BH9" s="49">
        <v>26.62</v>
      </c>
      <c r="BI9" s="3"/>
      <c r="BJ9" s="3"/>
      <c r="BK9" s="3"/>
      <c r="BL9" s="3"/>
      <c r="BM9" s="3"/>
      <c r="BN9" s="49">
        <v>115.64</v>
      </c>
      <c r="BO9" s="49">
        <v>114.232</v>
      </c>
      <c r="BP9" s="49">
        <v>151.94399999999999</v>
      </c>
      <c r="BQ9" s="49">
        <v>157.048</v>
      </c>
      <c r="BR9" s="3"/>
      <c r="BS9" s="49">
        <v>27.6</v>
      </c>
      <c r="BT9" s="49">
        <v>7390.33</v>
      </c>
      <c r="BU9" s="49">
        <v>51.197000000000003</v>
      </c>
      <c r="BV9" s="49">
        <v>53.688000000000002</v>
      </c>
      <c r="BW9" s="49">
        <v>56.600999999999999</v>
      </c>
      <c r="BX9" s="50">
        <v>57.865000000000002</v>
      </c>
      <c r="BY9" s="50">
        <v>1.5680000000000001</v>
      </c>
      <c r="BZ9" s="49">
        <v>2.9609999999999999</v>
      </c>
      <c r="CA9" s="49">
        <v>3.4049999999999998</v>
      </c>
      <c r="CB9" s="50">
        <v>4.1769999999999996</v>
      </c>
      <c r="CC9" s="49">
        <v>1.282</v>
      </c>
      <c r="CD9" s="49">
        <v>2.5059999999999998</v>
      </c>
      <c r="CE9" s="49">
        <v>1.3879999999999999</v>
      </c>
      <c r="CF9" s="49">
        <v>2.206</v>
      </c>
      <c r="CG9" s="49">
        <v>13.939</v>
      </c>
      <c r="CH9" s="49">
        <v>13.785</v>
      </c>
      <c r="CI9" s="49">
        <v>5.5789999999999997</v>
      </c>
      <c r="CJ9" s="49">
        <v>2.9060000000000001</v>
      </c>
      <c r="CK9" s="50">
        <v>1.718</v>
      </c>
      <c r="CL9" s="50">
        <v>0.1</v>
      </c>
      <c r="CM9" s="49">
        <v>0</v>
      </c>
      <c r="CN9" s="49">
        <v>0</v>
      </c>
      <c r="CO9" s="49">
        <v>0</v>
      </c>
      <c r="CP9" s="50">
        <v>107.658</v>
      </c>
      <c r="CQ9" s="50">
        <v>107.807</v>
      </c>
      <c r="CR9" s="49">
        <v>145.364</v>
      </c>
      <c r="CS9" s="49">
        <v>150.673</v>
      </c>
      <c r="CT9" s="49">
        <v>0.27800000000000002</v>
      </c>
      <c r="CU9" s="49">
        <v>0.499</v>
      </c>
      <c r="CV9" s="50">
        <v>1.6990000000000001</v>
      </c>
      <c r="CW9" s="50">
        <v>1.7969999999999999</v>
      </c>
      <c r="CX9" s="49">
        <v>0.998</v>
      </c>
      <c r="CY9" s="49">
        <v>0.5</v>
      </c>
      <c r="CZ9" s="49">
        <v>1.2969999999999999</v>
      </c>
      <c r="DA9" s="49">
        <v>0.5</v>
      </c>
      <c r="DB9" s="49">
        <v>1.1020000000000001</v>
      </c>
      <c r="DC9" s="50">
        <v>0</v>
      </c>
      <c r="DD9" s="50">
        <v>0</v>
      </c>
      <c r="DE9" s="49">
        <v>0.18099999999999999</v>
      </c>
      <c r="DF9" s="49">
        <v>6.8000000000000005E-2</v>
      </c>
      <c r="DG9" s="50">
        <v>0.433</v>
      </c>
      <c r="DH9" s="49">
        <v>1.8819999999999999</v>
      </c>
      <c r="DI9" s="49">
        <v>0.91200000000000003</v>
      </c>
      <c r="DJ9" s="49">
        <v>6.4000000000000001E-2</v>
      </c>
      <c r="DK9" s="49">
        <v>0.72</v>
      </c>
      <c r="DL9" s="49">
        <v>0.41299999999999998</v>
      </c>
      <c r="DM9" s="49">
        <v>0.436</v>
      </c>
      <c r="DN9" s="49">
        <v>0.29899999999999999</v>
      </c>
      <c r="DO9" s="49">
        <v>0.31</v>
      </c>
      <c r="DP9" s="49">
        <v>61.99</v>
      </c>
      <c r="DQ9" s="49">
        <v>58.801000000000002</v>
      </c>
      <c r="DR9" s="50">
        <v>53.167000000000002</v>
      </c>
      <c r="DS9" s="49">
        <v>52.003999999999998</v>
      </c>
      <c r="DT9" s="50">
        <v>6.17</v>
      </c>
      <c r="DU9" s="50">
        <v>6.32</v>
      </c>
      <c r="DV9" s="50">
        <v>14.12</v>
      </c>
      <c r="DW9" s="50">
        <v>12.05</v>
      </c>
      <c r="DX9" s="50">
        <v>6.37</v>
      </c>
      <c r="DY9" s="50">
        <v>6.49</v>
      </c>
      <c r="DZ9" s="50">
        <v>13.37</v>
      </c>
      <c r="EA9" s="50">
        <v>11.99</v>
      </c>
      <c r="EB9" s="49">
        <v>42.51</v>
      </c>
      <c r="EC9" s="49">
        <v>41.71</v>
      </c>
      <c r="ED9" s="49">
        <v>31.98</v>
      </c>
      <c r="EE9" s="49">
        <v>34.33</v>
      </c>
      <c r="EF9" s="49">
        <v>44.95</v>
      </c>
      <c r="EG9" s="49">
        <v>45.48</v>
      </c>
      <c r="EH9" s="49">
        <v>40.53</v>
      </c>
      <c r="EI9" s="49">
        <v>41.64</v>
      </c>
      <c r="EJ9" s="49">
        <v>5.4169999999999998</v>
      </c>
      <c r="EK9" s="50">
        <v>59.246000000000002</v>
      </c>
      <c r="EL9" s="49">
        <v>1.55</v>
      </c>
      <c r="EM9" s="49">
        <v>1.2</v>
      </c>
      <c r="EN9" s="49">
        <v>1.2</v>
      </c>
      <c r="EO9" s="49">
        <v>1.2</v>
      </c>
      <c r="EP9" s="49">
        <v>-119.946</v>
      </c>
      <c r="EQ9" s="49">
        <v>-2.468</v>
      </c>
      <c r="ER9" s="50">
        <v>104.018</v>
      </c>
      <c r="ES9" s="49">
        <v>1.577</v>
      </c>
      <c r="ET9" s="50">
        <v>1.6539999999999999</v>
      </c>
      <c r="EU9" s="49">
        <v>1.526</v>
      </c>
      <c r="EV9" s="50">
        <v>7.766</v>
      </c>
      <c r="EW9" s="50">
        <v>0.88800000000000001</v>
      </c>
      <c r="EX9" s="50">
        <v>76.599999999999994</v>
      </c>
      <c r="EY9" s="49">
        <v>0</v>
      </c>
      <c r="EZ9" s="49">
        <v>0</v>
      </c>
      <c r="FA9" s="50">
        <v>0</v>
      </c>
      <c r="FB9" s="49">
        <v>9.1669999999999998</v>
      </c>
      <c r="FC9" s="49">
        <v>75.923000000000002</v>
      </c>
      <c r="FD9" s="49">
        <v>71.120999999999995</v>
      </c>
      <c r="FE9" s="49">
        <v>87.394000000000005</v>
      </c>
      <c r="FF9" s="49">
        <v>84.478999999999999</v>
      </c>
      <c r="FG9" s="49">
        <v>0.94399999999999995</v>
      </c>
      <c r="FH9" s="49">
        <v>0.94399999999999995</v>
      </c>
      <c r="FI9" s="49">
        <v>0.98299999999999998</v>
      </c>
      <c r="FJ9" s="49">
        <v>0.98699999999999999</v>
      </c>
      <c r="FK9" s="49">
        <v>0</v>
      </c>
      <c r="FL9" s="50">
        <v>83</v>
      </c>
      <c r="FM9" s="49">
        <v>3.07</v>
      </c>
      <c r="FN9" s="49">
        <v>-0.82</v>
      </c>
      <c r="FO9" s="49">
        <v>5.41</v>
      </c>
      <c r="FP9" s="3"/>
      <c r="FQ9" s="49">
        <v>4.95</v>
      </c>
      <c r="FR9" s="49">
        <v>5.05</v>
      </c>
      <c r="FS9" s="49">
        <v>6.84</v>
      </c>
      <c r="FT9" s="49">
        <v>1070.8</v>
      </c>
      <c r="FU9" s="50">
        <v>8.49</v>
      </c>
      <c r="FV9" s="49">
        <v>17.079999999999998</v>
      </c>
      <c r="FW9" s="49">
        <v>3373.5</v>
      </c>
      <c r="FX9" s="49">
        <v>165400</v>
      </c>
      <c r="FY9" s="49">
        <v>167300</v>
      </c>
      <c r="FZ9" s="49">
        <v>47.47</v>
      </c>
      <c r="GA9" s="49">
        <v>46.723999999999997</v>
      </c>
      <c r="GB9" s="50">
        <v>2280.6999999999998</v>
      </c>
      <c r="GC9" s="50">
        <v>2280.3000000000002</v>
      </c>
      <c r="GD9" s="49">
        <v>2372.1999999999998</v>
      </c>
      <c r="GE9" s="49">
        <v>2280.3000000000002</v>
      </c>
      <c r="GF9" s="50">
        <v>1731.5625</v>
      </c>
      <c r="GG9" s="49">
        <v>24</v>
      </c>
      <c r="GH9" s="49">
        <v>24.2</v>
      </c>
      <c r="GI9" s="49">
        <v>47</v>
      </c>
      <c r="GJ9" s="49">
        <v>51.4</v>
      </c>
      <c r="GK9" s="49">
        <v>99.5</v>
      </c>
      <c r="GL9" s="50">
        <v>92.1</v>
      </c>
      <c r="GM9" s="50">
        <v>0</v>
      </c>
      <c r="GN9" s="49">
        <v>25.48</v>
      </c>
      <c r="GO9" s="49">
        <v>119.946</v>
      </c>
      <c r="GP9" s="49">
        <v>1.0620000000000001</v>
      </c>
      <c r="GQ9" s="49">
        <v>1.8879999999999999</v>
      </c>
      <c r="GR9" s="49">
        <v>1.298</v>
      </c>
      <c r="GS9" s="49">
        <v>2.0059999999999998</v>
      </c>
      <c r="GT9" s="49">
        <v>1.0029999999999999</v>
      </c>
      <c r="GU9" s="49">
        <v>1.829</v>
      </c>
      <c r="GV9" s="49">
        <v>12.74</v>
      </c>
      <c r="GW9" s="49">
        <v>14.023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23.974</v>
      </c>
      <c r="HD9" s="49">
        <v>82</v>
      </c>
      <c r="HE9" s="7">
        <v>0</v>
      </c>
      <c r="HF9" s="7">
        <v>0</v>
      </c>
      <c r="HG9" s="7">
        <v>74.959999999999994</v>
      </c>
      <c r="HH9" s="7">
        <v>80.489999999999995</v>
      </c>
      <c r="HI9" s="7">
        <v>0</v>
      </c>
      <c r="HJ9" s="7">
        <v>0</v>
      </c>
      <c r="HK9" s="7">
        <v>0</v>
      </c>
      <c r="HL9" s="7">
        <v>57</v>
      </c>
      <c r="HM9" s="7">
        <v>50</v>
      </c>
      <c r="HN9" s="7">
        <v>58</v>
      </c>
      <c r="HO9" s="7">
        <v>53</v>
      </c>
      <c r="HP9" s="7">
        <v>56</v>
      </c>
      <c r="HQ9" s="7">
        <v>54</v>
      </c>
      <c r="HR9" s="7">
        <v>45</v>
      </c>
      <c r="HS9" s="7">
        <v>62</v>
      </c>
      <c r="HT9" s="7">
        <v>-1.22</v>
      </c>
      <c r="HU9" s="7">
        <v>0</v>
      </c>
      <c r="HV9" s="7">
        <v>0.27300000000000002</v>
      </c>
      <c r="HW9" s="7">
        <v>35.229999999999997</v>
      </c>
      <c r="HX9" s="7">
        <v>37.36</v>
      </c>
      <c r="HY9" s="7">
        <v>50.69</v>
      </c>
      <c r="HZ9" s="7">
        <v>63.75</v>
      </c>
      <c r="IA9" s="7">
        <v>2.9319999999999999</v>
      </c>
      <c r="IB9" s="7">
        <v>104</v>
      </c>
      <c r="IC9" s="7">
        <v>22.658999999999999</v>
      </c>
      <c r="ID9" s="7">
        <v>-0.24299999999999999</v>
      </c>
      <c r="IE9" s="7">
        <v>-7.9000000000000001E-2</v>
      </c>
      <c r="IF9" s="7">
        <v>823.2</v>
      </c>
      <c r="IG9" s="7">
        <v>775.6</v>
      </c>
      <c r="IH9" s="7">
        <v>833.5</v>
      </c>
      <c r="II9" s="7">
        <v>787.7</v>
      </c>
      <c r="IJ9" s="7">
        <v>-8.5000000000000006E-2</v>
      </c>
      <c r="IK9" s="7">
        <v>-0.16500000000000001</v>
      </c>
      <c r="IL9" s="7">
        <v>67.009</v>
      </c>
      <c r="IM9" s="7">
        <v>67.009</v>
      </c>
      <c r="IN9" s="7">
        <v>12.127000000000001</v>
      </c>
      <c r="IO9" s="7">
        <v>0.47499999999999998</v>
      </c>
      <c r="IP9" s="7">
        <v>10.5</v>
      </c>
      <c r="IQ9" s="7">
        <v>8.9999999999999993E-3</v>
      </c>
      <c r="IR9" s="7">
        <v>1.0999999999999999E-2</v>
      </c>
    </row>
    <row r="10" spans="2:252" x14ac:dyDescent="0.25">
      <c r="B10" s="2" t="s">
        <v>412</v>
      </c>
      <c r="C10" s="2" t="s">
        <v>44</v>
      </c>
      <c r="D10" s="61">
        <v>2.7488425925925927E-3</v>
      </c>
      <c r="E10" s="49">
        <v>237.499</v>
      </c>
      <c r="F10" s="49">
        <v>330.52</v>
      </c>
      <c r="G10" s="49">
        <v>5.88</v>
      </c>
      <c r="H10" s="50">
        <v>28.6</v>
      </c>
      <c r="I10" s="50">
        <v>0</v>
      </c>
      <c r="J10" s="49">
        <v>11.4</v>
      </c>
      <c r="K10" s="50">
        <v>8</v>
      </c>
      <c r="L10" s="50">
        <v>5</v>
      </c>
      <c r="M10" s="50">
        <v>6</v>
      </c>
      <c r="N10" s="50">
        <v>3</v>
      </c>
      <c r="O10" s="50">
        <v>3</v>
      </c>
      <c r="P10" s="49">
        <v>0.434</v>
      </c>
      <c r="Q10" s="49">
        <v>1.004</v>
      </c>
      <c r="R10" s="49">
        <v>0.39200000000000002</v>
      </c>
      <c r="S10" s="49">
        <v>0.36799999999999999</v>
      </c>
      <c r="T10" s="50">
        <v>84.31</v>
      </c>
      <c r="U10" s="49">
        <v>60.162999999999997</v>
      </c>
      <c r="V10" s="49">
        <v>281.66000000000003</v>
      </c>
      <c r="W10" s="49">
        <v>312</v>
      </c>
      <c r="X10" s="49">
        <v>246.66</v>
      </c>
      <c r="Y10" s="49">
        <v>314</v>
      </c>
      <c r="Z10" s="49">
        <v>425.87</v>
      </c>
      <c r="AA10" s="49">
        <v>452.78</v>
      </c>
      <c r="AB10" s="49">
        <v>378.83</v>
      </c>
      <c r="AC10" s="49">
        <v>452.27</v>
      </c>
      <c r="AD10" s="50">
        <v>1.887</v>
      </c>
      <c r="AE10" s="49">
        <v>1.9379999999999999</v>
      </c>
      <c r="AF10" s="50">
        <v>1.972</v>
      </c>
      <c r="AG10" s="50">
        <v>2.048</v>
      </c>
      <c r="AH10" s="50">
        <v>83.56</v>
      </c>
      <c r="AI10" s="50">
        <v>79.23</v>
      </c>
      <c r="AJ10" s="50">
        <v>119.68</v>
      </c>
      <c r="AK10" s="50">
        <v>114.42</v>
      </c>
      <c r="AL10" s="49">
        <v>665.70699999999999</v>
      </c>
      <c r="AM10" s="49">
        <v>694.85599999999999</v>
      </c>
      <c r="AN10" s="50">
        <v>864.45500000000004</v>
      </c>
      <c r="AO10" s="49">
        <v>808.93700000000001</v>
      </c>
      <c r="AP10" s="49">
        <v>1.411</v>
      </c>
      <c r="AQ10" s="49">
        <v>1.871</v>
      </c>
      <c r="AR10" s="49">
        <v>40.088000000000001</v>
      </c>
      <c r="AS10" s="50">
        <v>34.942999999999998</v>
      </c>
      <c r="AT10" s="50">
        <v>83</v>
      </c>
      <c r="AU10" s="50">
        <v>117</v>
      </c>
      <c r="AV10" s="50">
        <v>2.4464999999999999</v>
      </c>
      <c r="AW10" s="49">
        <v>5.4074999999999998</v>
      </c>
      <c r="AX10" s="49">
        <v>1018.6</v>
      </c>
      <c r="AY10" s="50">
        <v>1.87</v>
      </c>
      <c r="AZ10" s="49">
        <v>5.78</v>
      </c>
      <c r="BA10" s="50">
        <v>69.2</v>
      </c>
      <c r="BB10" s="50">
        <v>69.400000000000006</v>
      </c>
      <c r="BC10" s="50">
        <v>7819</v>
      </c>
      <c r="BD10" s="49">
        <v>89</v>
      </c>
      <c r="BE10" s="49">
        <v>17.239999999999998</v>
      </c>
      <c r="BF10" s="50">
        <v>14.17</v>
      </c>
      <c r="BG10" s="50">
        <v>29.03</v>
      </c>
      <c r="BH10" s="50">
        <v>26.95</v>
      </c>
      <c r="BI10" s="49">
        <v>63.195</v>
      </c>
      <c r="BJ10" s="49">
        <v>70.73</v>
      </c>
      <c r="BK10" s="49">
        <v>62.398000000000003</v>
      </c>
      <c r="BL10" s="49">
        <v>59.728000000000002</v>
      </c>
      <c r="BM10" s="49">
        <v>79.322999999999993</v>
      </c>
      <c r="BN10" s="50">
        <v>120.328</v>
      </c>
      <c r="BO10" s="50">
        <v>120.968</v>
      </c>
      <c r="BP10" s="50">
        <v>165.06399999999999</v>
      </c>
      <c r="BQ10" s="50">
        <v>166.15199999999999</v>
      </c>
      <c r="BR10" s="50">
        <v>61.127000000000002</v>
      </c>
      <c r="BS10" s="50">
        <v>28.3</v>
      </c>
      <c r="BT10" s="50">
        <v>7413.4269999999997</v>
      </c>
      <c r="BU10" s="49">
        <v>49.082999999999998</v>
      </c>
      <c r="BV10" s="49">
        <v>54.906999999999996</v>
      </c>
      <c r="BW10" s="49">
        <v>56.008000000000003</v>
      </c>
      <c r="BX10" s="49">
        <v>57.802</v>
      </c>
      <c r="BY10" s="49">
        <v>1.37</v>
      </c>
      <c r="BZ10" s="50">
        <v>3.3650000000000002</v>
      </c>
      <c r="CA10" s="50">
        <v>3.415</v>
      </c>
      <c r="CB10" s="49">
        <v>3.5840000000000001</v>
      </c>
      <c r="CC10" s="49">
        <v>1.268</v>
      </c>
      <c r="CD10" s="49">
        <v>2.4729999999999999</v>
      </c>
      <c r="CE10" s="49">
        <v>1.3640000000000001</v>
      </c>
      <c r="CF10" s="49">
        <v>2.1320000000000001</v>
      </c>
      <c r="CG10" s="49">
        <v>13.942</v>
      </c>
      <c r="CH10" s="49">
        <v>13.632</v>
      </c>
      <c r="CI10" s="3"/>
      <c r="CJ10" s="3"/>
      <c r="CK10" s="3"/>
      <c r="CL10" s="50">
        <v>0.1</v>
      </c>
      <c r="CM10" s="50">
        <v>0.2</v>
      </c>
      <c r="CN10" s="50">
        <v>0.2</v>
      </c>
      <c r="CO10" s="50">
        <v>0.3</v>
      </c>
      <c r="CP10" s="49">
        <v>105.88</v>
      </c>
      <c r="CQ10" s="49">
        <v>106.947</v>
      </c>
      <c r="CR10" s="50">
        <v>150.36099999999999</v>
      </c>
      <c r="CS10" s="50">
        <v>156.30699999999999</v>
      </c>
      <c r="CT10" s="49">
        <v>0.23200000000000001</v>
      </c>
      <c r="CU10" s="50">
        <v>1.1000000000000001</v>
      </c>
      <c r="CV10" s="49">
        <v>1.5980000000000001</v>
      </c>
      <c r="CW10" s="49">
        <v>0.79700000000000004</v>
      </c>
      <c r="CX10" s="50">
        <v>1.5029999999999999</v>
      </c>
      <c r="CY10" s="49">
        <v>0.59799999999999998</v>
      </c>
      <c r="CZ10" s="49">
        <v>0.89800000000000002</v>
      </c>
      <c r="DA10" s="50">
        <v>1.0009999999999999</v>
      </c>
      <c r="DB10" s="49">
        <v>1.1000000000000001</v>
      </c>
      <c r="DC10" s="50">
        <v>0</v>
      </c>
      <c r="DD10" s="50">
        <v>0</v>
      </c>
      <c r="DE10" s="49">
        <v>0.14199999999999999</v>
      </c>
      <c r="DF10" s="49">
        <v>6.4000000000000001E-2</v>
      </c>
      <c r="DG10" s="49">
        <v>0.218</v>
      </c>
      <c r="DH10" s="49">
        <v>1.9259999999999999</v>
      </c>
      <c r="DI10" s="49">
        <v>0.80500000000000005</v>
      </c>
      <c r="DJ10" s="49">
        <v>-6.6000000000000003E-2</v>
      </c>
      <c r="DK10" s="49">
        <v>0.51700000000000002</v>
      </c>
      <c r="DL10" s="49">
        <v>0.41299999999999998</v>
      </c>
      <c r="DM10" s="49">
        <v>0.441</v>
      </c>
      <c r="DN10" s="50">
        <v>0.434</v>
      </c>
      <c r="DO10" s="49">
        <v>0.26700000000000002</v>
      </c>
      <c r="DP10" s="49">
        <v>62.667999999999999</v>
      </c>
      <c r="DQ10" s="50">
        <v>61.203000000000003</v>
      </c>
      <c r="DR10" s="49">
        <v>53.165999999999997</v>
      </c>
      <c r="DS10" s="50">
        <v>52.49</v>
      </c>
      <c r="DT10" s="49">
        <v>5.94</v>
      </c>
      <c r="DU10" s="49">
        <v>5.82</v>
      </c>
      <c r="DV10" s="49">
        <v>12.69</v>
      </c>
      <c r="DW10" s="49">
        <v>11.13</v>
      </c>
      <c r="DX10" s="49">
        <v>6.11</v>
      </c>
      <c r="DY10" s="49">
        <v>6.06</v>
      </c>
      <c r="DZ10" s="49">
        <v>12.2</v>
      </c>
      <c r="EA10" s="49">
        <v>11.12</v>
      </c>
      <c r="EB10" s="49">
        <v>42.24</v>
      </c>
      <c r="EC10" s="49">
        <v>41.7</v>
      </c>
      <c r="ED10" s="49">
        <v>31.91</v>
      </c>
      <c r="EE10" s="49">
        <v>33.85</v>
      </c>
      <c r="EF10" s="49">
        <v>45.72</v>
      </c>
      <c r="EG10" s="49">
        <v>46.42</v>
      </c>
      <c r="EH10" s="50">
        <v>43.2</v>
      </c>
      <c r="EI10" s="50">
        <v>43.89</v>
      </c>
      <c r="EJ10" s="50">
        <v>5.9390000000000001</v>
      </c>
      <c r="EK10" s="49">
        <v>59.073</v>
      </c>
      <c r="EL10" s="50">
        <v>1.75</v>
      </c>
      <c r="EM10" s="49">
        <v>1.25</v>
      </c>
      <c r="EN10" s="49">
        <v>1.2</v>
      </c>
      <c r="EO10" s="49">
        <v>1.21</v>
      </c>
      <c r="EP10" s="49">
        <v>-118.486</v>
      </c>
      <c r="EQ10" s="49">
        <v>-2.363</v>
      </c>
      <c r="ER10" s="49">
        <v>102.85</v>
      </c>
      <c r="ES10" s="49">
        <v>1.5229999999999999</v>
      </c>
      <c r="ET10" s="49">
        <v>1.6220000000000001</v>
      </c>
      <c r="EU10" s="49">
        <v>1.4510000000000001</v>
      </c>
      <c r="EV10" s="49">
        <v>7.7069999999999999</v>
      </c>
      <c r="EW10" s="49">
        <v>0.81</v>
      </c>
      <c r="EX10" s="49">
        <v>75</v>
      </c>
      <c r="EY10" s="50">
        <v>6.0999999999999999E-2</v>
      </c>
      <c r="EZ10" s="49">
        <v>0</v>
      </c>
      <c r="FA10" s="50">
        <v>0</v>
      </c>
      <c r="FB10" s="50">
        <v>9.2319999999999993</v>
      </c>
      <c r="FC10" s="50">
        <v>76.442999999999998</v>
      </c>
      <c r="FD10" s="49">
        <v>71.287000000000006</v>
      </c>
      <c r="FE10" s="50">
        <v>92.456999999999994</v>
      </c>
      <c r="FF10" s="50">
        <v>89.846999999999994</v>
      </c>
      <c r="FG10" s="49">
        <v>0.97299999999999998</v>
      </c>
      <c r="FH10" s="49">
        <v>0.97899999999999998</v>
      </c>
      <c r="FI10" s="49">
        <v>0.98399999999999999</v>
      </c>
      <c r="FJ10" s="49">
        <v>0.98799999999999999</v>
      </c>
      <c r="FK10" s="49">
        <v>0</v>
      </c>
      <c r="FL10" s="50">
        <v>83</v>
      </c>
      <c r="FM10" s="50">
        <v>3.19</v>
      </c>
      <c r="FN10" s="49">
        <v>-0.6</v>
      </c>
      <c r="FO10" s="49">
        <v>5.46</v>
      </c>
      <c r="FP10" s="49">
        <v>4.0999999999999996</v>
      </c>
      <c r="FQ10" s="49">
        <v>4.3499999999999996</v>
      </c>
      <c r="FR10" s="50">
        <v>4.95</v>
      </c>
      <c r="FS10" s="49">
        <v>6.8540000000000001</v>
      </c>
      <c r="FT10" s="49">
        <v>1071.3</v>
      </c>
      <c r="FU10" s="49">
        <v>8.36</v>
      </c>
      <c r="FV10" s="50">
        <v>22.96</v>
      </c>
      <c r="FW10" s="49">
        <v>3197.5</v>
      </c>
      <c r="FX10" s="50">
        <v>168400</v>
      </c>
      <c r="FY10" s="50">
        <v>168800</v>
      </c>
      <c r="FZ10" s="49">
        <v>47.250999999999998</v>
      </c>
      <c r="GA10" s="49">
        <v>46.601999999999997</v>
      </c>
      <c r="GB10" s="49">
        <v>2190.5</v>
      </c>
      <c r="GC10" s="49">
        <v>2158.8000000000002</v>
      </c>
      <c r="GD10" s="50">
        <v>2406.8000000000002</v>
      </c>
      <c r="GE10" s="49">
        <v>2315.9</v>
      </c>
      <c r="GF10" s="49">
        <v>1484.1094000000001</v>
      </c>
      <c r="GG10" s="49">
        <v>25</v>
      </c>
      <c r="GH10" s="49">
        <v>25.3</v>
      </c>
      <c r="GI10" s="49">
        <v>47.1</v>
      </c>
      <c r="GJ10" s="49">
        <v>51.7</v>
      </c>
      <c r="GK10" s="49">
        <v>99.5</v>
      </c>
      <c r="GL10" s="49">
        <v>88.7</v>
      </c>
      <c r="GM10" s="50">
        <v>0</v>
      </c>
      <c r="GN10" s="49">
        <v>25.469000000000001</v>
      </c>
      <c r="GO10" s="49">
        <v>118.486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1.8879999999999999</v>
      </c>
      <c r="GV10" s="50">
        <v>0</v>
      </c>
      <c r="GW10" s="49">
        <v>13.83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23.864999999999998</v>
      </c>
      <c r="HD10" s="50">
        <v>86</v>
      </c>
      <c r="HE10" s="7">
        <v>0</v>
      </c>
      <c r="HF10" s="7">
        <v>0</v>
      </c>
      <c r="HG10" s="7">
        <v>74.290000000000006</v>
      </c>
      <c r="HH10" s="7">
        <v>80.709999999999994</v>
      </c>
      <c r="HI10" s="7">
        <v>0</v>
      </c>
      <c r="HJ10" s="7">
        <v>0</v>
      </c>
      <c r="HK10" s="7">
        <v>0</v>
      </c>
      <c r="HL10" s="7">
        <v>59</v>
      </c>
      <c r="HM10" s="7">
        <v>50</v>
      </c>
      <c r="HN10" s="7">
        <v>60</v>
      </c>
      <c r="HO10" s="7">
        <v>55</v>
      </c>
      <c r="HP10" s="7">
        <v>58</v>
      </c>
      <c r="HQ10" s="7">
        <v>56</v>
      </c>
      <c r="HR10" s="7">
        <v>47</v>
      </c>
      <c r="HS10" s="7">
        <v>70</v>
      </c>
      <c r="HT10" s="7">
        <v>-1.2244999999999999</v>
      </c>
      <c r="HU10" s="7">
        <v>0</v>
      </c>
      <c r="HV10" s="7">
        <v>0.72399999999999998</v>
      </c>
      <c r="HW10" s="7">
        <v>35.229999999999997</v>
      </c>
      <c r="HX10" s="7">
        <v>38.03</v>
      </c>
      <c r="HY10" s="3"/>
      <c r="HZ10" s="3"/>
      <c r="IA10" s="7">
        <v>3.05</v>
      </c>
      <c r="IB10" s="7">
        <v>104</v>
      </c>
      <c r="IC10" s="7">
        <v>23.016999999999999</v>
      </c>
      <c r="ID10" s="7">
        <v>-0.215</v>
      </c>
      <c r="IE10" s="7">
        <v>-7.0000000000000007E-2</v>
      </c>
      <c r="IF10" s="7">
        <v>821.9</v>
      </c>
      <c r="IG10" s="7">
        <v>764.5</v>
      </c>
      <c r="IH10" s="7">
        <v>822.3</v>
      </c>
      <c r="II10" s="7">
        <v>778.4</v>
      </c>
      <c r="IJ10" s="7">
        <v>-6.7000000000000004E-2</v>
      </c>
      <c r="IK10" s="7">
        <v>-0.14299999999999999</v>
      </c>
      <c r="IL10" s="7">
        <v>71.942999999999998</v>
      </c>
      <c r="IM10" s="7">
        <v>71.942999999999998</v>
      </c>
      <c r="IN10" s="7">
        <v>13.936</v>
      </c>
      <c r="IO10" s="7">
        <v>0.374</v>
      </c>
      <c r="IP10" s="7">
        <v>10.79</v>
      </c>
      <c r="IQ10" s="7">
        <v>0</v>
      </c>
      <c r="IR10" s="7">
        <v>0</v>
      </c>
    </row>
    <row r="12" spans="2:252" ht="15" customHeight="1" x14ac:dyDescent="0.25"/>
  </sheetData>
  <mergeCells count="4"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13"/>
  <sheetViews>
    <sheetView zoomScale="80" zoomScaleNormal="80" workbookViewId="0">
      <selection activeCell="D14" sqref="D14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414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3.3539351851851851E-3</v>
      </c>
      <c r="E7" s="50">
        <v>289.77800000000002</v>
      </c>
      <c r="F7" s="49">
        <v>331.4</v>
      </c>
      <c r="G7" s="49">
        <v>5.62</v>
      </c>
      <c r="H7" s="49">
        <v>28.9</v>
      </c>
      <c r="I7" s="50">
        <v>0</v>
      </c>
      <c r="J7" s="50">
        <v>46</v>
      </c>
      <c r="K7" s="49">
        <v>8</v>
      </c>
      <c r="L7" s="50">
        <v>3</v>
      </c>
      <c r="M7" s="50">
        <v>6</v>
      </c>
      <c r="N7" s="50">
        <v>3</v>
      </c>
      <c r="O7" s="50">
        <v>3</v>
      </c>
      <c r="P7" s="49">
        <v>0.747</v>
      </c>
      <c r="Q7" s="49">
        <v>1.298</v>
      </c>
      <c r="R7" s="49">
        <v>0.82299999999999995</v>
      </c>
      <c r="S7" s="49">
        <v>0.55600000000000005</v>
      </c>
      <c r="T7" s="49">
        <v>64.930000000000007</v>
      </c>
      <c r="U7" s="50">
        <v>60.720999999999997</v>
      </c>
      <c r="V7" s="50">
        <v>130</v>
      </c>
      <c r="W7" s="50">
        <v>135</v>
      </c>
      <c r="X7" s="50">
        <v>110</v>
      </c>
      <c r="Y7" s="50">
        <v>127.5</v>
      </c>
      <c r="Z7" s="49">
        <v>276.66000000000003</v>
      </c>
      <c r="AA7" s="49">
        <v>291.54000000000002</v>
      </c>
      <c r="AB7" s="49">
        <v>229.32</v>
      </c>
      <c r="AC7" s="49">
        <v>266.74</v>
      </c>
      <c r="AD7" s="49">
        <v>1.776</v>
      </c>
      <c r="AE7" s="49">
        <v>1.853</v>
      </c>
      <c r="AF7" s="49">
        <v>1.6679999999999999</v>
      </c>
      <c r="AG7" s="49">
        <v>1.696</v>
      </c>
      <c r="AH7" s="49">
        <v>65.400000000000006</v>
      </c>
      <c r="AI7" s="49">
        <v>61.19</v>
      </c>
      <c r="AJ7" s="49">
        <v>83.07</v>
      </c>
      <c r="AK7" s="49">
        <v>80.349999999999994</v>
      </c>
      <c r="AL7" s="49">
        <v>608.34400000000005</v>
      </c>
      <c r="AM7" s="49">
        <v>631.48199999999997</v>
      </c>
      <c r="AN7" s="49">
        <v>740.42700000000002</v>
      </c>
      <c r="AO7" s="49">
        <v>730.61900000000003</v>
      </c>
      <c r="AP7" s="50">
        <v>1.401</v>
      </c>
      <c r="AQ7" s="50">
        <v>1.88</v>
      </c>
      <c r="AR7" s="49">
        <v>38.780999999999999</v>
      </c>
      <c r="AS7" s="49">
        <v>31.879000000000001</v>
      </c>
      <c r="AT7" s="50">
        <v>87</v>
      </c>
      <c r="AU7" s="49">
        <v>111</v>
      </c>
      <c r="AV7" s="49">
        <v>2.597</v>
      </c>
      <c r="AW7" s="49">
        <v>5.3297999999999996</v>
      </c>
      <c r="AX7" s="50">
        <v>1019.6</v>
      </c>
      <c r="AY7" s="50">
        <v>2.4700000000000002</v>
      </c>
      <c r="AZ7" s="49">
        <v>5.7</v>
      </c>
      <c r="BA7" s="49">
        <v>67.099999999999994</v>
      </c>
      <c r="BB7" s="49">
        <v>67.203000000000003</v>
      </c>
      <c r="BC7" s="49">
        <v>7747</v>
      </c>
      <c r="BD7" s="49">
        <v>88.75</v>
      </c>
      <c r="BE7" s="49">
        <v>16.004999999999999</v>
      </c>
      <c r="BF7" s="49">
        <v>13.48</v>
      </c>
      <c r="BG7" s="49">
        <v>26.25</v>
      </c>
      <c r="BH7" s="49">
        <v>25.53</v>
      </c>
      <c r="BI7" s="49">
        <v>63.682000000000002</v>
      </c>
      <c r="BJ7" s="49">
        <v>80.177999999999997</v>
      </c>
      <c r="BK7" s="49">
        <v>61.938000000000002</v>
      </c>
      <c r="BL7" s="50">
        <v>77.462000000000003</v>
      </c>
      <c r="BM7" s="49">
        <v>77.62</v>
      </c>
      <c r="BN7" s="50">
        <v>151.94399999999999</v>
      </c>
      <c r="BO7" s="50">
        <v>147.06399999999999</v>
      </c>
      <c r="BP7" s="49">
        <v>140.82400000000001</v>
      </c>
      <c r="BQ7" s="49">
        <v>135.49600000000001</v>
      </c>
      <c r="BR7" s="49">
        <v>58.741</v>
      </c>
      <c r="BS7" s="49">
        <v>28.5</v>
      </c>
      <c r="BT7" s="49">
        <v>6255.1989999999996</v>
      </c>
      <c r="BU7" s="49">
        <v>49.725999999999999</v>
      </c>
      <c r="BV7" s="49">
        <v>56.109000000000002</v>
      </c>
      <c r="BW7" s="50">
        <v>57.225999999999999</v>
      </c>
      <c r="BX7" s="49">
        <v>57.817</v>
      </c>
      <c r="BY7" s="49">
        <v>1.3839999999999999</v>
      </c>
      <c r="BZ7" s="49">
        <v>2.4420000000000002</v>
      </c>
      <c r="CA7" s="49">
        <v>3.335</v>
      </c>
      <c r="CB7" s="49">
        <v>3.1160000000000001</v>
      </c>
      <c r="CC7" s="49">
        <v>1.1990000000000001</v>
      </c>
      <c r="CD7" s="49">
        <v>2.4369999999999998</v>
      </c>
      <c r="CE7" s="50">
        <v>1.379</v>
      </c>
      <c r="CF7" s="49">
        <v>2.1989999999999998</v>
      </c>
      <c r="CG7" s="49">
        <v>13.632999999999999</v>
      </c>
      <c r="CH7" s="50">
        <v>9.7759999999999998</v>
      </c>
      <c r="CI7" s="50">
        <v>6.0579999999999998</v>
      </c>
      <c r="CJ7" s="49">
        <v>3.3</v>
      </c>
      <c r="CK7" s="49">
        <v>1.58</v>
      </c>
      <c r="CL7" s="49">
        <v>0</v>
      </c>
      <c r="CM7" s="49">
        <v>0.6</v>
      </c>
      <c r="CN7" s="49">
        <v>0</v>
      </c>
      <c r="CO7" s="49">
        <v>0</v>
      </c>
      <c r="CP7" s="50">
        <v>112.173</v>
      </c>
      <c r="CQ7" s="50">
        <v>111.22499999999999</v>
      </c>
      <c r="CR7" s="49">
        <v>121.277</v>
      </c>
      <c r="CS7" s="49">
        <v>118.735</v>
      </c>
      <c r="CT7" s="50">
        <v>1.3069999999999999</v>
      </c>
      <c r="CU7" s="49">
        <v>0.998</v>
      </c>
      <c r="CV7" s="49">
        <v>1.5029999999999999</v>
      </c>
      <c r="CW7" s="49">
        <v>1.3</v>
      </c>
      <c r="CX7" s="49">
        <v>1.7989999999999999</v>
      </c>
      <c r="CY7" s="49">
        <v>0.7</v>
      </c>
      <c r="CZ7" s="49">
        <v>1.895</v>
      </c>
      <c r="DA7" s="49">
        <v>0.89800000000000002</v>
      </c>
      <c r="DB7" s="49">
        <v>0.60299999999999998</v>
      </c>
      <c r="DC7" s="50">
        <v>0</v>
      </c>
      <c r="DD7" s="50">
        <v>0</v>
      </c>
      <c r="DE7" s="49">
        <v>0.224</v>
      </c>
      <c r="DF7" s="49">
        <v>0.125</v>
      </c>
      <c r="DG7" s="49">
        <v>0.109</v>
      </c>
      <c r="DH7" s="49">
        <v>2.149</v>
      </c>
      <c r="DI7" s="49">
        <v>1.21</v>
      </c>
      <c r="DJ7" s="49">
        <v>0.21</v>
      </c>
      <c r="DK7" s="49">
        <v>0.88200000000000001</v>
      </c>
      <c r="DL7" s="49">
        <v>0.41099999999999998</v>
      </c>
      <c r="DM7" s="49">
        <v>0.52200000000000002</v>
      </c>
      <c r="DN7" s="49">
        <v>0.42399999999999999</v>
      </c>
      <c r="DO7" s="50">
        <v>0.4</v>
      </c>
      <c r="DP7" s="49">
        <v>62.136000000000003</v>
      </c>
      <c r="DQ7" s="50">
        <v>63.62</v>
      </c>
      <c r="DR7" s="49">
        <v>53.082000000000001</v>
      </c>
      <c r="DS7" s="49">
        <v>50.463999999999999</v>
      </c>
      <c r="DT7" s="49">
        <v>4.17</v>
      </c>
      <c r="DU7" s="49">
        <v>4.1399999999999997</v>
      </c>
      <c r="DV7" s="49">
        <v>8.68</v>
      </c>
      <c r="DW7" s="49">
        <v>7.83</v>
      </c>
      <c r="DX7" s="49">
        <v>4.21</v>
      </c>
      <c r="DY7" s="49">
        <v>4.09</v>
      </c>
      <c r="DZ7" s="49">
        <v>8.2200000000000006</v>
      </c>
      <c r="EA7" s="49">
        <v>7.28</v>
      </c>
      <c r="EB7" s="49">
        <v>37.22</v>
      </c>
      <c r="EC7" s="49">
        <v>37.380000000000003</v>
      </c>
      <c r="ED7" s="49">
        <v>29.38</v>
      </c>
      <c r="EE7" s="49">
        <v>30.17</v>
      </c>
      <c r="EF7" s="50">
        <v>54.4</v>
      </c>
      <c r="EG7" s="50">
        <v>54.38</v>
      </c>
      <c r="EH7" s="50">
        <v>53.71</v>
      </c>
      <c r="EI7" s="50">
        <v>54.72</v>
      </c>
      <c r="EJ7" s="49">
        <v>5.1420000000000003</v>
      </c>
      <c r="EK7" s="49">
        <v>57.231000000000002</v>
      </c>
      <c r="EL7" s="50">
        <v>2.25</v>
      </c>
      <c r="EM7" s="50">
        <v>1.25</v>
      </c>
      <c r="EN7" s="49">
        <v>1.24</v>
      </c>
      <c r="EO7" s="49">
        <v>1.25</v>
      </c>
      <c r="EP7" s="49">
        <v>-108.85</v>
      </c>
      <c r="EQ7" s="50">
        <v>-1.1559999999999999</v>
      </c>
      <c r="ER7" s="49">
        <v>107.81399999999999</v>
      </c>
      <c r="ES7" s="49">
        <v>1.3620000000000001</v>
      </c>
      <c r="ET7" s="49">
        <v>1.4079999999999999</v>
      </c>
      <c r="EU7" s="49">
        <v>1.3120000000000001</v>
      </c>
      <c r="EV7" s="49">
        <v>7.4509999999999996</v>
      </c>
      <c r="EW7" s="49">
        <v>0.38300000000000001</v>
      </c>
      <c r="EX7" s="49">
        <v>-221.12</v>
      </c>
      <c r="EY7" s="49">
        <v>0</v>
      </c>
      <c r="EZ7" s="50">
        <v>24.507000000000001</v>
      </c>
      <c r="FA7" s="50">
        <v>0</v>
      </c>
      <c r="FB7" s="49">
        <v>8.99</v>
      </c>
      <c r="FC7" s="49">
        <v>74.778000000000006</v>
      </c>
      <c r="FD7" s="49">
        <v>66.436999999999998</v>
      </c>
      <c r="FE7" s="49">
        <v>76.805000000000007</v>
      </c>
      <c r="FF7" s="49">
        <v>75.515000000000001</v>
      </c>
      <c r="FG7" s="50">
        <v>1.0369999999999999</v>
      </c>
      <c r="FH7" s="50">
        <v>1.0469999999999999</v>
      </c>
      <c r="FI7" s="50">
        <v>0.996</v>
      </c>
      <c r="FJ7" s="50">
        <v>0.999</v>
      </c>
      <c r="FK7" s="50">
        <v>0.40300000000000002</v>
      </c>
      <c r="FL7" s="50">
        <v>87</v>
      </c>
      <c r="FM7" s="50">
        <v>3.51</v>
      </c>
      <c r="FN7" s="49">
        <v>-0.44</v>
      </c>
      <c r="FO7" s="49">
        <v>5.44</v>
      </c>
      <c r="FP7" s="50">
        <v>0.4</v>
      </c>
      <c r="FQ7" s="50">
        <v>0.3</v>
      </c>
      <c r="FR7" s="49">
        <v>5.0999999999999996</v>
      </c>
      <c r="FS7" s="49">
        <v>6.7774999999999999</v>
      </c>
      <c r="FT7" s="49">
        <v>1078.2</v>
      </c>
      <c r="FU7" s="49">
        <v>6.58</v>
      </c>
      <c r="FV7" s="49">
        <v>5.62</v>
      </c>
      <c r="FW7" s="50">
        <v>3254</v>
      </c>
      <c r="FX7" s="49">
        <v>168000</v>
      </c>
      <c r="FY7" s="50">
        <v>171200</v>
      </c>
      <c r="FZ7" s="50">
        <v>49.442999999999998</v>
      </c>
      <c r="GA7" s="50">
        <v>48.405000000000001</v>
      </c>
      <c r="GB7" s="50">
        <v>2473.8000000000002</v>
      </c>
      <c r="GC7" s="49">
        <v>2260.6999999999998</v>
      </c>
      <c r="GD7" s="50">
        <v>2473.8000000000002</v>
      </c>
      <c r="GE7" s="49">
        <v>2260.6999999999998</v>
      </c>
      <c r="GF7" s="49">
        <v>1380.7344000000001</v>
      </c>
      <c r="GG7" s="50">
        <v>30</v>
      </c>
      <c r="GH7" s="49">
        <v>29.5</v>
      </c>
      <c r="GI7" s="50">
        <v>70.3</v>
      </c>
      <c r="GJ7" s="50">
        <v>75.099999999999994</v>
      </c>
      <c r="GK7" s="50">
        <v>95</v>
      </c>
      <c r="GL7" s="49">
        <v>89.3</v>
      </c>
      <c r="GM7" s="50">
        <v>0</v>
      </c>
      <c r="GN7" s="49">
        <v>25.346</v>
      </c>
      <c r="GO7" s="49">
        <v>108.85</v>
      </c>
      <c r="GP7" s="50">
        <v>0</v>
      </c>
      <c r="GQ7" s="50">
        <v>4.13</v>
      </c>
      <c r="GR7" s="50">
        <v>0</v>
      </c>
      <c r="GS7" s="50">
        <v>4.0119999999999996</v>
      </c>
      <c r="GT7" s="50">
        <v>0</v>
      </c>
      <c r="GU7" s="50">
        <v>3.7170000000000001</v>
      </c>
      <c r="GV7" s="50">
        <v>0</v>
      </c>
      <c r="GW7" s="49">
        <v>12.161</v>
      </c>
      <c r="GX7" s="50">
        <v>22.54</v>
      </c>
      <c r="GY7" s="50">
        <v>0</v>
      </c>
      <c r="GZ7" s="50">
        <v>0</v>
      </c>
      <c r="HA7" s="50">
        <v>0</v>
      </c>
      <c r="HB7" s="50">
        <v>1</v>
      </c>
      <c r="HC7" s="50">
        <v>27.405999999999999</v>
      </c>
      <c r="HD7" s="50">
        <v>90</v>
      </c>
      <c r="HE7" s="50">
        <v>0</v>
      </c>
      <c r="HF7" s="50">
        <v>0</v>
      </c>
      <c r="HG7" s="50">
        <v>88.85</v>
      </c>
      <c r="HH7" s="49">
        <v>82.58</v>
      </c>
      <c r="HI7" s="50">
        <v>0</v>
      </c>
      <c r="HJ7" s="50">
        <v>0</v>
      </c>
      <c r="HK7" s="50">
        <v>0</v>
      </c>
      <c r="HL7" s="50">
        <v>73</v>
      </c>
      <c r="HM7" s="50">
        <v>55</v>
      </c>
      <c r="HN7" s="49">
        <v>62</v>
      </c>
      <c r="HO7" s="49">
        <v>56</v>
      </c>
      <c r="HP7" s="49">
        <v>58</v>
      </c>
      <c r="HQ7" s="49">
        <v>56</v>
      </c>
      <c r="HR7" s="49">
        <v>50</v>
      </c>
      <c r="HS7" s="49">
        <v>62</v>
      </c>
      <c r="HT7" s="50">
        <v>-1.2989999999999999</v>
      </c>
      <c r="HU7" s="50">
        <v>0</v>
      </c>
      <c r="HV7" s="49">
        <v>0.20399999999999999</v>
      </c>
      <c r="HW7" s="49">
        <v>37.020000000000003</v>
      </c>
      <c r="HX7" s="49">
        <v>47.6</v>
      </c>
      <c r="HY7" s="3"/>
      <c r="HZ7" s="3"/>
      <c r="IA7" s="49">
        <v>2.637</v>
      </c>
      <c r="IB7" s="49">
        <v>99</v>
      </c>
      <c r="IC7" s="49">
        <v>18.283999999999999</v>
      </c>
      <c r="ID7" s="50">
        <v>-0.151</v>
      </c>
      <c r="IE7" s="50">
        <v>-3.3000000000000002E-2</v>
      </c>
      <c r="IF7" s="49">
        <v>817</v>
      </c>
      <c r="IG7" s="49">
        <v>641.29999999999995</v>
      </c>
      <c r="IH7" s="49">
        <v>828.4</v>
      </c>
      <c r="II7" s="49">
        <v>654</v>
      </c>
      <c r="IJ7" s="50">
        <v>8.4000000000000005E-2</v>
      </c>
      <c r="IK7" s="50">
        <v>-5.0000000000000001E-3</v>
      </c>
      <c r="IL7" s="50">
        <v>134.124</v>
      </c>
      <c r="IM7" s="50">
        <v>134.124</v>
      </c>
      <c r="IN7" s="49">
        <v>13.132</v>
      </c>
      <c r="IO7" s="49">
        <v>0.39700000000000002</v>
      </c>
      <c r="IP7" s="50">
        <v>11.2</v>
      </c>
      <c r="IQ7" s="49">
        <v>1.2999999999999999E-2</v>
      </c>
      <c r="IR7" s="50">
        <v>1.4999999999999999E-2</v>
      </c>
    </row>
    <row r="8" spans="2:252" x14ac:dyDescent="0.25">
      <c r="B8" s="2" t="s">
        <v>412</v>
      </c>
      <c r="C8" s="2" t="s">
        <v>42</v>
      </c>
      <c r="D8" s="61">
        <v>2.4716435185185184E-3</v>
      </c>
      <c r="E8" s="49">
        <v>213.59</v>
      </c>
      <c r="F8" s="49">
        <v>333.32</v>
      </c>
      <c r="G8" s="49">
        <v>5.77</v>
      </c>
      <c r="H8" s="49">
        <v>29.3</v>
      </c>
      <c r="I8" s="50">
        <v>0</v>
      </c>
      <c r="J8" s="49">
        <v>14.6</v>
      </c>
      <c r="K8" s="49">
        <v>8</v>
      </c>
      <c r="L8" s="50">
        <v>3</v>
      </c>
      <c r="M8" s="50">
        <v>6</v>
      </c>
      <c r="N8" s="50">
        <v>3</v>
      </c>
      <c r="O8" s="50">
        <v>3</v>
      </c>
      <c r="P8" s="49">
        <v>0.69899999999999995</v>
      </c>
      <c r="Q8" s="49">
        <v>1.349</v>
      </c>
      <c r="R8" s="49">
        <v>0.60399999999999998</v>
      </c>
      <c r="S8" s="49">
        <v>0.71399999999999997</v>
      </c>
      <c r="T8" s="49">
        <v>73.52</v>
      </c>
      <c r="U8" s="49">
        <v>60.109000000000002</v>
      </c>
      <c r="V8" s="49">
        <v>248.34</v>
      </c>
      <c r="W8" s="49">
        <v>260</v>
      </c>
      <c r="X8" s="49">
        <v>208.34</v>
      </c>
      <c r="Y8" s="49">
        <v>251.66</v>
      </c>
      <c r="Z8" s="49">
        <v>397.61</v>
      </c>
      <c r="AA8" s="49">
        <v>406.45</v>
      </c>
      <c r="AB8" s="49">
        <v>334.49</v>
      </c>
      <c r="AC8" s="49">
        <v>392.81</v>
      </c>
      <c r="AD8" s="49">
        <v>1.8149999999999999</v>
      </c>
      <c r="AE8" s="49">
        <v>1.87</v>
      </c>
      <c r="AF8" s="49">
        <v>1.786</v>
      </c>
      <c r="AG8" s="49">
        <v>1.8069999999999999</v>
      </c>
      <c r="AH8" s="49">
        <v>81.290000000000006</v>
      </c>
      <c r="AI8" s="49">
        <v>76.42</v>
      </c>
      <c r="AJ8" s="49">
        <v>107.86</v>
      </c>
      <c r="AK8" s="49">
        <v>103.05</v>
      </c>
      <c r="AL8" s="49">
        <v>647.67999999999995</v>
      </c>
      <c r="AM8" s="49">
        <v>671.16600000000005</v>
      </c>
      <c r="AN8" s="49">
        <v>827.78499999999997</v>
      </c>
      <c r="AO8" s="49">
        <v>788.43700000000001</v>
      </c>
      <c r="AP8" s="49">
        <v>1.3939999999999999</v>
      </c>
      <c r="AQ8" s="49">
        <v>1.865</v>
      </c>
      <c r="AR8" s="49">
        <v>41.143999999999998</v>
      </c>
      <c r="AS8" s="49">
        <v>34.872999999999998</v>
      </c>
      <c r="AT8" s="49">
        <v>83</v>
      </c>
      <c r="AU8" s="49">
        <v>116</v>
      </c>
      <c r="AV8" s="49">
        <v>2.6145</v>
      </c>
      <c r="AW8" s="50">
        <v>5.4661999999999997</v>
      </c>
      <c r="AX8" s="49">
        <v>1018.9</v>
      </c>
      <c r="AY8" s="49">
        <v>1.91</v>
      </c>
      <c r="AZ8" s="49">
        <v>5.76</v>
      </c>
      <c r="BA8" s="49">
        <v>97.081000000000003</v>
      </c>
      <c r="BB8" s="49">
        <v>92.271000000000001</v>
      </c>
      <c r="BC8" s="49">
        <v>7722</v>
      </c>
      <c r="BD8" s="49">
        <v>88.75</v>
      </c>
      <c r="BE8" s="49">
        <v>15.84</v>
      </c>
      <c r="BF8" s="49">
        <v>12.465</v>
      </c>
      <c r="BG8" s="49">
        <v>28.25</v>
      </c>
      <c r="BH8" s="49">
        <v>25.26</v>
      </c>
      <c r="BI8" s="3"/>
      <c r="BJ8" s="3"/>
      <c r="BK8" s="3"/>
      <c r="BL8" s="3"/>
      <c r="BM8" s="3"/>
      <c r="BN8" s="49">
        <v>104.84</v>
      </c>
      <c r="BO8" s="49">
        <v>102.024</v>
      </c>
      <c r="BP8" s="49">
        <v>139.01599999999999</v>
      </c>
      <c r="BQ8" s="49">
        <v>138.184</v>
      </c>
      <c r="BR8" s="3"/>
      <c r="BS8" s="49">
        <v>28.9</v>
      </c>
      <c r="BT8" s="50">
        <v>7418.11</v>
      </c>
      <c r="BU8" s="49">
        <v>50.798000000000002</v>
      </c>
      <c r="BV8" s="49">
        <v>54.884</v>
      </c>
      <c r="BW8" s="49">
        <v>56.616999999999997</v>
      </c>
      <c r="BX8" s="49">
        <v>57.048000000000002</v>
      </c>
      <c r="BY8" s="49">
        <v>1.482</v>
      </c>
      <c r="BZ8" s="50">
        <v>3.06</v>
      </c>
      <c r="CA8" s="49">
        <v>3.7429999999999999</v>
      </c>
      <c r="CB8" s="49">
        <v>3.6160000000000001</v>
      </c>
      <c r="CC8" s="50">
        <v>1.325</v>
      </c>
      <c r="CD8" s="50">
        <v>2.5019999999999998</v>
      </c>
      <c r="CE8" s="49">
        <v>1.3520000000000001</v>
      </c>
      <c r="CF8" s="50">
        <v>2.2040000000000002</v>
      </c>
      <c r="CG8" s="49">
        <v>13.944000000000001</v>
      </c>
      <c r="CH8" s="49">
        <v>13.779</v>
      </c>
      <c r="CI8" s="49">
        <v>5.3479999999999999</v>
      </c>
      <c r="CJ8" s="50">
        <v>3.415</v>
      </c>
      <c r="CK8" s="49">
        <v>1.6819999999999999</v>
      </c>
      <c r="CL8" s="49">
        <v>0.1</v>
      </c>
      <c r="CM8" s="49">
        <v>0.3</v>
      </c>
      <c r="CN8" s="49">
        <v>0</v>
      </c>
      <c r="CO8" s="49">
        <v>0</v>
      </c>
      <c r="CP8" s="49">
        <v>98.147999999999996</v>
      </c>
      <c r="CQ8" s="49">
        <v>97.213999999999999</v>
      </c>
      <c r="CR8" s="49">
        <v>129.71600000000001</v>
      </c>
      <c r="CS8" s="49">
        <v>130.286</v>
      </c>
      <c r="CT8" s="49">
        <v>0.32300000000000001</v>
      </c>
      <c r="CU8" s="49">
        <v>1</v>
      </c>
      <c r="CV8" s="49">
        <v>0.997</v>
      </c>
      <c r="CW8" s="49">
        <v>1.198</v>
      </c>
      <c r="CX8" s="49">
        <v>1.1000000000000001</v>
      </c>
      <c r="CY8" s="49">
        <v>0.79900000000000004</v>
      </c>
      <c r="CZ8" s="49">
        <v>0.79800000000000004</v>
      </c>
      <c r="DA8" s="49">
        <v>0.5</v>
      </c>
      <c r="DB8" s="49">
        <v>1.504</v>
      </c>
      <c r="DC8" s="50">
        <v>0</v>
      </c>
      <c r="DD8" s="50">
        <v>0</v>
      </c>
      <c r="DE8" s="49">
        <v>0.28699999999999998</v>
      </c>
      <c r="DF8" s="49">
        <v>0.114</v>
      </c>
      <c r="DG8" s="49">
        <v>0.55100000000000005</v>
      </c>
      <c r="DH8" s="49">
        <v>2.35</v>
      </c>
      <c r="DI8" s="49">
        <v>1.369</v>
      </c>
      <c r="DJ8" s="49">
        <v>0.14599999999999999</v>
      </c>
      <c r="DK8" s="49">
        <v>0.82899999999999996</v>
      </c>
      <c r="DL8" s="49">
        <v>0.40799999999999997</v>
      </c>
      <c r="DM8" s="49">
        <v>0.45900000000000002</v>
      </c>
      <c r="DN8" s="49">
        <v>0.39600000000000002</v>
      </c>
      <c r="DO8" s="49">
        <v>0.316</v>
      </c>
      <c r="DP8" s="49">
        <v>66.415999999999997</v>
      </c>
      <c r="DQ8" s="49">
        <v>57.921999999999997</v>
      </c>
      <c r="DR8" s="49">
        <v>53.674999999999997</v>
      </c>
      <c r="DS8" s="49">
        <v>51.670999999999999</v>
      </c>
      <c r="DT8" s="49">
        <v>6.35</v>
      </c>
      <c r="DU8" s="49">
        <v>6.16</v>
      </c>
      <c r="DV8" s="49">
        <v>13.33</v>
      </c>
      <c r="DW8" s="49">
        <v>11.41</v>
      </c>
      <c r="DX8" s="49">
        <v>6.69</v>
      </c>
      <c r="DY8" s="50">
        <v>6.63</v>
      </c>
      <c r="DZ8" s="49">
        <v>12.85</v>
      </c>
      <c r="EA8" s="49">
        <v>11.16</v>
      </c>
      <c r="EB8" s="49">
        <v>41.96</v>
      </c>
      <c r="EC8" s="49">
        <v>41.59</v>
      </c>
      <c r="ED8" s="49">
        <v>32.520000000000003</v>
      </c>
      <c r="EE8" s="49">
        <v>34.42</v>
      </c>
      <c r="EF8" s="49">
        <v>45</v>
      </c>
      <c r="EG8" s="49">
        <v>45.61</v>
      </c>
      <c r="EH8" s="49">
        <v>41.3</v>
      </c>
      <c r="EI8" s="49">
        <v>43.01</v>
      </c>
      <c r="EJ8" s="49">
        <v>6.1529999999999996</v>
      </c>
      <c r="EK8" s="49">
        <v>58.555</v>
      </c>
      <c r="EL8" s="49">
        <v>1.7</v>
      </c>
      <c r="EM8" s="49">
        <v>1.4</v>
      </c>
      <c r="EN8" s="49">
        <v>1.23</v>
      </c>
      <c r="EO8" s="49">
        <v>1.23</v>
      </c>
      <c r="EP8" s="49">
        <v>-104.178</v>
      </c>
      <c r="EQ8" s="49">
        <v>-2.6920000000000002</v>
      </c>
      <c r="ER8" s="49">
        <v>92.921999999999997</v>
      </c>
      <c r="ES8" s="50">
        <v>1.5609999999999999</v>
      </c>
      <c r="ET8" s="49">
        <v>1.653</v>
      </c>
      <c r="EU8" s="50">
        <v>1.484</v>
      </c>
      <c r="EV8" s="49">
        <v>7.468</v>
      </c>
      <c r="EW8" s="49">
        <v>0.39500000000000002</v>
      </c>
      <c r="EX8" s="49">
        <v>73.64</v>
      </c>
      <c r="EY8" s="49">
        <v>0</v>
      </c>
      <c r="EZ8" s="49">
        <v>0</v>
      </c>
      <c r="FA8" s="50">
        <v>0</v>
      </c>
      <c r="FB8" s="49">
        <v>9.1739999999999995</v>
      </c>
      <c r="FC8" s="49">
        <v>71.3</v>
      </c>
      <c r="FD8" s="49">
        <v>66.17</v>
      </c>
      <c r="FE8" s="49">
        <v>80.724000000000004</v>
      </c>
      <c r="FF8" s="49">
        <v>78.385999999999996</v>
      </c>
      <c r="FG8" s="49">
        <v>0.94499999999999995</v>
      </c>
      <c r="FH8" s="49">
        <v>0.94599999999999995</v>
      </c>
      <c r="FI8" s="49">
        <v>0.98599999999999999</v>
      </c>
      <c r="FJ8" s="49">
        <v>0.99</v>
      </c>
      <c r="FK8" s="49">
        <v>0</v>
      </c>
      <c r="FL8" s="49">
        <v>83</v>
      </c>
      <c r="FM8" s="49">
        <v>3.28</v>
      </c>
      <c r="FN8" s="49">
        <v>0.14000000000000001</v>
      </c>
      <c r="FO8" s="49">
        <v>5.49</v>
      </c>
      <c r="FP8" s="3"/>
      <c r="FQ8" s="49">
        <v>4.7</v>
      </c>
      <c r="FR8" s="49">
        <v>5.2</v>
      </c>
      <c r="FS8" s="50">
        <v>6.8520000000000003</v>
      </c>
      <c r="FT8" s="49">
        <v>1074.8</v>
      </c>
      <c r="FU8" s="49">
        <v>6.71</v>
      </c>
      <c r="FV8" s="49">
        <v>11.38</v>
      </c>
      <c r="FW8" s="49">
        <v>3128.5</v>
      </c>
      <c r="FX8" s="49">
        <v>166800</v>
      </c>
      <c r="FY8" s="49">
        <v>168000</v>
      </c>
      <c r="FZ8" s="49">
        <v>48.354999999999997</v>
      </c>
      <c r="GA8" s="49">
        <v>47.106000000000002</v>
      </c>
      <c r="GB8" s="49">
        <v>2171.1</v>
      </c>
      <c r="GC8" s="49">
        <v>2222.8000000000002</v>
      </c>
      <c r="GD8" s="49">
        <v>2199.4</v>
      </c>
      <c r="GE8" s="49">
        <v>2331.4</v>
      </c>
      <c r="GF8" s="50">
        <v>1455.6094000000001</v>
      </c>
      <c r="GG8" s="49">
        <v>27</v>
      </c>
      <c r="GH8" s="49">
        <v>26.8</v>
      </c>
      <c r="GI8" s="49">
        <v>52.7</v>
      </c>
      <c r="GJ8" s="49">
        <v>57.6</v>
      </c>
      <c r="GK8" s="49">
        <v>99.5</v>
      </c>
      <c r="GL8" s="49">
        <v>90</v>
      </c>
      <c r="GM8" s="50">
        <v>0</v>
      </c>
      <c r="GN8" s="49">
        <v>26.084</v>
      </c>
      <c r="GO8" s="49">
        <v>104.178</v>
      </c>
      <c r="GP8" s="49">
        <v>1.0029999999999999</v>
      </c>
      <c r="GQ8" s="49">
        <v>1.9470000000000001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49">
        <v>13.034000000000001</v>
      </c>
      <c r="GW8" s="49">
        <v>14.074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23.37</v>
      </c>
      <c r="HD8" s="49">
        <v>82</v>
      </c>
      <c r="HE8" s="50">
        <v>0</v>
      </c>
      <c r="HF8" s="50">
        <v>0</v>
      </c>
      <c r="HG8" s="49">
        <v>75.69</v>
      </c>
      <c r="HH8" s="49">
        <v>82.5</v>
      </c>
      <c r="HI8" s="50">
        <v>0</v>
      </c>
      <c r="HJ8" s="50">
        <v>0</v>
      </c>
      <c r="HK8" s="50">
        <v>0</v>
      </c>
      <c r="HL8" s="49">
        <v>65</v>
      </c>
      <c r="HM8" s="49">
        <v>54</v>
      </c>
      <c r="HN8" s="49">
        <v>63</v>
      </c>
      <c r="HO8" s="49">
        <v>57</v>
      </c>
      <c r="HP8" s="49">
        <v>60</v>
      </c>
      <c r="HQ8" s="49">
        <v>58</v>
      </c>
      <c r="HR8" s="49">
        <v>50</v>
      </c>
      <c r="HS8" s="49">
        <v>62</v>
      </c>
      <c r="HT8" s="49">
        <v>-1.298</v>
      </c>
      <c r="HU8" s="50">
        <v>0</v>
      </c>
      <c r="HV8" s="49">
        <v>1.1879999999999999</v>
      </c>
      <c r="HW8" s="49">
        <v>37.020000000000003</v>
      </c>
      <c r="HX8" s="50">
        <v>44.16</v>
      </c>
      <c r="HY8" s="50">
        <v>49.18</v>
      </c>
      <c r="HZ8" s="49">
        <v>59.62</v>
      </c>
      <c r="IA8" s="49">
        <v>2.8740000000000001</v>
      </c>
      <c r="IB8" s="49">
        <v>104</v>
      </c>
      <c r="IC8" s="49">
        <v>22.917999999999999</v>
      </c>
      <c r="ID8" s="49">
        <v>-0.26400000000000001</v>
      </c>
      <c r="IE8" s="49">
        <v>-8.5999999999999993E-2</v>
      </c>
      <c r="IF8" s="49">
        <v>823.9</v>
      </c>
      <c r="IG8" s="49">
        <v>771.4</v>
      </c>
      <c r="IH8" s="49">
        <v>832.2</v>
      </c>
      <c r="II8" s="49">
        <v>785.8</v>
      </c>
      <c r="IJ8" s="49">
        <v>1.0999999999999999E-2</v>
      </c>
      <c r="IK8" s="49">
        <v>-0.11600000000000001</v>
      </c>
      <c r="IL8" s="49">
        <v>73.87</v>
      </c>
      <c r="IM8" s="49">
        <v>73.87</v>
      </c>
      <c r="IN8" s="49">
        <v>14.423999999999999</v>
      </c>
      <c r="IO8" s="50">
        <v>0.74399999999999999</v>
      </c>
      <c r="IP8" s="49">
        <v>11.1</v>
      </c>
      <c r="IQ8" s="49">
        <v>7.0000000000000001E-3</v>
      </c>
      <c r="IR8" s="49">
        <v>0.01</v>
      </c>
    </row>
    <row r="9" spans="2:252" ht="15" customHeight="1" x14ac:dyDescent="0.25">
      <c r="B9" s="2" t="s">
        <v>412</v>
      </c>
      <c r="C9" s="2" t="s">
        <v>43</v>
      </c>
      <c r="D9" s="61">
        <v>2.4660879629629629E-3</v>
      </c>
      <c r="E9" s="49">
        <v>213.11</v>
      </c>
      <c r="F9" s="49">
        <v>330.51</v>
      </c>
      <c r="G9" s="49">
        <v>5.84</v>
      </c>
      <c r="H9" s="49">
        <v>29.3</v>
      </c>
      <c r="I9" s="50">
        <v>0</v>
      </c>
      <c r="J9" s="49">
        <v>14.2</v>
      </c>
      <c r="K9" s="49">
        <v>9</v>
      </c>
      <c r="L9" s="50">
        <v>3</v>
      </c>
      <c r="M9" s="50">
        <v>6</v>
      </c>
      <c r="N9" s="50">
        <v>3</v>
      </c>
      <c r="O9" s="50">
        <v>3</v>
      </c>
      <c r="P9" s="49">
        <v>0.68300000000000005</v>
      </c>
      <c r="Q9" s="49">
        <v>1.276</v>
      </c>
      <c r="R9" s="49">
        <v>0.45400000000000001</v>
      </c>
      <c r="S9" s="50">
        <v>0.81</v>
      </c>
      <c r="T9" s="49">
        <v>74.78</v>
      </c>
      <c r="U9" s="49">
        <v>60.107999999999997</v>
      </c>
      <c r="V9" s="49">
        <v>255</v>
      </c>
      <c r="W9" s="49">
        <v>266.66000000000003</v>
      </c>
      <c r="X9" s="49">
        <v>206.66</v>
      </c>
      <c r="Y9" s="49">
        <v>248.34</v>
      </c>
      <c r="Z9" s="50">
        <v>404.61</v>
      </c>
      <c r="AA9" s="50">
        <v>418.28</v>
      </c>
      <c r="AB9" s="50">
        <v>345.95</v>
      </c>
      <c r="AC9" s="50">
        <v>408.82</v>
      </c>
      <c r="AD9" s="49">
        <v>1.839</v>
      </c>
      <c r="AE9" s="49">
        <v>1.889</v>
      </c>
      <c r="AF9" s="49">
        <v>1.829</v>
      </c>
      <c r="AG9" s="49">
        <v>1.847</v>
      </c>
      <c r="AH9" s="49">
        <v>84.24</v>
      </c>
      <c r="AI9" s="49">
        <v>78.989999999999995</v>
      </c>
      <c r="AJ9" s="49">
        <v>113.26</v>
      </c>
      <c r="AK9" s="49">
        <v>108.59</v>
      </c>
      <c r="AL9" s="49">
        <v>645.93899999999996</v>
      </c>
      <c r="AM9" s="49">
        <v>653.00800000000004</v>
      </c>
      <c r="AN9" s="50">
        <v>836.64400000000001</v>
      </c>
      <c r="AO9" s="49">
        <v>762.01900000000001</v>
      </c>
      <c r="AP9" s="49">
        <v>1.38</v>
      </c>
      <c r="AQ9" s="49">
        <v>1.839</v>
      </c>
      <c r="AR9" s="49">
        <v>40.326000000000001</v>
      </c>
      <c r="AS9" s="49">
        <v>33.331000000000003</v>
      </c>
      <c r="AT9" s="49">
        <v>83</v>
      </c>
      <c r="AU9" s="49">
        <v>119</v>
      </c>
      <c r="AV9" s="49">
        <v>2.3694999999999999</v>
      </c>
      <c r="AW9" s="49">
        <v>5.4602000000000004</v>
      </c>
      <c r="AX9" s="49">
        <v>1018</v>
      </c>
      <c r="AY9" s="49">
        <v>1.97</v>
      </c>
      <c r="AZ9" s="49">
        <v>5.65</v>
      </c>
      <c r="BA9" s="49">
        <v>105.259</v>
      </c>
      <c r="BB9" s="49">
        <v>105.164</v>
      </c>
      <c r="BC9" s="49">
        <v>7643</v>
      </c>
      <c r="BD9" s="49">
        <v>89.5</v>
      </c>
      <c r="BE9" s="49">
        <v>15.525</v>
      </c>
      <c r="BF9" s="49">
        <v>12.115</v>
      </c>
      <c r="BG9" s="50">
        <v>29.12</v>
      </c>
      <c r="BH9" s="49">
        <v>25.83</v>
      </c>
      <c r="BI9" s="3"/>
      <c r="BJ9" s="3"/>
      <c r="BK9" s="3"/>
      <c r="BL9" s="3"/>
      <c r="BM9" s="3"/>
      <c r="BN9" s="49">
        <v>108.16800000000001</v>
      </c>
      <c r="BO9" s="49">
        <v>105.52800000000001</v>
      </c>
      <c r="BP9" s="49">
        <v>144.66399999999999</v>
      </c>
      <c r="BQ9" s="49">
        <v>144.376</v>
      </c>
      <c r="BR9" s="3"/>
      <c r="BS9" s="49">
        <v>29.1</v>
      </c>
      <c r="BT9" s="49">
        <v>7396.67</v>
      </c>
      <c r="BU9" s="50">
        <v>51.271000000000001</v>
      </c>
      <c r="BV9" s="49">
        <v>54.034999999999997</v>
      </c>
      <c r="BW9" s="49">
        <v>57.127000000000002</v>
      </c>
      <c r="BX9" s="50">
        <v>58.12</v>
      </c>
      <c r="BY9" s="49">
        <v>1.357</v>
      </c>
      <c r="BZ9" s="49">
        <v>2.7909999999999999</v>
      </c>
      <c r="CA9" s="49">
        <v>3.5329999999999999</v>
      </c>
      <c r="CB9" s="50">
        <v>4.1769999999999996</v>
      </c>
      <c r="CC9" s="49">
        <v>1.1120000000000001</v>
      </c>
      <c r="CD9" s="49">
        <v>2.4169999999999998</v>
      </c>
      <c r="CE9" s="49">
        <v>1.3240000000000001</v>
      </c>
      <c r="CF9" s="49">
        <v>2.137</v>
      </c>
      <c r="CG9" s="49">
        <v>13.943</v>
      </c>
      <c r="CH9" s="49">
        <v>13.789</v>
      </c>
      <c r="CI9" s="49">
        <v>4.25</v>
      </c>
      <c r="CJ9" s="49">
        <v>3.3260000000000001</v>
      </c>
      <c r="CK9" s="50">
        <v>1.81</v>
      </c>
      <c r="CL9" s="49">
        <v>0.7</v>
      </c>
      <c r="CM9" s="49">
        <v>0.3</v>
      </c>
      <c r="CN9" s="49">
        <v>0</v>
      </c>
      <c r="CO9" s="49">
        <v>0</v>
      </c>
      <c r="CP9" s="49">
        <v>102.562</v>
      </c>
      <c r="CQ9" s="49">
        <v>101.167</v>
      </c>
      <c r="CR9" s="49">
        <v>136.357</v>
      </c>
      <c r="CS9" s="49">
        <v>137.52799999999999</v>
      </c>
      <c r="CT9" s="49">
        <v>0.36799999999999999</v>
      </c>
      <c r="CU9" s="49">
        <v>0.7</v>
      </c>
      <c r="CV9" s="49">
        <v>1.599</v>
      </c>
      <c r="CW9" s="49">
        <v>1.302</v>
      </c>
      <c r="CX9" s="49">
        <v>1.7969999999999999</v>
      </c>
      <c r="CY9" s="49">
        <v>1.0980000000000001</v>
      </c>
      <c r="CZ9" s="49">
        <v>1.3029999999999999</v>
      </c>
      <c r="DA9" s="49">
        <v>1.099</v>
      </c>
      <c r="DB9" s="49">
        <v>1.401</v>
      </c>
      <c r="DC9" s="50">
        <v>0</v>
      </c>
      <c r="DD9" s="50">
        <v>0</v>
      </c>
      <c r="DE9" s="49">
        <v>0.26400000000000001</v>
      </c>
      <c r="DF9" s="49">
        <v>0.113</v>
      </c>
      <c r="DG9" s="49">
        <v>0.58699999999999997</v>
      </c>
      <c r="DH9" s="49">
        <v>2.448</v>
      </c>
      <c r="DI9" s="49">
        <v>1.3879999999999999</v>
      </c>
      <c r="DJ9" s="49">
        <v>7.5999999999999998E-2</v>
      </c>
      <c r="DK9" s="49">
        <v>0.80400000000000005</v>
      </c>
      <c r="DL9" s="49">
        <v>0.40500000000000003</v>
      </c>
      <c r="DM9" s="49">
        <v>0.46300000000000002</v>
      </c>
      <c r="DN9" s="49">
        <v>0.439</v>
      </c>
      <c r="DO9" s="49">
        <v>0.31900000000000001</v>
      </c>
      <c r="DP9" s="49">
        <v>64.402000000000001</v>
      </c>
      <c r="DQ9" s="49">
        <v>58.131999999999998</v>
      </c>
      <c r="DR9" s="49">
        <v>54.106000000000002</v>
      </c>
      <c r="DS9" s="49">
        <v>52.262</v>
      </c>
      <c r="DT9" s="50">
        <v>6.69</v>
      </c>
      <c r="DU9" s="49">
        <v>6.01</v>
      </c>
      <c r="DV9" s="49">
        <v>13.64</v>
      </c>
      <c r="DW9" s="49">
        <v>11</v>
      </c>
      <c r="DX9" s="50">
        <v>6.97</v>
      </c>
      <c r="DY9" s="49">
        <v>6.18</v>
      </c>
      <c r="DZ9" s="49">
        <v>12.95</v>
      </c>
      <c r="EA9" s="49">
        <v>10.74</v>
      </c>
      <c r="EB9" s="49">
        <v>41.73</v>
      </c>
      <c r="EC9" s="49">
        <v>41.88</v>
      </c>
      <c r="ED9" s="49">
        <v>32.200000000000003</v>
      </c>
      <c r="EE9" s="49">
        <v>35.159999999999997</v>
      </c>
      <c r="EF9" s="49">
        <v>44.6</v>
      </c>
      <c r="EG9" s="49">
        <v>45.93</v>
      </c>
      <c r="EH9" s="49">
        <v>41.21</v>
      </c>
      <c r="EI9" s="49">
        <v>43.09</v>
      </c>
      <c r="EJ9" s="49">
        <v>6.3570000000000002</v>
      </c>
      <c r="EK9" s="49">
        <v>58.738999999999997</v>
      </c>
      <c r="EL9" s="49">
        <v>1.75</v>
      </c>
      <c r="EM9" s="49">
        <v>1.35</v>
      </c>
      <c r="EN9" s="49">
        <v>1.21</v>
      </c>
      <c r="EO9" s="49">
        <v>1.22</v>
      </c>
      <c r="EP9" s="50">
        <v>-114.398</v>
      </c>
      <c r="EQ9" s="49">
        <v>-2.5049999999999999</v>
      </c>
      <c r="ER9" s="49">
        <v>101.098</v>
      </c>
      <c r="ES9" s="49">
        <v>1.524</v>
      </c>
      <c r="ET9" s="49">
        <v>1.6559999999999999</v>
      </c>
      <c r="EU9" s="49">
        <v>1.4610000000000001</v>
      </c>
      <c r="EV9" s="50">
        <v>7.5030000000000001</v>
      </c>
      <c r="EW9" s="49">
        <v>0.57099999999999995</v>
      </c>
      <c r="EX9" s="49">
        <v>74.64</v>
      </c>
      <c r="EY9" s="49">
        <v>0</v>
      </c>
      <c r="EZ9" s="49">
        <v>0</v>
      </c>
      <c r="FA9" s="50">
        <v>0</v>
      </c>
      <c r="FB9" s="49">
        <v>9.2059999999999995</v>
      </c>
      <c r="FC9" s="49">
        <v>75.501999999999995</v>
      </c>
      <c r="FD9" s="49">
        <v>69.572000000000003</v>
      </c>
      <c r="FE9" s="49">
        <v>87.200999999999993</v>
      </c>
      <c r="FF9" s="49">
        <v>84.340999999999994</v>
      </c>
      <c r="FG9" s="49">
        <v>0.94499999999999995</v>
      </c>
      <c r="FH9" s="49">
        <v>0.94499999999999995</v>
      </c>
      <c r="FI9" s="49">
        <v>0.98599999999999999</v>
      </c>
      <c r="FJ9" s="49">
        <v>0.99099999999999999</v>
      </c>
      <c r="FK9" s="49">
        <v>0</v>
      </c>
      <c r="FL9" s="49">
        <v>83</v>
      </c>
      <c r="FM9" s="49">
        <v>3.31</v>
      </c>
      <c r="FN9" s="49">
        <v>2.1</v>
      </c>
      <c r="FO9" s="49">
        <v>5.5</v>
      </c>
      <c r="FP9" s="3"/>
      <c r="FQ9" s="49">
        <v>4.8499999999999996</v>
      </c>
      <c r="FR9" s="49">
        <v>5</v>
      </c>
      <c r="FS9" s="49">
        <v>6.7670000000000003</v>
      </c>
      <c r="FT9" s="49">
        <v>1071.5999999999999</v>
      </c>
      <c r="FU9" s="50">
        <v>7.18</v>
      </c>
      <c r="FV9" s="49">
        <v>17.22</v>
      </c>
      <c r="FW9" s="49">
        <v>3194</v>
      </c>
      <c r="FX9" s="49">
        <v>162700</v>
      </c>
      <c r="FY9" s="49">
        <v>163600</v>
      </c>
      <c r="FZ9" s="49">
        <v>48.19</v>
      </c>
      <c r="GA9" s="49">
        <v>47.231999999999999</v>
      </c>
      <c r="GB9" s="49">
        <v>2157.5</v>
      </c>
      <c r="GC9" s="49">
        <v>2161.5</v>
      </c>
      <c r="GD9" s="49">
        <v>2202.3000000000002</v>
      </c>
      <c r="GE9" s="49">
        <v>2204.1999999999998</v>
      </c>
      <c r="GF9" s="49">
        <v>1273.7655999999999</v>
      </c>
      <c r="GG9" s="49">
        <v>27</v>
      </c>
      <c r="GH9" s="49">
        <v>27.3</v>
      </c>
      <c r="GI9" s="49">
        <v>48.2</v>
      </c>
      <c r="GJ9" s="49">
        <v>53</v>
      </c>
      <c r="GK9" s="49">
        <v>99.5</v>
      </c>
      <c r="GL9" s="49">
        <v>88.5</v>
      </c>
      <c r="GM9" s="50">
        <v>0</v>
      </c>
      <c r="GN9" s="49">
        <v>28.405999999999999</v>
      </c>
      <c r="GO9" s="49">
        <v>114.398</v>
      </c>
      <c r="GP9" s="49">
        <v>0.82599999999999996</v>
      </c>
      <c r="GQ9" s="49">
        <v>1.9470000000000001</v>
      </c>
      <c r="GR9" s="49">
        <v>1.298</v>
      </c>
      <c r="GS9" s="49">
        <v>2.0059999999999998</v>
      </c>
      <c r="GT9" s="49">
        <v>0.76700000000000002</v>
      </c>
      <c r="GU9" s="49">
        <v>1.8879999999999999</v>
      </c>
      <c r="GV9" s="49">
        <v>12.936</v>
      </c>
      <c r="GW9" s="49">
        <v>14.084</v>
      </c>
      <c r="GX9" s="49">
        <v>15.68</v>
      </c>
      <c r="GY9" s="50">
        <v>0</v>
      </c>
      <c r="GZ9" s="50">
        <v>0</v>
      </c>
      <c r="HA9" s="50">
        <v>0</v>
      </c>
      <c r="HB9" s="49">
        <v>0</v>
      </c>
      <c r="HC9" s="49">
        <v>23.276</v>
      </c>
      <c r="HD9" s="49">
        <v>82</v>
      </c>
      <c r="HE9" s="50">
        <v>0</v>
      </c>
      <c r="HF9" s="50">
        <v>0</v>
      </c>
      <c r="HG9" s="49">
        <v>77.83</v>
      </c>
      <c r="HH9" s="49">
        <v>82.87</v>
      </c>
      <c r="HI9" s="50">
        <v>0</v>
      </c>
      <c r="HJ9" s="50">
        <v>0</v>
      </c>
      <c r="HK9" s="50">
        <v>0</v>
      </c>
      <c r="HL9" s="49">
        <v>63</v>
      </c>
      <c r="HM9" s="49">
        <v>54</v>
      </c>
      <c r="HN9" s="49">
        <v>64</v>
      </c>
      <c r="HO9" s="49">
        <v>58</v>
      </c>
      <c r="HP9" s="49">
        <v>61</v>
      </c>
      <c r="HQ9" s="49">
        <v>59</v>
      </c>
      <c r="HR9" s="49">
        <v>51</v>
      </c>
      <c r="HS9" s="50">
        <v>70</v>
      </c>
      <c r="HT9" s="49">
        <v>-1.2689999999999999</v>
      </c>
      <c r="HU9" s="50">
        <v>0</v>
      </c>
      <c r="HV9" s="49">
        <v>1.304</v>
      </c>
      <c r="HW9" s="50">
        <v>34.18</v>
      </c>
      <c r="HX9" s="50">
        <v>44.16</v>
      </c>
      <c r="HY9" s="49">
        <v>47.76</v>
      </c>
      <c r="HZ9" s="50">
        <v>59.66</v>
      </c>
      <c r="IA9" s="49">
        <v>2.7069999999999999</v>
      </c>
      <c r="IB9" s="49">
        <v>104</v>
      </c>
      <c r="IC9" s="49">
        <v>22.895</v>
      </c>
      <c r="ID9" s="49">
        <v>-0.26</v>
      </c>
      <c r="IE9" s="49">
        <v>-8.5999999999999993E-2</v>
      </c>
      <c r="IF9" s="49">
        <v>822.9</v>
      </c>
      <c r="IG9" s="50">
        <v>775.2</v>
      </c>
      <c r="IH9" s="49">
        <v>832.6</v>
      </c>
      <c r="II9" s="49">
        <v>786.9</v>
      </c>
      <c r="IJ9" s="49">
        <v>-2.7E-2</v>
      </c>
      <c r="IK9" s="49">
        <v>-0.153</v>
      </c>
      <c r="IL9" s="49">
        <v>71.332999999999998</v>
      </c>
      <c r="IM9" s="49">
        <v>71.332999999999998</v>
      </c>
      <c r="IN9" s="49">
        <v>11.933</v>
      </c>
      <c r="IO9" s="49">
        <v>0.59299999999999997</v>
      </c>
      <c r="IP9" s="49">
        <v>10.97</v>
      </c>
      <c r="IQ9" s="49">
        <v>1.0999999999999999E-2</v>
      </c>
      <c r="IR9" s="49">
        <v>8.9999999999999993E-3</v>
      </c>
    </row>
    <row r="10" spans="2:252" x14ac:dyDescent="0.25">
      <c r="B10" s="2" t="s">
        <v>412</v>
      </c>
      <c r="C10" s="62" t="s">
        <v>44</v>
      </c>
      <c r="D10" s="63">
        <v>2.4462962962962967E-3</v>
      </c>
      <c r="E10" s="49">
        <v>211.4</v>
      </c>
      <c r="F10" s="49">
        <v>329.72</v>
      </c>
      <c r="G10" s="50">
        <v>5.85</v>
      </c>
      <c r="H10" s="49">
        <v>29.3</v>
      </c>
      <c r="I10" s="50">
        <v>0</v>
      </c>
      <c r="J10" s="49">
        <v>14.8</v>
      </c>
      <c r="K10" s="50">
        <v>10</v>
      </c>
      <c r="L10" s="50">
        <v>3</v>
      </c>
      <c r="M10" s="50">
        <v>6</v>
      </c>
      <c r="N10" s="50">
        <v>3</v>
      </c>
      <c r="O10" s="50">
        <v>3</v>
      </c>
      <c r="P10" s="49">
        <v>0.79700000000000004</v>
      </c>
      <c r="Q10" s="49">
        <v>1.395</v>
      </c>
      <c r="R10" s="49">
        <v>0.72699999999999998</v>
      </c>
      <c r="S10" s="49">
        <v>0.71399999999999997</v>
      </c>
      <c r="T10" s="49">
        <v>80.75</v>
      </c>
      <c r="U10" s="49">
        <v>60.061</v>
      </c>
      <c r="V10" s="49">
        <v>248.34</v>
      </c>
      <c r="W10" s="49">
        <v>261.66000000000003</v>
      </c>
      <c r="X10" s="49">
        <v>213.34</v>
      </c>
      <c r="Y10" s="49">
        <v>258.33999999999997</v>
      </c>
      <c r="Z10" s="49">
        <v>394.89</v>
      </c>
      <c r="AA10" s="49">
        <v>407.01</v>
      </c>
      <c r="AB10" s="49">
        <v>335.84</v>
      </c>
      <c r="AC10" s="49">
        <v>398.92</v>
      </c>
      <c r="AD10" s="50">
        <v>1.8460000000000001</v>
      </c>
      <c r="AE10" s="50">
        <v>1.8979999999999999</v>
      </c>
      <c r="AF10" s="50">
        <v>1.849</v>
      </c>
      <c r="AG10" s="50">
        <v>1.8660000000000001</v>
      </c>
      <c r="AH10" s="50">
        <v>84.95</v>
      </c>
      <c r="AI10" s="50">
        <v>80.819999999999993</v>
      </c>
      <c r="AJ10" s="50">
        <v>115.14</v>
      </c>
      <c r="AK10" s="50">
        <v>110.23</v>
      </c>
      <c r="AL10" s="49">
        <v>667.36800000000005</v>
      </c>
      <c r="AM10" s="49">
        <v>651.23299999999995</v>
      </c>
      <c r="AN10" s="49">
        <v>811.95799999999997</v>
      </c>
      <c r="AO10" s="49">
        <v>800.71100000000001</v>
      </c>
      <c r="AP10" s="49">
        <v>1.369</v>
      </c>
      <c r="AQ10" s="49">
        <v>1.827</v>
      </c>
      <c r="AR10" s="49">
        <v>41.41</v>
      </c>
      <c r="AS10" s="49">
        <v>34.609000000000002</v>
      </c>
      <c r="AT10" s="49">
        <v>83</v>
      </c>
      <c r="AU10" s="49">
        <v>120</v>
      </c>
      <c r="AV10" s="49">
        <v>2.3290000000000002</v>
      </c>
      <c r="AW10" s="49">
        <v>5.4340999999999999</v>
      </c>
      <c r="AX10" s="49">
        <v>1018.1</v>
      </c>
      <c r="AY10" s="49">
        <v>2.0299999999999998</v>
      </c>
      <c r="AZ10" s="49">
        <v>5.73</v>
      </c>
      <c r="BA10" s="49">
        <v>112.649</v>
      </c>
      <c r="BB10" s="49">
        <v>111.938</v>
      </c>
      <c r="BC10" s="49">
        <v>7706</v>
      </c>
      <c r="BD10" s="50">
        <v>90</v>
      </c>
      <c r="BE10" s="49">
        <v>16.41</v>
      </c>
      <c r="BF10" s="49">
        <v>13.255000000000001</v>
      </c>
      <c r="BG10" s="49">
        <v>28.42</v>
      </c>
      <c r="BH10" s="49">
        <v>26.13</v>
      </c>
      <c r="BI10" s="3"/>
      <c r="BJ10" s="3"/>
      <c r="BK10" s="3"/>
      <c r="BL10" s="3"/>
      <c r="BM10" s="3"/>
      <c r="BN10" s="49">
        <v>107.57599999999999</v>
      </c>
      <c r="BO10" s="49">
        <v>105.752</v>
      </c>
      <c r="BP10" s="49">
        <v>145.33600000000001</v>
      </c>
      <c r="BQ10" s="49">
        <v>145.11199999999999</v>
      </c>
      <c r="BR10" s="3"/>
      <c r="BS10" s="49">
        <v>29.1</v>
      </c>
      <c r="BT10" s="49">
        <v>7395.33</v>
      </c>
      <c r="BU10" s="49">
        <v>51.076000000000001</v>
      </c>
      <c r="BV10" s="49">
        <v>54.88</v>
      </c>
      <c r="BW10" s="49">
        <v>56.758000000000003</v>
      </c>
      <c r="BX10" s="49">
        <v>57.265000000000001</v>
      </c>
      <c r="BY10" s="49">
        <v>1.3220000000000001</v>
      </c>
      <c r="BZ10" s="49">
        <v>2.8210000000000002</v>
      </c>
      <c r="CA10" s="49">
        <v>3.4889999999999999</v>
      </c>
      <c r="CB10" s="49">
        <v>3.7349999999999999</v>
      </c>
      <c r="CC10" s="49">
        <v>1.1819999999999999</v>
      </c>
      <c r="CD10" s="49">
        <v>2.3029999999999999</v>
      </c>
      <c r="CE10" s="49">
        <v>1.3460000000000001</v>
      </c>
      <c r="CF10" s="49">
        <v>2.137</v>
      </c>
      <c r="CG10" s="49">
        <v>13.942</v>
      </c>
      <c r="CH10" s="49">
        <v>13.781000000000001</v>
      </c>
      <c r="CI10" s="49">
        <v>4.4020000000000001</v>
      </c>
      <c r="CJ10" s="49">
        <v>3.194</v>
      </c>
      <c r="CK10" s="49">
        <v>1.649</v>
      </c>
      <c r="CL10" s="49">
        <v>0.3</v>
      </c>
      <c r="CM10" s="49">
        <v>0.5</v>
      </c>
      <c r="CN10" s="50">
        <v>0.3</v>
      </c>
      <c r="CO10" s="49">
        <v>0.2</v>
      </c>
      <c r="CP10" s="49">
        <v>100.651</v>
      </c>
      <c r="CQ10" s="49">
        <v>99.977999999999994</v>
      </c>
      <c r="CR10" s="50">
        <v>137.45400000000001</v>
      </c>
      <c r="CS10" s="50">
        <v>139.46799999999999</v>
      </c>
      <c r="CT10" s="49">
        <v>0.52200000000000002</v>
      </c>
      <c r="CU10" s="49">
        <v>0.59899999999999998</v>
      </c>
      <c r="CV10" s="49">
        <v>1.7030000000000001</v>
      </c>
      <c r="CW10" s="49">
        <v>1.9019999999999999</v>
      </c>
      <c r="CX10" s="49">
        <v>1.4970000000000001</v>
      </c>
      <c r="CY10" s="49">
        <v>1.0029999999999999</v>
      </c>
      <c r="CZ10" s="49">
        <v>1.4</v>
      </c>
      <c r="DA10" s="49">
        <v>1</v>
      </c>
      <c r="DB10" s="49">
        <v>0.999</v>
      </c>
      <c r="DC10" s="50">
        <v>0</v>
      </c>
      <c r="DD10" s="50">
        <v>0</v>
      </c>
      <c r="DE10" s="49">
        <v>0.29199999999999998</v>
      </c>
      <c r="DF10" s="49">
        <v>0.13600000000000001</v>
      </c>
      <c r="DG10" s="49">
        <v>0.50900000000000001</v>
      </c>
      <c r="DH10" s="50">
        <v>2.589</v>
      </c>
      <c r="DI10" s="50">
        <v>1.49</v>
      </c>
      <c r="DJ10" s="49">
        <v>0.17499999999999999</v>
      </c>
      <c r="DK10" s="49">
        <v>0.79700000000000004</v>
      </c>
      <c r="DL10" s="49">
        <v>0.40799999999999997</v>
      </c>
      <c r="DM10" s="49">
        <v>0.45900000000000002</v>
      </c>
      <c r="DN10" s="49">
        <v>0.46300000000000002</v>
      </c>
      <c r="DO10" s="49">
        <v>0.34499999999999997</v>
      </c>
      <c r="DP10" s="49">
        <v>64.725999999999999</v>
      </c>
      <c r="DQ10" s="49">
        <v>58.968000000000004</v>
      </c>
      <c r="DR10" s="49">
        <v>52.582000000000001</v>
      </c>
      <c r="DS10" s="49">
        <v>51.238999999999997</v>
      </c>
      <c r="DT10" s="49">
        <v>6.65</v>
      </c>
      <c r="DU10" s="50">
        <v>6.24</v>
      </c>
      <c r="DV10" s="50">
        <v>13.78</v>
      </c>
      <c r="DW10" s="50">
        <v>11.69</v>
      </c>
      <c r="DX10" s="49">
        <v>6.87</v>
      </c>
      <c r="DY10" s="49">
        <v>6.37</v>
      </c>
      <c r="DZ10" s="50">
        <v>13.31</v>
      </c>
      <c r="EA10" s="50">
        <v>11.4</v>
      </c>
      <c r="EB10" s="49">
        <v>41.83</v>
      </c>
      <c r="EC10" s="49">
        <v>41.2</v>
      </c>
      <c r="ED10" s="49">
        <v>31.51</v>
      </c>
      <c r="EE10" s="49">
        <v>33.78</v>
      </c>
      <c r="EF10" s="49">
        <v>44.64</v>
      </c>
      <c r="EG10" s="49">
        <v>46.19</v>
      </c>
      <c r="EH10" s="49">
        <v>41.4</v>
      </c>
      <c r="EI10" s="49">
        <v>43.12</v>
      </c>
      <c r="EJ10" s="50">
        <v>6.81</v>
      </c>
      <c r="EK10" s="50">
        <v>59.183</v>
      </c>
      <c r="EL10" s="49">
        <v>1.9</v>
      </c>
      <c r="EM10" s="49">
        <v>1.4</v>
      </c>
      <c r="EN10" s="49">
        <v>1.21</v>
      </c>
      <c r="EO10" s="49">
        <v>1.22</v>
      </c>
      <c r="EP10" s="49">
        <v>-105.054</v>
      </c>
      <c r="EQ10" s="49">
        <v>-2.29</v>
      </c>
      <c r="ER10" s="49">
        <v>104.31</v>
      </c>
      <c r="ES10" s="49">
        <v>1.478</v>
      </c>
      <c r="ET10" s="50">
        <v>1.6579999999999999</v>
      </c>
      <c r="EU10" s="49">
        <v>1.4330000000000001</v>
      </c>
      <c r="EV10" s="49">
        <v>7.4909999999999997</v>
      </c>
      <c r="EW10" s="49">
        <v>0.59899999999999998</v>
      </c>
      <c r="EX10" s="50">
        <v>74.94</v>
      </c>
      <c r="EY10" s="49">
        <v>0</v>
      </c>
      <c r="EZ10" s="49">
        <v>5.8000000000000003E-2</v>
      </c>
      <c r="FA10" s="50">
        <v>0</v>
      </c>
      <c r="FB10" s="49">
        <v>9.2100000000000009</v>
      </c>
      <c r="FC10" s="50">
        <v>76.549000000000007</v>
      </c>
      <c r="FD10" s="50">
        <v>70.911000000000001</v>
      </c>
      <c r="FE10" s="50">
        <v>90.117999999999995</v>
      </c>
      <c r="FF10" s="50">
        <v>87.099000000000004</v>
      </c>
      <c r="FG10" s="49">
        <v>0.94499999999999995</v>
      </c>
      <c r="FH10" s="49">
        <v>0.94599999999999995</v>
      </c>
      <c r="FI10" s="49">
        <v>0.98599999999999999</v>
      </c>
      <c r="FJ10" s="49">
        <v>0.99</v>
      </c>
      <c r="FK10" s="49">
        <v>0</v>
      </c>
      <c r="FL10" s="49">
        <v>83</v>
      </c>
      <c r="FM10" s="49">
        <v>3.31</v>
      </c>
      <c r="FN10" s="49">
        <v>2.0499999999999998</v>
      </c>
      <c r="FO10" s="49">
        <v>5.48</v>
      </c>
      <c r="FP10" s="49">
        <v>4.5</v>
      </c>
      <c r="FQ10" s="49">
        <v>4.8499999999999996</v>
      </c>
      <c r="FR10" s="49">
        <v>5.05</v>
      </c>
      <c r="FS10" s="49">
        <v>6.8315000000000001</v>
      </c>
      <c r="FT10" s="49">
        <v>1072.0999999999999</v>
      </c>
      <c r="FU10" s="49">
        <v>6.95</v>
      </c>
      <c r="FV10" s="49">
        <v>23.08</v>
      </c>
      <c r="FW10" s="49">
        <v>3091</v>
      </c>
      <c r="FX10" s="49">
        <v>166900</v>
      </c>
      <c r="FY10" s="49">
        <v>167800</v>
      </c>
      <c r="FZ10" s="49">
        <v>47.944000000000003</v>
      </c>
      <c r="GA10" s="49">
        <v>46.993000000000002</v>
      </c>
      <c r="GB10" s="49">
        <v>2178.8000000000002</v>
      </c>
      <c r="GC10" s="50">
        <v>2350.6999999999998</v>
      </c>
      <c r="GD10" s="49">
        <v>2221.1</v>
      </c>
      <c r="GE10" s="50">
        <v>2350.6999999999998</v>
      </c>
      <c r="GF10" s="49">
        <v>1437.9219000000001</v>
      </c>
      <c r="GG10" s="49">
        <v>28</v>
      </c>
      <c r="GH10" s="49">
        <v>27.9</v>
      </c>
      <c r="GI10" s="49">
        <v>48</v>
      </c>
      <c r="GJ10" s="49">
        <v>52.7</v>
      </c>
      <c r="GK10" s="49">
        <v>99.5</v>
      </c>
      <c r="GL10" s="49">
        <v>77.8</v>
      </c>
      <c r="GM10" s="50">
        <v>0</v>
      </c>
      <c r="GN10" s="50">
        <v>28.806000000000001</v>
      </c>
      <c r="GO10" s="49">
        <v>105.054</v>
      </c>
      <c r="GP10" s="49">
        <v>0.53100000000000003</v>
      </c>
      <c r="GQ10" s="49">
        <v>1.9470000000000001</v>
      </c>
      <c r="GR10" s="49">
        <v>1.121</v>
      </c>
      <c r="GS10" s="49">
        <v>2.0059999999999998</v>
      </c>
      <c r="GT10" s="49">
        <v>0.70799999999999996</v>
      </c>
      <c r="GU10" s="49">
        <v>1.8879999999999999</v>
      </c>
      <c r="GV10" s="49">
        <v>13.034000000000001</v>
      </c>
      <c r="GW10" s="49">
        <v>14.063000000000001</v>
      </c>
      <c r="GX10" s="49">
        <v>15.092000000000001</v>
      </c>
      <c r="GY10" s="50">
        <v>0</v>
      </c>
      <c r="GZ10" s="50">
        <v>0</v>
      </c>
      <c r="HA10" s="50">
        <v>0</v>
      </c>
      <c r="HB10" s="49">
        <v>0</v>
      </c>
      <c r="HC10" s="49">
        <v>23.283000000000001</v>
      </c>
      <c r="HD10" s="49">
        <v>82</v>
      </c>
      <c r="HE10" s="50">
        <v>0</v>
      </c>
      <c r="HF10" s="50">
        <v>0</v>
      </c>
      <c r="HG10" s="49">
        <v>76.94</v>
      </c>
      <c r="HH10" s="49">
        <v>82.74</v>
      </c>
      <c r="HI10" s="50">
        <v>0</v>
      </c>
      <c r="HJ10" s="50">
        <v>0</v>
      </c>
      <c r="HK10" s="50">
        <v>0</v>
      </c>
      <c r="HL10" s="49">
        <v>63</v>
      </c>
      <c r="HM10" s="49">
        <v>53</v>
      </c>
      <c r="HN10" s="49">
        <v>65</v>
      </c>
      <c r="HO10" s="49">
        <v>59</v>
      </c>
      <c r="HP10" s="49">
        <v>62</v>
      </c>
      <c r="HQ10" s="49">
        <v>60</v>
      </c>
      <c r="HR10" s="49">
        <v>51</v>
      </c>
      <c r="HS10" s="49">
        <v>64</v>
      </c>
      <c r="HT10" s="49">
        <v>-1.27</v>
      </c>
      <c r="HU10" s="50">
        <v>0</v>
      </c>
      <c r="HV10" s="50">
        <v>1.321</v>
      </c>
      <c r="HW10" s="50">
        <v>34.18</v>
      </c>
      <c r="HX10" s="49">
        <v>46.49</v>
      </c>
      <c r="HY10" s="49">
        <v>47.44</v>
      </c>
      <c r="HZ10" s="49">
        <v>59.42</v>
      </c>
      <c r="IA10" s="50">
        <v>2.9489999999999998</v>
      </c>
      <c r="IB10" s="50">
        <v>105</v>
      </c>
      <c r="IC10" s="50">
        <v>23.055</v>
      </c>
      <c r="ID10" s="49">
        <v>-0.25</v>
      </c>
      <c r="IE10" s="49">
        <v>-7.3999999999999996E-2</v>
      </c>
      <c r="IF10" s="49">
        <v>821.5</v>
      </c>
      <c r="IG10" s="49">
        <v>774.3</v>
      </c>
      <c r="IH10" s="49">
        <v>831.6</v>
      </c>
      <c r="II10" s="50">
        <v>787.3</v>
      </c>
      <c r="IJ10" s="49">
        <v>-2.4E-2</v>
      </c>
      <c r="IK10" s="49">
        <v>-0.13</v>
      </c>
      <c r="IL10" s="49">
        <v>70.33</v>
      </c>
      <c r="IM10" s="49">
        <v>70.33</v>
      </c>
      <c r="IN10" s="49">
        <v>13.01</v>
      </c>
      <c r="IO10" s="49">
        <v>0.57399999999999995</v>
      </c>
      <c r="IP10" s="49">
        <v>10.81</v>
      </c>
      <c r="IQ10" s="50">
        <v>1.4E-2</v>
      </c>
      <c r="IR10" s="49">
        <v>1.2E-2</v>
      </c>
    </row>
    <row r="11" spans="2:252" x14ac:dyDescent="0.25">
      <c r="B11" s="2" t="s">
        <v>412</v>
      </c>
      <c r="C11" s="2" t="s">
        <v>45</v>
      </c>
      <c r="D11" s="61">
        <v>2.8197916666666666E-3</v>
      </c>
      <c r="E11" s="49">
        <v>243.68</v>
      </c>
      <c r="F11" s="49">
        <v>329.54</v>
      </c>
      <c r="G11" s="49">
        <v>5.61</v>
      </c>
      <c r="H11" s="49">
        <v>29.2</v>
      </c>
      <c r="I11" s="50">
        <v>0</v>
      </c>
      <c r="J11" s="49">
        <v>14.1</v>
      </c>
      <c r="K11" s="50">
        <v>10</v>
      </c>
      <c r="L11" s="50">
        <v>3</v>
      </c>
      <c r="M11" s="50">
        <v>6</v>
      </c>
      <c r="N11" s="50">
        <v>3</v>
      </c>
      <c r="O11" s="50">
        <v>3</v>
      </c>
      <c r="P11" s="50">
        <v>0.89500000000000002</v>
      </c>
      <c r="Q11" s="50">
        <v>1.708</v>
      </c>
      <c r="R11" s="50">
        <v>0.84799999999999998</v>
      </c>
      <c r="S11" s="49">
        <v>0.58299999999999996</v>
      </c>
      <c r="T11" s="50">
        <v>81.36</v>
      </c>
      <c r="U11" s="49">
        <v>60.134999999999998</v>
      </c>
      <c r="V11" s="49">
        <v>185</v>
      </c>
      <c r="W11" s="49">
        <v>195</v>
      </c>
      <c r="X11" s="49">
        <v>147.5</v>
      </c>
      <c r="Y11" s="49">
        <v>185</v>
      </c>
      <c r="Z11" s="49">
        <v>350.25</v>
      </c>
      <c r="AA11" s="49">
        <v>362.75</v>
      </c>
      <c r="AB11" s="49">
        <v>293.3</v>
      </c>
      <c r="AC11" s="49">
        <v>349.09</v>
      </c>
      <c r="AD11" s="49">
        <v>1.821</v>
      </c>
      <c r="AE11" s="49">
        <v>1.8819999999999999</v>
      </c>
      <c r="AF11" s="49">
        <v>1.8160000000000001</v>
      </c>
      <c r="AG11" s="49">
        <v>1.843</v>
      </c>
      <c r="AH11" s="49">
        <v>80.06</v>
      </c>
      <c r="AI11" s="49">
        <v>76.86</v>
      </c>
      <c r="AJ11" s="49">
        <v>107.1</v>
      </c>
      <c r="AK11" s="49">
        <v>104.42</v>
      </c>
      <c r="AL11" s="50">
        <v>680.83799999999997</v>
      </c>
      <c r="AM11" s="50">
        <v>679.45100000000002</v>
      </c>
      <c r="AN11" s="49">
        <v>822.01900000000001</v>
      </c>
      <c r="AO11" s="50">
        <v>822.61800000000005</v>
      </c>
      <c r="AP11" s="49">
        <v>1.35</v>
      </c>
      <c r="AQ11" s="49">
        <v>1.8080000000000001</v>
      </c>
      <c r="AR11" s="49">
        <v>40.624000000000002</v>
      </c>
      <c r="AS11" s="49">
        <v>32.698</v>
      </c>
      <c r="AT11" s="49">
        <v>83</v>
      </c>
      <c r="AU11" s="49">
        <v>119</v>
      </c>
      <c r="AV11" s="49">
        <v>2.3904999999999998</v>
      </c>
      <c r="AW11" s="49">
        <v>5.2743000000000002</v>
      </c>
      <c r="AX11" s="49">
        <v>1016.5</v>
      </c>
      <c r="AY11" s="49">
        <v>2.0099999999999998</v>
      </c>
      <c r="AZ11" s="49">
        <v>5.54</v>
      </c>
      <c r="BA11" s="50">
        <v>64.099999999999994</v>
      </c>
      <c r="BB11" s="50">
        <v>65.709000000000003</v>
      </c>
      <c r="BC11" s="49">
        <v>7768</v>
      </c>
      <c r="BD11" s="49">
        <v>89.75</v>
      </c>
      <c r="BE11" s="50">
        <v>16.75</v>
      </c>
      <c r="BF11" s="49">
        <v>14.12</v>
      </c>
      <c r="BG11" s="49">
        <v>27.01</v>
      </c>
      <c r="BH11" s="49">
        <v>27.36</v>
      </c>
      <c r="BI11" s="3"/>
      <c r="BJ11" s="3"/>
      <c r="BK11" s="3"/>
      <c r="BL11" s="3"/>
      <c r="BM11" s="3"/>
      <c r="BN11" s="49">
        <v>117.83199999999999</v>
      </c>
      <c r="BO11" s="49">
        <v>115.14400000000001</v>
      </c>
      <c r="BP11" s="50">
        <v>149.84800000000001</v>
      </c>
      <c r="BQ11" s="50">
        <v>149.11199999999999</v>
      </c>
      <c r="BR11" s="3"/>
      <c r="BS11" s="49">
        <v>29</v>
      </c>
      <c r="BT11" s="49">
        <v>7262.6779999999999</v>
      </c>
      <c r="BU11" s="49">
        <v>48.091999999999999</v>
      </c>
      <c r="BV11" s="49">
        <v>53.475000000000001</v>
      </c>
      <c r="BW11" s="49">
        <v>55.503999999999998</v>
      </c>
      <c r="BX11" s="49">
        <v>56.326999999999998</v>
      </c>
      <c r="BY11" s="49">
        <v>1.472</v>
      </c>
      <c r="BZ11" s="49">
        <v>3.044</v>
      </c>
      <c r="CA11" s="49">
        <v>3.4710000000000001</v>
      </c>
      <c r="CB11" s="49">
        <v>3.4550000000000001</v>
      </c>
      <c r="CC11" s="49">
        <v>1.1319999999999999</v>
      </c>
      <c r="CD11" s="49">
        <v>2.3170000000000002</v>
      </c>
      <c r="CE11" s="49">
        <v>1.27</v>
      </c>
      <c r="CF11" s="49">
        <v>2.0630000000000002</v>
      </c>
      <c r="CG11" s="50">
        <v>13.958</v>
      </c>
      <c r="CH11" s="49">
        <v>13.792</v>
      </c>
      <c r="CI11" s="49">
        <v>5.0460000000000003</v>
      </c>
      <c r="CJ11" s="49">
        <v>3.2109999999999999</v>
      </c>
      <c r="CK11" s="49">
        <v>1.357</v>
      </c>
      <c r="CL11" s="49">
        <v>0.4</v>
      </c>
      <c r="CM11" s="49">
        <v>0.8</v>
      </c>
      <c r="CN11" s="50">
        <v>0.3</v>
      </c>
      <c r="CO11" s="50">
        <v>0.3</v>
      </c>
      <c r="CP11" s="49">
        <v>99.960999999999999</v>
      </c>
      <c r="CQ11" s="49">
        <v>98.738</v>
      </c>
      <c r="CR11" s="49">
        <v>129.721</v>
      </c>
      <c r="CS11" s="49">
        <v>131.69800000000001</v>
      </c>
      <c r="CT11" s="49">
        <v>0.308</v>
      </c>
      <c r="CU11" s="49">
        <v>1.4</v>
      </c>
      <c r="CV11" s="49">
        <v>1.1020000000000001</v>
      </c>
      <c r="CW11" s="49">
        <v>1.9</v>
      </c>
      <c r="CX11" s="49">
        <v>1.4930000000000001</v>
      </c>
      <c r="CY11" s="49">
        <v>1.1040000000000001</v>
      </c>
      <c r="CZ11" s="49">
        <v>1.6020000000000001</v>
      </c>
      <c r="DA11" s="49">
        <v>0.8</v>
      </c>
      <c r="DB11" s="49">
        <v>2.1970000000000001</v>
      </c>
      <c r="DC11" s="50">
        <v>0</v>
      </c>
      <c r="DD11" s="50">
        <v>0</v>
      </c>
      <c r="DE11" s="49">
        <v>0.27</v>
      </c>
      <c r="DF11" s="49">
        <v>0.121</v>
      </c>
      <c r="DG11" s="49">
        <v>0.84399999999999997</v>
      </c>
      <c r="DH11" s="49">
        <v>2.2570000000000001</v>
      </c>
      <c r="DI11" s="49">
        <v>1.1479999999999999</v>
      </c>
      <c r="DJ11" s="50">
        <v>0.215</v>
      </c>
      <c r="DK11" s="49">
        <v>0.90400000000000003</v>
      </c>
      <c r="DL11" s="50">
        <v>0.41399999999999998</v>
      </c>
      <c r="DM11" s="49">
        <v>0.53100000000000003</v>
      </c>
      <c r="DN11" s="49">
        <v>0.44600000000000001</v>
      </c>
      <c r="DO11" s="49">
        <v>0.376</v>
      </c>
      <c r="DP11" s="49">
        <v>65.558000000000007</v>
      </c>
      <c r="DQ11" s="49">
        <v>60.768000000000001</v>
      </c>
      <c r="DR11" s="49">
        <v>53.351999999999997</v>
      </c>
      <c r="DS11" s="49">
        <v>51.609000000000002</v>
      </c>
      <c r="DT11" s="49">
        <v>5.85</v>
      </c>
      <c r="DU11" s="49">
        <v>5.39</v>
      </c>
      <c r="DV11" s="49">
        <v>11.12</v>
      </c>
      <c r="DW11" s="49">
        <v>9.5</v>
      </c>
      <c r="DX11" s="49">
        <v>6.04</v>
      </c>
      <c r="DY11" s="49">
        <v>5.74</v>
      </c>
      <c r="DZ11" s="49">
        <v>10.76</v>
      </c>
      <c r="EA11" s="49">
        <v>9.15</v>
      </c>
      <c r="EB11" s="49">
        <v>41.33</v>
      </c>
      <c r="EC11" s="49">
        <v>41.04</v>
      </c>
      <c r="ED11" s="50">
        <v>33.65</v>
      </c>
      <c r="EE11" s="49">
        <v>34.71</v>
      </c>
      <c r="EF11" s="49">
        <v>46.79</v>
      </c>
      <c r="EG11" s="49">
        <v>47.82</v>
      </c>
      <c r="EH11" s="49">
        <v>44.47</v>
      </c>
      <c r="EI11" s="49">
        <v>46.64</v>
      </c>
      <c r="EJ11" s="49">
        <v>6.7290000000000001</v>
      </c>
      <c r="EK11" s="49">
        <v>58.720999999999997</v>
      </c>
      <c r="EL11" s="49">
        <v>1.8</v>
      </c>
      <c r="EM11" s="49">
        <v>1.45</v>
      </c>
      <c r="EN11" s="50">
        <v>1.28</v>
      </c>
      <c r="EO11" s="50">
        <v>1.28</v>
      </c>
      <c r="EP11" s="49">
        <v>-107.682</v>
      </c>
      <c r="EQ11" s="49">
        <v>-1.448</v>
      </c>
      <c r="ER11" s="49">
        <v>99.638000000000005</v>
      </c>
      <c r="ES11" s="49">
        <v>1.4990000000000001</v>
      </c>
      <c r="ET11" s="49">
        <v>1.6559999999999999</v>
      </c>
      <c r="EU11" s="49">
        <v>1.46</v>
      </c>
      <c r="EV11" s="49">
        <v>7.4710000000000001</v>
      </c>
      <c r="EW11" s="50">
        <v>0.62</v>
      </c>
      <c r="EX11" s="49">
        <v>70.36</v>
      </c>
      <c r="EY11" s="50">
        <v>0.08</v>
      </c>
      <c r="EZ11" s="49">
        <v>9.4109999999999996</v>
      </c>
      <c r="FA11" s="50">
        <v>0</v>
      </c>
      <c r="FB11" s="50">
        <v>9.2810000000000006</v>
      </c>
      <c r="FC11" s="49">
        <v>74.707999999999998</v>
      </c>
      <c r="FD11" s="49">
        <v>69.900000000000006</v>
      </c>
      <c r="FE11" s="49">
        <v>87.400999999999996</v>
      </c>
      <c r="FF11" s="49">
        <v>85.259</v>
      </c>
      <c r="FG11" s="49">
        <v>0.94699999999999995</v>
      </c>
      <c r="FH11" s="49">
        <v>0.94699999999999995</v>
      </c>
      <c r="FI11" s="49">
        <v>0.98799999999999999</v>
      </c>
      <c r="FJ11" s="49">
        <v>0.99299999999999999</v>
      </c>
      <c r="FK11" s="49">
        <v>0</v>
      </c>
      <c r="FL11" s="49">
        <v>83</v>
      </c>
      <c r="FM11" s="49">
        <v>3.36</v>
      </c>
      <c r="FN11" s="49">
        <v>0.25</v>
      </c>
      <c r="FO11" s="49">
        <v>5.49</v>
      </c>
      <c r="FP11" s="49">
        <v>3.8</v>
      </c>
      <c r="FQ11" s="49">
        <v>4.55</v>
      </c>
      <c r="FR11" s="49">
        <v>5.0999999999999996</v>
      </c>
      <c r="FS11" s="49">
        <v>6.8470000000000004</v>
      </c>
      <c r="FT11" s="50">
        <v>1078.5999999999999</v>
      </c>
      <c r="FU11" s="49">
        <v>6.88</v>
      </c>
      <c r="FV11" s="49">
        <v>28.69</v>
      </c>
      <c r="FW11" s="49">
        <v>3050.5</v>
      </c>
      <c r="FX11" s="49">
        <v>164300</v>
      </c>
      <c r="FY11" s="49">
        <v>163800</v>
      </c>
      <c r="FZ11" s="49">
        <v>48.716000000000001</v>
      </c>
      <c r="GA11" s="49">
        <v>47.823999999999998</v>
      </c>
      <c r="GB11" s="49">
        <v>2278.4</v>
      </c>
      <c r="GC11" s="49">
        <v>2196.1</v>
      </c>
      <c r="GD11" s="49">
        <v>2278.4</v>
      </c>
      <c r="GE11" s="49">
        <v>2203.3000000000002</v>
      </c>
      <c r="GF11" s="49">
        <v>1375.5313000000001</v>
      </c>
      <c r="GG11" s="49">
        <v>29</v>
      </c>
      <c r="GH11" s="49">
        <v>28.5</v>
      </c>
      <c r="GI11" s="49">
        <v>48.2</v>
      </c>
      <c r="GJ11" s="49">
        <v>53.4</v>
      </c>
      <c r="GK11" s="49">
        <v>99.5</v>
      </c>
      <c r="GL11" s="49">
        <v>76</v>
      </c>
      <c r="GM11" s="50">
        <v>0</v>
      </c>
      <c r="GN11" s="49">
        <v>28.489000000000001</v>
      </c>
      <c r="GO11" s="49">
        <v>107.682</v>
      </c>
      <c r="GP11" s="49">
        <v>0.53100000000000003</v>
      </c>
      <c r="GQ11" s="49">
        <v>1.9470000000000001</v>
      </c>
      <c r="GR11" s="49">
        <v>0.94399999999999995</v>
      </c>
      <c r="GS11" s="49">
        <v>2.0059999999999998</v>
      </c>
      <c r="GT11" s="49">
        <v>0.70799999999999996</v>
      </c>
      <c r="GU11" s="49">
        <v>1.829</v>
      </c>
      <c r="GV11" s="49">
        <v>12.837999999999999</v>
      </c>
      <c r="GW11" s="50">
        <v>14.127000000000001</v>
      </c>
      <c r="GX11" s="49">
        <v>15.484</v>
      </c>
      <c r="GY11" s="50">
        <v>0</v>
      </c>
      <c r="GZ11" s="50">
        <v>0</v>
      </c>
      <c r="HA11" s="50">
        <v>0</v>
      </c>
      <c r="HB11" s="49">
        <v>0</v>
      </c>
      <c r="HC11" s="49">
        <v>23.105</v>
      </c>
      <c r="HD11" s="49">
        <v>86</v>
      </c>
      <c r="HE11" s="50">
        <v>0</v>
      </c>
      <c r="HF11" s="50">
        <v>0</v>
      </c>
      <c r="HG11" s="49">
        <v>73.86</v>
      </c>
      <c r="HH11" s="49">
        <v>82.75</v>
      </c>
      <c r="HI11" s="50">
        <v>0</v>
      </c>
      <c r="HJ11" s="50">
        <v>0</v>
      </c>
      <c r="HK11" s="50">
        <v>0</v>
      </c>
      <c r="HL11" s="49">
        <v>64</v>
      </c>
      <c r="HM11" s="49">
        <v>54</v>
      </c>
      <c r="HN11" s="49">
        <v>66</v>
      </c>
      <c r="HO11" s="49">
        <v>60</v>
      </c>
      <c r="HP11" s="49">
        <v>63</v>
      </c>
      <c r="HQ11" s="49">
        <v>61</v>
      </c>
      <c r="HR11" s="50">
        <v>52</v>
      </c>
      <c r="HS11" s="49">
        <v>64</v>
      </c>
      <c r="HT11" s="49">
        <v>-1.282</v>
      </c>
      <c r="HU11" s="50">
        <v>0</v>
      </c>
      <c r="HV11" s="49">
        <v>0.73599999999999999</v>
      </c>
      <c r="HW11" s="49">
        <v>36.08</v>
      </c>
      <c r="HX11" s="49">
        <v>44.28</v>
      </c>
      <c r="HY11" s="49">
        <v>47.8</v>
      </c>
      <c r="HZ11" s="49">
        <v>58.81</v>
      </c>
      <c r="IA11" s="49">
        <v>2.9159999999999999</v>
      </c>
      <c r="IB11" s="49">
        <v>103</v>
      </c>
      <c r="IC11" s="49">
        <v>21.777000000000001</v>
      </c>
      <c r="ID11" s="49">
        <v>-0.222</v>
      </c>
      <c r="IE11" s="49">
        <v>-7.6999999999999999E-2</v>
      </c>
      <c r="IF11" s="50">
        <v>833.7</v>
      </c>
      <c r="IG11" s="49">
        <v>751.3</v>
      </c>
      <c r="IH11" s="50">
        <v>841.9</v>
      </c>
      <c r="II11" s="49">
        <v>765.4</v>
      </c>
      <c r="IJ11" s="49">
        <v>6.0999999999999999E-2</v>
      </c>
      <c r="IK11" s="49">
        <v>-3.5999999999999997E-2</v>
      </c>
      <c r="IL11" s="49">
        <v>112.23099999999999</v>
      </c>
      <c r="IM11" s="49">
        <v>112.23099999999999</v>
      </c>
      <c r="IN11" s="50">
        <v>14.512</v>
      </c>
      <c r="IO11" s="49">
        <v>0.42599999999999999</v>
      </c>
      <c r="IP11" s="49">
        <v>10.94</v>
      </c>
      <c r="IQ11" s="49">
        <v>6.0000000000000001E-3</v>
      </c>
      <c r="IR11" s="49">
        <v>6.0000000000000001E-3</v>
      </c>
    </row>
    <row r="12" spans="2:252" ht="15" customHeight="1" x14ac:dyDescent="0.25">
      <c r="B12" s="2" t="s">
        <v>412</v>
      </c>
      <c r="C12" s="2" t="s">
        <v>46</v>
      </c>
      <c r="D12" s="61">
        <v>2.4636574074074075E-3</v>
      </c>
      <c r="E12" s="49">
        <v>212.9</v>
      </c>
      <c r="F12" s="50">
        <v>335.68</v>
      </c>
      <c r="G12" s="49">
        <v>5.81</v>
      </c>
      <c r="H12" s="49">
        <v>29.4</v>
      </c>
      <c r="I12" s="50">
        <v>0</v>
      </c>
      <c r="J12" s="49">
        <v>12.8</v>
      </c>
      <c r="K12" s="50">
        <v>10</v>
      </c>
      <c r="L12" s="50">
        <v>3</v>
      </c>
      <c r="M12" s="50">
        <v>6</v>
      </c>
      <c r="N12" s="50">
        <v>3</v>
      </c>
      <c r="O12" s="50">
        <v>3</v>
      </c>
      <c r="P12" s="49">
        <v>0.88400000000000001</v>
      </c>
      <c r="Q12" s="49">
        <v>1.631</v>
      </c>
      <c r="R12" s="49">
        <v>0.83</v>
      </c>
      <c r="S12" s="49">
        <v>0.63700000000000001</v>
      </c>
      <c r="T12" s="49">
        <v>67.95</v>
      </c>
      <c r="U12" s="49">
        <v>60.131999999999998</v>
      </c>
      <c r="V12" s="49">
        <v>246.66</v>
      </c>
      <c r="W12" s="49">
        <v>256.66000000000003</v>
      </c>
      <c r="X12" s="49">
        <v>197.5</v>
      </c>
      <c r="Y12" s="49">
        <v>240</v>
      </c>
      <c r="Z12" s="49">
        <v>397.41</v>
      </c>
      <c r="AA12" s="49">
        <v>399.08</v>
      </c>
      <c r="AB12" s="49">
        <v>315.94</v>
      </c>
      <c r="AC12" s="49">
        <v>377.62</v>
      </c>
      <c r="AD12" s="49">
        <v>1.831</v>
      </c>
      <c r="AE12" s="49">
        <v>1.8819999999999999</v>
      </c>
      <c r="AF12" s="49">
        <v>1.83</v>
      </c>
      <c r="AG12" s="49">
        <v>1.853</v>
      </c>
      <c r="AH12" s="49">
        <v>84.22</v>
      </c>
      <c r="AI12" s="49">
        <v>79.510000000000005</v>
      </c>
      <c r="AJ12" s="49">
        <v>111.37</v>
      </c>
      <c r="AK12" s="49">
        <v>107.35</v>
      </c>
      <c r="AL12" s="49">
        <v>666.20699999999999</v>
      </c>
      <c r="AM12" s="49">
        <v>642.846</v>
      </c>
      <c r="AN12" s="49">
        <v>818.94399999999996</v>
      </c>
      <c r="AO12" s="49">
        <v>764.625</v>
      </c>
      <c r="AP12" s="49">
        <v>1.3440000000000001</v>
      </c>
      <c r="AQ12" s="49">
        <v>1.821</v>
      </c>
      <c r="AR12" s="50">
        <v>42.548999999999999</v>
      </c>
      <c r="AS12" s="50">
        <v>36.064999999999998</v>
      </c>
      <c r="AT12" s="49">
        <v>83</v>
      </c>
      <c r="AU12" s="49">
        <v>120</v>
      </c>
      <c r="AV12" s="50">
        <v>2.1259999999999999</v>
      </c>
      <c r="AW12" s="49">
        <v>5.4131</v>
      </c>
      <c r="AX12" s="49">
        <v>1018</v>
      </c>
      <c r="AY12" s="49">
        <v>2.09</v>
      </c>
      <c r="AZ12" s="50">
        <v>5.21</v>
      </c>
      <c r="BA12" s="49">
        <v>85.896000000000001</v>
      </c>
      <c r="BB12" s="49">
        <v>85.632999999999996</v>
      </c>
      <c r="BC12" s="50">
        <v>7885</v>
      </c>
      <c r="BD12" s="49">
        <v>89.5</v>
      </c>
      <c r="BE12" s="49">
        <v>16.55</v>
      </c>
      <c r="BF12" s="50">
        <v>14.22</v>
      </c>
      <c r="BG12" s="49">
        <v>28.9</v>
      </c>
      <c r="BH12" s="49">
        <v>26.79</v>
      </c>
      <c r="BI12" s="3"/>
      <c r="BJ12" s="3"/>
      <c r="BK12" s="3"/>
      <c r="BL12" s="3"/>
      <c r="BM12" s="3"/>
      <c r="BN12" s="49">
        <v>105.16</v>
      </c>
      <c r="BO12" s="49">
        <v>102.12</v>
      </c>
      <c r="BP12" s="49">
        <v>132.584</v>
      </c>
      <c r="BQ12" s="49">
        <v>133.63999999999999</v>
      </c>
      <c r="BR12" s="3"/>
      <c r="BS12" s="49">
        <v>29.1</v>
      </c>
      <c r="BT12" s="49">
        <v>7409.0330000000004</v>
      </c>
      <c r="BU12" s="49">
        <v>51.137</v>
      </c>
      <c r="BV12" s="49">
        <v>55.116999999999997</v>
      </c>
      <c r="BW12" s="49">
        <v>56.265999999999998</v>
      </c>
      <c r="BX12" s="49">
        <v>57.878999999999998</v>
      </c>
      <c r="BY12" s="49">
        <v>1.528</v>
      </c>
      <c r="BZ12" s="49">
        <v>2.7639999999999998</v>
      </c>
      <c r="CA12" s="50">
        <v>3.778</v>
      </c>
      <c r="CB12" s="49">
        <v>3.3570000000000002</v>
      </c>
      <c r="CC12" s="49">
        <v>1.2070000000000001</v>
      </c>
      <c r="CD12" s="49">
        <v>2.4180000000000001</v>
      </c>
      <c r="CE12" s="49">
        <v>1.3</v>
      </c>
      <c r="CF12" s="49">
        <v>2.081</v>
      </c>
      <c r="CG12" s="49">
        <v>13.939</v>
      </c>
      <c r="CH12" s="49">
        <v>13.782</v>
      </c>
      <c r="CI12" s="49">
        <v>5.0339999999999998</v>
      </c>
      <c r="CJ12" s="49">
        <v>3.2730000000000001</v>
      </c>
      <c r="CK12" s="49">
        <v>1.43</v>
      </c>
      <c r="CL12" s="50">
        <v>0.8</v>
      </c>
      <c r="CM12" s="49">
        <v>0.3</v>
      </c>
      <c r="CN12" s="49">
        <v>0</v>
      </c>
      <c r="CO12" s="49">
        <v>0</v>
      </c>
      <c r="CP12" s="49">
        <v>98.646000000000001</v>
      </c>
      <c r="CQ12" s="49">
        <v>96.617000000000004</v>
      </c>
      <c r="CR12" s="49">
        <v>126.54</v>
      </c>
      <c r="CS12" s="49">
        <v>129.273</v>
      </c>
      <c r="CT12" s="49">
        <v>0.22800000000000001</v>
      </c>
      <c r="CU12" s="49">
        <v>1.0009999999999999</v>
      </c>
      <c r="CV12" s="49">
        <v>1.3</v>
      </c>
      <c r="CW12" s="49">
        <v>1.002</v>
      </c>
      <c r="CX12" s="49">
        <v>1.1020000000000001</v>
      </c>
      <c r="CY12" s="49">
        <v>1.298</v>
      </c>
      <c r="CZ12" s="49">
        <v>0.90300000000000002</v>
      </c>
      <c r="DA12" s="49">
        <v>0.7</v>
      </c>
      <c r="DB12" s="49">
        <v>1.3979999999999999</v>
      </c>
      <c r="DC12" s="50">
        <v>0</v>
      </c>
      <c r="DD12" s="50">
        <v>0</v>
      </c>
      <c r="DE12" s="50">
        <v>0.32600000000000001</v>
      </c>
      <c r="DF12" s="50">
        <v>0.15</v>
      </c>
      <c r="DG12" s="50">
        <v>1.04</v>
      </c>
      <c r="DH12" s="49">
        <v>1.905</v>
      </c>
      <c r="DI12" s="49">
        <v>1.252</v>
      </c>
      <c r="DJ12" s="49">
        <v>0.17499999999999999</v>
      </c>
      <c r="DK12" s="50">
        <v>0.93200000000000005</v>
      </c>
      <c r="DL12" s="49">
        <v>0.40699999999999997</v>
      </c>
      <c r="DM12" s="49">
        <v>0.44700000000000001</v>
      </c>
      <c r="DN12" s="49">
        <v>0.373</v>
      </c>
      <c r="DO12" s="49">
        <v>0.182</v>
      </c>
      <c r="DP12" s="49">
        <v>65.671999999999997</v>
      </c>
      <c r="DQ12" s="49">
        <v>59.350999999999999</v>
      </c>
      <c r="DR12" s="49">
        <v>53.139000000000003</v>
      </c>
      <c r="DS12" s="49">
        <v>52.890999999999998</v>
      </c>
      <c r="DT12" s="49">
        <v>6.42</v>
      </c>
      <c r="DU12" s="49">
        <v>5.57</v>
      </c>
      <c r="DV12" s="49">
        <v>13.04</v>
      </c>
      <c r="DW12" s="49">
        <v>10.89</v>
      </c>
      <c r="DX12" s="49">
        <v>6.74</v>
      </c>
      <c r="DY12" s="49">
        <v>5.89</v>
      </c>
      <c r="DZ12" s="49">
        <v>12.4</v>
      </c>
      <c r="EA12" s="49">
        <v>10.36</v>
      </c>
      <c r="EB12" s="49">
        <v>42.15</v>
      </c>
      <c r="EC12" s="50">
        <v>42.42</v>
      </c>
      <c r="ED12" s="49">
        <v>32.71</v>
      </c>
      <c r="EE12" s="50">
        <v>35.29</v>
      </c>
      <c r="EF12" s="49">
        <v>44.69</v>
      </c>
      <c r="EG12" s="49">
        <v>46.12</v>
      </c>
      <c r="EH12" s="49">
        <v>41.85</v>
      </c>
      <c r="EI12" s="49">
        <v>43.45</v>
      </c>
      <c r="EJ12" s="49">
        <v>6.3979999999999997</v>
      </c>
      <c r="EK12" s="49">
        <v>58.875999999999998</v>
      </c>
      <c r="EL12" s="49">
        <v>1.9</v>
      </c>
      <c r="EM12" s="49">
        <v>1.45</v>
      </c>
      <c r="EN12" s="49">
        <v>1.22</v>
      </c>
      <c r="EO12" s="49">
        <v>1.22</v>
      </c>
      <c r="EP12" s="49">
        <v>-111.77</v>
      </c>
      <c r="EQ12" s="49">
        <v>-2.2309999999999999</v>
      </c>
      <c r="ER12" s="50">
        <v>132.63399999999999</v>
      </c>
      <c r="ES12" s="49">
        <v>1.462</v>
      </c>
      <c r="ET12" s="49">
        <v>1.629</v>
      </c>
      <c r="EU12" s="49">
        <v>1.407</v>
      </c>
      <c r="EV12" s="49">
        <v>7.0949999999999998</v>
      </c>
      <c r="EW12" s="49">
        <v>1.0999999999999999E-2</v>
      </c>
      <c r="EX12" s="49">
        <v>74.2</v>
      </c>
      <c r="EY12" s="49">
        <v>0</v>
      </c>
      <c r="EZ12" s="49">
        <v>18.137</v>
      </c>
      <c r="FA12" s="50">
        <v>0</v>
      </c>
      <c r="FB12" s="49">
        <v>9.1920000000000002</v>
      </c>
      <c r="FC12" s="49">
        <v>73.966999999999999</v>
      </c>
      <c r="FD12" s="49">
        <v>68.786000000000001</v>
      </c>
      <c r="FE12" s="49">
        <v>86.067999999999998</v>
      </c>
      <c r="FF12" s="49">
        <v>83.971999999999994</v>
      </c>
      <c r="FG12" s="49">
        <v>0.94399999999999995</v>
      </c>
      <c r="FH12" s="49">
        <v>0.94399999999999995</v>
      </c>
      <c r="FI12" s="49">
        <v>0.98899999999999999</v>
      </c>
      <c r="FJ12" s="49">
        <v>0.99399999999999999</v>
      </c>
      <c r="FK12" s="49">
        <v>0</v>
      </c>
      <c r="FL12" s="49">
        <v>83</v>
      </c>
      <c r="FM12" s="49">
        <v>3.35</v>
      </c>
      <c r="FN12" s="49">
        <v>-0.41</v>
      </c>
      <c r="FO12" s="50">
        <v>5.12</v>
      </c>
      <c r="FP12" s="3"/>
      <c r="FQ12" s="49">
        <v>4.5999999999999996</v>
      </c>
      <c r="FR12" s="50">
        <v>4.95</v>
      </c>
      <c r="FS12" s="49">
        <v>6.8449999999999998</v>
      </c>
      <c r="FT12" s="50">
        <v>1078.5999999999999</v>
      </c>
      <c r="FU12" s="49">
        <v>7.08</v>
      </c>
      <c r="FV12" s="49">
        <v>34.5</v>
      </c>
      <c r="FW12" s="49">
        <v>3116.5</v>
      </c>
      <c r="FX12" s="50">
        <v>169900</v>
      </c>
      <c r="FY12" s="49">
        <v>171000</v>
      </c>
      <c r="FZ12" s="49">
        <v>48.274999999999999</v>
      </c>
      <c r="GA12" s="49">
        <v>47.316000000000003</v>
      </c>
      <c r="GB12" s="49">
        <v>2192.3000000000002</v>
      </c>
      <c r="GC12" s="49">
        <v>2177.4</v>
      </c>
      <c r="GD12" s="49">
        <v>2330.8000000000002</v>
      </c>
      <c r="GE12" s="49">
        <v>2227.5</v>
      </c>
      <c r="GF12" s="49">
        <v>1316</v>
      </c>
      <c r="GG12" s="49">
        <v>29</v>
      </c>
      <c r="GH12" s="49">
        <v>29.2</v>
      </c>
      <c r="GI12" s="49">
        <v>48.2</v>
      </c>
      <c r="GJ12" s="49">
        <v>53</v>
      </c>
      <c r="GK12" s="49">
        <v>99.5</v>
      </c>
      <c r="GL12" s="50">
        <v>96.7</v>
      </c>
      <c r="GM12" s="50">
        <v>0</v>
      </c>
      <c r="GN12" s="49">
        <v>25.681999999999999</v>
      </c>
      <c r="GO12" s="50">
        <v>132.63399999999999</v>
      </c>
      <c r="GP12" s="49">
        <v>0.64900000000000002</v>
      </c>
      <c r="GQ12" s="49">
        <v>1.9470000000000001</v>
      </c>
      <c r="GR12" s="49">
        <v>0.82599999999999996</v>
      </c>
      <c r="GS12" s="49">
        <v>2.0059999999999998</v>
      </c>
      <c r="GT12" s="49">
        <v>0.53100000000000003</v>
      </c>
      <c r="GU12" s="49">
        <v>1.829</v>
      </c>
      <c r="GV12" s="49">
        <v>12.544</v>
      </c>
      <c r="GW12" s="49">
        <v>14.07</v>
      </c>
      <c r="GX12" s="49">
        <v>15.385999999999999</v>
      </c>
      <c r="GY12" s="50">
        <v>0</v>
      </c>
      <c r="GZ12" s="50">
        <v>0</v>
      </c>
      <c r="HA12" s="50">
        <v>0</v>
      </c>
      <c r="HB12" s="49">
        <v>0</v>
      </c>
      <c r="HC12" s="49">
        <v>23.369</v>
      </c>
      <c r="HD12" s="49">
        <v>82</v>
      </c>
      <c r="HE12" s="50">
        <v>0</v>
      </c>
      <c r="HF12" s="50">
        <v>0</v>
      </c>
      <c r="HG12" s="49">
        <v>75.2</v>
      </c>
      <c r="HH12" s="49">
        <v>82.81</v>
      </c>
      <c r="HI12" s="50">
        <v>0</v>
      </c>
      <c r="HJ12" s="50">
        <v>0</v>
      </c>
      <c r="HK12" s="50">
        <v>0</v>
      </c>
      <c r="HL12" s="49">
        <v>63</v>
      </c>
      <c r="HM12" s="49">
        <v>54</v>
      </c>
      <c r="HN12" s="49">
        <v>66</v>
      </c>
      <c r="HO12" s="49">
        <v>60</v>
      </c>
      <c r="HP12" s="50">
        <v>64</v>
      </c>
      <c r="HQ12" s="50">
        <v>62</v>
      </c>
      <c r="HR12" s="50">
        <v>52</v>
      </c>
      <c r="HS12" s="49">
        <v>64</v>
      </c>
      <c r="HT12" s="49">
        <v>-1.2515000000000001</v>
      </c>
      <c r="HU12" s="50">
        <v>0</v>
      </c>
      <c r="HV12" s="49">
        <v>0.35399999999999998</v>
      </c>
      <c r="HW12" s="49">
        <v>36.08</v>
      </c>
      <c r="HX12" s="49">
        <v>44.28</v>
      </c>
      <c r="HY12" s="49">
        <v>48.61</v>
      </c>
      <c r="HZ12" s="49">
        <v>59.2</v>
      </c>
      <c r="IA12" s="49">
        <v>2.87</v>
      </c>
      <c r="IB12" s="49">
        <v>104</v>
      </c>
      <c r="IC12" s="49">
        <v>22.841999999999999</v>
      </c>
      <c r="ID12" s="49">
        <v>-0.28199999999999997</v>
      </c>
      <c r="IE12" s="49">
        <v>-8.6999999999999994E-2</v>
      </c>
      <c r="IF12" s="49">
        <v>821.1</v>
      </c>
      <c r="IG12" s="49">
        <v>771.9</v>
      </c>
      <c r="IH12" s="49">
        <v>832.2</v>
      </c>
      <c r="II12" s="49">
        <v>785.7</v>
      </c>
      <c r="IJ12" s="49">
        <v>2.1000000000000001E-2</v>
      </c>
      <c r="IK12" s="49">
        <v>-8.4000000000000005E-2</v>
      </c>
      <c r="IL12" s="49">
        <v>69.664000000000001</v>
      </c>
      <c r="IM12" s="49">
        <v>69.664000000000001</v>
      </c>
      <c r="IN12" s="49">
        <v>13.765000000000001</v>
      </c>
      <c r="IO12" s="49">
        <v>0.57199999999999995</v>
      </c>
      <c r="IP12" s="49">
        <v>10.9</v>
      </c>
      <c r="IQ12" s="49">
        <v>8.9999999999999993E-3</v>
      </c>
      <c r="IR12" s="49">
        <v>8.9999999999999993E-3</v>
      </c>
    </row>
    <row r="13" spans="2:252" x14ac:dyDescent="0.25">
      <c r="B13" s="2" t="s">
        <v>412</v>
      </c>
      <c r="C13" s="2" t="s">
        <v>400</v>
      </c>
      <c r="D13" s="61">
        <v>2.7836805555555553E-3</v>
      </c>
      <c r="E13" s="49">
        <v>240.51300000000001</v>
      </c>
      <c r="F13" s="49">
        <v>332.8</v>
      </c>
      <c r="G13" s="49">
        <v>5.63</v>
      </c>
      <c r="H13" s="50">
        <v>29.5</v>
      </c>
      <c r="I13" s="50">
        <v>0</v>
      </c>
      <c r="J13" s="49">
        <v>17.2</v>
      </c>
      <c r="K13" s="50">
        <v>10</v>
      </c>
      <c r="L13" s="50">
        <v>3</v>
      </c>
      <c r="M13" s="50">
        <v>6</v>
      </c>
      <c r="N13" s="50">
        <v>3</v>
      </c>
      <c r="O13" s="50">
        <v>3</v>
      </c>
      <c r="P13" s="49">
        <v>0.76900000000000002</v>
      </c>
      <c r="Q13" s="49">
        <v>1.43</v>
      </c>
      <c r="R13" s="49">
        <v>0.59199999999999997</v>
      </c>
      <c r="S13" s="49">
        <v>0.626</v>
      </c>
      <c r="T13" s="49">
        <v>77.42</v>
      </c>
      <c r="U13" s="49">
        <v>60.1</v>
      </c>
      <c r="V13" s="49">
        <v>253.34</v>
      </c>
      <c r="W13" s="49">
        <v>258.33999999999997</v>
      </c>
      <c r="X13" s="49">
        <v>185</v>
      </c>
      <c r="Y13" s="49">
        <v>231.66</v>
      </c>
      <c r="Z13" s="49">
        <v>388.63</v>
      </c>
      <c r="AA13" s="49">
        <v>394.86</v>
      </c>
      <c r="AB13" s="49">
        <v>306.97000000000003</v>
      </c>
      <c r="AC13" s="49">
        <v>371.56</v>
      </c>
      <c r="AD13" s="50">
        <v>1.8460000000000001</v>
      </c>
      <c r="AE13" s="49">
        <v>1.895</v>
      </c>
      <c r="AF13" s="49">
        <v>1.8440000000000001</v>
      </c>
      <c r="AG13" s="49">
        <v>1.8640000000000001</v>
      </c>
      <c r="AH13" s="49">
        <v>84.81</v>
      </c>
      <c r="AI13" s="49">
        <v>80.13</v>
      </c>
      <c r="AJ13" s="49">
        <v>112.52</v>
      </c>
      <c r="AK13" s="49">
        <v>108.13</v>
      </c>
      <c r="AL13" s="49">
        <v>606.98599999999999</v>
      </c>
      <c r="AM13" s="49">
        <v>605.25300000000004</v>
      </c>
      <c r="AN13" s="49">
        <v>802.98199999999997</v>
      </c>
      <c r="AO13" s="49">
        <v>762.23299999999995</v>
      </c>
      <c r="AP13" s="49">
        <v>1.3480000000000001</v>
      </c>
      <c r="AQ13" s="49">
        <v>1.8069999999999999</v>
      </c>
      <c r="AR13" s="49">
        <v>42.002000000000002</v>
      </c>
      <c r="AS13" s="49">
        <v>35.405000000000001</v>
      </c>
      <c r="AT13" s="49">
        <v>83</v>
      </c>
      <c r="AU13" s="50">
        <v>121</v>
      </c>
      <c r="AV13" s="49">
        <v>2.2749999999999999</v>
      </c>
      <c r="AW13" s="49">
        <v>5.3101000000000003</v>
      </c>
      <c r="AX13" s="49">
        <v>1015.6</v>
      </c>
      <c r="AY13" s="49">
        <v>2.13</v>
      </c>
      <c r="AZ13" s="49">
        <v>5.74</v>
      </c>
      <c r="BA13" s="49">
        <v>69.5</v>
      </c>
      <c r="BB13" s="49">
        <v>69.400000000000006</v>
      </c>
      <c r="BC13" s="49">
        <v>7662</v>
      </c>
      <c r="BD13" s="49">
        <v>89.25</v>
      </c>
      <c r="BE13" s="49">
        <v>16.41</v>
      </c>
      <c r="BF13" s="49">
        <v>14.195</v>
      </c>
      <c r="BG13" s="49">
        <v>28.16</v>
      </c>
      <c r="BH13" s="50">
        <v>27.42</v>
      </c>
      <c r="BI13" s="50">
        <v>65.813999999999993</v>
      </c>
      <c r="BJ13" s="50">
        <v>80.372</v>
      </c>
      <c r="BK13" s="50">
        <v>64.275000000000006</v>
      </c>
      <c r="BL13" s="49">
        <v>76.331000000000003</v>
      </c>
      <c r="BM13" s="50">
        <v>79.757000000000005</v>
      </c>
      <c r="BN13" s="49">
        <v>116.376</v>
      </c>
      <c r="BO13" s="49">
        <v>114.28</v>
      </c>
      <c r="BP13" s="49">
        <v>140.42400000000001</v>
      </c>
      <c r="BQ13" s="49">
        <v>142.6</v>
      </c>
      <c r="BR13" s="50">
        <v>61.162999999999997</v>
      </c>
      <c r="BS13" s="50">
        <v>29.3</v>
      </c>
      <c r="BT13" s="49">
        <v>7368.0360000000001</v>
      </c>
      <c r="BU13" s="49">
        <v>49.633000000000003</v>
      </c>
      <c r="BV13" s="50">
        <v>56.585999999999999</v>
      </c>
      <c r="BW13" s="49">
        <v>55.823</v>
      </c>
      <c r="BX13" s="49">
        <v>57.527999999999999</v>
      </c>
      <c r="BY13" s="50">
        <v>1.5309999999999999</v>
      </c>
      <c r="BZ13" s="49">
        <v>2.8959999999999999</v>
      </c>
      <c r="CA13" s="49">
        <v>3.2010000000000001</v>
      </c>
      <c r="CB13" s="49">
        <v>3.3580000000000001</v>
      </c>
      <c r="CC13" s="49">
        <v>1.131</v>
      </c>
      <c r="CD13" s="49">
        <v>2.3410000000000002</v>
      </c>
      <c r="CE13" s="49">
        <v>1.272</v>
      </c>
      <c r="CF13" s="49">
        <v>2.0790000000000002</v>
      </c>
      <c r="CG13" s="49">
        <v>13.949</v>
      </c>
      <c r="CH13" s="49">
        <v>13.667999999999999</v>
      </c>
      <c r="CI13" s="3"/>
      <c r="CJ13" s="3"/>
      <c r="CK13" s="3"/>
      <c r="CL13" s="49">
        <v>0.4</v>
      </c>
      <c r="CM13" s="50">
        <v>1.1000000000000001</v>
      </c>
      <c r="CN13" s="49">
        <v>0</v>
      </c>
      <c r="CO13" s="49">
        <v>0</v>
      </c>
      <c r="CP13" s="49">
        <v>102.851</v>
      </c>
      <c r="CQ13" s="49">
        <v>100.336</v>
      </c>
      <c r="CR13" s="49">
        <v>128.31299999999999</v>
      </c>
      <c r="CS13" s="49">
        <v>132.41399999999999</v>
      </c>
      <c r="CT13" s="49">
        <v>0.41399999999999998</v>
      </c>
      <c r="CU13" s="50">
        <v>3.6219999999999999</v>
      </c>
      <c r="CV13" s="50">
        <v>4.016</v>
      </c>
      <c r="CW13" s="50">
        <v>4.0209999999999999</v>
      </c>
      <c r="CX13" s="50">
        <v>3.72</v>
      </c>
      <c r="CY13" s="50">
        <v>3.419</v>
      </c>
      <c r="CZ13" s="50">
        <v>3.42</v>
      </c>
      <c r="DA13" s="50">
        <v>3.121</v>
      </c>
      <c r="DB13" s="50">
        <v>4.1189999999999998</v>
      </c>
      <c r="DC13" s="50">
        <v>0</v>
      </c>
      <c r="DD13" s="50">
        <v>0</v>
      </c>
      <c r="DE13" s="49">
        <v>0.25700000000000001</v>
      </c>
      <c r="DF13" s="49">
        <v>0.123</v>
      </c>
      <c r="DG13" s="49">
        <v>0.57199999999999995</v>
      </c>
      <c r="DH13" s="49">
        <v>1.901</v>
      </c>
      <c r="DI13" s="49">
        <v>1.131</v>
      </c>
      <c r="DJ13" s="49">
        <v>0.11799999999999999</v>
      </c>
      <c r="DK13" s="49">
        <v>0.876</v>
      </c>
      <c r="DL13" s="49">
        <v>0.40799999999999997</v>
      </c>
      <c r="DM13" s="50">
        <v>0.54100000000000004</v>
      </c>
      <c r="DN13" s="50">
        <v>1.0309999999999999</v>
      </c>
      <c r="DO13" s="49">
        <v>0.309</v>
      </c>
      <c r="DP13" s="50">
        <v>66.418000000000006</v>
      </c>
      <c r="DQ13" s="49">
        <v>60.825000000000003</v>
      </c>
      <c r="DR13" s="50">
        <v>54.92</v>
      </c>
      <c r="DS13" s="50">
        <v>53.424999999999997</v>
      </c>
      <c r="DT13" s="49">
        <v>5.55</v>
      </c>
      <c r="DU13" s="49">
        <v>5.44</v>
      </c>
      <c r="DV13" s="49">
        <v>11.81</v>
      </c>
      <c r="DW13" s="49">
        <v>9.89</v>
      </c>
      <c r="DX13" s="49">
        <v>5.75</v>
      </c>
      <c r="DY13" s="49">
        <v>5.63</v>
      </c>
      <c r="DZ13" s="49">
        <v>11.32</v>
      </c>
      <c r="EA13" s="49">
        <v>9.59</v>
      </c>
      <c r="EB13" s="50">
        <v>43</v>
      </c>
      <c r="EC13" s="49">
        <v>42.11</v>
      </c>
      <c r="ED13" s="49">
        <v>32.64</v>
      </c>
      <c r="EE13" s="49">
        <v>34.590000000000003</v>
      </c>
      <c r="EF13" s="49">
        <v>45.7</v>
      </c>
      <c r="EG13" s="49">
        <v>46.82</v>
      </c>
      <c r="EH13" s="49">
        <v>44.22</v>
      </c>
      <c r="EI13" s="49">
        <v>45.92</v>
      </c>
      <c r="EJ13" s="49">
        <v>6.633</v>
      </c>
      <c r="EK13" s="49">
        <v>58.853000000000002</v>
      </c>
      <c r="EL13" s="49">
        <v>1.95</v>
      </c>
      <c r="EM13" s="49">
        <v>1.5</v>
      </c>
      <c r="EN13" s="49">
        <v>1.24</v>
      </c>
      <c r="EO13" s="49">
        <v>1.23</v>
      </c>
      <c r="EP13" s="49">
        <v>-110.602</v>
      </c>
      <c r="EQ13" s="49">
        <v>-2.2290000000000001</v>
      </c>
      <c r="ER13" s="49">
        <v>102.26600000000001</v>
      </c>
      <c r="ES13" s="49">
        <v>1.452</v>
      </c>
      <c r="ET13" s="49">
        <v>1.6080000000000001</v>
      </c>
      <c r="EU13" s="49">
        <v>1.4079999999999999</v>
      </c>
      <c r="EV13" s="49">
        <v>7.3029999999999999</v>
      </c>
      <c r="EW13" s="49">
        <v>0.377</v>
      </c>
      <c r="EX13" s="49">
        <v>70.94</v>
      </c>
      <c r="EY13" s="49">
        <v>0.02</v>
      </c>
      <c r="EZ13" s="49">
        <v>0.247</v>
      </c>
      <c r="FA13" s="50">
        <v>0</v>
      </c>
      <c r="FB13" s="49">
        <v>9.2520000000000007</v>
      </c>
      <c r="FC13" s="49">
        <v>75.968000000000004</v>
      </c>
      <c r="FD13" s="49">
        <v>70.209999999999994</v>
      </c>
      <c r="FE13" s="49">
        <v>87.379000000000005</v>
      </c>
      <c r="FF13" s="49">
        <v>85.141999999999996</v>
      </c>
      <c r="FG13" s="49">
        <v>0.97299999999999998</v>
      </c>
      <c r="FH13" s="49">
        <v>0.95399999999999996</v>
      </c>
      <c r="FI13" s="49">
        <v>0.99</v>
      </c>
      <c r="FJ13" s="49">
        <v>0.995</v>
      </c>
      <c r="FK13" s="49">
        <v>0</v>
      </c>
      <c r="FL13" s="49">
        <v>83</v>
      </c>
      <c r="FM13" s="49">
        <v>3.37</v>
      </c>
      <c r="FN13" s="50">
        <v>-0.57999999999999996</v>
      </c>
      <c r="FO13" s="49">
        <v>5.39</v>
      </c>
      <c r="FP13" s="49">
        <v>3.9</v>
      </c>
      <c r="FQ13" s="49">
        <v>4.45</v>
      </c>
      <c r="FR13" s="49">
        <v>5</v>
      </c>
      <c r="FS13" s="49">
        <v>6.8414999999999999</v>
      </c>
      <c r="FT13" s="49">
        <v>1075.3</v>
      </c>
      <c r="FU13" s="49">
        <v>6.95</v>
      </c>
      <c r="FV13" s="50">
        <v>40.130000000000003</v>
      </c>
      <c r="FW13" s="49">
        <v>3110.5</v>
      </c>
      <c r="FX13" s="49">
        <v>163800</v>
      </c>
      <c r="FY13" s="49">
        <v>165100</v>
      </c>
      <c r="FZ13" s="49">
        <v>48.276000000000003</v>
      </c>
      <c r="GA13" s="49">
        <v>47.244999999999997</v>
      </c>
      <c r="GB13" s="49">
        <v>2178</v>
      </c>
      <c r="GC13" s="49">
        <v>2251.8000000000002</v>
      </c>
      <c r="GD13" s="49">
        <v>2214.3000000000002</v>
      </c>
      <c r="GE13" s="49">
        <v>2330.1999999999998</v>
      </c>
      <c r="GF13" s="49">
        <v>1161.6563000000001</v>
      </c>
      <c r="GG13" s="50">
        <v>30</v>
      </c>
      <c r="GH13" s="50">
        <v>29.9</v>
      </c>
      <c r="GI13" s="49">
        <v>48.5</v>
      </c>
      <c r="GJ13" s="49">
        <v>53.3</v>
      </c>
      <c r="GK13" s="49">
        <v>99.5</v>
      </c>
      <c r="GL13" s="49">
        <v>88.3</v>
      </c>
      <c r="GM13" s="50">
        <v>0</v>
      </c>
      <c r="GN13" s="49">
        <v>27.48</v>
      </c>
      <c r="GO13" s="49">
        <v>110.602</v>
      </c>
      <c r="GP13" s="50">
        <v>0</v>
      </c>
      <c r="GQ13" s="49">
        <v>1.9470000000000001</v>
      </c>
      <c r="GR13" s="50">
        <v>0</v>
      </c>
      <c r="GS13" s="49">
        <v>1.9470000000000001</v>
      </c>
      <c r="GT13" s="50">
        <v>0</v>
      </c>
      <c r="GU13" s="49">
        <v>1.829</v>
      </c>
      <c r="GV13" s="50">
        <v>0</v>
      </c>
      <c r="GW13" s="49">
        <v>13.986000000000001</v>
      </c>
      <c r="GX13" s="49">
        <v>15.974</v>
      </c>
      <c r="GY13" s="50">
        <v>0</v>
      </c>
      <c r="GZ13" s="50">
        <v>0</v>
      </c>
      <c r="HA13" s="50">
        <v>0</v>
      </c>
      <c r="HB13" s="49">
        <v>0</v>
      </c>
      <c r="HC13" s="49">
        <v>23.29</v>
      </c>
      <c r="HD13" s="49">
        <v>86</v>
      </c>
      <c r="HE13" s="50">
        <v>0</v>
      </c>
      <c r="HF13" s="50">
        <v>0</v>
      </c>
      <c r="HG13" s="49">
        <v>76.62</v>
      </c>
      <c r="HH13" s="50">
        <v>82.94</v>
      </c>
      <c r="HI13" s="50">
        <v>0</v>
      </c>
      <c r="HJ13" s="50">
        <v>0</v>
      </c>
      <c r="HK13" s="50">
        <v>0</v>
      </c>
      <c r="HL13" s="49">
        <v>63</v>
      </c>
      <c r="HM13" s="49">
        <v>54</v>
      </c>
      <c r="HN13" s="50">
        <v>67</v>
      </c>
      <c r="HO13" s="50">
        <v>61</v>
      </c>
      <c r="HP13" s="50">
        <v>64</v>
      </c>
      <c r="HQ13" s="50">
        <v>62</v>
      </c>
      <c r="HR13" s="50">
        <v>52</v>
      </c>
      <c r="HS13" s="49">
        <v>64</v>
      </c>
      <c r="HT13" s="49">
        <v>-1.2665</v>
      </c>
      <c r="HU13" s="50">
        <v>0</v>
      </c>
      <c r="HV13" s="49">
        <v>-9.8000000000000004E-2</v>
      </c>
      <c r="HW13" s="49">
        <v>37</v>
      </c>
      <c r="HX13" s="49">
        <v>49.31</v>
      </c>
      <c r="HY13" s="3"/>
      <c r="HZ13" s="3"/>
      <c r="IA13" s="49">
        <v>2.9430000000000001</v>
      </c>
      <c r="IB13" s="49">
        <v>104</v>
      </c>
      <c r="IC13" s="49">
        <v>22.786000000000001</v>
      </c>
      <c r="ID13" s="49">
        <v>-0.23400000000000001</v>
      </c>
      <c r="IE13" s="49">
        <v>-7.6999999999999999E-2</v>
      </c>
      <c r="IF13" s="49">
        <v>821</v>
      </c>
      <c r="IG13" s="49">
        <v>759.6</v>
      </c>
      <c r="IH13" s="49">
        <v>834.5</v>
      </c>
      <c r="II13" s="49">
        <v>773.9</v>
      </c>
      <c r="IJ13" s="49">
        <v>8.0000000000000002E-3</v>
      </c>
      <c r="IK13" s="49">
        <v>-8.7999999999999995E-2</v>
      </c>
      <c r="IL13" s="49">
        <v>79.326999999999998</v>
      </c>
      <c r="IM13" s="49">
        <v>79.326999999999998</v>
      </c>
      <c r="IN13" s="49">
        <v>14.5</v>
      </c>
      <c r="IO13" s="49">
        <v>0.54600000000000004</v>
      </c>
      <c r="IP13" s="49">
        <v>10.71</v>
      </c>
      <c r="IQ13" s="49">
        <v>0</v>
      </c>
      <c r="IR13" s="49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15"/>
  <sheetViews>
    <sheetView workbookViewId="0">
      <selection activeCell="D13" sqref="D13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415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4.8123842592592584E-3</v>
      </c>
      <c r="E7" s="50">
        <v>415.78500000000003</v>
      </c>
      <c r="F7" s="49">
        <v>321.36</v>
      </c>
      <c r="G7" s="49">
        <v>4.96</v>
      </c>
      <c r="H7" s="49">
        <v>29.1</v>
      </c>
      <c r="I7" s="50">
        <v>0.23</v>
      </c>
      <c r="J7" s="50">
        <v>118</v>
      </c>
      <c r="K7" s="50">
        <v>10</v>
      </c>
      <c r="L7" s="50">
        <v>2</v>
      </c>
      <c r="M7" s="50">
        <v>6</v>
      </c>
      <c r="N7" s="50">
        <v>3</v>
      </c>
      <c r="O7" s="50">
        <v>3</v>
      </c>
      <c r="P7" s="49">
        <v>0.70199999999999996</v>
      </c>
      <c r="Q7" s="49">
        <v>1.085</v>
      </c>
      <c r="R7" s="49">
        <v>0.90600000000000003</v>
      </c>
      <c r="S7" s="49">
        <v>0.49299999999999999</v>
      </c>
      <c r="T7" s="49">
        <v>54.2</v>
      </c>
      <c r="U7" s="49">
        <v>60.009</v>
      </c>
      <c r="V7" s="50">
        <v>117.5</v>
      </c>
      <c r="W7" s="50">
        <v>112.5</v>
      </c>
      <c r="X7" s="50">
        <v>102.5</v>
      </c>
      <c r="Y7" s="50">
        <v>110</v>
      </c>
      <c r="Z7" s="49">
        <v>254.27</v>
      </c>
      <c r="AA7" s="49">
        <v>256.44</v>
      </c>
      <c r="AB7" s="49">
        <v>167.98</v>
      </c>
      <c r="AC7" s="49">
        <v>204.25</v>
      </c>
      <c r="AD7" s="49">
        <v>1.728</v>
      </c>
      <c r="AE7" s="49">
        <v>1.8029999999999999</v>
      </c>
      <c r="AF7" s="49">
        <v>1.613</v>
      </c>
      <c r="AG7" s="49">
        <v>1.6559999999999999</v>
      </c>
      <c r="AH7" s="49">
        <v>59.88</v>
      </c>
      <c r="AI7" s="49">
        <v>56.87</v>
      </c>
      <c r="AJ7" s="49">
        <v>76.97</v>
      </c>
      <c r="AK7" s="49">
        <v>74.819999999999993</v>
      </c>
      <c r="AL7" s="49">
        <v>612.36699999999996</v>
      </c>
      <c r="AM7" s="49">
        <v>607.96</v>
      </c>
      <c r="AN7" s="49">
        <v>737.48500000000001</v>
      </c>
      <c r="AO7" s="49">
        <v>719.71799999999996</v>
      </c>
      <c r="AP7" s="50">
        <v>1.359</v>
      </c>
      <c r="AQ7" s="49">
        <v>1.7629999999999999</v>
      </c>
      <c r="AR7" s="49">
        <v>41.829000000000001</v>
      </c>
      <c r="AS7" s="49">
        <v>37.936</v>
      </c>
      <c r="AT7" s="50">
        <v>86</v>
      </c>
      <c r="AU7" s="49">
        <v>108</v>
      </c>
      <c r="AV7" s="49">
        <v>2.4255</v>
      </c>
      <c r="AW7" s="49">
        <v>4.9034000000000004</v>
      </c>
      <c r="AX7" s="49">
        <v>1014.9</v>
      </c>
      <c r="AY7" s="50">
        <v>2.57</v>
      </c>
      <c r="AZ7" s="49">
        <v>5.7</v>
      </c>
      <c r="BA7" s="50">
        <v>66.599999999999994</v>
      </c>
      <c r="BB7" s="50">
        <v>66.903999999999996</v>
      </c>
      <c r="BC7" s="49">
        <v>7622</v>
      </c>
      <c r="BD7" s="49">
        <v>89.25</v>
      </c>
      <c r="BE7" s="50">
        <v>17.594999999999999</v>
      </c>
      <c r="BF7" s="49">
        <v>12.855</v>
      </c>
      <c r="BG7" s="49">
        <v>28.44</v>
      </c>
      <c r="BH7" s="49">
        <v>25.24</v>
      </c>
      <c r="BI7" s="49">
        <v>64.932000000000002</v>
      </c>
      <c r="BJ7" s="49">
        <v>81.012</v>
      </c>
      <c r="BK7" s="49">
        <v>63.231999999999999</v>
      </c>
      <c r="BL7" s="50">
        <v>77.772999999999996</v>
      </c>
      <c r="BM7" s="49">
        <v>79.11</v>
      </c>
      <c r="BN7" s="50">
        <v>146.792</v>
      </c>
      <c r="BO7" s="50">
        <v>141.464</v>
      </c>
      <c r="BP7" s="49">
        <v>126.072</v>
      </c>
      <c r="BQ7" s="49">
        <v>132.63200000000001</v>
      </c>
      <c r="BR7" s="49">
        <v>59.106999999999999</v>
      </c>
      <c r="BS7" s="49">
        <v>28.9</v>
      </c>
      <c r="BT7" s="49">
        <v>7313.7030000000004</v>
      </c>
      <c r="BU7" s="49">
        <v>43.445999999999998</v>
      </c>
      <c r="BV7" s="50">
        <v>55.89</v>
      </c>
      <c r="BW7" s="50">
        <v>58.741</v>
      </c>
      <c r="BX7" s="50">
        <v>59.103999999999999</v>
      </c>
      <c r="BY7" s="49">
        <v>1.429</v>
      </c>
      <c r="BZ7" s="49">
        <v>2.2919999999999998</v>
      </c>
      <c r="CA7" s="49">
        <v>3.3919999999999999</v>
      </c>
      <c r="CB7" s="49">
        <v>3.1930000000000001</v>
      </c>
      <c r="CC7" s="49">
        <v>1.089</v>
      </c>
      <c r="CD7" s="49">
        <v>2.0390000000000001</v>
      </c>
      <c r="CE7" s="50">
        <v>1.36</v>
      </c>
      <c r="CF7" s="50">
        <v>2.085</v>
      </c>
      <c r="CG7" s="49">
        <v>13.858000000000001</v>
      </c>
      <c r="CH7" s="50">
        <v>10.02</v>
      </c>
      <c r="CI7" s="49">
        <v>5.1760000000000002</v>
      </c>
      <c r="CJ7" s="49">
        <v>-573.15499999999997</v>
      </c>
      <c r="CK7" s="49">
        <v>1.3839999999999999</v>
      </c>
      <c r="CL7" s="49">
        <v>0.1</v>
      </c>
      <c r="CM7" s="49">
        <v>0.5</v>
      </c>
      <c r="CN7" s="50">
        <v>0</v>
      </c>
      <c r="CO7" s="50">
        <v>0</v>
      </c>
      <c r="CP7" s="50">
        <v>108.494</v>
      </c>
      <c r="CQ7" s="50">
        <v>105.767</v>
      </c>
      <c r="CR7" s="49">
        <v>106.002</v>
      </c>
      <c r="CS7" s="49">
        <v>111.01</v>
      </c>
      <c r="CT7" s="50">
        <v>0.375</v>
      </c>
      <c r="CU7" s="49">
        <v>1.198</v>
      </c>
      <c r="CV7" s="49">
        <v>1.298</v>
      </c>
      <c r="CW7" s="49">
        <v>1.7989999999999999</v>
      </c>
      <c r="CX7" s="49">
        <v>1.796</v>
      </c>
      <c r="CY7" s="49">
        <v>1.1950000000000001</v>
      </c>
      <c r="CZ7" s="49">
        <v>1.2969999999999999</v>
      </c>
      <c r="DA7" s="49">
        <v>0.59799999999999998</v>
      </c>
      <c r="DB7" s="49">
        <v>1.397</v>
      </c>
      <c r="DC7" s="50">
        <v>6.0000000000000001E-3</v>
      </c>
      <c r="DD7" s="50">
        <v>0</v>
      </c>
      <c r="DE7" s="49">
        <v>0.20699999999999999</v>
      </c>
      <c r="DF7" s="49">
        <v>0.11600000000000001</v>
      </c>
      <c r="DG7" s="49">
        <v>0.60899999999999999</v>
      </c>
      <c r="DH7" s="49">
        <v>2.16</v>
      </c>
      <c r="DI7" s="49">
        <v>1.0780000000000001</v>
      </c>
      <c r="DJ7" s="49">
        <v>0.17599999999999999</v>
      </c>
      <c r="DK7" s="49">
        <v>0.82199999999999995</v>
      </c>
      <c r="DL7" s="50">
        <v>0.41699999999999998</v>
      </c>
      <c r="DM7" s="49">
        <v>0.54100000000000004</v>
      </c>
      <c r="DN7" s="49">
        <v>-0.06</v>
      </c>
      <c r="DO7" s="49">
        <v>-7.0000000000000001E-3</v>
      </c>
      <c r="DP7" s="49">
        <v>62.417000000000002</v>
      </c>
      <c r="DQ7" s="50">
        <v>62.317999999999998</v>
      </c>
      <c r="DR7" s="49">
        <v>51.276000000000003</v>
      </c>
      <c r="DS7" s="49">
        <v>51.067</v>
      </c>
      <c r="DT7" s="49">
        <v>2.2799999999999998</v>
      </c>
      <c r="DU7" s="49">
        <v>2.41</v>
      </c>
      <c r="DV7" s="49">
        <v>4.8099999999999996</v>
      </c>
      <c r="DW7" s="49">
        <v>4.25</v>
      </c>
      <c r="DX7" s="49">
        <v>2.4700000000000002</v>
      </c>
      <c r="DY7" s="49">
        <v>2.3199999999999998</v>
      </c>
      <c r="DZ7" s="49">
        <v>4.46</v>
      </c>
      <c r="EA7" s="49">
        <v>3.96</v>
      </c>
      <c r="EB7" s="49">
        <v>32.770000000000003</v>
      </c>
      <c r="EC7" s="49">
        <v>32.06</v>
      </c>
      <c r="ED7" s="49">
        <v>27.36</v>
      </c>
      <c r="EE7" s="49">
        <v>27.9</v>
      </c>
      <c r="EF7" s="50">
        <v>62.48</v>
      </c>
      <c r="EG7" s="50">
        <v>63.2</v>
      </c>
      <c r="EH7" s="50">
        <v>63.37</v>
      </c>
      <c r="EI7" s="50">
        <v>63.88</v>
      </c>
      <c r="EJ7" s="50">
        <v>7.4349999999999996</v>
      </c>
      <c r="EK7" s="49">
        <v>58.271000000000001</v>
      </c>
      <c r="EL7" s="50">
        <v>2.2999999999999998</v>
      </c>
      <c r="EM7" s="50">
        <v>1.4</v>
      </c>
      <c r="EN7" s="50">
        <v>1.43</v>
      </c>
      <c r="EO7" s="50">
        <v>1.42</v>
      </c>
      <c r="EP7" s="50">
        <v>-109.142</v>
      </c>
      <c r="EQ7" s="50">
        <v>-0.52100000000000002</v>
      </c>
      <c r="ER7" s="49">
        <v>83.286000000000001</v>
      </c>
      <c r="ES7" s="50">
        <v>1.4379999999999999</v>
      </c>
      <c r="ET7" s="49">
        <v>1.55</v>
      </c>
      <c r="EU7" s="50">
        <v>1.4019999999999999</v>
      </c>
      <c r="EV7" s="50">
        <v>7.4740000000000002</v>
      </c>
      <c r="EW7" s="49">
        <v>1.34</v>
      </c>
      <c r="EX7" s="49">
        <v>-451.18</v>
      </c>
      <c r="EY7" s="50">
        <v>1.7989999999999999</v>
      </c>
      <c r="EZ7" s="49">
        <v>0</v>
      </c>
      <c r="FA7" s="50">
        <v>0</v>
      </c>
      <c r="FB7" s="50">
        <v>9.3059999999999992</v>
      </c>
      <c r="FC7" s="49">
        <v>69.430999999999997</v>
      </c>
      <c r="FD7" s="49">
        <v>66.387</v>
      </c>
      <c r="FE7" s="49">
        <v>74.340999999999994</v>
      </c>
      <c r="FF7" s="49">
        <v>71.953000000000003</v>
      </c>
      <c r="FG7" s="49">
        <v>0.96099999999999997</v>
      </c>
      <c r="FH7" s="49">
        <v>0.96099999999999997</v>
      </c>
      <c r="FI7" s="50">
        <v>1.002</v>
      </c>
      <c r="FJ7" s="50">
        <v>1.0049999999999999</v>
      </c>
      <c r="FK7" s="50">
        <v>0.20200000000000001</v>
      </c>
      <c r="FL7" s="50">
        <v>86</v>
      </c>
      <c r="FM7" s="49">
        <v>3.27</v>
      </c>
      <c r="FN7" s="50">
        <v>-0.85</v>
      </c>
      <c r="FO7" s="49">
        <v>5.42</v>
      </c>
      <c r="FP7" s="50">
        <v>0.75</v>
      </c>
      <c r="FQ7" s="49">
        <v>4.75</v>
      </c>
      <c r="FR7" s="49">
        <v>5.25</v>
      </c>
      <c r="FS7" s="49">
        <v>6.5274999999999999</v>
      </c>
      <c r="FT7" s="49">
        <v>1073</v>
      </c>
      <c r="FU7" s="49">
        <v>6.28</v>
      </c>
      <c r="FV7" s="49">
        <v>4.96</v>
      </c>
      <c r="FW7" s="50">
        <v>3251</v>
      </c>
      <c r="FX7" s="49">
        <v>168500</v>
      </c>
      <c r="FY7" s="49">
        <v>172000</v>
      </c>
      <c r="FZ7" s="50">
        <v>50.787999999999997</v>
      </c>
      <c r="GA7" s="50">
        <v>49.610999999999997</v>
      </c>
      <c r="GB7" s="49">
        <v>2214.5</v>
      </c>
      <c r="GC7" s="49">
        <v>2208.1</v>
      </c>
      <c r="GD7" s="49">
        <v>2244</v>
      </c>
      <c r="GE7" s="49">
        <v>2208.3000000000002</v>
      </c>
      <c r="GF7" s="49">
        <v>1415</v>
      </c>
      <c r="GG7" s="49">
        <v>32</v>
      </c>
      <c r="GH7" s="49">
        <v>32.200000000000003</v>
      </c>
      <c r="GI7" s="50">
        <v>60.5</v>
      </c>
      <c r="GJ7" s="50">
        <v>65.8</v>
      </c>
      <c r="GK7" s="50">
        <v>97</v>
      </c>
      <c r="GL7" s="49">
        <v>77.099999999999994</v>
      </c>
      <c r="GM7" s="50">
        <v>0</v>
      </c>
      <c r="GN7" s="49">
        <v>26.039000000000001</v>
      </c>
      <c r="GO7" s="49">
        <v>109.142</v>
      </c>
      <c r="GP7" s="50">
        <v>0</v>
      </c>
      <c r="GQ7" s="49">
        <v>3.3039999999999998</v>
      </c>
      <c r="GR7" s="50">
        <v>0</v>
      </c>
      <c r="GS7" s="49">
        <v>3.4220000000000002</v>
      </c>
      <c r="GT7" s="50">
        <v>0</v>
      </c>
      <c r="GU7" s="49">
        <v>3.1859999999999999</v>
      </c>
      <c r="GV7" s="50">
        <v>0</v>
      </c>
      <c r="GW7" s="49">
        <v>13.35</v>
      </c>
      <c r="GX7" s="50">
        <v>17.934000000000001</v>
      </c>
      <c r="GY7" s="50">
        <v>0</v>
      </c>
      <c r="GZ7" s="50">
        <v>0</v>
      </c>
      <c r="HA7" s="50">
        <v>0</v>
      </c>
      <c r="HB7" s="50">
        <v>1</v>
      </c>
      <c r="HC7" s="50">
        <v>24.971</v>
      </c>
      <c r="HD7" s="50">
        <v>90</v>
      </c>
      <c r="HE7" s="50">
        <v>0</v>
      </c>
      <c r="HF7" s="50">
        <v>0</v>
      </c>
      <c r="HG7" s="50">
        <v>89.59</v>
      </c>
      <c r="HH7" s="49">
        <v>78.41</v>
      </c>
      <c r="HI7" s="50">
        <v>0</v>
      </c>
      <c r="HJ7" s="50">
        <v>0</v>
      </c>
      <c r="HK7" s="50">
        <v>0</v>
      </c>
      <c r="HL7" s="50">
        <v>73</v>
      </c>
      <c r="HM7" s="50">
        <v>56</v>
      </c>
      <c r="HN7" s="49">
        <v>67</v>
      </c>
      <c r="HO7" s="49">
        <v>60</v>
      </c>
      <c r="HP7" s="49">
        <v>63</v>
      </c>
      <c r="HQ7" s="49">
        <v>61</v>
      </c>
      <c r="HR7" s="49">
        <v>54</v>
      </c>
      <c r="HS7" s="49">
        <v>62</v>
      </c>
      <c r="HT7" s="50">
        <v>-1.3425</v>
      </c>
      <c r="HU7" s="50">
        <v>0</v>
      </c>
      <c r="HV7" s="49">
        <v>-0.95499999999999996</v>
      </c>
      <c r="HW7" s="49">
        <v>39.39</v>
      </c>
      <c r="HX7" s="49">
        <v>51.48</v>
      </c>
      <c r="HY7" s="49">
        <v>49.21</v>
      </c>
      <c r="HZ7" s="49">
        <v>58.54</v>
      </c>
      <c r="IA7" s="49">
        <v>2.472</v>
      </c>
      <c r="IB7" s="49">
        <v>97</v>
      </c>
      <c r="IC7" s="49">
        <v>17.736999999999998</v>
      </c>
      <c r="ID7" s="50">
        <v>-0.11899999999999999</v>
      </c>
      <c r="IE7" s="50">
        <v>-3.9E-2</v>
      </c>
      <c r="IF7" s="49">
        <v>807.4</v>
      </c>
      <c r="IG7" s="49">
        <v>641.29999999999995</v>
      </c>
      <c r="IH7" s="49">
        <v>813.3</v>
      </c>
      <c r="II7" s="49">
        <v>657.5</v>
      </c>
      <c r="IJ7" s="50">
        <v>5.2999999999999999E-2</v>
      </c>
      <c r="IK7" s="50">
        <v>1E-3</v>
      </c>
      <c r="IL7" s="50">
        <v>293.90600000000001</v>
      </c>
      <c r="IM7" s="50">
        <v>293.80500000000001</v>
      </c>
      <c r="IN7" s="50">
        <v>16.298999999999999</v>
      </c>
      <c r="IO7" s="49">
        <v>0.317</v>
      </c>
      <c r="IP7" s="50">
        <v>10.75</v>
      </c>
      <c r="IQ7" s="50">
        <v>1.6E-2</v>
      </c>
      <c r="IR7" s="50">
        <v>1.4E-2</v>
      </c>
    </row>
    <row r="8" spans="2:252" x14ac:dyDescent="0.25">
      <c r="B8" s="2" t="s">
        <v>412</v>
      </c>
      <c r="C8" s="2" t="s">
        <v>42</v>
      </c>
      <c r="D8" s="61">
        <v>2.4730324074074077E-3</v>
      </c>
      <c r="E8" s="49">
        <v>213.71</v>
      </c>
      <c r="F8" s="49">
        <v>328.4</v>
      </c>
      <c r="G8" s="49">
        <v>5.84</v>
      </c>
      <c r="H8" s="49">
        <v>29.2</v>
      </c>
      <c r="I8" s="49">
        <v>0</v>
      </c>
      <c r="J8" s="49">
        <v>15.2</v>
      </c>
      <c r="K8" s="50">
        <v>10</v>
      </c>
      <c r="L8" s="50">
        <v>2</v>
      </c>
      <c r="M8" s="50">
        <v>6</v>
      </c>
      <c r="N8" s="50">
        <v>3</v>
      </c>
      <c r="O8" s="50">
        <v>3</v>
      </c>
      <c r="P8" s="49">
        <v>0.78900000000000003</v>
      </c>
      <c r="Q8" s="49">
        <v>1.2809999999999999</v>
      </c>
      <c r="R8" s="49">
        <v>0.77100000000000002</v>
      </c>
      <c r="S8" s="49">
        <v>0.65100000000000002</v>
      </c>
      <c r="T8" s="49">
        <v>70.56</v>
      </c>
      <c r="U8" s="49">
        <v>60.012</v>
      </c>
      <c r="V8" s="49">
        <v>218.34</v>
      </c>
      <c r="W8" s="49">
        <v>220</v>
      </c>
      <c r="X8" s="49">
        <v>137.5</v>
      </c>
      <c r="Y8" s="49">
        <v>175</v>
      </c>
      <c r="Z8" s="49">
        <v>368.06</v>
      </c>
      <c r="AA8" s="49">
        <v>366.29</v>
      </c>
      <c r="AB8" s="49">
        <v>271.14999999999998</v>
      </c>
      <c r="AC8" s="49">
        <v>328.67</v>
      </c>
      <c r="AD8" s="49">
        <v>1.7549999999999999</v>
      </c>
      <c r="AE8" s="49">
        <v>1.8140000000000001</v>
      </c>
      <c r="AF8" s="49">
        <v>1.6859999999999999</v>
      </c>
      <c r="AG8" s="49">
        <v>1.7230000000000001</v>
      </c>
      <c r="AH8" s="49">
        <v>73.87</v>
      </c>
      <c r="AI8" s="49">
        <v>70.88</v>
      </c>
      <c r="AJ8" s="49">
        <v>94.14</v>
      </c>
      <c r="AK8" s="49">
        <v>91.5</v>
      </c>
      <c r="AL8" s="49">
        <v>661.63699999999994</v>
      </c>
      <c r="AM8" s="49">
        <v>681.53599999999994</v>
      </c>
      <c r="AN8" s="49">
        <v>779.30700000000002</v>
      </c>
      <c r="AO8" s="49">
        <v>781.27099999999996</v>
      </c>
      <c r="AP8" s="49">
        <v>1.3089999999999999</v>
      </c>
      <c r="AQ8" s="49">
        <v>1.7729999999999999</v>
      </c>
      <c r="AR8" s="49">
        <v>41.408999999999999</v>
      </c>
      <c r="AS8" s="49">
        <v>36.484999999999999</v>
      </c>
      <c r="AT8" s="49">
        <v>83</v>
      </c>
      <c r="AU8" s="49">
        <v>115</v>
      </c>
      <c r="AV8" s="49">
        <v>2.254</v>
      </c>
      <c r="AW8" s="50">
        <v>5.3724999999999996</v>
      </c>
      <c r="AX8" s="49">
        <v>1016</v>
      </c>
      <c r="AY8" s="49">
        <v>2.09</v>
      </c>
      <c r="AZ8" s="49">
        <v>5.62</v>
      </c>
      <c r="BA8" s="49">
        <v>93.8</v>
      </c>
      <c r="BB8" s="49">
        <v>93.1</v>
      </c>
      <c r="BC8" s="50">
        <v>7798</v>
      </c>
      <c r="BD8" s="49">
        <v>88</v>
      </c>
      <c r="BE8" s="49">
        <v>15.574999999999999</v>
      </c>
      <c r="BF8" s="49">
        <v>14.71</v>
      </c>
      <c r="BG8" s="49">
        <v>28.69</v>
      </c>
      <c r="BH8" s="50">
        <v>30.91</v>
      </c>
      <c r="BI8" s="3"/>
      <c r="BJ8" s="3"/>
      <c r="BK8" s="3"/>
      <c r="BL8" s="3"/>
      <c r="BM8" s="3"/>
      <c r="BN8" s="49">
        <v>96.263999999999996</v>
      </c>
      <c r="BO8" s="49">
        <v>92.632000000000005</v>
      </c>
      <c r="BP8" s="49">
        <v>115.32</v>
      </c>
      <c r="BQ8" s="49">
        <v>118.6</v>
      </c>
      <c r="BR8" s="3"/>
      <c r="BS8" s="49">
        <v>29</v>
      </c>
      <c r="BT8" s="49">
        <v>7467.076</v>
      </c>
      <c r="BU8" s="49">
        <v>51.457000000000001</v>
      </c>
      <c r="BV8" s="49">
        <v>54.441000000000003</v>
      </c>
      <c r="BW8" s="49">
        <v>56.539000000000001</v>
      </c>
      <c r="BX8" s="49">
        <v>57.762</v>
      </c>
      <c r="BY8" s="49">
        <v>1.4419999999999999</v>
      </c>
      <c r="BZ8" s="49">
        <v>2.7810000000000001</v>
      </c>
      <c r="CA8" s="49">
        <v>3.702</v>
      </c>
      <c r="CB8" s="49">
        <v>3.19</v>
      </c>
      <c r="CC8" s="49">
        <v>1.1100000000000001</v>
      </c>
      <c r="CD8" s="50">
        <v>2.1739999999999999</v>
      </c>
      <c r="CE8" s="49">
        <v>1.2869999999999999</v>
      </c>
      <c r="CF8" s="49">
        <v>1.998</v>
      </c>
      <c r="CG8" s="50">
        <v>13.941000000000001</v>
      </c>
      <c r="CH8" s="49">
        <v>13.803000000000001</v>
      </c>
      <c r="CI8" s="50">
        <v>5.4240000000000004</v>
      </c>
      <c r="CJ8" s="49">
        <v>-748.80399999999997</v>
      </c>
      <c r="CK8" s="49">
        <v>1.63</v>
      </c>
      <c r="CL8" s="49">
        <v>0.3</v>
      </c>
      <c r="CM8" s="50">
        <v>1.5</v>
      </c>
      <c r="CN8" s="50">
        <v>0</v>
      </c>
      <c r="CO8" s="50">
        <v>0</v>
      </c>
      <c r="CP8" s="49">
        <v>91.522000000000006</v>
      </c>
      <c r="CQ8" s="49">
        <v>88.893000000000001</v>
      </c>
      <c r="CR8" s="49">
        <v>100.41800000000001</v>
      </c>
      <c r="CS8" s="49">
        <v>105.55800000000001</v>
      </c>
      <c r="CT8" s="49">
        <v>0.312</v>
      </c>
      <c r="CU8" s="49">
        <v>1.3</v>
      </c>
      <c r="CV8" s="49">
        <v>1.099</v>
      </c>
      <c r="CW8" s="49">
        <v>1.1990000000000001</v>
      </c>
      <c r="CX8" s="49">
        <v>1.397</v>
      </c>
      <c r="CY8" s="49">
        <v>1.002</v>
      </c>
      <c r="CZ8" s="49">
        <v>1.298</v>
      </c>
      <c r="DA8" s="49">
        <v>0.90100000000000002</v>
      </c>
      <c r="DB8" s="49">
        <v>1.099</v>
      </c>
      <c r="DC8" s="49">
        <v>0</v>
      </c>
      <c r="DD8" s="50">
        <v>0</v>
      </c>
      <c r="DE8" s="49">
        <v>0.33600000000000002</v>
      </c>
      <c r="DF8" s="49">
        <v>0.157</v>
      </c>
      <c r="DG8" s="50">
        <v>1.302</v>
      </c>
      <c r="DH8" s="49">
        <v>2.5470000000000002</v>
      </c>
      <c r="DI8" s="49">
        <v>1.304</v>
      </c>
      <c r="DJ8" s="49">
        <v>0.27800000000000002</v>
      </c>
      <c r="DK8" s="49">
        <v>1.0860000000000001</v>
      </c>
      <c r="DL8" s="49">
        <v>0.40600000000000003</v>
      </c>
      <c r="DM8" s="49">
        <v>0.47699999999999998</v>
      </c>
      <c r="DN8" s="49">
        <v>0.35799999999999998</v>
      </c>
      <c r="DO8" s="49">
        <v>0.32700000000000001</v>
      </c>
      <c r="DP8" s="49">
        <v>68.096000000000004</v>
      </c>
      <c r="DQ8" s="49">
        <v>62.218000000000004</v>
      </c>
      <c r="DR8" s="49">
        <v>52.335999999999999</v>
      </c>
      <c r="DS8" s="49">
        <v>51.597999999999999</v>
      </c>
      <c r="DT8" s="49">
        <v>6.6</v>
      </c>
      <c r="DU8" s="49">
        <v>6.22</v>
      </c>
      <c r="DV8" s="49">
        <v>12.98</v>
      </c>
      <c r="DW8" s="49">
        <v>11.11</v>
      </c>
      <c r="DX8" s="49">
        <v>7.05</v>
      </c>
      <c r="DY8" s="49">
        <v>6.62</v>
      </c>
      <c r="DZ8" s="49">
        <v>12.4</v>
      </c>
      <c r="EA8" s="49">
        <v>10.69</v>
      </c>
      <c r="EB8" s="49">
        <v>41.54</v>
      </c>
      <c r="EC8" s="50">
        <v>41.64</v>
      </c>
      <c r="ED8" s="49">
        <v>32.31</v>
      </c>
      <c r="EE8" s="49">
        <v>34.28</v>
      </c>
      <c r="EF8" s="49">
        <v>44.81</v>
      </c>
      <c r="EG8" s="49">
        <v>45.51</v>
      </c>
      <c r="EH8" s="49">
        <v>42.32</v>
      </c>
      <c r="EI8" s="49">
        <v>43.93</v>
      </c>
      <c r="EJ8" s="49">
        <v>7.1289999999999996</v>
      </c>
      <c r="EK8" s="49">
        <v>59.465000000000003</v>
      </c>
      <c r="EL8" s="49">
        <v>1.9</v>
      </c>
      <c r="EM8" s="49">
        <v>1.45</v>
      </c>
      <c r="EN8" s="49">
        <v>1.21</v>
      </c>
      <c r="EO8" s="49">
        <v>1.21</v>
      </c>
      <c r="EP8" s="49">
        <v>-103.01</v>
      </c>
      <c r="EQ8" s="49">
        <v>-2.423</v>
      </c>
      <c r="ER8" s="49">
        <v>105.77</v>
      </c>
      <c r="ES8" s="49">
        <v>1.415</v>
      </c>
      <c r="ET8" s="50">
        <v>1.5760000000000001</v>
      </c>
      <c r="EU8" s="49">
        <v>1.38</v>
      </c>
      <c r="EV8" s="49">
        <v>7.4169999999999998</v>
      </c>
      <c r="EW8" s="50">
        <v>1.8320000000000001</v>
      </c>
      <c r="EX8" s="49">
        <v>73.06</v>
      </c>
      <c r="EY8" s="49">
        <v>0</v>
      </c>
      <c r="EZ8" s="50">
        <v>5.92</v>
      </c>
      <c r="FA8" s="50">
        <v>0</v>
      </c>
      <c r="FB8" s="49">
        <v>9.1829999999999998</v>
      </c>
      <c r="FC8" s="49">
        <v>64.793000000000006</v>
      </c>
      <c r="FD8" s="49">
        <v>61.052999999999997</v>
      </c>
      <c r="FE8" s="49">
        <v>69.099000000000004</v>
      </c>
      <c r="FF8" s="49">
        <v>68.649000000000001</v>
      </c>
      <c r="FG8" s="49">
        <v>0.93400000000000005</v>
      </c>
      <c r="FH8" s="49">
        <v>0.93500000000000005</v>
      </c>
      <c r="FI8" s="49">
        <v>0.995</v>
      </c>
      <c r="FJ8" s="49">
        <v>1</v>
      </c>
      <c r="FK8" s="49">
        <v>0</v>
      </c>
      <c r="FL8" s="49">
        <v>83</v>
      </c>
      <c r="FM8" s="49">
        <v>3.37</v>
      </c>
      <c r="FN8" s="49">
        <v>-0.78</v>
      </c>
      <c r="FO8" s="49">
        <v>5.42</v>
      </c>
      <c r="FP8" s="3"/>
      <c r="FQ8" s="50">
        <v>4.5</v>
      </c>
      <c r="FR8" s="49">
        <v>5.0999999999999996</v>
      </c>
      <c r="FS8" s="49">
        <v>6.7774999999999999</v>
      </c>
      <c r="FT8" s="49">
        <v>1071.9000000000001</v>
      </c>
      <c r="FU8" s="49">
        <v>6.5</v>
      </c>
      <c r="FV8" s="49">
        <v>10.8</v>
      </c>
      <c r="FW8" s="49">
        <v>3188</v>
      </c>
      <c r="FX8" s="49">
        <v>166800</v>
      </c>
      <c r="FY8" s="49">
        <v>168300</v>
      </c>
      <c r="FZ8" s="49">
        <v>48.162999999999997</v>
      </c>
      <c r="GA8" s="49">
        <v>47.366999999999997</v>
      </c>
      <c r="GB8" s="49">
        <v>2174.8000000000002</v>
      </c>
      <c r="GC8" s="49">
        <v>2176.6999999999998</v>
      </c>
      <c r="GD8" s="49">
        <v>2206</v>
      </c>
      <c r="GE8" s="49">
        <v>2208.1999999999998</v>
      </c>
      <c r="GF8" s="49">
        <v>1464.0625</v>
      </c>
      <c r="GG8" s="49">
        <v>32</v>
      </c>
      <c r="GH8" s="49">
        <v>32.5</v>
      </c>
      <c r="GI8" s="49">
        <v>51.1</v>
      </c>
      <c r="GJ8" s="49">
        <v>56.6</v>
      </c>
      <c r="GK8" s="49">
        <v>99.5</v>
      </c>
      <c r="GL8" s="49">
        <v>89.8</v>
      </c>
      <c r="GM8" s="50">
        <v>0</v>
      </c>
      <c r="GN8" s="49">
        <v>27.158999999999999</v>
      </c>
      <c r="GO8" s="49">
        <v>105.77</v>
      </c>
      <c r="GP8" s="49">
        <v>0.35399999999999998</v>
      </c>
      <c r="GQ8" s="49">
        <v>1.9470000000000001</v>
      </c>
      <c r="GR8" s="49">
        <v>0.59</v>
      </c>
      <c r="GS8" s="49">
        <v>2.0059999999999998</v>
      </c>
      <c r="GT8" s="49">
        <v>0.53100000000000003</v>
      </c>
      <c r="GU8" s="49">
        <v>1.8879999999999999</v>
      </c>
      <c r="GV8" s="49">
        <v>13.132</v>
      </c>
      <c r="GW8" s="49">
        <v>14.12</v>
      </c>
      <c r="GX8" s="49">
        <v>15.875999999999999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23.175999999999998</v>
      </c>
      <c r="HD8" s="49">
        <v>78</v>
      </c>
      <c r="HE8" s="50">
        <v>0</v>
      </c>
      <c r="HF8" s="50">
        <v>0</v>
      </c>
      <c r="HG8" s="49">
        <v>77.099999999999994</v>
      </c>
      <c r="HH8" s="49">
        <v>78.099999999999994</v>
      </c>
      <c r="HI8" s="50">
        <v>0</v>
      </c>
      <c r="HJ8" s="50">
        <v>0</v>
      </c>
      <c r="HK8" s="50">
        <v>0</v>
      </c>
      <c r="HL8" s="49">
        <v>65</v>
      </c>
      <c r="HM8" s="49">
        <v>55</v>
      </c>
      <c r="HN8" s="49">
        <v>67</v>
      </c>
      <c r="HO8" s="49">
        <v>61</v>
      </c>
      <c r="HP8" s="49">
        <v>64</v>
      </c>
      <c r="HQ8" s="49">
        <v>62</v>
      </c>
      <c r="HR8" s="49">
        <v>54</v>
      </c>
      <c r="HS8" s="49">
        <v>62</v>
      </c>
      <c r="HT8" s="49">
        <v>-1.3194999999999999</v>
      </c>
      <c r="HU8" s="50">
        <v>0</v>
      </c>
      <c r="HV8" s="49">
        <v>0.125</v>
      </c>
      <c r="HW8" s="50">
        <v>36.81</v>
      </c>
      <c r="HX8" s="50">
        <v>46.57</v>
      </c>
      <c r="HY8" s="49">
        <v>48.68</v>
      </c>
      <c r="HZ8" s="49">
        <v>59.91</v>
      </c>
      <c r="IA8" s="49">
        <v>2.7949999999999999</v>
      </c>
      <c r="IB8" s="49">
        <v>104</v>
      </c>
      <c r="IC8" s="49">
        <v>22.41</v>
      </c>
      <c r="ID8" s="49">
        <v>-0.28599999999999998</v>
      </c>
      <c r="IE8" s="49">
        <v>-0.108</v>
      </c>
      <c r="IF8" s="50">
        <v>818.1</v>
      </c>
      <c r="IG8" s="49">
        <v>768.2</v>
      </c>
      <c r="IH8" s="49">
        <v>828.1</v>
      </c>
      <c r="II8" s="49">
        <v>781.3</v>
      </c>
      <c r="IJ8" s="49">
        <v>-0.09</v>
      </c>
      <c r="IK8" s="49">
        <v>-0.20200000000000001</v>
      </c>
      <c r="IL8" s="49">
        <v>70.850999999999999</v>
      </c>
      <c r="IM8" s="49">
        <v>70.850999999999999</v>
      </c>
      <c r="IN8" s="49">
        <v>13.236000000000001</v>
      </c>
      <c r="IO8" s="49">
        <v>0.495</v>
      </c>
      <c r="IP8" s="49">
        <v>10.65</v>
      </c>
      <c r="IQ8" s="49">
        <v>0.01</v>
      </c>
      <c r="IR8" s="49">
        <v>5.0000000000000001E-3</v>
      </c>
    </row>
    <row r="9" spans="2:252" x14ac:dyDescent="0.25">
      <c r="B9" s="2" t="s">
        <v>412</v>
      </c>
      <c r="C9" s="62" t="s">
        <v>43</v>
      </c>
      <c r="D9" s="63">
        <v>2.4324074074074074E-3</v>
      </c>
      <c r="E9" s="49">
        <v>210.2</v>
      </c>
      <c r="F9" s="49">
        <v>329.44</v>
      </c>
      <c r="G9" s="50">
        <v>5.95</v>
      </c>
      <c r="H9" s="49">
        <v>29.4</v>
      </c>
      <c r="I9" s="49">
        <v>0</v>
      </c>
      <c r="J9" s="49">
        <v>12.3</v>
      </c>
      <c r="K9" s="50">
        <v>10</v>
      </c>
      <c r="L9" s="50">
        <v>2</v>
      </c>
      <c r="M9" s="50">
        <v>6</v>
      </c>
      <c r="N9" s="50">
        <v>3</v>
      </c>
      <c r="O9" s="50">
        <v>3</v>
      </c>
      <c r="P9" s="49">
        <v>0.877</v>
      </c>
      <c r="Q9" s="50">
        <v>1.466</v>
      </c>
      <c r="R9" s="49">
        <v>0.82899999999999996</v>
      </c>
      <c r="S9" s="50">
        <v>0.80400000000000005</v>
      </c>
      <c r="T9" s="49">
        <v>77.45</v>
      </c>
      <c r="U9" s="49">
        <v>60.12</v>
      </c>
      <c r="V9" s="49">
        <v>235</v>
      </c>
      <c r="W9" s="49">
        <v>236.66</v>
      </c>
      <c r="X9" s="49">
        <v>177.5</v>
      </c>
      <c r="Y9" s="49">
        <v>223.34</v>
      </c>
      <c r="Z9" s="49">
        <v>383.27</v>
      </c>
      <c r="AA9" s="50">
        <v>387.74</v>
      </c>
      <c r="AB9" s="50">
        <v>307.20999999999998</v>
      </c>
      <c r="AC9" s="50">
        <v>373.72</v>
      </c>
      <c r="AD9" s="49">
        <v>1.8069999999999999</v>
      </c>
      <c r="AE9" s="49">
        <v>1.867</v>
      </c>
      <c r="AF9" s="49">
        <v>1.784</v>
      </c>
      <c r="AG9" s="49">
        <v>1.81</v>
      </c>
      <c r="AH9" s="49">
        <v>83.32</v>
      </c>
      <c r="AI9" s="49">
        <v>80.39</v>
      </c>
      <c r="AJ9" s="49">
        <v>106.88</v>
      </c>
      <c r="AK9" s="49">
        <v>103.01</v>
      </c>
      <c r="AL9" s="50">
        <v>684.12800000000004</v>
      </c>
      <c r="AM9" s="50">
        <v>692.66800000000001</v>
      </c>
      <c r="AN9" s="50">
        <v>857.53099999999995</v>
      </c>
      <c r="AO9" s="49">
        <v>825.09199999999998</v>
      </c>
      <c r="AP9" s="49">
        <v>1.3049999999999999</v>
      </c>
      <c r="AQ9" s="50">
        <v>1.784</v>
      </c>
      <c r="AR9" s="49">
        <v>40.063000000000002</v>
      </c>
      <c r="AS9" s="49">
        <v>36.209000000000003</v>
      </c>
      <c r="AT9" s="49">
        <v>83</v>
      </c>
      <c r="AU9" s="49">
        <v>118</v>
      </c>
      <c r="AV9" s="50">
        <v>1.9015</v>
      </c>
      <c r="AW9" s="49">
        <v>5.3471000000000002</v>
      </c>
      <c r="AX9" s="49">
        <v>1014.5</v>
      </c>
      <c r="AY9" s="49">
        <v>2.17</v>
      </c>
      <c r="AZ9" s="49">
        <v>5.69</v>
      </c>
      <c r="BA9" s="49">
        <v>132.767</v>
      </c>
      <c r="BB9" s="49">
        <v>133.571</v>
      </c>
      <c r="BC9" s="49">
        <v>7777</v>
      </c>
      <c r="BD9" s="49">
        <v>88</v>
      </c>
      <c r="BE9" s="49">
        <v>16.71</v>
      </c>
      <c r="BF9" s="49">
        <v>14.525</v>
      </c>
      <c r="BG9" s="49">
        <v>28.56</v>
      </c>
      <c r="BH9" s="49">
        <v>28.54</v>
      </c>
      <c r="BI9" s="3"/>
      <c r="BJ9" s="3"/>
      <c r="BK9" s="3"/>
      <c r="BL9" s="3"/>
      <c r="BM9" s="3"/>
      <c r="BN9" s="49">
        <v>99.08</v>
      </c>
      <c r="BO9" s="49">
        <v>96.52</v>
      </c>
      <c r="BP9" s="49">
        <v>127.48</v>
      </c>
      <c r="BQ9" s="49">
        <v>130.904</v>
      </c>
      <c r="BR9" s="3"/>
      <c r="BS9" s="49">
        <v>29.1</v>
      </c>
      <c r="BT9" s="49">
        <v>7431.6459999999997</v>
      </c>
      <c r="BU9" s="49">
        <v>50.536999999999999</v>
      </c>
      <c r="BV9" s="49">
        <v>54.47</v>
      </c>
      <c r="BW9" s="49">
        <v>54.737000000000002</v>
      </c>
      <c r="BX9" s="49">
        <v>57.234999999999999</v>
      </c>
      <c r="BY9" s="50">
        <v>1.5189999999999999</v>
      </c>
      <c r="BZ9" s="49">
        <v>2.944</v>
      </c>
      <c r="CA9" s="49">
        <v>3.8069999999999999</v>
      </c>
      <c r="CB9" s="49">
        <v>3.669</v>
      </c>
      <c r="CC9" s="50">
        <v>1.1220000000000001</v>
      </c>
      <c r="CD9" s="49">
        <v>2.1560000000000001</v>
      </c>
      <c r="CE9" s="49">
        <v>1.2390000000000001</v>
      </c>
      <c r="CF9" s="49">
        <v>2.0259999999999998</v>
      </c>
      <c r="CG9" s="49">
        <v>13.939</v>
      </c>
      <c r="CH9" s="49">
        <v>13.781000000000001</v>
      </c>
      <c r="CI9" s="49">
        <v>4.8440000000000003</v>
      </c>
      <c r="CJ9" s="49">
        <v>-103.21299999999999</v>
      </c>
      <c r="CK9" s="50">
        <v>1.641</v>
      </c>
      <c r="CL9" s="49">
        <v>0</v>
      </c>
      <c r="CM9" s="49">
        <v>0.2</v>
      </c>
      <c r="CN9" s="50">
        <v>0</v>
      </c>
      <c r="CO9" s="50">
        <v>0</v>
      </c>
      <c r="CP9" s="49">
        <v>95.63</v>
      </c>
      <c r="CQ9" s="49">
        <v>93.314999999999998</v>
      </c>
      <c r="CR9" s="49">
        <v>117.905</v>
      </c>
      <c r="CS9" s="49">
        <v>122.992</v>
      </c>
      <c r="CT9" s="49">
        <v>0.32</v>
      </c>
      <c r="CU9" s="49">
        <v>0.7</v>
      </c>
      <c r="CV9" s="49">
        <v>0.998</v>
      </c>
      <c r="CW9" s="49">
        <v>0.998</v>
      </c>
      <c r="CX9" s="49">
        <v>1.597</v>
      </c>
      <c r="CY9" s="49">
        <v>1.595</v>
      </c>
      <c r="CZ9" s="49">
        <v>1.498</v>
      </c>
      <c r="DA9" s="49">
        <v>0.80100000000000005</v>
      </c>
      <c r="DB9" s="49">
        <v>1.698</v>
      </c>
      <c r="DC9" s="49">
        <v>0</v>
      </c>
      <c r="DD9" s="50">
        <v>0</v>
      </c>
      <c r="DE9" s="49">
        <v>0.34599999999999997</v>
      </c>
      <c r="DF9" s="50">
        <v>0.20799999999999999</v>
      </c>
      <c r="DG9" s="49">
        <v>0.88</v>
      </c>
      <c r="DH9" s="49">
        <v>2.6419999999999999</v>
      </c>
      <c r="DI9" s="49">
        <v>1.3140000000000001</v>
      </c>
      <c r="DJ9" s="49">
        <v>0.19400000000000001</v>
      </c>
      <c r="DK9" s="49">
        <v>1.2230000000000001</v>
      </c>
      <c r="DL9" s="49">
        <v>0.39900000000000002</v>
      </c>
      <c r="DM9" s="49">
        <v>0.52300000000000002</v>
      </c>
      <c r="DN9" s="49">
        <v>1.028</v>
      </c>
      <c r="DO9" s="49">
        <v>0.25800000000000001</v>
      </c>
      <c r="DP9" s="49">
        <v>66.376000000000005</v>
      </c>
      <c r="DQ9" s="49">
        <v>60.494</v>
      </c>
      <c r="DR9" s="49">
        <v>54.155000000000001</v>
      </c>
      <c r="DS9" s="49">
        <v>52.430999999999997</v>
      </c>
      <c r="DT9" s="49">
        <v>7.26</v>
      </c>
      <c r="DU9" s="49">
        <v>6.74</v>
      </c>
      <c r="DV9" s="50">
        <v>14.29</v>
      </c>
      <c r="DW9" s="50">
        <v>12.15</v>
      </c>
      <c r="DX9" s="50">
        <v>7.69</v>
      </c>
      <c r="DY9" s="50">
        <v>7.31</v>
      </c>
      <c r="DZ9" s="50">
        <v>13.75</v>
      </c>
      <c r="EA9" s="50">
        <v>12.02</v>
      </c>
      <c r="EB9" s="49">
        <v>41.29</v>
      </c>
      <c r="EC9" s="49">
        <v>41.18</v>
      </c>
      <c r="ED9" s="49">
        <v>31.66</v>
      </c>
      <c r="EE9" s="49">
        <v>33.68</v>
      </c>
      <c r="EF9" s="49">
        <v>43.75</v>
      </c>
      <c r="EG9" s="49">
        <v>44.76</v>
      </c>
      <c r="EH9" s="49">
        <v>40.299999999999997</v>
      </c>
      <c r="EI9" s="49">
        <v>42.15</v>
      </c>
      <c r="EJ9" s="49">
        <v>7.1580000000000004</v>
      </c>
      <c r="EK9" s="50">
        <v>59.610999999999997</v>
      </c>
      <c r="EL9" s="49">
        <v>1.95</v>
      </c>
      <c r="EM9" s="49">
        <v>1.55</v>
      </c>
      <c r="EN9" s="49">
        <v>1.19</v>
      </c>
      <c r="EO9" s="49">
        <v>1.2</v>
      </c>
      <c r="EP9" s="49">
        <v>-105.346</v>
      </c>
      <c r="EQ9" s="49">
        <v>-2.613</v>
      </c>
      <c r="ER9" s="49">
        <v>100.22199999999999</v>
      </c>
      <c r="ES9" s="49">
        <v>1.373</v>
      </c>
      <c r="ET9" s="49">
        <v>1.51</v>
      </c>
      <c r="EU9" s="49">
        <v>1.3240000000000001</v>
      </c>
      <c r="EV9" s="49">
        <v>7.2930000000000001</v>
      </c>
      <c r="EW9" s="49">
        <v>1.776</v>
      </c>
      <c r="EX9" s="50">
        <v>74.739999999999995</v>
      </c>
      <c r="EY9" s="49">
        <v>0</v>
      </c>
      <c r="EZ9" s="49">
        <v>5.1999999999999998E-2</v>
      </c>
      <c r="FA9" s="50">
        <v>0</v>
      </c>
      <c r="FB9" s="49">
        <v>9.1660000000000004</v>
      </c>
      <c r="FC9" s="49">
        <v>70.56</v>
      </c>
      <c r="FD9" s="49">
        <v>66.039000000000001</v>
      </c>
      <c r="FE9" s="49">
        <v>78.944999999999993</v>
      </c>
      <c r="FF9" s="49">
        <v>77.727000000000004</v>
      </c>
      <c r="FG9" s="49">
        <v>0.93400000000000005</v>
      </c>
      <c r="FH9" s="49">
        <v>0.93500000000000005</v>
      </c>
      <c r="FI9" s="49">
        <v>0.99299999999999999</v>
      </c>
      <c r="FJ9" s="49">
        <v>0.998</v>
      </c>
      <c r="FK9" s="49">
        <v>0</v>
      </c>
      <c r="FL9" s="49">
        <v>83</v>
      </c>
      <c r="FM9" s="49">
        <v>3.42</v>
      </c>
      <c r="FN9" s="49">
        <v>-0.62</v>
      </c>
      <c r="FO9" s="49">
        <v>5.4</v>
      </c>
      <c r="FP9" s="3"/>
      <c r="FQ9" s="49">
        <v>4.9000000000000004</v>
      </c>
      <c r="FR9" s="50">
        <v>5.05</v>
      </c>
      <c r="FS9" s="50">
        <v>6.9039999999999999</v>
      </c>
      <c r="FT9" s="49">
        <v>1072</v>
      </c>
      <c r="FU9" s="49">
        <v>6.5</v>
      </c>
      <c r="FV9" s="49">
        <v>16.75</v>
      </c>
      <c r="FW9" s="49">
        <v>3095.5</v>
      </c>
      <c r="FX9" s="49">
        <v>168600</v>
      </c>
      <c r="FY9" s="49">
        <v>169000</v>
      </c>
      <c r="FZ9" s="49">
        <v>48.183999999999997</v>
      </c>
      <c r="GA9" s="49">
        <v>47.210999999999999</v>
      </c>
      <c r="GB9" s="49">
        <v>2202.9</v>
      </c>
      <c r="GC9" s="49">
        <v>2186.9</v>
      </c>
      <c r="GD9" s="49">
        <v>2221.1999999999998</v>
      </c>
      <c r="GE9" s="49">
        <v>2225.1999999999998</v>
      </c>
      <c r="GF9" s="49">
        <v>1143.6719000000001</v>
      </c>
      <c r="GG9" s="49">
        <v>33</v>
      </c>
      <c r="GH9" s="49">
        <v>33.4</v>
      </c>
      <c r="GI9" s="49">
        <v>48.6</v>
      </c>
      <c r="GJ9" s="49">
        <v>53.4</v>
      </c>
      <c r="GK9" s="49">
        <v>99.5</v>
      </c>
      <c r="GL9" s="49">
        <v>87.7</v>
      </c>
      <c r="GM9" s="50">
        <v>0</v>
      </c>
      <c r="GN9" s="49">
        <v>26.988</v>
      </c>
      <c r="GO9" s="49">
        <v>105.346</v>
      </c>
      <c r="GP9" s="49">
        <v>0.35399999999999998</v>
      </c>
      <c r="GQ9" s="49">
        <v>1.9470000000000001</v>
      </c>
      <c r="GR9" s="49">
        <v>0.53100000000000003</v>
      </c>
      <c r="GS9" s="49">
        <v>2.0059999999999998</v>
      </c>
      <c r="GT9" s="49">
        <v>0.53100000000000003</v>
      </c>
      <c r="GU9" s="49">
        <v>1.8879999999999999</v>
      </c>
      <c r="GV9" s="49">
        <v>13.132</v>
      </c>
      <c r="GW9" s="49">
        <v>14.124000000000001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23.146999999999998</v>
      </c>
      <c r="HD9" s="49">
        <v>78</v>
      </c>
      <c r="HE9" s="50">
        <v>0</v>
      </c>
      <c r="HF9" s="50">
        <v>0</v>
      </c>
      <c r="HG9" s="49">
        <v>73.19</v>
      </c>
      <c r="HH9" s="50">
        <v>78.790000000000006</v>
      </c>
      <c r="HI9" s="50">
        <v>0</v>
      </c>
      <c r="HJ9" s="50">
        <v>0</v>
      </c>
      <c r="HK9" s="50">
        <v>0</v>
      </c>
      <c r="HL9" s="49">
        <v>63</v>
      </c>
      <c r="HM9" s="49">
        <v>55</v>
      </c>
      <c r="HN9" s="49">
        <v>67</v>
      </c>
      <c r="HO9" s="49">
        <v>61</v>
      </c>
      <c r="HP9" s="49">
        <v>65</v>
      </c>
      <c r="HQ9" s="49">
        <v>62</v>
      </c>
      <c r="HR9" s="49">
        <v>54</v>
      </c>
      <c r="HS9" s="49">
        <v>64</v>
      </c>
      <c r="HT9" s="49">
        <v>-1.2889999999999999</v>
      </c>
      <c r="HU9" s="50">
        <v>0</v>
      </c>
      <c r="HV9" s="50">
        <v>0.44600000000000001</v>
      </c>
      <c r="HW9" s="50">
        <v>36.81</v>
      </c>
      <c r="HX9" s="50">
        <v>46.57</v>
      </c>
      <c r="HY9" s="49">
        <v>50.23</v>
      </c>
      <c r="HZ9" s="49">
        <v>61.14</v>
      </c>
      <c r="IA9" s="49">
        <v>2.8460000000000001</v>
      </c>
      <c r="IB9" s="50">
        <v>105</v>
      </c>
      <c r="IC9" s="50">
        <v>22.917999999999999</v>
      </c>
      <c r="ID9" s="49">
        <v>-0.28599999999999998</v>
      </c>
      <c r="IE9" s="49">
        <v>-9.6000000000000002E-2</v>
      </c>
      <c r="IF9" s="49">
        <v>818</v>
      </c>
      <c r="IG9" s="50">
        <v>770.6</v>
      </c>
      <c r="IH9" s="49">
        <v>829.5</v>
      </c>
      <c r="II9" s="50">
        <v>782.5</v>
      </c>
      <c r="IJ9" s="49">
        <v>-0.111</v>
      </c>
      <c r="IK9" s="49">
        <v>-0.25600000000000001</v>
      </c>
      <c r="IL9" s="49">
        <v>68.41</v>
      </c>
      <c r="IM9" s="49">
        <v>68.41</v>
      </c>
      <c r="IN9" s="49">
        <v>12.061</v>
      </c>
      <c r="IO9" s="50">
        <v>0.59699999999999998</v>
      </c>
      <c r="IP9" s="49">
        <v>10.46</v>
      </c>
      <c r="IQ9" s="49">
        <v>7.0000000000000001E-3</v>
      </c>
      <c r="IR9" s="49">
        <v>8.0000000000000002E-3</v>
      </c>
    </row>
    <row r="10" spans="2:252" x14ac:dyDescent="0.25">
      <c r="B10" s="2" t="s">
        <v>412</v>
      </c>
      <c r="C10" s="2" t="s">
        <v>44</v>
      </c>
      <c r="D10" s="61">
        <v>2.4615740740740739E-3</v>
      </c>
      <c r="E10" s="49">
        <v>212.72</v>
      </c>
      <c r="F10" s="49">
        <v>333.92</v>
      </c>
      <c r="G10" s="49">
        <v>5.64</v>
      </c>
      <c r="H10" s="49">
        <v>29.8</v>
      </c>
      <c r="I10" s="49">
        <v>0</v>
      </c>
      <c r="J10" s="49">
        <v>19.399999999999999</v>
      </c>
      <c r="K10" s="50">
        <v>10</v>
      </c>
      <c r="L10" s="50">
        <v>2</v>
      </c>
      <c r="M10" s="50">
        <v>6</v>
      </c>
      <c r="N10" s="50">
        <v>3</v>
      </c>
      <c r="O10" s="50">
        <v>3</v>
      </c>
      <c r="P10" s="49">
        <v>0.872</v>
      </c>
      <c r="Q10" s="49">
        <v>1.258</v>
      </c>
      <c r="R10" s="50">
        <v>1.0389999999999999</v>
      </c>
      <c r="S10" s="49">
        <v>0.60099999999999998</v>
      </c>
      <c r="T10" s="49">
        <v>63.98</v>
      </c>
      <c r="U10" s="49">
        <v>60.404000000000003</v>
      </c>
      <c r="V10" s="49">
        <v>243.34</v>
      </c>
      <c r="W10" s="49">
        <v>243.34</v>
      </c>
      <c r="X10" s="49">
        <v>170</v>
      </c>
      <c r="Y10" s="49">
        <v>221.66</v>
      </c>
      <c r="Z10" s="49">
        <v>375.43</v>
      </c>
      <c r="AA10" s="49">
        <v>368.59</v>
      </c>
      <c r="AB10" s="49">
        <v>253.53</v>
      </c>
      <c r="AC10" s="49">
        <v>320.04000000000002</v>
      </c>
      <c r="AD10" s="50">
        <v>1.825</v>
      </c>
      <c r="AE10" s="50">
        <v>1.881</v>
      </c>
      <c r="AF10" s="49">
        <v>1.804</v>
      </c>
      <c r="AG10" s="49">
        <v>1.8360000000000001</v>
      </c>
      <c r="AH10" s="50">
        <v>85.22</v>
      </c>
      <c r="AI10" s="50">
        <v>81.7</v>
      </c>
      <c r="AJ10" s="50">
        <v>109.02</v>
      </c>
      <c r="AK10" s="50">
        <v>105.71</v>
      </c>
      <c r="AL10" s="49">
        <v>654.77099999999996</v>
      </c>
      <c r="AM10" s="49">
        <v>642.77800000000002</v>
      </c>
      <c r="AN10" s="49">
        <v>835.548</v>
      </c>
      <c r="AO10" s="50">
        <v>831.08100000000002</v>
      </c>
      <c r="AP10" s="49">
        <v>1.2310000000000001</v>
      </c>
      <c r="AQ10" s="49">
        <v>1.7430000000000001</v>
      </c>
      <c r="AR10" s="49">
        <v>40.072000000000003</v>
      </c>
      <c r="AS10" s="50">
        <v>40.404000000000003</v>
      </c>
      <c r="AT10" s="49">
        <v>83</v>
      </c>
      <c r="AU10" s="49">
        <v>120</v>
      </c>
      <c r="AV10" s="49">
        <v>2.3744999999999998</v>
      </c>
      <c r="AW10" s="49">
        <v>5.3034999999999997</v>
      </c>
      <c r="AX10" s="49">
        <v>1012.7</v>
      </c>
      <c r="AY10" s="49">
        <v>2.2000000000000002</v>
      </c>
      <c r="AZ10" s="50">
        <v>5.35</v>
      </c>
      <c r="BA10" s="49">
        <v>113.342</v>
      </c>
      <c r="BB10" s="49">
        <v>111.45</v>
      </c>
      <c r="BC10" s="49">
        <v>7780</v>
      </c>
      <c r="BD10" s="49">
        <v>87.75</v>
      </c>
      <c r="BE10" s="49">
        <v>17</v>
      </c>
      <c r="BF10" s="49">
        <v>14.775</v>
      </c>
      <c r="BG10" s="50">
        <v>29.62</v>
      </c>
      <c r="BH10" s="49">
        <v>25.13</v>
      </c>
      <c r="BI10" s="3"/>
      <c r="BJ10" s="3"/>
      <c r="BK10" s="3"/>
      <c r="BL10" s="3"/>
      <c r="BM10" s="3"/>
      <c r="BN10" s="49">
        <v>101.70399999999999</v>
      </c>
      <c r="BO10" s="49">
        <v>98.12</v>
      </c>
      <c r="BP10" s="49">
        <v>126.44</v>
      </c>
      <c r="BQ10" s="49">
        <v>131.22399999999999</v>
      </c>
      <c r="BR10" s="3"/>
      <c r="BS10" s="49">
        <v>29.5</v>
      </c>
      <c r="BT10" s="50">
        <v>7498.3580000000002</v>
      </c>
      <c r="BU10" s="49">
        <v>50.343000000000004</v>
      </c>
      <c r="BV10" s="49">
        <v>53.783999999999999</v>
      </c>
      <c r="BW10" s="49">
        <v>56.012</v>
      </c>
      <c r="BX10" s="49">
        <v>57.048000000000002</v>
      </c>
      <c r="BY10" s="49">
        <v>1.385</v>
      </c>
      <c r="BZ10" s="49">
        <v>2.5</v>
      </c>
      <c r="CA10" s="49">
        <v>3.835</v>
      </c>
      <c r="CB10" s="50">
        <v>3.8919999999999999</v>
      </c>
      <c r="CC10" s="49">
        <v>1.03</v>
      </c>
      <c r="CD10" s="49">
        <v>2.1480000000000001</v>
      </c>
      <c r="CE10" s="49">
        <v>1.125</v>
      </c>
      <c r="CF10" s="49">
        <v>1.925</v>
      </c>
      <c r="CG10" s="49">
        <v>13.932</v>
      </c>
      <c r="CH10" s="49">
        <v>13.786</v>
      </c>
      <c r="CI10" s="49">
        <v>4.6740000000000004</v>
      </c>
      <c r="CJ10" s="49">
        <v>-33.445</v>
      </c>
      <c r="CK10" s="49">
        <v>1.615</v>
      </c>
      <c r="CL10" s="49">
        <v>0.1</v>
      </c>
      <c r="CM10" s="49">
        <v>0.5</v>
      </c>
      <c r="CN10" s="50">
        <v>0</v>
      </c>
      <c r="CO10" s="50">
        <v>0</v>
      </c>
      <c r="CP10" s="49">
        <v>97.882999999999996</v>
      </c>
      <c r="CQ10" s="49">
        <v>94.899000000000001</v>
      </c>
      <c r="CR10" s="49">
        <v>114.39100000000001</v>
      </c>
      <c r="CS10" s="49">
        <v>120.95399999999999</v>
      </c>
      <c r="CT10" s="49">
        <v>0.27900000000000003</v>
      </c>
      <c r="CU10" s="49">
        <v>1.0980000000000001</v>
      </c>
      <c r="CV10" s="49">
        <v>0.998</v>
      </c>
      <c r="CW10" s="49">
        <v>1.298</v>
      </c>
      <c r="CX10" s="49">
        <v>1.6970000000000001</v>
      </c>
      <c r="CY10" s="49">
        <v>0.89700000000000002</v>
      </c>
      <c r="CZ10" s="49">
        <v>1.5960000000000001</v>
      </c>
      <c r="DA10" s="49">
        <v>0.90100000000000002</v>
      </c>
      <c r="DB10" s="49">
        <v>1.6990000000000001</v>
      </c>
      <c r="DC10" s="49">
        <v>0</v>
      </c>
      <c r="DD10" s="50">
        <v>0</v>
      </c>
      <c r="DE10" s="50">
        <v>0.35799999999999998</v>
      </c>
      <c r="DF10" s="49">
        <v>0.18099999999999999</v>
      </c>
      <c r="DG10" s="49">
        <v>1.071</v>
      </c>
      <c r="DH10" s="50">
        <v>2.7850000000000001</v>
      </c>
      <c r="DI10" s="49">
        <v>1.2549999999999999</v>
      </c>
      <c r="DJ10" s="49">
        <v>0.27200000000000002</v>
      </c>
      <c r="DK10" s="49">
        <v>0.91100000000000003</v>
      </c>
      <c r="DL10" s="49">
        <v>0.39700000000000002</v>
      </c>
      <c r="DM10" s="50">
        <v>0.91700000000000004</v>
      </c>
      <c r="DN10" s="50">
        <v>4.8659999999999997</v>
      </c>
      <c r="DO10" s="49">
        <v>0.184</v>
      </c>
      <c r="DP10" s="49">
        <v>69.134</v>
      </c>
      <c r="DQ10" s="49">
        <v>62.164000000000001</v>
      </c>
      <c r="DR10" s="50">
        <v>56.128999999999998</v>
      </c>
      <c r="DS10" s="49">
        <v>54.914999999999999</v>
      </c>
      <c r="DT10" s="50">
        <v>7.28</v>
      </c>
      <c r="DU10" s="49">
        <v>6.68</v>
      </c>
      <c r="DV10" s="49">
        <v>13.84</v>
      </c>
      <c r="DW10" s="49">
        <v>11.94</v>
      </c>
      <c r="DX10" s="49">
        <v>7.44</v>
      </c>
      <c r="DY10" s="49">
        <v>7.13</v>
      </c>
      <c r="DZ10" s="49">
        <v>13.23</v>
      </c>
      <c r="EA10" s="49">
        <v>11.48</v>
      </c>
      <c r="EB10" s="49">
        <v>41.09</v>
      </c>
      <c r="EC10" s="49">
        <v>40.86</v>
      </c>
      <c r="ED10" s="49">
        <v>32.119999999999997</v>
      </c>
      <c r="EE10" s="49">
        <v>34.049999999999997</v>
      </c>
      <c r="EF10" s="49">
        <v>44.18</v>
      </c>
      <c r="EG10" s="49">
        <v>45.32</v>
      </c>
      <c r="EH10" s="49">
        <v>40.81</v>
      </c>
      <c r="EI10" s="49">
        <v>42.53</v>
      </c>
      <c r="EJ10" s="49">
        <v>6.5380000000000003</v>
      </c>
      <c r="EK10" s="49">
        <v>58.445</v>
      </c>
      <c r="EL10" s="49">
        <v>1.95</v>
      </c>
      <c r="EM10" s="49">
        <v>1.6</v>
      </c>
      <c r="EN10" s="49">
        <v>1.25</v>
      </c>
      <c r="EO10" s="49">
        <v>1.26</v>
      </c>
      <c r="EP10" s="49">
        <v>-103.59399999999999</v>
      </c>
      <c r="EQ10" s="49">
        <v>-2.3410000000000002</v>
      </c>
      <c r="ER10" s="49">
        <v>101.682</v>
      </c>
      <c r="ES10" s="49">
        <v>1.3420000000000001</v>
      </c>
      <c r="ET10" s="49">
        <v>1.431</v>
      </c>
      <c r="EU10" s="49">
        <v>1.258</v>
      </c>
      <c r="EV10" s="49">
        <v>6.6539999999999999</v>
      </c>
      <c r="EW10" s="49">
        <v>0.90700000000000003</v>
      </c>
      <c r="EX10" s="49">
        <v>70</v>
      </c>
      <c r="EY10" s="49">
        <v>0</v>
      </c>
      <c r="EZ10" s="49">
        <v>1.869</v>
      </c>
      <c r="FA10" s="50">
        <v>0</v>
      </c>
      <c r="FB10" s="49">
        <v>9.1679999999999993</v>
      </c>
      <c r="FC10" s="49">
        <v>73.355000000000004</v>
      </c>
      <c r="FD10" s="49">
        <v>68.811000000000007</v>
      </c>
      <c r="FE10" s="49">
        <v>83.421999999999997</v>
      </c>
      <c r="FF10" s="49">
        <v>82.069000000000003</v>
      </c>
      <c r="FG10" s="49">
        <v>0.93700000000000006</v>
      </c>
      <c r="FH10" s="49">
        <v>0.93799999999999994</v>
      </c>
      <c r="FI10" s="49">
        <v>0.99399999999999999</v>
      </c>
      <c r="FJ10" s="49">
        <v>1</v>
      </c>
      <c r="FK10" s="49">
        <v>0</v>
      </c>
      <c r="FL10" s="49">
        <v>83</v>
      </c>
      <c r="FM10" s="50">
        <v>3.48</v>
      </c>
      <c r="FN10" s="49">
        <v>-0.57999999999999996</v>
      </c>
      <c r="FO10" s="49">
        <v>5.36</v>
      </c>
      <c r="FP10" s="3"/>
      <c r="FQ10" s="49">
        <v>4.5999999999999996</v>
      </c>
      <c r="FR10" s="50">
        <v>5.05</v>
      </c>
      <c r="FS10" s="49">
        <v>6.7565</v>
      </c>
      <c r="FT10" s="50">
        <v>1076.7</v>
      </c>
      <c r="FU10" s="49">
        <v>7.02</v>
      </c>
      <c r="FV10" s="49">
        <v>22.39</v>
      </c>
      <c r="FW10" s="49">
        <v>3105</v>
      </c>
      <c r="FX10" s="50">
        <v>173700</v>
      </c>
      <c r="FY10" s="50">
        <v>175000</v>
      </c>
      <c r="FZ10" s="49">
        <v>48.875999999999998</v>
      </c>
      <c r="GA10" s="49">
        <v>47.753</v>
      </c>
      <c r="GB10" s="49">
        <v>2182.4</v>
      </c>
      <c r="GC10" s="49">
        <v>2178.6999999999998</v>
      </c>
      <c r="GD10" s="49">
        <v>2351.8000000000002</v>
      </c>
      <c r="GE10" s="49">
        <v>2405.4</v>
      </c>
      <c r="GF10" s="49">
        <v>1372.9375</v>
      </c>
      <c r="GG10" s="49">
        <v>34</v>
      </c>
      <c r="GH10" s="49">
        <v>34.5</v>
      </c>
      <c r="GI10" s="49">
        <v>49.2</v>
      </c>
      <c r="GJ10" s="49">
        <v>54.2</v>
      </c>
      <c r="GK10" s="49">
        <v>99.5</v>
      </c>
      <c r="GL10" s="50">
        <v>93.9</v>
      </c>
      <c r="GM10" s="50">
        <v>0</v>
      </c>
      <c r="GN10" s="49">
        <v>26.852</v>
      </c>
      <c r="GO10" s="49">
        <v>103.59399999999999</v>
      </c>
      <c r="GP10" s="49">
        <v>0.35399999999999998</v>
      </c>
      <c r="GQ10" s="49">
        <v>1.9470000000000001</v>
      </c>
      <c r="GR10" s="49">
        <v>0.53100000000000003</v>
      </c>
      <c r="GS10" s="49">
        <v>1.9470000000000001</v>
      </c>
      <c r="GT10" s="49">
        <v>0.41299999999999998</v>
      </c>
      <c r="GU10" s="49">
        <v>1.8879999999999999</v>
      </c>
      <c r="GV10" s="49">
        <v>12.936</v>
      </c>
      <c r="GW10" s="49">
        <v>14.144</v>
      </c>
      <c r="GX10" s="49">
        <v>15.484</v>
      </c>
      <c r="GY10" s="50">
        <v>0</v>
      </c>
      <c r="GZ10" s="50">
        <v>0</v>
      </c>
      <c r="HA10" s="50">
        <v>0</v>
      </c>
      <c r="HB10" s="49">
        <v>0</v>
      </c>
      <c r="HC10" s="49">
        <v>23.507999999999999</v>
      </c>
      <c r="HD10" s="49">
        <v>82</v>
      </c>
      <c r="HE10" s="50">
        <v>0</v>
      </c>
      <c r="HF10" s="50">
        <v>0</v>
      </c>
      <c r="HG10" s="49">
        <v>74.349999999999994</v>
      </c>
      <c r="HH10" s="49">
        <v>78.2</v>
      </c>
      <c r="HI10" s="50">
        <v>0</v>
      </c>
      <c r="HJ10" s="50">
        <v>0</v>
      </c>
      <c r="HK10" s="50">
        <v>0</v>
      </c>
      <c r="HL10" s="49">
        <v>63</v>
      </c>
      <c r="HM10" s="49">
        <v>55</v>
      </c>
      <c r="HN10" s="49">
        <v>68</v>
      </c>
      <c r="HO10" s="49">
        <v>62</v>
      </c>
      <c r="HP10" s="49">
        <v>65</v>
      </c>
      <c r="HQ10" s="49">
        <v>63</v>
      </c>
      <c r="HR10" s="49">
        <v>54</v>
      </c>
      <c r="HS10" s="49">
        <v>64</v>
      </c>
      <c r="HT10" s="49">
        <v>-1.2665</v>
      </c>
      <c r="HU10" s="50">
        <v>0</v>
      </c>
      <c r="HV10" s="49">
        <v>0.434</v>
      </c>
      <c r="HW10" s="49">
        <v>37.21</v>
      </c>
      <c r="HX10" s="49">
        <v>47.55</v>
      </c>
      <c r="HY10" s="49">
        <v>50.88</v>
      </c>
      <c r="HZ10" s="49">
        <v>61.91</v>
      </c>
      <c r="IA10" s="50">
        <v>3</v>
      </c>
      <c r="IB10" s="49">
        <v>104</v>
      </c>
      <c r="IC10" s="49">
        <v>22.852</v>
      </c>
      <c r="ID10" s="49">
        <v>-0.28699999999999998</v>
      </c>
      <c r="IE10" s="49">
        <v>-0.08</v>
      </c>
      <c r="IF10" s="49">
        <v>811.9</v>
      </c>
      <c r="IG10" s="49">
        <v>762.1</v>
      </c>
      <c r="IH10" s="49">
        <v>823.9</v>
      </c>
      <c r="II10" s="49">
        <v>774.2</v>
      </c>
      <c r="IJ10" s="49">
        <v>-6.3E-2</v>
      </c>
      <c r="IK10" s="49">
        <v>-0.22700000000000001</v>
      </c>
      <c r="IL10" s="49">
        <v>80.905000000000001</v>
      </c>
      <c r="IM10" s="49">
        <v>80.905000000000001</v>
      </c>
      <c r="IN10" s="49">
        <v>12.753</v>
      </c>
      <c r="IO10" s="49">
        <v>0.58899999999999997</v>
      </c>
      <c r="IP10" s="49">
        <v>10.42</v>
      </c>
      <c r="IQ10" s="49">
        <v>0.01</v>
      </c>
      <c r="IR10" s="49">
        <v>6.0000000000000001E-3</v>
      </c>
    </row>
    <row r="11" spans="2:252" x14ac:dyDescent="0.25">
      <c r="B11" s="2" t="s">
        <v>412</v>
      </c>
      <c r="C11" s="2" t="s">
        <v>45</v>
      </c>
      <c r="D11" s="61">
        <v>2.4424768518518519E-3</v>
      </c>
      <c r="E11" s="49">
        <v>211.07</v>
      </c>
      <c r="F11" s="49">
        <v>330.81</v>
      </c>
      <c r="G11" s="49">
        <v>5.88</v>
      </c>
      <c r="H11" s="50">
        <v>29.9</v>
      </c>
      <c r="I11" s="49">
        <v>0</v>
      </c>
      <c r="J11" s="49">
        <v>15.4</v>
      </c>
      <c r="K11" s="50">
        <v>10</v>
      </c>
      <c r="L11" s="50">
        <v>2</v>
      </c>
      <c r="M11" s="50">
        <v>6</v>
      </c>
      <c r="N11" s="50">
        <v>3</v>
      </c>
      <c r="O11" s="50">
        <v>3</v>
      </c>
      <c r="P11" s="50">
        <v>0.878</v>
      </c>
      <c r="Q11" s="49">
        <v>1.228</v>
      </c>
      <c r="R11" s="49">
        <v>1.0309999999999999</v>
      </c>
      <c r="S11" s="49">
        <v>0.73299999999999998</v>
      </c>
      <c r="T11" s="50">
        <v>78.040000000000006</v>
      </c>
      <c r="U11" s="49">
        <v>60.267000000000003</v>
      </c>
      <c r="V11" s="49">
        <v>236.66</v>
      </c>
      <c r="W11" s="49">
        <v>236.66</v>
      </c>
      <c r="X11" s="49">
        <v>150</v>
      </c>
      <c r="Y11" s="49">
        <v>201.66</v>
      </c>
      <c r="Z11" s="50">
        <v>384.54</v>
      </c>
      <c r="AA11" s="49">
        <v>386.55</v>
      </c>
      <c r="AB11" s="49">
        <v>285.05</v>
      </c>
      <c r="AC11" s="49">
        <v>349.83</v>
      </c>
      <c r="AD11" s="49">
        <v>1.8240000000000001</v>
      </c>
      <c r="AE11" s="49">
        <v>1.8720000000000001</v>
      </c>
      <c r="AF11" s="49">
        <v>1.796</v>
      </c>
      <c r="AG11" s="49">
        <v>1.8280000000000001</v>
      </c>
      <c r="AH11" s="49">
        <v>84.45</v>
      </c>
      <c r="AI11" s="49">
        <v>80.900000000000006</v>
      </c>
      <c r="AJ11" s="49">
        <v>107.09</v>
      </c>
      <c r="AK11" s="49">
        <v>103.93</v>
      </c>
      <c r="AL11" s="49">
        <v>669.13599999999997</v>
      </c>
      <c r="AM11" s="49">
        <v>677.23900000000003</v>
      </c>
      <c r="AN11" s="49">
        <v>850.71799999999996</v>
      </c>
      <c r="AO11" s="49">
        <v>797.202</v>
      </c>
      <c r="AP11" s="49">
        <v>1.2809999999999999</v>
      </c>
      <c r="AQ11" s="49">
        <v>1.7769999999999999</v>
      </c>
      <c r="AR11" s="50">
        <v>42.372</v>
      </c>
      <c r="AS11" s="49">
        <v>37.058999999999997</v>
      </c>
      <c r="AT11" s="49">
        <v>83</v>
      </c>
      <c r="AU11" s="49">
        <v>121</v>
      </c>
      <c r="AV11" s="49">
        <v>2.2519999999999998</v>
      </c>
      <c r="AW11" s="49">
        <v>5.3287000000000004</v>
      </c>
      <c r="AX11" s="50">
        <v>1016.8</v>
      </c>
      <c r="AY11" s="49">
        <v>2.23</v>
      </c>
      <c r="AZ11" s="50">
        <v>5.35</v>
      </c>
      <c r="BA11" s="49">
        <v>93.856999999999999</v>
      </c>
      <c r="BB11" s="49">
        <v>93.289000000000001</v>
      </c>
      <c r="BC11" s="49">
        <v>7767</v>
      </c>
      <c r="BD11" s="49">
        <v>88.25</v>
      </c>
      <c r="BE11" s="49">
        <v>17.190000000000001</v>
      </c>
      <c r="BF11" s="50">
        <v>15.19</v>
      </c>
      <c r="BG11" s="49">
        <v>28.2</v>
      </c>
      <c r="BH11" s="49">
        <v>26.3</v>
      </c>
      <c r="BI11" s="3"/>
      <c r="BJ11" s="3"/>
      <c r="BK11" s="3"/>
      <c r="BL11" s="3"/>
      <c r="BM11" s="3"/>
      <c r="BN11" s="49">
        <v>103.624</v>
      </c>
      <c r="BO11" s="49">
        <v>98.68</v>
      </c>
      <c r="BP11" s="49">
        <v>120.328</v>
      </c>
      <c r="BQ11" s="49">
        <v>125.208</v>
      </c>
      <c r="BR11" s="3"/>
      <c r="BS11" s="50">
        <v>29.7</v>
      </c>
      <c r="BT11" s="49">
        <v>7413.2979999999998</v>
      </c>
      <c r="BU11" s="50">
        <v>51.47</v>
      </c>
      <c r="BV11" s="49">
        <v>54.924999999999997</v>
      </c>
      <c r="BW11" s="49">
        <v>55.651000000000003</v>
      </c>
      <c r="BX11" s="49">
        <v>58.027999999999999</v>
      </c>
      <c r="BY11" s="49">
        <v>1.347</v>
      </c>
      <c r="BZ11" s="49">
        <v>2.9239999999999999</v>
      </c>
      <c r="CA11" s="50">
        <v>3.8730000000000002</v>
      </c>
      <c r="CB11" s="49">
        <v>3.5630000000000002</v>
      </c>
      <c r="CC11" s="49">
        <v>0.85799999999999998</v>
      </c>
      <c r="CD11" s="49">
        <v>2.0979999999999999</v>
      </c>
      <c r="CE11" s="49">
        <v>1.1850000000000001</v>
      </c>
      <c r="CF11" s="49">
        <v>1.9570000000000001</v>
      </c>
      <c r="CG11" s="49">
        <v>13.936</v>
      </c>
      <c r="CH11" s="49">
        <v>13.794</v>
      </c>
      <c r="CI11" s="49">
        <v>4.0910000000000002</v>
      </c>
      <c r="CJ11" s="50">
        <v>328.32900000000001</v>
      </c>
      <c r="CK11" s="49">
        <v>1.417</v>
      </c>
      <c r="CL11" s="49">
        <v>0.5</v>
      </c>
      <c r="CM11" s="49">
        <v>0.6</v>
      </c>
      <c r="CN11" s="50">
        <v>0</v>
      </c>
      <c r="CO11" s="50">
        <v>0</v>
      </c>
      <c r="CP11" s="49">
        <v>98.186000000000007</v>
      </c>
      <c r="CQ11" s="49">
        <v>94.906000000000006</v>
      </c>
      <c r="CR11" s="49">
        <v>110.172</v>
      </c>
      <c r="CS11" s="49">
        <v>117.88</v>
      </c>
      <c r="CT11" s="49">
        <v>0.35199999999999998</v>
      </c>
      <c r="CU11" s="49">
        <v>0.9</v>
      </c>
      <c r="CV11" s="49">
        <v>0.997</v>
      </c>
      <c r="CW11" s="49">
        <v>0.80200000000000005</v>
      </c>
      <c r="CX11" s="49">
        <v>1.4950000000000001</v>
      </c>
      <c r="CY11" s="49">
        <v>0.69799999999999995</v>
      </c>
      <c r="CZ11" s="49">
        <v>1.3979999999999999</v>
      </c>
      <c r="DA11" s="49">
        <v>0.70099999999999996</v>
      </c>
      <c r="DB11" s="49">
        <v>1.7010000000000001</v>
      </c>
      <c r="DC11" s="49">
        <v>0</v>
      </c>
      <c r="DD11" s="50">
        <v>0</v>
      </c>
      <c r="DE11" s="49">
        <v>0.35199999999999998</v>
      </c>
      <c r="DF11" s="49">
        <v>0.16800000000000001</v>
      </c>
      <c r="DG11" s="49">
        <v>1.079</v>
      </c>
      <c r="DH11" s="49">
        <v>2.669</v>
      </c>
      <c r="DI11" s="50">
        <v>1.415</v>
      </c>
      <c r="DJ11" s="50">
        <v>0.33300000000000002</v>
      </c>
      <c r="DK11" s="50">
        <v>1.244</v>
      </c>
      <c r="DL11" s="49">
        <v>0.4</v>
      </c>
      <c r="DM11" s="49">
        <v>0.42499999999999999</v>
      </c>
      <c r="DN11" s="49">
        <v>-2E-3</v>
      </c>
      <c r="DO11" s="49">
        <v>-6.9000000000000006E-2</v>
      </c>
      <c r="DP11" s="49">
        <v>66.551000000000002</v>
      </c>
      <c r="DQ11" s="49">
        <v>61.758000000000003</v>
      </c>
      <c r="DR11" s="49">
        <v>53.762999999999998</v>
      </c>
      <c r="DS11" s="49">
        <v>53.008000000000003</v>
      </c>
      <c r="DT11" s="49">
        <v>6.99</v>
      </c>
      <c r="DU11" s="50">
        <v>6.83</v>
      </c>
      <c r="DV11" s="49">
        <v>13.74</v>
      </c>
      <c r="DW11" s="49">
        <v>11.33</v>
      </c>
      <c r="DX11" s="49">
        <v>7.2</v>
      </c>
      <c r="DY11" s="49">
        <v>6.92</v>
      </c>
      <c r="DZ11" s="49">
        <v>13.08</v>
      </c>
      <c r="EA11" s="49">
        <v>10.95</v>
      </c>
      <c r="EB11" s="50">
        <v>41.8</v>
      </c>
      <c r="EC11" s="49">
        <v>40.53</v>
      </c>
      <c r="ED11" s="50">
        <v>32.32</v>
      </c>
      <c r="EE11" s="50">
        <v>34.67</v>
      </c>
      <c r="EF11" s="49">
        <v>44.02</v>
      </c>
      <c r="EG11" s="49">
        <v>45.72</v>
      </c>
      <c r="EH11" s="49">
        <v>40.85</v>
      </c>
      <c r="EI11" s="49">
        <v>43.05</v>
      </c>
      <c r="EJ11" s="49">
        <v>7.3520000000000003</v>
      </c>
      <c r="EK11" s="49">
        <v>59.329000000000001</v>
      </c>
      <c r="EL11" s="49">
        <v>2</v>
      </c>
      <c r="EM11" s="49">
        <v>1.6</v>
      </c>
      <c r="EN11" s="49">
        <v>1.21</v>
      </c>
      <c r="EO11" s="49">
        <v>1.21</v>
      </c>
      <c r="EP11" s="49">
        <v>-102.134</v>
      </c>
      <c r="EQ11" s="49">
        <v>-2.2759999999999998</v>
      </c>
      <c r="ER11" s="50">
        <v>113.654</v>
      </c>
      <c r="ES11" s="49">
        <v>1.288</v>
      </c>
      <c r="ET11" s="49">
        <v>1.3169999999999999</v>
      </c>
      <c r="EU11" s="49">
        <v>1.1279999999999999</v>
      </c>
      <c r="EV11" s="49">
        <v>7.1589999999999998</v>
      </c>
      <c r="EW11" s="49">
        <v>1.698</v>
      </c>
      <c r="EX11" s="49">
        <v>73.92</v>
      </c>
      <c r="EY11" s="49">
        <v>0</v>
      </c>
      <c r="EZ11" s="49">
        <v>8.0000000000000002E-3</v>
      </c>
      <c r="FA11" s="50">
        <v>0</v>
      </c>
      <c r="FB11" s="49">
        <v>9.157</v>
      </c>
      <c r="FC11" s="49">
        <v>73.843999999999994</v>
      </c>
      <c r="FD11" s="49">
        <v>68.730999999999995</v>
      </c>
      <c r="FE11" s="49">
        <v>82.188000000000002</v>
      </c>
      <c r="FF11" s="49">
        <v>80.936999999999998</v>
      </c>
      <c r="FG11" s="49">
        <v>0.93500000000000005</v>
      </c>
      <c r="FH11" s="49">
        <v>0.93700000000000006</v>
      </c>
      <c r="FI11" s="49">
        <v>0.996</v>
      </c>
      <c r="FJ11" s="49">
        <v>1.0009999999999999</v>
      </c>
      <c r="FK11" s="49">
        <v>0</v>
      </c>
      <c r="FL11" s="49">
        <v>83</v>
      </c>
      <c r="FM11" s="49">
        <v>3.44</v>
      </c>
      <c r="FN11" s="49">
        <v>-0.64</v>
      </c>
      <c r="FO11" s="50">
        <v>5.3</v>
      </c>
      <c r="FP11" s="3"/>
      <c r="FQ11" s="49">
        <v>4.5999999999999996</v>
      </c>
      <c r="FR11" s="49">
        <v>5.0999999999999996</v>
      </c>
      <c r="FS11" s="49">
        <v>6.7030000000000003</v>
      </c>
      <c r="FT11" s="49">
        <v>1075.0999999999999</v>
      </c>
      <c r="FU11" s="49">
        <v>6.68</v>
      </c>
      <c r="FV11" s="49">
        <v>28.27</v>
      </c>
      <c r="FW11" s="49">
        <v>3055.5</v>
      </c>
      <c r="FX11" s="49">
        <v>168600</v>
      </c>
      <c r="FY11" s="49">
        <v>170700</v>
      </c>
      <c r="FZ11" s="49">
        <v>48.414000000000001</v>
      </c>
      <c r="GA11" s="49">
        <v>47.581000000000003</v>
      </c>
      <c r="GB11" s="49">
        <v>2301.1</v>
      </c>
      <c r="GC11" s="49">
        <v>2256.3000000000002</v>
      </c>
      <c r="GD11" s="49">
        <v>2355.6999999999998</v>
      </c>
      <c r="GE11" s="50">
        <v>2563.9</v>
      </c>
      <c r="GF11" s="50">
        <v>1556.4530999999999</v>
      </c>
      <c r="GG11" s="49">
        <v>36</v>
      </c>
      <c r="GH11" s="49">
        <v>35.6</v>
      </c>
      <c r="GI11" s="49">
        <v>49.4</v>
      </c>
      <c r="GJ11" s="49">
        <v>54.4</v>
      </c>
      <c r="GK11" s="49">
        <v>99.5</v>
      </c>
      <c r="GL11" s="49">
        <v>93.8</v>
      </c>
      <c r="GM11" s="50">
        <v>0</v>
      </c>
      <c r="GN11" s="50">
        <v>27.288</v>
      </c>
      <c r="GO11" s="50">
        <v>113.654</v>
      </c>
      <c r="GP11" s="49">
        <v>0.29499999999999998</v>
      </c>
      <c r="GQ11" s="49">
        <v>1.9470000000000001</v>
      </c>
      <c r="GR11" s="49">
        <v>0.47199999999999998</v>
      </c>
      <c r="GS11" s="49">
        <v>1.9470000000000001</v>
      </c>
      <c r="GT11" s="49">
        <v>0.41299999999999998</v>
      </c>
      <c r="GU11" s="49">
        <v>1.8879999999999999</v>
      </c>
      <c r="GV11" s="49">
        <v>12.936</v>
      </c>
      <c r="GW11" s="50">
        <v>14.148999999999999</v>
      </c>
      <c r="GX11" s="49">
        <v>16.071999999999999</v>
      </c>
      <c r="GY11" s="50">
        <v>0</v>
      </c>
      <c r="GZ11" s="50">
        <v>0</v>
      </c>
      <c r="HA11" s="50">
        <v>0</v>
      </c>
      <c r="HB11" s="49">
        <v>0</v>
      </c>
      <c r="HC11" s="49">
        <v>23.285</v>
      </c>
      <c r="HD11" s="49">
        <v>82</v>
      </c>
      <c r="HE11" s="50">
        <v>0</v>
      </c>
      <c r="HF11" s="50">
        <v>0</v>
      </c>
      <c r="HG11" s="49">
        <v>74.69</v>
      </c>
      <c r="HH11" s="49">
        <v>78.56</v>
      </c>
      <c r="HI11" s="50">
        <v>0</v>
      </c>
      <c r="HJ11" s="50">
        <v>0</v>
      </c>
      <c r="HK11" s="50">
        <v>0</v>
      </c>
      <c r="HL11" s="49">
        <v>63</v>
      </c>
      <c r="HM11" s="49">
        <v>55</v>
      </c>
      <c r="HN11" s="50">
        <v>69</v>
      </c>
      <c r="HO11" s="50">
        <v>63</v>
      </c>
      <c r="HP11" s="50">
        <v>66</v>
      </c>
      <c r="HQ11" s="50">
        <v>64</v>
      </c>
      <c r="HR11" s="49">
        <v>54</v>
      </c>
      <c r="HS11" s="50">
        <v>70</v>
      </c>
      <c r="HT11" s="49">
        <v>-1.276</v>
      </c>
      <c r="HU11" s="50">
        <v>0</v>
      </c>
      <c r="HV11" s="49">
        <v>0.193</v>
      </c>
      <c r="HW11" s="49">
        <v>37.21</v>
      </c>
      <c r="HX11" s="49">
        <v>47.55</v>
      </c>
      <c r="HY11" s="50">
        <v>51.21</v>
      </c>
      <c r="HZ11" s="50">
        <v>63.19</v>
      </c>
      <c r="IA11" s="49">
        <v>2.9350000000000001</v>
      </c>
      <c r="IB11" s="49">
        <v>104</v>
      </c>
      <c r="IC11" s="49">
        <v>22.756</v>
      </c>
      <c r="ID11" s="49">
        <v>-0.30299999999999999</v>
      </c>
      <c r="IE11" s="49">
        <v>-0.109</v>
      </c>
      <c r="IF11" s="49">
        <v>815.6</v>
      </c>
      <c r="IG11" s="49">
        <v>769.7</v>
      </c>
      <c r="IH11" s="49">
        <v>829.6</v>
      </c>
      <c r="II11" s="49">
        <v>781.5</v>
      </c>
      <c r="IJ11" s="49">
        <v>-0.104</v>
      </c>
      <c r="IK11" s="49">
        <v>-0.23100000000000001</v>
      </c>
      <c r="IL11" s="49">
        <v>71.688000000000002</v>
      </c>
      <c r="IM11" s="49">
        <v>71.688000000000002</v>
      </c>
      <c r="IN11" s="49">
        <v>11.942</v>
      </c>
      <c r="IO11" s="49">
        <v>0.57499999999999996</v>
      </c>
      <c r="IP11" s="49">
        <v>10.41</v>
      </c>
      <c r="IQ11" s="49">
        <v>1.0999999999999999E-2</v>
      </c>
      <c r="IR11" s="49">
        <v>0.01</v>
      </c>
    </row>
    <row r="12" spans="2:252" x14ac:dyDescent="0.25">
      <c r="B12" s="2" t="s">
        <v>412</v>
      </c>
      <c r="C12" s="2" t="s">
        <v>46</v>
      </c>
      <c r="D12" s="61">
        <v>2.8505787037037041E-3</v>
      </c>
      <c r="E12" s="49">
        <v>246.28899999999999</v>
      </c>
      <c r="F12" s="50">
        <v>334.25</v>
      </c>
      <c r="G12" s="49">
        <v>-28.27</v>
      </c>
      <c r="H12" s="49">
        <v>29.8</v>
      </c>
      <c r="I12" s="49">
        <v>0</v>
      </c>
      <c r="J12" s="49">
        <v>17.3</v>
      </c>
      <c r="K12" s="50">
        <v>10</v>
      </c>
      <c r="L12" s="50">
        <v>2</v>
      </c>
      <c r="M12" s="50">
        <v>6</v>
      </c>
      <c r="N12" s="50">
        <v>3</v>
      </c>
      <c r="O12" s="50">
        <v>3</v>
      </c>
      <c r="P12" s="49">
        <v>0.78800000000000003</v>
      </c>
      <c r="Q12" s="49">
        <v>1.4</v>
      </c>
      <c r="R12" s="49">
        <v>0.75</v>
      </c>
      <c r="S12" s="49">
        <v>0.57799999999999996</v>
      </c>
      <c r="T12" s="49">
        <v>72.489999999999995</v>
      </c>
      <c r="U12" s="50">
        <v>60.418999999999997</v>
      </c>
      <c r="V12" s="49">
        <v>255</v>
      </c>
      <c r="W12" s="49">
        <v>260</v>
      </c>
      <c r="X12" s="49">
        <v>180</v>
      </c>
      <c r="Y12" s="49">
        <v>230</v>
      </c>
      <c r="Z12" s="49">
        <v>381.79</v>
      </c>
      <c r="AA12" s="49">
        <v>381.14</v>
      </c>
      <c r="AB12" s="49">
        <v>288.32</v>
      </c>
      <c r="AC12" s="49">
        <v>350.94</v>
      </c>
      <c r="AD12" s="49">
        <v>1.8220000000000001</v>
      </c>
      <c r="AE12" s="49">
        <v>1.88</v>
      </c>
      <c r="AF12" s="50">
        <v>1.8169999999999999</v>
      </c>
      <c r="AG12" s="50">
        <v>1.8420000000000001</v>
      </c>
      <c r="AH12" s="49">
        <v>82.96</v>
      </c>
      <c r="AI12" s="49">
        <v>80.94</v>
      </c>
      <c r="AJ12" s="49">
        <v>108.57</v>
      </c>
      <c r="AK12" s="49">
        <v>105.03</v>
      </c>
      <c r="AL12" s="49">
        <v>650.38800000000003</v>
      </c>
      <c r="AM12" s="49">
        <v>640.80399999999997</v>
      </c>
      <c r="AN12" s="49">
        <v>853.78399999999999</v>
      </c>
      <c r="AO12" s="49">
        <v>771.76499999999999</v>
      </c>
      <c r="AP12" s="49">
        <v>1.282</v>
      </c>
      <c r="AQ12" s="49">
        <v>1.768</v>
      </c>
      <c r="AR12" s="49">
        <v>42.279000000000003</v>
      </c>
      <c r="AS12" s="49">
        <v>36.095999999999997</v>
      </c>
      <c r="AT12" s="49">
        <v>83</v>
      </c>
      <c r="AU12" s="50">
        <v>122</v>
      </c>
      <c r="AV12" s="49">
        <v>2.3815</v>
      </c>
      <c r="AW12" s="49">
        <v>5.2375999999999996</v>
      </c>
      <c r="AX12" s="49">
        <v>1016.5</v>
      </c>
      <c r="AY12" s="49">
        <v>2.25</v>
      </c>
      <c r="AZ12" s="49">
        <v>5.68</v>
      </c>
      <c r="BA12" s="49">
        <v>92.93</v>
      </c>
      <c r="BB12" s="49">
        <v>92.546999999999997</v>
      </c>
      <c r="BC12" s="49">
        <v>7662</v>
      </c>
      <c r="BD12" s="50">
        <v>89.75</v>
      </c>
      <c r="BE12" s="49">
        <v>16.52</v>
      </c>
      <c r="BF12" s="49">
        <v>13.645</v>
      </c>
      <c r="BG12" s="49">
        <v>28.46</v>
      </c>
      <c r="BH12" s="49">
        <v>26.57</v>
      </c>
      <c r="BI12" s="50">
        <v>65.757999999999996</v>
      </c>
      <c r="BJ12" s="50">
        <v>81.656000000000006</v>
      </c>
      <c r="BK12" s="50">
        <v>64.076999999999998</v>
      </c>
      <c r="BL12" s="49">
        <v>77.262</v>
      </c>
      <c r="BM12" s="50">
        <v>80.966999999999999</v>
      </c>
      <c r="BN12" s="49">
        <v>116.28</v>
      </c>
      <c r="BO12" s="49">
        <v>111.816</v>
      </c>
      <c r="BP12" s="50">
        <v>132.77600000000001</v>
      </c>
      <c r="BQ12" s="50">
        <v>136.50399999999999</v>
      </c>
      <c r="BR12" s="50">
        <v>61.386000000000003</v>
      </c>
      <c r="BS12" s="49">
        <v>29.5</v>
      </c>
      <c r="BT12" s="49">
        <v>7363.6080000000002</v>
      </c>
      <c r="BU12" s="49">
        <v>49.046999999999997</v>
      </c>
      <c r="BV12" s="49">
        <v>52.93</v>
      </c>
      <c r="BW12" s="49">
        <v>56.094000000000001</v>
      </c>
      <c r="BX12" s="49">
        <v>57.085000000000001</v>
      </c>
      <c r="BY12" s="49">
        <v>1.419</v>
      </c>
      <c r="BZ12" s="50">
        <v>3.2109999999999999</v>
      </c>
      <c r="CA12" s="49">
        <v>3.01</v>
      </c>
      <c r="CB12" s="49">
        <v>3.5350000000000001</v>
      </c>
      <c r="CC12" s="49">
        <v>0.95699999999999996</v>
      </c>
      <c r="CD12" s="49">
        <v>2.016</v>
      </c>
      <c r="CE12" s="49">
        <v>1.2669999999999999</v>
      </c>
      <c r="CF12" s="49">
        <v>1.998</v>
      </c>
      <c r="CG12" s="49">
        <v>13.923</v>
      </c>
      <c r="CH12" s="49">
        <v>10.493</v>
      </c>
      <c r="CI12" s="3"/>
      <c r="CJ12" s="3"/>
      <c r="CK12" s="3"/>
      <c r="CL12" s="50">
        <v>0.7</v>
      </c>
      <c r="CM12" s="49">
        <v>0.5</v>
      </c>
      <c r="CN12" s="50">
        <v>0</v>
      </c>
      <c r="CO12" s="50">
        <v>0</v>
      </c>
      <c r="CP12" s="49">
        <v>101.333</v>
      </c>
      <c r="CQ12" s="49">
        <v>97.894000000000005</v>
      </c>
      <c r="CR12" s="50">
        <v>121.22</v>
      </c>
      <c r="CS12" s="50">
        <v>126.944</v>
      </c>
      <c r="CT12" s="49">
        <v>0.23</v>
      </c>
      <c r="CU12" s="50">
        <v>8.0779999999999994</v>
      </c>
      <c r="CV12" s="50">
        <v>8.6809999999999992</v>
      </c>
      <c r="CW12" s="50">
        <v>8.0790000000000006</v>
      </c>
      <c r="CX12" s="50">
        <v>8.3740000000000006</v>
      </c>
      <c r="CY12" s="50">
        <v>8.375</v>
      </c>
      <c r="CZ12" s="50">
        <v>8.5790000000000006</v>
      </c>
      <c r="DA12" s="50">
        <v>7.6790000000000003</v>
      </c>
      <c r="DB12" s="50">
        <v>8.9809999999999999</v>
      </c>
      <c r="DC12" s="49">
        <v>0</v>
      </c>
      <c r="DD12" s="50">
        <v>0</v>
      </c>
      <c r="DE12" s="49">
        <v>0.26400000000000001</v>
      </c>
      <c r="DF12" s="49">
        <v>0.126</v>
      </c>
      <c r="DG12" s="49">
        <v>0.35899999999999999</v>
      </c>
      <c r="DH12" s="49">
        <v>2.3149999999999999</v>
      </c>
      <c r="DI12" s="49">
        <v>1.0369999999999999</v>
      </c>
      <c r="DJ12" s="49">
        <v>0.17899999999999999</v>
      </c>
      <c r="DK12" s="49">
        <v>0.79600000000000004</v>
      </c>
      <c r="DL12" s="49">
        <v>0.40600000000000003</v>
      </c>
      <c r="DM12" s="49">
        <v>0.46600000000000003</v>
      </c>
      <c r="DN12" s="49">
        <v>0.36799999999999999</v>
      </c>
      <c r="DO12" s="50">
        <v>0.36399999999999999</v>
      </c>
      <c r="DP12" s="50">
        <v>70.597999999999999</v>
      </c>
      <c r="DQ12" s="49">
        <v>58.88</v>
      </c>
      <c r="DR12" s="49">
        <v>52.226999999999997</v>
      </c>
      <c r="DS12" s="50">
        <v>55.134</v>
      </c>
      <c r="DT12" s="49">
        <v>5.79</v>
      </c>
      <c r="DU12" s="49">
        <v>5.67</v>
      </c>
      <c r="DV12" s="49">
        <v>11.68</v>
      </c>
      <c r="DW12" s="49">
        <v>9.8699999999999992</v>
      </c>
      <c r="DX12" s="49">
        <v>5.99</v>
      </c>
      <c r="DY12" s="49">
        <v>6.02</v>
      </c>
      <c r="DZ12" s="49">
        <v>11.23</v>
      </c>
      <c r="EA12" s="49">
        <v>9.43</v>
      </c>
      <c r="EB12" s="49">
        <v>41.68</v>
      </c>
      <c r="EC12" s="49">
        <v>41.52</v>
      </c>
      <c r="ED12" s="49">
        <v>32.1</v>
      </c>
      <c r="EE12" s="49">
        <v>34.06</v>
      </c>
      <c r="EF12" s="49">
        <v>46.54</v>
      </c>
      <c r="EG12" s="49">
        <v>46.79</v>
      </c>
      <c r="EH12" s="49">
        <v>44.98</v>
      </c>
      <c r="EI12" s="49">
        <v>46.63</v>
      </c>
      <c r="EJ12" s="49">
        <v>7.3440000000000003</v>
      </c>
      <c r="EK12" s="49">
        <v>59.164000000000001</v>
      </c>
      <c r="EL12" s="49">
        <v>2</v>
      </c>
      <c r="EM12" s="49">
        <v>1.55</v>
      </c>
      <c r="EN12" s="49">
        <v>1.24</v>
      </c>
      <c r="EO12" s="49">
        <v>1.24</v>
      </c>
      <c r="EP12" s="49">
        <v>-99.798000000000002</v>
      </c>
      <c r="EQ12" s="49">
        <v>-1.7989999999999999</v>
      </c>
      <c r="ER12" s="49">
        <v>88.542000000000002</v>
      </c>
      <c r="ES12" s="49">
        <v>0.95199999999999996</v>
      </c>
      <c r="ET12" s="49">
        <v>0.94399999999999995</v>
      </c>
      <c r="EU12" s="49">
        <v>0.78300000000000003</v>
      </c>
      <c r="EV12" s="49">
        <v>7.2240000000000002</v>
      </c>
      <c r="EW12" s="49">
        <v>1.67</v>
      </c>
      <c r="EX12" s="49">
        <v>69.680000000000007</v>
      </c>
      <c r="EY12" s="49">
        <v>0</v>
      </c>
      <c r="EZ12" s="49">
        <v>1.1970000000000001</v>
      </c>
      <c r="FA12" s="50">
        <v>0</v>
      </c>
      <c r="FB12" s="49">
        <v>9.1999999999999993</v>
      </c>
      <c r="FC12" s="50">
        <v>73.91</v>
      </c>
      <c r="FD12" s="50">
        <v>69.186999999999998</v>
      </c>
      <c r="FE12" s="50">
        <v>83.861000000000004</v>
      </c>
      <c r="FF12" s="50">
        <v>82.477000000000004</v>
      </c>
      <c r="FG12" s="50">
        <v>0.99</v>
      </c>
      <c r="FH12" s="50">
        <v>0.98899999999999999</v>
      </c>
      <c r="FI12" s="49">
        <v>0.998</v>
      </c>
      <c r="FJ12" s="49">
        <v>1.004</v>
      </c>
      <c r="FK12" s="49">
        <v>0</v>
      </c>
      <c r="FL12" s="49">
        <v>83</v>
      </c>
      <c r="FM12" s="50">
        <v>3.48</v>
      </c>
      <c r="FN12" s="49">
        <v>-0.7</v>
      </c>
      <c r="FO12" s="49">
        <v>5.42</v>
      </c>
      <c r="FP12" s="49">
        <v>4.0999999999999996</v>
      </c>
      <c r="FQ12" s="50">
        <v>4.5</v>
      </c>
      <c r="FR12" s="49">
        <v>5.0999999999999996</v>
      </c>
      <c r="FS12" s="49">
        <v>6.7634999999999996</v>
      </c>
      <c r="FT12" s="49">
        <v>1074.9000000000001</v>
      </c>
      <c r="FU12" s="50">
        <v>7.12</v>
      </c>
      <c r="FV12" s="50">
        <v>33.92</v>
      </c>
      <c r="FW12" s="49">
        <v>3047.5</v>
      </c>
      <c r="FX12" s="49">
        <v>165900</v>
      </c>
      <c r="FY12" s="49">
        <v>166800</v>
      </c>
      <c r="FZ12" s="49">
        <v>48.548999999999999</v>
      </c>
      <c r="GA12" s="49">
        <v>47.601999999999997</v>
      </c>
      <c r="GB12" s="50">
        <v>2445.6</v>
      </c>
      <c r="GC12" s="50">
        <v>2339.9</v>
      </c>
      <c r="GD12" s="50">
        <v>2549.6999999999998</v>
      </c>
      <c r="GE12" s="49">
        <v>2341.4</v>
      </c>
      <c r="GF12" s="49">
        <v>1443.2188000000001</v>
      </c>
      <c r="GG12" s="50">
        <v>37</v>
      </c>
      <c r="GH12" s="50">
        <v>36.799999999999997</v>
      </c>
      <c r="GI12" s="49">
        <v>49.4</v>
      </c>
      <c r="GJ12" s="49">
        <v>54.7</v>
      </c>
      <c r="GK12" s="49">
        <v>99</v>
      </c>
      <c r="GL12" s="49">
        <v>87.2</v>
      </c>
      <c r="GM12" s="50">
        <v>0</v>
      </c>
      <c r="GN12" s="49">
        <v>25.456</v>
      </c>
      <c r="GO12" s="49">
        <v>99.798000000000002</v>
      </c>
      <c r="GP12" s="50">
        <v>0</v>
      </c>
      <c r="GQ12" s="50">
        <v>5.6050000000000004</v>
      </c>
      <c r="GR12" s="50">
        <v>0</v>
      </c>
      <c r="GS12" s="50">
        <v>5.3689999999999998</v>
      </c>
      <c r="GT12" s="50">
        <v>0</v>
      </c>
      <c r="GU12" s="50">
        <v>4.8380000000000001</v>
      </c>
      <c r="GV12" s="50">
        <v>0</v>
      </c>
      <c r="GW12" s="49">
        <v>13.939</v>
      </c>
      <c r="GX12" s="49">
        <v>15.875999999999999</v>
      </c>
      <c r="GY12" s="50">
        <v>0</v>
      </c>
      <c r="GZ12" s="50">
        <v>0</v>
      </c>
      <c r="HA12" s="50">
        <v>0</v>
      </c>
      <c r="HB12" s="49">
        <v>0</v>
      </c>
      <c r="HC12" s="49">
        <v>22.715</v>
      </c>
      <c r="HD12" s="49">
        <v>82</v>
      </c>
      <c r="HE12" s="50">
        <v>0</v>
      </c>
      <c r="HF12" s="50">
        <v>0</v>
      </c>
      <c r="HG12" s="49">
        <v>74.42</v>
      </c>
      <c r="HH12" s="49">
        <v>78.5</v>
      </c>
      <c r="HI12" s="50">
        <v>0</v>
      </c>
      <c r="HJ12" s="50">
        <v>0</v>
      </c>
      <c r="HK12" s="50">
        <v>0</v>
      </c>
      <c r="HL12" s="49">
        <v>63</v>
      </c>
      <c r="HM12" s="49">
        <v>55</v>
      </c>
      <c r="HN12" s="50">
        <v>69</v>
      </c>
      <c r="HO12" s="50">
        <v>63</v>
      </c>
      <c r="HP12" s="50">
        <v>66</v>
      </c>
      <c r="HQ12" s="50">
        <v>64</v>
      </c>
      <c r="HR12" s="50">
        <v>55</v>
      </c>
      <c r="HS12" s="49">
        <v>64</v>
      </c>
      <c r="HT12" s="49">
        <v>-1.2535000000000001</v>
      </c>
      <c r="HU12" s="50">
        <v>0</v>
      </c>
      <c r="HV12" s="49">
        <v>-0.34100000000000003</v>
      </c>
      <c r="HW12" s="49">
        <v>46.75</v>
      </c>
      <c r="HX12" s="49">
        <v>52.53</v>
      </c>
      <c r="HY12" s="3"/>
      <c r="HZ12" s="3"/>
      <c r="IA12" s="49">
        <v>2.9340000000000002</v>
      </c>
      <c r="IB12" s="49">
        <v>104</v>
      </c>
      <c r="IC12" s="49">
        <v>22.667000000000002</v>
      </c>
      <c r="ID12" s="49">
        <v>-0.24099999999999999</v>
      </c>
      <c r="IE12" s="49">
        <v>-8.7999999999999995E-2</v>
      </c>
      <c r="IF12" s="49">
        <v>817.7</v>
      </c>
      <c r="IG12" s="49">
        <v>751.4</v>
      </c>
      <c r="IH12" s="50">
        <v>829.7</v>
      </c>
      <c r="II12" s="49">
        <v>767.6</v>
      </c>
      <c r="IJ12" s="49">
        <v>-0.09</v>
      </c>
      <c r="IK12" s="49">
        <v>-0.19400000000000001</v>
      </c>
      <c r="IL12" s="49">
        <v>85.578000000000003</v>
      </c>
      <c r="IM12" s="49">
        <v>85.578000000000003</v>
      </c>
      <c r="IN12" s="49">
        <v>16.283999999999999</v>
      </c>
      <c r="IO12" s="49">
        <v>0.45800000000000002</v>
      </c>
      <c r="IP12" s="49">
        <v>10.44</v>
      </c>
      <c r="IQ12" s="49">
        <v>0</v>
      </c>
      <c r="IR12" s="49">
        <v>0</v>
      </c>
    </row>
    <row r="15" spans="2:252" ht="15" customHeight="1" x14ac:dyDescent="0.25"/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DE99-D5B3-4EAF-AF55-1C44EEABED8C}">
  <sheetPr codeName="Sheet5"/>
  <dimension ref="B1:IR12"/>
  <sheetViews>
    <sheetView topLeftCell="A4" workbookViewId="0">
      <selection activeCell="D13" sqref="D13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419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2.9356481481481477E-3</v>
      </c>
      <c r="E7" s="50">
        <v>253.63800000000001</v>
      </c>
      <c r="F7" s="49">
        <v>326.2</v>
      </c>
      <c r="G7" s="49">
        <v>5.65</v>
      </c>
      <c r="H7" s="49">
        <v>29.2</v>
      </c>
      <c r="I7" s="50">
        <v>0.14000000000000001</v>
      </c>
      <c r="J7" s="50">
        <v>34.700000000000003</v>
      </c>
      <c r="K7" s="50">
        <v>10</v>
      </c>
      <c r="L7" s="49">
        <v>2</v>
      </c>
      <c r="M7" s="50">
        <v>6</v>
      </c>
      <c r="N7" s="50">
        <v>3</v>
      </c>
      <c r="O7" s="50">
        <v>3</v>
      </c>
      <c r="P7" s="49">
        <v>0.73499999999999999</v>
      </c>
      <c r="Q7" s="49">
        <v>1.0369999999999999</v>
      </c>
      <c r="R7" s="49">
        <v>0.93700000000000006</v>
      </c>
      <c r="S7" s="49">
        <v>0.53200000000000003</v>
      </c>
      <c r="T7" s="49">
        <v>71.260000000000005</v>
      </c>
      <c r="U7" s="49">
        <v>60.533000000000001</v>
      </c>
      <c r="V7" s="50">
        <v>162.5</v>
      </c>
      <c r="W7" s="50">
        <v>167.5</v>
      </c>
      <c r="X7" s="50">
        <v>120</v>
      </c>
      <c r="Y7" s="50">
        <v>145</v>
      </c>
      <c r="Z7" s="49">
        <v>319.36</v>
      </c>
      <c r="AA7" s="49">
        <v>318.23</v>
      </c>
      <c r="AB7" s="49">
        <v>240.77</v>
      </c>
      <c r="AC7" s="49">
        <v>293.42</v>
      </c>
      <c r="AD7" s="49">
        <v>1.7450000000000001</v>
      </c>
      <c r="AE7" s="49">
        <v>1.827</v>
      </c>
      <c r="AF7" s="49">
        <v>1.6890000000000001</v>
      </c>
      <c r="AG7" s="49">
        <v>1.7230000000000001</v>
      </c>
      <c r="AH7" s="49">
        <v>67.430000000000007</v>
      </c>
      <c r="AI7" s="49">
        <v>66.62</v>
      </c>
      <c r="AJ7" s="49">
        <v>84.91</v>
      </c>
      <c r="AK7" s="49">
        <v>85.46</v>
      </c>
      <c r="AL7" s="49">
        <v>617.10799999999995</v>
      </c>
      <c r="AM7" s="49">
        <v>631.03300000000002</v>
      </c>
      <c r="AN7" s="49">
        <v>748.34199999999998</v>
      </c>
      <c r="AO7" s="49">
        <v>747.15899999999999</v>
      </c>
      <c r="AP7" s="50">
        <v>1.397</v>
      </c>
      <c r="AQ7" s="49">
        <v>1.861</v>
      </c>
      <c r="AR7" s="49">
        <v>39.881</v>
      </c>
      <c r="AS7" s="49">
        <v>38.103999999999999</v>
      </c>
      <c r="AT7" s="50">
        <v>84</v>
      </c>
      <c r="AU7" s="49">
        <v>115</v>
      </c>
      <c r="AV7" s="49">
        <v>2.2414999999999998</v>
      </c>
      <c r="AW7" s="49">
        <v>5.1563999999999997</v>
      </c>
      <c r="AX7" s="50">
        <v>1022.1</v>
      </c>
      <c r="AY7" s="50">
        <v>2.4300000000000002</v>
      </c>
      <c r="AZ7" s="49">
        <v>5.66</v>
      </c>
      <c r="BA7" s="50">
        <v>65.3</v>
      </c>
      <c r="BB7" s="50">
        <v>66.316999999999993</v>
      </c>
      <c r="BC7" s="49">
        <v>7745</v>
      </c>
      <c r="BD7" s="49">
        <v>88.75</v>
      </c>
      <c r="BE7" s="49">
        <v>15.335000000000001</v>
      </c>
      <c r="BF7" s="49">
        <v>13.585000000000001</v>
      </c>
      <c r="BG7" s="49">
        <v>26.19</v>
      </c>
      <c r="BH7" s="49">
        <v>26.13</v>
      </c>
      <c r="BI7" s="49">
        <v>63.963000000000001</v>
      </c>
      <c r="BJ7" s="49">
        <v>79.894000000000005</v>
      </c>
      <c r="BK7" s="49">
        <v>62.277999999999999</v>
      </c>
      <c r="BL7" s="49">
        <v>76.986000000000004</v>
      </c>
      <c r="BM7" s="49">
        <v>77.707999999999998</v>
      </c>
      <c r="BN7" s="50">
        <v>137.59200000000001</v>
      </c>
      <c r="BO7" s="50">
        <v>134.184</v>
      </c>
      <c r="BP7" s="49">
        <v>125.16</v>
      </c>
      <c r="BQ7" s="49">
        <v>127.48</v>
      </c>
      <c r="BR7" s="49">
        <v>59.088999999999999</v>
      </c>
      <c r="BS7" s="49">
        <v>28.9</v>
      </c>
      <c r="BT7" s="49">
        <v>7298.6450000000004</v>
      </c>
      <c r="BU7" s="49">
        <v>49.250999999999998</v>
      </c>
      <c r="BV7" s="50">
        <v>56.335999999999999</v>
      </c>
      <c r="BW7" s="49">
        <v>56.003</v>
      </c>
      <c r="BX7" s="49">
        <v>56.781999999999996</v>
      </c>
      <c r="BY7" s="50">
        <v>1.514</v>
      </c>
      <c r="BZ7" s="50">
        <v>3.3340000000000001</v>
      </c>
      <c r="CA7" s="49">
        <v>3.5529999999999999</v>
      </c>
      <c r="CB7" s="49">
        <v>3.0310000000000001</v>
      </c>
      <c r="CC7" s="49">
        <v>1.214</v>
      </c>
      <c r="CD7" s="49">
        <v>2.302</v>
      </c>
      <c r="CE7" s="50">
        <v>1.34</v>
      </c>
      <c r="CF7" s="50">
        <v>2.198</v>
      </c>
      <c r="CG7" s="49">
        <v>13.798</v>
      </c>
      <c r="CH7" s="50">
        <v>9.9039999999999999</v>
      </c>
      <c r="CI7" s="49">
        <v>3.7050000000000001</v>
      </c>
      <c r="CJ7" s="49">
        <v>3.36</v>
      </c>
      <c r="CK7" s="49">
        <v>1.083</v>
      </c>
      <c r="CL7" s="49">
        <v>0</v>
      </c>
      <c r="CM7" s="49">
        <v>0.7</v>
      </c>
      <c r="CN7" s="49">
        <v>0</v>
      </c>
      <c r="CO7" s="49">
        <v>0</v>
      </c>
      <c r="CP7" s="50">
        <v>104.854</v>
      </c>
      <c r="CQ7" s="49">
        <v>101.751</v>
      </c>
      <c r="CR7" s="49">
        <v>110.78700000000001</v>
      </c>
      <c r="CS7" s="49">
        <v>114.694</v>
      </c>
      <c r="CT7" s="50">
        <v>0.627</v>
      </c>
      <c r="CU7" s="49">
        <v>1.0980000000000001</v>
      </c>
      <c r="CV7" s="49">
        <v>1.093</v>
      </c>
      <c r="CW7" s="49">
        <v>1.5960000000000001</v>
      </c>
      <c r="CX7" s="49">
        <v>1.595</v>
      </c>
      <c r="CY7" s="49">
        <v>1.7989999999999999</v>
      </c>
      <c r="CZ7" s="49">
        <v>1.1930000000000001</v>
      </c>
      <c r="DA7" s="49">
        <v>0.9</v>
      </c>
      <c r="DB7" s="49">
        <v>1.8009999999999999</v>
      </c>
      <c r="DC7" s="50">
        <v>8.0000000000000002E-3</v>
      </c>
      <c r="DD7" s="50">
        <v>0</v>
      </c>
      <c r="DE7" s="49">
        <v>0.23100000000000001</v>
      </c>
      <c r="DF7" s="49">
        <v>9.7000000000000003E-2</v>
      </c>
      <c r="DG7" s="49">
        <v>0.33800000000000002</v>
      </c>
      <c r="DH7" s="49">
        <v>1.266</v>
      </c>
      <c r="DI7" s="49">
        <v>0.95399999999999996</v>
      </c>
      <c r="DJ7" s="49">
        <v>0.20399999999999999</v>
      </c>
      <c r="DK7" s="49">
        <v>0.78500000000000003</v>
      </c>
      <c r="DL7" s="49">
        <v>0.41</v>
      </c>
      <c r="DM7" s="49">
        <v>0.50800000000000001</v>
      </c>
      <c r="DN7" s="49">
        <v>0.39400000000000002</v>
      </c>
      <c r="DO7" s="49">
        <v>0.36299999999999999</v>
      </c>
      <c r="DP7" s="49">
        <v>62.767000000000003</v>
      </c>
      <c r="DQ7" s="49">
        <v>59.706000000000003</v>
      </c>
      <c r="DR7" s="49">
        <v>53.633000000000003</v>
      </c>
      <c r="DS7" s="49">
        <v>50.267000000000003</v>
      </c>
      <c r="DT7" s="49">
        <v>4.67</v>
      </c>
      <c r="DU7" s="49">
        <v>4.8099999999999996</v>
      </c>
      <c r="DV7" s="49">
        <v>9.51</v>
      </c>
      <c r="DW7" s="49">
        <v>8.18</v>
      </c>
      <c r="DX7" s="49">
        <v>5.05</v>
      </c>
      <c r="DY7" s="49">
        <v>4.76</v>
      </c>
      <c r="DZ7" s="49">
        <v>8.7200000000000006</v>
      </c>
      <c r="EA7" s="49">
        <v>7.6</v>
      </c>
      <c r="EB7" s="49">
        <v>41.74</v>
      </c>
      <c r="EC7" s="49">
        <v>40.01</v>
      </c>
      <c r="ED7" s="49">
        <v>33.049999999999997</v>
      </c>
      <c r="EE7" s="49">
        <v>34.54</v>
      </c>
      <c r="EF7" s="50">
        <v>48.54</v>
      </c>
      <c r="EG7" s="50">
        <v>50.42</v>
      </c>
      <c r="EH7" s="50">
        <v>48.72</v>
      </c>
      <c r="EI7" s="50">
        <v>49.68</v>
      </c>
      <c r="EJ7" s="49">
        <v>6.9</v>
      </c>
      <c r="EK7" s="49">
        <v>58.798000000000002</v>
      </c>
      <c r="EL7" s="50">
        <v>2.25</v>
      </c>
      <c r="EM7" s="50">
        <v>1.55</v>
      </c>
      <c r="EN7" s="49">
        <v>1.21</v>
      </c>
      <c r="EO7" s="49">
        <v>1.21</v>
      </c>
      <c r="EP7" s="49">
        <v>-102.426</v>
      </c>
      <c r="EQ7" s="50">
        <v>-1.0549999999999999</v>
      </c>
      <c r="ER7" s="49">
        <v>135.262</v>
      </c>
      <c r="ES7" s="49">
        <v>1.4730000000000001</v>
      </c>
      <c r="ET7" s="49">
        <v>1.4970000000000001</v>
      </c>
      <c r="EU7" s="49">
        <v>1.448</v>
      </c>
      <c r="EV7" s="50">
        <v>7.8049999999999997</v>
      </c>
      <c r="EW7" s="50">
        <v>2.536</v>
      </c>
      <c r="EX7" s="49">
        <v>-348.8</v>
      </c>
      <c r="EY7" s="50">
        <v>1.5209999999999999</v>
      </c>
      <c r="EZ7" s="49">
        <v>0</v>
      </c>
      <c r="FA7" s="50">
        <v>0</v>
      </c>
      <c r="FB7" s="49">
        <v>8.327</v>
      </c>
      <c r="FC7" s="49">
        <v>69.340999999999994</v>
      </c>
      <c r="FD7" s="49">
        <v>66.683999999999997</v>
      </c>
      <c r="FE7" s="49">
        <v>75.590999999999994</v>
      </c>
      <c r="FF7" s="49">
        <v>75.03</v>
      </c>
      <c r="FG7" s="50">
        <v>0.95</v>
      </c>
      <c r="FH7" s="50">
        <v>0.95099999999999996</v>
      </c>
      <c r="FI7" s="50">
        <v>0.997</v>
      </c>
      <c r="FJ7" s="49">
        <v>1</v>
      </c>
      <c r="FK7" s="50">
        <v>0.10199999999999999</v>
      </c>
      <c r="FL7" s="50">
        <v>85</v>
      </c>
      <c r="FM7" s="49">
        <v>3.41</v>
      </c>
      <c r="FN7" s="49">
        <v>-0.84</v>
      </c>
      <c r="FO7" s="50">
        <v>5.36</v>
      </c>
      <c r="FP7" s="49">
        <v>4.1500000000000004</v>
      </c>
      <c r="FQ7" s="50">
        <v>0.6</v>
      </c>
      <c r="FR7" s="49">
        <v>5.15</v>
      </c>
      <c r="FS7" s="49">
        <v>6.5810000000000004</v>
      </c>
      <c r="FT7" s="50">
        <v>1083.9000000000001</v>
      </c>
      <c r="FU7" s="50">
        <v>7.29</v>
      </c>
      <c r="FV7" s="49">
        <v>5.65</v>
      </c>
      <c r="FW7" s="49">
        <v>3298</v>
      </c>
      <c r="FX7" s="50">
        <v>174700</v>
      </c>
      <c r="FY7" s="50">
        <v>177600</v>
      </c>
      <c r="FZ7" s="50">
        <v>49.188000000000002</v>
      </c>
      <c r="GA7" s="50">
        <v>48.18</v>
      </c>
      <c r="GB7" s="49">
        <v>2179.4</v>
      </c>
      <c r="GC7" s="49">
        <v>2204.9</v>
      </c>
      <c r="GD7" s="49">
        <v>2223.5</v>
      </c>
      <c r="GE7" s="49">
        <v>2257.6999999999998</v>
      </c>
      <c r="GF7" s="50">
        <v>1454.1405999999999</v>
      </c>
      <c r="GG7" s="50">
        <v>37</v>
      </c>
      <c r="GH7" s="50">
        <v>36.6</v>
      </c>
      <c r="GI7" s="50">
        <v>56.1</v>
      </c>
      <c r="GJ7" s="50">
        <v>60.3</v>
      </c>
      <c r="GK7" s="50">
        <v>97</v>
      </c>
      <c r="GL7" s="50">
        <v>86.3</v>
      </c>
      <c r="GM7" s="50">
        <v>0</v>
      </c>
      <c r="GN7" s="49">
        <v>27.024999999999999</v>
      </c>
      <c r="GO7" s="49">
        <v>135.262</v>
      </c>
      <c r="GP7" s="50">
        <v>0</v>
      </c>
      <c r="GQ7" s="50">
        <v>4.0119999999999996</v>
      </c>
      <c r="GR7" s="50">
        <v>0</v>
      </c>
      <c r="GS7" s="50">
        <v>4.5430000000000001</v>
      </c>
      <c r="GT7" s="50">
        <v>0</v>
      </c>
      <c r="GU7" s="50">
        <v>4.4249999999999998</v>
      </c>
      <c r="GV7" s="50">
        <v>0</v>
      </c>
      <c r="GW7" s="49">
        <v>12.914999999999999</v>
      </c>
      <c r="GX7" s="50">
        <v>22.05</v>
      </c>
      <c r="GY7" s="50">
        <v>0</v>
      </c>
      <c r="GZ7" s="50">
        <v>0</v>
      </c>
      <c r="HA7" s="50">
        <v>0</v>
      </c>
      <c r="HB7" s="50">
        <v>1</v>
      </c>
      <c r="HC7" s="50">
        <v>25.673999999999999</v>
      </c>
      <c r="HD7" s="50">
        <v>90</v>
      </c>
      <c r="HE7" s="50">
        <v>0</v>
      </c>
      <c r="HF7" s="50">
        <v>0</v>
      </c>
      <c r="HG7" s="50">
        <v>91.48</v>
      </c>
      <c r="HH7" s="49">
        <v>82.85</v>
      </c>
      <c r="HI7" s="50">
        <v>0</v>
      </c>
      <c r="HJ7" s="50">
        <v>0</v>
      </c>
      <c r="HK7" s="50">
        <v>0</v>
      </c>
      <c r="HL7" s="50">
        <v>69</v>
      </c>
      <c r="HM7" s="50">
        <v>56</v>
      </c>
      <c r="HN7" s="49">
        <v>69</v>
      </c>
      <c r="HO7" s="49">
        <v>62</v>
      </c>
      <c r="HP7" s="49">
        <v>65</v>
      </c>
      <c r="HQ7" s="49">
        <v>63</v>
      </c>
      <c r="HR7" s="50">
        <v>55</v>
      </c>
      <c r="HS7" s="50">
        <v>70</v>
      </c>
      <c r="HT7" s="49">
        <v>-1.3109999999999999</v>
      </c>
      <c r="HU7" s="50">
        <v>0</v>
      </c>
      <c r="HV7" s="49">
        <v>-0.498</v>
      </c>
      <c r="HW7" s="49">
        <v>36.979999999999997</v>
      </c>
      <c r="HX7" s="49">
        <v>52.01</v>
      </c>
      <c r="HY7" s="3"/>
      <c r="HZ7" s="3"/>
      <c r="IA7" s="49">
        <v>2.5259999999999998</v>
      </c>
      <c r="IB7" s="49">
        <v>101</v>
      </c>
      <c r="IC7" s="49">
        <v>20.016999999999999</v>
      </c>
      <c r="ID7" s="50">
        <v>-0.189</v>
      </c>
      <c r="IE7" s="50">
        <v>-6.0999999999999999E-2</v>
      </c>
      <c r="IF7" s="49">
        <v>822</v>
      </c>
      <c r="IG7" s="49">
        <v>722.3</v>
      </c>
      <c r="IH7" s="49">
        <v>825</v>
      </c>
      <c r="II7" s="49">
        <v>735.8</v>
      </c>
      <c r="IJ7" s="50">
        <v>-3.9E-2</v>
      </c>
      <c r="IK7" s="50">
        <v>-0.11899999999999999</v>
      </c>
      <c r="IL7" s="50">
        <v>107.622</v>
      </c>
      <c r="IM7" s="50">
        <v>107.483</v>
      </c>
      <c r="IN7" s="49">
        <v>13.871</v>
      </c>
      <c r="IO7" s="49">
        <v>0.48799999999999999</v>
      </c>
      <c r="IP7" s="50">
        <v>10.42</v>
      </c>
      <c r="IQ7" s="49">
        <v>8.9999999999999993E-3</v>
      </c>
      <c r="IR7" s="50">
        <v>0.01</v>
      </c>
    </row>
    <row r="8" spans="2:252" x14ac:dyDescent="0.25">
      <c r="B8" s="2" t="s">
        <v>412</v>
      </c>
      <c r="C8" s="2" t="s">
        <v>42</v>
      </c>
      <c r="D8" s="61">
        <v>2.5643518518518519E-3</v>
      </c>
      <c r="E8" s="49">
        <v>221.6</v>
      </c>
      <c r="F8" s="50">
        <v>330.45</v>
      </c>
      <c r="G8" s="49">
        <v>5.72</v>
      </c>
      <c r="H8" s="50">
        <v>29.5</v>
      </c>
      <c r="I8" s="49">
        <v>0</v>
      </c>
      <c r="J8" s="49">
        <v>14.8</v>
      </c>
      <c r="K8" s="50">
        <v>10</v>
      </c>
      <c r="L8" s="50">
        <v>4</v>
      </c>
      <c r="M8" s="50">
        <v>6</v>
      </c>
      <c r="N8" s="50">
        <v>3</v>
      </c>
      <c r="O8" s="50">
        <v>3</v>
      </c>
      <c r="P8" s="50">
        <v>1.141</v>
      </c>
      <c r="Q8" s="49">
        <v>1.611</v>
      </c>
      <c r="R8" s="50">
        <v>1.3120000000000001</v>
      </c>
      <c r="S8" s="50">
        <v>0.91700000000000004</v>
      </c>
      <c r="T8" s="49">
        <v>79.319999999999993</v>
      </c>
      <c r="U8" s="49">
        <v>61.079000000000001</v>
      </c>
      <c r="V8" s="49">
        <v>236.66</v>
      </c>
      <c r="W8" s="49">
        <v>236.66</v>
      </c>
      <c r="X8" s="49">
        <v>165</v>
      </c>
      <c r="Y8" s="49">
        <v>211.66</v>
      </c>
      <c r="Z8" s="49">
        <v>394.47</v>
      </c>
      <c r="AA8" s="49">
        <v>397.21</v>
      </c>
      <c r="AB8" s="49">
        <v>302.48</v>
      </c>
      <c r="AC8" s="49">
        <v>368.8</v>
      </c>
      <c r="AD8" s="49">
        <v>1.7749999999999999</v>
      </c>
      <c r="AE8" s="49">
        <v>1.849</v>
      </c>
      <c r="AF8" s="49">
        <v>1.7509999999999999</v>
      </c>
      <c r="AG8" s="49">
        <v>1.7829999999999999</v>
      </c>
      <c r="AH8" s="49">
        <v>77.86</v>
      </c>
      <c r="AI8" s="49">
        <v>76.239999999999995</v>
      </c>
      <c r="AJ8" s="49">
        <v>100</v>
      </c>
      <c r="AK8" s="49">
        <v>97.42</v>
      </c>
      <c r="AL8" s="49">
        <v>634.49</v>
      </c>
      <c r="AM8" s="49">
        <v>644.101</v>
      </c>
      <c r="AN8" s="49">
        <v>789.98</v>
      </c>
      <c r="AO8" s="49">
        <v>786.20100000000002</v>
      </c>
      <c r="AP8" s="49">
        <v>1.359</v>
      </c>
      <c r="AQ8" s="50">
        <v>1.8640000000000001</v>
      </c>
      <c r="AR8" s="49">
        <v>41.362000000000002</v>
      </c>
      <c r="AS8" s="50">
        <v>39.337000000000003</v>
      </c>
      <c r="AT8" s="49">
        <v>83</v>
      </c>
      <c r="AU8" s="49">
        <v>117</v>
      </c>
      <c r="AV8" s="49">
        <v>2.3065000000000002</v>
      </c>
      <c r="AW8" s="49">
        <v>5.2747999999999999</v>
      </c>
      <c r="AX8" s="49">
        <v>1020.6</v>
      </c>
      <c r="AY8" s="49">
        <v>2.25</v>
      </c>
      <c r="AZ8" s="50">
        <v>5.39</v>
      </c>
      <c r="BA8" s="49">
        <v>97.691000000000003</v>
      </c>
      <c r="BB8" s="49">
        <v>99.682000000000002</v>
      </c>
      <c r="BC8" s="49">
        <v>7693</v>
      </c>
      <c r="BD8" s="49">
        <v>88.75</v>
      </c>
      <c r="BE8" s="49">
        <v>15.21</v>
      </c>
      <c r="BF8" s="49">
        <v>12.845000000000001</v>
      </c>
      <c r="BG8" s="49">
        <v>29.01</v>
      </c>
      <c r="BH8" s="49">
        <v>28.08</v>
      </c>
      <c r="BI8" s="3"/>
      <c r="BJ8" s="3"/>
      <c r="BK8" s="3"/>
      <c r="BL8" s="3"/>
      <c r="BM8" s="3"/>
      <c r="BN8" s="49">
        <v>104.93600000000001</v>
      </c>
      <c r="BO8" s="49">
        <v>101.01600000000001</v>
      </c>
      <c r="BP8" s="49">
        <v>129.624</v>
      </c>
      <c r="BQ8" s="49">
        <v>133.36799999999999</v>
      </c>
      <c r="BR8" s="3"/>
      <c r="BS8" s="49">
        <v>29.1</v>
      </c>
      <c r="BT8" s="49">
        <v>7421.81</v>
      </c>
      <c r="BU8" s="49">
        <v>50.158999999999999</v>
      </c>
      <c r="BV8" s="49">
        <v>53.247</v>
      </c>
      <c r="BW8" s="49">
        <v>55.054000000000002</v>
      </c>
      <c r="BX8" s="49">
        <v>55.662999999999997</v>
      </c>
      <c r="BY8" s="49">
        <v>1.284</v>
      </c>
      <c r="BZ8" s="49">
        <v>3.1930000000000001</v>
      </c>
      <c r="CA8" s="49">
        <v>3.194</v>
      </c>
      <c r="CB8" s="49">
        <v>3.9460000000000002</v>
      </c>
      <c r="CC8" s="49">
        <v>1.0409999999999999</v>
      </c>
      <c r="CD8" s="49">
        <v>2.508</v>
      </c>
      <c r="CE8" s="49">
        <v>1.3169999999999999</v>
      </c>
      <c r="CF8" s="49">
        <v>2.1739999999999999</v>
      </c>
      <c r="CG8" s="49">
        <v>13.936999999999999</v>
      </c>
      <c r="CH8" s="49">
        <v>13.815</v>
      </c>
      <c r="CI8" s="49">
        <v>3.7709999999999999</v>
      </c>
      <c r="CJ8" s="49">
        <v>3.5779999999999998</v>
      </c>
      <c r="CK8" s="49">
        <v>1.363</v>
      </c>
      <c r="CL8" s="49">
        <v>0.1</v>
      </c>
      <c r="CM8" s="49">
        <v>0.1</v>
      </c>
      <c r="CN8" s="50">
        <v>1.2</v>
      </c>
      <c r="CO8" s="50">
        <v>1.2</v>
      </c>
      <c r="CP8" s="49">
        <v>99.71</v>
      </c>
      <c r="CQ8" s="49">
        <v>95.981999999999999</v>
      </c>
      <c r="CR8" s="49">
        <v>119.512</v>
      </c>
      <c r="CS8" s="49">
        <v>124.489</v>
      </c>
      <c r="CT8" s="49">
        <v>0.33600000000000002</v>
      </c>
      <c r="CU8" s="49">
        <v>0.89900000000000002</v>
      </c>
      <c r="CV8" s="49">
        <v>1.2969999999999999</v>
      </c>
      <c r="CW8" s="49">
        <v>0.89800000000000002</v>
      </c>
      <c r="CX8" s="49">
        <v>1.401</v>
      </c>
      <c r="CY8" s="49">
        <v>0.39700000000000002</v>
      </c>
      <c r="CZ8" s="49">
        <v>0.79700000000000004</v>
      </c>
      <c r="DA8" s="49">
        <v>1.1950000000000001</v>
      </c>
      <c r="DB8" s="49">
        <v>1.794</v>
      </c>
      <c r="DC8" s="49">
        <v>0</v>
      </c>
      <c r="DD8" s="50">
        <v>0</v>
      </c>
      <c r="DE8" s="50">
        <v>0.36499999999999999</v>
      </c>
      <c r="DF8" s="49">
        <v>0.14699999999999999</v>
      </c>
      <c r="DG8" s="49">
        <v>0.11</v>
      </c>
      <c r="DH8" s="49">
        <v>1.875</v>
      </c>
      <c r="DI8" s="49">
        <v>1.25</v>
      </c>
      <c r="DJ8" s="50">
        <v>0.38500000000000001</v>
      </c>
      <c r="DK8" s="49">
        <v>1.2789999999999999</v>
      </c>
      <c r="DL8" s="49">
        <v>0.39700000000000002</v>
      </c>
      <c r="DM8" s="49">
        <v>0.438</v>
      </c>
      <c r="DN8" s="49">
        <v>0.36199999999999999</v>
      </c>
      <c r="DO8" s="49">
        <v>0.28299999999999997</v>
      </c>
      <c r="DP8" s="49">
        <v>65.983999999999995</v>
      </c>
      <c r="DQ8" s="49">
        <v>59.439</v>
      </c>
      <c r="DR8" s="49">
        <v>53.091000000000001</v>
      </c>
      <c r="DS8" s="49">
        <v>51.776000000000003</v>
      </c>
      <c r="DT8" s="49">
        <v>5.95</v>
      </c>
      <c r="DU8" s="49">
        <v>5.77</v>
      </c>
      <c r="DV8" s="49">
        <v>11.98</v>
      </c>
      <c r="DW8" s="49">
        <v>9.9499999999999993</v>
      </c>
      <c r="DX8" s="49">
        <v>6.22</v>
      </c>
      <c r="DY8" s="49">
        <v>5.68</v>
      </c>
      <c r="DZ8" s="49">
        <v>11.19</v>
      </c>
      <c r="EA8" s="49">
        <v>9.66</v>
      </c>
      <c r="EB8" s="49">
        <v>42.72</v>
      </c>
      <c r="EC8" s="49">
        <v>41.71</v>
      </c>
      <c r="ED8" s="49">
        <v>32.71</v>
      </c>
      <c r="EE8" s="49">
        <v>35.96</v>
      </c>
      <c r="EF8" s="49">
        <v>45.11</v>
      </c>
      <c r="EG8" s="49">
        <v>46.83</v>
      </c>
      <c r="EH8" s="49">
        <v>44.11</v>
      </c>
      <c r="EI8" s="49">
        <v>44.42</v>
      </c>
      <c r="EJ8" s="49">
        <v>6.976</v>
      </c>
      <c r="EK8" s="49">
        <v>59.252000000000002</v>
      </c>
      <c r="EL8" s="49">
        <v>2.0499999999999998</v>
      </c>
      <c r="EM8" s="49">
        <v>1.65</v>
      </c>
      <c r="EN8" s="50">
        <v>1.22</v>
      </c>
      <c r="EO8" s="50">
        <v>1.23</v>
      </c>
      <c r="EP8" s="49">
        <v>-101.258</v>
      </c>
      <c r="EQ8" s="49">
        <v>-2.512</v>
      </c>
      <c r="ER8" s="49">
        <v>106.646</v>
      </c>
      <c r="ES8" s="50">
        <v>1.6</v>
      </c>
      <c r="ET8" s="49">
        <v>1.639</v>
      </c>
      <c r="EU8" s="50">
        <v>1.573</v>
      </c>
      <c r="EV8" s="49">
        <v>7.4470000000000001</v>
      </c>
      <c r="EW8" s="49">
        <v>2.2669999999999999</v>
      </c>
      <c r="EX8" s="49">
        <v>72</v>
      </c>
      <c r="EY8" s="49">
        <v>0</v>
      </c>
      <c r="EZ8" s="50">
        <v>2.7280000000000002</v>
      </c>
      <c r="FA8" s="50">
        <v>0</v>
      </c>
      <c r="FB8" s="49">
        <v>9.16</v>
      </c>
      <c r="FC8" s="49">
        <v>68.625</v>
      </c>
      <c r="FD8" s="49">
        <v>65.256</v>
      </c>
      <c r="FE8" s="49">
        <v>76.87</v>
      </c>
      <c r="FF8" s="49">
        <v>75.978999999999999</v>
      </c>
      <c r="FG8" s="49">
        <v>0.93400000000000005</v>
      </c>
      <c r="FH8" s="49">
        <v>0.93500000000000005</v>
      </c>
      <c r="FI8" s="49">
        <v>0.99099999999999999</v>
      </c>
      <c r="FJ8" s="49">
        <v>0.995</v>
      </c>
      <c r="FK8" s="49">
        <v>0</v>
      </c>
      <c r="FL8" s="49">
        <v>83</v>
      </c>
      <c r="FM8" s="49">
        <v>3.53</v>
      </c>
      <c r="FN8" s="50">
        <v>-0.89</v>
      </c>
      <c r="FO8" s="49">
        <v>5.41</v>
      </c>
      <c r="FP8" s="49">
        <v>4.2</v>
      </c>
      <c r="FQ8" s="49">
        <v>4.45</v>
      </c>
      <c r="FR8" s="49">
        <v>5.0999999999999996</v>
      </c>
      <c r="FS8" s="49">
        <v>6.7859999999999996</v>
      </c>
      <c r="FT8" s="49">
        <v>1077.4000000000001</v>
      </c>
      <c r="FU8" s="49">
        <v>6.65</v>
      </c>
      <c r="FV8" s="49">
        <v>11.37</v>
      </c>
      <c r="FW8" s="50">
        <v>3299</v>
      </c>
      <c r="FX8" s="49">
        <v>173200</v>
      </c>
      <c r="FY8" s="49">
        <v>174400</v>
      </c>
      <c r="FZ8" s="49">
        <v>48.707999999999998</v>
      </c>
      <c r="GA8" s="49">
        <v>47.783999999999999</v>
      </c>
      <c r="GB8" s="49">
        <v>2176.3000000000002</v>
      </c>
      <c r="GC8" s="49">
        <v>2176.6999999999998</v>
      </c>
      <c r="GD8" s="49">
        <v>2189.4</v>
      </c>
      <c r="GE8" s="49">
        <v>2276.4</v>
      </c>
      <c r="GF8" s="49">
        <v>1273.0469000000001</v>
      </c>
      <c r="GG8" s="49">
        <v>26</v>
      </c>
      <c r="GH8" s="49">
        <v>26.3</v>
      </c>
      <c r="GI8" s="49">
        <v>48.8</v>
      </c>
      <c r="GJ8" s="49">
        <v>54.3</v>
      </c>
      <c r="GK8" s="49">
        <v>99.5</v>
      </c>
      <c r="GL8" s="49">
        <v>76.2</v>
      </c>
      <c r="GM8" s="50">
        <v>0</v>
      </c>
      <c r="GN8" s="49">
        <v>26.074999999999999</v>
      </c>
      <c r="GO8" s="49">
        <v>106.646</v>
      </c>
      <c r="GP8" s="49">
        <v>1.121</v>
      </c>
      <c r="GQ8" s="49">
        <v>1.9470000000000001</v>
      </c>
      <c r="GR8" s="49">
        <v>1.298</v>
      </c>
      <c r="GS8" s="49">
        <v>2.0059999999999998</v>
      </c>
      <c r="GT8" s="49">
        <v>1.0620000000000001</v>
      </c>
      <c r="GU8" s="49">
        <v>1.8879999999999999</v>
      </c>
      <c r="GV8" s="49">
        <v>12.544</v>
      </c>
      <c r="GW8" s="50">
        <v>14.058999999999999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23.475999999999999</v>
      </c>
      <c r="HD8" s="49">
        <v>82</v>
      </c>
      <c r="HE8" s="50">
        <v>0</v>
      </c>
      <c r="HF8" s="50">
        <v>0</v>
      </c>
      <c r="HG8" s="49">
        <v>85.27</v>
      </c>
      <c r="HH8" s="49">
        <v>82.85</v>
      </c>
      <c r="HI8" s="50">
        <v>0</v>
      </c>
      <c r="HJ8" s="50">
        <v>0</v>
      </c>
      <c r="HK8" s="50">
        <v>0</v>
      </c>
      <c r="HL8" s="49">
        <v>63</v>
      </c>
      <c r="HM8" s="50">
        <v>56</v>
      </c>
      <c r="HN8" s="49">
        <v>69</v>
      </c>
      <c r="HO8" s="49">
        <v>63</v>
      </c>
      <c r="HP8" s="49">
        <v>66</v>
      </c>
      <c r="HQ8" s="49">
        <v>63</v>
      </c>
      <c r="HR8" s="50">
        <v>55</v>
      </c>
      <c r="HS8" s="50">
        <v>70</v>
      </c>
      <c r="HT8" s="49">
        <v>-1.31</v>
      </c>
      <c r="HU8" s="50">
        <v>0</v>
      </c>
      <c r="HV8" s="49">
        <v>1.7999999999999999E-2</v>
      </c>
      <c r="HW8" s="49">
        <v>36.979999999999997</v>
      </c>
      <c r="HX8" s="49">
        <v>50.78</v>
      </c>
      <c r="HY8" s="49">
        <v>52.11</v>
      </c>
      <c r="HZ8" s="49">
        <v>64.19</v>
      </c>
      <c r="IA8" s="49">
        <v>2.5209999999999999</v>
      </c>
      <c r="IB8" s="50">
        <v>104</v>
      </c>
      <c r="IC8" s="49">
        <v>22.327000000000002</v>
      </c>
      <c r="ID8" s="49">
        <v>-0.26900000000000002</v>
      </c>
      <c r="IE8" s="49">
        <v>-0.10100000000000001</v>
      </c>
      <c r="IF8" s="49">
        <v>818.3</v>
      </c>
      <c r="IG8" s="49">
        <v>768.4</v>
      </c>
      <c r="IH8" s="49">
        <v>829.3</v>
      </c>
      <c r="II8" s="49">
        <v>780.3</v>
      </c>
      <c r="IJ8" s="49">
        <v>-6.3E-2</v>
      </c>
      <c r="IK8" s="49">
        <v>-0.18</v>
      </c>
      <c r="IL8" s="49">
        <v>77.968000000000004</v>
      </c>
      <c r="IM8" s="49">
        <v>77.968000000000004</v>
      </c>
      <c r="IN8" s="49">
        <v>11.981</v>
      </c>
      <c r="IO8" s="49">
        <v>0.51300000000000001</v>
      </c>
      <c r="IP8" s="49">
        <v>10.39</v>
      </c>
      <c r="IQ8" s="49">
        <v>1.0999999999999999E-2</v>
      </c>
      <c r="IR8" s="50">
        <v>0.01</v>
      </c>
    </row>
    <row r="9" spans="2:252" x14ac:dyDescent="0.25">
      <c r="B9" s="2" t="s">
        <v>412</v>
      </c>
      <c r="C9" s="2" t="s">
        <v>43</v>
      </c>
      <c r="D9" s="61">
        <v>2.4874999999999997E-3</v>
      </c>
      <c r="E9" s="49">
        <v>214.96</v>
      </c>
      <c r="F9" s="49">
        <v>327.96</v>
      </c>
      <c r="G9" s="49">
        <v>5.86</v>
      </c>
      <c r="H9" s="50">
        <v>29.5</v>
      </c>
      <c r="I9" s="49">
        <v>0</v>
      </c>
      <c r="J9" s="49">
        <v>12.6</v>
      </c>
      <c r="K9" s="50">
        <v>10</v>
      </c>
      <c r="L9" s="50">
        <v>4</v>
      </c>
      <c r="M9" s="50">
        <v>6</v>
      </c>
      <c r="N9" s="50">
        <v>3</v>
      </c>
      <c r="O9" s="50">
        <v>3</v>
      </c>
      <c r="P9" s="49">
        <v>1.0269999999999999</v>
      </c>
      <c r="Q9" s="50">
        <v>1.897</v>
      </c>
      <c r="R9" s="49">
        <v>0.93400000000000005</v>
      </c>
      <c r="S9" s="49">
        <v>0.66600000000000004</v>
      </c>
      <c r="T9" s="50">
        <v>89.89</v>
      </c>
      <c r="U9" s="49">
        <v>61.109000000000002</v>
      </c>
      <c r="V9" s="49">
        <v>255</v>
      </c>
      <c r="W9" s="49">
        <v>260</v>
      </c>
      <c r="X9" s="49">
        <v>180</v>
      </c>
      <c r="Y9" s="49">
        <v>230</v>
      </c>
      <c r="Z9" s="49">
        <v>405.99</v>
      </c>
      <c r="AA9" s="49">
        <v>412.93</v>
      </c>
      <c r="AB9" s="49">
        <v>310.12</v>
      </c>
      <c r="AC9" s="49">
        <v>376.61</v>
      </c>
      <c r="AD9" s="49">
        <v>1.8080000000000001</v>
      </c>
      <c r="AE9" s="49">
        <v>1.8779999999999999</v>
      </c>
      <c r="AF9" s="49">
        <v>1.7929999999999999</v>
      </c>
      <c r="AG9" s="49">
        <v>1.8220000000000001</v>
      </c>
      <c r="AH9" s="49">
        <v>83.31</v>
      </c>
      <c r="AI9" s="50">
        <v>81.069999999999993</v>
      </c>
      <c r="AJ9" s="49">
        <v>105.4</v>
      </c>
      <c r="AK9" s="49">
        <v>102.46</v>
      </c>
      <c r="AL9" s="49">
        <v>663.43700000000001</v>
      </c>
      <c r="AM9" s="49">
        <v>647.87099999999998</v>
      </c>
      <c r="AN9" s="49">
        <v>791.25599999999997</v>
      </c>
      <c r="AO9" s="49">
        <v>812.08500000000004</v>
      </c>
      <c r="AP9" s="49">
        <v>1.369</v>
      </c>
      <c r="AQ9" s="49">
        <v>1.8320000000000001</v>
      </c>
      <c r="AR9" s="49">
        <v>40.994999999999997</v>
      </c>
      <c r="AS9" s="49">
        <v>38.807000000000002</v>
      </c>
      <c r="AT9" s="49">
        <v>83</v>
      </c>
      <c r="AU9" s="49">
        <v>119</v>
      </c>
      <c r="AV9" s="49">
        <v>2.177</v>
      </c>
      <c r="AW9" s="50">
        <v>5.3071000000000002</v>
      </c>
      <c r="AX9" s="49">
        <v>1015.4</v>
      </c>
      <c r="AY9" s="49">
        <v>2.27</v>
      </c>
      <c r="AZ9" s="49">
        <v>5.73</v>
      </c>
      <c r="BA9" s="49">
        <v>124.22</v>
      </c>
      <c r="BB9" s="49">
        <v>122.114</v>
      </c>
      <c r="BC9" s="50">
        <v>7756</v>
      </c>
      <c r="BD9" s="49">
        <v>89.5</v>
      </c>
      <c r="BE9" s="49">
        <v>16.36</v>
      </c>
      <c r="BF9" s="50">
        <v>14.4</v>
      </c>
      <c r="BG9" s="49">
        <v>28.8</v>
      </c>
      <c r="BH9" s="49">
        <v>28.86</v>
      </c>
      <c r="BI9" s="3"/>
      <c r="BJ9" s="3"/>
      <c r="BK9" s="3"/>
      <c r="BL9" s="3"/>
      <c r="BM9" s="3"/>
      <c r="BN9" s="49">
        <v>108.312</v>
      </c>
      <c r="BO9" s="49">
        <v>104.072</v>
      </c>
      <c r="BP9" s="49">
        <v>131.864</v>
      </c>
      <c r="BQ9" s="49">
        <v>135.68799999999999</v>
      </c>
      <c r="BR9" s="3"/>
      <c r="BS9" s="50">
        <v>29.2</v>
      </c>
      <c r="BT9" s="50">
        <v>7452.2489999999998</v>
      </c>
      <c r="BU9" s="49">
        <v>50.72</v>
      </c>
      <c r="BV9" s="49">
        <v>55.371000000000002</v>
      </c>
      <c r="BW9" s="49">
        <v>55.524999999999999</v>
      </c>
      <c r="BX9" s="49">
        <v>55.701999999999998</v>
      </c>
      <c r="BY9" s="49">
        <v>1.35</v>
      </c>
      <c r="BZ9" s="49">
        <v>3.1659999999999999</v>
      </c>
      <c r="CA9" s="49">
        <v>3.4039999999999999</v>
      </c>
      <c r="CB9" s="49">
        <v>3.548</v>
      </c>
      <c r="CC9" s="49">
        <v>1.173</v>
      </c>
      <c r="CD9" s="49">
        <v>2.4769999999999999</v>
      </c>
      <c r="CE9" s="49">
        <v>1.238</v>
      </c>
      <c r="CF9" s="49">
        <v>2.097</v>
      </c>
      <c r="CG9" s="49">
        <v>13.93</v>
      </c>
      <c r="CH9" s="49">
        <v>13.788</v>
      </c>
      <c r="CI9" s="49">
        <v>3.5990000000000002</v>
      </c>
      <c r="CJ9" s="49">
        <v>3.504</v>
      </c>
      <c r="CK9" s="49">
        <v>1.4650000000000001</v>
      </c>
      <c r="CL9" s="49">
        <v>0.1</v>
      </c>
      <c r="CM9" s="49">
        <v>0.7</v>
      </c>
      <c r="CN9" s="49">
        <v>0</v>
      </c>
      <c r="CO9" s="49">
        <v>0</v>
      </c>
      <c r="CP9" s="49">
        <v>102.26</v>
      </c>
      <c r="CQ9" s="49">
        <v>99.936000000000007</v>
      </c>
      <c r="CR9" s="49">
        <v>124.529</v>
      </c>
      <c r="CS9" s="49">
        <v>130.33799999999999</v>
      </c>
      <c r="CT9" s="49">
        <v>0.35499999999999998</v>
      </c>
      <c r="CU9" s="49">
        <v>0.90200000000000002</v>
      </c>
      <c r="CV9" s="49">
        <v>1.2969999999999999</v>
      </c>
      <c r="CW9" s="49">
        <v>0.498</v>
      </c>
      <c r="CX9" s="49">
        <v>1.5940000000000001</v>
      </c>
      <c r="CY9" s="49">
        <v>0.6</v>
      </c>
      <c r="CZ9" s="49">
        <v>0.998</v>
      </c>
      <c r="DA9" s="49">
        <v>0.60299999999999998</v>
      </c>
      <c r="DB9" s="49">
        <v>1.496</v>
      </c>
      <c r="DC9" s="49">
        <v>0</v>
      </c>
      <c r="DD9" s="50">
        <v>0</v>
      </c>
      <c r="DE9" s="49">
        <v>0.34</v>
      </c>
      <c r="DF9" s="49">
        <v>0.14599999999999999</v>
      </c>
      <c r="DG9" s="49">
        <v>0.71</v>
      </c>
      <c r="DH9" s="49">
        <v>1.8460000000000001</v>
      </c>
      <c r="DI9" s="50">
        <v>1.319</v>
      </c>
      <c r="DJ9" s="49">
        <v>0.29599999999999999</v>
      </c>
      <c r="DK9" s="49">
        <v>1.238</v>
      </c>
      <c r="DL9" s="49">
        <v>0.40799999999999997</v>
      </c>
      <c r="DM9" s="49">
        <v>0.45400000000000001</v>
      </c>
      <c r="DN9" s="50">
        <v>0.51400000000000001</v>
      </c>
      <c r="DO9" s="49">
        <v>0.308</v>
      </c>
      <c r="DP9" s="49">
        <v>64.822000000000003</v>
      </c>
      <c r="DQ9" s="49">
        <v>57.115000000000002</v>
      </c>
      <c r="DR9" s="49">
        <v>52.918999999999997</v>
      </c>
      <c r="DS9" s="49">
        <v>51.231000000000002</v>
      </c>
      <c r="DT9" s="49">
        <v>6.77</v>
      </c>
      <c r="DU9" s="49">
        <v>6.15</v>
      </c>
      <c r="DV9" s="49">
        <v>12.9</v>
      </c>
      <c r="DW9" s="49">
        <v>10.7</v>
      </c>
      <c r="DX9" s="49">
        <v>6.97</v>
      </c>
      <c r="DY9" s="49">
        <v>6.34</v>
      </c>
      <c r="DZ9" s="49">
        <v>12.03</v>
      </c>
      <c r="EA9" s="49">
        <v>10.56</v>
      </c>
      <c r="EB9" s="49">
        <v>41.88</v>
      </c>
      <c r="EC9" s="49">
        <v>41.76</v>
      </c>
      <c r="ED9" s="49">
        <v>32.590000000000003</v>
      </c>
      <c r="EE9" s="49">
        <v>35.340000000000003</v>
      </c>
      <c r="EF9" s="49">
        <v>44.38</v>
      </c>
      <c r="EG9" s="49">
        <v>45.74</v>
      </c>
      <c r="EH9" s="49">
        <v>42.48</v>
      </c>
      <c r="EI9" s="49">
        <v>43.39</v>
      </c>
      <c r="EJ9" s="49">
        <v>7.2939999999999996</v>
      </c>
      <c r="EK9" s="49">
        <v>59.732999999999997</v>
      </c>
      <c r="EL9" s="49">
        <v>2.0499999999999998</v>
      </c>
      <c r="EM9" s="49">
        <v>1.6</v>
      </c>
      <c r="EN9" s="49">
        <v>1.2</v>
      </c>
      <c r="EO9" s="49">
        <v>1.21</v>
      </c>
      <c r="EP9" s="50">
        <v>-108.55800000000001</v>
      </c>
      <c r="EQ9" s="49">
        <v>-3.1680000000000001</v>
      </c>
      <c r="ER9" s="49">
        <v>121.83</v>
      </c>
      <c r="ES9" s="49">
        <v>1.5680000000000001</v>
      </c>
      <c r="ET9" s="49">
        <v>1.643</v>
      </c>
      <c r="EU9" s="49">
        <v>1.5169999999999999</v>
      </c>
      <c r="EV9" s="49">
        <v>7.6319999999999997</v>
      </c>
      <c r="EW9" s="49">
        <v>2.359</v>
      </c>
      <c r="EX9" s="49">
        <v>73.98</v>
      </c>
      <c r="EY9" s="49">
        <v>0.02</v>
      </c>
      <c r="EZ9" s="49">
        <v>0.72</v>
      </c>
      <c r="FA9" s="50">
        <v>0</v>
      </c>
      <c r="FB9" s="49">
        <v>9.1259999999999994</v>
      </c>
      <c r="FC9" s="49">
        <v>72.745000000000005</v>
      </c>
      <c r="FD9" s="49">
        <v>68.807000000000002</v>
      </c>
      <c r="FE9" s="49">
        <v>81.69</v>
      </c>
      <c r="FF9" s="49">
        <v>80.543999999999997</v>
      </c>
      <c r="FG9" s="49">
        <v>0.93300000000000005</v>
      </c>
      <c r="FH9" s="49">
        <v>0.93400000000000005</v>
      </c>
      <c r="FI9" s="49">
        <v>0.98799999999999999</v>
      </c>
      <c r="FJ9" s="49">
        <v>0.99299999999999999</v>
      </c>
      <c r="FK9" s="49">
        <v>0</v>
      </c>
      <c r="FL9" s="49">
        <v>83</v>
      </c>
      <c r="FM9" s="50">
        <v>3.64</v>
      </c>
      <c r="FN9" s="49">
        <v>-0.56000000000000005</v>
      </c>
      <c r="FO9" s="49">
        <v>5.48</v>
      </c>
      <c r="FP9" s="3"/>
      <c r="FQ9" s="49">
        <v>4.6500000000000004</v>
      </c>
      <c r="FR9" s="49">
        <v>5.15</v>
      </c>
      <c r="FS9" s="49">
        <v>6.7915000000000001</v>
      </c>
      <c r="FT9" s="49">
        <v>1069.4000000000001</v>
      </c>
      <c r="FU9" s="49">
        <v>6.58</v>
      </c>
      <c r="FV9" s="49">
        <v>17.22</v>
      </c>
      <c r="FW9" s="49">
        <v>3075</v>
      </c>
      <c r="FX9" s="49">
        <v>165600</v>
      </c>
      <c r="FY9" s="49">
        <v>167400</v>
      </c>
      <c r="FZ9" s="49">
        <v>48.27</v>
      </c>
      <c r="GA9" s="49">
        <v>47.232999999999997</v>
      </c>
      <c r="GB9" s="50">
        <v>2250.8000000000002</v>
      </c>
      <c r="GC9" s="50">
        <v>2386</v>
      </c>
      <c r="GD9" s="49">
        <v>2250.8000000000002</v>
      </c>
      <c r="GE9" s="50">
        <v>2386</v>
      </c>
      <c r="GF9" s="49">
        <v>1342.9688000000001</v>
      </c>
      <c r="GG9" s="49">
        <v>27</v>
      </c>
      <c r="GH9" s="49">
        <v>27</v>
      </c>
      <c r="GI9" s="49">
        <v>47.6</v>
      </c>
      <c r="GJ9" s="49">
        <v>52.6</v>
      </c>
      <c r="GK9" s="49">
        <v>99.5</v>
      </c>
      <c r="GL9" s="49">
        <v>77.400000000000006</v>
      </c>
      <c r="GM9" s="50">
        <v>0</v>
      </c>
      <c r="GN9" s="49">
        <v>26.870999999999999</v>
      </c>
      <c r="GO9" s="49">
        <v>121.83</v>
      </c>
      <c r="GP9" s="49">
        <v>1.0029999999999999</v>
      </c>
      <c r="GQ9" s="49">
        <v>1.9470000000000001</v>
      </c>
      <c r="GR9" s="49">
        <v>1.298</v>
      </c>
      <c r="GS9" s="49">
        <v>2.0059999999999998</v>
      </c>
      <c r="GT9" s="49">
        <v>0.94399999999999995</v>
      </c>
      <c r="GU9" s="49">
        <v>1.8879999999999999</v>
      </c>
      <c r="GV9" s="49">
        <v>13.034000000000001</v>
      </c>
      <c r="GW9" s="49">
        <v>14.044</v>
      </c>
      <c r="GX9" s="49">
        <v>15.385999999999999</v>
      </c>
      <c r="GY9" s="50">
        <v>0</v>
      </c>
      <c r="GZ9" s="50">
        <v>0</v>
      </c>
      <c r="HA9" s="50">
        <v>0</v>
      </c>
      <c r="HB9" s="49">
        <v>0</v>
      </c>
      <c r="HC9" s="49">
        <v>23.616</v>
      </c>
      <c r="HD9" s="49">
        <v>82</v>
      </c>
      <c r="HE9" s="50">
        <v>0</v>
      </c>
      <c r="HF9" s="50">
        <v>0</v>
      </c>
      <c r="HG9" s="49">
        <v>72.33</v>
      </c>
      <c r="HH9" s="49">
        <v>82.91</v>
      </c>
      <c r="HI9" s="50">
        <v>0</v>
      </c>
      <c r="HJ9" s="50">
        <v>0</v>
      </c>
      <c r="HK9" s="50">
        <v>0</v>
      </c>
      <c r="HL9" s="49">
        <v>63</v>
      </c>
      <c r="HM9" s="49">
        <v>55</v>
      </c>
      <c r="HN9" s="49">
        <v>69</v>
      </c>
      <c r="HO9" s="49">
        <v>63</v>
      </c>
      <c r="HP9" s="49">
        <v>66</v>
      </c>
      <c r="HQ9" s="50">
        <v>64</v>
      </c>
      <c r="HR9" s="50">
        <v>55</v>
      </c>
      <c r="HS9" s="49">
        <v>64</v>
      </c>
      <c r="HT9" s="50">
        <v>-1.3169999999999999</v>
      </c>
      <c r="HU9" s="50">
        <v>0</v>
      </c>
      <c r="HV9" s="49">
        <v>0.47499999999999998</v>
      </c>
      <c r="HW9" s="50">
        <v>36.82</v>
      </c>
      <c r="HX9" s="50">
        <v>47.42</v>
      </c>
      <c r="HY9" s="49">
        <v>51.84</v>
      </c>
      <c r="HZ9" s="49">
        <v>65.239999999999995</v>
      </c>
      <c r="IA9" s="49">
        <v>2.6150000000000002</v>
      </c>
      <c r="IB9" s="50">
        <v>104</v>
      </c>
      <c r="IC9" s="49">
        <v>22.542000000000002</v>
      </c>
      <c r="ID9" s="49">
        <v>-0.28199999999999997</v>
      </c>
      <c r="IE9" s="49">
        <v>-0.106</v>
      </c>
      <c r="IF9" s="49">
        <v>820</v>
      </c>
      <c r="IG9" s="49">
        <v>769.8</v>
      </c>
      <c r="IH9" s="49">
        <v>827.8</v>
      </c>
      <c r="II9" s="49">
        <v>782.4</v>
      </c>
      <c r="IJ9" s="49">
        <v>-7.6999999999999999E-2</v>
      </c>
      <c r="IK9" s="49">
        <v>-0.20699999999999999</v>
      </c>
      <c r="IL9" s="49">
        <v>71.198999999999998</v>
      </c>
      <c r="IM9" s="49">
        <v>71.198999999999998</v>
      </c>
      <c r="IN9" s="49">
        <v>12.627000000000001</v>
      </c>
      <c r="IO9" s="49">
        <v>0.58699999999999997</v>
      </c>
      <c r="IP9" s="49">
        <v>10.37</v>
      </c>
      <c r="IQ9" s="49">
        <v>1.0999999999999999E-2</v>
      </c>
      <c r="IR9" s="49">
        <v>8.0000000000000002E-3</v>
      </c>
    </row>
    <row r="10" spans="2:252" x14ac:dyDescent="0.25">
      <c r="B10" s="2" t="s">
        <v>412</v>
      </c>
      <c r="C10" s="2" t="s">
        <v>44</v>
      </c>
      <c r="D10" s="61">
        <v>2.5350694444444444E-3</v>
      </c>
      <c r="E10" s="49">
        <v>219.07</v>
      </c>
      <c r="F10" s="49">
        <v>328.05</v>
      </c>
      <c r="G10" s="50">
        <v>5.92</v>
      </c>
      <c r="H10" s="49">
        <v>29.4</v>
      </c>
      <c r="I10" s="49">
        <v>0</v>
      </c>
      <c r="J10" s="49">
        <v>12.9</v>
      </c>
      <c r="K10" s="50">
        <v>10</v>
      </c>
      <c r="L10" s="50">
        <v>4</v>
      </c>
      <c r="M10" s="50">
        <v>6</v>
      </c>
      <c r="N10" s="50">
        <v>3</v>
      </c>
      <c r="O10" s="50">
        <v>3</v>
      </c>
      <c r="P10" s="49">
        <v>0.80300000000000005</v>
      </c>
      <c r="Q10" s="49">
        <v>1.3720000000000001</v>
      </c>
      <c r="R10" s="49">
        <v>0.71299999999999997</v>
      </c>
      <c r="S10" s="49">
        <v>0.71199999999999997</v>
      </c>
      <c r="T10" s="49">
        <v>78.040000000000006</v>
      </c>
      <c r="U10" s="49">
        <v>61.073</v>
      </c>
      <c r="V10" s="49">
        <v>280</v>
      </c>
      <c r="W10" s="49">
        <v>293.33999999999997</v>
      </c>
      <c r="X10" s="49">
        <v>210</v>
      </c>
      <c r="Y10" s="49">
        <v>260</v>
      </c>
      <c r="Z10" s="50">
        <v>421.43</v>
      </c>
      <c r="AA10" s="50">
        <v>424.98</v>
      </c>
      <c r="AB10" s="50">
        <v>323.89999999999998</v>
      </c>
      <c r="AC10" s="50">
        <v>391.84</v>
      </c>
      <c r="AD10" s="49">
        <v>1.8149999999999999</v>
      </c>
      <c r="AE10" s="50">
        <v>1.885</v>
      </c>
      <c r="AF10" s="49">
        <v>1.8120000000000001</v>
      </c>
      <c r="AG10" s="49">
        <v>1.8460000000000001</v>
      </c>
      <c r="AH10" s="49">
        <v>83.31</v>
      </c>
      <c r="AI10" s="49">
        <v>80.459999999999994</v>
      </c>
      <c r="AJ10" s="49">
        <v>107.18</v>
      </c>
      <c r="AK10" s="49">
        <v>105.18</v>
      </c>
      <c r="AL10" s="49">
        <v>626.79899999999998</v>
      </c>
      <c r="AM10" s="49">
        <v>637.52599999999995</v>
      </c>
      <c r="AN10" s="49">
        <v>803.6</v>
      </c>
      <c r="AO10" s="49">
        <v>774.89300000000003</v>
      </c>
      <c r="AP10" s="49">
        <v>1.371</v>
      </c>
      <c r="AQ10" s="49">
        <v>1.8480000000000001</v>
      </c>
      <c r="AR10" s="49">
        <v>40.512999999999998</v>
      </c>
      <c r="AS10" s="49">
        <v>37.119</v>
      </c>
      <c r="AT10" s="49">
        <v>83</v>
      </c>
      <c r="AU10" s="50">
        <v>120</v>
      </c>
      <c r="AV10" s="49">
        <v>2.1749999999999998</v>
      </c>
      <c r="AW10" s="49">
        <v>5.1957000000000004</v>
      </c>
      <c r="AX10" s="49">
        <v>1016.3</v>
      </c>
      <c r="AY10" s="49">
        <v>2.25</v>
      </c>
      <c r="AZ10" s="49">
        <v>5.76</v>
      </c>
      <c r="BA10" s="49">
        <v>137.81299999999999</v>
      </c>
      <c r="BB10" s="49">
        <v>136.81</v>
      </c>
      <c r="BC10" s="49">
        <v>7704</v>
      </c>
      <c r="BD10" s="49">
        <v>88.75</v>
      </c>
      <c r="BE10" s="50">
        <v>17.18</v>
      </c>
      <c r="BF10" s="49">
        <v>13.045</v>
      </c>
      <c r="BG10" s="49">
        <v>28.2</v>
      </c>
      <c r="BH10" s="49">
        <v>27.55</v>
      </c>
      <c r="BI10" s="3"/>
      <c r="BJ10" s="3"/>
      <c r="BK10" s="3"/>
      <c r="BL10" s="3"/>
      <c r="BM10" s="3"/>
      <c r="BN10" s="49">
        <v>112.264</v>
      </c>
      <c r="BO10" s="49">
        <v>109.544</v>
      </c>
      <c r="BP10" s="49">
        <v>137.048</v>
      </c>
      <c r="BQ10" s="49">
        <v>139.416</v>
      </c>
      <c r="BR10" s="3"/>
      <c r="BS10" s="50">
        <v>29.2</v>
      </c>
      <c r="BT10" s="49">
        <v>7328.7820000000002</v>
      </c>
      <c r="BU10" s="50">
        <v>50.844999999999999</v>
      </c>
      <c r="BV10" s="49">
        <v>54.237000000000002</v>
      </c>
      <c r="BW10" s="49">
        <v>56.231999999999999</v>
      </c>
      <c r="BX10" s="49">
        <v>56.491</v>
      </c>
      <c r="BY10" s="49">
        <v>1.411</v>
      </c>
      <c r="BZ10" s="49">
        <v>3.1459999999999999</v>
      </c>
      <c r="CA10" s="50">
        <v>3.589</v>
      </c>
      <c r="CB10" s="50">
        <v>3.9809999999999999</v>
      </c>
      <c r="CC10" s="50">
        <v>1.226</v>
      </c>
      <c r="CD10" s="49">
        <v>2.407</v>
      </c>
      <c r="CE10" s="50">
        <v>1.34</v>
      </c>
      <c r="CF10" s="49">
        <v>2.1629999999999998</v>
      </c>
      <c r="CG10" s="49">
        <v>13.932</v>
      </c>
      <c r="CH10" s="49">
        <v>13.769</v>
      </c>
      <c r="CI10" s="50">
        <v>3.859</v>
      </c>
      <c r="CJ10" s="50">
        <v>3.5910000000000002</v>
      </c>
      <c r="CK10" s="50">
        <v>1.4830000000000001</v>
      </c>
      <c r="CL10" s="49">
        <v>0.1</v>
      </c>
      <c r="CM10" s="49">
        <v>0.8</v>
      </c>
      <c r="CN10" s="49">
        <v>0</v>
      </c>
      <c r="CO10" s="49">
        <v>0.1</v>
      </c>
      <c r="CP10" s="49">
        <v>104.61</v>
      </c>
      <c r="CQ10" s="50">
        <v>102.791</v>
      </c>
      <c r="CR10" s="49">
        <v>130.71</v>
      </c>
      <c r="CS10" s="49">
        <v>135.142</v>
      </c>
      <c r="CT10" s="49">
        <v>0.33600000000000002</v>
      </c>
      <c r="CU10" s="49">
        <v>1.3029999999999999</v>
      </c>
      <c r="CV10" s="49">
        <v>1.202</v>
      </c>
      <c r="CW10" s="49">
        <v>0.80200000000000005</v>
      </c>
      <c r="CX10" s="49">
        <v>1.399</v>
      </c>
      <c r="CY10" s="49">
        <v>1.103</v>
      </c>
      <c r="CZ10" s="49">
        <v>1.4</v>
      </c>
      <c r="DA10" s="49">
        <v>0.69899999999999995</v>
      </c>
      <c r="DB10" s="49">
        <v>1.9990000000000001</v>
      </c>
      <c r="DC10" s="49">
        <v>0</v>
      </c>
      <c r="DD10" s="50">
        <v>0</v>
      </c>
      <c r="DE10" s="49">
        <v>0.28799999999999998</v>
      </c>
      <c r="DF10" s="49">
        <v>0.104</v>
      </c>
      <c r="DG10" s="49">
        <v>0.505</v>
      </c>
      <c r="DH10" s="49">
        <v>1.8129999999999999</v>
      </c>
      <c r="DI10" s="49">
        <v>1.2929999999999999</v>
      </c>
      <c r="DJ10" s="49">
        <v>0.26800000000000002</v>
      </c>
      <c r="DK10" s="49">
        <v>0.90800000000000003</v>
      </c>
      <c r="DL10" s="49">
        <v>0.40600000000000003</v>
      </c>
      <c r="DM10" s="49">
        <v>0.48199999999999998</v>
      </c>
      <c r="DN10" s="49">
        <v>0.50700000000000001</v>
      </c>
      <c r="DO10" s="49">
        <v>0.36</v>
      </c>
      <c r="DP10" s="49">
        <v>65.686000000000007</v>
      </c>
      <c r="DQ10" s="49">
        <v>59.076000000000001</v>
      </c>
      <c r="DR10" s="49">
        <v>53.499000000000002</v>
      </c>
      <c r="DS10" s="49">
        <v>51.543999999999997</v>
      </c>
      <c r="DT10" s="49">
        <v>6.27</v>
      </c>
      <c r="DU10" s="49">
        <v>6</v>
      </c>
      <c r="DV10" s="49">
        <v>12.27</v>
      </c>
      <c r="DW10" s="49">
        <v>9.98</v>
      </c>
      <c r="DX10" s="49">
        <v>6.6</v>
      </c>
      <c r="DY10" s="49">
        <v>6.17</v>
      </c>
      <c r="DZ10" s="49">
        <v>11.64</v>
      </c>
      <c r="EA10" s="49">
        <v>9.5399999999999991</v>
      </c>
      <c r="EB10" s="49">
        <v>42.12</v>
      </c>
      <c r="EC10" s="50">
        <v>41.92</v>
      </c>
      <c r="ED10" s="49">
        <v>33.44</v>
      </c>
      <c r="EE10" s="49">
        <v>36.270000000000003</v>
      </c>
      <c r="EF10" s="49">
        <v>45.01</v>
      </c>
      <c r="EG10" s="49">
        <v>45.92</v>
      </c>
      <c r="EH10" s="49">
        <v>42.65</v>
      </c>
      <c r="EI10" s="49">
        <v>44.21</v>
      </c>
      <c r="EJ10" s="49">
        <v>7.3159999999999998</v>
      </c>
      <c r="EK10" s="50">
        <v>59.878999999999998</v>
      </c>
      <c r="EL10" s="49">
        <v>2.0499999999999998</v>
      </c>
      <c r="EM10" s="49">
        <v>1.7</v>
      </c>
      <c r="EN10" s="49">
        <v>1.21</v>
      </c>
      <c r="EO10" s="49">
        <v>1.21</v>
      </c>
      <c r="EP10" s="49">
        <v>-105.93</v>
      </c>
      <c r="EQ10" s="49">
        <v>-2.8580000000000001</v>
      </c>
      <c r="ER10" s="50">
        <v>141.97800000000001</v>
      </c>
      <c r="ES10" s="49">
        <v>1.536</v>
      </c>
      <c r="ET10" s="49">
        <v>1.64</v>
      </c>
      <c r="EU10" s="49">
        <v>1.4870000000000001</v>
      </c>
      <c r="EV10" s="49">
        <v>7.7350000000000003</v>
      </c>
      <c r="EW10" s="49">
        <v>2.4510000000000001</v>
      </c>
      <c r="EX10" s="50">
        <v>75.02</v>
      </c>
      <c r="EY10" s="49">
        <v>2.1000000000000001E-2</v>
      </c>
      <c r="EZ10" s="49">
        <v>4.2999999999999997E-2</v>
      </c>
      <c r="FA10" s="50">
        <v>0</v>
      </c>
      <c r="FB10" s="50">
        <v>9.2040000000000006</v>
      </c>
      <c r="FC10" s="49">
        <v>74.528999999999996</v>
      </c>
      <c r="FD10" s="49">
        <v>70.525999999999996</v>
      </c>
      <c r="FE10" s="49">
        <v>84.183999999999997</v>
      </c>
      <c r="FF10" s="49">
        <v>83.085999999999999</v>
      </c>
      <c r="FG10" s="49">
        <v>0.93500000000000005</v>
      </c>
      <c r="FH10" s="49">
        <v>0.93500000000000005</v>
      </c>
      <c r="FI10" s="49">
        <v>0.98899999999999999</v>
      </c>
      <c r="FJ10" s="49">
        <v>0.995</v>
      </c>
      <c r="FK10" s="49">
        <v>0</v>
      </c>
      <c r="FL10" s="49">
        <v>83</v>
      </c>
      <c r="FM10" s="49">
        <v>3.52</v>
      </c>
      <c r="FN10" s="49">
        <v>-0.52</v>
      </c>
      <c r="FO10" s="49">
        <v>5.44</v>
      </c>
      <c r="FP10" s="3"/>
      <c r="FQ10" s="49">
        <v>4.5999999999999996</v>
      </c>
      <c r="FR10" s="49">
        <v>5.05</v>
      </c>
      <c r="FS10" s="50">
        <v>6.8540000000000001</v>
      </c>
      <c r="FT10" s="49">
        <v>1066.8</v>
      </c>
      <c r="FU10" s="49">
        <v>7.25</v>
      </c>
      <c r="FV10" s="49">
        <v>23.15</v>
      </c>
      <c r="FW10" s="49">
        <v>3111.5</v>
      </c>
      <c r="FX10" s="49">
        <v>161700</v>
      </c>
      <c r="FY10" s="49">
        <v>162300</v>
      </c>
      <c r="FZ10" s="49">
        <v>48.27</v>
      </c>
      <c r="GA10" s="49">
        <v>47.177</v>
      </c>
      <c r="GB10" s="49">
        <v>2164.3000000000002</v>
      </c>
      <c r="GC10" s="49">
        <v>2166.5</v>
      </c>
      <c r="GD10" s="50">
        <v>2278.5</v>
      </c>
      <c r="GE10" s="49">
        <v>2323.3000000000002</v>
      </c>
      <c r="GF10" s="49">
        <v>1353.0469000000001</v>
      </c>
      <c r="GG10" s="49">
        <v>28</v>
      </c>
      <c r="GH10" s="49">
        <v>27.6</v>
      </c>
      <c r="GI10" s="49">
        <v>47.7</v>
      </c>
      <c r="GJ10" s="49">
        <v>52.8</v>
      </c>
      <c r="GK10" s="49">
        <v>99.5</v>
      </c>
      <c r="GL10" s="49">
        <v>76.3</v>
      </c>
      <c r="GM10" s="50">
        <v>0</v>
      </c>
      <c r="GN10" s="49">
        <v>26.38</v>
      </c>
      <c r="GO10" s="50">
        <v>141.97800000000001</v>
      </c>
      <c r="GP10" s="49">
        <v>0.88500000000000001</v>
      </c>
      <c r="GQ10" s="49">
        <v>1.9470000000000001</v>
      </c>
      <c r="GR10" s="49">
        <v>1.298</v>
      </c>
      <c r="GS10" s="49">
        <v>2.0059999999999998</v>
      </c>
      <c r="GT10" s="49">
        <v>0.76700000000000002</v>
      </c>
      <c r="GU10" s="49">
        <v>1.8879999999999999</v>
      </c>
      <c r="GV10" s="49">
        <v>12.837999999999999</v>
      </c>
      <c r="GW10" s="49">
        <v>14.010999999999999</v>
      </c>
      <c r="GX10" s="49">
        <v>15.875999999999999</v>
      </c>
      <c r="GY10" s="50">
        <v>0</v>
      </c>
      <c r="GZ10" s="50">
        <v>0</v>
      </c>
      <c r="HA10" s="50">
        <v>0</v>
      </c>
      <c r="HB10" s="49">
        <v>0</v>
      </c>
      <c r="HC10" s="49">
        <v>23.626000000000001</v>
      </c>
      <c r="HD10" s="49">
        <v>82</v>
      </c>
      <c r="HE10" s="50">
        <v>0</v>
      </c>
      <c r="HF10" s="50">
        <v>0</v>
      </c>
      <c r="HG10" s="49">
        <v>72.63</v>
      </c>
      <c r="HH10" s="49">
        <v>82.51</v>
      </c>
      <c r="HI10" s="50">
        <v>0</v>
      </c>
      <c r="HJ10" s="50">
        <v>0</v>
      </c>
      <c r="HK10" s="50">
        <v>0</v>
      </c>
      <c r="HL10" s="49">
        <v>63</v>
      </c>
      <c r="HM10" s="49">
        <v>55</v>
      </c>
      <c r="HN10" s="49">
        <v>69</v>
      </c>
      <c r="HO10" s="50">
        <v>64</v>
      </c>
      <c r="HP10" s="49">
        <v>66</v>
      </c>
      <c r="HQ10" s="50">
        <v>64</v>
      </c>
      <c r="HR10" s="50">
        <v>55</v>
      </c>
      <c r="HS10" s="50">
        <v>70</v>
      </c>
      <c r="HT10" s="49">
        <v>-1.3075000000000001</v>
      </c>
      <c r="HU10" s="50">
        <v>0</v>
      </c>
      <c r="HV10" s="49">
        <v>0.127</v>
      </c>
      <c r="HW10" s="50">
        <v>36.82</v>
      </c>
      <c r="HX10" s="50">
        <v>47.42</v>
      </c>
      <c r="HY10" s="50">
        <v>52.8</v>
      </c>
      <c r="HZ10" s="50">
        <v>65.47</v>
      </c>
      <c r="IA10" s="49">
        <v>2.766</v>
      </c>
      <c r="IB10" s="50">
        <v>104</v>
      </c>
      <c r="IC10" s="49">
        <v>22.393000000000001</v>
      </c>
      <c r="ID10" s="49">
        <v>-0.25900000000000001</v>
      </c>
      <c r="IE10" s="49">
        <v>-9.6000000000000002E-2</v>
      </c>
      <c r="IF10" s="49">
        <v>819</v>
      </c>
      <c r="IG10" s="49">
        <v>770.1</v>
      </c>
      <c r="IH10" s="49">
        <v>829.9</v>
      </c>
      <c r="II10" s="49">
        <v>783.8</v>
      </c>
      <c r="IJ10" s="49">
        <v>-7.9000000000000001E-2</v>
      </c>
      <c r="IK10" s="49">
        <v>-0.20200000000000001</v>
      </c>
      <c r="IL10" s="49">
        <v>72.393000000000001</v>
      </c>
      <c r="IM10" s="49">
        <v>72.393000000000001</v>
      </c>
      <c r="IN10" s="49">
        <v>13.78</v>
      </c>
      <c r="IO10" s="50">
        <v>0.621</v>
      </c>
      <c r="IP10" s="49">
        <v>10.199999999999999</v>
      </c>
      <c r="IQ10" s="49">
        <v>0.01</v>
      </c>
      <c r="IR10" s="49">
        <v>8.0000000000000002E-3</v>
      </c>
    </row>
    <row r="11" spans="2:252" x14ac:dyDescent="0.25">
      <c r="B11" s="2" t="s">
        <v>412</v>
      </c>
      <c r="C11" s="62" t="s">
        <v>45</v>
      </c>
      <c r="D11" s="63">
        <v>2.4532407407407406E-3</v>
      </c>
      <c r="E11" s="49">
        <v>212</v>
      </c>
      <c r="F11" s="49">
        <v>329.33</v>
      </c>
      <c r="G11" s="49">
        <v>5.91</v>
      </c>
      <c r="H11" s="49">
        <v>29.4</v>
      </c>
      <c r="I11" s="49">
        <v>0</v>
      </c>
      <c r="J11" s="49">
        <v>12.8</v>
      </c>
      <c r="K11" s="50">
        <v>10</v>
      </c>
      <c r="L11" s="50">
        <v>4</v>
      </c>
      <c r="M11" s="50">
        <v>6</v>
      </c>
      <c r="N11" s="50">
        <v>3</v>
      </c>
      <c r="O11" s="50">
        <v>3</v>
      </c>
      <c r="P11" s="49">
        <v>0.93899999999999995</v>
      </c>
      <c r="Q11" s="49">
        <v>1.625</v>
      </c>
      <c r="R11" s="49">
        <v>0.84599999999999997</v>
      </c>
      <c r="S11" s="49">
        <v>0.73399999999999999</v>
      </c>
      <c r="T11" s="49">
        <v>89.11</v>
      </c>
      <c r="U11" s="49">
        <v>61.084000000000003</v>
      </c>
      <c r="V11" s="49">
        <v>260</v>
      </c>
      <c r="W11" s="49">
        <v>266.66000000000003</v>
      </c>
      <c r="X11" s="49">
        <v>197.5</v>
      </c>
      <c r="Y11" s="49">
        <v>243.34</v>
      </c>
      <c r="Z11" s="49">
        <v>408.67</v>
      </c>
      <c r="AA11" s="49">
        <v>412.66</v>
      </c>
      <c r="AB11" s="49">
        <v>323.70999999999998</v>
      </c>
      <c r="AC11" s="49">
        <v>389.1</v>
      </c>
      <c r="AD11" s="50">
        <v>1.819</v>
      </c>
      <c r="AE11" s="50">
        <v>1.885</v>
      </c>
      <c r="AF11" s="50">
        <v>1.8240000000000001</v>
      </c>
      <c r="AG11" s="50">
        <v>1.855</v>
      </c>
      <c r="AH11" s="50">
        <v>84.24</v>
      </c>
      <c r="AI11" s="49">
        <v>80.02</v>
      </c>
      <c r="AJ11" s="50">
        <v>108.38</v>
      </c>
      <c r="AK11" s="50">
        <v>105.61</v>
      </c>
      <c r="AL11" s="50">
        <v>695.06799999999998</v>
      </c>
      <c r="AM11" s="50">
        <v>693.00800000000004</v>
      </c>
      <c r="AN11" s="50">
        <v>852.89</v>
      </c>
      <c r="AO11" s="50">
        <v>814.07799999999997</v>
      </c>
      <c r="AP11" s="49">
        <v>1.357</v>
      </c>
      <c r="AQ11" s="49">
        <v>1.8480000000000001</v>
      </c>
      <c r="AR11" s="50">
        <v>41.384</v>
      </c>
      <c r="AS11" s="49">
        <v>39.152000000000001</v>
      </c>
      <c r="AT11" s="49">
        <v>83</v>
      </c>
      <c r="AU11" s="50">
        <v>120</v>
      </c>
      <c r="AV11" s="50">
        <v>1.9355</v>
      </c>
      <c r="AW11" s="49">
        <v>5.2820999999999998</v>
      </c>
      <c r="AX11" s="49">
        <v>1020</v>
      </c>
      <c r="AY11" s="49">
        <v>2.2400000000000002</v>
      </c>
      <c r="AZ11" s="49">
        <v>5.69</v>
      </c>
      <c r="BA11" s="49">
        <v>138.66800000000001</v>
      </c>
      <c r="BB11" s="49">
        <v>138.376</v>
      </c>
      <c r="BC11" s="49">
        <v>7707</v>
      </c>
      <c r="BD11" s="49">
        <v>87.75</v>
      </c>
      <c r="BE11" s="49">
        <v>16.420000000000002</v>
      </c>
      <c r="BF11" s="49">
        <v>13.77</v>
      </c>
      <c r="BG11" s="50">
        <v>29.6</v>
      </c>
      <c r="BH11" s="50">
        <v>30.13</v>
      </c>
      <c r="BI11" s="3"/>
      <c r="BJ11" s="3"/>
      <c r="BK11" s="3"/>
      <c r="BL11" s="3"/>
      <c r="BM11" s="3"/>
      <c r="BN11" s="49">
        <v>111.048</v>
      </c>
      <c r="BO11" s="49">
        <v>108.264</v>
      </c>
      <c r="BP11" s="49">
        <v>137.59200000000001</v>
      </c>
      <c r="BQ11" s="49">
        <v>140.15199999999999</v>
      </c>
      <c r="BR11" s="3"/>
      <c r="BS11" s="49">
        <v>29.1</v>
      </c>
      <c r="BT11" s="49">
        <v>7372.3760000000002</v>
      </c>
      <c r="BU11" s="49">
        <v>50.305</v>
      </c>
      <c r="BV11" s="49">
        <v>54.61</v>
      </c>
      <c r="BW11" s="49">
        <v>55.764000000000003</v>
      </c>
      <c r="BX11" s="49">
        <v>56.128</v>
      </c>
      <c r="BY11" s="49">
        <v>1.4430000000000001</v>
      </c>
      <c r="BZ11" s="49">
        <v>3.0329999999999999</v>
      </c>
      <c r="CA11" s="49">
        <v>3.5870000000000002</v>
      </c>
      <c r="CB11" s="49">
        <v>3.4769999999999999</v>
      </c>
      <c r="CC11" s="49">
        <v>1.1200000000000001</v>
      </c>
      <c r="CD11" s="49">
        <v>2.4079999999999999</v>
      </c>
      <c r="CE11" s="49">
        <v>1.26</v>
      </c>
      <c r="CF11" s="49">
        <v>2.109</v>
      </c>
      <c r="CG11" s="49">
        <v>13.929</v>
      </c>
      <c r="CH11" s="49">
        <v>13.787000000000001</v>
      </c>
      <c r="CI11" s="49">
        <v>3.5209999999999999</v>
      </c>
      <c r="CJ11" s="49">
        <v>3.3</v>
      </c>
      <c r="CK11" s="49">
        <v>1.19</v>
      </c>
      <c r="CL11" s="50">
        <v>0.5</v>
      </c>
      <c r="CM11" s="50">
        <v>1.3</v>
      </c>
      <c r="CN11" s="49">
        <v>0</v>
      </c>
      <c r="CO11" s="49">
        <v>0</v>
      </c>
      <c r="CP11" s="49">
        <v>103.941</v>
      </c>
      <c r="CQ11" s="49">
        <v>101.919</v>
      </c>
      <c r="CR11" s="50">
        <v>131.38999999999999</v>
      </c>
      <c r="CS11" s="50">
        <v>135.20500000000001</v>
      </c>
      <c r="CT11" s="49">
        <v>0.28399999999999997</v>
      </c>
      <c r="CU11" s="49">
        <v>1.302</v>
      </c>
      <c r="CV11" s="49">
        <v>1.194</v>
      </c>
      <c r="CW11" s="49">
        <v>1.399</v>
      </c>
      <c r="CX11" s="49">
        <v>0.89800000000000002</v>
      </c>
      <c r="CY11" s="49">
        <v>0.59899999999999998</v>
      </c>
      <c r="CZ11" s="49">
        <v>0.89700000000000002</v>
      </c>
      <c r="DA11" s="49">
        <v>0.60199999999999998</v>
      </c>
      <c r="DB11" s="49">
        <v>1.8049999999999999</v>
      </c>
      <c r="DC11" s="49">
        <v>0</v>
      </c>
      <c r="DD11" s="50">
        <v>0</v>
      </c>
      <c r="DE11" s="49">
        <v>0.33500000000000002</v>
      </c>
      <c r="DF11" s="50">
        <v>0.17100000000000001</v>
      </c>
      <c r="DG11" s="50">
        <v>1.0920000000000001</v>
      </c>
      <c r="DH11" s="50">
        <v>2.2989999999999999</v>
      </c>
      <c r="DI11" s="49">
        <v>1.3</v>
      </c>
      <c r="DJ11" s="49">
        <v>0.308</v>
      </c>
      <c r="DK11" s="50">
        <v>1.3839999999999999</v>
      </c>
      <c r="DL11" s="49">
        <v>0.40500000000000003</v>
      </c>
      <c r="DM11" s="49">
        <v>0.40600000000000003</v>
      </c>
      <c r="DN11" s="49">
        <v>0.219</v>
      </c>
      <c r="DO11" s="49">
        <v>0.28000000000000003</v>
      </c>
      <c r="DP11" s="50">
        <v>67.138000000000005</v>
      </c>
      <c r="DQ11" s="49">
        <v>56.906999999999996</v>
      </c>
      <c r="DR11" s="50">
        <v>53.741999999999997</v>
      </c>
      <c r="DS11" s="49">
        <v>51.511000000000003</v>
      </c>
      <c r="DT11" s="50">
        <v>7.32</v>
      </c>
      <c r="DU11" s="50">
        <v>6.96</v>
      </c>
      <c r="DV11" s="50">
        <v>13.5</v>
      </c>
      <c r="DW11" s="50">
        <v>11.09</v>
      </c>
      <c r="DX11" s="50">
        <v>7.64</v>
      </c>
      <c r="DY11" s="50">
        <v>7.13</v>
      </c>
      <c r="DZ11" s="50">
        <v>13.14</v>
      </c>
      <c r="EA11" s="50">
        <v>11.03</v>
      </c>
      <c r="EB11" s="49">
        <v>41.59</v>
      </c>
      <c r="EC11" s="49">
        <v>40.76</v>
      </c>
      <c r="ED11" s="49">
        <v>32.549999999999997</v>
      </c>
      <c r="EE11" s="49">
        <v>34.93</v>
      </c>
      <c r="EF11" s="49">
        <v>43.45</v>
      </c>
      <c r="EG11" s="49">
        <v>45.15</v>
      </c>
      <c r="EH11" s="49">
        <v>40.81</v>
      </c>
      <c r="EI11" s="49">
        <v>42.95</v>
      </c>
      <c r="EJ11" s="49">
        <v>7.0919999999999996</v>
      </c>
      <c r="EK11" s="49">
        <v>59.720999999999997</v>
      </c>
      <c r="EL11" s="49">
        <v>2.0499999999999998</v>
      </c>
      <c r="EM11" s="49">
        <v>1.65</v>
      </c>
      <c r="EN11" s="49">
        <v>1.19</v>
      </c>
      <c r="EO11" s="49">
        <v>1.2</v>
      </c>
      <c r="EP11" s="49">
        <v>-102.718</v>
      </c>
      <c r="EQ11" s="49">
        <v>-3.089</v>
      </c>
      <c r="ER11" s="49">
        <v>116.282</v>
      </c>
      <c r="ES11" s="49">
        <v>1.494</v>
      </c>
      <c r="ET11" s="50">
        <v>1.6439999999999999</v>
      </c>
      <c r="EU11" s="49">
        <v>1.4570000000000001</v>
      </c>
      <c r="EV11" s="49">
        <v>7.5679999999999996</v>
      </c>
      <c r="EW11" s="49">
        <v>2.351</v>
      </c>
      <c r="EX11" s="49">
        <v>74.900000000000006</v>
      </c>
      <c r="EY11" s="49">
        <v>0</v>
      </c>
      <c r="EZ11" s="49">
        <v>0</v>
      </c>
      <c r="FA11" s="50">
        <v>0</v>
      </c>
      <c r="FB11" s="49">
        <v>9.1630000000000003</v>
      </c>
      <c r="FC11" s="50">
        <v>75.070999999999998</v>
      </c>
      <c r="FD11" s="50">
        <v>70.974000000000004</v>
      </c>
      <c r="FE11" s="49">
        <v>85.331999999999994</v>
      </c>
      <c r="FF11" s="50">
        <v>84.236999999999995</v>
      </c>
      <c r="FG11" s="49">
        <v>0.93200000000000005</v>
      </c>
      <c r="FH11" s="49">
        <v>0.93300000000000005</v>
      </c>
      <c r="FI11" s="49">
        <v>0.98699999999999999</v>
      </c>
      <c r="FJ11" s="49">
        <v>0.99299999999999999</v>
      </c>
      <c r="FK11" s="49">
        <v>0</v>
      </c>
      <c r="FL11" s="49">
        <v>83</v>
      </c>
      <c r="FM11" s="49">
        <v>3.58</v>
      </c>
      <c r="FN11" s="49">
        <v>-0.28000000000000003</v>
      </c>
      <c r="FO11" s="49">
        <v>5.44</v>
      </c>
      <c r="FP11" s="3"/>
      <c r="FQ11" s="49">
        <v>4.5999999999999996</v>
      </c>
      <c r="FR11" s="50">
        <v>5</v>
      </c>
      <c r="FS11" s="49">
        <v>6.7095000000000002</v>
      </c>
      <c r="FT11" s="49">
        <v>1073.7</v>
      </c>
      <c r="FU11" s="49">
        <v>6.77</v>
      </c>
      <c r="FV11" s="49">
        <v>29.05</v>
      </c>
      <c r="FW11" s="49">
        <v>3055.5</v>
      </c>
      <c r="FX11" s="49">
        <v>165000</v>
      </c>
      <c r="FY11" s="49">
        <v>166300</v>
      </c>
      <c r="FZ11" s="49">
        <v>48.308</v>
      </c>
      <c r="GA11" s="49">
        <v>47.360999999999997</v>
      </c>
      <c r="GB11" s="49">
        <v>2166.8000000000002</v>
      </c>
      <c r="GC11" s="49">
        <v>2177.1999999999998</v>
      </c>
      <c r="GD11" s="49">
        <v>2213.6999999999998</v>
      </c>
      <c r="GE11" s="49">
        <v>2219.6</v>
      </c>
      <c r="GF11" s="49">
        <v>1415.1719000000001</v>
      </c>
      <c r="GG11" s="49">
        <v>28</v>
      </c>
      <c r="GH11" s="49">
        <v>28.2</v>
      </c>
      <c r="GI11" s="49">
        <v>47.6</v>
      </c>
      <c r="GJ11" s="49">
        <v>52.8</v>
      </c>
      <c r="GK11" s="49">
        <v>99.5</v>
      </c>
      <c r="GL11" s="49">
        <v>78.8</v>
      </c>
      <c r="GM11" s="50">
        <v>0</v>
      </c>
      <c r="GN11" s="49">
        <v>26.798999999999999</v>
      </c>
      <c r="GO11" s="49">
        <v>116.282</v>
      </c>
      <c r="GP11" s="49">
        <v>0.53100000000000003</v>
      </c>
      <c r="GQ11" s="49">
        <v>1.9470000000000001</v>
      </c>
      <c r="GR11" s="49">
        <v>1.298</v>
      </c>
      <c r="GS11" s="49">
        <v>2.0059999999999998</v>
      </c>
      <c r="GT11" s="49">
        <v>0.76700000000000002</v>
      </c>
      <c r="GU11" s="49">
        <v>1.8879999999999999</v>
      </c>
      <c r="GV11" s="49">
        <v>12.936</v>
      </c>
      <c r="GW11" s="49">
        <v>13.977</v>
      </c>
      <c r="GX11" s="49">
        <v>15.582000000000001</v>
      </c>
      <c r="GY11" s="50">
        <v>0</v>
      </c>
      <c r="GZ11" s="50">
        <v>0</v>
      </c>
      <c r="HA11" s="50">
        <v>0</v>
      </c>
      <c r="HB11" s="49">
        <v>0</v>
      </c>
      <c r="HC11" s="49">
        <v>23.696000000000002</v>
      </c>
      <c r="HD11" s="49">
        <v>82</v>
      </c>
      <c r="HE11" s="50">
        <v>0</v>
      </c>
      <c r="HF11" s="50">
        <v>0</v>
      </c>
      <c r="HG11" s="49">
        <v>86.15</v>
      </c>
      <c r="HH11" s="50">
        <v>83.98</v>
      </c>
      <c r="HI11" s="50">
        <v>0</v>
      </c>
      <c r="HJ11" s="50">
        <v>0</v>
      </c>
      <c r="HK11" s="50">
        <v>0</v>
      </c>
      <c r="HL11" s="49">
        <v>63</v>
      </c>
      <c r="HM11" s="49">
        <v>55</v>
      </c>
      <c r="HN11" s="49">
        <v>69</v>
      </c>
      <c r="HO11" s="49">
        <v>63</v>
      </c>
      <c r="HP11" s="49">
        <v>66</v>
      </c>
      <c r="HQ11" s="50">
        <v>64</v>
      </c>
      <c r="HR11" s="50">
        <v>55</v>
      </c>
      <c r="HS11" s="50">
        <v>70</v>
      </c>
      <c r="HT11" s="49">
        <v>-1.2985</v>
      </c>
      <c r="HU11" s="50">
        <v>0</v>
      </c>
      <c r="HV11" s="50">
        <v>0.63500000000000001</v>
      </c>
      <c r="HW11" s="49">
        <v>37.47</v>
      </c>
      <c r="HX11" s="49">
        <v>48.05</v>
      </c>
      <c r="HY11" s="49">
        <v>52.53</v>
      </c>
      <c r="HZ11" s="49">
        <v>64.239999999999995</v>
      </c>
      <c r="IA11" s="50">
        <v>2.794</v>
      </c>
      <c r="IB11" s="50">
        <v>104</v>
      </c>
      <c r="IC11" s="50">
        <v>22.606000000000002</v>
      </c>
      <c r="ID11" s="49">
        <v>-0.30399999999999999</v>
      </c>
      <c r="IE11" s="49">
        <v>-0.11700000000000001</v>
      </c>
      <c r="IF11" s="49">
        <v>819.1</v>
      </c>
      <c r="IG11" s="50">
        <v>774.2</v>
      </c>
      <c r="IH11" s="50">
        <v>831.6</v>
      </c>
      <c r="II11" s="50">
        <v>787.8</v>
      </c>
      <c r="IJ11" s="49">
        <v>-0.124</v>
      </c>
      <c r="IK11" s="49">
        <v>-0.23499999999999999</v>
      </c>
      <c r="IL11" s="49">
        <v>71.751999999999995</v>
      </c>
      <c r="IM11" s="49">
        <v>71.751999999999995</v>
      </c>
      <c r="IN11" s="49">
        <v>13.831</v>
      </c>
      <c r="IO11" s="49">
        <v>0.60299999999999998</v>
      </c>
      <c r="IP11" s="49">
        <v>10.3</v>
      </c>
      <c r="IQ11" s="50">
        <v>1.2999999999999999E-2</v>
      </c>
      <c r="IR11" s="49">
        <v>8.0000000000000002E-3</v>
      </c>
    </row>
    <row r="12" spans="2:252" ht="15" customHeight="1" x14ac:dyDescent="0.25">
      <c r="B12" s="2" t="s">
        <v>412</v>
      </c>
      <c r="C12" s="2" t="s">
        <v>46</v>
      </c>
      <c r="D12" s="61">
        <v>2.9023148148148146E-3</v>
      </c>
      <c r="E12" s="49">
        <v>250.76300000000001</v>
      </c>
      <c r="F12" s="49">
        <v>328.49</v>
      </c>
      <c r="G12" s="49">
        <v>5.47</v>
      </c>
      <c r="H12" s="50">
        <v>29.5</v>
      </c>
      <c r="I12" s="49">
        <v>0</v>
      </c>
      <c r="J12" s="49">
        <v>17</v>
      </c>
      <c r="K12" s="50">
        <v>10</v>
      </c>
      <c r="L12" s="50">
        <v>4</v>
      </c>
      <c r="M12" s="50">
        <v>6</v>
      </c>
      <c r="N12" s="50">
        <v>3</v>
      </c>
      <c r="O12" s="50">
        <v>3</v>
      </c>
      <c r="P12" s="49">
        <v>0.70299999999999996</v>
      </c>
      <c r="Q12" s="49">
        <v>1.123</v>
      </c>
      <c r="R12" s="49">
        <v>0.66100000000000003</v>
      </c>
      <c r="S12" s="49">
        <v>0.39600000000000002</v>
      </c>
      <c r="T12" s="49">
        <v>85.58</v>
      </c>
      <c r="U12" s="50">
        <v>61.289000000000001</v>
      </c>
      <c r="V12" s="49">
        <v>220</v>
      </c>
      <c r="W12" s="49">
        <v>220</v>
      </c>
      <c r="X12" s="49">
        <v>170</v>
      </c>
      <c r="Y12" s="49">
        <v>208.34</v>
      </c>
      <c r="Z12" s="49">
        <v>377.97</v>
      </c>
      <c r="AA12" s="49">
        <v>372.17</v>
      </c>
      <c r="AB12" s="49">
        <v>283.95</v>
      </c>
      <c r="AC12" s="49">
        <v>342.5</v>
      </c>
      <c r="AD12" s="49">
        <v>1.81</v>
      </c>
      <c r="AE12" s="49">
        <v>1.881</v>
      </c>
      <c r="AF12" s="49">
        <v>1.8129999999999999</v>
      </c>
      <c r="AG12" s="49">
        <v>1.8480000000000001</v>
      </c>
      <c r="AH12" s="49">
        <v>81.38</v>
      </c>
      <c r="AI12" s="49">
        <v>78.959999999999994</v>
      </c>
      <c r="AJ12" s="49">
        <v>106.26</v>
      </c>
      <c r="AK12" s="49">
        <v>103.76</v>
      </c>
      <c r="AL12" s="49">
        <v>559.88699999999994</v>
      </c>
      <c r="AM12" s="49">
        <v>620.41099999999994</v>
      </c>
      <c r="AN12" s="49">
        <v>736.952</v>
      </c>
      <c r="AO12" s="49">
        <v>702.19799999999998</v>
      </c>
      <c r="AP12" s="49">
        <v>1.373</v>
      </c>
      <c r="AQ12" s="49">
        <v>1.825</v>
      </c>
      <c r="AR12" s="49">
        <v>40.241</v>
      </c>
      <c r="AS12" s="49">
        <v>38.417000000000002</v>
      </c>
      <c r="AT12" s="49">
        <v>83</v>
      </c>
      <c r="AU12" s="50">
        <v>120</v>
      </c>
      <c r="AV12" s="49">
        <v>2.3955000000000002</v>
      </c>
      <c r="AW12" s="49">
        <v>5.1161000000000003</v>
      </c>
      <c r="AX12" s="49">
        <v>1015.7</v>
      </c>
      <c r="AY12" s="49">
        <v>2.2999999999999998</v>
      </c>
      <c r="AZ12" s="49">
        <v>5.85</v>
      </c>
      <c r="BA12" s="49">
        <v>141.44999999999999</v>
      </c>
      <c r="BB12" s="49">
        <v>140.816</v>
      </c>
      <c r="BC12" s="49">
        <v>7654</v>
      </c>
      <c r="BD12" s="50">
        <v>90.25</v>
      </c>
      <c r="BE12" s="49">
        <v>14.13</v>
      </c>
      <c r="BF12" s="49">
        <v>12.53</v>
      </c>
      <c r="BG12" s="49">
        <v>28.71</v>
      </c>
      <c r="BH12" s="49">
        <v>27.29</v>
      </c>
      <c r="BI12" s="50">
        <v>65.572000000000003</v>
      </c>
      <c r="BJ12" s="50">
        <v>81.207999999999998</v>
      </c>
      <c r="BK12" s="50">
        <v>63.918999999999997</v>
      </c>
      <c r="BL12" s="50">
        <v>78.227000000000004</v>
      </c>
      <c r="BM12" s="50">
        <v>79.188999999999993</v>
      </c>
      <c r="BN12" s="49">
        <v>112.904</v>
      </c>
      <c r="BO12" s="49">
        <v>109.544</v>
      </c>
      <c r="BP12" s="50">
        <v>138.87200000000001</v>
      </c>
      <c r="BQ12" s="50">
        <v>140.87200000000001</v>
      </c>
      <c r="BR12" s="50">
        <v>61.343000000000004</v>
      </c>
      <c r="BS12" s="50">
        <v>29.2</v>
      </c>
      <c r="BT12" s="49">
        <v>7344.4459999999999</v>
      </c>
      <c r="BU12" s="49">
        <v>48.664000000000001</v>
      </c>
      <c r="BV12" s="49">
        <v>53.997999999999998</v>
      </c>
      <c r="BW12" s="50">
        <v>56.259</v>
      </c>
      <c r="BX12" s="50">
        <v>56.875</v>
      </c>
      <c r="BY12" s="49">
        <v>1.371</v>
      </c>
      <c r="BZ12" s="49">
        <v>3.17</v>
      </c>
      <c r="CA12" s="49">
        <v>2.9119999999999999</v>
      </c>
      <c r="CB12" s="49">
        <v>2.9039999999999999</v>
      </c>
      <c r="CC12" s="49">
        <v>0.84099999999999997</v>
      </c>
      <c r="CD12" s="50">
        <v>2.7970000000000002</v>
      </c>
      <c r="CE12" s="49">
        <v>1.3149999999999999</v>
      </c>
      <c r="CF12" s="49">
        <v>1.978</v>
      </c>
      <c r="CG12" s="50">
        <v>13.943</v>
      </c>
      <c r="CH12" s="49">
        <v>13.635999999999999</v>
      </c>
      <c r="CI12" s="3"/>
      <c r="CJ12" s="3"/>
      <c r="CK12" s="3"/>
      <c r="CL12" s="49">
        <v>0.2</v>
      </c>
      <c r="CM12" s="49">
        <v>1.1000000000000001</v>
      </c>
      <c r="CN12" s="49">
        <v>0.1</v>
      </c>
      <c r="CO12" s="49">
        <v>0.1</v>
      </c>
      <c r="CP12" s="49">
        <v>103.35599999999999</v>
      </c>
      <c r="CQ12" s="49">
        <v>100.428</v>
      </c>
      <c r="CR12" s="49">
        <v>130.00299999999999</v>
      </c>
      <c r="CS12" s="49">
        <v>131.92099999999999</v>
      </c>
      <c r="CT12" s="49">
        <v>0.246</v>
      </c>
      <c r="CU12" s="50">
        <v>4.2009999999999996</v>
      </c>
      <c r="CV12" s="50">
        <v>4.5960000000000001</v>
      </c>
      <c r="CW12" s="50">
        <v>4.4989999999999997</v>
      </c>
      <c r="CX12" s="50">
        <v>4.5990000000000002</v>
      </c>
      <c r="CY12" s="50">
        <v>4.4009999999999998</v>
      </c>
      <c r="CZ12" s="50">
        <v>4.5990000000000002</v>
      </c>
      <c r="DA12" s="50">
        <v>3.899</v>
      </c>
      <c r="DB12" s="50">
        <v>4.601</v>
      </c>
      <c r="DC12" s="49">
        <v>0</v>
      </c>
      <c r="DD12" s="50">
        <v>0</v>
      </c>
      <c r="DE12" s="49">
        <v>0.21099999999999999</v>
      </c>
      <c r="DF12" s="49">
        <v>5.0999999999999997E-2</v>
      </c>
      <c r="DG12" s="49">
        <v>0.36199999999999999</v>
      </c>
      <c r="DH12" s="49">
        <v>1.482</v>
      </c>
      <c r="DI12" s="49">
        <v>0.999</v>
      </c>
      <c r="DJ12" s="49">
        <v>0.26700000000000002</v>
      </c>
      <c r="DK12" s="49">
        <v>0.83899999999999997</v>
      </c>
      <c r="DL12" s="50">
        <v>0.41299999999999998</v>
      </c>
      <c r="DM12" s="50">
        <v>0.53900000000000003</v>
      </c>
      <c r="DN12" s="49">
        <v>0.378</v>
      </c>
      <c r="DO12" s="50">
        <v>0.43</v>
      </c>
      <c r="DP12" s="49">
        <v>67.022999999999996</v>
      </c>
      <c r="DQ12" s="50">
        <v>63.991999999999997</v>
      </c>
      <c r="DR12" s="49">
        <v>51.776000000000003</v>
      </c>
      <c r="DS12" s="50">
        <v>53.356000000000002</v>
      </c>
      <c r="DT12" s="49">
        <v>4.57</v>
      </c>
      <c r="DU12" s="49">
        <v>5.2</v>
      </c>
      <c r="DV12" s="49">
        <v>9.93</v>
      </c>
      <c r="DW12" s="49">
        <v>8.26</v>
      </c>
      <c r="DX12" s="49">
        <v>4.8099999999999996</v>
      </c>
      <c r="DY12" s="49">
        <v>5.33</v>
      </c>
      <c r="DZ12" s="49">
        <v>9.44</v>
      </c>
      <c r="EA12" s="49">
        <v>8.06</v>
      </c>
      <c r="EB12" s="50">
        <v>43.41</v>
      </c>
      <c r="EC12" s="49">
        <v>41.69</v>
      </c>
      <c r="ED12" s="50">
        <v>34.840000000000003</v>
      </c>
      <c r="EE12" s="50">
        <v>36.29</v>
      </c>
      <c r="EF12" s="49">
        <v>47.19</v>
      </c>
      <c r="EG12" s="49">
        <v>47.77</v>
      </c>
      <c r="EH12" s="49">
        <v>45.78</v>
      </c>
      <c r="EI12" s="49">
        <v>47.38</v>
      </c>
      <c r="EJ12" s="50">
        <v>7.3179999999999996</v>
      </c>
      <c r="EK12" s="49">
        <v>59.45</v>
      </c>
      <c r="EL12" s="49">
        <v>2.1</v>
      </c>
      <c r="EM12" s="50">
        <v>1.55</v>
      </c>
      <c r="EN12" s="49">
        <v>1.19</v>
      </c>
      <c r="EO12" s="49">
        <v>1.19</v>
      </c>
      <c r="EP12" s="49">
        <v>-100.38200000000001</v>
      </c>
      <c r="EQ12" s="49">
        <v>-2.2130000000000001</v>
      </c>
      <c r="ER12" s="49">
        <v>97.885999999999996</v>
      </c>
      <c r="ES12" s="49">
        <v>1.524</v>
      </c>
      <c r="ET12" s="49">
        <v>1.629</v>
      </c>
      <c r="EU12" s="49">
        <v>1.4690000000000001</v>
      </c>
      <c r="EV12" s="49">
        <v>7.7619999999999996</v>
      </c>
      <c r="EW12" s="49">
        <v>2.3940000000000001</v>
      </c>
      <c r="EX12" s="49">
        <v>66.86</v>
      </c>
      <c r="EY12" s="49">
        <v>0.12</v>
      </c>
      <c r="EZ12" s="49">
        <v>0</v>
      </c>
      <c r="FA12" s="50">
        <v>0</v>
      </c>
      <c r="FB12" s="49">
        <v>9.1560000000000006</v>
      </c>
      <c r="FC12" s="49">
        <v>74.718999999999994</v>
      </c>
      <c r="FD12" s="49">
        <v>70.837000000000003</v>
      </c>
      <c r="FE12" s="50">
        <v>85.495000000000005</v>
      </c>
      <c r="FF12" s="49">
        <v>84.158000000000001</v>
      </c>
      <c r="FG12" s="49">
        <v>0.94</v>
      </c>
      <c r="FH12" s="49">
        <v>0.93899999999999995</v>
      </c>
      <c r="FI12" s="49">
        <v>0.995</v>
      </c>
      <c r="FJ12" s="50">
        <v>1.0009999999999999</v>
      </c>
      <c r="FK12" s="49">
        <v>0</v>
      </c>
      <c r="FL12" s="49">
        <v>83</v>
      </c>
      <c r="FM12" s="49">
        <v>3.53</v>
      </c>
      <c r="FN12" s="49">
        <v>-0.72</v>
      </c>
      <c r="FO12" s="49">
        <v>5.38</v>
      </c>
      <c r="FP12" s="50">
        <v>3.8</v>
      </c>
      <c r="FQ12" s="49">
        <v>4.55</v>
      </c>
      <c r="FR12" s="49">
        <v>5.05</v>
      </c>
      <c r="FS12" s="49">
        <v>6.6835000000000004</v>
      </c>
      <c r="FT12" s="49">
        <v>1079.8</v>
      </c>
      <c r="FU12" s="49">
        <v>6.83</v>
      </c>
      <c r="FV12" s="50">
        <v>34.53</v>
      </c>
      <c r="FW12" s="49">
        <v>3067.5</v>
      </c>
      <c r="FX12" s="49">
        <v>162600</v>
      </c>
      <c r="FY12" s="49">
        <v>162900</v>
      </c>
      <c r="FZ12" s="49">
        <v>48.499000000000002</v>
      </c>
      <c r="GA12" s="49">
        <v>47.616</v>
      </c>
      <c r="GB12" s="49">
        <v>2189.4</v>
      </c>
      <c r="GC12" s="49">
        <v>2163.3000000000002</v>
      </c>
      <c r="GD12" s="49">
        <v>2223.3000000000002</v>
      </c>
      <c r="GE12" s="49">
        <v>2225.1</v>
      </c>
      <c r="GF12" s="49">
        <v>1242.5780999999999</v>
      </c>
      <c r="GG12" s="49">
        <v>29</v>
      </c>
      <c r="GH12" s="49">
        <v>29</v>
      </c>
      <c r="GI12" s="49">
        <v>47.9</v>
      </c>
      <c r="GJ12" s="49">
        <v>53.3</v>
      </c>
      <c r="GK12" s="49">
        <v>99.5</v>
      </c>
      <c r="GL12" s="49">
        <v>76.8</v>
      </c>
      <c r="GM12" s="50">
        <v>0</v>
      </c>
      <c r="GN12" s="50">
        <v>27.315999999999999</v>
      </c>
      <c r="GO12" s="49">
        <v>100.38200000000001</v>
      </c>
      <c r="GP12" s="50">
        <v>0</v>
      </c>
      <c r="GQ12" s="49">
        <v>1.9470000000000001</v>
      </c>
      <c r="GR12" s="50">
        <v>0</v>
      </c>
      <c r="GS12" s="49">
        <v>2.0059999999999998</v>
      </c>
      <c r="GT12" s="50">
        <v>0</v>
      </c>
      <c r="GU12" s="49">
        <v>1.8879999999999999</v>
      </c>
      <c r="GV12" s="50">
        <v>0</v>
      </c>
      <c r="GW12" s="49">
        <v>13.827</v>
      </c>
      <c r="GX12" s="49">
        <v>15.19</v>
      </c>
      <c r="GY12" s="50">
        <v>0</v>
      </c>
      <c r="GZ12" s="50">
        <v>0</v>
      </c>
      <c r="HA12" s="50">
        <v>0</v>
      </c>
      <c r="HB12" s="49">
        <v>0</v>
      </c>
      <c r="HC12" s="49">
        <v>23.64</v>
      </c>
      <c r="HD12" s="49">
        <v>86</v>
      </c>
      <c r="HE12" s="50">
        <v>0</v>
      </c>
      <c r="HF12" s="50">
        <v>0</v>
      </c>
      <c r="HG12" s="49">
        <v>72.27</v>
      </c>
      <c r="HH12" s="49">
        <v>82.39</v>
      </c>
      <c r="HI12" s="50">
        <v>0</v>
      </c>
      <c r="HJ12" s="50">
        <v>0</v>
      </c>
      <c r="HK12" s="50">
        <v>0</v>
      </c>
      <c r="HL12" s="49">
        <v>63</v>
      </c>
      <c r="HM12" s="49">
        <v>55</v>
      </c>
      <c r="HN12" s="50">
        <v>70</v>
      </c>
      <c r="HO12" s="50">
        <v>64</v>
      </c>
      <c r="HP12" s="50">
        <v>67</v>
      </c>
      <c r="HQ12" s="50">
        <v>64</v>
      </c>
      <c r="HR12" s="50">
        <v>55</v>
      </c>
      <c r="HS12" s="49">
        <v>64</v>
      </c>
      <c r="HT12" s="49">
        <v>-1.2865</v>
      </c>
      <c r="HU12" s="50">
        <v>0</v>
      </c>
      <c r="HV12" s="49">
        <v>-0.13700000000000001</v>
      </c>
      <c r="HW12" s="49">
        <v>37.47</v>
      </c>
      <c r="HX12" s="49">
        <v>50.91</v>
      </c>
      <c r="HY12" s="3"/>
      <c r="HZ12" s="3"/>
      <c r="IA12" s="49">
        <v>2.661</v>
      </c>
      <c r="IB12" s="50">
        <v>104</v>
      </c>
      <c r="IC12" s="49">
        <v>22.239000000000001</v>
      </c>
      <c r="ID12" s="49">
        <v>-0.191</v>
      </c>
      <c r="IE12" s="49">
        <v>-7.5999999999999998E-2</v>
      </c>
      <c r="IF12" s="50">
        <v>839.9</v>
      </c>
      <c r="IG12" s="49">
        <v>761</v>
      </c>
      <c r="IH12" s="49">
        <v>831.5</v>
      </c>
      <c r="II12" s="49">
        <v>776.9</v>
      </c>
      <c r="IJ12" s="49">
        <v>-5.3999999999999999E-2</v>
      </c>
      <c r="IK12" s="50">
        <v>-0.11899999999999999</v>
      </c>
      <c r="IL12" s="49">
        <v>80.736000000000004</v>
      </c>
      <c r="IM12" s="49">
        <v>80.736000000000004</v>
      </c>
      <c r="IN12" s="50">
        <v>16.419</v>
      </c>
      <c r="IO12" s="49">
        <v>0.496</v>
      </c>
      <c r="IP12" s="49">
        <v>10.210000000000001</v>
      </c>
      <c r="IQ12" s="49">
        <v>0</v>
      </c>
      <c r="IR12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72D-9A0C-484F-8EE6-BEEA190B0218}">
  <sheetPr codeName="Sheet18"/>
  <dimension ref="B1:IR10"/>
  <sheetViews>
    <sheetView zoomScale="70" zoomScaleNormal="70" workbookViewId="0">
      <selection activeCell="D11" sqref="D11"/>
    </sheetView>
  </sheetViews>
  <sheetFormatPr defaultRowHeight="15" x14ac:dyDescent="0.25"/>
  <cols>
    <col min="4" max="4" width="10.5703125" bestFit="1" customWidth="1"/>
  </cols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420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1.7211805555555557E-2</v>
      </c>
      <c r="E7" s="50">
        <v>1487.1030000000001</v>
      </c>
      <c r="F7" s="49">
        <v>328.85</v>
      </c>
      <c r="G7" s="49">
        <v>5.71</v>
      </c>
      <c r="H7" s="50">
        <v>29</v>
      </c>
      <c r="I7" s="50">
        <v>0</v>
      </c>
      <c r="J7" s="50">
        <v>1267.5999999999999</v>
      </c>
      <c r="K7" s="50">
        <v>11</v>
      </c>
      <c r="L7" s="49">
        <v>6</v>
      </c>
      <c r="M7" s="50">
        <v>6</v>
      </c>
      <c r="N7" s="50">
        <v>3</v>
      </c>
      <c r="O7" s="50">
        <v>3</v>
      </c>
      <c r="P7" s="49">
        <v>0.77200000000000002</v>
      </c>
      <c r="Q7" s="49">
        <v>1.1739999999999999</v>
      </c>
      <c r="R7" s="49">
        <v>0.82799999999999996</v>
      </c>
      <c r="S7" s="49">
        <v>0.64</v>
      </c>
      <c r="T7" s="49">
        <v>67.56</v>
      </c>
      <c r="U7" s="50">
        <v>61.539000000000001</v>
      </c>
      <c r="V7" s="49">
        <v>105</v>
      </c>
      <c r="W7" s="49">
        <v>70</v>
      </c>
      <c r="X7" s="50">
        <v>90</v>
      </c>
      <c r="Y7" s="50">
        <v>90</v>
      </c>
      <c r="Z7" s="49">
        <v>176.15</v>
      </c>
      <c r="AA7" s="49">
        <v>170.75</v>
      </c>
      <c r="AB7" s="49">
        <v>131.61000000000001</v>
      </c>
      <c r="AC7" s="49">
        <v>148.04</v>
      </c>
      <c r="AD7" s="49">
        <v>1.78</v>
      </c>
      <c r="AE7" s="50">
        <v>1.8580000000000001</v>
      </c>
      <c r="AF7" s="49">
        <v>1.6830000000000001</v>
      </c>
      <c r="AG7" s="49">
        <v>1.7310000000000001</v>
      </c>
      <c r="AH7" s="49">
        <v>68.14</v>
      </c>
      <c r="AI7" s="49">
        <v>66.23</v>
      </c>
      <c r="AJ7" s="49">
        <v>84.1</v>
      </c>
      <c r="AK7" s="49">
        <v>83.15</v>
      </c>
      <c r="AL7" s="49">
        <v>601.15200000000004</v>
      </c>
      <c r="AM7" s="49">
        <v>632.79899999999998</v>
      </c>
      <c r="AN7" s="49">
        <v>700.28800000000001</v>
      </c>
      <c r="AO7" s="49">
        <v>658.01800000000003</v>
      </c>
      <c r="AP7" s="50">
        <v>1.401</v>
      </c>
      <c r="AQ7" s="49">
        <v>1.87</v>
      </c>
      <c r="AR7" s="49">
        <v>39.156999999999996</v>
      </c>
      <c r="AS7" s="49">
        <v>39.389000000000003</v>
      </c>
      <c r="AT7" s="50">
        <v>85</v>
      </c>
      <c r="AU7" s="49">
        <v>109</v>
      </c>
      <c r="AV7" s="49">
        <v>2.1644999999999999</v>
      </c>
      <c r="AW7" s="49">
        <v>4.3868</v>
      </c>
      <c r="AX7" s="50">
        <v>1028.5</v>
      </c>
      <c r="AY7" s="50">
        <v>2.34</v>
      </c>
      <c r="AZ7" s="49">
        <v>5.7</v>
      </c>
      <c r="BA7" s="50">
        <v>66.900000000000006</v>
      </c>
      <c r="BB7" s="50">
        <v>67</v>
      </c>
      <c r="BC7" s="50">
        <v>7857</v>
      </c>
      <c r="BD7" s="49">
        <v>89.25</v>
      </c>
      <c r="BE7" s="49">
        <v>13.93</v>
      </c>
      <c r="BF7" s="49">
        <v>12.98</v>
      </c>
      <c r="BG7" s="49">
        <v>26.68</v>
      </c>
      <c r="BH7" s="49">
        <v>26.49</v>
      </c>
      <c r="BI7" s="50">
        <v>65.542000000000002</v>
      </c>
      <c r="BJ7" s="49">
        <v>82.534000000000006</v>
      </c>
      <c r="BK7" s="50">
        <v>63.746000000000002</v>
      </c>
      <c r="BL7" s="49">
        <v>79.683999999999997</v>
      </c>
      <c r="BM7" s="49">
        <v>79.951999999999998</v>
      </c>
      <c r="BN7" s="50">
        <v>130.71199999999999</v>
      </c>
      <c r="BO7" s="50">
        <v>124.98399999999999</v>
      </c>
      <c r="BP7" s="49">
        <v>120.47199999999999</v>
      </c>
      <c r="BQ7" s="49">
        <v>125.896</v>
      </c>
      <c r="BR7" s="49">
        <v>58.904000000000003</v>
      </c>
      <c r="BS7" s="49">
        <v>25.9</v>
      </c>
      <c r="BT7" s="49">
        <v>7161.17</v>
      </c>
      <c r="BU7" s="49">
        <v>26.334</v>
      </c>
      <c r="BV7" s="50">
        <v>54.689</v>
      </c>
      <c r="BW7" s="49">
        <v>55.436999999999998</v>
      </c>
      <c r="BX7" s="50">
        <v>56.747</v>
      </c>
      <c r="BY7" s="49">
        <v>1.35</v>
      </c>
      <c r="BZ7" s="49">
        <v>2.5870000000000002</v>
      </c>
      <c r="CA7" s="50">
        <v>3.706</v>
      </c>
      <c r="CB7" s="49">
        <v>2.7010000000000001</v>
      </c>
      <c r="CC7" s="50">
        <v>0.99399999999999999</v>
      </c>
      <c r="CD7" s="49">
        <v>2.2919999999999998</v>
      </c>
      <c r="CE7" s="50">
        <v>1.3759999999999999</v>
      </c>
      <c r="CF7" s="50">
        <v>2.1739999999999999</v>
      </c>
      <c r="CG7" s="49">
        <v>13.856999999999999</v>
      </c>
      <c r="CH7" s="50">
        <v>10.138999999999999</v>
      </c>
      <c r="CI7" s="50">
        <v>3.32</v>
      </c>
      <c r="CJ7" s="49">
        <v>2.2810000000000001</v>
      </c>
      <c r="CK7" s="49">
        <v>1.018</v>
      </c>
      <c r="CL7" s="49">
        <v>0</v>
      </c>
      <c r="CM7" s="49">
        <v>0.1</v>
      </c>
      <c r="CN7" s="50">
        <v>0</v>
      </c>
      <c r="CO7" s="50">
        <v>0</v>
      </c>
      <c r="CP7" s="50">
        <v>110.116</v>
      </c>
      <c r="CQ7" s="50">
        <v>104.36199999999999</v>
      </c>
      <c r="CR7" s="49">
        <v>91.070999999999998</v>
      </c>
      <c r="CS7" s="49">
        <v>93.119</v>
      </c>
      <c r="CT7" s="49">
        <v>0.34899999999999998</v>
      </c>
      <c r="CU7" s="49">
        <v>1.097</v>
      </c>
      <c r="CV7" s="49">
        <v>1.694</v>
      </c>
      <c r="CW7" s="49">
        <v>0.8</v>
      </c>
      <c r="CX7" s="49">
        <v>1.097</v>
      </c>
      <c r="CY7" s="49">
        <v>1.3959999999999999</v>
      </c>
      <c r="CZ7" s="49">
        <v>1.2949999999999999</v>
      </c>
      <c r="DA7" s="49">
        <v>0.69699999999999995</v>
      </c>
      <c r="DB7" s="49">
        <v>1.8939999999999999</v>
      </c>
      <c r="DC7" s="50">
        <v>0</v>
      </c>
      <c r="DD7" s="50">
        <v>0</v>
      </c>
      <c r="DE7" s="49">
        <v>0.04</v>
      </c>
      <c r="DF7" s="49">
        <v>5.6000000000000001E-2</v>
      </c>
      <c r="DG7" s="49">
        <v>0.28799999999999998</v>
      </c>
      <c r="DH7" s="50">
        <v>2.0699999999999998</v>
      </c>
      <c r="DI7" s="49">
        <v>1.075</v>
      </c>
      <c r="DJ7" s="49">
        <v>0.28999999999999998</v>
      </c>
      <c r="DK7" s="49">
        <v>0.80500000000000005</v>
      </c>
      <c r="DL7" s="50">
        <v>0.40799999999999997</v>
      </c>
      <c r="DM7" s="49">
        <v>0.48299999999999998</v>
      </c>
      <c r="DN7" s="49">
        <v>0.34799999999999998</v>
      </c>
      <c r="DO7" s="49">
        <v>0.36</v>
      </c>
      <c r="DP7" s="49">
        <v>64.302999999999997</v>
      </c>
      <c r="DQ7" s="49">
        <v>61.164999999999999</v>
      </c>
      <c r="DR7" s="49">
        <v>53.951999999999998</v>
      </c>
      <c r="DS7" s="49">
        <v>53.353999999999999</v>
      </c>
      <c r="DT7" s="49">
        <v>0.75</v>
      </c>
      <c r="DU7" s="49">
        <v>0.84</v>
      </c>
      <c r="DV7" s="49">
        <v>1.91</v>
      </c>
      <c r="DW7" s="49">
        <v>1.68</v>
      </c>
      <c r="DX7" s="49">
        <v>0.79</v>
      </c>
      <c r="DY7" s="49">
        <v>0.83</v>
      </c>
      <c r="DZ7" s="49">
        <v>1.82</v>
      </c>
      <c r="EA7" s="49">
        <v>1.65</v>
      </c>
      <c r="EB7" s="49">
        <v>13.88</v>
      </c>
      <c r="EC7" s="49">
        <v>16.11</v>
      </c>
      <c r="ED7" s="49">
        <v>22.7</v>
      </c>
      <c r="EE7" s="49">
        <v>11.09</v>
      </c>
      <c r="EF7" s="50">
        <v>84.58</v>
      </c>
      <c r="EG7" s="50">
        <v>82.22</v>
      </c>
      <c r="EH7" s="50">
        <v>73.56</v>
      </c>
      <c r="EI7" s="50">
        <v>85.58</v>
      </c>
      <c r="EJ7" s="49">
        <v>4.8289999999999997</v>
      </c>
      <c r="EK7" s="49">
        <v>51.146000000000001</v>
      </c>
      <c r="EL7" s="50">
        <v>2.2000000000000002</v>
      </c>
      <c r="EM7" s="50">
        <v>1.55</v>
      </c>
      <c r="EN7" s="49">
        <v>1.06</v>
      </c>
      <c r="EO7" s="49">
        <v>1.06</v>
      </c>
      <c r="EP7" s="50">
        <v>-107.682</v>
      </c>
      <c r="EQ7" s="49">
        <v>-0.375</v>
      </c>
      <c r="ER7" s="50">
        <v>142.27000000000001</v>
      </c>
      <c r="ES7" s="49">
        <v>0.23400000000000001</v>
      </c>
      <c r="ET7" s="49">
        <v>0.253</v>
      </c>
      <c r="EU7" s="49">
        <v>0.22600000000000001</v>
      </c>
      <c r="EV7" s="49">
        <v>7.766</v>
      </c>
      <c r="EW7" s="49">
        <v>1.8080000000000001</v>
      </c>
      <c r="EX7" s="49">
        <v>-364.1</v>
      </c>
      <c r="EY7" s="49">
        <v>0</v>
      </c>
      <c r="EZ7" s="49">
        <v>0</v>
      </c>
      <c r="FA7" s="50">
        <v>0</v>
      </c>
      <c r="FB7" s="49">
        <v>1.3740000000000001</v>
      </c>
      <c r="FC7" s="50">
        <v>71.257000000000005</v>
      </c>
      <c r="FD7" s="50">
        <v>67.998999999999995</v>
      </c>
      <c r="FE7" s="50">
        <v>78.394999999999996</v>
      </c>
      <c r="FF7" s="50">
        <v>77.572000000000003</v>
      </c>
      <c r="FG7" s="50">
        <v>1.016</v>
      </c>
      <c r="FH7" s="50">
        <v>1.016</v>
      </c>
      <c r="FI7" s="49">
        <v>1.0009999999999999</v>
      </c>
      <c r="FJ7" s="49">
        <v>1.0009999999999999</v>
      </c>
      <c r="FK7" s="50">
        <v>0.40200000000000002</v>
      </c>
      <c r="FL7" s="50">
        <v>85</v>
      </c>
      <c r="FM7" s="49">
        <v>3.58</v>
      </c>
      <c r="FN7" s="50">
        <v>-0.93</v>
      </c>
      <c r="FO7" s="49">
        <v>5.53</v>
      </c>
      <c r="FP7" s="50">
        <v>0.15</v>
      </c>
      <c r="FQ7" s="50">
        <v>0.7</v>
      </c>
      <c r="FR7" s="49">
        <v>5.15</v>
      </c>
      <c r="FS7" s="49">
        <v>6.6905000000000001</v>
      </c>
      <c r="FT7" s="49">
        <v>1072.2</v>
      </c>
      <c r="FU7" s="49">
        <v>6.27</v>
      </c>
      <c r="FV7" s="49">
        <v>5.7</v>
      </c>
      <c r="FW7" s="49">
        <v>3155.5</v>
      </c>
      <c r="FX7" s="49">
        <v>164800</v>
      </c>
      <c r="FY7" s="49">
        <v>165000</v>
      </c>
      <c r="FZ7" s="49">
        <v>49.418999999999997</v>
      </c>
      <c r="GA7" s="49">
        <v>48.834000000000003</v>
      </c>
      <c r="GB7" s="49">
        <v>2156.5</v>
      </c>
      <c r="GC7" s="50">
        <v>2329.5</v>
      </c>
      <c r="GD7" s="50">
        <v>2277.6</v>
      </c>
      <c r="GE7" s="50">
        <v>2329.5</v>
      </c>
      <c r="GF7" s="49">
        <v>1458.5</v>
      </c>
      <c r="GG7" s="50">
        <v>36</v>
      </c>
      <c r="GH7" s="50">
        <v>35.700000000000003</v>
      </c>
      <c r="GI7" s="50">
        <v>82.2</v>
      </c>
      <c r="GJ7" s="50">
        <v>83.6</v>
      </c>
      <c r="GK7" s="50">
        <v>96.5</v>
      </c>
      <c r="GL7" s="49">
        <v>78.2</v>
      </c>
      <c r="GM7" s="50">
        <v>0</v>
      </c>
      <c r="GN7" s="49">
        <v>27.126000000000001</v>
      </c>
      <c r="GO7" s="50">
        <v>142.27000000000001</v>
      </c>
      <c r="GP7" s="50">
        <v>0</v>
      </c>
      <c r="GQ7" s="50">
        <v>4.0119999999999996</v>
      </c>
      <c r="GR7" s="50">
        <v>0</v>
      </c>
      <c r="GS7" s="50">
        <v>4.5430000000000001</v>
      </c>
      <c r="GT7" s="50">
        <v>0</v>
      </c>
      <c r="GU7" s="50">
        <v>4.0709999999999997</v>
      </c>
      <c r="GV7" s="50">
        <v>0</v>
      </c>
      <c r="GW7" s="49">
        <v>2.145</v>
      </c>
      <c r="GX7" s="50">
        <v>22.54</v>
      </c>
      <c r="GY7" s="50">
        <v>0</v>
      </c>
      <c r="GZ7" s="50">
        <v>0</v>
      </c>
      <c r="HA7" s="50">
        <v>0</v>
      </c>
      <c r="HB7" s="50">
        <v>1</v>
      </c>
      <c r="HC7" s="49">
        <v>16.163</v>
      </c>
      <c r="HD7" s="50">
        <v>86</v>
      </c>
      <c r="HE7" s="50">
        <v>0</v>
      </c>
      <c r="HF7" s="50">
        <v>0</v>
      </c>
      <c r="HG7" s="49">
        <v>74.52</v>
      </c>
      <c r="HH7" s="50">
        <v>100</v>
      </c>
      <c r="HI7" s="50">
        <v>0</v>
      </c>
      <c r="HJ7" s="50">
        <v>0</v>
      </c>
      <c r="HK7" s="50">
        <v>0</v>
      </c>
      <c r="HL7" s="50">
        <v>72</v>
      </c>
      <c r="HM7" s="50">
        <v>56</v>
      </c>
      <c r="HN7" s="50">
        <v>70</v>
      </c>
      <c r="HO7" s="50">
        <v>61</v>
      </c>
      <c r="HP7" s="50">
        <v>60</v>
      </c>
      <c r="HQ7" s="50">
        <v>59</v>
      </c>
      <c r="HR7" s="50">
        <v>56</v>
      </c>
      <c r="HS7" s="50">
        <v>62</v>
      </c>
      <c r="HT7" s="49">
        <v>-1.3145</v>
      </c>
      <c r="HU7" s="50">
        <v>0</v>
      </c>
      <c r="HV7" s="49">
        <v>-0.32500000000000001</v>
      </c>
      <c r="HW7" s="50">
        <v>40.619999999999997</v>
      </c>
      <c r="HX7" s="50">
        <v>55.17</v>
      </c>
      <c r="HY7" s="3"/>
      <c r="HZ7" s="3"/>
      <c r="IA7" s="49">
        <v>2.2949999999999999</v>
      </c>
      <c r="IB7" s="49">
        <v>89</v>
      </c>
      <c r="IC7" s="49">
        <v>16.997</v>
      </c>
      <c r="ID7" s="50">
        <v>-4.2000000000000003E-2</v>
      </c>
      <c r="IE7" s="50">
        <v>-1.7999999999999999E-2</v>
      </c>
      <c r="IF7" s="49">
        <v>795.1</v>
      </c>
      <c r="IG7" s="49">
        <v>314.60000000000002</v>
      </c>
      <c r="IH7" s="49">
        <v>806.6</v>
      </c>
      <c r="II7" s="49">
        <v>335.7</v>
      </c>
      <c r="IJ7" s="49">
        <v>2.1999999999999999E-2</v>
      </c>
      <c r="IK7" s="49">
        <v>1.2999999999999999E-2</v>
      </c>
      <c r="IL7" s="50">
        <v>1344.675</v>
      </c>
      <c r="IM7" s="50">
        <v>1344.5160000000001</v>
      </c>
      <c r="IN7" s="50">
        <v>21.2</v>
      </c>
      <c r="IO7" s="49">
        <v>5.6000000000000001E-2</v>
      </c>
      <c r="IP7" s="50">
        <v>10.52</v>
      </c>
      <c r="IQ7" s="50">
        <v>3.4000000000000002E-2</v>
      </c>
      <c r="IR7" s="50">
        <v>3.4000000000000002E-2</v>
      </c>
    </row>
    <row r="8" spans="2:252" x14ac:dyDescent="0.25">
      <c r="B8" s="2" t="s">
        <v>412</v>
      </c>
      <c r="C8" s="62" t="s">
        <v>42</v>
      </c>
      <c r="D8" s="63">
        <v>2.4829861111111112E-3</v>
      </c>
      <c r="E8" s="49">
        <v>214.57</v>
      </c>
      <c r="F8" s="50">
        <v>332.83</v>
      </c>
      <c r="G8" s="49">
        <v>5.78</v>
      </c>
      <c r="H8" s="49">
        <v>28.1</v>
      </c>
      <c r="I8" s="50">
        <v>0</v>
      </c>
      <c r="J8" s="49">
        <v>18.399999999999999</v>
      </c>
      <c r="K8" s="49">
        <v>7</v>
      </c>
      <c r="L8" s="49">
        <v>7</v>
      </c>
      <c r="M8" s="50">
        <v>6</v>
      </c>
      <c r="N8" s="50">
        <v>3</v>
      </c>
      <c r="O8" s="50">
        <v>3</v>
      </c>
      <c r="P8" s="49">
        <v>0.81799999999999995</v>
      </c>
      <c r="Q8" s="49">
        <v>1.1020000000000001</v>
      </c>
      <c r="R8" s="49">
        <v>0.81799999999999995</v>
      </c>
      <c r="S8" s="50">
        <v>0.879</v>
      </c>
      <c r="T8" s="49">
        <v>78.88</v>
      </c>
      <c r="U8" s="49">
        <v>61.45</v>
      </c>
      <c r="V8" s="49">
        <v>223.34</v>
      </c>
      <c r="W8" s="49">
        <v>223.34</v>
      </c>
      <c r="X8" s="49">
        <v>152.5</v>
      </c>
      <c r="Y8" s="49">
        <v>197.5</v>
      </c>
      <c r="Z8" s="49">
        <v>361.02</v>
      </c>
      <c r="AA8" s="49">
        <v>360.76</v>
      </c>
      <c r="AB8" s="49">
        <v>260.39</v>
      </c>
      <c r="AC8" s="49">
        <v>323.61</v>
      </c>
      <c r="AD8" s="49">
        <v>1.7569999999999999</v>
      </c>
      <c r="AE8" s="49">
        <v>1.829</v>
      </c>
      <c r="AF8" s="49">
        <v>1.704</v>
      </c>
      <c r="AG8" s="49">
        <v>1.736</v>
      </c>
      <c r="AH8" s="49">
        <v>77.489999999999995</v>
      </c>
      <c r="AI8" s="49">
        <v>75.599999999999994</v>
      </c>
      <c r="AJ8" s="49">
        <v>96.11</v>
      </c>
      <c r="AK8" s="49">
        <v>92.83</v>
      </c>
      <c r="AL8" s="49">
        <v>605.79</v>
      </c>
      <c r="AM8" s="50">
        <v>647.18600000000004</v>
      </c>
      <c r="AN8" s="49">
        <v>730.47199999999998</v>
      </c>
      <c r="AO8" s="49">
        <v>706.95699999999999</v>
      </c>
      <c r="AP8" s="49">
        <v>1.381</v>
      </c>
      <c r="AQ8" s="49">
        <v>1.861</v>
      </c>
      <c r="AR8" s="50">
        <v>41.765999999999998</v>
      </c>
      <c r="AS8" s="49">
        <v>39.930999999999997</v>
      </c>
      <c r="AT8" s="49">
        <v>83</v>
      </c>
      <c r="AU8" s="49">
        <v>113</v>
      </c>
      <c r="AV8" s="49">
        <v>1.9355</v>
      </c>
      <c r="AW8" s="50">
        <v>5.1951000000000001</v>
      </c>
      <c r="AX8" s="49">
        <v>1017</v>
      </c>
      <c r="AY8" s="49">
        <v>2.27</v>
      </c>
      <c r="AZ8" s="50">
        <v>5.68</v>
      </c>
      <c r="BA8" s="49">
        <v>139.71600000000001</v>
      </c>
      <c r="BB8" s="49">
        <v>140.19800000000001</v>
      </c>
      <c r="BC8" s="49">
        <v>7735</v>
      </c>
      <c r="BD8" s="49">
        <v>88</v>
      </c>
      <c r="BE8" s="49">
        <v>14.404999999999999</v>
      </c>
      <c r="BF8" s="49">
        <v>13.305</v>
      </c>
      <c r="BG8" s="49">
        <v>27.59</v>
      </c>
      <c r="BH8" s="49">
        <v>25.56</v>
      </c>
      <c r="BI8" s="3"/>
      <c r="BJ8" s="3"/>
      <c r="BK8" s="3"/>
      <c r="BL8" s="3"/>
      <c r="BM8" s="3"/>
      <c r="BN8" s="49">
        <v>97.272000000000006</v>
      </c>
      <c r="BO8" s="49">
        <v>95.64</v>
      </c>
      <c r="BP8" s="49">
        <v>114.232</v>
      </c>
      <c r="BQ8" s="49">
        <v>118.648</v>
      </c>
      <c r="BR8" s="3"/>
      <c r="BS8" s="49">
        <v>27.7</v>
      </c>
      <c r="BT8" s="49">
        <v>7434.0829999999996</v>
      </c>
      <c r="BU8" s="50">
        <v>50.265000000000001</v>
      </c>
      <c r="BV8" s="49">
        <v>53.872999999999998</v>
      </c>
      <c r="BW8" s="49">
        <v>53.564999999999998</v>
      </c>
      <c r="BX8" s="49">
        <v>55.298000000000002</v>
      </c>
      <c r="BY8" s="49">
        <v>1.298</v>
      </c>
      <c r="BZ8" s="49">
        <v>2.9249999999999998</v>
      </c>
      <c r="CA8" s="49">
        <v>3.5609999999999999</v>
      </c>
      <c r="CB8" s="50">
        <v>3.1629999999999998</v>
      </c>
      <c r="CC8" s="49">
        <v>0.96</v>
      </c>
      <c r="CD8" s="49">
        <v>2.37</v>
      </c>
      <c r="CE8" s="49">
        <v>1.2450000000000001</v>
      </c>
      <c r="CF8" s="49">
        <v>2.097</v>
      </c>
      <c r="CG8" s="49">
        <v>13.951000000000001</v>
      </c>
      <c r="CH8" s="49">
        <v>13.8</v>
      </c>
      <c r="CI8" s="49">
        <v>3.105</v>
      </c>
      <c r="CJ8" s="50">
        <v>3.41</v>
      </c>
      <c r="CK8" s="50">
        <v>1.4510000000000001</v>
      </c>
      <c r="CL8" s="49">
        <v>0</v>
      </c>
      <c r="CM8" s="50">
        <v>1.2</v>
      </c>
      <c r="CN8" s="50">
        <v>0</v>
      </c>
      <c r="CO8" s="50">
        <v>0</v>
      </c>
      <c r="CP8" s="49">
        <v>91.938000000000002</v>
      </c>
      <c r="CQ8" s="49">
        <v>90.022000000000006</v>
      </c>
      <c r="CR8" s="49">
        <v>103.726</v>
      </c>
      <c r="CS8" s="49">
        <v>109.252</v>
      </c>
      <c r="CT8" s="49">
        <v>0.32400000000000001</v>
      </c>
      <c r="CU8" s="49">
        <v>1.196</v>
      </c>
      <c r="CV8" s="49">
        <v>1.196</v>
      </c>
      <c r="CW8" s="49">
        <v>1.2010000000000001</v>
      </c>
      <c r="CX8" s="49">
        <v>1.5980000000000001</v>
      </c>
      <c r="CY8" s="49">
        <v>1.0960000000000001</v>
      </c>
      <c r="CZ8" s="49">
        <v>1.101</v>
      </c>
      <c r="DA8" s="49">
        <v>0.6</v>
      </c>
      <c r="DB8" s="49">
        <v>1.5980000000000001</v>
      </c>
      <c r="DC8" s="50">
        <v>0</v>
      </c>
      <c r="DD8" s="50">
        <v>0</v>
      </c>
      <c r="DE8" s="50">
        <v>0.30299999999999999</v>
      </c>
      <c r="DF8" s="50">
        <v>0.17599999999999999</v>
      </c>
      <c r="DG8" s="50">
        <v>1.101</v>
      </c>
      <c r="DH8" s="49">
        <v>1.891</v>
      </c>
      <c r="DI8" s="50">
        <v>1.1120000000000001</v>
      </c>
      <c r="DJ8" s="49">
        <v>0.27400000000000002</v>
      </c>
      <c r="DK8" s="49">
        <v>0.76900000000000002</v>
      </c>
      <c r="DL8" s="49">
        <v>0.40600000000000003</v>
      </c>
      <c r="DM8" s="49">
        <v>-0.01</v>
      </c>
      <c r="DN8" s="49">
        <v>-2.4929999999999999</v>
      </c>
      <c r="DO8" s="49">
        <v>0.27100000000000002</v>
      </c>
      <c r="DP8" s="49">
        <v>63.87</v>
      </c>
      <c r="DQ8" s="50">
        <v>62.222999999999999</v>
      </c>
      <c r="DR8" s="49">
        <v>54.302</v>
      </c>
      <c r="DS8" s="49">
        <v>53.509</v>
      </c>
      <c r="DT8" s="50">
        <v>5.86</v>
      </c>
      <c r="DU8" s="50">
        <v>6.08</v>
      </c>
      <c r="DV8" s="50">
        <v>14.4</v>
      </c>
      <c r="DW8" s="50">
        <v>12.26</v>
      </c>
      <c r="DX8" s="50">
        <v>6.34</v>
      </c>
      <c r="DY8" s="50">
        <v>6.45</v>
      </c>
      <c r="DZ8" s="50">
        <v>14.12</v>
      </c>
      <c r="EA8" s="50">
        <v>12.37</v>
      </c>
      <c r="EB8" s="49">
        <v>43.11</v>
      </c>
      <c r="EC8" s="49">
        <v>41.71</v>
      </c>
      <c r="ED8" s="49">
        <v>31.69</v>
      </c>
      <c r="EE8" s="49">
        <v>33.619999999999997</v>
      </c>
      <c r="EF8" s="49">
        <v>44.7</v>
      </c>
      <c r="EG8" s="49">
        <v>45.76</v>
      </c>
      <c r="EH8" s="49">
        <v>39.79</v>
      </c>
      <c r="EI8" s="49">
        <v>41.75</v>
      </c>
      <c r="EJ8" s="49">
        <v>5.5839999999999996</v>
      </c>
      <c r="EK8" s="49">
        <v>59.274000000000001</v>
      </c>
      <c r="EL8" s="49">
        <v>2.1</v>
      </c>
      <c r="EM8" s="49">
        <v>1.6</v>
      </c>
      <c r="EN8" s="49">
        <v>1.23</v>
      </c>
      <c r="EO8" s="49">
        <v>1.23</v>
      </c>
      <c r="EP8" s="49">
        <v>-98.63</v>
      </c>
      <c r="EQ8" s="49">
        <v>-2.6909999999999998</v>
      </c>
      <c r="ER8" s="49">
        <v>99.93</v>
      </c>
      <c r="ES8" s="49">
        <v>1.474</v>
      </c>
      <c r="ET8" s="49">
        <v>1.6240000000000001</v>
      </c>
      <c r="EU8" s="49">
        <v>1.4379999999999999</v>
      </c>
      <c r="EV8" s="49">
        <v>7.4569999999999999</v>
      </c>
      <c r="EW8" s="49">
        <v>1.7410000000000001</v>
      </c>
      <c r="EX8" s="49">
        <v>70.78</v>
      </c>
      <c r="EY8" s="49">
        <v>0</v>
      </c>
      <c r="EZ8" s="50">
        <v>1.482</v>
      </c>
      <c r="FA8" s="50">
        <v>0</v>
      </c>
      <c r="FB8" s="49">
        <v>9.09</v>
      </c>
      <c r="FC8" s="49">
        <v>66.611000000000004</v>
      </c>
      <c r="FD8" s="49">
        <v>63.091999999999999</v>
      </c>
      <c r="FE8" s="49">
        <v>72.366</v>
      </c>
      <c r="FF8" s="49">
        <v>71.152000000000001</v>
      </c>
      <c r="FG8" s="49">
        <v>0.91300000000000003</v>
      </c>
      <c r="FH8" s="49">
        <v>0.91400000000000003</v>
      </c>
      <c r="FI8" s="49">
        <v>0.996</v>
      </c>
      <c r="FJ8" s="49">
        <v>0.999</v>
      </c>
      <c r="FK8" s="49">
        <v>0</v>
      </c>
      <c r="FL8" s="49">
        <v>83</v>
      </c>
      <c r="FM8" s="50">
        <v>3.67</v>
      </c>
      <c r="FN8" s="49">
        <v>0.13</v>
      </c>
      <c r="FO8" s="50">
        <v>5.43</v>
      </c>
      <c r="FP8" s="3"/>
      <c r="FQ8" s="49">
        <v>4.7</v>
      </c>
      <c r="FR8" s="50">
        <v>5</v>
      </c>
      <c r="FS8" s="49">
        <v>6.6974999999999998</v>
      </c>
      <c r="FT8" s="49">
        <v>1079.5</v>
      </c>
      <c r="FU8" s="49">
        <v>6.84</v>
      </c>
      <c r="FV8" s="49">
        <v>11.48</v>
      </c>
      <c r="FW8" s="50">
        <v>3163.5</v>
      </c>
      <c r="FX8" s="49">
        <v>162400</v>
      </c>
      <c r="FY8" s="49">
        <v>162900</v>
      </c>
      <c r="FZ8" s="49">
        <v>48.268000000000001</v>
      </c>
      <c r="GA8" s="49">
        <v>47.744999999999997</v>
      </c>
      <c r="GB8" s="50">
        <v>2223.6999999999998</v>
      </c>
      <c r="GC8" s="49">
        <v>2151.3000000000002</v>
      </c>
      <c r="GD8" s="49">
        <v>2223.6999999999998</v>
      </c>
      <c r="GE8" s="49">
        <v>2185.8000000000002</v>
      </c>
      <c r="GF8" s="49">
        <v>1216.5469000000001</v>
      </c>
      <c r="GG8" s="49">
        <v>31</v>
      </c>
      <c r="GH8" s="49">
        <v>31.4</v>
      </c>
      <c r="GI8" s="49">
        <v>55</v>
      </c>
      <c r="GJ8" s="49">
        <v>58.7</v>
      </c>
      <c r="GK8" s="49">
        <v>99.5</v>
      </c>
      <c r="GL8" s="49">
        <v>78.7</v>
      </c>
      <c r="GM8" s="50">
        <v>0</v>
      </c>
      <c r="GN8" s="49">
        <v>26.463999999999999</v>
      </c>
      <c r="GO8" s="49">
        <v>99.93</v>
      </c>
      <c r="GP8" s="49">
        <v>0.53100000000000003</v>
      </c>
      <c r="GQ8" s="49">
        <v>2.0649999999999999</v>
      </c>
      <c r="GR8" s="49">
        <v>0.82599999999999996</v>
      </c>
      <c r="GS8" s="49">
        <v>2.0059999999999998</v>
      </c>
      <c r="GT8" s="49">
        <v>0.70799999999999996</v>
      </c>
      <c r="GU8" s="49">
        <v>1.8879999999999999</v>
      </c>
      <c r="GV8" s="49">
        <v>12.837999999999999</v>
      </c>
      <c r="GW8" s="49">
        <v>13.926</v>
      </c>
      <c r="GX8" s="49">
        <v>14.994</v>
      </c>
      <c r="GY8" s="50">
        <v>0</v>
      </c>
      <c r="GZ8" s="50">
        <v>0</v>
      </c>
      <c r="HA8" s="50">
        <v>0</v>
      </c>
      <c r="HB8" s="49">
        <v>0</v>
      </c>
      <c r="HC8" s="49">
        <v>23.097999999999999</v>
      </c>
      <c r="HD8" s="49">
        <v>78</v>
      </c>
      <c r="HE8" s="50">
        <v>0</v>
      </c>
      <c r="HF8" s="50">
        <v>0</v>
      </c>
      <c r="HG8" s="49">
        <v>76.06</v>
      </c>
      <c r="HH8" s="49">
        <v>82.76</v>
      </c>
      <c r="HI8" s="50">
        <v>0</v>
      </c>
      <c r="HJ8" s="50">
        <v>0</v>
      </c>
      <c r="HK8" s="50">
        <v>0</v>
      </c>
      <c r="HL8" s="49">
        <v>63</v>
      </c>
      <c r="HM8" s="49">
        <v>55</v>
      </c>
      <c r="HN8" s="49">
        <v>61</v>
      </c>
      <c r="HO8" s="49">
        <v>55</v>
      </c>
      <c r="HP8" s="49">
        <v>58</v>
      </c>
      <c r="HQ8" s="49">
        <v>56</v>
      </c>
      <c r="HR8" s="49">
        <v>48</v>
      </c>
      <c r="HS8" s="50">
        <v>62</v>
      </c>
      <c r="HT8" s="49">
        <v>-1.323</v>
      </c>
      <c r="HU8" s="50">
        <v>0</v>
      </c>
      <c r="HV8" s="50">
        <v>1.119</v>
      </c>
      <c r="HW8" s="50">
        <v>40.619999999999997</v>
      </c>
      <c r="HX8" s="50">
        <v>55.17</v>
      </c>
      <c r="HY8" s="50">
        <v>51.19</v>
      </c>
      <c r="HZ8" s="50">
        <v>62.52</v>
      </c>
      <c r="IA8" s="49">
        <v>2.6709999999999998</v>
      </c>
      <c r="IB8" s="50">
        <v>104</v>
      </c>
      <c r="IC8" s="49">
        <v>22.163</v>
      </c>
      <c r="ID8" s="49">
        <v>-0.378</v>
      </c>
      <c r="IE8" s="49">
        <v>-0.16500000000000001</v>
      </c>
      <c r="IF8" s="49">
        <v>807.8</v>
      </c>
      <c r="IG8" s="50">
        <v>752.2</v>
      </c>
      <c r="IH8" s="49">
        <v>813</v>
      </c>
      <c r="II8" s="49">
        <v>761.9</v>
      </c>
      <c r="IJ8" s="50">
        <v>0.107</v>
      </c>
      <c r="IK8" s="49">
        <v>3.5999999999999997E-2</v>
      </c>
      <c r="IL8" s="49">
        <v>76.426000000000002</v>
      </c>
      <c r="IM8" s="49">
        <v>76.426000000000002</v>
      </c>
      <c r="IN8" s="49">
        <v>10.122</v>
      </c>
      <c r="IO8" s="49">
        <v>0.32200000000000001</v>
      </c>
      <c r="IP8" s="49">
        <v>9.99</v>
      </c>
      <c r="IQ8" s="49">
        <v>1.2E-2</v>
      </c>
      <c r="IR8" s="49">
        <v>8.9999999999999993E-3</v>
      </c>
    </row>
    <row r="9" spans="2:252" x14ac:dyDescent="0.25">
      <c r="B9" s="2" t="s">
        <v>412</v>
      </c>
      <c r="C9" s="2" t="s">
        <v>43</v>
      </c>
      <c r="D9" s="61">
        <v>2.6239583333333336E-3</v>
      </c>
      <c r="E9" s="49">
        <v>226.76</v>
      </c>
      <c r="F9" s="49">
        <v>327.64</v>
      </c>
      <c r="G9" s="50">
        <v>5.84</v>
      </c>
      <c r="H9" s="49">
        <v>28.3</v>
      </c>
      <c r="I9" s="50">
        <v>0</v>
      </c>
      <c r="J9" s="49">
        <v>14.2</v>
      </c>
      <c r="K9" s="49">
        <v>8</v>
      </c>
      <c r="L9" s="49">
        <v>8</v>
      </c>
      <c r="M9" s="50">
        <v>6</v>
      </c>
      <c r="N9" s="50">
        <v>3</v>
      </c>
      <c r="O9" s="50">
        <v>3</v>
      </c>
      <c r="P9" s="50">
        <v>0.85</v>
      </c>
      <c r="Q9" s="50">
        <v>1.236</v>
      </c>
      <c r="R9" s="50">
        <v>0.86799999999999999</v>
      </c>
      <c r="S9" s="49">
        <v>0.72699999999999998</v>
      </c>
      <c r="T9" s="50">
        <v>86.41</v>
      </c>
      <c r="U9" s="49">
        <v>61.292999999999999</v>
      </c>
      <c r="V9" s="49">
        <v>233.34</v>
      </c>
      <c r="W9" s="49">
        <v>225</v>
      </c>
      <c r="X9" s="49">
        <v>152.5</v>
      </c>
      <c r="Y9" s="49">
        <v>195</v>
      </c>
      <c r="Z9" s="50">
        <v>382.86</v>
      </c>
      <c r="AA9" s="50">
        <v>375.49</v>
      </c>
      <c r="AB9" s="50">
        <v>280.35000000000002</v>
      </c>
      <c r="AC9" s="50">
        <v>341.88</v>
      </c>
      <c r="AD9" s="50">
        <v>1.7849999999999999</v>
      </c>
      <c r="AE9" s="49">
        <v>1.855</v>
      </c>
      <c r="AF9" s="50">
        <v>1.744</v>
      </c>
      <c r="AG9" s="50">
        <v>1.776</v>
      </c>
      <c r="AH9" s="50">
        <v>80.69</v>
      </c>
      <c r="AI9" s="50">
        <v>79.459999999999994</v>
      </c>
      <c r="AJ9" s="50">
        <v>100.37</v>
      </c>
      <c r="AK9" s="50">
        <v>97.71</v>
      </c>
      <c r="AL9" s="50">
        <v>630.88</v>
      </c>
      <c r="AM9" s="49">
        <v>636.29399999999998</v>
      </c>
      <c r="AN9" s="50">
        <v>749.77599999999995</v>
      </c>
      <c r="AO9" s="50">
        <v>746.52700000000004</v>
      </c>
      <c r="AP9" s="49">
        <v>1.359</v>
      </c>
      <c r="AQ9" s="49">
        <v>1.8280000000000001</v>
      </c>
      <c r="AR9" s="49">
        <v>41.360999999999997</v>
      </c>
      <c r="AS9" s="49">
        <v>39.531999999999996</v>
      </c>
      <c r="AT9" s="49">
        <v>83</v>
      </c>
      <c r="AU9" s="50">
        <v>117</v>
      </c>
      <c r="AV9" s="50">
        <v>1.8640000000000001</v>
      </c>
      <c r="AW9" s="49">
        <v>5.1772999999999998</v>
      </c>
      <c r="AX9" s="49">
        <v>1018.4</v>
      </c>
      <c r="AY9" s="49">
        <v>2.2599999999999998</v>
      </c>
      <c r="AZ9" s="49">
        <v>5.74</v>
      </c>
      <c r="BA9" s="49">
        <v>77.802999999999997</v>
      </c>
      <c r="BB9" s="49">
        <v>78.316999999999993</v>
      </c>
      <c r="BC9" s="49">
        <v>7813</v>
      </c>
      <c r="BD9" s="50">
        <v>89.5</v>
      </c>
      <c r="BE9" s="50">
        <v>16.89</v>
      </c>
      <c r="BF9" s="50">
        <v>15.025</v>
      </c>
      <c r="BG9" s="50">
        <v>28.42</v>
      </c>
      <c r="BH9" s="50">
        <v>27.53</v>
      </c>
      <c r="BI9" s="3"/>
      <c r="BJ9" s="3"/>
      <c r="BK9" s="3"/>
      <c r="BL9" s="3"/>
      <c r="BM9" s="3"/>
      <c r="BN9" s="49">
        <v>104.29600000000001</v>
      </c>
      <c r="BO9" s="49">
        <v>98.007999999999996</v>
      </c>
      <c r="BP9" s="49">
        <v>123.208</v>
      </c>
      <c r="BQ9" s="49">
        <v>125.208</v>
      </c>
      <c r="BR9" s="3"/>
      <c r="BS9" s="50">
        <v>28</v>
      </c>
      <c r="BT9" s="50">
        <v>7448.8360000000002</v>
      </c>
      <c r="BU9" s="49">
        <v>48.969000000000001</v>
      </c>
      <c r="BV9" s="49">
        <v>54.317</v>
      </c>
      <c r="BW9" s="49">
        <v>55.588000000000001</v>
      </c>
      <c r="BX9" s="49">
        <v>55.356000000000002</v>
      </c>
      <c r="BY9" s="50">
        <v>1.4330000000000001</v>
      </c>
      <c r="BZ9" s="50">
        <v>3.1389999999999998</v>
      </c>
      <c r="CA9" s="49">
        <v>3.6669999999999998</v>
      </c>
      <c r="CB9" s="49">
        <v>3.0750000000000002</v>
      </c>
      <c r="CC9" s="49">
        <v>0.93200000000000005</v>
      </c>
      <c r="CD9" s="50">
        <v>2.452</v>
      </c>
      <c r="CE9" s="49">
        <v>1.248</v>
      </c>
      <c r="CF9" s="49">
        <v>2.036</v>
      </c>
      <c r="CG9" s="49">
        <v>13.955</v>
      </c>
      <c r="CH9" s="49">
        <v>13.829000000000001</v>
      </c>
      <c r="CI9" s="49">
        <v>3.0259999999999998</v>
      </c>
      <c r="CJ9" s="49">
        <v>2.476</v>
      </c>
      <c r="CK9" s="49">
        <v>0.92900000000000005</v>
      </c>
      <c r="CL9" s="50">
        <v>0.1</v>
      </c>
      <c r="CM9" s="49">
        <v>0.8</v>
      </c>
      <c r="CN9" s="50">
        <v>0</v>
      </c>
      <c r="CO9" s="50">
        <v>0</v>
      </c>
      <c r="CP9" s="49">
        <v>96.620999999999995</v>
      </c>
      <c r="CQ9" s="49">
        <v>92.997</v>
      </c>
      <c r="CR9" s="50">
        <v>110.77200000000001</v>
      </c>
      <c r="CS9" s="50">
        <v>116.11199999999999</v>
      </c>
      <c r="CT9" s="50">
        <v>0.504</v>
      </c>
      <c r="CU9" s="49">
        <v>0.80200000000000005</v>
      </c>
      <c r="CV9" s="49">
        <v>0.99299999999999999</v>
      </c>
      <c r="CW9" s="49">
        <v>0.79900000000000004</v>
      </c>
      <c r="CX9" s="49">
        <v>1.401</v>
      </c>
      <c r="CY9" s="49">
        <v>0.79800000000000004</v>
      </c>
      <c r="CZ9" s="49">
        <v>0.90300000000000002</v>
      </c>
      <c r="DA9" s="49">
        <v>0.59899999999999998</v>
      </c>
      <c r="DB9" s="49">
        <v>1.3959999999999999</v>
      </c>
      <c r="DC9" s="50">
        <v>0</v>
      </c>
      <c r="DD9" s="50">
        <v>0</v>
      </c>
      <c r="DE9" s="49">
        <v>0.27400000000000002</v>
      </c>
      <c r="DF9" s="49">
        <v>0.13300000000000001</v>
      </c>
      <c r="DG9" s="49">
        <v>0.58599999999999997</v>
      </c>
      <c r="DH9" s="49">
        <v>1.66</v>
      </c>
      <c r="DI9" s="49">
        <v>0.94199999999999995</v>
      </c>
      <c r="DJ9" s="50">
        <v>0.35899999999999999</v>
      </c>
      <c r="DK9" s="50">
        <v>1.071</v>
      </c>
      <c r="DL9" s="49">
        <v>0.40500000000000003</v>
      </c>
      <c r="DM9" s="49">
        <v>0.503</v>
      </c>
      <c r="DN9" s="50">
        <v>0.63500000000000001</v>
      </c>
      <c r="DO9" s="49">
        <v>0.26400000000000001</v>
      </c>
      <c r="DP9" s="50">
        <v>69.557000000000002</v>
      </c>
      <c r="DQ9" s="49">
        <v>61.030999999999999</v>
      </c>
      <c r="DR9" s="50">
        <v>54.911999999999999</v>
      </c>
      <c r="DS9" s="49">
        <v>52.856999999999999</v>
      </c>
      <c r="DT9" s="49">
        <v>5.0999999999999996</v>
      </c>
      <c r="DU9" s="49">
        <v>4.9800000000000004</v>
      </c>
      <c r="DV9" s="49">
        <v>13.22</v>
      </c>
      <c r="DW9" s="49">
        <v>11.24</v>
      </c>
      <c r="DX9" s="49">
        <v>5.3</v>
      </c>
      <c r="DY9" s="49">
        <v>5.33</v>
      </c>
      <c r="DZ9" s="49">
        <v>12.66</v>
      </c>
      <c r="EA9" s="49">
        <v>11.31</v>
      </c>
      <c r="EB9" s="49">
        <v>42.71</v>
      </c>
      <c r="EC9" s="50">
        <v>42.62</v>
      </c>
      <c r="ED9" s="49">
        <v>31.4</v>
      </c>
      <c r="EE9" s="49">
        <v>33.89</v>
      </c>
      <c r="EF9" s="49">
        <v>46.89</v>
      </c>
      <c r="EG9" s="49">
        <v>47.07</v>
      </c>
      <c r="EH9" s="49">
        <v>42.72</v>
      </c>
      <c r="EI9" s="49">
        <v>43.56</v>
      </c>
      <c r="EJ9" s="49">
        <v>6.5279999999999996</v>
      </c>
      <c r="EK9" s="50">
        <v>59.902999999999999</v>
      </c>
      <c r="EL9" s="49">
        <v>2.0499999999999998</v>
      </c>
      <c r="EM9" s="49">
        <v>1.6</v>
      </c>
      <c r="EN9" s="49">
        <v>1.25</v>
      </c>
      <c r="EO9" s="49">
        <v>1.25</v>
      </c>
      <c r="EP9" s="49">
        <v>-106.22199999999999</v>
      </c>
      <c r="EQ9" s="49">
        <v>-2.6829999999999998</v>
      </c>
      <c r="ER9" s="49">
        <v>100.806</v>
      </c>
      <c r="ES9" s="49">
        <v>1.458</v>
      </c>
      <c r="ET9" s="49">
        <v>1.603</v>
      </c>
      <c r="EU9" s="49">
        <v>1.45</v>
      </c>
      <c r="EV9" s="50">
        <v>7.798</v>
      </c>
      <c r="EW9" s="50">
        <v>2.1629999999999998</v>
      </c>
      <c r="EX9" s="50">
        <v>71.52</v>
      </c>
      <c r="EY9" s="49">
        <v>3.9E-2</v>
      </c>
      <c r="EZ9" s="49">
        <v>0.34100000000000003</v>
      </c>
      <c r="FA9" s="50">
        <v>0</v>
      </c>
      <c r="FB9" s="49">
        <v>9.1890000000000001</v>
      </c>
      <c r="FC9" s="49">
        <v>70.453000000000003</v>
      </c>
      <c r="FD9" s="49">
        <v>66.210999999999999</v>
      </c>
      <c r="FE9" s="49">
        <v>76.94</v>
      </c>
      <c r="FF9" s="49">
        <v>75.924999999999997</v>
      </c>
      <c r="FG9" s="49">
        <v>0.91800000000000004</v>
      </c>
      <c r="FH9" s="49">
        <v>0.91800000000000004</v>
      </c>
      <c r="FI9" s="49">
        <v>0.997</v>
      </c>
      <c r="FJ9" s="49">
        <v>1.0009999999999999</v>
      </c>
      <c r="FK9" s="49">
        <v>0</v>
      </c>
      <c r="FL9" s="49">
        <v>83</v>
      </c>
      <c r="FM9" s="49">
        <v>3.6</v>
      </c>
      <c r="FN9" s="49">
        <v>0.06</v>
      </c>
      <c r="FO9" s="49">
        <v>5.46</v>
      </c>
      <c r="FP9" s="49">
        <v>4.1500000000000004</v>
      </c>
      <c r="FQ9" s="49">
        <v>4.5</v>
      </c>
      <c r="FR9" s="50">
        <v>5</v>
      </c>
      <c r="FS9" s="50">
        <v>6.7565</v>
      </c>
      <c r="FT9" s="50">
        <v>1081.9000000000001</v>
      </c>
      <c r="FU9" s="50">
        <v>6.9</v>
      </c>
      <c r="FV9" s="49">
        <v>17.32</v>
      </c>
      <c r="FW9" s="49">
        <v>3112.5</v>
      </c>
      <c r="FX9" s="49">
        <v>163500</v>
      </c>
      <c r="FY9" s="49">
        <v>164700</v>
      </c>
      <c r="FZ9" s="49">
        <v>47.792999999999999</v>
      </c>
      <c r="GA9" s="49">
        <v>47.201999999999998</v>
      </c>
      <c r="GB9" s="49">
        <v>2194.5</v>
      </c>
      <c r="GC9" s="49">
        <v>2216.1999999999998</v>
      </c>
      <c r="GD9" s="49">
        <v>2203.6999999999998</v>
      </c>
      <c r="GE9" s="49">
        <v>2216.1999999999998</v>
      </c>
      <c r="GF9" s="49">
        <v>1284.125</v>
      </c>
      <c r="GG9" s="49">
        <v>32</v>
      </c>
      <c r="GH9" s="49">
        <v>32.200000000000003</v>
      </c>
      <c r="GI9" s="49">
        <v>48.9</v>
      </c>
      <c r="GJ9" s="49">
        <v>54.1</v>
      </c>
      <c r="GK9" s="49">
        <v>99.5</v>
      </c>
      <c r="GL9" s="50">
        <v>87.3</v>
      </c>
      <c r="GM9" s="50">
        <v>0</v>
      </c>
      <c r="GN9" s="50">
        <v>28.202000000000002</v>
      </c>
      <c r="GO9" s="49">
        <v>106.22199999999999</v>
      </c>
      <c r="GP9" s="49">
        <v>0.53100000000000003</v>
      </c>
      <c r="GQ9" s="49">
        <v>1.9470000000000001</v>
      </c>
      <c r="GR9" s="49">
        <v>0.59</v>
      </c>
      <c r="GS9" s="49">
        <v>2.0059999999999998</v>
      </c>
      <c r="GT9" s="49">
        <v>0.59</v>
      </c>
      <c r="GU9" s="49">
        <v>1.8879999999999999</v>
      </c>
      <c r="GV9" s="49">
        <v>12.74</v>
      </c>
      <c r="GW9" s="49">
        <v>13.954000000000001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23.331</v>
      </c>
      <c r="HD9" s="49">
        <v>82</v>
      </c>
      <c r="HE9" s="50">
        <v>0</v>
      </c>
      <c r="HF9" s="50">
        <v>0</v>
      </c>
      <c r="HG9" s="50">
        <v>78.3</v>
      </c>
      <c r="HH9" s="49">
        <v>83.22</v>
      </c>
      <c r="HI9" s="50">
        <v>0</v>
      </c>
      <c r="HJ9" s="50">
        <v>0</v>
      </c>
      <c r="HK9" s="50">
        <v>0</v>
      </c>
      <c r="HL9" s="49">
        <v>62</v>
      </c>
      <c r="HM9" s="49">
        <v>54</v>
      </c>
      <c r="HN9" s="49">
        <v>62</v>
      </c>
      <c r="HO9" s="49">
        <v>57</v>
      </c>
      <c r="HP9" s="49">
        <v>59</v>
      </c>
      <c r="HQ9" s="49">
        <v>58</v>
      </c>
      <c r="HR9" s="49">
        <v>49</v>
      </c>
      <c r="HS9" s="50">
        <v>62</v>
      </c>
      <c r="HT9" s="49">
        <v>-1.3125</v>
      </c>
      <c r="HU9" s="50">
        <v>0</v>
      </c>
      <c r="HV9" s="49">
        <v>0.74199999999999999</v>
      </c>
      <c r="HW9" s="49">
        <v>46.77</v>
      </c>
      <c r="HX9" s="49">
        <v>62.81</v>
      </c>
      <c r="HY9" s="49">
        <v>50.07</v>
      </c>
      <c r="HZ9" s="49">
        <v>55.69</v>
      </c>
      <c r="IA9" s="50">
        <v>2.8</v>
      </c>
      <c r="IB9" s="50">
        <v>104</v>
      </c>
      <c r="IC9" s="50">
        <v>22.349</v>
      </c>
      <c r="ID9" s="49">
        <v>-0.32900000000000001</v>
      </c>
      <c r="IE9" s="49">
        <v>-0.14299999999999999</v>
      </c>
      <c r="IF9" s="49">
        <v>804.3</v>
      </c>
      <c r="IG9" s="49">
        <v>750.2</v>
      </c>
      <c r="IH9" s="49">
        <v>813.5</v>
      </c>
      <c r="II9" s="50">
        <v>762.7</v>
      </c>
      <c r="IJ9" s="49">
        <v>9.9000000000000005E-2</v>
      </c>
      <c r="IK9" s="49">
        <v>1.9E-2</v>
      </c>
      <c r="IL9" s="49">
        <v>89.474999999999994</v>
      </c>
      <c r="IM9" s="49">
        <v>89.474999999999994</v>
      </c>
      <c r="IN9" s="49">
        <v>12.76</v>
      </c>
      <c r="IO9" s="50">
        <v>0.32800000000000001</v>
      </c>
      <c r="IP9" s="49">
        <v>9.91</v>
      </c>
      <c r="IQ9" s="49">
        <v>1.0999999999999999E-2</v>
      </c>
      <c r="IR9" s="49">
        <v>1.7000000000000001E-2</v>
      </c>
    </row>
    <row r="10" spans="2:252" x14ac:dyDescent="0.25">
      <c r="B10" s="2" t="s">
        <v>412</v>
      </c>
      <c r="C10" s="2" t="s">
        <v>44</v>
      </c>
      <c r="D10" s="61">
        <v>4.9342592592592589E-3</v>
      </c>
      <c r="E10" s="49">
        <v>426.31700000000001</v>
      </c>
      <c r="F10" s="49">
        <v>324.23</v>
      </c>
      <c r="G10" s="49">
        <v>-17.32</v>
      </c>
      <c r="H10" s="49">
        <v>28</v>
      </c>
      <c r="I10" s="50">
        <v>0</v>
      </c>
      <c r="J10" s="49">
        <v>13.3</v>
      </c>
      <c r="K10" s="49">
        <v>10</v>
      </c>
      <c r="L10" s="50">
        <v>9</v>
      </c>
      <c r="M10" s="50">
        <v>6</v>
      </c>
      <c r="N10" s="50">
        <v>3</v>
      </c>
      <c r="O10" s="50">
        <v>3</v>
      </c>
      <c r="P10" s="49">
        <v>0.68400000000000005</v>
      </c>
      <c r="Q10" s="49">
        <v>1.0620000000000001</v>
      </c>
      <c r="R10" s="49">
        <v>0.64600000000000002</v>
      </c>
      <c r="S10" s="3"/>
      <c r="T10" s="49">
        <v>67.55</v>
      </c>
      <c r="U10" s="49">
        <v>61.497999999999998</v>
      </c>
      <c r="V10" s="50">
        <v>80</v>
      </c>
      <c r="W10" s="50">
        <v>50</v>
      </c>
      <c r="X10" s="50">
        <v>90</v>
      </c>
      <c r="Y10" s="49">
        <v>100</v>
      </c>
      <c r="Z10" s="49">
        <v>199.88</v>
      </c>
      <c r="AA10" s="49">
        <v>195.06</v>
      </c>
      <c r="AB10" s="49">
        <v>143.19999999999999</v>
      </c>
      <c r="AC10" s="49">
        <v>170.12</v>
      </c>
      <c r="AD10" s="49">
        <v>1.665</v>
      </c>
      <c r="AE10" s="49">
        <v>1.758</v>
      </c>
      <c r="AF10" s="49">
        <v>1.5680000000000001</v>
      </c>
      <c r="AG10" s="49">
        <v>1.623</v>
      </c>
      <c r="AH10" s="49">
        <v>62.66</v>
      </c>
      <c r="AI10" s="49">
        <v>59.67</v>
      </c>
      <c r="AJ10" s="49">
        <v>74.239999999999995</v>
      </c>
      <c r="AK10" s="49">
        <v>74.34</v>
      </c>
      <c r="AL10" s="49">
        <v>504.18099999999998</v>
      </c>
      <c r="AM10" s="49">
        <v>558.85</v>
      </c>
      <c r="AN10" s="49">
        <v>675.47900000000004</v>
      </c>
      <c r="AO10" s="49">
        <v>658.45899999999995</v>
      </c>
      <c r="AP10" s="49">
        <v>1.3560000000000001</v>
      </c>
      <c r="AQ10" s="50">
        <v>1.8859999999999999</v>
      </c>
      <c r="AR10" s="49">
        <v>40.088000000000001</v>
      </c>
      <c r="AS10" s="50">
        <v>40.003</v>
      </c>
      <c r="AT10" s="49">
        <v>82</v>
      </c>
      <c r="AU10" s="49">
        <v>115</v>
      </c>
      <c r="AV10" s="49">
        <v>2.4710000000000001</v>
      </c>
      <c r="AW10" s="49">
        <v>5.1543000000000001</v>
      </c>
      <c r="AX10" s="49">
        <v>1009.5</v>
      </c>
      <c r="AY10" s="49">
        <v>2.23</v>
      </c>
      <c r="AZ10" s="49">
        <v>5.69</v>
      </c>
      <c r="BA10" s="49">
        <v>72.798000000000002</v>
      </c>
      <c r="BB10" s="49">
        <v>70.5</v>
      </c>
      <c r="BC10" s="49">
        <v>7669</v>
      </c>
      <c r="BD10" s="49">
        <v>88.25</v>
      </c>
      <c r="BE10" s="49">
        <v>12.935</v>
      </c>
      <c r="BF10" s="49">
        <v>12.955</v>
      </c>
      <c r="BG10" s="49">
        <v>24.96</v>
      </c>
      <c r="BH10" s="49">
        <v>25.2</v>
      </c>
      <c r="BI10" s="49">
        <v>65.486000000000004</v>
      </c>
      <c r="BJ10" s="50">
        <v>82.686000000000007</v>
      </c>
      <c r="BK10" s="49">
        <v>63.667000000000002</v>
      </c>
      <c r="BL10" s="50">
        <v>79.837999999999994</v>
      </c>
      <c r="BM10" s="50">
        <v>80.034000000000006</v>
      </c>
      <c r="BN10" s="49">
        <v>113.32</v>
      </c>
      <c r="BO10" s="49">
        <v>109.224</v>
      </c>
      <c r="BP10" s="50">
        <v>130.76</v>
      </c>
      <c r="BQ10" s="50">
        <v>133.32</v>
      </c>
      <c r="BR10" s="50">
        <v>61.128</v>
      </c>
      <c r="BS10" s="49">
        <v>27.5</v>
      </c>
      <c r="BT10" s="49">
        <v>6840.2979999999998</v>
      </c>
      <c r="BU10" s="49">
        <v>39.509</v>
      </c>
      <c r="BV10" s="49">
        <v>53.987000000000002</v>
      </c>
      <c r="BW10" s="50">
        <v>57.262</v>
      </c>
      <c r="BX10" s="49">
        <v>55.917000000000002</v>
      </c>
      <c r="BY10" s="49">
        <v>1.2849999999999999</v>
      </c>
      <c r="BZ10" s="49">
        <v>1.843</v>
      </c>
      <c r="CA10" s="49">
        <v>2.2930000000000001</v>
      </c>
      <c r="CB10" s="49">
        <v>2.1930000000000001</v>
      </c>
      <c r="CC10" s="49">
        <v>0.9</v>
      </c>
      <c r="CD10" s="49">
        <v>2.1760000000000002</v>
      </c>
      <c r="CE10" s="49">
        <v>1.349</v>
      </c>
      <c r="CF10" s="49">
        <v>1.958</v>
      </c>
      <c r="CG10" s="50">
        <v>13.997999999999999</v>
      </c>
      <c r="CH10" s="49">
        <v>13.567</v>
      </c>
      <c r="CI10" s="3"/>
      <c r="CJ10" s="3"/>
      <c r="CK10" s="3"/>
      <c r="CL10" s="49">
        <v>0</v>
      </c>
      <c r="CM10" s="49">
        <v>1.1000000000000001</v>
      </c>
      <c r="CN10" s="50">
        <v>0</v>
      </c>
      <c r="CO10" s="50">
        <v>0</v>
      </c>
      <c r="CP10" s="49">
        <v>88.221000000000004</v>
      </c>
      <c r="CQ10" s="49">
        <v>86.274000000000001</v>
      </c>
      <c r="CR10" s="49">
        <v>99.076999999999998</v>
      </c>
      <c r="CS10" s="49">
        <v>101.996</v>
      </c>
      <c r="CT10" s="49">
        <v>0.22700000000000001</v>
      </c>
      <c r="CU10" s="50">
        <v>6.24</v>
      </c>
      <c r="CV10" s="50">
        <v>5.7389999999999999</v>
      </c>
      <c r="CW10" s="50">
        <v>5.7389999999999999</v>
      </c>
      <c r="CX10" s="50">
        <v>6.2380000000000004</v>
      </c>
      <c r="CY10" s="50">
        <v>5.5359999999999996</v>
      </c>
      <c r="CZ10" s="50">
        <v>6.0369999999999999</v>
      </c>
      <c r="DA10" s="50">
        <v>5.742</v>
      </c>
      <c r="DB10" s="50">
        <v>6.54</v>
      </c>
      <c r="DC10" s="50">
        <v>0</v>
      </c>
      <c r="DD10" s="50">
        <v>0</v>
      </c>
      <c r="DE10" s="49">
        <v>0.13800000000000001</v>
      </c>
      <c r="DF10" s="49">
        <v>5.5E-2</v>
      </c>
      <c r="DG10" s="49">
        <v>0.373</v>
      </c>
      <c r="DH10" s="49">
        <v>1.367</v>
      </c>
      <c r="DI10" s="49">
        <v>0.61899999999999999</v>
      </c>
      <c r="DJ10" s="49">
        <v>0.126</v>
      </c>
      <c r="DK10" s="49">
        <v>0.79800000000000004</v>
      </c>
      <c r="DL10" s="50">
        <v>0.40799999999999997</v>
      </c>
      <c r="DM10" s="50">
        <v>0.80200000000000005</v>
      </c>
      <c r="DN10" s="49">
        <v>0.41499999999999998</v>
      </c>
      <c r="DO10" s="50">
        <v>0.36299999999999999</v>
      </c>
      <c r="DP10" s="49">
        <v>63.292999999999999</v>
      </c>
      <c r="DQ10" s="49">
        <v>60.378</v>
      </c>
      <c r="DR10" s="49">
        <v>50.837000000000003</v>
      </c>
      <c r="DS10" s="50">
        <v>55.01</v>
      </c>
      <c r="DT10" s="49">
        <v>1.36</v>
      </c>
      <c r="DU10" s="49">
        <v>1.61</v>
      </c>
      <c r="DV10" s="49">
        <v>4.21</v>
      </c>
      <c r="DW10" s="49">
        <v>3.84</v>
      </c>
      <c r="DX10" s="49">
        <v>1.45</v>
      </c>
      <c r="DY10" s="49">
        <v>1.65</v>
      </c>
      <c r="DZ10" s="49">
        <v>3.84</v>
      </c>
      <c r="EA10" s="49">
        <v>3.66</v>
      </c>
      <c r="EB10" s="50">
        <v>43.29</v>
      </c>
      <c r="EC10" s="49">
        <v>42.6</v>
      </c>
      <c r="ED10" s="50">
        <v>35.950000000000003</v>
      </c>
      <c r="EE10" s="50">
        <v>35.909999999999997</v>
      </c>
      <c r="EF10" s="49">
        <v>53.91</v>
      </c>
      <c r="EG10" s="49">
        <v>54.13</v>
      </c>
      <c r="EH10" s="49">
        <v>56</v>
      </c>
      <c r="EI10" s="49">
        <v>56.59</v>
      </c>
      <c r="EJ10" s="50">
        <v>6.5289999999999999</v>
      </c>
      <c r="EK10" s="49">
        <v>58.131999999999998</v>
      </c>
      <c r="EL10" s="49">
        <v>2.1</v>
      </c>
      <c r="EM10" s="49">
        <v>1.6</v>
      </c>
      <c r="EN10" s="50">
        <v>1.65</v>
      </c>
      <c r="EO10" s="50">
        <v>1.64</v>
      </c>
      <c r="EP10" s="49">
        <v>-62.421999999999997</v>
      </c>
      <c r="EQ10" s="50">
        <v>-0.223</v>
      </c>
      <c r="ER10" s="49">
        <v>63.722000000000001</v>
      </c>
      <c r="ES10" s="50">
        <v>1.5660000000000001</v>
      </c>
      <c r="ET10" s="50">
        <v>1.651</v>
      </c>
      <c r="EU10" s="50">
        <v>1.554</v>
      </c>
      <c r="EV10" s="49">
        <v>7.2290000000000001</v>
      </c>
      <c r="EW10" s="49">
        <v>1.3029999999999999</v>
      </c>
      <c r="EX10" s="49">
        <v>38.1</v>
      </c>
      <c r="EY10" s="50">
        <v>2.601</v>
      </c>
      <c r="EZ10" s="49">
        <v>0</v>
      </c>
      <c r="FA10" s="50">
        <v>0</v>
      </c>
      <c r="FB10" s="50">
        <v>9.4550000000000001</v>
      </c>
      <c r="FC10" s="49">
        <v>64.772000000000006</v>
      </c>
      <c r="FD10" s="49">
        <v>61.338000000000001</v>
      </c>
      <c r="FE10" s="49">
        <v>69.950999999999993</v>
      </c>
      <c r="FF10" s="49">
        <v>69.802999999999997</v>
      </c>
      <c r="FG10" s="49">
        <v>0.98499999999999999</v>
      </c>
      <c r="FH10" s="49">
        <v>0.93400000000000005</v>
      </c>
      <c r="FI10" s="50">
        <v>1.0129999999999999</v>
      </c>
      <c r="FJ10" s="50">
        <v>1.0149999999999999</v>
      </c>
      <c r="FK10" s="49">
        <v>0</v>
      </c>
      <c r="FL10" s="49">
        <v>82</v>
      </c>
      <c r="FM10" s="49">
        <v>3.46</v>
      </c>
      <c r="FN10" s="49">
        <v>-0.74</v>
      </c>
      <c r="FO10" s="49">
        <v>5.46</v>
      </c>
      <c r="FP10" s="49">
        <v>4.1500000000000004</v>
      </c>
      <c r="FQ10" s="49">
        <v>4.5</v>
      </c>
      <c r="FR10" s="49">
        <v>5.15</v>
      </c>
      <c r="FS10" s="49">
        <v>6.5345000000000004</v>
      </c>
      <c r="FT10" s="49">
        <v>1065.8</v>
      </c>
      <c r="FU10" s="49">
        <v>6.87</v>
      </c>
      <c r="FV10" s="50">
        <v>21.18</v>
      </c>
      <c r="FW10" s="49">
        <v>3130.5</v>
      </c>
      <c r="FX10" s="50">
        <v>167500</v>
      </c>
      <c r="FY10" s="50">
        <v>169200</v>
      </c>
      <c r="FZ10" s="50">
        <v>51.923999999999999</v>
      </c>
      <c r="GA10" s="50">
        <v>51.548000000000002</v>
      </c>
      <c r="GB10" s="49">
        <v>2130.1999999999998</v>
      </c>
      <c r="GC10" s="49">
        <v>2132.1999999999998</v>
      </c>
      <c r="GD10" s="49">
        <v>2184</v>
      </c>
      <c r="GE10" s="49">
        <v>2184.9</v>
      </c>
      <c r="GF10" s="50">
        <v>1594.3125</v>
      </c>
      <c r="GG10" s="49">
        <v>34</v>
      </c>
      <c r="GH10" s="49">
        <v>33.799999999999997</v>
      </c>
      <c r="GI10" s="49">
        <v>50</v>
      </c>
      <c r="GJ10" s="49">
        <v>56.5</v>
      </c>
      <c r="GK10" s="49">
        <v>99.5</v>
      </c>
      <c r="GL10" s="49">
        <v>75.099999999999994</v>
      </c>
      <c r="GM10" s="50">
        <v>0</v>
      </c>
      <c r="GN10" s="49">
        <v>25.542999999999999</v>
      </c>
      <c r="GO10" s="49">
        <v>63.722000000000001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1.9470000000000001</v>
      </c>
      <c r="GV10" s="50">
        <v>0</v>
      </c>
      <c r="GW10" s="50">
        <v>14.068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50">
        <v>23.675999999999998</v>
      </c>
      <c r="HD10" s="50">
        <v>86</v>
      </c>
      <c r="HE10" s="50">
        <v>0</v>
      </c>
      <c r="HF10" s="50">
        <v>0</v>
      </c>
      <c r="HG10" s="49">
        <v>76.19</v>
      </c>
      <c r="HH10" s="49">
        <v>82.61</v>
      </c>
      <c r="HI10" s="50">
        <v>0</v>
      </c>
      <c r="HJ10" s="50">
        <v>0</v>
      </c>
      <c r="HK10" s="50">
        <v>0</v>
      </c>
      <c r="HL10" s="49">
        <v>62</v>
      </c>
      <c r="HM10" s="49">
        <v>53</v>
      </c>
      <c r="HN10" s="49">
        <v>64</v>
      </c>
      <c r="HO10" s="49">
        <v>58</v>
      </c>
      <c r="HP10" s="50">
        <v>60</v>
      </c>
      <c r="HQ10" s="49">
        <v>58</v>
      </c>
      <c r="HR10" s="49">
        <v>51</v>
      </c>
      <c r="HS10" s="50">
        <v>62</v>
      </c>
      <c r="HT10" s="50">
        <v>-1.357</v>
      </c>
      <c r="HU10" s="50">
        <v>0</v>
      </c>
      <c r="HV10" s="49">
        <v>-0.78</v>
      </c>
      <c r="HW10" s="49">
        <v>53.29</v>
      </c>
      <c r="HX10" s="49">
        <v>71.62</v>
      </c>
      <c r="HY10" s="3"/>
      <c r="HZ10" s="3"/>
      <c r="IA10" s="49">
        <v>1.9990000000000001</v>
      </c>
      <c r="IB10" s="49">
        <v>95</v>
      </c>
      <c r="IC10" s="49">
        <v>16.343</v>
      </c>
      <c r="ID10" s="49">
        <v>-5.3999999999999999E-2</v>
      </c>
      <c r="IE10" s="49">
        <v>-2.4E-2</v>
      </c>
      <c r="IF10" s="50">
        <v>808.7</v>
      </c>
      <c r="IG10" s="49">
        <v>587</v>
      </c>
      <c r="IH10" s="50">
        <v>828.5</v>
      </c>
      <c r="II10" s="49">
        <v>599.79999999999995</v>
      </c>
      <c r="IJ10" s="49">
        <v>5.7000000000000002E-2</v>
      </c>
      <c r="IK10" s="50">
        <v>5.3999999999999999E-2</v>
      </c>
      <c r="IL10" s="49">
        <v>317.68900000000002</v>
      </c>
      <c r="IM10" s="49">
        <v>317.68900000000002</v>
      </c>
      <c r="IN10" s="49">
        <v>13.379</v>
      </c>
      <c r="IO10" s="49">
        <v>0.114</v>
      </c>
      <c r="IP10" s="49">
        <v>10.039999999999999</v>
      </c>
      <c r="IQ10" s="49">
        <v>0</v>
      </c>
      <c r="IR10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2A2A-5D6A-4465-A7C1-21193649C2E2}">
  <sheetPr codeName="Sheet7"/>
  <dimension ref="B1:IR11"/>
  <sheetViews>
    <sheetView zoomScale="85" zoomScaleNormal="85" workbookViewId="0">
      <selection activeCell="D12" sqref="D12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421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4.220949074074074E-3</v>
      </c>
      <c r="E7" s="50">
        <v>364.68900000000002</v>
      </c>
      <c r="F7" s="49">
        <v>326.74</v>
      </c>
      <c r="G7" s="49">
        <v>4.72</v>
      </c>
      <c r="H7" s="49">
        <v>27.8</v>
      </c>
      <c r="I7" s="50">
        <v>3.1190000000000002</v>
      </c>
      <c r="J7" s="50">
        <v>34.5</v>
      </c>
      <c r="K7" s="50">
        <v>9</v>
      </c>
      <c r="L7" s="50">
        <v>8</v>
      </c>
      <c r="M7" s="50">
        <v>6</v>
      </c>
      <c r="N7" s="50">
        <v>3</v>
      </c>
      <c r="O7" s="50">
        <v>3</v>
      </c>
      <c r="P7" s="49">
        <v>1.0049999999999999</v>
      </c>
      <c r="Q7" s="49">
        <v>0.98299999999999998</v>
      </c>
      <c r="R7" s="50">
        <v>1.849</v>
      </c>
      <c r="S7" s="3"/>
      <c r="T7" s="49">
        <v>62.64</v>
      </c>
      <c r="U7" s="50">
        <v>63.218000000000004</v>
      </c>
      <c r="V7" s="49">
        <v>150</v>
      </c>
      <c r="W7" s="49">
        <v>137.5</v>
      </c>
      <c r="X7" s="49">
        <v>110</v>
      </c>
      <c r="Y7" s="49">
        <v>122.5</v>
      </c>
      <c r="Z7" s="49">
        <v>278.45999999999998</v>
      </c>
      <c r="AA7" s="49">
        <v>275.73</v>
      </c>
      <c r="AB7" s="49">
        <v>157.22</v>
      </c>
      <c r="AC7" s="49">
        <v>196.7</v>
      </c>
      <c r="AD7" s="49">
        <v>1.6539999999999999</v>
      </c>
      <c r="AE7" s="49">
        <v>1.746</v>
      </c>
      <c r="AF7" s="49">
        <v>1.5049999999999999</v>
      </c>
      <c r="AG7" s="49">
        <v>1.56</v>
      </c>
      <c r="AH7" s="49">
        <v>61.46</v>
      </c>
      <c r="AI7" s="49">
        <v>58.45</v>
      </c>
      <c r="AJ7" s="49">
        <v>71.39</v>
      </c>
      <c r="AK7" s="49">
        <v>70.3</v>
      </c>
      <c r="AL7" s="49">
        <v>539.53</v>
      </c>
      <c r="AM7" s="49">
        <v>556.66800000000001</v>
      </c>
      <c r="AN7" s="49">
        <v>614.90499999999997</v>
      </c>
      <c r="AO7" s="49">
        <v>591.52499999999998</v>
      </c>
      <c r="AP7" s="49">
        <v>1.3240000000000001</v>
      </c>
      <c r="AQ7" s="49">
        <v>1.8089999999999999</v>
      </c>
      <c r="AR7" s="50">
        <v>44.110999999999997</v>
      </c>
      <c r="AS7" s="50">
        <v>40.716000000000001</v>
      </c>
      <c r="AT7" s="50">
        <v>83</v>
      </c>
      <c r="AU7" s="49">
        <v>103</v>
      </c>
      <c r="AV7" s="49">
        <v>2.9580000000000002</v>
      </c>
      <c r="AW7" s="49">
        <v>4.7058</v>
      </c>
      <c r="AX7" s="49">
        <v>1011.7</v>
      </c>
      <c r="AY7" s="50">
        <v>2.38</v>
      </c>
      <c r="AZ7" s="49">
        <v>5.66</v>
      </c>
      <c r="BA7" s="49">
        <v>71.305999999999997</v>
      </c>
      <c r="BB7" s="49">
        <v>72.305999999999997</v>
      </c>
      <c r="BC7" s="49">
        <v>7731</v>
      </c>
      <c r="BD7" s="49">
        <v>88.5</v>
      </c>
      <c r="BE7" s="49">
        <v>14.96</v>
      </c>
      <c r="BF7" s="49">
        <v>11.16</v>
      </c>
      <c r="BG7" s="49">
        <v>27.29</v>
      </c>
      <c r="BH7" s="49">
        <v>26.85</v>
      </c>
      <c r="BI7" s="49">
        <v>65.394000000000005</v>
      </c>
      <c r="BJ7" s="50">
        <v>81.995000000000005</v>
      </c>
      <c r="BK7" s="49">
        <v>63.639000000000003</v>
      </c>
      <c r="BL7" s="50">
        <v>79.256</v>
      </c>
      <c r="BM7" s="49">
        <v>79.426000000000002</v>
      </c>
      <c r="BN7" s="49">
        <v>108.712</v>
      </c>
      <c r="BO7" s="49">
        <v>107.032</v>
      </c>
      <c r="BP7" s="49">
        <v>95.224000000000004</v>
      </c>
      <c r="BQ7" s="49">
        <v>101.88</v>
      </c>
      <c r="BR7" s="49">
        <v>59.515999999999998</v>
      </c>
      <c r="BS7" s="49">
        <v>27.4</v>
      </c>
      <c r="BT7" s="49">
        <v>7226.9840000000004</v>
      </c>
      <c r="BU7" s="49">
        <v>46.591999999999999</v>
      </c>
      <c r="BV7" s="50">
        <v>55.582000000000001</v>
      </c>
      <c r="BW7" s="49">
        <v>54.893000000000001</v>
      </c>
      <c r="BX7" s="50">
        <v>58.926000000000002</v>
      </c>
      <c r="BY7" s="49">
        <v>1.4450000000000001</v>
      </c>
      <c r="BZ7" s="49">
        <v>2.4359999999999999</v>
      </c>
      <c r="CA7" s="49">
        <v>2.306</v>
      </c>
      <c r="CB7" s="49">
        <v>2.7509999999999999</v>
      </c>
      <c r="CC7" s="49">
        <v>0.95799999999999996</v>
      </c>
      <c r="CD7" s="49">
        <v>1.9790000000000001</v>
      </c>
      <c r="CE7" s="49">
        <v>1.2330000000000001</v>
      </c>
      <c r="CF7" s="49">
        <v>2.0089999999999999</v>
      </c>
      <c r="CG7" s="49">
        <v>13.914999999999999</v>
      </c>
      <c r="CH7" s="50">
        <v>10.404999999999999</v>
      </c>
      <c r="CI7" s="49">
        <v>2.3690000000000002</v>
      </c>
      <c r="CJ7" s="49">
        <v>2.2589999999999999</v>
      </c>
      <c r="CK7" s="49">
        <v>1.2949999999999999</v>
      </c>
      <c r="CL7" s="49">
        <v>0</v>
      </c>
      <c r="CM7" s="49">
        <v>0</v>
      </c>
      <c r="CN7" s="50">
        <v>0</v>
      </c>
      <c r="CO7" s="50">
        <v>0</v>
      </c>
      <c r="CP7" s="49">
        <v>95.415999999999997</v>
      </c>
      <c r="CQ7" s="49">
        <v>93.515000000000001</v>
      </c>
      <c r="CR7" s="49">
        <v>84.012</v>
      </c>
      <c r="CS7" s="49">
        <v>88.71</v>
      </c>
      <c r="CT7" s="49">
        <v>0.373</v>
      </c>
      <c r="CU7" s="49">
        <v>0.79900000000000004</v>
      </c>
      <c r="CV7" s="49">
        <v>1.4</v>
      </c>
      <c r="CW7" s="50">
        <v>1.5</v>
      </c>
      <c r="CX7" s="49">
        <v>1.298</v>
      </c>
      <c r="CY7" s="49">
        <v>0.90200000000000002</v>
      </c>
      <c r="CZ7" s="49">
        <v>1.099</v>
      </c>
      <c r="DA7" s="49">
        <v>0.59899999999999998</v>
      </c>
      <c r="DB7" s="49">
        <v>1.5</v>
      </c>
      <c r="DC7" s="50">
        <v>6.0000000000000001E-3</v>
      </c>
      <c r="DD7" s="50">
        <v>0</v>
      </c>
      <c r="DE7" s="49">
        <v>0.20399999999999999</v>
      </c>
      <c r="DF7" s="49">
        <v>1.7999999999999999E-2</v>
      </c>
      <c r="DG7" s="49">
        <v>0.28399999999999997</v>
      </c>
      <c r="DH7" s="49">
        <v>2.1</v>
      </c>
      <c r="DI7" s="49">
        <v>0.71299999999999997</v>
      </c>
      <c r="DJ7" s="49">
        <v>0.189</v>
      </c>
      <c r="DK7" s="49">
        <v>0.876</v>
      </c>
      <c r="DL7" s="50">
        <v>0.40899999999999997</v>
      </c>
      <c r="DM7" s="49">
        <v>0.51600000000000001</v>
      </c>
      <c r="DN7" s="49">
        <v>0.70499999999999996</v>
      </c>
      <c r="DO7" s="49">
        <v>0.66600000000000004</v>
      </c>
      <c r="DP7" s="49">
        <v>63.497999999999998</v>
      </c>
      <c r="DQ7" s="50">
        <v>64.287000000000006</v>
      </c>
      <c r="DR7" s="49">
        <v>54.988</v>
      </c>
      <c r="DS7" s="49">
        <v>51.914000000000001</v>
      </c>
      <c r="DT7" s="49">
        <v>2.59</v>
      </c>
      <c r="DU7" s="49">
        <v>2.69</v>
      </c>
      <c r="DV7" s="49">
        <v>5.5</v>
      </c>
      <c r="DW7" s="49">
        <v>5.01</v>
      </c>
      <c r="DX7" s="49">
        <v>2.64</v>
      </c>
      <c r="DY7" s="49">
        <v>2.57</v>
      </c>
      <c r="DZ7" s="49">
        <v>5.23</v>
      </c>
      <c r="EA7" s="49">
        <v>4.74</v>
      </c>
      <c r="EB7" s="49">
        <v>39.049999999999997</v>
      </c>
      <c r="EC7" s="49">
        <v>39</v>
      </c>
      <c r="ED7" s="49">
        <v>33.39</v>
      </c>
      <c r="EE7" s="49">
        <v>33.229999999999997</v>
      </c>
      <c r="EF7" s="50">
        <v>55.72</v>
      </c>
      <c r="EG7" s="50">
        <v>55.74</v>
      </c>
      <c r="EH7" s="50">
        <v>55.88</v>
      </c>
      <c r="EI7" s="50">
        <v>57.02</v>
      </c>
      <c r="EJ7" s="49">
        <v>5.9589999999999996</v>
      </c>
      <c r="EK7" s="49">
        <v>58.49</v>
      </c>
      <c r="EL7" s="50">
        <v>2.25</v>
      </c>
      <c r="EM7" s="49">
        <v>1.65</v>
      </c>
      <c r="EN7" s="49">
        <v>1.41</v>
      </c>
      <c r="EO7" s="49">
        <v>1.41</v>
      </c>
      <c r="EP7" s="49">
        <v>-97.462000000000003</v>
      </c>
      <c r="EQ7" s="49">
        <v>-1.07</v>
      </c>
      <c r="ER7" s="49">
        <v>73.650000000000006</v>
      </c>
      <c r="ES7" s="49">
        <v>1.399</v>
      </c>
      <c r="ET7" s="49">
        <v>1.494</v>
      </c>
      <c r="EU7" s="49">
        <v>1.3859999999999999</v>
      </c>
      <c r="EV7" s="49">
        <v>7.2869999999999999</v>
      </c>
      <c r="EW7" s="49">
        <v>1.5489999999999999</v>
      </c>
      <c r="EX7" s="49">
        <v>-196.62</v>
      </c>
      <c r="EY7" s="50">
        <v>9.8350000000000009</v>
      </c>
      <c r="EZ7" s="49">
        <v>0</v>
      </c>
      <c r="FA7" s="50">
        <v>0</v>
      </c>
      <c r="FB7" s="49">
        <v>8.7449999999999992</v>
      </c>
      <c r="FC7" s="49">
        <v>57.13</v>
      </c>
      <c r="FD7" s="49">
        <v>54.816000000000003</v>
      </c>
      <c r="FE7" s="49">
        <v>57.643999999999998</v>
      </c>
      <c r="FF7" s="49">
        <v>57.854999999999997</v>
      </c>
      <c r="FG7" s="50">
        <v>0.95599999999999996</v>
      </c>
      <c r="FH7" s="50">
        <v>0.96</v>
      </c>
      <c r="FI7" s="49">
        <v>1.008</v>
      </c>
      <c r="FJ7" s="49">
        <v>1.0089999999999999</v>
      </c>
      <c r="FK7" s="50">
        <v>0.10100000000000001</v>
      </c>
      <c r="FL7" s="50">
        <v>84</v>
      </c>
      <c r="FM7" s="49">
        <v>3.33</v>
      </c>
      <c r="FN7" s="49">
        <v>-0.67</v>
      </c>
      <c r="FO7" s="49">
        <v>5.44</v>
      </c>
      <c r="FP7" s="49">
        <v>4.55</v>
      </c>
      <c r="FQ7" s="50">
        <v>3.65</v>
      </c>
      <c r="FR7" s="49">
        <v>5.15</v>
      </c>
      <c r="FS7" s="49">
        <v>6.2515000000000001</v>
      </c>
      <c r="FT7" s="49">
        <v>1069.2</v>
      </c>
      <c r="FU7" s="49">
        <v>6.82</v>
      </c>
      <c r="FV7" s="49">
        <v>4.72</v>
      </c>
      <c r="FW7" s="50">
        <v>3264.5</v>
      </c>
      <c r="FX7" s="49">
        <v>164100</v>
      </c>
      <c r="FY7" s="49">
        <v>165700</v>
      </c>
      <c r="FZ7" s="49">
        <v>49.765000000000001</v>
      </c>
      <c r="GA7" s="49">
        <v>49.281999999999996</v>
      </c>
      <c r="GB7" s="50">
        <v>2356.6999999999998</v>
      </c>
      <c r="GC7" s="49">
        <v>2255.6999999999998</v>
      </c>
      <c r="GD7" s="50">
        <v>2356.6999999999998</v>
      </c>
      <c r="GE7" s="49">
        <v>2255.6999999999998</v>
      </c>
      <c r="GF7" s="49">
        <v>1542.25</v>
      </c>
      <c r="GG7" s="49">
        <v>35</v>
      </c>
      <c r="GH7" s="49">
        <v>34.6</v>
      </c>
      <c r="GI7" s="49">
        <v>50.8</v>
      </c>
      <c r="GJ7" s="49">
        <v>56.8</v>
      </c>
      <c r="GK7" s="50">
        <v>98.5</v>
      </c>
      <c r="GL7" s="49">
        <v>78.8</v>
      </c>
      <c r="GM7" s="50">
        <v>0</v>
      </c>
      <c r="GN7" s="49">
        <v>26.638000000000002</v>
      </c>
      <c r="GO7" s="49">
        <v>97.462000000000003</v>
      </c>
      <c r="GP7" s="50">
        <v>0</v>
      </c>
      <c r="GQ7" s="50">
        <v>4.5430000000000001</v>
      </c>
      <c r="GR7" s="50">
        <v>0</v>
      </c>
      <c r="GS7" s="50">
        <v>4.8970000000000002</v>
      </c>
      <c r="GT7" s="50">
        <v>0</v>
      </c>
      <c r="GU7" s="50">
        <v>4.3659999999999997</v>
      </c>
      <c r="GV7" s="50">
        <v>0</v>
      </c>
      <c r="GW7" s="49">
        <v>12.797000000000001</v>
      </c>
      <c r="GX7" s="50">
        <v>20.09</v>
      </c>
      <c r="GY7" s="50">
        <v>0</v>
      </c>
      <c r="GZ7" s="50">
        <v>0</v>
      </c>
      <c r="HA7" s="50">
        <v>0</v>
      </c>
      <c r="HB7" s="50">
        <v>1</v>
      </c>
      <c r="HC7" s="49">
        <v>22.771000000000001</v>
      </c>
      <c r="HD7" s="50">
        <v>86</v>
      </c>
      <c r="HE7" s="50">
        <v>0</v>
      </c>
      <c r="HF7" s="50">
        <v>0</v>
      </c>
      <c r="HG7" s="50">
        <v>91.05</v>
      </c>
      <c r="HH7" s="50">
        <v>94.09</v>
      </c>
      <c r="HI7" s="50">
        <v>0</v>
      </c>
      <c r="HJ7" s="50">
        <v>0</v>
      </c>
      <c r="HK7" s="50">
        <v>0</v>
      </c>
      <c r="HL7" s="50">
        <v>62</v>
      </c>
      <c r="HM7" s="50">
        <v>53</v>
      </c>
      <c r="HN7" s="49">
        <v>64</v>
      </c>
      <c r="HO7" s="49">
        <v>58</v>
      </c>
      <c r="HP7" s="49">
        <v>61</v>
      </c>
      <c r="HQ7" s="49">
        <v>59</v>
      </c>
      <c r="HR7" s="49">
        <v>52</v>
      </c>
      <c r="HS7" s="49">
        <v>58</v>
      </c>
      <c r="HT7" s="49">
        <v>-1.3334999999999999</v>
      </c>
      <c r="HU7" s="50">
        <v>0</v>
      </c>
      <c r="HV7" s="49">
        <v>-0.61599999999999999</v>
      </c>
      <c r="HW7" s="49">
        <v>53.99</v>
      </c>
      <c r="HX7" s="49">
        <v>64.45</v>
      </c>
      <c r="HY7" s="3"/>
      <c r="HZ7" s="3"/>
      <c r="IA7" s="49">
        <v>2.4180000000000001</v>
      </c>
      <c r="IB7" s="49">
        <v>98</v>
      </c>
      <c r="IC7" s="49">
        <v>18.274000000000001</v>
      </c>
      <c r="ID7" s="50">
        <v>-4.3999999999999997E-2</v>
      </c>
      <c r="IE7" s="50">
        <v>-1.7999999999999999E-2</v>
      </c>
      <c r="IF7" s="49">
        <v>797.2</v>
      </c>
      <c r="IG7" s="49">
        <v>640.4</v>
      </c>
      <c r="IH7" s="49">
        <v>803.7</v>
      </c>
      <c r="II7" s="49">
        <v>654.9</v>
      </c>
      <c r="IJ7" s="49">
        <v>1.9E-2</v>
      </c>
      <c r="IK7" s="49">
        <v>0.01</v>
      </c>
      <c r="IL7" s="50">
        <v>249.6</v>
      </c>
      <c r="IM7" s="50">
        <v>249.6</v>
      </c>
      <c r="IN7" s="50">
        <v>14.72</v>
      </c>
      <c r="IO7" s="49">
        <v>9.2999999999999999E-2</v>
      </c>
      <c r="IP7" s="50">
        <v>10.119999999999999</v>
      </c>
      <c r="IQ7" s="49">
        <v>5.0000000000000001E-3</v>
      </c>
      <c r="IR7" s="50">
        <v>1.2999999999999999E-2</v>
      </c>
    </row>
    <row r="8" spans="2:252" x14ac:dyDescent="0.25">
      <c r="B8" s="2" t="s">
        <v>412</v>
      </c>
      <c r="C8" s="2" t="s">
        <v>42</v>
      </c>
      <c r="D8" s="61">
        <v>3.9473379629629624E-3</v>
      </c>
      <c r="E8" s="49">
        <v>341.03</v>
      </c>
      <c r="F8" s="49">
        <v>324.05</v>
      </c>
      <c r="G8" s="49">
        <v>4.8</v>
      </c>
      <c r="H8" s="49">
        <v>27.5</v>
      </c>
      <c r="I8" s="49">
        <v>0</v>
      </c>
      <c r="J8" s="49">
        <v>17.2</v>
      </c>
      <c r="K8" s="50">
        <v>9</v>
      </c>
      <c r="L8" s="50">
        <v>8</v>
      </c>
      <c r="M8" s="50">
        <v>6</v>
      </c>
      <c r="N8" s="50">
        <v>3</v>
      </c>
      <c r="O8" s="50">
        <v>3</v>
      </c>
      <c r="P8" s="50">
        <v>1.01</v>
      </c>
      <c r="Q8" s="50">
        <v>1.9830000000000001</v>
      </c>
      <c r="R8" s="49">
        <v>0.82099999999999995</v>
      </c>
      <c r="S8" s="49">
        <v>0.68600000000000005</v>
      </c>
      <c r="T8" s="49">
        <v>55.7</v>
      </c>
      <c r="U8" s="49">
        <v>61.423999999999999</v>
      </c>
      <c r="V8" s="50">
        <v>50</v>
      </c>
      <c r="W8" s="50">
        <v>40</v>
      </c>
      <c r="X8" s="50">
        <v>80</v>
      </c>
      <c r="Y8" s="50">
        <v>80</v>
      </c>
      <c r="Z8" s="49">
        <v>188.97</v>
      </c>
      <c r="AA8" s="49">
        <v>183.43</v>
      </c>
      <c r="AB8" s="49">
        <v>126.05</v>
      </c>
      <c r="AC8" s="49">
        <v>148.25</v>
      </c>
      <c r="AD8" s="49">
        <v>1.5780000000000001</v>
      </c>
      <c r="AE8" s="49">
        <v>1.671</v>
      </c>
      <c r="AF8" s="49">
        <v>1.413</v>
      </c>
      <c r="AG8" s="49">
        <v>1.466</v>
      </c>
      <c r="AH8" s="49">
        <v>50.87</v>
      </c>
      <c r="AI8" s="49">
        <v>49.22</v>
      </c>
      <c r="AJ8" s="49">
        <v>59.55</v>
      </c>
      <c r="AK8" s="49">
        <v>58.82</v>
      </c>
      <c r="AL8" s="49">
        <v>556.87400000000002</v>
      </c>
      <c r="AM8" s="49">
        <v>562.74199999999996</v>
      </c>
      <c r="AN8" s="49">
        <v>638.29499999999996</v>
      </c>
      <c r="AO8" s="49">
        <v>659.87599999999998</v>
      </c>
      <c r="AP8" s="49">
        <v>1.3360000000000001</v>
      </c>
      <c r="AQ8" s="49">
        <v>1.81</v>
      </c>
      <c r="AR8" s="49">
        <v>42.622</v>
      </c>
      <c r="AS8" s="49">
        <v>37.804000000000002</v>
      </c>
      <c r="AT8" s="49">
        <v>82</v>
      </c>
      <c r="AU8" s="49">
        <v>98</v>
      </c>
      <c r="AV8" s="49">
        <v>2.2715000000000001</v>
      </c>
      <c r="AW8" s="49">
        <v>4.9657</v>
      </c>
      <c r="AX8" s="49">
        <v>1007.7</v>
      </c>
      <c r="AY8" s="49">
        <v>2.2400000000000002</v>
      </c>
      <c r="AZ8" s="49">
        <v>5.59</v>
      </c>
      <c r="BA8" s="49">
        <v>72.599999999999994</v>
      </c>
      <c r="BB8" s="49">
        <v>73.900000000000006</v>
      </c>
      <c r="BC8" s="49">
        <v>7737</v>
      </c>
      <c r="BD8" s="50">
        <v>89.75</v>
      </c>
      <c r="BE8" s="49">
        <v>13.664999999999999</v>
      </c>
      <c r="BF8" s="49">
        <v>11.525</v>
      </c>
      <c r="BG8" s="49">
        <v>26.17</v>
      </c>
      <c r="BH8" s="49">
        <v>25.94</v>
      </c>
      <c r="BI8" s="3"/>
      <c r="BJ8" s="3"/>
      <c r="BK8" s="3"/>
      <c r="BL8" s="3"/>
      <c r="BM8" s="3"/>
      <c r="BN8" s="49">
        <v>103.208</v>
      </c>
      <c r="BO8" s="49">
        <v>98.488</v>
      </c>
      <c r="BP8" s="49">
        <v>88.135999999999996</v>
      </c>
      <c r="BQ8" s="49">
        <v>93.367999999999995</v>
      </c>
      <c r="BR8" s="3"/>
      <c r="BS8" s="49">
        <v>27.3</v>
      </c>
      <c r="BT8" s="49">
        <v>7290.7129999999997</v>
      </c>
      <c r="BU8" s="49">
        <v>44.293999999999997</v>
      </c>
      <c r="BV8" s="49">
        <v>54.652000000000001</v>
      </c>
      <c r="BW8" s="50">
        <v>55.906999999999996</v>
      </c>
      <c r="BX8" s="49">
        <v>56.95</v>
      </c>
      <c r="BY8" s="49">
        <v>1.335</v>
      </c>
      <c r="BZ8" s="49">
        <v>2.4889999999999999</v>
      </c>
      <c r="CA8" s="49">
        <v>2.5870000000000002</v>
      </c>
      <c r="CB8" s="49">
        <v>4.1740000000000004</v>
      </c>
      <c r="CC8" s="49">
        <v>0.90100000000000002</v>
      </c>
      <c r="CD8" s="49">
        <v>2.0449999999999999</v>
      </c>
      <c r="CE8" s="50">
        <v>1.3169999999999999</v>
      </c>
      <c r="CF8" s="50">
        <v>2.15</v>
      </c>
      <c r="CG8" s="50">
        <v>13.983000000000001</v>
      </c>
      <c r="CH8" s="49">
        <v>13.826000000000001</v>
      </c>
      <c r="CI8" s="49">
        <v>3.254</v>
      </c>
      <c r="CJ8" s="49">
        <v>2.698</v>
      </c>
      <c r="CK8" s="49">
        <v>1.504</v>
      </c>
      <c r="CL8" s="49">
        <v>0</v>
      </c>
      <c r="CM8" s="49">
        <v>0.3</v>
      </c>
      <c r="CN8" s="50">
        <v>0</v>
      </c>
      <c r="CO8" s="50">
        <v>0</v>
      </c>
      <c r="CP8" s="49">
        <v>76.325000000000003</v>
      </c>
      <c r="CQ8" s="49">
        <v>74.010999999999996</v>
      </c>
      <c r="CR8" s="49">
        <v>70.13</v>
      </c>
      <c r="CS8" s="49">
        <v>74.073999999999998</v>
      </c>
      <c r="CT8" s="49">
        <v>0.33600000000000002</v>
      </c>
      <c r="CU8" s="50">
        <v>0.999</v>
      </c>
      <c r="CV8" s="50">
        <v>1.498</v>
      </c>
      <c r="CW8" s="49">
        <v>1.296</v>
      </c>
      <c r="CX8" s="49">
        <v>1.796</v>
      </c>
      <c r="CY8" s="50">
        <v>1.6930000000000001</v>
      </c>
      <c r="CZ8" s="49">
        <v>0.501</v>
      </c>
      <c r="DA8" s="49">
        <v>0.69899999999999995</v>
      </c>
      <c r="DB8" s="49">
        <v>1.498</v>
      </c>
      <c r="DC8" s="49">
        <v>0</v>
      </c>
      <c r="DD8" s="50">
        <v>0</v>
      </c>
      <c r="DE8" s="49">
        <v>0.252</v>
      </c>
      <c r="DF8" s="49">
        <v>0.109</v>
      </c>
      <c r="DG8" s="49">
        <v>1.2210000000000001</v>
      </c>
      <c r="DH8" s="50">
        <v>3.7</v>
      </c>
      <c r="DI8" s="49">
        <v>0.68200000000000005</v>
      </c>
      <c r="DJ8" s="49">
        <v>0.11899999999999999</v>
      </c>
      <c r="DK8" s="49">
        <v>1.0109999999999999</v>
      </c>
      <c r="DL8" s="49">
        <v>0.40200000000000002</v>
      </c>
      <c r="DM8" s="50">
        <v>0.69</v>
      </c>
      <c r="DN8" s="49">
        <v>0.38700000000000001</v>
      </c>
      <c r="DO8" s="49">
        <v>0.373</v>
      </c>
      <c r="DP8" s="49">
        <v>62.68</v>
      </c>
      <c r="DQ8" s="49">
        <v>60.649000000000001</v>
      </c>
      <c r="DR8" s="49">
        <v>53.491</v>
      </c>
      <c r="DS8" s="49">
        <v>52.212000000000003</v>
      </c>
      <c r="DT8" s="49">
        <v>2.58</v>
      </c>
      <c r="DU8" s="49">
        <v>2.6</v>
      </c>
      <c r="DV8" s="49">
        <v>6.06</v>
      </c>
      <c r="DW8" s="49">
        <v>5.46</v>
      </c>
      <c r="DX8" s="49">
        <v>2.63</v>
      </c>
      <c r="DY8" s="49">
        <v>2.73</v>
      </c>
      <c r="DZ8" s="49">
        <v>5.82</v>
      </c>
      <c r="EA8" s="49">
        <v>5.31</v>
      </c>
      <c r="EB8" s="50">
        <v>43.1</v>
      </c>
      <c r="EC8" s="50">
        <v>43.26</v>
      </c>
      <c r="ED8" s="50">
        <v>35.78</v>
      </c>
      <c r="EE8" s="50">
        <v>35.58</v>
      </c>
      <c r="EF8" s="49">
        <v>51.69</v>
      </c>
      <c r="EG8" s="49">
        <v>51.41</v>
      </c>
      <c r="EH8" s="49">
        <v>52.34</v>
      </c>
      <c r="EI8" s="49">
        <v>53.65</v>
      </c>
      <c r="EJ8" s="49">
        <v>6.3929999999999998</v>
      </c>
      <c r="EK8" s="49">
        <v>58.558999999999997</v>
      </c>
      <c r="EL8" s="49">
        <v>2</v>
      </c>
      <c r="EM8" s="50">
        <v>1.6</v>
      </c>
      <c r="EN8" s="50">
        <v>1.5</v>
      </c>
      <c r="EO8" s="50">
        <v>1.5</v>
      </c>
      <c r="EP8" s="50">
        <v>-124.61799999999999</v>
      </c>
      <c r="EQ8" s="50">
        <v>-0.379</v>
      </c>
      <c r="ER8" s="49">
        <v>92.63</v>
      </c>
      <c r="ES8" s="50">
        <v>1.534</v>
      </c>
      <c r="ET8" s="50">
        <v>1.6419999999999999</v>
      </c>
      <c r="EU8" s="50">
        <v>1.526</v>
      </c>
      <c r="EV8" s="49">
        <v>7.4210000000000003</v>
      </c>
      <c r="EW8" s="49">
        <v>1.47</v>
      </c>
      <c r="EX8" s="49">
        <v>52.7</v>
      </c>
      <c r="EY8" s="49">
        <v>0</v>
      </c>
      <c r="EZ8" s="50">
        <v>22.466000000000001</v>
      </c>
      <c r="FA8" s="50">
        <v>0</v>
      </c>
      <c r="FB8" s="50">
        <v>9.4269999999999996</v>
      </c>
      <c r="FC8" s="49">
        <v>55.045000000000002</v>
      </c>
      <c r="FD8" s="49">
        <v>52.567999999999998</v>
      </c>
      <c r="FE8" s="49">
        <v>53.552999999999997</v>
      </c>
      <c r="FF8" s="49">
        <v>53.878999999999998</v>
      </c>
      <c r="FG8" s="49">
        <v>0.92700000000000005</v>
      </c>
      <c r="FH8" s="49">
        <v>0.92700000000000005</v>
      </c>
      <c r="FI8" s="50">
        <v>1.0109999999999999</v>
      </c>
      <c r="FJ8" s="50">
        <v>1.0129999999999999</v>
      </c>
      <c r="FK8" s="49">
        <v>0</v>
      </c>
      <c r="FL8" s="49">
        <v>83</v>
      </c>
      <c r="FM8" s="49">
        <v>3.56</v>
      </c>
      <c r="FN8" s="50">
        <v>-0.75</v>
      </c>
      <c r="FO8" s="49">
        <v>5.45</v>
      </c>
      <c r="FP8" s="49">
        <v>4.6500000000000004</v>
      </c>
      <c r="FQ8" s="49">
        <v>4.5999999999999996</v>
      </c>
      <c r="FR8" s="49">
        <v>5.15</v>
      </c>
      <c r="FS8" s="49">
        <v>6.4649999999999999</v>
      </c>
      <c r="FT8" s="49">
        <v>1076.3</v>
      </c>
      <c r="FU8" s="50">
        <v>6.9</v>
      </c>
      <c r="FV8" s="49">
        <v>9.52</v>
      </c>
      <c r="FW8" s="49">
        <v>3047.5</v>
      </c>
      <c r="FX8" s="49">
        <v>163800</v>
      </c>
      <c r="FY8" s="49">
        <v>164800</v>
      </c>
      <c r="FZ8" s="50">
        <v>50.255000000000003</v>
      </c>
      <c r="GA8" s="50">
        <v>49.554000000000002</v>
      </c>
      <c r="GB8" s="49">
        <v>2171.6</v>
      </c>
      <c r="GC8" s="49">
        <v>2171.3000000000002</v>
      </c>
      <c r="GD8" s="49">
        <v>2191.9</v>
      </c>
      <c r="GE8" s="49">
        <v>2189.5</v>
      </c>
      <c r="GF8" s="49">
        <v>1364.4530999999999</v>
      </c>
      <c r="GG8" s="49">
        <v>36</v>
      </c>
      <c r="GH8" s="49">
        <v>36.299999999999997</v>
      </c>
      <c r="GI8" s="50">
        <v>51.7</v>
      </c>
      <c r="GJ8" s="50">
        <v>58</v>
      </c>
      <c r="GK8" s="49">
        <v>99.5</v>
      </c>
      <c r="GL8" s="49">
        <v>77</v>
      </c>
      <c r="GM8" s="50">
        <v>0</v>
      </c>
      <c r="GN8" s="49">
        <v>26.195</v>
      </c>
      <c r="GO8" s="50">
        <v>124.61799999999999</v>
      </c>
      <c r="GP8" s="49">
        <v>0.53100000000000003</v>
      </c>
      <c r="GQ8" s="49">
        <v>1.9470000000000001</v>
      </c>
      <c r="GR8" s="49">
        <v>0.59</v>
      </c>
      <c r="GS8" s="49">
        <v>2.0059999999999998</v>
      </c>
      <c r="GT8" s="49">
        <v>0.64900000000000002</v>
      </c>
      <c r="GU8" s="49">
        <v>1.9470000000000001</v>
      </c>
      <c r="GV8" s="49">
        <v>13.034000000000001</v>
      </c>
      <c r="GW8" s="50">
        <v>14.199</v>
      </c>
      <c r="GX8" s="49">
        <v>16.366</v>
      </c>
      <c r="GY8" s="50">
        <v>0</v>
      </c>
      <c r="GZ8" s="50">
        <v>0</v>
      </c>
      <c r="HA8" s="50">
        <v>0</v>
      </c>
      <c r="HB8" s="49">
        <v>0</v>
      </c>
      <c r="HC8" s="49">
        <v>23.119</v>
      </c>
      <c r="HD8" s="49">
        <v>82</v>
      </c>
      <c r="HE8" s="50">
        <v>0</v>
      </c>
      <c r="HF8" s="50">
        <v>0</v>
      </c>
      <c r="HG8" s="49">
        <v>86.05</v>
      </c>
      <c r="HH8" s="49">
        <v>83.66</v>
      </c>
      <c r="HI8" s="50">
        <v>0</v>
      </c>
      <c r="HJ8" s="50">
        <v>0</v>
      </c>
      <c r="HK8" s="50">
        <v>0</v>
      </c>
      <c r="HL8" s="50">
        <v>62</v>
      </c>
      <c r="HM8" s="50">
        <v>53</v>
      </c>
      <c r="HN8" s="50">
        <v>65</v>
      </c>
      <c r="HO8" s="49">
        <v>58</v>
      </c>
      <c r="HP8" s="49">
        <v>61</v>
      </c>
      <c r="HQ8" s="49">
        <v>59</v>
      </c>
      <c r="HR8" s="50">
        <v>53</v>
      </c>
      <c r="HS8" s="50">
        <v>70</v>
      </c>
      <c r="HT8" s="49">
        <v>-1.3380000000000001</v>
      </c>
      <c r="HU8" s="50">
        <v>0</v>
      </c>
      <c r="HV8" s="49">
        <v>-0.81100000000000005</v>
      </c>
      <c r="HW8" s="50">
        <v>34.369999999999997</v>
      </c>
      <c r="HX8" s="49">
        <v>50.94</v>
      </c>
      <c r="HY8" s="49">
        <v>46.76</v>
      </c>
      <c r="HZ8" s="49">
        <v>61.71</v>
      </c>
      <c r="IA8" s="49">
        <v>2.4790000000000001</v>
      </c>
      <c r="IB8" s="49">
        <v>96</v>
      </c>
      <c r="IC8" s="49">
        <v>16.071999999999999</v>
      </c>
      <c r="ID8" s="49">
        <v>-0.11799999999999999</v>
      </c>
      <c r="IE8" s="49">
        <v>-4.7E-2</v>
      </c>
      <c r="IF8" s="49">
        <v>793.9</v>
      </c>
      <c r="IG8" s="49">
        <v>630</v>
      </c>
      <c r="IH8" s="50">
        <v>815.4</v>
      </c>
      <c r="II8" s="49">
        <v>642.29999999999995</v>
      </c>
      <c r="IJ8" s="50">
        <v>9.0999999999999998E-2</v>
      </c>
      <c r="IK8" s="50">
        <v>6.2E-2</v>
      </c>
      <c r="IL8" s="49">
        <v>232.65600000000001</v>
      </c>
      <c r="IM8" s="49">
        <v>232.65600000000001</v>
      </c>
      <c r="IN8" s="49">
        <v>12.865</v>
      </c>
      <c r="IO8" s="49">
        <v>0.14099999999999999</v>
      </c>
      <c r="IP8" s="49">
        <v>10.11</v>
      </c>
      <c r="IQ8" s="49">
        <v>4.0000000000000001E-3</v>
      </c>
      <c r="IR8" s="49">
        <v>5.0000000000000001E-3</v>
      </c>
    </row>
    <row r="9" spans="2:252" x14ac:dyDescent="0.25">
      <c r="B9" s="2" t="s">
        <v>412</v>
      </c>
      <c r="C9" s="2" t="s">
        <v>43</v>
      </c>
      <c r="D9" s="61">
        <v>2.4870370370370372E-3</v>
      </c>
      <c r="E9" s="49">
        <v>214.92</v>
      </c>
      <c r="F9" s="49">
        <v>326.8</v>
      </c>
      <c r="G9" s="49">
        <v>6.04</v>
      </c>
      <c r="H9" s="49">
        <v>28.1</v>
      </c>
      <c r="I9" s="49">
        <v>0</v>
      </c>
      <c r="J9" s="49">
        <v>12.1</v>
      </c>
      <c r="K9" s="50">
        <v>9</v>
      </c>
      <c r="L9" s="50">
        <v>8</v>
      </c>
      <c r="M9" s="50">
        <v>6</v>
      </c>
      <c r="N9" s="50">
        <v>3</v>
      </c>
      <c r="O9" s="50">
        <v>3</v>
      </c>
      <c r="P9" s="49">
        <v>0.95499999999999996</v>
      </c>
      <c r="Q9" s="49">
        <v>1.548</v>
      </c>
      <c r="R9" s="49">
        <v>0.98899999999999999</v>
      </c>
      <c r="S9" s="50">
        <v>0.89400000000000002</v>
      </c>
      <c r="T9" s="49">
        <v>73.34</v>
      </c>
      <c r="U9" s="49">
        <v>61.124000000000002</v>
      </c>
      <c r="V9" s="49">
        <v>245</v>
      </c>
      <c r="W9" s="49">
        <v>241.66</v>
      </c>
      <c r="X9" s="49">
        <v>140</v>
      </c>
      <c r="Y9" s="49">
        <v>190</v>
      </c>
      <c r="Z9" s="49">
        <v>385.38</v>
      </c>
      <c r="AA9" s="49">
        <v>377.86</v>
      </c>
      <c r="AB9" s="49">
        <v>262.56</v>
      </c>
      <c r="AC9" s="49">
        <v>326.95999999999998</v>
      </c>
      <c r="AD9" s="49">
        <v>1.712</v>
      </c>
      <c r="AE9" s="49">
        <v>1.7869999999999999</v>
      </c>
      <c r="AF9" s="49">
        <v>1.6279999999999999</v>
      </c>
      <c r="AG9" s="49">
        <v>1.661</v>
      </c>
      <c r="AH9" s="49">
        <v>73.180000000000007</v>
      </c>
      <c r="AI9" s="49">
        <v>71.25</v>
      </c>
      <c r="AJ9" s="49">
        <v>90.08</v>
      </c>
      <c r="AK9" s="49">
        <v>85.91</v>
      </c>
      <c r="AL9" s="49">
        <v>633.27800000000002</v>
      </c>
      <c r="AM9" s="49">
        <v>622.53899999999999</v>
      </c>
      <c r="AN9" s="49">
        <v>736.28599999999994</v>
      </c>
      <c r="AO9" s="49">
        <v>720.18200000000002</v>
      </c>
      <c r="AP9" s="49">
        <v>1.3380000000000001</v>
      </c>
      <c r="AQ9" s="50">
        <v>1.8340000000000001</v>
      </c>
      <c r="AR9" s="49">
        <v>42.055</v>
      </c>
      <c r="AS9" s="49">
        <v>37.786000000000001</v>
      </c>
      <c r="AT9" s="50">
        <v>83</v>
      </c>
      <c r="AU9" s="49">
        <v>110</v>
      </c>
      <c r="AV9" s="49">
        <v>1.8185</v>
      </c>
      <c r="AW9" s="49">
        <v>5.1310000000000002</v>
      </c>
      <c r="AX9" s="49">
        <v>1017.3</v>
      </c>
      <c r="AY9" s="49">
        <v>2.2799999999999998</v>
      </c>
      <c r="AZ9" s="49">
        <v>5.37</v>
      </c>
      <c r="BA9" s="49">
        <v>125.59699999999999</v>
      </c>
      <c r="BB9" s="49">
        <v>125.779</v>
      </c>
      <c r="BC9" s="49">
        <v>7763</v>
      </c>
      <c r="BD9" s="49">
        <v>88.25</v>
      </c>
      <c r="BE9" s="49">
        <v>16.864999999999998</v>
      </c>
      <c r="BF9" s="49">
        <v>14.07</v>
      </c>
      <c r="BG9" s="49">
        <v>28.1</v>
      </c>
      <c r="BH9" s="49">
        <v>26.34</v>
      </c>
      <c r="BI9" s="3"/>
      <c r="BJ9" s="3"/>
      <c r="BK9" s="3"/>
      <c r="BL9" s="3"/>
      <c r="BM9" s="3"/>
      <c r="BN9" s="49">
        <v>97.272000000000006</v>
      </c>
      <c r="BO9" s="49">
        <v>94.072000000000003</v>
      </c>
      <c r="BP9" s="49">
        <v>110.904</v>
      </c>
      <c r="BQ9" s="49">
        <v>113.816</v>
      </c>
      <c r="BR9" s="3"/>
      <c r="BS9" s="49">
        <v>27.7</v>
      </c>
      <c r="BT9" s="49">
        <v>7382.7349999999997</v>
      </c>
      <c r="BU9" s="50">
        <v>51.536000000000001</v>
      </c>
      <c r="BV9" s="49">
        <v>54.39</v>
      </c>
      <c r="BW9" s="49">
        <v>54.725000000000001</v>
      </c>
      <c r="BX9" s="49">
        <v>56.128999999999998</v>
      </c>
      <c r="BY9" s="50">
        <v>1.4830000000000001</v>
      </c>
      <c r="BZ9" s="49">
        <v>2.9369999999999998</v>
      </c>
      <c r="CA9" s="49">
        <v>3.3029999999999999</v>
      </c>
      <c r="CB9" s="49">
        <v>3.6469999999999998</v>
      </c>
      <c r="CC9" s="49">
        <v>0.82399999999999995</v>
      </c>
      <c r="CD9" s="50">
        <v>2.1640000000000001</v>
      </c>
      <c r="CE9" s="49">
        <v>1.161</v>
      </c>
      <c r="CF9" s="49">
        <v>1.9910000000000001</v>
      </c>
      <c r="CG9" s="49">
        <v>13.94</v>
      </c>
      <c r="CH9" s="49">
        <v>13.765000000000001</v>
      </c>
      <c r="CI9" s="49">
        <v>4.641</v>
      </c>
      <c r="CJ9" s="50">
        <v>3.327</v>
      </c>
      <c r="CK9" s="50">
        <v>1.655</v>
      </c>
      <c r="CL9" s="49">
        <v>0.1</v>
      </c>
      <c r="CM9" s="50">
        <v>0.9</v>
      </c>
      <c r="CN9" s="50">
        <v>0</v>
      </c>
      <c r="CO9" s="50">
        <v>0</v>
      </c>
      <c r="CP9" s="49">
        <v>90.174000000000007</v>
      </c>
      <c r="CQ9" s="49">
        <v>88.292000000000002</v>
      </c>
      <c r="CR9" s="49">
        <v>92.912999999999997</v>
      </c>
      <c r="CS9" s="49">
        <v>99.350999999999999</v>
      </c>
      <c r="CT9" s="49">
        <v>0.29499999999999998</v>
      </c>
      <c r="CU9" s="49">
        <v>0.89600000000000002</v>
      </c>
      <c r="CV9" s="49">
        <v>1.0980000000000001</v>
      </c>
      <c r="CW9" s="49">
        <v>0.998</v>
      </c>
      <c r="CX9" s="49">
        <v>1.696</v>
      </c>
      <c r="CY9" s="49">
        <v>0.499</v>
      </c>
      <c r="CZ9" s="49">
        <v>1.099</v>
      </c>
      <c r="DA9" s="49">
        <v>1.103</v>
      </c>
      <c r="DB9" s="49">
        <v>1.298</v>
      </c>
      <c r="DC9" s="49">
        <v>0</v>
      </c>
      <c r="DD9" s="50">
        <v>0</v>
      </c>
      <c r="DE9" s="50">
        <v>0.36</v>
      </c>
      <c r="DF9" s="50">
        <v>0.187</v>
      </c>
      <c r="DG9" s="50">
        <v>1.3089999999999999</v>
      </c>
      <c r="DH9" s="49">
        <v>2.4369999999999998</v>
      </c>
      <c r="DI9" s="49">
        <v>1.056</v>
      </c>
      <c r="DJ9" s="50">
        <v>0.38500000000000001</v>
      </c>
      <c r="DK9" s="49">
        <v>0.98699999999999999</v>
      </c>
      <c r="DL9" s="49">
        <v>0.39900000000000002</v>
      </c>
      <c r="DM9" s="49">
        <v>0.45200000000000001</v>
      </c>
      <c r="DN9" s="50">
        <v>0.86799999999999999</v>
      </c>
      <c r="DO9" s="50">
        <v>0.67400000000000004</v>
      </c>
      <c r="DP9" s="49">
        <v>64.688000000000002</v>
      </c>
      <c r="DQ9" s="49">
        <v>61.585000000000001</v>
      </c>
      <c r="DR9" s="49">
        <v>54.676000000000002</v>
      </c>
      <c r="DS9" s="49">
        <v>52.856000000000002</v>
      </c>
      <c r="DT9" s="49">
        <v>6.35</v>
      </c>
      <c r="DU9" s="49">
        <v>5.97</v>
      </c>
      <c r="DV9" s="49">
        <v>14.62</v>
      </c>
      <c r="DW9" s="49">
        <v>12.69</v>
      </c>
      <c r="DX9" s="49">
        <v>6.48</v>
      </c>
      <c r="DY9" s="49">
        <v>6.29</v>
      </c>
      <c r="DZ9" s="49">
        <v>14.15</v>
      </c>
      <c r="EA9" s="49">
        <v>12.62</v>
      </c>
      <c r="EB9" s="49">
        <v>42.44</v>
      </c>
      <c r="EC9" s="49">
        <v>41.89</v>
      </c>
      <c r="ED9" s="49">
        <v>31.31</v>
      </c>
      <c r="EE9" s="49">
        <v>33.159999999999997</v>
      </c>
      <c r="EF9" s="49">
        <v>44.74</v>
      </c>
      <c r="EG9" s="49">
        <v>45.86</v>
      </c>
      <c r="EH9" s="49">
        <v>39.92</v>
      </c>
      <c r="EI9" s="49">
        <v>41.53</v>
      </c>
      <c r="EJ9" s="49">
        <v>6.2889999999999997</v>
      </c>
      <c r="EK9" s="49">
        <v>60.029000000000003</v>
      </c>
      <c r="EL9" s="49">
        <v>2.0499999999999998</v>
      </c>
      <c r="EM9" s="49">
        <v>1.65</v>
      </c>
      <c r="EN9" s="49">
        <v>1.2</v>
      </c>
      <c r="EO9" s="49">
        <v>1.21</v>
      </c>
      <c r="EP9" s="49">
        <v>-119.946</v>
      </c>
      <c r="EQ9" s="49">
        <v>-3.1539999999999999</v>
      </c>
      <c r="ER9" s="49">
        <v>92.337999999999994</v>
      </c>
      <c r="ES9" s="49">
        <v>1.345</v>
      </c>
      <c r="ET9" s="49">
        <v>1.4750000000000001</v>
      </c>
      <c r="EU9" s="49">
        <v>1.294</v>
      </c>
      <c r="EV9" s="49">
        <v>7.5540000000000003</v>
      </c>
      <c r="EW9" s="50">
        <v>1.9059999999999999</v>
      </c>
      <c r="EX9" s="49">
        <v>74.34</v>
      </c>
      <c r="EY9" s="49">
        <v>0</v>
      </c>
      <c r="EZ9" s="49">
        <v>0.17299999999999999</v>
      </c>
      <c r="FA9" s="50">
        <v>0</v>
      </c>
      <c r="FB9" s="49">
        <v>9.1959999999999997</v>
      </c>
      <c r="FC9" s="49">
        <v>59.058</v>
      </c>
      <c r="FD9" s="49">
        <v>55.927</v>
      </c>
      <c r="FE9" s="49">
        <v>61.936</v>
      </c>
      <c r="FF9" s="49">
        <v>61.253</v>
      </c>
      <c r="FG9" s="49">
        <v>0.91900000000000004</v>
      </c>
      <c r="FH9" s="49">
        <v>0.91900000000000004</v>
      </c>
      <c r="FI9" s="49">
        <v>1.004</v>
      </c>
      <c r="FJ9" s="49">
        <v>1.0069999999999999</v>
      </c>
      <c r="FK9" s="49">
        <v>0</v>
      </c>
      <c r="FL9" s="49">
        <v>83</v>
      </c>
      <c r="FM9" s="49">
        <v>3.69</v>
      </c>
      <c r="FN9" s="49">
        <v>-0.54</v>
      </c>
      <c r="FO9" s="49">
        <v>5.26</v>
      </c>
      <c r="FP9" s="49">
        <v>4.5999999999999996</v>
      </c>
      <c r="FQ9" s="49">
        <v>4.55</v>
      </c>
      <c r="FR9" s="49">
        <v>5.0999999999999996</v>
      </c>
      <c r="FS9" s="49">
        <v>6.6074999999999999</v>
      </c>
      <c r="FT9" s="49">
        <v>1078.8</v>
      </c>
      <c r="FU9" s="49">
        <v>6.83</v>
      </c>
      <c r="FV9" s="49">
        <v>15.56</v>
      </c>
      <c r="FW9" s="49">
        <v>3100</v>
      </c>
      <c r="FX9" s="49">
        <v>164300</v>
      </c>
      <c r="FY9" s="49">
        <v>165400</v>
      </c>
      <c r="FZ9" s="49">
        <v>48.118000000000002</v>
      </c>
      <c r="GA9" s="49">
        <v>47.378999999999998</v>
      </c>
      <c r="GB9" s="49">
        <v>2215.9</v>
      </c>
      <c r="GC9" s="49">
        <v>2141.9</v>
      </c>
      <c r="GD9" s="49">
        <v>2269.9</v>
      </c>
      <c r="GE9" s="49">
        <v>2177.1999999999998</v>
      </c>
      <c r="GF9" s="50">
        <v>1592.7030999999999</v>
      </c>
      <c r="GG9" s="49">
        <v>37</v>
      </c>
      <c r="GH9" s="49">
        <v>37</v>
      </c>
      <c r="GI9" s="49">
        <v>48.7</v>
      </c>
      <c r="GJ9" s="49">
        <v>54.5</v>
      </c>
      <c r="GK9" s="49">
        <v>99.5</v>
      </c>
      <c r="GL9" s="49">
        <v>93.7</v>
      </c>
      <c r="GM9" s="50">
        <v>0</v>
      </c>
      <c r="GN9" s="49">
        <v>27.381</v>
      </c>
      <c r="GO9" s="49">
        <v>119.946</v>
      </c>
      <c r="GP9" s="49">
        <v>0.35399999999999998</v>
      </c>
      <c r="GQ9" s="49">
        <v>1.9470000000000001</v>
      </c>
      <c r="GR9" s="49">
        <v>0.53100000000000003</v>
      </c>
      <c r="GS9" s="49">
        <v>2.0059999999999998</v>
      </c>
      <c r="GT9" s="49">
        <v>0.53100000000000003</v>
      </c>
      <c r="GU9" s="49">
        <v>1.8879999999999999</v>
      </c>
      <c r="GV9" s="49">
        <v>12.936</v>
      </c>
      <c r="GW9" s="49">
        <v>14.055999999999999</v>
      </c>
      <c r="GX9" s="49">
        <v>15.974</v>
      </c>
      <c r="GY9" s="50">
        <v>0</v>
      </c>
      <c r="GZ9" s="50">
        <v>0</v>
      </c>
      <c r="HA9" s="50">
        <v>0</v>
      </c>
      <c r="HB9" s="49">
        <v>0</v>
      </c>
      <c r="HC9" s="49">
        <v>23.216000000000001</v>
      </c>
      <c r="HD9" s="49">
        <v>78</v>
      </c>
      <c r="HE9" s="50">
        <v>0</v>
      </c>
      <c r="HF9" s="50">
        <v>0</v>
      </c>
      <c r="HG9" s="49">
        <v>88.14</v>
      </c>
      <c r="HH9" s="49">
        <v>84.52</v>
      </c>
      <c r="HI9" s="50">
        <v>0</v>
      </c>
      <c r="HJ9" s="50">
        <v>0</v>
      </c>
      <c r="HK9" s="50">
        <v>0</v>
      </c>
      <c r="HL9" s="49">
        <v>59</v>
      </c>
      <c r="HM9" s="49">
        <v>52</v>
      </c>
      <c r="HN9" s="49">
        <v>64</v>
      </c>
      <c r="HO9" s="49">
        <v>59</v>
      </c>
      <c r="HP9" s="49">
        <v>62</v>
      </c>
      <c r="HQ9" s="49">
        <v>59</v>
      </c>
      <c r="HR9" s="49">
        <v>52</v>
      </c>
      <c r="HS9" s="50">
        <v>70</v>
      </c>
      <c r="HT9" s="50">
        <v>-1.357</v>
      </c>
      <c r="HU9" s="50">
        <v>0</v>
      </c>
      <c r="HV9" s="49">
        <v>0.80100000000000005</v>
      </c>
      <c r="HW9" s="50">
        <v>34.369999999999997</v>
      </c>
      <c r="HX9" s="49">
        <v>45.17</v>
      </c>
      <c r="HY9" s="49">
        <v>50.87</v>
      </c>
      <c r="HZ9" s="49">
        <v>63.08</v>
      </c>
      <c r="IA9" s="49">
        <v>2.86</v>
      </c>
      <c r="IB9" s="49">
        <v>104</v>
      </c>
      <c r="IC9" s="49">
        <v>22.239000000000001</v>
      </c>
      <c r="ID9" s="49">
        <v>-0.315</v>
      </c>
      <c r="IE9" s="49">
        <v>-0.13800000000000001</v>
      </c>
      <c r="IF9" s="49">
        <v>798.6</v>
      </c>
      <c r="IG9" s="49">
        <v>753.7</v>
      </c>
      <c r="IH9" s="49">
        <v>808.3</v>
      </c>
      <c r="II9" s="49">
        <v>763</v>
      </c>
      <c r="IJ9" s="49">
        <v>7.3999999999999996E-2</v>
      </c>
      <c r="IK9" s="49">
        <v>-8.0000000000000002E-3</v>
      </c>
      <c r="IL9" s="49">
        <v>70.388000000000005</v>
      </c>
      <c r="IM9" s="49">
        <v>70.388000000000005</v>
      </c>
      <c r="IN9" s="49">
        <v>9.9710000000000001</v>
      </c>
      <c r="IO9" s="49">
        <v>0.32300000000000001</v>
      </c>
      <c r="IP9" s="49">
        <v>9.94</v>
      </c>
      <c r="IQ9" s="50">
        <v>1.7000000000000001E-2</v>
      </c>
      <c r="IR9" s="49">
        <v>7.0000000000000001E-3</v>
      </c>
    </row>
    <row r="10" spans="2:252" x14ac:dyDescent="0.25">
      <c r="B10" s="2" t="s">
        <v>412</v>
      </c>
      <c r="C10" s="62" t="s">
        <v>44</v>
      </c>
      <c r="D10" s="63">
        <v>2.4438657407407408E-3</v>
      </c>
      <c r="E10" s="49">
        <v>211.19</v>
      </c>
      <c r="F10" s="50">
        <v>330.85</v>
      </c>
      <c r="G10" s="50">
        <v>6.1</v>
      </c>
      <c r="H10" s="49">
        <v>28.5</v>
      </c>
      <c r="I10" s="49">
        <v>0</v>
      </c>
      <c r="J10" s="49">
        <v>12.7</v>
      </c>
      <c r="K10" s="50">
        <v>9</v>
      </c>
      <c r="L10" s="50">
        <v>8</v>
      </c>
      <c r="M10" s="50">
        <v>6</v>
      </c>
      <c r="N10" s="50">
        <v>3</v>
      </c>
      <c r="O10" s="50">
        <v>3</v>
      </c>
      <c r="P10" s="49">
        <v>0.89500000000000002</v>
      </c>
      <c r="Q10" s="49">
        <v>1.48</v>
      </c>
      <c r="R10" s="49">
        <v>1.0169999999999999</v>
      </c>
      <c r="S10" s="49">
        <v>0.82899999999999996</v>
      </c>
      <c r="T10" s="50">
        <v>76.94</v>
      </c>
      <c r="U10" s="49">
        <v>61.026000000000003</v>
      </c>
      <c r="V10" s="49">
        <v>251.66</v>
      </c>
      <c r="W10" s="49">
        <v>241.66</v>
      </c>
      <c r="X10" s="49">
        <v>190</v>
      </c>
      <c r="Y10" s="49">
        <v>228.34</v>
      </c>
      <c r="Z10" s="50">
        <v>395.87</v>
      </c>
      <c r="AA10" s="50">
        <v>383.87</v>
      </c>
      <c r="AB10" s="50">
        <v>308.2</v>
      </c>
      <c r="AC10" s="50">
        <v>370.39</v>
      </c>
      <c r="AD10" s="49">
        <v>1.7809999999999999</v>
      </c>
      <c r="AE10" s="49">
        <v>1.849</v>
      </c>
      <c r="AF10" s="49">
        <v>1.7509999999999999</v>
      </c>
      <c r="AG10" s="49">
        <v>1.7709999999999999</v>
      </c>
      <c r="AH10" s="49">
        <v>81.59</v>
      </c>
      <c r="AI10" s="49">
        <v>79.069999999999993</v>
      </c>
      <c r="AJ10" s="49">
        <v>102.84</v>
      </c>
      <c r="AK10" s="49">
        <v>98.61</v>
      </c>
      <c r="AL10" s="50">
        <v>645.90499999999997</v>
      </c>
      <c r="AM10" s="50">
        <v>684.12800000000004</v>
      </c>
      <c r="AN10" s="50">
        <v>788.99599999999998</v>
      </c>
      <c r="AO10" s="50">
        <v>791.51599999999996</v>
      </c>
      <c r="AP10" s="50">
        <v>1.339</v>
      </c>
      <c r="AQ10" s="49">
        <v>1.8120000000000001</v>
      </c>
      <c r="AR10" s="49">
        <v>41.24</v>
      </c>
      <c r="AS10" s="49">
        <v>37.591000000000001</v>
      </c>
      <c r="AT10" s="50">
        <v>83</v>
      </c>
      <c r="AU10" s="49">
        <v>116</v>
      </c>
      <c r="AV10" s="50">
        <v>1.7729999999999999</v>
      </c>
      <c r="AW10" s="50">
        <v>5.1519000000000004</v>
      </c>
      <c r="AX10" s="50">
        <v>1017.5</v>
      </c>
      <c r="AY10" s="49">
        <v>2.35</v>
      </c>
      <c r="AZ10" s="49">
        <v>5.63</v>
      </c>
      <c r="BA10" s="49">
        <v>140.352</v>
      </c>
      <c r="BB10" s="49">
        <v>139.69200000000001</v>
      </c>
      <c r="BC10" s="50">
        <v>7820</v>
      </c>
      <c r="BD10" s="49">
        <v>88.5</v>
      </c>
      <c r="BE10" s="50">
        <v>16.925000000000001</v>
      </c>
      <c r="BF10" s="50">
        <v>15.225</v>
      </c>
      <c r="BG10" s="49">
        <v>28.73</v>
      </c>
      <c r="BH10" s="50">
        <v>28.06</v>
      </c>
      <c r="BI10" s="3"/>
      <c r="BJ10" s="3"/>
      <c r="BK10" s="3"/>
      <c r="BL10" s="3"/>
      <c r="BM10" s="3"/>
      <c r="BN10" s="49">
        <v>102.744</v>
      </c>
      <c r="BO10" s="49">
        <v>98.12</v>
      </c>
      <c r="BP10" s="49">
        <v>127.4</v>
      </c>
      <c r="BQ10" s="49">
        <v>128.85599999999999</v>
      </c>
      <c r="BR10" s="3"/>
      <c r="BS10" s="49">
        <v>28.2</v>
      </c>
      <c r="BT10" s="50">
        <v>7414.7979999999998</v>
      </c>
      <c r="BU10" s="49">
        <v>50.793999999999997</v>
      </c>
      <c r="BV10" s="49">
        <v>53.243000000000002</v>
      </c>
      <c r="BW10" s="49">
        <v>55.124000000000002</v>
      </c>
      <c r="BX10" s="49">
        <v>55.969000000000001</v>
      </c>
      <c r="BY10" s="49">
        <v>1.4139999999999999</v>
      </c>
      <c r="BZ10" s="50">
        <v>3.0169999999999999</v>
      </c>
      <c r="CA10" s="50">
        <v>3.899</v>
      </c>
      <c r="CB10" s="50">
        <v>4.1769999999999996</v>
      </c>
      <c r="CC10" s="49">
        <v>0.80900000000000005</v>
      </c>
      <c r="CD10" s="49">
        <v>2.1549999999999998</v>
      </c>
      <c r="CE10" s="49">
        <v>1.2529999999999999</v>
      </c>
      <c r="CF10" s="49">
        <v>2.0030000000000001</v>
      </c>
      <c r="CG10" s="49">
        <v>13.932</v>
      </c>
      <c r="CH10" s="49">
        <v>13.766999999999999</v>
      </c>
      <c r="CI10" s="50">
        <v>4.7240000000000002</v>
      </c>
      <c r="CJ10" s="49">
        <v>3.214</v>
      </c>
      <c r="CK10" s="49">
        <v>1.522</v>
      </c>
      <c r="CL10" s="50">
        <v>0.3</v>
      </c>
      <c r="CM10" s="49">
        <v>0.6</v>
      </c>
      <c r="CN10" s="50">
        <v>0</v>
      </c>
      <c r="CO10" s="50">
        <v>0</v>
      </c>
      <c r="CP10" s="49">
        <v>98.191999999999993</v>
      </c>
      <c r="CQ10" s="49">
        <v>94.766000000000005</v>
      </c>
      <c r="CR10" s="49">
        <v>116.889</v>
      </c>
      <c r="CS10" s="49">
        <v>120.59</v>
      </c>
      <c r="CT10" s="49">
        <v>0.27700000000000002</v>
      </c>
      <c r="CU10" s="49">
        <v>0.5</v>
      </c>
      <c r="CV10" s="49">
        <v>1.196</v>
      </c>
      <c r="CW10" s="49">
        <v>0.79900000000000004</v>
      </c>
      <c r="CX10" s="50">
        <v>2.1920000000000002</v>
      </c>
      <c r="CY10" s="49">
        <v>0.80100000000000005</v>
      </c>
      <c r="CZ10" s="50">
        <v>1.401</v>
      </c>
      <c r="DA10" s="50">
        <v>1.198</v>
      </c>
      <c r="DB10" s="49">
        <v>1.2969999999999999</v>
      </c>
      <c r="DC10" s="49">
        <v>0</v>
      </c>
      <c r="DD10" s="50">
        <v>0</v>
      </c>
      <c r="DE10" s="49">
        <v>0.31900000000000001</v>
      </c>
      <c r="DF10" s="49">
        <v>0.14899999999999999</v>
      </c>
      <c r="DG10" s="49">
        <v>0.91700000000000004</v>
      </c>
      <c r="DH10" s="49">
        <v>2.4260000000000002</v>
      </c>
      <c r="DI10" s="50">
        <v>1.0620000000000001</v>
      </c>
      <c r="DJ10" s="49">
        <v>0.30099999999999999</v>
      </c>
      <c r="DK10" s="50">
        <v>1.1319999999999999</v>
      </c>
      <c r="DL10" s="49">
        <v>0.40300000000000002</v>
      </c>
      <c r="DM10" s="49">
        <v>-3.8029999999999999</v>
      </c>
      <c r="DN10" s="49">
        <v>-9.8000000000000007</v>
      </c>
      <c r="DO10" s="49">
        <v>0.28199999999999997</v>
      </c>
      <c r="DP10" s="50">
        <v>67.058000000000007</v>
      </c>
      <c r="DQ10" s="49">
        <v>63.308</v>
      </c>
      <c r="DR10" s="49">
        <v>53.734999999999999</v>
      </c>
      <c r="DS10" s="49">
        <v>53.28</v>
      </c>
      <c r="DT10" s="50">
        <v>6.58</v>
      </c>
      <c r="DU10" s="50">
        <v>6.54</v>
      </c>
      <c r="DV10" s="50">
        <v>15.79</v>
      </c>
      <c r="DW10" s="50">
        <v>13.51</v>
      </c>
      <c r="DX10" s="50">
        <v>6.66</v>
      </c>
      <c r="DY10" s="50">
        <v>6.99</v>
      </c>
      <c r="DZ10" s="50">
        <v>15.72</v>
      </c>
      <c r="EA10" s="50">
        <v>13.71</v>
      </c>
      <c r="EB10" s="49">
        <v>42.26</v>
      </c>
      <c r="EC10" s="49">
        <v>41.14</v>
      </c>
      <c r="ED10" s="49">
        <v>30.3</v>
      </c>
      <c r="EE10" s="49">
        <v>32.159999999999997</v>
      </c>
      <c r="EF10" s="49">
        <v>44.49</v>
      </c>
      <c r="EG10" s="49">
        <v>45.32</v>
      </c>
      <c r="EH10" s="49">
        <v>38.19</v>
      </c>
      <c r="EI10" s="49">
        <v>40.619999999999997</v>
      </c>
      <c r="EJ10" s="49">
        <v>6.4649999999999999</v>
      </c>
      <c r="EK10" s="50">
        <v>60.030999999999999</v>
      </c>
      <c r="EL10" s="49">
        <v>2.15</v>
      </c>
      <c r="EM10" s="49">
        <v>1.7</v>
      </c>
      <c r="EN10" s="49">
        <v>1.18</v>
      </c>
      <c r="EO10" s="49">
        <v>1.18</v>
      </c>
      <c r="EP10" s="49">
        <v>-108.26600000000001</v>
      </c>
      <c r="EQ10" s="49">
        <v>-2.8740000000000001</v>
      </c>
      <c r="ER10" s="50">
        <v>108.982</v>
      </c>
      <c r="ES10" s="49">
        <v>1.298</v>
      </c>
      <c r="ET10" s="49">
        <v>1.355</v>
      </c>
      <c r="EU10" s="49">
        <v>1.1639999999999999</v>
      </c>
      <c r="EV10" s="50">
        <v>7.5579999999999998</v>
      </c>
      <c r="EW10" s="49">
        <v>1.8959999999999999</v>
      </c>
      <c r="EX10" s="50">
        <v>74.94</v>
      </c>
      <c r="EY10" s="49">
        <v>0</v>
      </c>
      <c r="EZ10" s="49">
        <v>0</v>
      </c>
      <c r="FA10" s="50">
        <v>0</v>
      </c>
      <c r="FB10" s="49">
        <v>9.1780000000000008</v>
      </c>
      <c r="FC10" s="49">
        <v>69.283000000000001</v>
      </c>
      <c r="FD10" s="49">
        <v>64.903999999999996</v>
      </c>
      <c r="FE10" s="49">
        <v>75.697000000000003</v>
      </c>
      <c r="FF10" s="49">
        <v>74.164000000000001</v>
      </c>
      <c r="FG10" s="49">
        <v>0.91900000000000004</v>
      </c>
      <c r="FH10" s="49">
        <v>0.91900000000000004</v>
      </c>
      <c r="FI10" s="49">
        <v>1.002</v>
      </c>
      <c r="FJ10" s="49">
        <v>1.006</v>
      </c>
      <c r="FK10" s="49">
        <v>0</v>
      </c>
      <c r="FL10" s="49">
        <v>83</v>
      </c>
      <c r="FM10" s="49">
        <v>3.73</v>
      </c>
      <c r="FN10" s="49">
        <v>2.13</v>
      </c>
      <c r="FO10" s="49">
        <v>5.38</v>
      </c>
      <c r="FP10" s="3"/>
      <c r="FQ10" s="49">
        <v>4.8499999999999996</v>
      </c>
      <c r="FR10" s="49">
        <v>5.0999999999999996</v>
      </c>
      <c r="FS10" s="49">
        <v>6.5345000000000004</v>
      </c>
      <c r="FT10" s="50">
        <v>1079</v>
      </c>
      <c r="FU10" s="49">
        <v>6.8</v>
      </c>
      <c r="FV10" s="49">
        <v>21.66</v>
      </c>
      <c r="FW10" s="49">
        <v>3137</v>
      </c>
      <c r="FX10" s="50">
        <v>167700</v>
      </c>
      <c r="FY10" s="50">
        <v>168300</v>
      </c>
      <c r="FZ10" s="49">
        <v>48.290999999999997</v>
      </c>
      <c r="GA10" s="49">
        <v>47.610999999999997</v>
      </c>
      <c r="GB10" s="49">
        <v>2181.1999999999998</v>
      </c>
      <c r="GC10" s="49">
        <v>2181.8000000000002</v>
      </c>
      <c r="GD10" s="49">
        <v>2221.4</v>
      </c>
      <c r="GE10" s="50">
        <v>2316.3000000000002</v>
      </c>
      <c r="GF10" s="49">
        <v>1429.0625</v>
      </c>
      <c r="GG10" s="49">
        <v>38</v>
      </c>
      <c r="GH10" s="49">
        <v>37.9</v>
      </c>
      <c r="GI10" s="49">
        <v>49.3</v>
      </c>
      <c r="GJ10" s="49">
        <v>54.3</v>
      </c>
      <c r="GK10" s="49">
        <v>99.5</v>
      </c>
      <c r="GL10" s="50">
        <v>95.7</v>
      </c>
      <c r="GM10" s="50">
        <v>0</v>
      </c>
      <c r="GN10" s="49">
        <v>26.798999999999999</v>
      </c>
      <c r="GO10" s="49">
        <v>108.982</v>
      </c>
      <c r="GP10" s="49">
        <v>0.29499999999999998</v>
      </c>
      <c r="GQ10" s="49">
        <v>1.8879999999999999</v>
      </c>
      <c r="GR10" s="49">
        <v>0.35399999999999998</v>
      </c>
      <c r="GS10" s="49">
        <v>2.0059999999999998</v>
      </c>
      <c r="GT10" s="49">
        <v>0.41299999999999998</v>
      </c>
      <c r="GU10" s="49">
        <v>1.8879999999999999</v>
      </c>
      <c r="GV10" s="49">
        <v>13.034000000000001</v>
      </c>
      <c r="GW10" s="49">
        <v>14.074</v>
      </c>
      <c r="GX10" s="49">
        <v>15.19</v>
      </c>
      <c r="GY10" s="50">
        <v>0</v>
      </c>
      <c r="GZ10" s="50">
        <v>0</v>
      </c>
      <c r="HA10" s="50">
        <v>0</v>
      </c>
      <c r="HB10" s="49">
        <v>0</v>
      </c>
      <c r="HC10" s="50">
        <v>23.66</v>
      </c>
      <c r="HD10" s="49">
        <v>78</v>
      </c>
      <c r="HE10" s="50">
        <v>0</v>
      </c>
      <c r="HF10" s="50">
        <v>0</v>
      </c>
      <c r="HG10" s="49">
        <v>76.36</v>
      </c>
      <c r="HH10" s="49">
        <v>83.06</v>
      </c>
      <c r="HI10" s="50">
        <v>0</v>
      </c>
      <c r="HJ10" s="50">
        <v>0</v>
      </c>
      <c r="HK10" s="50">
        <v>0</v>
      </c>
      <c r="HL10" s="49">
        <v>60</v>
      </c>
      <c r="HM10" s="49">
        <v>52</v>
      </c>
      <c r="HN10" s="50">
        <v>65</v>
      </c>
      <c r="HO10" s="49">
        <v>59</v>
      </c>
      <c r="HP10" s="49">
        <v>62</v>
      </c>
      <c r="HQ10" s="50">
        <v>60</v>
      </c>
      <c r="HR10" s="49">
        <v>52</v>
      </c>
      <c r="HS10" s="50">
        <v>70</v>
      </c>
      <c r="HT10" s="49">
        <v>-1.3274999999999999</v>
      </c>
      <c r="HU10" s="50">
        <v>0</v>
      </c>
      <c r="HV10" s="50">
        <v>1.2969999999999999</v>
      </c>
      <c r="HW10" s="49">
        <v>35.51</v>
      </c>
      <c r="HX10" s="50">
        <v>38.69</v>
      </c>
      <c r="HY10" s="50">
        <v>51.96</v>
      </c>
      <c r="HZ10" s="50">
        <v>65.36</v>
      </c>
      <c r="IA10" s="50">
        <v>3.0859999999999999</v>
      </c>
      <c r="IB10" s="50">
        <v>105</v>
      </c>
      <c r="IC10" s="50">
        <v>22.786999999999999</v>
      </c>
      <c r="ID10" s="49">
        <v>-0.39100000000000001</v>
      </c>
      <c r="IE10" s="49">
        <v>-0.152</v>
      </c>
      <c r="IF10" s="49">
        <v>802.9</v>
      </c>
      <c r="IG10" s="50">
        <v>758.7</v>
      </c>
      <c r="IH10" s="49">
        <v>812</v>
      </c>
      <c r="II10" s="50">
        <v>768.9</v>
      </c>
      <c r="IJ10" s="49">
        <v>5.8000000000000003E-2</v>
      </c>
      <c r="IK10" s="49">
        <v>-4.4999999999999998E-2</v>
      </c>
      <c r="IL10" s="49">
        <v>68.725999999999999</v>
      </c>
      <c r="IM10" s="49">
        <v>68.725999999999999</v>
      </c>
      <c r="IN10" s="49">
        <v>10.509</v>
      </c>
      <c r="IO10" s="50">
        <v>0.34399999999999997</v>
      </c>
      <c r="IP10" s="49">
        <v>9.85</v>
      </c>
      <c r="IQ10" s="49">
        <v>1.2E-2</v>
      </c>
      <c r="IR10" s="49">
        <v>0</v>
      </c>
    </row>
    <row r="11" spans="2:252" x14ac:dyDescent="0.25">
      <c r="B11" s="2" t="s">
        <v>412</v>
      </c>
      <c r="C11" s="2" t="s">
        <v>45</v>
      </c>
      <c r="D11" s="61">
        <v>2.7885416666666666E-3</v>
      </c>
      <c r="E11" s="49">
        <v>240.93100000000001</v>
      </c>
      <c r="F11" s="49">
        <v>330.56</v>
      </c>
      <c r="G11" s="49">
        <v>5.84</v>
      </c>
      <c r="H11" s="50">
        <v>28.6</v>
      </c>
      <c r="I11" s="49">
        <v>0</v>
      </c>
      <c r="J11" s="49">
        <v>15.3</v>
      </c>
      <c r="K11" s="50">
        <v>9</v>
      </c>
      <c r="L11" s="50">
        <v>8</v>
      </c>
      <c r="M11" s="50">
        <v>6</v>
      </c>
      <c r="N11" s="50">
        <v>3</v>
      </c>
      <c r="O11" s="50">
        <v>3</v>
      </c>
      <c r="P11" s="49">
        <v>0.872</v>
      </c>
      <c r="Q11" s="49">
        <v>1.401</v>
      </c>
      <c r="R11" s="49">
        <v>0.9</v>
      </c>
      <c r="S11" s="49">
        <v>0.66300000000000003</v>
      </c>
      <c r="T11" s="49">
        <v>74</v>
      </c>
      <c r="U11" s="49">
        <v>61.22</v>
      </c>
      <c r="V11" s="49">
        <v>246.66</v>
      </c>
      <c r="W11" s="49">
        <v>241.66</v>
      </c>
      <c r="X11" s="49">
        <v>172.5</v>
      </c>
      <c r="Y11" s="49">
        <v>215</v>
      </c>
      <c r="Z11" s="49">
        <v>379.88</v>
      </c>
      <c r="AA11" s="49">
        <v>372.92</v>
      </c>
      <c r="AB11" s="49">
        <v>277.25</v>
      </c>
      <c r="AC11" s="49">
        <v>343.23</v>
      </c>
      <c r="AD11" s="50">
        <v>1.7989999999999999</v>
      </c>
      <c r="AE11" s="50">
        <v>1.8660000000000001</v>
      </c>
      <c r="AF11" s="50">
        <v>1.79</v>
      </c>
      <c r="AG11" s="50">
        <v>1.8109999999999999</v>
      </c>
      <c r="AH11" s="50">
        <v>83.6</v>
      </c>
      <c r="AI11" s="50">
        <v>79.77</v>
      </c>
      <c r="AJ11" s="50">
        <v>105.97</v>
      </c>
      <c r="AK11" s="50">
        <v>102.13</v>
      </c>
      <c r="AL11" s="49">
        <v>621.13599999999997</v>
      </c>
      <c r="AM11" s="49">
        <v>615.62900000000002</v>
      </c>
      <c r="AN11" s="49">
        <v>735.07899999999995</v>
      </c>
      <c r="AO11" s="49">
        <v>730.13800000000003</v>
      </c>
      <c r="AP11" s="49">
        <v>1.33</v>
      </c>
      <c r="AQ11" s="49">
        <v>1.8149999999999999</v>
      </c>
      <c r="AR11" s="49">
        <v>36.267000000000003</v>
      </c>
      <c r="AS11" s="49">
        <v>37.898000000000003</v>
      </c>
      <c r="AT11" s="50">
        <v>83</v>
      </c>
      <c r="AU11" s="50">
        <v>119</v>
      </c>
      <c r="AV11" s="49">
        <v>2.198</v>
      </c>
      <c r="AW11" s="49">
        <v>5.0594000000000001</v>
      </c>
      <c r="AX11" s="49">
        <v>1015.8</v>
      </c>
      <c r="AY11" s="49">
        <v>2.34</v>
      </c>
      <c r="AZ11" s="50">
        <v>5.25</v>
      </c>
      <c r="BA11" s="50">
        <v>69.3</v>
      </c>
      <c r="BB11" s="50">
        <v>69.400000000000006</v>
      </c>
      <c r="BC11" s="49">
        <v>7747</v>
      </c>
      <c r="BD11" s="49">
        <v>88.75</v>
      </c>
      <c r="BE11" s="49">
        <v>15.965</v>
      </c>
      <c r="BF11" s="49">
        <v>11.675000000000001</v>
      </c>
      <c r="BG11" s="50">
        <v>29.09</v>
      </c>
      <c r="BH11" s="49">
        <v>24.26</v>
      </c>
      <c r="BI11" s="50">
        <v>66.403999999999996</v>
      </c>
      <c r="BJ11" s="49">
        <v>81.882999999999996</v>
      </c>
      <c r="BK11" s="50">
        <v>64.768000000000001</v>
      </c>
      <c r="BL11" s="49">
        <v>77.105000000000004</v>
      </c>
      <c r="BM11" s="50">
        <v>81.710999999999999</v>
      </c>
      <c r="BN11" s="50">
        <v>111.44799999999999</v>
      </c>
      <c r="BO11" s="50">
        <v>109.992</v>
      </c>
      <c r="BP11" s="50">
        <v>128.392</v>
      </c>
      <c r="BQ11" s="50">
        <v>130.98400000000001</v>
      </c>
      <c r="BR11" s="50">
        <v>60.634999999999998</v>
      </c>
      <c r="BS11" s="50">
        <v>28.3</v>
      </c>
      <c r="BT11" s="49">
        <v>7394.5619999999999</v>
      </c>
      <c r="BU11" s="49">
        <v>47.707000000000001</v>
      </c>
      <c r="BV11" s="49">
        <v>53.561999999999998</v>
      </c>
      <c r="BW11" s="49">
        <v>55.545999999999999</v>
      </c>
      <c r="BX11" s="49">
        <v>56.213000000000001</v>
      </c>
      <c r="BY11" s="49">
        <v>1.399</v>
      </c>
      <c r="BZ11" s="49">
        <v>2.9409999999999998</v>
      </c>
      <c r="CA11" s="49">
        <v>2.9769999999999999</v>
      </c>
      <c r="CB11" s="49">
        <v>3.4129999999999998</v>
      </c>
      <c r="CC11" s="50">
        <v>1.042</v>
      </c>
      <c r="CD11" s="49">
        <v>2.0409999999999999</v>
      </c>
      <c r="CE11" s="49">
        <v>1.1519999999999999</v>
      </c>
      <c r="CF11" s="49">
        <v>1.976</v>
      </c>
      <c r="CG11" s="49">
        <v>13.959</v>
      </c>
      <c r="CH11" s="49">
        <v>13.688000000000001</v>
      </c>
      <c r="CI11" s="3"/>
      <c r="CJ11" s="3"/>
      <c r="CK11" s="3"/>
      <c r="CL11" s="49">
        <v>0.1</v>
      </c>
      <c r="CM11" s="49">
        <v>0.2</v>
      </c>
      <c r="CN11" s="50">
        <v>0</v>
      </c>
      <c r="CO11" s="50">
        <v>0</v>
      </c>
      <c r="CP11" s="50">
        <v>99.453999999999994</v>
      </c>
      <c r="CQ11" s="50">
        <v>96.933999999999997</v>
      </c>
      <c r="CR11" s="50">
        <v>121.944</v>
      </c>
      <c r="CS11" s="50">
        <v>126.39400000000001</v>
      </c>
      <c r="CT11" s="50">
        <v>0.496</v>
      </c>
      <c r="CU11" s="49">
        <v>0.59899999999999998</v>
      </c>
      <c r="CV11" s="49">
        <v>1.296</v>
      </c>
      <c r="CW11" s="49">
        <v>1.0940000000000001</v>
      </c>
      <c r="CX11" s="49">
        <v>1.2</v>
      </c>
      <c r="CY11" s="49">
        <v>1.1020000000000001</v>
      </c>
      <c r="CZ11" s="49">
        <v>0.89700000000000002</v>
      </c>
      <c r="DA11" s="49">
        <v>0.7</v>
      </c>
      <c r="DB11" s="50">
        <v>1.996</v>
      </c>
      <c r="DC11" s="49">
        <v>0</v>
      </c>
      <c r="DD11" s="50">
        <v>0</v>
      </c>
      <c r="DE11" s="49">
        <v>0.27400000000000002</v>
      </c>
      <c r="DF11" s="49">
        <v>0.13500000000000001</v>
      </c>
      <c r="DG11" s="49">
        <v>0.35899999999999999</v>
      </c>
      <c r="DH11" s="49">
        <v>1.8049999999999999</v>
      </c>
      <c r="DI11" s="49">
        <v>0.93799999999999994</v>
      </c>
      <c r="DJ11" s="49">
        <v>0.20200000000000001</v>
      </c>
      <c r="DK11" s="49">
        <v>0.9</v>
      </c>
      <c r="DL11" s="49">
        <v>0.39500000000000002</v>
      </c>
      <c r="DM11" s="49">
        <v>0.46</v>
      </c>
      <c r="DN11" s="49">
        <v>0.432</v>
      </c>
      <c r="DO11" s="49">
        <v>0.29799999999999999</v>
      </c>
      <c r="DP11" s="49">
        <v>64.763999999999996</v>
      </c>
      <c r="DQ11" s="49">
        <v>62.119</v>
      </c>
      <c r="DR11" s="50">
        <v>54.996000000000002</v>
      </c>
      <c r="DS11" s="50">
        <v>54.252000000000002</v>
      </c>
      <c r="DT11" s="49">
        <v>5.29</v>
      </c>
      <c r="DU11" s="49">
        <v>4.87</v>
      </c>
      <c r="DV11" s="49">
        <v>13.32</v>
      </c>
      <c r="DW11" s="49">
        <v>11.44</v>
      </c>
      <c r="DX11" s="49">
        <v>5.52</v>
      </c>
      <c r="DY11" s="49">
        <v>5.01</v>
      </c>
      <c r="DZ11" s="49">
        <v>13.06</v>
      </c>
      <c r="EA11" s="49">
        <v>11.36</v>
      </c>
      <c r="EB11" s="49">
        <v>42.58</v>
      </c>
      <c r="EC11" s="49">
        <v>42.38</v>
      </c>
      <c r="ED11" s="49">
        <v>31.5</v>
      </c>
      <c r="EE11" s="49">
        <v>32.89</v>
      </c>
      <c r="EF11" s="49">
        <v>46.61</v>
      </c>
      <c r="EG11" s="49">
        <v>47.73</v>
      </c>
      <c r="EH11" s="49">
        <v>42.12</v>
      </c>
      <c r="EI11" s="49">
        <v>44.3</v>
      </c>
      <c r="EJ11" s="50">
        <v>6.7039999999999997</v>
      </c>
      <c r="EK11" s="49">
        <v>59.854999999999997</v>
      </c>
      <c r="EL11" s="49">
        <v>2.15</v>
      </c>
      <c r="EM11" s="49">
        <v>1.7</v>
      </c>
      <c r="EN11" s="49">
        <v>1.2</v>
      </c>
      <c r="EO11" s="49">
        <v>1.2</v>
      </c>
      <c r="EP11" s="49">
        <v>-98.63</v>
      </c>
      <c r="EQ11" s="49">
        <v>-2.504</v>
      </c>
      <c r="ER11" s="49">
        <v>84.453999999999994</v>
      </c>
      <c r="ES11" s="49">
        <v>1.042</v>
      </c>
      <c r="ET11" s="49">
        <v>1.04</v>
      </c>
      <c r="EU11" s="49">
        <v>0.874</v>
      </c>
      <c r="EV11" s="49">
        <v>7.4</v>
      </c>
      <c r="EW11" s="49">
        <v>1.881</v>
      </c>
      <c r="EX11" s="49">
        <v>70.28</v>
      </c>
      <c r="EY11" s="49">
        <v>0.06</v>
      </c>
      <c r="EZ11" s="49">
        <v>0</v>
      </c>
      <c r="FA11" s="50">
        <v>0</v>
      </c>
      <c r="FB11" s="49">
        <v>9.2479999999999993</v>
      </c>
      <c r="FC11" s="50">
        <v>72.885000000000005</v>
      </c>
      <c r="FD11" s="50">
        <v>68.254999999999995</v>
      </c>
      <c r="FE11" s="50">
        <v>82.099000000000004</v>
      </c>
      <c r="FF11" s="50">
        <v>80.179000000000002</v>
      </c>
      <c r="FG11" s="49">
        <v>0.92300000000000004</v>
      </c>
      <c r="FH11" s="49">
        <v>0.92</v>
      </c>
      <c r="FI11" s="49">
        <v>1.0029999999999999</v>
      </c>
      <c r="FJ11" s="49">
        <v>1.008</v>
      </c>
      <c r="FK11" s="49">
        <v>0</v>
      </c>
      <c r="FL11" s="49">
        <v>83</v>
      </c>
      <c r="FM11" s="50">
        <v>3.76</v>
      </c>
      <c r="FN11" s="49">
        <v>2.0299999999999998</v>
      </c>
      <c r="FO11" s="50">
        <v>5.22</v>
      </c>
      <c r="FP11" s="50">
        <v>3.8</v>
      </c>
      <c r="FQ11" s="49">
        <v>4.5999999999999996</v>
      </c>
      <c r="FR11" s="50">
        <v>5.05</v>
      </c>
      <c r="FS11" s="50">
        <v>6.7720000000000002</v>
      </c>
      <c r="FT11" s="49">
        <v>1075.3</v>
      </c>
      <c r="FU11" s="49">
        <v>6.78</v>
      </c>
      <c r="FV11" s="50">
        <v>27.5</v>
      </c>
      <c r="FW11" s="49">
        <v>3100.5</v>
      </c>
      <c r="FX11" s="49">
        <v>166700</v>
      </c>
      <c r="FY11" s="49">
        <v>166900</v>
      </c>
      <c r="FZ11" s="49">
        <v>48.293999999999997</v>
      </c>
      <c r="GA11" s="49">
        <v>47.43</v>
      </c>
      <c r="GB11" s="49">
        <v>2285</v>
      </c>
      <c r="GC11" s="50">
        <v>2277.3000000000002</v>
      </c>
      <c r="GD11" s="49">
        <v>2318.3000000000002</v>
      </c>
      <c r="GE11" s="49">
        <v>2277.3000000000002</v>
      </c>
      <c r="GF11" s="49">
        <v>1506.0625</v>
      </c>
      <c r="GG11" s="50">
        <v>39</v>
      </c>
      <c r="GH11" s="50">
        <v>38.9</v>
      </c>
      <c r="GI11" s="49">
        <v>49.7</v>
      </c>
      <c r="GJ11" s="49">
        <v>54.8</v>
      </c>
      <c r="GK11" s="49">
        <v>99.5</v>
      </c>
      <c r="GL11" s="49">
        <v>73.7</v>
      </c>
      <c r="GM11" s="50">
        <v>0</v>
      </c>
      <c r="GN11" s="50">
        <v>29.527999999999999</v>
      </c>
      <c r="GO11" s="49">
        <v>98.63</v>
      </c>
      <c r="GP11" s="50">
        <v>0</v>
      </c>
      <c r="GQ11" s="49">
        <v>1.8879999999999999</v>
      </c>
      <c r="GR11" s="50">
        <v>0</v>
      </c>
      <c r="GS11" s="49">
        <v>1.9470000000000001</v>
      </c>
      <c r="GT11" s="50">
        <v>0</v>
      </c>
      <c r="GU11" s="49">
        <v>1.8879999999999999</v>
      </c>
      <c r="GV11" s="50">
        <v>0</v>
      </c>
      <c r="GW11" s="49">
        <v>14.022</v>
      </c>
      <c r="GX11" s="49">
        <v>15.484</v>
      </c>
      <c r="GY11" s="50">
        <v>0</v>
      </c>
      <c r="GZ11" s="50">
        <v>0</v>
      </c>
      <c r="HA11" s="50">
        <v>0</v>
      </c>
      <c r="HB11" s="49">
        <v>0</v>
      </c>
      <c r="HC11" s="49">
        <v>22.738</v>
      </c>
      <c r="HD11" s="49">
        <v>82</v>
      </c>
      <c r="HE11" s="50">
        <v>0</v>
      </c>
      <c r="HF11" s="50">
        <v>0</v>
      </c>
      <c r="HG11" s="49">
        <v>74.8</v>
      </c>
      <c r="HH11" s="49">
        <v>82.84</v>
      </c>
      <c r="HI11" s="50">
        <v>0</v>
      </c>
      <c r="HJ11" s="50">
        <v>0</v>
      </c>
      <c r="HK11" s="50">
        <v>0</v>
      </c>
      <c r="HL11" s="49">
        <v>61</v>
      </c>
      <c r="HM11" s="49">
        <v>52</v>
      </c>
      <c r="HN11" s="50">
        <v>65</v>
      </c>
      <c r="HO11" s="50">
        <v>60</v>
      </c>
      <c r="HP11" s="50">
        <v>63</v>
      </c>
      <c r="HQ11" s="50">
        <v>60</v>
      </c>
      <c r="HR11" s="49">
        <v>52</v>
      </c>
      <c r="HS11" s="49">
        <v>64</v>
      </c>
      <c r="HT11" s="49">
        <v>-1.3334999999999999</v>
      </c>
      <c r="HU11" s="50">
        <v>0</v>
      </c>
      <c r="HV11" s="49">
        <v>1.1819999999999999</v>
      </c>
      <c r="HW11" s="49">
        <v>35.51</v>
      </c>
      <c r="HX11" s="50">
        <v>38.69</v>
      </c>
      <c r="HY11" s="3"/>
      <c r="HZ11" s="3"/>
      <c r="IA11" s="49">
        <v>3.032</v>
      </c>
      <c r="IB11" s="49">
        <v>104</v>
      </c>
      <c r="IC11" s="49">
        <v>22.731999999999999</v>
      </c>
      <c r="ID11" s="49">
        <v>-0.318</v>
      </c>
      <c r="IE11" s="49">
        <v>-0.129</v>
      </c>
      <c r="IF11" s="50">
        <v>804.4</v>
      </c>
      <c r="IG11" s="49">
        <v>746.2</v>
      </c>
      <c r="IH11" s="49">
        <v>815.1</v>
      </c>
      <c r="II11" s="49">
        <v>759.7</v>
      </c>
      <c r="IJ11" s="49">
        <v>6.3E-2</v>
      </c>
      <c r="IK11" s="49">
        <v>-3.4000000000000002E-2</v>
      </c>
      <c r="IL11" s="49">
        <v>80.847999999999999</v>
      </c>
      <c r="IM11" s="49">
        <v>80.847999999999999</v>
      </c>
      <c r="IN11" s="49">
        <v>13.590999999999999</v>
      </c>
      <c r="IO11" s="49">
        <v>0.32500000000000001</v>
      </c>
      <c r="IP11" s="49">
        <v>9.9600000000000009</v>
      </c>
      <c r="IQ11" s="49">
        <v>0</v>
      </c>
      <c r="IR11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43A6-5809-44A5-B68C-3B625358B61C}">
  <sheetPr codeName="Sheet6"/>
  <dimension ref="B1:IR12"/>
  <sheetViews>
    <sheetView zoomScale="70" zoomScaleNormal="70" workbookViewId="0">
      <selection activeCell="BD5" sqref="BD5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422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1.5064814814814816E-2</v>
      </c>
      <c r="E7" s="50">
        <v>1301.5999999999999</v>
      </c>
      <c r="F7" s="49">
        <v>324.63</v>
      </c>
      <c r="G7" s="49">
        <v>5.53</v>
      </c>
      <c r="H7" s="50">
        <v>27.8</v>
      </c>
      <c r="I7" s="50">
        <v>0</v>
      </c>
      <c r="J7" s="50">
        <v>1064.3</v>
      </c>
      <c r="K7" s="50">
        <v>6</v>
      </c>
      <c r="L7" s="50">
        <v>4</v>
      </c>
      <c r="M7" s="50">
        <v>6</v>
      </c>
      <c r="N7" s="50">
        <v>3</v>
      </c>
      <c r="O7" s="50">
        <v>3</v>
      </c>
      <c r="P7" s="49">
        <v>0.67800000000000005</v>
      </c>
      <c r="Q7" s="49">
        <v>1.0649999999999999</v>
      </c>
      <c r="R7" s="49">
        <v>0.61399999999999999</v>
      </c>
      <c r="S7" s="50">
        <v>0.45800000000000002</v>
      </c>
      <c r="T7" s="49">
        <v>60.56</v>
      </c>
      <c r="U7" s="49">
        <v>61.243000000000002</v>
      </c>
      <c r="V7" s="50">
        <v>60</v>
      </c>
      <c r="W7" s="50">
        <v>40</v>
      </c>
      <c r="X7" s="50">
        <v>80</v>
      </c>
      <c r="Y7" s="50">
        <v>80</v>
      </c>
      <c r="Z7" s="49">
        <v>126.88</v>
      </c>
      <c r="AA7" s="49">
        <v>108.21</v>
      </c>
      <c r="AB7" s="49">
        <v>105.39</v>
      </c>
      <c r="AC7" s="49">
        <v>111.77</v>
      </c>
      <c r="AD7" s="49">
        <v>1.542</v>
      </c>
      <c r="AE7" s="49">
        <v>1.165</v>
      </c>
      <c r="AF7" s="49">
        <v>1.577</v>
      </c>
      <c r="AG7" s="49">
        <v>1.6</v>
      </c>
      <c r="AH7" s="49">
        <v>-15.46</v>
      </c>
      <c r="AI7" s="49">
        <v>31.72</v>
      </c>
      <c r="AJ7" s="49">
        <v>-17.03</v>
      </c>
      <c r="AK7" s="49">
        <v>-19.12</v>
      </c>
      <c r="AL7" s="49">
        <v>552.471</v>
      </c>
      <c r="AM7" s="49">
        <v>590.82500000000005</v>
      </c>
      <c r="AN7" s="49">
        <v>701.22</v>
      </c>
      <c r="AO7" s="49">
        <v>748.75599999999997</v>
      </c>
      <c r="AP7" s="50">
        <v>1.4830000000000001</v>
      </c>
      <c r="AQ7" s="50">
        <v>1.9990000000000001</v>
      </c>
      <c r="AR7" s="49">
        <v>41.505000000000003</v>
      </c>
      <c r="AS7" s="49">
        <v>36.948</v>
      </c>
      <c r="AT7" s="49">
        <v>82</v>
      </c>
      <c r="AU7" s="49">
        <v>88</v>
      </c>
      <c r="AV7" s="49">
        <v>2.0575000000000001</v>
      </c>
      <c r="AW7" s="50">
        <v>5.5628000000000002</v>
      </c>
      <c r="AX7" s="50">
        <v>1023.9</v>
      </c>
      <c r="AY7" s="49">
        <v>2.37</v>
      </c>
      <c r="AZ7" s="50">
        <v>0.23</v>
      </c>
      <c r="BA7" s="50">
        <v>66.207999999999998</v>
      </c>
      <c r="BB7" s="50">
        <v>66.5</v>
      </c>
      <c r="BC7" s="49">
        <v>7786</v>
      </c>
      <c r="BD7" s="49">
        <v>89.25</v>
      </c>
      <c r="BE7" s="49">
        <v>15.955</v>
      </c>
      <c r="BF7" s="49">
        <v>13.71</v>
      </c>
      <c r="BG7" s="49">
        <v>28.69</v>
      </c>
      <c r="BH7" s="49">
        <v>27.55</v>
      </c>
      <c r="BI7" s="49">
        <v>64.66</v>
      </c>
      <c r="BJ7" s="49">
        <v>80.679000000000002</v>
      </c>
      <c r="BK7" s="49">
        <v>62.966000000000001</v>
      </c>
      <c r="BL7" s="50">
        <v>78.025000000000006</v>
      </c>
      <c r="BM7" s="49">
        <v>78.210999999999999</v>
      </c>
      <c r="BN7" s="49">
        <v>81.831999999999994</v>
      </c>
      <c r="BO7" s="49">
        <v>78.456000000000003</v>
      </c>
      <c r="BP7" s="49">
        <v>91.703999999999994</v>
      </c>
      <c r="BQ7" s="49">
        <v>90.584000000000003</v>
      </c>
      <c r="BR7" s="49">
        <v>57.31</v>
      </c>
      <c r="BS7" s="49">
        <v>26</v>
      </c>
      <c r="BT7" s="49">
        <v>6804.4669999999996</v>
      </c>
      <c r="BU7" s="50">
        <v>51.375</v>
      </c>
      <c r="BV7" s="49">
        <v>52.164000000000001</v>
      </c>
      <c r="BW7" s="49">
        <v>54.872</v>
      </c>
      <c r="BX7" s="49">
        <v>54.857999999999997</v>
      </c>
      <c r="BY7" s="49">
        <v>1.5189999999999999</v>
      </c>
      <c r="BZ7" s="49">
        <v>2.2549999999999999</v>
      </c>
      <c r="CA7" s="49">
        <v>2.8620000000000001</v>
      </c>
      <c r="CB7" s="49">
        <v>3.0990000000000002</v>
      </c>
      <c r="CC7" s="49">
        <v>1.319</v>
      </c>
      <c r="CD7" s="49">
        <v>2.5409999999999999</v>
      </c>
      <c r="CE7" s="49">
        <v>1.4119999999999999</v>
      </c>
      <c r="CF7" s="50">
        <v>2.2400000000000002</v>
      </c>
      <c r="CG7" s="49">
        <v>13.036</v>
      </c>
      <c r="CH7" s="50">
        <v>9.7460000000000004</v>
      </c>
      <c r="CI7" s="49">
        <v>4.5979999999999999</v>
      </c>
      <c r="CJ7" s="49">
        <v>-930411.30900000001</v>
      </c>
      <c r="CK7" s="49">
        <v>1.0649999999999999</v>
      </c>
      <c r="CL7" s="49">
        <v>0.2</v>
      </c>
      <c r="CM7" s="49">
        <v>0.2</v>
      </c>
      <c r="CN7" s="49">
        <v>0</v>
      </c>
      <c r="CO7" s="49">
        <v>0</v>
      </c>
      <c r="CP7" s="49">
        <v>36.561</v>
      </c>
      <c r="CQ7" s="49">
        <v>35.218000000000004</v>
      </c>
      <c r="CR7" s="49">
        <v>37.722999999999999</v>
      </c>
      <c r="CS7" s="49">
        <v>35.43</v>
      </c>
      <c r="CT7" s="49">
        <v>0.24299999999999999</v>
      </c>
      <c r="CU7" s="50">
        <v>1.3</v>
      </c>
      <c r="CV7" s="49">
        <v>0.9</v>
      </c>
      <c r="CW7" s="49">
        <v>1.3939999999999999</v>
      </c>
      <c r="CX7" s="49">
        <v>1.502</v>
      </c>
      <c r="CY7" s="49">
        <v>0.7</v>
      </c>
      <c r="CZ7" s="50">
        <v>1.296</v>
      </c>
      <c r="DA7" s="49">
        <v>0.7</v>
      </c>
      <c r="DB7" s="49">
        <v>1.4970000000000001</v>
      </c>
      <c r="DC7" s="50">
        <v>0</v>
      </c>
      <c r="DD7" s="50">
        <v>0</v>
      </c>
      <c r="DE7" s="49">
        <v>5.8999999999999997E-2</v>
      </c>
      <c r="DF7" s="49">
        <v>3.9E-2</v>
      </c>
      <c r="DG7" s="49">
        <v>0.193</v>
      </c>
      <c r="DH7" s="49">
        <v>1.252</v>
      </c>
      <c r="DI7" s="49">
        <v>1.2430000000000001</v>
      </c>
      <c r="DJ7" s="50">
        <v>0.17799999999999999</v>
      </c>
      <c r="DK7" s="50">
        <v>0.81299999999999994</v>
      </c>
      <c r="DL7" s="49">
        <v>0.41599999999999998</v>
      </c>
      <c r="DM7" s="49">
        <v>0.49199999999999999</v>
      </c>
      <c r="DN7" s="50">
        <v>0.49199999999999999</v>
      </c>
      <c r="DO7" s="49">
        <v>0.35699999999999998</v>
      </c>
      <c r="DP7" s="49">
        <v>64.88</v>
      </c>
      <c r="DQ7" s="49">
        <v>60.57</v>
      </c>
      <c r="DR7" s="49">
        <v>53.213999999999999</v>
      </c>
      <c r="DS7" s="49">
        <v>48.881</v>
      </c>
      <c r="DT7" s="49">
        <v>0.76</v>
      </c>
      <c r="DU7" s="49">
        <v>0.77</v>
      </c>
      <c r="DV7" s="49">
        <v>1.59</v>
      </c>
      <c r="DW7" s="49">
        <v>1.33</v>
      </c>
      <c r="DX7" s="49">
        <v>0.79</v>
      </c>
      <c r="DY7" s="49">
        <v>0.75</v>
      </c>
      <c r="DZ7" s="49">
        <v>1.45</v>
      </c>
      <c r="EA7" s="49">
        <v>1.23</v>
      </c>
      <c r="EB7" s="49">
        <v>9.67</v>
      </c>
      <c r="EC7" s="49">
        <v>9.41</v>
      </c>
      <c r="ED7" s="49">
        <v>7.8</v>
      </c>
      <c r="EE7" s="49">
        <v>7.65</v>
      </c>
      <c r="EF7" s="50">
        <v>88.78</v>
      </c>
      <c r="EG7" s="50">
        <v>89.07</v>
      </c>
      <c r="EH7" s="50">
        <v>89.17</v>
      </c>
      <c r="EI7" s="50">
        <v>89.79</v>
      </c>
      <c r="EJ7" s="49">
        <v>4.633</v>
      </c>
      <c r="EK7" s="49">
        <v>49.033999999999999</v>
      </c>
      <c r="EL7" s="50">
        <v>2.2999999999999998</v>
      </c>
      <c r="EM7" s="50">
        <v>1.65</v>
      </c>
      <c r="EN7" s="49">
        <v>1.08</v>
      </c>
      <c r="EO7" s="49">
        <v>1.08</v>
      </c>
      <c r="EP7" s="49">
        <v>-97.462000000000003</v>
      </c>
      <c r="EQ7" s="49">
        <v>-0.25700000000000001</v>
      </c>
      <c r="ER7" s="49">
        <v>101.098</v>
      </c>
      <c r="ES7" s="49">
        <v>0.48799999999999999</v>
      </c>
      <c r="ET7" s="49">
        <v>0.50700000000000001</v>
      </c>
      <c r="EU7" s="49">
        <v>0.47599999999999998</v>
      </c>
      <c r="EV7" s="50">
        <v>8.1470000000000002</v>
      </c>
      <c r="EW7" s="49">
        <v>2.87</v>
      </c>
      <c r="EX7" s="49">
        <v>-258.95999999999998</v>
      </c>
      <c r="EY7" s="49">
        <v>0</v>
      </c>
      <c r="EZ7" s="50">
        <v>182.06700000000001</v>
      </c>
      <c r="FA7" s="50">
        <v>0</v>
      </c>
      <c r="FB7" s="49">
        <v>5.0410000000000004</v>
      </c>
      <c r="FC7" s="49">
        <v>15.601000000000001</v>
      </c>
      <c r="FD7" s="49">
        <v>57.045000000000002</v>
      </c>
      <c r="FE7" s="49">
        <v>12.644</v>
      </c>
      <c r="FF7" s="49">
        <v>11.505000000000001</v>
      </c>
      <c r="FG7" s="50">
        <v>1.0109999999999999</v>
      </c>
      <c r="FH7" s="50">
        <v>1.01</v>
      </c>
      <c r="FI7" s="49">
        <v>1.002</v>
      </c>
      <c r="FJ7" s="49">
        <v>1.0029999999999999</v>
      </c>
      <c r="FK7" s="50">
        <v>0.20200000000000001</v>
      </c>
      <c r="FL7" s="49">
        <v>82</v>
      </c>
      <c r="FM7" s="49">
        <v>3.69</v>
      </c>
      <c r="FN7" s="50">
        <v>1.91</v>
      </c>
      <c r="FO7" s="50">
        <v>0.23</v>
      </c>
      <c r="FP7" s="50">
        <v>0.6</v>
      </c>
      <c r="FQ7" s="50">
        <v>1.55</v>
      </c>
      <c r="FR7" s="49">
        <v>5.2</v>
      </c>
      <c r="FS7" s="50">
        <v>6.7424999999999997</v>
      </c>
      <c r="FT7" s="49">
        <v>1069.2</v>
      </c>
      <c r="FU7" s="49">
        <v>5.88</v>
      </c>
      <c r="FV7" s="49">
        <v>5.53</v>
      </c>
      <c r="FW7" s="50">
        <v>16383.5</v>
      </c>
      <c r="FX7" s="49">
        <v>165200</v>
      </c>
      <c r="FY7" s="49">
        <v>165600</v>
      </c>
      <c r="FZ7" s="49">
        <v>48.514000000000003</v>
      </c>
      <c r="GA7" s="49">
        <v>47.607999999999997</v>
      </c>
      <c r="GB7" s="49">
        <v>2166.3000000000002</v>
      </c>
      <c r="GC7" s="49">
        <v>2167.3000000000002</v>
      </c>
      <c r="GD7" s="49">
        <v>2205.6999999999998</v>
      </c>
      <c r="GE7" s="49">
        <v>2204.5</v>
      </c>
      <c r="GF7" s="50">
        <v>1457.375</v>
      </c>
      <c r="GG7" s="50">
        <v>40</v>
      </c>
      <c r="GH7" s="50">
        <v>40.299999999999997</v>
      </c>
      <c r="GI7" s="50">
        <v>77.2</v>
      </c>
      <c r="GJ7" s="50">
        <v>77.5</v>
      </c>
      <c r="GK7" s="50">
        <v>63</v>
      </c>
      <c r="GL7" s="49">
        <v>80</v>
      </c>
      <c r="GM7" s="50">
        <v>0</v>
      </c>
      <c r="GN7" s="49">
        <v>24.276</v>
      </c>
      <c r="GO7" s="49">
        <v>101.098</v>
      </c>
      <c r="GP7" s="50">
        <v>0</v>
      </c>
      <c r="GQ7" s="50">
        <v>5.31</v>
      </c>
      <c r="GR7" s="50">
        <v>0</v>
      </c>
      <c r="GS7" s="50">
        <v>5.782</v>
      </c>
      <c r="GT7" s="50">
        <v>0</v>
      </c>
      <c r="GU7" s="50">
        <v>5.4870000000000001</v>
      </c>
      <c r="GV7" s="50">
        <v>0</v>
      </c>
      <c r="GW7" s="49">
        <v>4.0609999999999999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22.268999999999998</v>
      </c>
      <c r="HD7" s="49">
        <v>78</v>
      </c>
      <c r="HE7" s="50">
        <v>0</v>
      </c>
      <c r="HF7" s="50">
        <v>0</v>
      </c>
      <c r="HG7" s="50">
        <v>87.95</v>
      </c>
      <c r="HH7" s="49">
        <v>82</v>
      </c>
      <c r="HI7" s="50">
        <v>0</v>
      </c>
      <c r="HJ7" s="50">
        <v>0</v>
      </c>
      <c r="HK7" s="50">
        <v>0</v>
      </c>
      <c r="HL7" s="49">
        <v>50</v>
      </c>
      <c r="HM7" s="50">
        <v>51</v>
      </c>
      <c r="HN7" s="49">
        <v>55</v>
      </c>
      <c r="HO7" s="49">
        <v>49</v>
      </c>
      <c r="HP7" s="49">
        <v>51</v>
      </c>
      <c r="HQ7" s="49">
        <v>50</v>
      </c>
      <c r="HR7" s="49">
        <v>47</v>
      </c>
      <c r="HS7" s="49">
        <v>62</v>
      </c>
      <c r="HT7" s="49">
        <v>-1.3140000000000001</v>
      </c>
      <c r="HU7" s="50">
        <v>0</v>
      </c>
      <c r="HV7" s="49">
        <v>0.216</v>
      </c>
      <c r="HW7" s="50">
        <v>35.64</v>
      </c>
      <c r="HX7" s="50">
        <v>44.28</v>
      </c>
      <c r="HY7" s="3"/>
      <c r="HZ7" s="3"/>
      <c r="IA7" s="49">
        <v>2.7010000000000001</v>
      </c>
      <c r="IB7" s="49">
        <v>77</v>
      </c>
      <c r="IC7" s="49">
        <v>6.867</v>
      </c>
      <c r="ID7" s="50">
        <v>-5.8999999999999997E-2</v>
      </c>
      <c r="IE7" s="50">
        <v>-3.6999999999999998E-2</v>
      </c>
      <c r="IF7" s="50">
        <v>837.2</v>
      </c>
      <c r="IG7" s="49">
        <v>236</v>
      </c>
      <c r="IH7" s="50">
        <v>819.7</v>
      </c>
      <c r="II7" s="49">
        <v>243.8</v>
      </c>
      <c r="IJ7" s="49">
        <v>7.0000000000000001E-3</v>
      </c>
      <c r="IK7" s="49">
        <v>-0.01</v>
      </c>
      <c r="IL7" s="50">
        <v>1149.307</v>
      </c>
      <c r="IM7" s="50">
        <v>1149.1079999999999</v>
      </c>
      <c r="IN7" s="49">
        <v>8.1180000000000003</v>
      </c>
      <c r="IO7" s="49">
        <v>9.2999999999999999E-2</v>
      </c>
      <c r="IP7" s="50">
        <v>10.119999999999999</v>
      </c>
      <c r="IQ7" s="49">
        <v>0.01</v>
      </c>
      <c r="IR7" s="49">
        <v>-0.01</v>
      </c>
    </row>
    <row r="8" spans="2:252" x14ac:dyDescent="0.25">
      <c r="B8" s="2" t="s">
        <v>412</v>
      </c>
      <c r="C8" s="2" t="s">
        <v>42</v>
      </c>
      <c r="D8" s="61">
        <v>3.5822916666666664E-3</v>
      </c>
      <c r="E8" s="49">
        <v>309.52</v>
      </c>
      <c r="F8" s="49">
        <v>330.3</v>
      </c>
      <c r="G8" s="49">
        <v>5.0199999999999996</v>
      </c>
      <c r="H8" s="49">
        <v>26.7</v>
      </c>
      <c r="I8" s="50">
        <v>0</v>
      </c>
      <c r="J8" s="49">
        <v>9.9</v>
      </c>
      <c r="K8" s="50">
        <v>6</v>
      </c>
      <c r="L8" s="50">
        <v>4</v>
      </c>
      <c r="M8" s="50">
        <v>6</v>
      </c>
      <c r="N8" s="50">
        <v>3</v>
      </c>
      <c r="O8" s="50">
        <v>3</v>
      </c>
      <c r="P8" s="50">
        <v>0.75700000000000001</v>
      </c>
      <c r="Q8" s="49">
        <v>1.08</v>
      </c>
      <c r="R8" s="50">
        <v>0.80600000000000005</v>
      </c>
      <c r="S8" s="3"/>
      <c r="T8" s="49">
        <v>75.22</v>
      </c>
      <c r="U8" s="49">
        <v>61.012</v>
      </c>
      <c r="V8" s="49">
        <v>132.5</v>
      </c>
      <c r="W8" s="49">
        <v>140</v>
      </c>
      <c r="X8" s="49">
        <v>130</v>
      </c>
      <c r="Y8" s="49">
        <v>147.5</v>
      </c>
      <c r="Z8" s="49">
        <v>302.83</v>
      </c>
      <c r="AA8" s="49">
        <v>324.01</v>
      </c>
      <c r="AB8" s="49">
        <v>239.85</v>
      </c>
      <c r="AC8" s="49">
        <v>291.89999999999998</v>
      </c>
      <c r="AD8" s="49">
        <v>1.74</v>
      </c>
      <c r="AE8" s="49">
        <v>1.782</v>
      </c>
      <c r="AF8" s="49">
        <v>1.7190000000000001</v>
      </c>
      <c r="AG8" s="49">
        <v>1.772</v>
      </c>
      <c r="AH8" s="49">
        <v>73.98</v>
      </c>
      <c r="AI8" s="49">
        <v>69.91</v>
      </c>
      <c r="AJ8" s="49">
        <v>98.88</v>
      </c>
      <c r="AK8" s="49">
        <v>90.92</v>
      </c>
      <c r="AL8" s="50">
        <v>685.97400000000005</v>
      </c>
      <c r="AM8" s="49">
        <v>678.48900000000003</v>
      </c>
      <c r="AN8" s="49">
        <v>834.00900000000001</v>
      </c>
      <c r="AO8" s="49">
        <v>756.93600000000004</v>
      </c>
      <c r="AP8" s="49">
        <v>1.478</v>
      </c>
      <c r="AQ8" s="49">
        <v>1.982</v>
      </c>
      <c r="AR8" s="49">
        <v>39.679000000000002</v>
      </c>
      <c r="AS8" s="49">
        <v>36.271999999999998</v>
      </c>
      <c r="AT8" s="49">
        <v>82</v>
      </c>
      <c r="AU8" s="49">
        <v>102</v>
      </c>
      <c r="AV8" s="49">
        <v>2.5710000000000002</v>
      </c>
      <c r="AW8" s="49">
        <v>4.9010999999999996</v>
      </c>
      <c r="AX8" s="49">
        <v>1012.9</v>
      </c>
      <c r="AY8" s="49">
        <v>2.29</v>
      </c>
      <c r="AZ8" s="49">
        <v>5.68</v>
      </c>
      <c r="BA8" s="49">
        <v>70.798000000000002</v>
      </c>
      <c r="BB8" s="49">
        <v>71.915999999999997</v>
      </c>
      <c r="BC8" s="49">
        <v>7723</v>
      </c>
      <c r="BD8" s="49">
        <v>89.5</v>
      </c>
      <c r="BE8" s="50">
        <v>16.84</v>
      </c>
      <c r="BF8" s="49">
        <v>11.775</v>
      </c>
      <c r="BG8" s="49">
        <v>29.39</v>
      </c>
      <c r="BH8" s="49">
        <v>27.91</v>
      </c>
      <c r="BI8" s="3"/>
      <c r="BJ8" s="3"/>
      <c r="BK8" s="3"/>
      <c r="BL8" s="3"/>
      <c r="BM8" s="3"/>
      <c r="BN8" s="49">
        <v>110.488</v>
      </c>
      <c r="BO8" s="49">
        <v>106.80800000000001</v>
      </c>
      <c r="BP8" s="49">
        <v>126.80800000000001</v>
      </c>
      <c r="BQ8" s="49">
        <v>129.17599999999999</v>
      </c>
      <c r="BR8" s="3"/>
      <c r="BS8" s="49">
        <v>26.4</v>
      </c>
      <c r="BT8" s="49">
        <v>7246.7640000000001</v>
      </c>
      <c r="BU8" s="49">
        <v>42.058999999999997</v>
      </c>
      <c r="BV8" s="50">
        <v>53.497</v>
      </c>
      <c r="BW8" s="49">
        <v>53.832999999999998</v>
      </c>
      <c r="BX8" s="49">
        <v>53.945999999999998</v>
      </c>
      <c r="BY8" s="49">
        <v>1.387</v>
      </c>
      <c r="BZ8" s="49">
        <v>2.7010000000000001</v>
      </c>
      <c r="CA8" s="49">
        <v>3.3639999999999999</v>
      </c>
      <c r="CB8" s="49">
        <v>3.26</v>
      </c>
      <c r="CC8" s="50">
        <v>1.474</v>
      </c>
      <c r="CD8" s="50">
        <v>2.6120000000000001</v>
      </c>
      <c r="CE8" s="49">
        <v>1.33</v>
      </c>
      <c r="CF8" s="49">
        <v>2.2120000000000002</v>
      </c>
      <c r="CG8" s="49">
        <v>13.962</v>
      </c>
      <c r="CH8" s="49">
        <v>13.56</v>
      </c>
      <c r="CI8" s="50">
        <v>5.016</v>
      </c>
      <c r="CJ8" s="49">
        <v>-116.81699999999999</v>
      </c>
      <c r="CK8" s="49">
        <v>0.89200000000000002</v>
      </c>
      <c r="CL8" s="49">
        <v>0.2</v>
      </c>
      <c r="CM8" s="49">
        <v>0.5</v>
      </c>
      <c r="CN8" s="49">
        <v>0</v>
      </c>
      <c r="CO8" s="49">
        <v>0</v>
      </c>
      <c r="CP8" s="49">
        <v>94.4</v>
      </c>
      <c r="CQ8" s="49">
        <v>92.433999999999997</v>
      </c>
      <c r="CR8" s="49">
        <v>107.482</v>
      </c>
      <c r="CS8" s="49">
        <v>110.176</v>
      </c>
      <c r="CT8" s="49">
        <v>0.185</v>
      </c>
      <c r="CU8" s="49">
        <v>0.29799999999999999</v>
      </c>
      <c r="CV8" s="49">
        <v>0.80200000000000005</v>
      </c>
      <c r="CW8" s="49">
        <v>0.6</v>
      </c>
      <c r="CX8" s="50">
        <v>1.6020000000000001</v>
      </c>
      <c r="CY8" s="49">
        <v>0.1</v>
      </c>
      <c r="CZ8" s="49">
        <v>0.79900000000000004</v>
      </c>
      <c r="DA8" s="49">
        <v>0.60299999999999998</v>
      </c>
      <c r="DB8" s="49">
        <v>0.9</v>
      </c>
      <c r="DC8" s="50">
        <v>0</v>
      </c>
      <c r="DD8" s="50">
        <v>0</v>
      </c>
      <c r="DE8" s="49">
        <v>0.151</v>
      </c>
      <c r="DF8" s="49">
        <v>0.03</v>
      </c>
      <c r="DG8" s="49">
        <v>0.35299999999999998</v>
      </c>
      <c r="DH8" s="49">
        <v>1.7450000000000001</v>
      </c>
      <c r="DI8" s="49">
        <v>1.0629999999999999</v>
      </c>
      <c r="DJ8" s="49">
        <v>0.14599999999999999</v>
      </c>
      <c r="DK8" s="49">
        <v>0.65200000000000002</v>
      </c>
      <c r="DL8" s="49">
        <v>0.41399999999999998</v>
      </c>
      <c r="DM8" s="49">
        <v>0.46800000000000003</v>
      </c>
      <c r="DN8" s="49">
        <v>0.41199999999999998</v>
      </c>
      <c r="DO8" s="49">
        <v>0.28100000000000003</v>
      </c>
      <c r="DP8" s="49">
        <v>62.795999999999999</v>
      </c>
      <c r="DQ8" s="49">
        <v>59.116</v>
      </c>
      <c r="DR8" s="50">
        <v>54.393000000000001</v>
      </c>
      <c r="DS8" s="49">
        <v>50.670999999999999</v>
      </c>
      <c r="DT8" s="49">
        <v>3.1</v>
      </c>
      <c r="DU8" s="49">
        <v>2.98</v>
      </c>
      <c r="DV8" s="49">
        <v>6.35</v>
      </c>
      <c r="DW8" s="49">
        <v>4.74</v>
      </c>
      <c r="DX8" s="49">
        <v>3.22</v>
      </c>
      <c r="DY8" s="49">
        <v>3.23</v>
      </c>
      <c r="DZ8" s="49">
        <v>6.09</v>
      </c>
      <c r="EA8" s="49">
        <v>4.66</v>
      </c>
      <c r="EB8" s="49">
        <v>42.97</v>
      </c>
      <c r="EC8" s="50">
        <v>42.78</v>
      </c>
      <c r="ED8" s="49">
        <v>34.92</v>
      </c>
      <c r="EE8" s="50">
        <v>35.869999999999997</v>
      </c>
      <c r="EF8" s="49">
        <v>50.71</v>
      </c>
      <c r="EG8" s="49">
        <v>51.01</v>
      </c>
      <c r="EH8" s="49">
        <v>52.64</v>
      </c>
      <c r="EI8" s="49">
        <v>54.73</v>
      </c>
      <c r="EJ8" s="49">
        <v>6.2919999999999998</v>
      </c>
      <c r="EK8" s="49">
        <v>59.865000000000002</v>
      </c>
      <c r="EL8" s="49">
        <v>2.1</v>
      </c>
      <c r="EM8" s="49">
        <v>1.75</v>
      </c>
      <c r="EN8" s="49">
        <v>1.5</v>
      </c>
      <c r="EO8" s="49">
        <v>1.5</v>
      </c>
      <c r="EP8" s="49">
        <v>-103.886</v>
      </c>
      <c r="EQ8" s="49">
        <v>-1.63</v>
      </c>
      <c r="ER8" s="49">
        <v>103.434</v>
      </c>
      <c r="ES8" s="49">
        <v>1.5820000000000001</v>
      </c>
      <c r="ET8" s="49">
        <v>1.649</v>
      </c>
      <c r="EU8" s="49">
        <v>1.5489999999999999</v>
      </c>
      <c r="EV8" s="49">
        <v>8.0969999999999995</v>
      </c>
      <c r="EW8" s="50">
        <v>2.9529999999999998</v>
      </c>
      <c r="EX8" s="49">
        <v>58.04</v>
      </c>
      <c r="EY8" s="49">
        <v>0</v>
      </c>
      <c r="EZ8" s="49">
        <v>14.718999999999999</v>
      </c>
      <c r="FA8" s="50">
        <v>0</v>
      </c>
      <c r="FB8" s="49">
        <v>9.2799999999999994</v>
      </c>
      <c r="FC8" s="49">
        <v>70.492000000000004</v>
      </c>
      <c r="FD8" s="50">
        <v>66.242000000000004</v>
      </c>
      <c r="FE8" s="49">
        <v>76.894999999999996</v>
      </c>
      <c r="FF8" s="49">
        <v>73.474999999999994</v>
      </c>
      <c r="FG8" s="49">
        <v>0.91600000000000004</v>
      </c>
      <c r="FH8" s="49">
        <v>0.91600000000000004</v>
      </c>
      <c r="FI8" s="49">
        <v>0.995</v>
      </c>
      <c r="FJ8" s="49">
        <v>0.998</v>
      </c>
      <c r="FK8" s="49">
        <v>0</v>
      </c>
      <c r="FL8" s="50">
        <v>83</v>
      </c>
      <c r="FM8" s="49">
        <v>3.74</v>
      </c>
      <c r="FN8" s="49">
        <v>2.21</v>
      </c>
      <c r="FO8" s="49">
        <v>5.5</v>
      </c>
      <c r="FP8" s="49">
        <v>4.2</v>
      </c>
      <c r="FQ8" s="49">
        <v>4.45</v>
      </c>
      <c r="FR8" s="49">
        <v>5.15</v>
      </c>
      <c r="FS8" s="49">
        <v>6.7060000000000004</v>
      </c>
      <c r="FT8" s="49">
        <v>1073.9000000000001</v>
      </c>
      <c r="FU8" s="49">
        <v>6.97</v>
      </c>
      <c r="FV8" s="49">
        <v>10.55</v>
      </c>
      <c r="FW8" s="49">
        <v>3158</v>
      </c>
      <c r="FX8" s="49">
        <v>166900</v>
      </c>
      <c r="FY8" s="49">
        <v>167000</v>
      </c>
      <c r="FZ8" s="49">
        <v>47.436</v>
      </c>
      <c r="GA8" s="49">
        <v>47.216000000000001</v>
      </c>
      <c r="GB8" s="50">
        <v>2233</v>
      </c>
      <c r="GC8" s="49">
        <v>2157.8000000000002</v>
      </c>
      <c r="GD8" s="49">
        <v>2233</v>
      </c>
      <c r="GE8" s="49">
        <v>2209.1</v>
      </c>
      <c r="GF8" s="49">
        <v>1385.9375</v>
      </c>
      <c r="GG8" s="49">
        <v>28</v>
      </c>
      <c r="GH8" s="49">
        <v>27.5</v>
      </c>
      <c r="GI8" s="49">
        <v>50.1</v>
      </c>
      <c r="GJ8" s="49">
        <v>54.3</v>
      </c>
      <c r="GK8" s="49">
        <v>87</v>
      </c>
      <c r="GL8" s="49">
        <v>75.2</v>
      </c>
      <c r="GM8" s="50">
        <v>0</v>
      </c>
      <c r="GN8" s="49">
        <v>26.259</v>
      </c>
      <c r="GO8" s="49">
        <v>103.886</v>
      </c>
      <c r="GP8" s="49">
        <v>1.0620000000000001</v>
      </c>
      <c r="GQ8" s="49">
        <v>1.9470000000000001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49">
        <v>12.837999999999999</v>
      </c>
      <c r="GW8" s="49">
        <v>14.1</v>
      </c>
      <c r="GX8" s="49">
        <v>15.68</v>
      </c>
      <c r="GY8" s="50">
        <v>0</v>
      </c>
      <c r="GZ8" s="50">
        <v>0</v>
      </c>
      <c r="HA8" s="50">
        <v>0</v>
      </c>
      <c r="HB8" s="49">
        <v>0</v>
      </c>
      <c r="HC8" s="50">
        <v>25.294</v>
      </c>
      <c r="HD8" s="50">
        <v>82</v>
      </c>
      <c r="HE8" s="50">
        <v>0</v>
      </c>
      <c r="HF8" s="50">
        <v>0</v>
      </c>
      <c r="HG8" s="49">
        <v>72.75</v>
      </c>
      <c r="HH8" s="49">
        <v>81.66</v>
      </c>
      <c r="HI8" s="50">
        <v>0</v>
      </c>
      <c r="HJ8" s="50">
        <v>0</v>
      </c>
      <c r="HK8" s="50">
        <v>0</v>
      </c>
      <c r="HL8" s="49">
        <v>56</v>
      </c>
      <c r="HM8" s="49">
        <v>50</v>
      </c>
      <c r="HN8" s="49">
        <v>58</v>
      </c>
      <c r="HO8" s="49">
        <v>51</v>
      </c>
      <c r="HP8" s="49">
        <v>54</v>
      </c>
      <c r="HQ8" s="49">
        <v>52</v>
      </c>
      <c r="HR8" s="49">
        <v>47</v>
      </c>
      <c r="HS8" s="49">
        <v>62</v>
      </c>
      <c r="HT8" s="49">
        <v>-1.33</v>
      </c>
      <c r="HU8" s="50">
        <v>0</v>
      </c>
      <c r="HV8" s="49">
        <v>0.91900000000000004</v>
      </c>
      <c r="HW8" s="50">
        <v>35.64</v>
      </c>
      <c r="HX8" s="50">
        <v>44.28</v>
      </c>
      <c r="HY8" s="3"/>
      <c r="HZ8" s="3"/>
      <c r="IA8" s="49">
        <v>2.9169999999999998</v>
      </c>
      <c r="IB8" s="49">
        <v>100</v>
      </c>
      <c r="IC8" s="49">
        <v>19.879000000000001</v>
      </c>
      <c r="ID8" s="49">
        <v>-0.19700000000000001</v>
      </c>
      <c r="IE8" s="49">
        <v>-0.111</v>
      </c>
      <c r="IF8" s="49">
        <v>801.7</v>
      </c>
      <c r="IG8" s="49">
        <v>662.4</v>
      </c>
      <c r="IH8" s="49">
        <v>811.3</v>
      </c>
      <c r="II8" s="49">
        <v>675.8</v>
      </c>
      <c r="IJ8" s="49">
        <v>8.9999999999999993E-3</v>
      </c>
      <c r="IK8" s="49">
        <v>-4.0000000000000001E-3</v>
      </c>
      <c r="IL8" s="49">
        <v>201.03</v>
      </c>
      <c r="IM8" s="49">
        <v>201.03</v>
      </c>
      <c r="IN8" s="49">
        <v>13.439</v>
      </c>
      <c r="IO8" s="49">
        <v>0.10100000000000001</v>
      </c>
      <c r="IP8" s="49">
        <v>9.01</v>
      </c>
      <c r="IQ8" s="50">
        <v>1.2E-2</v>
      </c>
      <c r="IR8" s="50">
        <v>1.4E-2</v>
      </c>
    </row>
    <row r="9" spans="2:252" x14ac:dyDescent="0.25">
      <c r="B9" s="2" t="s">
        <v>412</v>
      </c>
      <c r="C9" s="2" t="s">
        <v>43</v>
      </c>
      <c r="D9" s="61">
        <v>4.410300925925926E-3</v>
      </c>
      <c r="E9" s="49">
        <v>380.99</v>
      </c>
      <c r="F9" s="49">
        <v>320.94</v>
      </c>
      <c r="G9" s="49">
        <v>4.4000000000000004</v>
      </c>
      <c r="H9" s="49">
        <v>26.3</v>
      </c>
      <c r="I9" s="50">
        <v>0</v>
      </c>
      <c r="J9" s="49">
        <v>15.1</v>
      </c>
      <c r="K9" s="50">
        <v>6</v>
      </c>
      <c r="L9" s="50">
        <v>4</v>
      </c>
      <c r="M9" s="50">
        <v>6</v>
      </c>
      <c r="N9" s="50">
        <v>3</v>
      </c>
      <c r="O9" s="50">
        <v>3</v>
      </c>
      <c r="P9" s="49">
        <v>0.59799999999999998</v>
      </c>
      <c r="Q9" s="49">
        <v>1.012</v>
      </c>
      <c r="R9" s="49">
        <v>0.57199999999999995</v>
      </c>
      <c r="S9" s="49">
        <v>0.45300000000000001</v>
      </c>
      <c r="T9" s="49">
        <v>58.52</v>
      </c>
      <c r="U9" s="50">
        <v>61.536999999999999</v>
      </c>
      <c r="V9" s="50">
        <v>60</v>
      </c>
      <c r="W9" s="50">
        <v>40</v>
      </c>
      <c r="X9" s="50">
        <v>80</v>
      </c>
      <c r="Y9" s="50">
        <v>80</v>
      </c>
      <c r="Z9" s="49">
        <v>148.72999999999999</v>
      </c>
      <c r="AA9" s="49">
        <v>150.22</v>
      </c>
      <c r="AB9" s="49">
        <v>113.01</v>
      </c>
      <c r="AC9" s="49">
        <v>125.68</v>
      </c>
      <c r="AD9" s="49">
        <v>1.5629999999999999</v>
      </c>
      <c r="AE9" s="49">
        <v>1.6120000000000001</v>
      </c>
      <c r="AF9" s="49">
        <v>1.5069999999999999</v>
      </c>
      <c r="AG9" s="49">
        <v>1.5760000000000001</v>
      </c>
      <c r="AH9" s="49">
        <v>48.57</v>
      </c>
      <c r="AI9" s="49">
        <v>46.02</v>
      </c>
      <c r="AJ9" s="49">
        <v>62.37</v>
      </c>
      <c r="AK9" s="49">
        <v>58.64</v>
      </c>
      <c r="AL9" s="49">
        <v>596.68700000000001</v>
      </c>
      <c r="AM9" s="49">
        <v>617.22799999999995</v>
      </c>
      <c r="AN9" s="49">
        <v>734.07600000000002</v>
      </c>
      <c r="AO9" s="49">
        <v>728.18700000000001</v>
      </c>
      <c r="AP9" s="49">
        <v>1.462</v>
      </c>
      <c r="AQ9" s="49">
        <v>1.9550000000000001</v>
      </c>
      <c r="AR9" s="49">
        <v>37.927999999999997</v>
      </c>
      <c r="AS9" s="49">
        <v>37.988</v>
      </c>
      <c r="AT9" s="49">
        <v>82</v>
      </c>
      <c r="AU9" s="49">
        <v>93</v>
      </c>
      <c r="AV9" s="49">
        <v>2.0910000000000002</v>
      </c>
      <c r="AW9" s="49">
        <v>5.2525000000000004</v>
      </c>
      <c r="AX9" s="49">
        <v>1006</v>
      </c>
      <c r="AY9" s="49">
        <v>2.29</v>
      </c>
      <c r="AZ9" s="49">
        <v>5.76</v>
      </c>
      <c r="BA9" s="49">
        <v>72.623000000000005</v>
      </c>
      <c r="BB9" s="49">
        <v>72.608999999999995</v>
      </c>
      <c r="BC9" s="50">
        <v>7815</v>
      </c>
      <c r="BD9" s="49">
        <v>89</v>
      </c>
      <c r="BE9" s="49">
        <v>14.04</v>
      </c>
      <c r="BF9" s="49">
        <v>12.43</v>
      </c>
      <c r="BG9" s="49">
        <v>26.91</v>
      </c>
      <c r="BH9" s="49">
        <v>26.09</v>
      </c>
      <c r="BI9" s="3"/>
      <c r="BJ9" s="3"/>
      <c r="BK9" s="3"/>
      <c r="BL9" s="3"/>
      <c r="BM9" s="3"/>
      <c r="BN9" s="49">
        <v>99.975999999999999</v>
      </c>
      <c r="BO9" s="49">
        <v>96.488</v>
      </c>
      <c r="BP9" s="49">
        <v>114.68</v>
      </c>
      <c r="BQ9" s="49">
        <v>116.92</v>
      </c>
      <c r="BR9" s="3"/>
      <c r="BS9" s="49">
        <v>25.9</v>
      </c>
      <c r="BT9" s="50">
        <v>7488.7359999999999</v>
      </c>
      <c r="BU9" s="49">
        <v>38.898000000000003</v>
      </c>
      <c r="BV9" s="49">
        <v>52.081000000000003</v>
      </c>
      <c r="BW9" s="49">
        <v>54.99</v>
      </c>
      <c r="BX9" s="50">
        <v>55.988999999999997</v>
      </c>
      <c r="BY9" s="50">
        <v>1.5549999999999999</v>
      </c>
      <c r="BZ9" s="49">
        <v>2.1030000000000002</v>
      </c>
      <c r="CA9" s="49">
        <v>3.4079999999999999</v>
      </c>
      <c r="CB9" s="49">
        <v>3.0870000000000002</v>
      </c>
      <c r="CC9" s="49">
        <v>1.1579999999999999</v>
      </c>
      <c r="CD9" s="49">
        <v>2.3610000000000002</v>
      </c>
      <c r="CE9" s="49">
        <v>1.51</v>
      </c>
      <c r="CF9" s="49">
        <v>2.1779999999999999</v>
      </c>
      <c r="CG9" s="50">
        <v>14.005000000000001</v>
      </c>
      <c r="CH9" s="49">
        <v>13.826000000000001</v>
      </c>
      <c r="CI9" s="49">
        <v>4.391</v>
      </c>
      <c r="CJ9" s="49">
        <v>-92.903999999999996</v>
      </c>
      <c r="CK9" s="49">
        <v>1.31</v>
      </c>
      <c r="CL9" s="49">
        <v>0</v>
      </c>
      <c r="CM9" s="49">
        <v>0.3</v>
      </c>
      <c r="CN9" s="50">
        <v>0.1</v>
      </c>
      <c r="CO9" s="50">
        <v>0.1</v>
      </c>
      <c r="CP9" s="49">
        <v>68.572999999999993</v>
      </c>
      <c r="CQ9" s="49">
        <v>67.778000000000006</v>
      </c>
      <c r="CR9" s="49">
        <v>78.307000000000002</v>
      </c>
      <c r="CS9" s="49">
        <v>79.286000000000001</v>
      </c>
      <c r="CT9" s="49">
        <v>0.25600000000000001</v>
      </c>
      <c r="CU9" s="49">
        <v>0.90100000000000002</v>
      </c>
      <c r="CV9" s="49">
        <v>0.79900000000000004</v>
      </c>
      <c r="CW9" s="50">
        <v>1.5980000000000001</v>
      </c>
      <c r="CX9" s="49">
        <v>1.403</v>
      </c>
      <c r="CY9" s="50">
        <v>1.097</v>
      </c>
      <c r="CZ9" s="49">
        <v>0.8</v>
      </c>
      <c r="DA9" s="50">
        <v>1.1000000000000001</v>
      </c>
      <c r="DB9" s="50">
        <v>1.6970000000000001</v>
      </c>
      <c r="DC9" s="50">
        <v>0</v>
      </c>
      <c r="DD9" s="50">
        <v>0</v>
      </c>
      <c r="DE9" s="49">
        <v>0.16700000000000001</v>
      </c>
      <c r="DF9" s="50">
        <v>8.6999999999999994E-2</v>
      </c>
      <c r="DG9" s="50">
        <v>1.256</v>
      </c>
      <c r="DH9" s="50">
        <v>3.5819999999999999</v>
      </c>
      <c r="DI9" s="49">
        <v>0.97</v>
      </c>
      <c r="DJ9" s="49">
        <v>0.13300000000000001</v>
      </c>
      <c r="DK9" s="49">
        <v>0.70399999999999996</v>
      </c>
      <c r="DL9" s="49">
        <v>0.42</v>
      </c>
      <c r="DM9" s="50">
        <v>0.52900000000000003</v>
      </c>
      <c r="DN9" s="49">
        <v>0.35699999999999998</v>
      </c>
      <c r="DO9" s="50">
        <v>0.40400000000000003</v>
      </c>
      <c r="DP9" s="49">
        <v>60.284999999999997</v>
      </c>
      <c r="DQ9" s="49">
        <v>59.768999999999998</v>
      </c>
      <c r="DR9" s="49">
        <v>49.289000000000001</v>
      </c>
      <c r="DS9" s="49">
        <v>49.445999999999998</v>
      </c>
      <c r="DT9" s="49">
        <v>1.8</v>
      </c>
      <c r="DU9" s="49">
        <v>1.91</v>
      </c>
      <c r="DV9" s="49">
        <v>4.37</v>
      </c>
      <c r="DW9" s="49">
        <v>3.58</v>
      </c>
      <c r="DX9" s="49">
        <v>2.0499999999999998</v>
      </c>
      <c r="DY9" s="49">
        <v>1.96</v>
      </c>
      <c r="DZ9" s="49">
        <v>4</v>
      </c>
      <c r="EA9" s="49">
        <v>3.32</v>
      </c>
      <c r="EB9" s="49">
        <v>42.69</v>
      </c>
      <c r="EC9" s="49">
        <v>42.03</v>
      </c>
      <c r="ED9" s="50">
        <v>35.409999999999997</v>
      </c>
      <c r="EE9" s="49">
        <v>33.81</v>
      </c>
      <c r="EF9" s="49">
        <v>53.46</v>
      </c>
      <c r="EG9" s="49">
        <v>54.11</v>
      </c>
      <c r="EH9" s="49">
        <v>56.22</v>
      </c>
      <c r="EI9" s="49">
        <v>59.28</v>
      </c>
      <c r="EJ9" s="49">
        <v>6.2729999999999997</v>
      </c>
      <c r="EK9" s="49">
        <v>59.247999999999998</v>
      </c>
      <c r="EL9" s="49">
        <v>2.1</v>
      </c>
      <c r="EM9" s="49">
        <v>1.7</v>
      </c>
      <c r="EN9" s="50">
        <v>1.58</v>
      </c>
      <c r="EO9" s="50">
        <v>1.58</v>
      </c>
      <c r="EP9" s="49">
        <v>-86.95</v>
      </c>
      <c r="EQ9" s="50">
        <v>-6.8000000000000005E-2</v>
      </c>
      <c r="ER9" s="50">
        <v>123.29</v>
      </c>
      <c r="ES9" s="50">
        <v>1.605</v>
      </c>
      <c r="ET9" s="50">
        <v>1.6859999999999999</v>
      </c>
      <c r="EU9" s="50">
        <v>1.5660000000000001</v>
      </c>
      <c r="EV9" s="49">
        <v>8.0289999999999999</v>
      </c>
      <c r="EW9" s="49">
        <v>2.5099999999999998</v>
      </c>
      <c r="EX9" s="49">
        <v>45.22</v>
      </c>
      <c r="EY9" s="50">
        <v>1.0409999999999999</v>
      </c>
      <c r="EZ9" s="49">
        <v>96.682000000000002</v>
      </c>
      <c r="FA9" s="50">
        <v>0</v>
      </c>
      <c r="FB9" s="50">
        <v>9.4169999999999998</v>
      </c>
      <c r="FC9" s="49">
        <v>59.021999999999998</v>
      </c>
      <c r="FD9" s="49">
        <v>54.848999999999997</v>
      </c>
      <c r="FE9" s="49">
        <v>63.283000000000001</v>
      </c>
      <c r="FF9" s="49">
        <v>61.44</v>
      </c>
      <c r="FG9" s="49">
        <v>0.92400000000000004</v>
      </c>
      <c r="FH9" s="49">
        <v>0.92400000000000004</v>
      </c>
      <c r="FI9" s="50">
        <v>1.0029999999999999</v>
      </c>
      <c r="FJ9" s="50">
        <v>1.0049999999999999</v>
      </c>
      <c r="FK9" s="49">
        <v>0</v>
      </c>
      <c r="FL9" s="49">
        <v>82</v>
      </c>
      <c r="FM9" s="49">
        <v>3.75</v>
      </c>
      <c r="FN9" s="49">
        <v>2.25</v>
      </c>
      <c r="FO9" s="49">
        <v>5.35</v>
      </c>
      <c r="FP9" s="3"/>
      <c r="FQ9" s="49">
        <v>4.9000000000000004</v>
      </c>
      <c r="FR9" s="49">
        <v>5.25</v>
      </c>
      <c r="FS9" s="49">
        <v>6.47</v>
      </c>
      <c r="FT9" s="50">
        <v>1077.3</v>
      </c>
      <c r="FU9" s="49">
        <v>7.11</v>
      </c>
      <c r="FV9" s="49">
        <v>14.95</v>
      </c>
      <c r="FW9" s="49">
        <v>3067.5</v>
      </c>
      <c r="FX9" s="50">
        <v>172800</v>
      </c>
      <c r="FY9" s="50">
        <v>175000</v>
      </c>
      <c r="FZ9" s="50">
        <v>54.341000000000001</v>
      </c>
      <c r="GA9" s="50">
        <v>53.667999999999999</v>
      </c>
      <c r="GB9" s="49">
        <v>2170.9</v>
      </c>
      <c r="GC9" s="49">
        <v>2171.8000000000002</v>
      </c>
      <c r="GD9" s="49">
        <v>2246.5</v>
      </c>
      <c r="GE9" s="50">
        <v>2247.8000000000002</v>
      </c>
      <c r="GF9" s="49">
        <v>1347.3438000000001</v>
      </c>
      <c r="GG9" s="49">
        <v>28</v>
      </c>
      <c r="GH9" s="49">
        <v>28.1</v>
      </c>
      <c r="GI9" s="49">
        <v>49.4</v>
      </c>
      <c r="GJ9" s="49">
        <v>56.1</v>
      </c>
      <c r="GK9" s="49">
        <v>90</v>
      </c>
      <c r="GL9" s="49">
        <v>94.6</v>
      </c>
      <c r="GM9" s="50">
        <v>0</v>
      </c>
      <c r="GN9" s="49">
        <v>26.568000000000001</v>
      </c>
      <c r="GO9" s="50">
        <v>123.29</v>
      </c>
      <c r="GP9" s="49">
        <v>0.94399999999999995</v>
      </c>
      <c r="GQ9" s="49">
        <v>1.9470000000000001</v>
      </c>
      <c r="GR9" s="49">
        <v>1.357</v>
      </c>
      <c r="GS9" s="49">
        <v>2.0059999999999998</v>
      </c>
      <c r="GT9" s="49">
        <v>0.82599999999999996</v>
      </c>
      <c r="GU9" s="49">
        <v>1.8879999999999999</v>
      </c>
      <c r="GV9" s="49">
        <v>12.837999999999999</v>
      </c>
      <c r="GW9" s="50">
        <v>14.137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22.62</v>
      </c>
      <c r="HD9" s="50">
        <v>82</v>
      </c>
      <c r="HE9" s="50">
        <v>0</v>
      </c>
      <c r="HF9" s="50">
        <v>0</v>
      </c>
      <c r="HG9" s="49">
        <v>72.47</v>
      </c>
      <c r="HH9" s="49">
        <v>81.81</v>
      </c>
      <c r="HI9" s="50">
        <v>0</v>
      </c>
      <c r="HJ9" s="50">
        <v>0</v>
      </c>
      <c r="HK9" s="50">
        <v>0</v>
      </c>
      <c r="HL9" s="49">
        <v>56</v>
      </c>
      <c r="HM9" s="49">
        <v>50</v>
      </c>
      <c r="HN9" s="49">
        <v>60</v>
      </c>
      <c r="HO9" s="49">
        <v>53</v>
      </c>
      <c r="HP9" s="49">
        <v>56</v>
      </c>
      <c r="HQ9" s="49">
        <v>54</v>
      </c>
      <c r="HR9" s="49">
        <v>48</v>
      </c>
      <c r="HS9" s="50">
        <v>70</v>
      </c>
      <c r="HT9" s="49">
        <v>-1.3405</v>
      </c>
      <c r="HU9" s="50">
        <v>0</v>
      </c>
      <c r="HV9" s="49">
        <v>0.79600000000000004</v>
      </c>
      <c r="HW9" s="49">
        <v>38.01</v>
      </c>
      <c r="HX9" s="49">
        <v>48.21</v>
      </c>
      <c r="HY9" s="3"/>
      <c r="HZ9" s="3"/>
      <c r="IA9" s="49">
        <v>2.46</v>
      </c>
      <c r="IB9" s="49">
        <v>94</v>
      </c>
      <c r="IC9" s="49">
        <v>14.771000000000001</v>
      </c>
      <c r="ID9" s="49">
        <v>-0.11799999999999999</v>
      </c>
      <c r="IE9" s="49">
        <v>-5.6000000000000001E-2</v>
      </c>
      <c r="IF9" s="49">
        <v>789</v>
      </c>
      <c r="IG9" s="49">
        <v>604.5</v>
      </c>
      <c r="IH9" s="49">
        <v>799</v>
      </c>
      <c r="II9" s="49">
        <v>617.6</v>
      </c>
      <c r="IJ9" s="49">
        <v>7.0000000000000007E-2</v>
      </c>
      <c r="IK9" s="49">
        <v>0.04</v>
      </c>
      <c r="IL9" s="49">
        <v>299.63799999999998</v>
      </c>
      <c r="IM9" s="49">
        <v>299.63799999999998</v>
      </c>
      <c r="IN9" s="49">
        <v>13.276999999999999</v>
      </c>
      <c r="IO9" s="49">
        <v>0.106</v>
      </c>
      <c r="IP9" s="49">
        <v>9.32</v>
      </c>
      <c r="IQ9" s="49">
        <v>1E-3</v>
      </c>
      <c r="IR9" s="49">
        <v>-6.0000000000000001E-3</v>
      </c>
    </row>
    <row r="10" spans="2:252" x14ac:dyDescent="0.25">
      <c r="B10" s="2" t="s">
        <v>412</v>
      </c>
      <c r="C10" s="2" t="s">
        <v>44</v>
      </c>
      <c r="D10" s="61">
        <v>2.4335648148148151E-3</v>
      </c>
      <c r="E10" s="49">
        <v>210.3</v>
      </c>
      <c r="F10" s="49">
        <v>330.88</v>
      </c>
      <c r="G10" s="49">
        <v>5.98</v>
      </c>
      <c r="H10" s="49">
        <v>26.9</v>
      </c>
      <c r="I10" s="50">
        <v>0</v>
      </c>
      <c r="J10" s="49">
        <v>16.2</v>
      </c>
      <c r="K10" s="50">
        <v>6</v>
      </c>
      <c r="L10" s="50">
        <v>4</v>
      </c>
      <c r="M10" s="50">
        <v>6</v>
      </c>
      <c r="N10" s="50">
        <v>3</v>
      </c>
      <c r="O10" s="50">
        <v>3</v>
      </c>
      <c r="P10" s="49">
        <v>0.64900000000000002</v>
      </c>
      <c r="Q10" s="50">
        <v>1.355</v>
      </c>
      <c r="R10" s="49">
        <v>0.66400000000000003</v>
      </c>
      <c r="S10" s="49">
        <v>0.33400000000000002</v>
      </c>
      <c r="T10" s="49">
        <v>71.42</v>
      </c>
      <c r="U10" s="49">
        <v>60.997</v>
      </c>
      <c r="V10" s="49">
        <v>218.34</v>
      </c>
      <c r="W10" s="49">
        <v>235</v>
      </c>
      <c r="X10" s="49">
        <v>127.5</v>
      </c>
      <c r="Y10" s="49">
        <v>175</v>
      </c>
      <c r="Z10" s="49">
        <v>372.94</v>
      </c>
      <c r="AA10" s="49">
        <v>389.56</v>
      </c>
      <c r="AB10" s="49">
        <v>263.47000000000003</v>
      </c>
      <c r="AC10" s="49">
        <v>332.78</v>
      </c>
      <c r="AD10" s="49">
        <v>1.6819999999999999</v>
      </c>
      <c r="AE10" s="49">
        <v>1.7210000000000001</v>
      </c>
      <c r="AF10" s="49">
        <v>1.6679999999999999</v>
      </c>
      <c r="AG10" s="49">
        <v>1.7150000000000001</v>
      </c>
      <c r="AH10" s="49">
        <v>72.849999999999994</v>
      </c>
      <c r="AI10" s="49">
        <v>68.599999999999994</v>
      </c>
      <c r="AJ10" s="49">
        <v>96.09</v>
      </c>
      <c r="AK10" s="49">
        <v>87.64</v>
      </c>
      <c r="AL10" s="49">
        <v>679.89300000000003</v>
      </c>
      <c r="AM10" s="49">
        <v>688.548</v>
      </c>
      <c r="AN10" s="50">
        <v>852.16700000000003</v>
      </c>
      <c r="AO10" s="50">
        <v>821.88800000000003</v>
      </c>
      <c r="AP10" s="49">
        <v>1.466</v>
      </c>
      <c r="AQ10" s="49">
        <v>1.9510000000000001</v>
      </c>
      <c r="AR10" s="49">
        <v>41.203000000000003</v>
      </c>
      <c r="AS10" s="49">
        <v>38.51</v>
      </c>
      <c r="AT10" s="50">
        <v>83</v>
      </c>
      <c r="AU10" s="49">
        <v>109</v>
      </c>
      <c r="AV10" s="49">
        <v>1.7805</v>
      </c>
      <c r="AW10" s="49">
        <v>5.13</v>
      </c>
      <c r="AX10" s="49">
        <v>1013.2</v>
      </c>
      <c r="AY10" s="50">
        <v>2.4</v>
      </c>
      <c r="AZ10" s="49">
        <v>5.6</v>
      </c>
      <c r="BA10" s="49">
        <v>132.15</v>
      </c>
      <c r="BB10" s="49">
        <v>133.667</v>
      </c>
      <c r="BC10" s="49">
        <v>7684</v>
      </c>
      <c r="BD10" s="49">
        <v>89.5</v>
      </c>
      <c r="BE10" s="49">
        <v>16.75</v>
      </c>
      <c r="BF10" s="49">
        <v>15.025</v>
      </c>
      <c r="BG10" s="49">
        <v>29.33</v>
      </c>
      <c r="BH10" s="49">
        <v>27.61</v>
      </c>
      <c r="BI10" s="3"/>
      <c r="BJ10" s="3"/>
      <c r="BK10" s="3"/>
      <c r="BL10" s="3"/>
      <c r="BM10" s="3"/>
      <c r="BN10" s="49">
        <v>94.52</v>
      </c>
      <c r="BO10" s="49">
        <v>92.52</v>
      </c>
      <c r="BP10" s="49">
        <v>108.80800000000001</v>
      </c>
      <c r="BQ10" s="49">
        <v>113.736</v>
      </c>
      <c r="BR10" s="3"/>
      <c r="BS10" s="49">
        <v>26.4</v>
      </c>
      <c r="BT10" s="49">
        <v>7457.0460000000003</v>
      </c>
      <c r="BU10" s="49">
        <v>50.22</v>
      </c>
      <c r="BV10" s="49">
        <v>51.921999999999997</v>
      </c>
      <c r="BW10" s="49">
        <v>53.066000000000003</v>
      </c>
      <c r="BX10" s="49">
        <v>54.954000000000001</v>
      </c>
      <c r="BY10" s="49">
        <v>1.546</v>
      </c>
      <c r="BZ10" s="49">
        <v>2.6110000000000002</v>
      </c>
      <c r="CA10" s="50">
        <v>3.7829999999999999</v>
      </c>
      <c r="CB10" s="49">
        <v>3.5710000000000002</v>
      </c>
      <c r="CC10" s="49">
        <v>1.383</v>
      </c>
      <c r="CD10" s="49">
        <v>2.528</v>
      </c>
      <c r="CE10" s="49">
        <v>1.4379999999999999</v>
      </c>
      <c r="CF10" s="49">
        <v>2.2080000000000002</v>
      </c>
      <c r="CG10" s="49">
        <v>13.938000000000001</v>
      </c>
      <c r="CH10" s="49">
        <v>13.775</v>
      </c>
      <c r="CI10" s="49">
        <v>4.7679999999999998</v>
      </c>
      <c r="CJ10" s="50">
        <v>-73.218999999999994</v>
      </c>
      <c r="CK10" s="50">
        <v>1.702</v>
      </c>
      <c r="CL10" s="49">
        <v>0</v>
      </c>
      <c r="CM10" s="49">
        <v>0.4</v>
      </c>
      <c r="CN10" s="49">
        <v>0</v>
      </c>
      <c r="CO10" s="49">
        <v>0</v>
      </c>
      <c r="CP10" s="49">
        <v>83.349000000000004</v>
      </c>
      <c r="CQ10" s="49">
        <v>83.066000000000003</v>
      </c>
      <c r="CR10" s="49">
        <v>86.635999999999996</v>
      </c>
      <c r="CS10" s="49">
        <v>93.518000000000001</v>
      </c>
      <c r="CT10" s="49">
        <v>0.313</v>
      </c>
      <c r="CU10" s="49">
        <v>1.1000000000000001</v>
      </c>
      <c r="CV10" s="49">
        <v>0.79800000000000004</v>
      </c>
      <c r="CW10" s="49">
        <v>0.7</v>
      </c>
      <c r="CX10" s="49">
        <v>1.2969999999999999</v>
      </c>
      <c r="CY10" s="49">
        <v>0.79700000000000004</v>
      </c>
      <c r="CZ10" s="49">
        <v>0.80100000000000005</v>
      </c>
      <c r="DA10" s="49">
        <v>0.70199999999999996</v>
      </c>
      <c r="DB10" s="49">
        <v>0.998</v>
      </c>
      <c r="DC10" s="50">
        <v>0</v>
      </c>
      <c r="DD10" s="50">
        <v>0</v>
      </c>
      <c r="DE10" s="50">
        <v>0.219</v>
      </c>
      <c r="DF10" s="49">
        <v>6.2E-2</v>
      </c>
      <c r="DG10" s="49">
        <v>0.83899999999999997</v>
      </c>
      <c r="DH10" s="49">
        <v>2.371</v>
      </c>
      <c r="DI10" s="50">
        <v>1.2589999999999999</v>
      </c>
      <c r="DJ10" s="49">
        <v>0.125</v>
      </c>
      <c r="DK10" s="49">
        <v>0.72099999999999997</v>
      </c>
      <c r="DL10" s="49">
        <v>0.41299999999999998</v>
      </c>
      <c r="DM10" s="49">
        <v>0.44600000000000001</v>
      </c>
      <c r="DN10" s="49">
        <v>0.46200000000000002</v>
      </c>
      <c r="DO10" s="49">
        <v>0.34599999999999997</v>
      </c>
      <c r="DP10" s="50">
        <v>66.602999999999994</v>
      </c>
      <c r="DQ10" s="50">
        <v>61.432000000000002</v>
      </c>
      <c r="DR10" s="49">
        <v>54.258000000000003</v>
      </c>
      <c r="DS10" s="49">
        <v>51.356000000000002</v>
      </c>
      <c r="DT10" s="50">
        <v>7.29</v>
      </c>
      <c r="DU10" s="49">
        <v>7.29</v>
      </c>
      <c r="DV10" s="49">
        <v>14.38</v>
      </c>
      <c r="DW10" s="50">
        <v>11.85</v>
      </c>
      <c r="DX10" s="49">
        <v>7.54</v>
      </c>
      <c r="DY10" s="49">
        <v>7.48</v>
      </c>
      <c r="DZ10" s="49">
        <v>13.92</v>
      </c>
      <c r="EA10" s="50">
        <v>11.51</v>
      </c>
      <c r="EB10" s="49">
        <v>41.14</v>
      </c>
      <c r="EC10" s="49">
        <v>40.659999999999997</v>
      </c>
      <c r="ED10" s="49">
        <v>31.66</v>
      </c>
      <c r="EE10" s="49">
        <v>33.92</v>
      </c>
      <c r="EF10" s="49">
        <v>44.03</v>
      </c>
      <c r="EG10" s="49">
        <v>44.57</v>
      </c>
      <c r="EH10" s="49">
        <v>40.03</v>
      </c>
      <c r="EI10" s="49">
        <v>42.73</v>
      </c>
      <c r="EJ10" s="49">
        <v>5.6109999999999998</v>
      </c>
      <c r="EK10" s="49">
        <v>60.378999999999998</v>
      </c>
      <c r="EL10" s="49">
        <v>2.2000000000000002</v>
      </c>
      <c r="EM10" s="49">
        <v>1.75</v>
      </c>
      <c r="EN10" s="49">
        <v>1.21</v>
      </c>
      <c r="EO10" s="49">
        <v>1.21</v>
      </c>
      <c r="EP10" s="50">
        <v>-122.282</v>
      </c>
      <c r="EQ10" s="49">
        <v>-2.2509999999999999</v>
      </c>
      <c r="ER10" s="49">
        <v>107.23</v>
      </c>
      <c r="ES10" s="49">
        <v>1.486</v>
      </c>
      <c r="ET10" s="49">
        <v>1.661</v>
      </c>
      <c r="EU10" s="49">
        <v>1.46</v>
      </c>
      <c r="EV10" s="49">
        <v>7.8620000000000001</v>
      </c>
      <c r="EW10" s="49">
        <v>2.6419999999999999</v>
      </c>
      <c r="EX10" s="49">
        <v>74.22</v>
      </c>
      <c r="EY10" s="49">
        <v>0</v>
      </c>
      <c r="EZ10" s="49">
        <v>6.9580000000000002</v>
      </c>
      <c r="FA10" s="50">
        <v>0</v>
      </c>
      <c r="FB10" s="49">
        <v>9.1620000000000008</v>
      </c>
      <c r="FC10" s="49">
        <v>57.164999999999999</v>
      </c>
      <c r="FD10" s="49">
        <v>52.984000000000002</v>
      </c>
      <c r="FE10" s="49">
        <v>62.212000000000003</v>
      </c>
      <c r="FF10" s="49">
        <v>59.801000000000002</v>
      </c>
      <c r="FG10" s="49">
        <v>0.91600000000000004</v>
      </c>
      <c r="FH10" s="49">
        <v>0.91700000000000004</v>
      </c>
      <c r="FI10" s="49">
        <v>0.995</v>
      </c>
      <c r="FJ10" s="49">
        <v>0.999</v>
      </c>
      <c r="FK10" s="49">
        <v>0</v>
      </c>
      <c r="FL10" s="50">
        <v>83</v>
      </c>
      <c r="FM10" s="50">
        <v>3.81</v>
      </c>
      <c r="FN10" s="49">
        <v>2.39</v>
      </c>
      <c r="FO10" s="49">
        <v>5.49</v>
      </c>
      <c r="FP10" s="3"/>
      <c r="FQ10" s="49">
        <v>4.75</v>
      </c>
      <c r="FR10" s="49">
        <v>5</v>
      </c>
      <c r="FS10" s="49">
        <v>6.649</v>
      </c>
      <c r="FT10" s="49">
        <v>1069.4000000000001</v>
      </c>
      <c r="FU10" s="49">
        <v>6.75</v>
      </c>
      <c r="FV10" s="49">
        <v>20.93</v>
      </c>
      <c r="FW10" s="49">
        <v>3129</v>
      </c>
      <c r="FX10" s="49">
        <v>167500</v>
      </c>
      <c r="FY10" s="49">
        <v>169300</v>
      </c>
      <c r="FZ10" s="49">
        <v>47.895000000000003</v>
      </c>
      <c r="GA10" s="49">
        <v>47.392000000000003</v>
      </c>
      <c r="GB10" s="49">
        <v>2168.8000000000002</v>
      </c>
      <c r="GC10" s="49">
        <v>2158.9</v>
      </c>
      <c r="GD10" s="49">
        <v>2212.6999999999998</v>
      </c>
      <c r="GE10" s="49">
        <v>2213.8000000000002</v>
      </c>
      <c r="GF10" s="49">
        <v>1356.4844000000001</v>
      </c>
      <c r="GG10" s="49">
        <v>29</v>
      </c>
      <c r="GH10" s="49">
        <v>28.5</v>
      </c>
      <c r="GI10" s="49">
        <v>46.6</v>
      </c>
      <c r="GJ10" s="49">
        <v>52.3</v>
      </c>
      <c r="GK10" s="49">
        <v>90</v>
      </c>
      <c r="GL10" s="50">
        <v>96.8</v>
      </c>
      <c r="GM10" s="50">
        <v>0</v>
      </c>
      <c r="GN10" s="49">
        <v>26.419</v>
      </c>
      <c r="GO10" s="49">
        <v>122.282</v>
      </c>
      <c r="GP10" s="49">
        <v>0.53100000000000003</v>
      </c>
      <c r="GQ10" s="49">
        <v>1.8879999999999999</v>
      </c>
      <c r="GR10" s="49">
        <v>1.298</v>
      </c>
      <c r="GS10" s="49">
        <v>2.0059999999999998</v>
      </c>
      <c r="GT10" s="49">
        <v>0.59</v>
      </c>
      <c r="GU10" s="49">
        <v>1.8879999999999999</v>
      </c>
      <c r="GV10" s="49">
        <v>12.74</v>
      </c>
      <c r="GW10" s="49">
        <v>13.913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23.47</v>
      </c>
      <c r="HD10" s="49">
        <v>74</v>
      </c>
      <c r="HE10" s="50">
        <v>0</v>
      </c>
      <c r="HF10" s="50">
        <v>0</v>
      </c>
      <c r="HG10" s="49">
        <v>87.8</v>
      </c>
      <c r="HH10" s="50">
        <v>82.88</v>
      </c>
      <c r="HI10" s="50">
        <v>0</v>
      </c>
      <c r="HJ10" s="50">
        <v>0</v>
      </c>
      <c r="HK10" s="50">
        <v>0</v>
      </c>
      <c r="HL10" s="49">
        <v>56</v>
      </c>
      <c r="HM10" s="49">
        <v>50</v>
      </c>
      <c r="HN10" s="49">
        <v>61</v>
      </c>
      <c r="HO10" s="49">
        <v>56</v>
      </c>
      <c r="HP10" s="49">
        <v>58</v>
      </c>
      <c r="HQ10" s="49">
        <v>56</v>
      </c>
      <c r="HR10" s="49">
        <v>49</v>
      </c>
      <c r="HS10" s="49">
        <v>62</v>
      </c>
      <c r="HT10" s="49">
        <v>-1.3360000000000001</v>
      </c>
      <c r="HU10" s="50">
        <v>0</v>
      </c>
      <c r="HV10" s="50">
        <v>1.3540000000000001</v>
      </c>
      <c r="HW10" s="49">
        <v>36.65</v>
      </c>
      <c r="HX10" s="49">
        <v>47.31</v>
      </c>
      <c r="HY10" s="49">
        <v>47.43</v>
      </c>
      <c r="HZ10" s="49">
        <v>57.52</v>
      </c>
      <c r="IA10" s="49">
        <v>2.9169999999999998</v>
      </c>
      <c r="IB10" s="50">
        <v>104</v>
      </c>
      <c r="IC10" s="49">
        <v>22.341999999999999</v>
      </c>
      <c r="ID10" s="49">
        <v>-0.39300000000000002</v>
      </c>
      <c r="IE10" s="49">
        <v>-0.20100000000000001</v>
      </c>
      <c r="IF10" s="49">
        <v>802.7</v>
      </c>
      <c r="IG10" s="49">
        <v>748.9</v>
      </c>
      <c r="IH10" s="49">
        <v>812.9</v>
      </c>
      <c r="II10" s="49">
        <v>761.4</v>
      </c>
      <c r="IJ10" s="49">
        <v>3.2000000000000001E-2</v>
      </c>
      <c r="IK10" s="49">
        <v>-5.1999999999999998E-2</v>
      </c>
      <c r="IL10" s="49">
        <v>71.811000000000007</v>
      </c>
      <c r="IM10" s="49">
        <v>71.811000000000007</v>
      </c>
      <c r="IN10" s="49">
        <v>12.606</v>
      </c>
      <c r="IO10" s="50">
        <v>0.26200000000000001</v>
      </c>
      <c r="IP10" s="49">
        <v>9.59</v>
      </c>
      <c r="IQ10" s="49">
        <v>7.0000000000000001E-3</v>
      </c>
      <c r="IR10" s="49">
        <v>-5.0000000000000001E-3</v>
      </c>
    </row>
    <row r="11" spans="2:252" x14ac:dyDescent="0.25">
      <c r="B11" s="2" t="s">
        <v>412</v>
      </c>
      <c r="C11" s="62" t="s">
        <v>45</v>
      </c>
      <c r="D11" s="63">
        <v>2.4267361111111108E-3</v>
      </c>
      <c r="E11" s="49">
        <v>209.71</v>
      </c>
      <c r="F11" s="50">
        <v>331.19</v>
      </c>
      <c r="G11" s="50">
        <v>6.04</v>
      </c>
      <c r="H11" s="49">
        <v>27.2</v>
      </c>
      <c r="I11" s="50">
        <v>0</v>
      </c>
      <c r="J11" s="49">
        <v>14.6</v>
      </c>
      <c r="K11" s="50">
        <v>6</v>
      </c>
      <c r="L11" s="50">
        <v>4</v>
      </c>
      <c r="M11" s="50">
        <v>6</v>
      </c>
      <c r="N11" s="50">
        <v>3</v>
      </c>
      <c r="O11" s="50">
        <v>3</v>
      </c>
      <c r="P11" s="49">
        <v>0.4</v>
      </c>
      <c r="Q11" s="49">
        <v>0.97199999999999998</v>
      </c>
      <c r="R11" s="49">
        <v>0.34</v>
      </c>
      <c r="S11" s="49">
        <v>0.25800000000000001</v>
      </c>
      <c r="T11" s="50">
        <v>78.14</v>
      </c>
      <c r="U11" s="49">
        <v>60.893000000000001</v>
      </c>
      <c r="V11" s="49">
        <v>243.34</v>
      </c>
      <c r="W11" s="49">
        <v>266.66000000000003</v>
      </c>
      <c r="X11" s="49">
        <v>190</v>
      </c>
      <c r="Y11" s="49">
        <v>228.34</v>
      </c>
      <c r="Z11" s="50">
        <v>388.67</v>
      </c>
      <c r="AA11" s="50">
        <v>407.18</v>
      </c>
      <c r="AB11" s="50">
        <v>310.77</v>
      </c>
      <c r="AC11" s="50">
        <v>375.82</v>
      </c>
      <c r="AD11" s="50">
        <v>1.7609999999999999</v>
      </c>
      <c r="AE11" s="50">
        <v>1.7889999999999999</v>
      </c>
      <c r="AF11" s="50">
        <v>1.7969999999999999</v>
      </c>
      <c r="AG11" s="50">
        <v>1.839</v>
      </c>
      <c r="AH11" s="50">
        <v>83.15</v>
      </c>
      <c r="AI11" s="50">
        <v>77.3</v>
      </c>
      <c r="AJ11" s="50">
        <v>116.53</v>
      </c>
      <c r="AK11" s="50">
        <v>105.68</v>
      </c>
      <c r="AL11" s="49">
        <v>666.37099999999998</v>
      </c>
      <c r="AM11" s="50">
        <v>699.51199999999994</v>
      </c>
      <c r="AN11" s="49">
        <v>839.928</v>
      </c>
      <c r="AO11" s="49">
        <v>820.65800000000002</v>
      </c>
      <c r="AP11" s="49">
        <v>1.4710000000000001</v>
      </c>
      <c r="AQ11" s="49">
        <v>1.927</v>
      </c>
      <c r="AR11" s="49">
        <v>41.335000000000001</v>
      </c>
      <c r="AS11" s="49">
        <v>38.026000000000003</v>
      </c>
      <c r="AT11" s="50">
        <v>83</v>
      </c>
      <c r="AU11" s="49">
        <v>115</v>
      </c>
      <c r="AV11" s="50">
        <v>1.72</v>
      </c>
      <c r="AW11" s="49">
        <v>5.1241000000000003</v>
      </c>
      <c r="AX11" s="49">
        <v>1013.6</v>
      </c>
      <c r="AY11" s="50">
        <v>2.4</v>
      </c>
      <c r="AZ11" s="49">
        <v>5.62</v>
      </c>
      <c r="BA11" s="49">
        <v>118.392</v>
      </c>
      <c r="BB11" s="49">
        <v>117.889</v>
      </c>
      <c r="BC11" s="49">
        <v>7667</v>
      </c>
      <c r="BD11" s="50">
        <v>89.75</v>
      </c>
      <c r="BE11" s="49">
        <v>15.955</v>
      </c>
      <c r="BF11" s="50">
        <v>15.305</v>
      </c>
      <c r="BG11" s="50">
        <v>30.34</v>
      </c>
      <c r="BH11" s="50">
        <v>28.1</v>
      </c>
      <c r="BI11" s="3"/>
      <c r="BJ11" s="3"/>
      <c r="BK11" s="3"/>
      <c r="BL11" s="3"/>
      <c r="BM11" s="3"/>
      <c r="BN11" s="49">
        <v>98.087999999999994</v>
      </c>
      <c r="BO11" s="49">
        <v>97.608000000000004</v>
      </c>
      <c r="BP11" s="49">
        <v>125.928</v>
      </c>
      <c r="BQ11" s="49">
        <v>129.08000000000001</v>
      </c>
      <c r="BR11" s="3"/>
      <c r="BS11" s="49">
        <v>26.9</v>
      </c>
      <c r="BT11" s="49">
        <v>7389.9539999999997</v>
      </c>
      <c r="BU11" s="49">
        <v>50.237000000000002</v>
      </c>
      <c r="BV11" s="49">
        <v>52.786000000000001</v>
      </c>
      <c r="BW11" s="49">
        <v>53.115000000000002</v>
      </c>
      <c r="BX11" s="49">
        <v>55.01</v>
      </c>
      <c r="BY11" s="49">
        <v>1.4219999999999999</v>
      </c>
      <c r="BZ11" s="50">
        <v>2.8050000000000002</v>
      </c>
      <c r="CA11" s="49">
        <v>3.661</v>
      </c>
      <c r="CB11" s="50">
        <v>3.7389999999999999</v>
      </c>
      <c r="CC11" s="49">
        <v>1.4610000000000001</v>
      </c>
      <c r="CD11" s="49">
        <v>2.431</v>
      </c>
      <c r="CE11" s="49">
        <v>1.403</v>
      </c>
      <c r="CF11" s="49">
        <v>2.17</v>
      </c>
      <c r="CG11" s="49">
        <v>13.943</v>
      </c>
      <c r="CH11" s="49">
        <v>13.795999999999999</v>
      </c>
      <c r="CI11" s="49">
        <v>4.2830000000000004</v>
      </c>
      <c r="CJ11" s="49">
        <v>-90.393000000000001</v>
      </c>
      <c r="CK11" s="49">
        <v>1.3440000000000001</v>
      </c>
      <c r="CL11" s="49">
        <v>0</v>
      </c>
      <c r="CM11" s="50">
        <v>1.1000000000000001</v>
      </c>
      <c r="CN11" s="49">
        <v>0</v>
      </c>
      <c r="CO11" s="49">
        <v>0</v>
      </c>
      <c r="CP11" s="49">
        <v>94.599000000000004</v>
      </c>
      <c r="CQ11" s="49">
        <v>94.27</v>
      </c>
      <c r="CR11" s="50">
        <v>115.511</v>
      </c>
      <c r="CS11" s="50">
        <v>121.003</v>
      </c>
      <c r="CT11" s="50">
        <v>0.42299999999999999</v>
      </c>
      <c r="CU11" s="49">
        <v>1.2969999999999999</v>
      </c>
      <c r="CV11" s="49">
        <v>1.5980000000000001</v>
      </c>
      <c r="CW11" s="49">
        <v>1.3</v>
      </c>
      <c r="CX11" s="49">
        <v>1.2949999999999999</v>
      </c>
      <c r="CY11" s="49">
        <v>0.499</v>
      </c>
      <c r="CZ11" s="49">
        <v>1.0009999999999999</v>
      </c>
      <c r="DA11" s="49">
        <v>0.995</v>
      </c>
      <c r="DB11" s="49">
        <v>1.298</v>
      </c>
      <c r="DC11" s="50">
        <v>0</v>
      </c>
      <c r="DD11" s="50">
        <v>0</v>
      </c>
      <c r="DE11" s="49">
        <v>0.13700000000000001</v>
      </c>
      <c r="DF11" s="49">
        <v>0.03</v>
      </c>
      <c r="DG11" s="49">
        <v>0.68100000000000005</v>
      </c>
      <c r="DH11" s="49">
        <v>1.645</v>
      </c>
      <c r="DI11" s="49">
        <v>1.0289999999999999</v>
      </c>
      <c r="DJ11" s="49">
        <v>1.0999999999999999E-2</v>
      </c>
      <c r="DK11" s="49">
        <v>0.61399999999999999</v>
      </c>
      <c r="DL11" s="49">
        <v>0.42</v>
      </c>
      <c r="DM11" s="49">
        <v>0.47499999999999998</v>
      </c>
      <c r="DN11" s="49">
        <v>0.17199999999999999</v>
      </c>
      <c r="DO11" s="49">
        <v>0.28399999999999997</v>
      </c>
      <c r="DP11" s="49">
        <v>65.650999999999996</v>
      </c>
      <c r="DQ11" s="49">
        <v>58.387</v>
      </c>
      <c r="DR11" s="49">
        <v>52.61</v>
      </c>
      <c r="DS11" s="49">
        <v>51.476999999999997</v>
      </c>
      <c r="DT11" s="49">
        <v>7.16</v>
      </c>
      <c r="DU11" s="50">
        <v>7.32</v>
      </c>
      <c r="DV11" s="50">
        <v>14.52</v>
      </c>
      <c r="DW11" s="49">
        <v>11.66</v>
      </c>
      <c r="DX11" s="50">
        <v>7.68</v>
      </c>
      <c r="DY11" s="50">
        <v>7.55</v>
      </c>
      <c r="DZ11" s="50">
        <v>14.1</v>
      </c>
      <c r="EA11" s="49">
        <v>11.36</v>
      </c>
      <c r="EB11" s="49">
        <v>42.15</v>
      </c>
      <c r="EC11" s="49">
        <v>40.49</v>
      </c>
      <c r="ED11" s="49">
        <v>31.7</v>
      </c>
      <c r="EE11" s="49">
        <v>34.28</v>
      </c>
      <c r="EF11" s="49">
        <v>43.01</v>
      </c>
      <c r="EG11" s="49">
        <v>44.65</v>
      </c>
      <c r="EH11" s="49">
        <v>39.67</v>
      </c>
      <c r="EI11" s="49">
        <v>42.7</v>
      </c>
      <c r="EJ11" s="49">
        <v>6.3090000000000002</v>
      </c>
      <c r="EK11" s="50">
        <v>60.732999999999997</v>
      </c>
      <c r="EL11" s="49">
        <v>2.15</v>
      </c>
      <c r="EM11" s="49">
        <v>1.8</v>
      </c>
      <c r="EN11" s="49">
        <v>1.19</v>
      </c>
      <c r="EO11" s="49">
        <v>1.19</v>
      </c>
      <c r="EP11" s="49">
        <v>-108.85</v>
      </c>
      <c r="EQ11" s="49">
        <v>-2.298</v>
      </c>
      <c r="ER11" s="49">
        <v>108.10599999999999</v>
      </c>
      <c r="ES11" s="49">
        <v>1.4510000000000001</v>
      </c>
      <c r="ET11" s="49">
        <v>1.657</v>
      </c>
      <c r="EU11" s="49">
        <v>1.4279999999999999</v>
      </c>
      <c r="EV11" s="49">
        <v>8.0440000000000005</v>
      </c>
      <c r="EW11" s="49">
        <v>2.8140000000000001</v>
      </c>
      <c r="EX11" s="50">
        <v>75.319999999999993</v>
      </c>
      <c r="EY11" s="49">
        <v>0</v>
      </c>
      <c r="EZ11" s="49">
        <v>2.1419999999999999</v>
      </c>
      <c r="FA11" s="50">
        <v>0</v>
      </c>
      <c r="FB11" s="49">
        <v>9.1660000000000004</v>
      </c>
      <c r="FC11" s="49">
        <v>69.658000000000001</v>
      </c>
      <c r="FD11" s="49">
        <v>63.798999999999999</v>
      </c>
      <c r="FE11" s="49">
        <v>79.893000000000001</v>
      </c>
      <c r="FF11" s="49">
        <v>75.688999999999993</v>
      </c>
      <c r="FG11" s="49">
        <v>0.91600000000000004</v>
      </c>
      <c r="FH11" s="49">
        <v>0.91700000000000004</v>
      </c>
      <c r="FI11" s="49">
        <v>0.99299999999999999</v>
      </c>
      <c r="FJ11" s="49">
        <v>0.997</v>
      </c>
      <c r="FK11" s="49">
        <v>0</v>
      </c>
      <c r="FL11" s="50">
        <v>83</v>
      </c>
      <c r="FM11" s="49">
        <v>3.79</v>
      </c>
      <c r="FN11" s="49">
        <v>2.4300000000000002</v>
      </c>
      <c r="FO11" s="49">
        <v>5.45</v>
      </c>
      <c r="FP11" s="3"/>
      <c r="FQ11" s="49">
        <v>4.55</v>
      </c>
      <c r="FR11" s="50">
        <v>4.9000000000000004</v>
      </c>
      <c r="FS11" s="49">
        <v>6.7115</v>
      </c>
      <c r="FT11" s="49">
        <v>1069.0999999999999</v>
      </c>
      <c r="FU11" s="50">
        <v>7.42</v>
      </c>
      <c r="FV11" s="49">
        <v>26.97</v>
      </c>
      <c r="FW11" s="49">
        <v>3169</v>
      </c>
      <c r="FX11" s="49">
        <v>164500</v>
      </c>
      <c r="FY11" s="49">
        <v>165100</v>
      </c>
      <c r="FZ11" s="49">
        <v>47.631</v>
      </c>
      <c r="GA11" s="49">
        <v>47.255000000000003</v>
      </c>
      <c r="GB11" s="49">
        <v>2205.1</v>
      </c>
      <c r="GC11" s="49">
        <v>2172.6</v>
      </c>
      <c r="GD11" s="50">
        <v>2284</v>
      </c>
      <c r="GE11" s="49">
        <v>2210.3000000000002</v>
      </c>
      <c r="GF11" s="49">
        <v>1443.375</v>
      </c>
      <c r="GG11" s="49">
        <v>29</v>
      </c>
      <c r="GH11" s="49">
        <v>29</v>
      </c>
      <c r="GI11" s="49">
        <v>46.8</v>
      </c>
      <c r="GJ11" s="49">
        <v>51.6</v>
      </c>
      <c r="GK11" s="49">
        <v>90</v>
      </c>
      <c r="GL11" s="49">
        <v>90.9</v>
      </c>
      <c r="GM11" s="50">
        <v>0</v>
      </c>
      <c r="GN11" s="50">
        <v>27.54</v>
      </c>
      <c r="GO11" s="49">
        <v>108.85</v>
      </c>
      <c r="GP11" s="49">
        <v>0.53100000000000003</v>
      </c>
      <c r="GQ11" s="49">
        <v>1.8879999999999999</v>
      </c>
      <c r="GR11" s="49">
        <v>1.121</v>
      </c>
      <c r="GS11" s="49">
        <v>2.0059999999999998</v>
      </c>
      <c r="GT11" s="49">
        <v>0.47199999999999998</v>
      </c>
      <c r="GU11" s="49">
        <v>1.8879999999999999</v>
      </c>
      <c r="GV11" s="49">
        <v>12.936</v>
      </c>
      <c r="GW11" s="49">
        <v>13.897</v>
      </c>
      <c r="GX11" s="49">
        <v>15.288</v>
      </c>
      <c r="GY11" s="50">
        <v>0</v>
      </c>
      <c r="GZ11" s="50">
        <v>0</v>
      </c>
      <c r="HA11" s="50">
        <v>0</v>
      </c>
      <c r="HB11" s="49">
        <v>0</v>
      </c>
      <c r="HC11" s="49">
        <v>23.201000000000001</v>
      </c>
      <c r="HD11" s="49">
        <v>78</v>
      </c>
      <c r="HE11" s="50">
        <v>0</v>
      </c>
      <c r="HF11" s="50">
        <v>0</v>
      </c>
      <c r="HG11" s="49">
        <v>74.14</v>
      </c>
      <c r="HH11" s="49">
        <v>82.5</v>
      </c>
      <c r="HI11" s="50">
        <v>0</v>
      </c>
      <c r="HJ11" s="50">
        <v>0</v>
      </c>
      <c r="HK11" s="50">
        <v>0</v>
      </c>
      <c r="HL11" s="49">
        <v>58</v>
      </c>
      <c r="HM11" s="49">
        <v>50</v>
      </c>
      <c r="HN11" s="49">
        <v>62</v>
      </c>
      <c r="HO11" s="49">
        <v>56</v>
      </c>
      <c r="HP11" s="49">
        <v>59</v>
      </c>
      <c r="HQ11" s="49">
        <v>57</v>
      </c>
      <c r="HR11" s="49">
        <v>49</v>
      </c>
      <c r="HS11" s="50">
        <v>70</v>
      </c>
      <c r="HT11" s="50">
        <v>-1.3474999999999999</v>
      </c>
      <c r="HU11" s="50">
        <v>0</v>
      </c>
      <c r="HV11" s="49">
        <v>1.345</v>
      </c>
      <c r="HW11" s="49">
        <v>36.65</v>
      </c>
      <c r="HX11" s="49">
        <v>47.31</v>
      </c>
      <c r="HY11" s="50">
        <v>48.98</v>
      </c>
      <c r="HZ11" s="50">
        <v>60.35</v>
      </c>
      <c r="IA11" s="50">
        <v>3.0939999999999999</v>
      </c>
      <c r="IB11" s="50">
        <v>104</v>
      </c>
      <c r="IC11" s="50">
        <v>23.01</v>
      </c>
      <c r="ID11" s="49">
        <v>-0.36399999999999999</v>
      </c>
      <c r="IE11" s="49">
        <v>-0.17799999999999999</v>
      </c>
      <c r="IF11" s="49">
        <v>816.9</v>
      </c>
      <c r="IG11" s="50">
        <v>755.3</v>
      </c>
      <c r="IH11" s="49">
        <v>814.6</v>
      </c>
      <c r="II11" s="50">
        <v>765.9</v>
      </c>
      <c r="IJ11" s="49">
        <v>-1.4999999999999999E-2</v>
      </c>
      <c r="IK11" s="49">
        <v>-7.0000000000000007E-2</v>
      </c>
      <c r="IL11" s="49">
        <v>68.850999999999999</v>
      </c>
      <c r="IM11" s="49">
        <v>68.850999999999999</v>
      </c>
      <c r="IN11" s="49">
        <v>10.904</v>
      </c>
      <c r="IO11" s="49">
        <v>0.22800000000000001</v>
      </c>
      <c r="IP11" s="49">
        <v>9.61</v>
      </c>
      <c r="IQ11" s="49">
        <v>8.9999999999999993E-3</v>
      </c>
      <c r="IR11" s="49">
        <v>8.0000000000000002E-3</v>
      </c>
    </row>
    <row r="12" spans="2:252" x14ac:dyDescent="0.25">
      <c r="B12" s="2" t="s">
        <v>412</v>
      </c>
      <c r="C12" s="2" t="s">
        <v>46</v>
      </c>
      <c r="D12" s="61">
        <v>3.2358796296296298E-3</v>
      </c>
      <c r="E12" s="49">
        <v>279.577</v>
      </c>
      <c r="F12" s="49">
        <v>328.95</v>
      </c>
      <c r="G12" s="49">
        <v>-26.97</v>
      </c>
      <c r="H12" s="49">
        <v>27.2</v>
      </c>
      <c r="I12" s="50">
        <v>0</v>
      </c>
      <c r="J12" s="49">
        <v>21.7</v>
      </c>
      <c r="K12" s="50">
        <v>6</v>
      </c>
      <c r="L12" s="50">
        <v>4</v>
      </c>
      <c r="M12" s="50">
        <v>6</v>
      </c>
      <c r="N12" s="50">
        <v>3</v>
      </c>
      <c r="O12" s="50">
        <v>3</v>
      </c>
      <c r="P12" s="49">
        <v>0.59299999999999997</v>
      </c>
      <c r="Q12" s="49">
        <v>1.2</v>
      </c>
      <c r="R12" s="49">
        <v>0.30399999999999999</v>
      </c>
      <c r="S12" s="49">
        <v>0.254</v>
      </c>
      <c r="T12" s="49">
        <v>56</v>
      </c>
      <c r="U12" s="49">
        <v>61.481000000000002</v>
      </c>
      <c r="V12" s="49">
        <v>170</v>
      </c>
      <c r="W12" s="49">
        <v>195</v>
      </c>
      <c r="X12" s="49">
        <v>140</v>
      </c>
      <c r="Y12" s="49">
        <v>172.5</v>
      </c>
      <c r="Z12" s="49">
        <v>343.04</v>
      </c>
      <c r="AA12" s="49">
        <v>369.54</v>
      </c>
      <c r="AB12" s="49">
        <v>221.89</v>
      </c>
      <c r="AC12" s="49">
        <v>284.82</v>
      </c>
      <c r="AD12" s="49">
        <v>1.7430000000000001</v>
      </c>
      <c r="AE12" s="49">
        <v>1.78</v>
      </c>
      <c r="AF12" s="49">
        <v>1.7749999999999999</v>
      </c>
      <c r="AG12" s="49">
        <v>1.827</v>
      </c>
      <c r="AH12" s="49">
        <v>77.36</v>
      </c>
      <c r="AI12" s="49">
        <v>72.53</v>
      </c>
      <c r="AJ12" s="49">
        <v>106.85</v>
      </c>
      <c r="AK12" s="49">
        <v>99.01</v>
      </c>
      <c r="AL12" s="49">
        <v>571.01</v>
      </c>
      <c r="AM12" s="49">
        <v>597.09</v>
      </c>
      <c r="AN12" s="49">
        <v>712.40599999999995</v>
      </c>
      <c r="AO12" s="49">
        <v>755.59500000000003</v>
      </c>
      <c r="AP12" s="49">
        <v>1.462</v>
      </c>
      <c r="AQ12" s="49">
        <v>1.913</v>
      </c>
      <c r="AR12" s="50">
        <v>41.613</v>
      </c>
      <c r="AS12" s="50">
        <v>40.305</v>
      </c>
      <c r="AT12" s="49">
        <v>82</v>
      </c>
      <c r="AU12" s="50">
        <v>116</v>
      </c>
      <c r="AV12" s="49">
        <v>2.1154999999999999</v>
      </c>
      <c r="AW12" s="49">
        <v>4.7746000000000004</v>
      </c>
      <c r="AX12" s="49">
        <v>1014.7</v>
      </c>
      <c r="AY12" s="49">
        <v>2.35</v>
      </c>
      <c r="AZ12" s="49">
        <v>5.61</v>
      </c>
      <c r="BA12" s="49">
        <v>69.296999999999997</v>
      </c>
      <c r="BB12" s="49">
        <v>69.2</v>
      </c>
      <c r="BC12" s="49">
        <v>7655</v>
      </c>
      <c r="BD12" s="49">
        <v>88.5</v>
      </c>
      <c r="BE12" s="49">
        <v>15.914999999999999</v>
      </c>
      <c r="BF12" s="49">
        <v>13.08</v>
      </c>
      <c r="BG12" s="49">
        <v>28.22</v>
      </c>
      <c r="BH12" s="49">
        <v>27.12</v>
      </c>
      <c r="BI12" s="50">
        <v>65.335999999999999</v>
      </c>
      <c r="BJ12" s="50">
        <v>81.316000000000003</v>
      </c>
      <c r="BK12" s="50">
        <v>63.646000000000001</v>
      </c>
      <c r="BL12" s="49">
        <v>77.932000000000002</v>
      </c>
      <c r="BM12" s="50">
        <v>79.59</v>
      </c>
      <c r="BN12" s="50">
        <v>114.504</v>
      </c>
      <c r="BO12" s="50">
        <v>112.584</v>
      </c>
      <c r="BP12" s="50">
        <v>133.17599999999999</v>
      </c>
      <c r="BQ12" s="50">
        <v>136.952</v>
      </c>
      <c r="BR12" s="50">
        <v>60.174999999999997</v>
      </c>
      <c r="BS12" s="50">
        <v>27</v>
      </c>
      <c r="BT12" s="49">
        <v>7316.0469999999996</v>
      </c>
      <c r="BU12" s="49">
        <v>46.045999999999999</v>
      </c>
      <c r="BV12" s="49">
        <v>51.704999999999998</v>
      </c>
      <c r="BW12" s="50">
        <v>55.881999999999998</v>
      </c>
      <c r="BX12" s="49">
        <v>54.762</v>
      </c>
      <c r="BY12" s="49">
        <v>1.357</v>
      </c>
      <c r="BZ12" s="49">
        <v>2.2410000000000001</v>
      </c>
      <c r="CA12" s="49">
        <v>2.613</v>
      </c>
      <c r="CB12" s="49">
        <v>2.8</v>
      </c>
      <c r="CC12" s="49">
        <v>1.0369999999999999</v>
      </c>
      <c r="CD12" s="49">
        <v>2.3809999999999998</v>
      </c>
      <c r="CE12" s="50">
        <v>1.5129999999999999</v>
      </c>
      <c r="CF12" s="49">
        <v>2.23</v>
      </c>
      <c r="CG12" s="49">
        <v>13.962</v>
      </c>
      <c r="CH12" s="49">
        <v>10.569000000000001</v>
      </c>
      <c r="CI12" s="3"/>
      <c r="CJ12" s="3"/>
      <c r="CK12" s="3"/>
      <c r="CL12" s="50">
        <v>2.1</v>
      </c>
      <c r="CM12" s="49">
        <v>0.1</v>
      </c>
      <c r="CN12" s="49">
        <v>0</v>
      </c>
      <c r="CO12" s="49">
        <v>0</v>
      </c>
      <c r="CP12" s="50">
        <v>98.081999999999994</v>
      </c>
      <c r="CQ12" s="50">
        <v>97.679000000000002</v>
      </c>
      <c r="CR12" s="49">
        <v>111.26</v>
      </c>
      <c r="CS12" s="49">
        <v>117.74</v>
      </c>
      <c r="CT12" s="49">
        <v>0.28599999999999998</v>
      </c>
      <c r="CU12" s="49">
        <v>0.89900000000000002</v>
      </c>
      <c r="CV12" s="50">
        <v>1.6970000000000001</v>
      </c>
      <c r="CW12" s="49">
        <v>1.3029999999999999</v>
      </c>
      <c r="CX12" s="49">
        <v>1.0980000000000001</v>
      </c>
      <c r="CY12" s="49">
        <v>0.79900000000000004</v>
      </c>
      <c r="CZ12" s="49">
        <v>1</v>
      </c>
      <c r="DA12" s="49">
        <v>0.499</v>
      </c>
      <c r="DB12" s="49">
        <v>1.4990000000000001</v>
      </c>
      <c r="DC12" s="50">
        <v>0</v>
      </c>
      <c r="DD12" s="50">
        <v>0</v>
      </c>
      <c r="DE12" s="49">
        <v>0.14000000000000001</v>
      </c>
      <c r="DF12" s="49">
        <v>8.9999999999999993E-3</v>
      </c>
      <c r="DG12" s="49">
        <v>0.4</v>
      </c>
      <c r="DH12" s="49">
        <v>1.575</v>
      </c>
      <c r="DI12" s="49">
        <v>0.68100000000000005</v>
      </c>
      <c r="DJ12" s="49">
        <v>9.7000000000000003E-2</v>
      </c>
      <c r="DK12" s="49">
        <v>0.47499999999999998</v>
      </c>
      <c r="DL12" s="50">
        <v>0.42099999999999999</v>
      </c>
      <c r="DM12" s="49">
        <v>0.46600000000000003</v>
      </c>
      <c r="DN12" s="49">
        <v>0.39800000000000002</v>
      </c>
      <c r="DO12" s="49">
        <v>0.38400000000000001</v>
      </c>
      <c r="DP12" s="49">
        <v>59.966000000000001</v>
      </c>
      <c r="DQ12" s="49">
        <v>60.966999999999999</v>
      </c>
      <c r="DR12" s="49">
        <v>53.101999999999997</v>
      </c>
      <c r="DS12" s="50">
        <v>51.719000000000001</v>
      </c>
      <c r="DT12" s="49">
        <v>3.43</v>
      </c>
      <c r="DU12" s="49">
        <v>3.96</v>
      </c>
      <c r="DV12" s="49">
        <v>8.73</v>
      </c>
      <c r="DW12" s="49">
        <v>6.86</v>
      </c>
      <c r="DX12" s="49">
        <v>3.72</v>
      </c>
      <c r="DY12" s="49">
        <v>3.84</v>
      </c>
      <c r="DZ12" s="49">
        <v>8.07</v>
      </c>
      <c r="EA12" s="49">
        <v>6.42</v>
      </c>
      <c r="EB12" s="50">
        <v>43.84</v>
      </c>
      <c r="EC12" s="49">
        <v>42.65</v>
      </c>
      <c r="ED12" s="49">
        <v>34.21</v>
      </c>
      <c r="EE12" s="49">
        <v>35.24</v>
      </c>
      <c r="EF12" s="49">
        <v>49</v>
      </c>
      <c r="EG12" s="49">
        <v>49.53</v>
      </c>
      <c r="EH12" s="49">
        <v>48.98</v>
      </c>
      <c r="EI12" s="49">
        <v>51.47</v>
      </c>
      <c r="EJ12" s="50">
        <v>6.7530000000000001</v>
      </c>
      <c r="EK12" s="49">
        <v>60.374000000000002</v>
      </c>
      <c r="EL12" s="49">
        <v>2.2000000000000002</v>
      </c>
      <c r="EM12" s="49">
        <v>1.7</v>
      </c>
      <c r="EN12" s="49">
        <v>1.37</v>
      </c>
      <c r="EO12" s="49">
        <v>1.36</v>
      </c>
      <c r="EP12" s="49">
        <v>-100.96599999999999</v>
      </c>
      <c r="EQ12" s="49">
        <v>-0.86599999999999999</v>
      </c>
      <c r="ER12" s="49">
        <v>99.054000000000002</v>
      </c>
      <c r="ES12" s="49">
        <v>1.5049999999999999</v>
      </c>
      <c r="ET12" s="49">
        <v>1.627</v>
      </c>
      <c r="EU12" s="49">
        <v>1.5009999999999999</v>
      </c>
      <c r="EV12" s="49">
        <v>7.859</v>
      </c>
      <c r="EW12" s="49">
        <v>2.5649999999999999</v>
      </c>
      <c r="EX12" s="49">
        <v>64.400000000000006</v>
      </c>
      <c r="EY12" s="49">
        <v>8.1000000000000003E-2</v>
      </c>
      <c r="EZ12" s="49">
        <v>0.25600000000000001</v>
      </c>
      <c r="FA12" s="50">
        <v>0</v>
      </c>
      <c r="FB12" s="49">
        <v>9.3070000000000004</v>
      </c>
      <c r="FC12" s="50">
        <v>71.563999999999993</v>
      </c>
      <c r="FD12" s="49">
        <v>65.953000000000003</v>
      </c>
      <c r="FE12" s="50">
        <v>82.147999999999996</v>
      </c>
      <c r="FF12" s="50">
        <v>78.695999999999998</v>
      </c>
      <c r="FG12" s="49">
        <v>0.95899999999999996</v>
      </c>
      <c r="FH12" s="49">
        <v>0.94599999999999995</v>
      </c>
      <c r="FI12" s="49">
        <v>0.998</v>
      </c>
      <c r="FJ12" s="49">
        <v>1.0009999999999999</v>
      </c>
      <c r="FK12" s="49">
        <v>0</v>
      </c>
      <c r="FL12" s="50">
        <v>83</v>
      </c>
      <c r="FM12" s="49">
        <v>3.76</v>
      </c>
      <c r="FN12" s="49">
        <v>2.1</v>
      </c>
      <c r="FO12" s="49">
        <v>5.31</v>
      </c>
      <c r="FP12" s="49">
        <v>3.85</v>
      </c>
      <c r="FQ12" s="49">
        <v>4.45</v>
      </c>
      <c r="FR12" s="49">
        <v>5.0999999999999996</v>
      </c>
      <c r="FS12" s="49">
        <v>6.63</v>
      </c>
      <c r="FT12" s="49">
        <v>1076.8</v>
      </c>
      <c r="FU12" s="49">
        <v>6.86</v>
      </c>
      <c r="FV12" s="50">
        <v>32.340000000000003</v>
      </c>
      <c r="FW12" s="49">
        <v>3227.5</v>
      </c>
      <c r="FX12" s="49">
        <v>162700</v>
      </c>
      <c r="FY12" s="49">
        <v>163200</v>
      </c>
      <c r="FZ12" s="49">
        <v>48.689</v>
      </c>
      <c r="GA12" s="49">
        <v>48.383000000000003</v>
      </c>
      <c r="GB12" s="49">
        <v>2178.8000000000002</v>
      </c>
      <c r="GC12" s="50">
        <v>2180.6999999999998</v>
      </c>
      <c r="GD12" s="49">
        <v>2201.6999999999998</v>
      </c>
      <c r="GE12" s="49">
        <v>2206.8000000000002</v>
      </c>
      <c r="GF12" s="49">
        <v>1274.9530999999999</v>
      </c>
      <c r="GG12" s="49">
        <v>30</v>
      </c>
      <c r="GH12" s="49">
        <v>29.8</v>
      </c>
      <c r="GI12" s="49">
        <v>47.3</v>
      </c>
      <c r="GJ12" s="49">
        <v>52.7</v>
      </c>
      <c r="GK12" s="49">
        <v>90</v>
      </c>
      <c r="GL12" s="49">
        <v>75.099999999999994</v>
      </c>
      <c r="GM12" s="50">
        <v>0</v>
      </c>
      <c r="GN12" s="49">
        <v>26.741</v>
      </c>
      <c r="GO12" s="49">
        <v>100.96599999999999</v>
      </c>
      <c r="GP12" s="50">
        <v>0</v>
      </c>
      <c r="GQ12" s="49">
        <v>5.133</v>
      </c>
      <c r="GR12" s="50">
        <v>0</v>
      </c>
      <c r="GS12" s="49">
        <v>5.0739999999999998</v>
      </c>
      <c r="GT12" s="50">
        <v>0</v>
      </c>
      <c r="GU12" s="49">
        <v>5.4279999999999999</v>
      </c>
      <c r="GV12" s="50">
        <v>0</v>
      </c>
      <c r="GW12" s="49">
        <v>13.776999999999999</v>
      </c>
      <c r="GX12" s="50">
        <v>24.99</v>
      </c>
      <c r="GY12" s="50">
        <v>0</v>
      </c>
      <c r="GZ12" s="50">
        <v>0</v>
      </c>
      <c r="HA12" s="50">
        <v>0</v>
      </c>
      <c r="HB12" s="50">
        <v>1</v>
      </c>
      <c r="HC12" s="49">
        <v>22.85</v>
      </c>
      <c r="HD12" s="50">
        <v>82</v>
      </c>
      <c r="HE12" s="50">
        <v>0</v>
      </c>
      <c r="HF12" s="50">
        <v>0</v>
      </c>
      <c r="HG12" s="49">
        <v>75.319999999999993</v>
      </c>
      <c r="HH12" s="49">
        <v>82.5</v>
      </c>
      <c r="HI12" s="50">
        <v>0</v>
      </c>
      <c r="HJ12" s="50">
        <v>0</v>
      </c>
      <c r="HK12" s="50">
        <v>0</v>
      </c>
      <c r="HL12" s="50">
        <v>59</v>
      </c>
      <c r="HM12" s="50">
        <v>51</v>
      </c>
      <c r="HN12" s="50">
        <v>64</v>
      </c>
      <c r="HO12" s="50">
        <v>57</v>
      </c>
      <c r="HP12" s="50">
        <v>60</v>
      </c>
      <c r="HQ12" s="50">
        <v>58</v>
      </c>
      <c r="HR12" s="50">
        <v>50</v>
      </c>
      <c r="HS12" s="49">
        <v>62</v>
      </c>
      <c r="HT12" s="49">
        <v>-1.3465</v>
      </c>
      <c r="HU12" s="50">
        <v>0</v>
      </c>
      <c r="HV12" s="49">
        <v>1.006</v>
      </c>
      <c r="HW12" s="49">
        <v>37.64</v>
      </c>
      <c r="HX12" s="49">
        <v>54.13</v>
      </c>
      <c r="HY12" s="3"/>
      <c r="HZ12" s="3"/>
      <c r="IA12" s="49">
        <v>2.6059999999999999</v>
      </c>
      <c r="IB12" s="49">
        <v>102</v>
      </c>
      <c r="IC12" s="49">
        <v>21.337</v>
      </c>
      <c r="ID12" s="49">
        <v>-0.21099999999999999</v>
      </c>
      <c r="IE12" s="49">
        <v>-0.10199999999999999</v>
      </c>
      <c r="IF12" s="49">
        <v>795.2</v>
      </c>
      <c r="IG12" s="49">
        <v>705.2</v>
      </c>
      <c r="IH12" s="49">
        <v>804.9</v>
      </c>
      <c r="II12" s="49">
        <v>721.3</v>
      </c>
      <c r="IJ12" s="50">
        <v>7.4999999999999997E-2</v>
      </c>
      <c r="IK12" s="50">
        <v>4.9000000000000002E-2</v>
      </c>
      <c r="IL12" s="49">
        <v>126.509</v>
      </c>
      <c r="IM12" s="49">
        <v>126.509</v>
      </c>
      <c r="IN12" s="50">
        <v>16.076000000000001</v>
      </c>
      <c r="IO12" s="49">
        <v>0.14799999999999999</v>
      </c>
      <c r="IP12" s="49">
        <v>9.89</v>
      </c>
      <c r="IQ12" s="49">
        <v>0</v>
      </c>
      <c r="IR12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8FC8-4527-4004-A013-5359B250A729}">
  <sheetPr codeName="Sheet8"/>
  <dimension ref="B1:IR11"/>
  <sheetViews>
    <sheetView zoomScale="80" zoomScaleNormal="80" workbookViewId="0">
      <selection activeCell="BD5" sqref="BD5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423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424</v>
      </c>
      <c r="C7" s="64" t="s">
        <v>41</v>
      </c>
      <c r="D7" s="65">
        <v>3.3634259259259256E-4</v>
      </c>
      <c r="E7" s="7">
        <v>29.062000000000001</v>
      </c>
      <c r="F7" s="7">
        <v>0.01</v>
      </c>
      <c r="G7" s="7">
        <v>0</v>
      </c>
      <c r="H7" s="7">
        <v>27</v>
      </c>
      <c r="I7" s="7">
        <v>0</v>
      </c>
      <c r="J7" s="7">
        <v>8.3000000000000007</v>
      </c>
      <c r="K7" s="7">
        <v>6</v>
      </c>
      <c r="L7" s="7">
        <v>4</v>
      </c>
      <c r="M7" s="7">
        <v>6</v>
      </c>
      <c r="N7" s="7">
        <v>3</v>
      </c>
      <c r="O7" s="7">
        <v>3</v>
      </c>
      <c r="P7" s="3"/>
      <c r="Q7" s="3"/>
      <c r="R7" s="3"/>
      <c r="S7" s="3"/>
      <c r="T7" s="7">
        <v>20.65</v>
      </c>
      <c r="U7" s="7">
        <v>63.636000000000003</v>
      </c>
      <c r="V7" s="7">
        <v>306</v>
      </c>
      <c r="W7" s="7">
        <v>320</v>
      </c>
      <c r="X7" s="7">
        <v>167.5</v>
      </c>
      <c r="Y7" s="7">
        <v>215</v>
      </c>
      <c r="Z7" s="7">
        <v>311.22000000000003</v>
      </c>
      <c r="AA7" s="7">
        <v>328.5</v>
      </c>
      <c r="AB7" s="7">
        <v>172</v>
      </c>
      <c r="AC7" s="7">
        <v>218.84</v>
      </c>
      <c r="AD7" s="7">
        <v>1.7390000000000001</v>
      </c>
      <c r="AE7" s="7">
        <v>1.7929999999999999</v>
      </c>
      <c r="AF7" s="7">
        <v>1.72</v>
      </c>
      <c r="AG7" s="7">
        <v>1.788</v>
      </c>
      <c r="AH7" s="7">
        <v>73.650000000000006</v>
      </c>
      <c r="AI7" s="7">
        <v>67.959999999999994</v>
      </c>
      <c r="AJ7" s="7">
        <v>96.1</v>
      </c>
      <c r="AK7" s="7">
        <v>88.9</v>
      </c>
      <c r="AL7" s="3"/>
      <c r="AM7" s="3"/>
      <c r="AN7" s="3"/>
      <c r="AO7" s="3"/>
      <c r="AP7" s="3"/>
      <c r="AQ7" s="3"/>
      <c r="AR7" s="3"/>
      <c r="AS7" s="3"/>
      <c r="AT7" s="7">
        <v>82</v>
      </c>
      <c r="AU7" s="7">
        <v>109</v>
      </c>
      <c r="AV7" s="7">
        <v>3.8805000000000001</v>
      </c>
      <c r="AW7" s="7">
        <v>3.9009999999999998</v>
      </c>
      <c r="AX7" s="7">
        <v>1030</v>
      </c>
      <c r="AY7" s="7">
        <v>2.2400000000000002</v>
      </c>
      <c r="AZ7" s="7">
        <v>6.15</v>
      </c>
      <c r="BA7" s="3"/>
      <c r="BB7" s="3"/>
      <c r="BC7" s="7">
        <v>0</v>
      </c>
      <c r="BD7" s="7">
        <v>0</v>
      </c>
      <c r="BE7" s="7">
        <v>3.98</v>
      </c>
      <c r="BF7" s="7">
        <v>3.06</v>
      </c>
      <c r="BG7" s="7">
        <v>6.2</v>
      </c>
      <c r="BH7" s="7">
        <v>6.5</v>
      </c>
      <c r="BI7" s="3"/>
      <c r="BJ7" s="3"/>
      <c r="BK7" s="3"/>
      <c r="BL7" s="3"/>
      <c r="BM7" s="3"/>
      <c r="BN7" s="7">
        <v>124.664</v>
      </c>
      <c r="BO7" s="7">
        <v>127.304</v>
      </c>
      <c r="BP7" s="7">
        <v>110.08799999999999</v>
      </c>
      <c r="BQ7" s="7">
        <v>117.96</v>
      </c>
      <c r="BR7" s="3"/>
      <c r="BS7" s="7">
        <v>26.7</v>
      </c>
      <c r="BT7" s="3"/>
      <c r="BU7" s="7">
        <v>71.588999999999999</v>
      </c>
      <c r="BV7" s="3"/>
      <c r="BW7" s="3"/>
      <c r="BX7" s="3"/>
      <c r="BY7" s="7">
        <v>2.1999999999999999E-2</v>
      </c>
      <c r="BZ7" s="7">
        <v>5.0000000000000001E-3</v>
      </c>
      <c r="CA7" s="7">
        <v>2.4E-2</v>
      </c>
      <c r="CB7" s="7">
        <v>2.1000000000000001E-2</v>
      </c>
      <c r="CC7" s="3"/>
      <c r="CD7" s="3"/>
      <c r="CE7" s="3"/>
      <c r="CF7" s="3"/>
      <c r="CG7" s="7">
        <v>13.206</v>
      </c>
      <c r="CH7" s="7">
        <v>12.936999999999999</v>
      </c>
      <c r="CI7" s="3"/>
      <c r="CJ7" s="7">
        <v>1.895</v>
      </c>
      <c r="CK7" s="3"/>
      <c r="CL7" s="7">
        <v>0</v>
      </c>
      <c r="CM7" s="7">
        <v>0</v>
      </c>
      <c r="CN7" s="7">
        <v>0</v>
      </c>
      <c r="CO7" s="7">
        <v>0</v>
      </c>
      <c r="CP7" s="7">
        <v>121.321</v>
      </c>
      <c r="CQ7" s="7">
        <v>123.9</v>
      </c>
      <c r="CR7" s="7">
        <v>109.804</v>
      </c>
      <c r="CS7" s="7">
        <v>116.13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3"/>
      <c r="DG7" s="7">
        <v>0</v>
      </c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7">
        <v>0</v>
      </c>
      <c r="DU7" s="7">
        <v>0</v>
      </c>
      <c r="DV7" s="7">
        <v>0</v>
      </c>
      <c r="DW7" s="7">
        <v>0</v>
      </c>
      <c r="DX7" s="7">
        <v>0</v>
      </c>
      <c r="DY7" s="7">
        <v>0</v>
      </c>
      <c r="DZ7" s="7">
        <v>0</v>
      </c>
      <c r="EA7" s="7">
        <v>0</v>
      </c>
      <c r="EB7" s="7">
        <v>16.579999999999998</v>
      </c>
      <c r="EC7" s="7">
        <v>12.42</v>
      </c>
      <c r="ED7" s="7">
        <v>4.7</v>
      </c>
      <c r="EE7" s="7">
        <v>12.24</v>
      </c>
      <c r="EF7" s="7">
        <v>83.42</v>
      </c>
      <c r="EG7" s="7">
        <v>87.57</v>
      </c>
      <c r="EH7" s="7">
        <v>95.3</v>
      </c>
      <c r="EI7" s="7">
        <v>87.76</v>
      </c>
      <c r="EJ7" s="7">
        <v>6.5039999999999996</v>
      </c>
      <c r="EK7" s="7">
        <v>61.334000000000003</v>
      </c>
      <c r="EL7" s="7">
        <v>2.25</v>
      </c>
      <c r="EM7" s="7">
        <v>2.2000000000000002</v>
      </c>
      <c r="EN7" s="7">
        <v>1.21</v>
      </c>
      <c r="EO7" s="7">
        <v>1.24</v>
      </c>
      <c r="EP7" s="7">
        <v>-0.81</v>
      </c>
      <c r="EQ7" s="7">
        <v>-0.14299999999999999</v>
      </c>
      <c r="ER7" s="7">
        <v>0.65</v>
      </c>
      <c r="ES7" s="7">
        <v>0.77600000000000002</v>
      </c>
      <c r="ET7" s="7">
        <v>0.8</v>
      </c>
      <c r="EU7" s="7">
        <v>0.76400000000000001</v>
      </c>
      <c r="EV7" s="3"/>
      <c r="EW7" s="3"/>
      <c r="EX7" s="7">
        <v>0</v>
      </c>
      <c r="EY7" s="7">
        <v>0</v>
      </c>
      <c r="EZ7" s="7">
        <v>0</v>
      </c>
      <c r="FA7" s="7">
        <v>0</v>
      </c>
      <c r="FB7" s="7">
        <v>8.9190000000000005</v>
      </c>
      <c r="FC7" s="7">
        <v>70.033000000000001</v>
      </c>
      <c r="FD7" s="7">
        <v>65.141000000000005</v>
      </c>
      <c r="FE7" s="7">
        <v>76.448999999999998</v>
      </c>
      <c r="FF7" s="7">
        <v>74.41</v>
      </c>
      <c r="FG7" s="7">
        <v>1.206</v>
      </c>
      <c r="FH7" s="7">
        <v>1.24</v>
      </c>
      <c r="FI7" s="7">
        <v>1</v>
      </c>
      <c r="FJ7" s="7">
        <v>1</v>
      </c>
      <c r="FK7" s="7">
        <v>0</v>
      </c>
      <c r="FL7" s="7">
        <v>81</v>
      </c>
      <c r="FM7" s="7">
        <v>2.1800000000000002</v>
      </c>
      <c r="FN7" s="7">
        <v>2.15</v>
      </c>
      <c r="FO7" s="7">
        <v>6.14</v>
      </c>
      <c r="FP7" s="7">
        <v>5.3</v>
      </c>
      <c r="FQ7" s="7">
        <v>0.55000000000000004</v>
      </c>
      <c r="FR7" s="7">
        <v>5.6</v>
      </c>
      <c r="FS7" s="7">
        <v>3.9180000000000001</v>
      </c>
      <c r="FT7" s="7">
        <v>1030.2</v>
      </c>
      <c r="FU7" s="7">
        <v>0</v>
      </c>
      <c r="FV7" s="7">
        <v>0</v>
      </c>
      <c r="FW7" s="7">
        <v>3.5</v>
      </c>
      <c r="FX7" s="7">
        <v>0</v>
      </c>
      <c r="FY7" s="7">
        <v>0</v>
      </c>
      <c r="FZ7" s="3"/>
      <c r="GA7" s="3"/>
      <c r="GB7" s="7">
        <v>2116.1</v>
      </c>
      <c r="GC7" s="7">
        <v>2116.6999999999998</v>
      </c>
      <c r="GD7" s="7">
        <v>1014.3</v>
      </c>
      <c r="GE7" s="7">
        <v>1014.8</v>
      </c>
      <c r="GF7" s="7">
        <v>29.578099999999999</v>
      </c>
      <c r="GG7" s="7">
        <v>30</v>
      </c>
      <c r="GH7" s="7">
        <v>30.3</v>
      </c>
      <c r="GI7" s="7">
        <v>48.1</v>
      </c>
      <c r="GJ7" s="7">
        <v>53.4</v>
      </c>
      <c r="GK7" s="7">
        <v>89</v>
      </c>
      <c r="GL7" s="7">
        <v>24</v>
      </c>
      <c r="GM7" s="7">
        <v>0</v>
      </c>
      <c r="GN7" s="3"/>
      <c r="GO7" s="7">
        <v>0.81</v>
      </c>
      <c r="GP7" s="7">
        <v>0</v>
      </c>
      <c r="GQ7" s="7">
        <v>1.77</v>
      </c>
      <c r="GR7" s="7">
        <v>0</v>
      </c>
      <c r="GS7" s="7">
        <v>1.77</v>
      </c>
      <c r="GT7" s="7">
        <v>0</v>
      </c>
      <c r="GU7" s="7">
        <v>1.7110000000000001</v>
      </c>
      <c r="GV7" s="7">
        <v>0</v>
      </c>
      <c r="GW7" s="7">
        <v>0</v>
      </c>
      <c r="GX7" s="7">
        <v>0</v>
      </c>
      <c r="GY7" s="7">
        <v>0</v>
      </c>
      <c r="GZ7" s="7">
        <v>0</v>
      </c>
      <c r="HA7" s="7">
        <v>0</v>
      </c>
      <c r="HB7" s="7">
        <v>0</v>
      </c>
      <c r="HC7" s="7">
        <v>14.71</v>
      </c>
      <c r="HD7" s="7">
        <v>82</v>
      </c>
      <c r="HE7" s="7">
        <v>0</v>
      </c>
      <c r="HF7" s="7">
        <v>0</v>
      </c>
      <c r="HG7" s="7">
        <v>82.63</v>
      </c>
      <c r="HH7" s="7">
        <v>58.79</v>
      </c>
      <c r="HI7" s="7">
        <v>0</v>
      </c>
      <c r="HJ7" s="7">
        <v>0</v>
      </c>
      <c r="HK7" s="7">
        <v>0</v>
      </c>
      <c r="HL7" s="7">
        <v>59</v>
      </c>
      <c r="HM7" s="7">
        <v>51</v>
      </c>
      <c r="HN7" s="7">
        <v>64</v>
      </c>
      <c r="HO7" s="7">
        <v>56</v>
      </c>
      <c r="HP7" s="7">
        <v>57</v>
      </c>
      <c r="HQ7" s="7">
        <v>56</v>
      </c>
      <c r="HR7" s="7">
        <v>50</v>
      </c>
      <c r="HS7" s="7">
        <v>54</v>
      </c>
      <c r="HT7" s="7">
        <v>-0.995</v>
      </c>
      <c r="HU7" s="7">
        <v>0</v>
      </c>
      <c r="HV7" s="7">
        <v>-5.8000000000000003E-2</v>
      </c>
      <c r="HW7" s="7">
        <v>52.98</v>
      </c>
      <c r="HX7" s="7">
        <v>74.959999999999994</v>
      </c>
      <c r="HY7" s="3"/>
      <c r="HZ7" s="3"/>
      <c r="IA7" s="7">
        <v>4.0000000000000001E-3</v>
      </c>
      <c r="IB7" s="7">
        <v>97</v>
      </c>
      <c r="IC7" s="7">
        <v>14.978999999999999</v>
      </c>
      <c r="ID7" s="7">
        <v>0</v>
      </c>
      <c r="IE7" s="7">
        <v>0</v>
      </c>
      <c r="IF7" s="7">
        <v>491.1</v>
      </c>
      <c r="IG7" s="7">
        <v>475.8</v>
      </c>
      <c r="IH7" s="7">
        <v>530.9</v>
      </c>
      <c r="II7" s="7">
        <v>513.1</v>
      </c>
      <c r="IJ7" s="7">
        <v>0</v>
      </c>
      <c r="IK7" s="7">
        <v>0</v>
      </c>
      <c r="IL7" s="7">
        <v>29.047000000000001</v>
      </c>
      <c r="IM7" s="7">
        <v>29.047000000000001</v>
      </c>
      <c r="IN7" s="7">
        <v>37.353000000000002</v>
      </c>
      <c r="IO7" s="7">
        <v>0</v>
      </c>
      <c r="IP7" s="7">
        <v>10.56</v>
      </c>
      <c r="IQ7" s="7">
        <v>1E-3</v>
      </c>
      <c r="IR7" s="7">
        <v>5.0000000000000001E-3</v>
      </c>
    </row>
    <row r="8" spans="2:252" x14ac:dyDescent="0.25">
      <c r="B8" s="2" t="s">
        <v>412</v>
      </c>
      <c r="C8" s="2" t="s">
        <v>42</v>
      </c>
      <c r="D8" s="61">
        <v>3.5982638888888887E-3</v>
      </c>
      <c r="E8" s="50">
        <v>310.892</v>
      </c>
      <c r="F8" s="49">
        <v>327.01</v>
      </c>
      <c r="G8" s="49">
        <v>5.57</v>
      </c>
      <c r="H8" s="49">
        <v>27.1</v>
      </c>
      <c r="I8" s="50">
        <v>1.64</v>
      </c>
      <c r="J8" s="50">
        <v>33.799999999999997</v>
      </c>
      <c r="K8" s="50">
        <v>6</v>
      </c>
      <c r="L8" s="50">
        <v>4</v>
      </c>
      <c r="M8" s="49">
        <v>6</v>
      </c>
      <c r="N8" s="50">
        <v>3</v>
      </c>
      <c r="O8" s="50">
        <v>3</v>
      </c>
      <c r="P8" s="50">
        <v>0.60299999999999998</v>
      </c>
      <c r="Q8" s="50">
        <v>1.1000000000000001</v>
      </c>
      <c r="R8" s="50">
        <v>0.53800000000000003</v>
      </c>
      <c r="S8" s="50">
        <v>0.29599999999999999</v>
      </c>
      <c r="T8" s="49">
        <v>69.61</v>
      </c>
      <c r="U8" s="50">
        <v>61.570999999999998</v>
      </c>
      <c r="V8" s="50">
        <v>165</v>
      </c>
      <c r="W8" s="50">
        <v>187.5</v>
      </c>
      <c r="X8" s="50">
        <v>110</v>
      </c>
      <c r="Y8" s="50">
        <v>127.5</v>
      </c>
      <c r="Z8" s="49">
        <v>311.68</v>
      </c>
      <c r="AA8" s="49">
        <v>334.49</v>
      </c>
      <c r="AB8" s="49">
        <v>196.3</v>
      </c>
      <c r="AC8" s="49">
        <v>248.84</v>
      </c>
      <c r="AD8" s="49">
        <v>1.694</v>
      </c>
      <c r="AE8" s="49">
        <v>1.7490000000000001</v>
      </c>
      <c r="AF8" s="49">
        <v>1.6639999999999999</v>
      </c>
      <c r="AG8" s="49">
        <v>1.7250000000000001</v>
      </c>
      <c r="AH8" s="49">
        <v>66.099999999999994</v>
      </c>
      <c r="AI8" s="49">
        <v>62.14</v>
      </c>
      <c r="AJ8" s="49">
        <v>86.51</v>
      </c>
      <c r="AK8" s="49">
        <v>80.209999999999994</v>
      </c>
      <c r="AL8" s="49">
        <v>595.726</v>
      </c>
      <c r="AM8" s="49">
        <v>628.48299999999995</v>
      </c>
      <c r="AN8" s="49">
        <v>737.803</v>
      </c>
      <c r="AO8" s="49">
        <v>758.92600000000004</v>
      </c>
      <c r="AP8" s="49">
        <v>1.4670000000000001</v>
      </c>
      <c r="AQ8" s="50">
        <v>1.9350000000000001</v>
      </c>
      <c r="AR8" s="49">
        <v>39.905999999999999</v>
      </c>
      <c r="AS8" s="49">
        <v>37.164999999999999</v>
      </c>
      <c r="AT8" s="50">
        <v>84</v>
      </c>
      <c r="AU8" s="49">
        <v>111</v>
      </c>
      <c r="AV8" s="49">
        <v>2.0489999999999999</v>
      </c>
      <c r="AW8" s="49">
        <v>4.8841000000000001</v>
      </c>
      <c r="AX8" s="49">
        <v>1016.2</v>
      </c>
      <c r="AY8" s="50">
        <v>2.64</v>
      </c>
      <c r="AZ8" s="49">
        <v>5.57</v>
      </c>
      <c r="BA8" s="49">
        <v>69.8</v>
      </c>
      <c r="BB8" s="49">
        <v>69.7</v>
      </c>
      <c r="BC8" s="49">
        <v>7661</v>
      </c>
      <c r="BD8" s="50">
        <v>89.75</v>
      </c>
      <c r="BE8" s="49">
        <v>15.07</v>
      </c>
      <c r="BF8" s="49">
        <v>12.74</v>
      </c>
      <c r="BG8" s="49">
        <v>25.47</v>
      </c>
      <c r="BH8" s="49">
        <v>26.06</v>
      </c>
      <c r="BI8" s="49">
        <v>64.974999999999994</v>
      </c>
      <c r="BJ8" s="50">
        <v>80.885999999999996</v>
      </c>
      <c r="BK8" s="49">
        <v>63.292999999999999</v>
      </c>
      <c r="BL8" s="50">
        <v>78.625</v>
      </c>
      <c r="BM8" s="49">
        <v>78.06</v>
      </c>
      <c r="BN8" s="50">
        <v>139.24</v>
      </c>
      <c r="BO8" s="50">
        <v>141.19200000000001</v>
      </c>
      <c r="BP8" s="49">
        <v>106.80800000000001</v>
      </c>
      <c r="BQ8" s="49">
        <v>111.91200000000001</v>
      </c>
      <c r="BR8" s="49">
        <v>58.237000000000002</v>
      </c>
      <c r="BS8" s="49">
        <v>26.7</v>
      </c>
      <c r="BT8" s="49">
        <v>7092.7250000000004</v>
      </c>
      <c r="BU8" s="50">
        <v>53.56</v>
      </c>
      <c r="BV8" s="49">
        <v>53.73</v>
      </c>
      <c r="BW8" s="50">
        <v>55.026000000000003</v>
      </c>
      <c r="BX8" s="50">
        <v>56.250999999999998</v>
      </c>
      <c r="BY8" s="49">
        <v>1.4339999999999999</v>
      </c>
      <c r="BZ8" s="49">
        <v>2.6659999999999999</v>
      </c>
      <c r="CA8" s="49">
        <v>2.669</v>
      </c>
      <c r="CB8" s="49">
        <v>2.7090000000000001</v>
      </c>
      <c r="CC8" s="49">
        <v>1.2030000000000001</v>
      </c>
      <c r="CD8" s="49">
        <v>2.3260000000000001</v>
      </c>
      <c r="CE8" s="50">
        <v>1.5089999999999999</v>
      </c>
      <c r="CF8" s="50">
        <v>2.2559999999999998</v>
      </c>
      <c r="CG8" s="49">
        <v>13.855</v>
      </c>
      <c r="CH8" s="50">
        <v>10.446999999999999</v>
      </c>
      <c r="CI8" s="50">
        <v>4.0919999999999996</v>
      </c>
      <c r="CJ8" s="49">
        <v>3.5169999999999999</v>
      </c>
      <c r="CK8" s="49">
        <v>1.4039999999999999</v>
      </c>
      <c r="CL8" s="49">
        <v>0</v>
      </c>
      <c r="CM8" s="49">
        <v>1.6</v>
      </c>
      <c r="CN8" s="50">
        <v>0</v>
      </c>
      <c r="CO8" s="49">
        <v>0</v>
      </c>
      <c r="CP8" s="50">
        <v>104.815</v>
      </c>
      <c r="CQ8" s="50">
        <v>107.459</v>
      </c>
      <c r="CR8" s="49">
        <v>96.117999999999995</v>
      </c>
      <c r="CS8" s="49">
        <v>102</v>
      </c>
      <c r="CT8" s="49">
        <v>0.34799999999999998</v>
      </c>
      <c r="CU8" s="49">
        <v>1.1990000000000001</v>
      </c>
      <c r="CV8" s="49">
        <v>1.5</v>
      </c>
      <c r="CW8" s="49">
        <v>0.60099999999999998</v>
      </c>
      <c r="CX8" s="49">
        <v>1.399</v>
      </c>
      <c r="CY8" s="49">
        <v>1.304</v>
      </c>
      <c r="CZ8" s="49">
        <v>1.6950000000000001</v>
      </c>
      <c r="DA8" s="49">
        <v>0.80100000000000005</v>
      </c>
      <c r="DB8" s="49">
        <v>1.099</v>
      </c>
      <c r="DC8" s="50">
        <v>0</v>
      </c>
      <c r="DD8" s="50">
        <v>0</v>
      </c>
      <c r="DE8" s="50">
        <v>0.128</v>
      </c>
      <c r="DF8" s="49">
        <v>1.2999999999999999E-2</v>
      </c>
      <c r="DG8" s="49">
        <v>0.48399999999999999</v>
      </c>
      <c r="DH8" s="49">
        <v>1.1000000000000001</v>
      </c>
      <c r="DI8" s="50">
        <v>0.79500000000000004</v>
      </c>
      <c r="DJ8" s="50">
        <v>0.14099999999999999</v>
      </c>
      <c r="DK8" s="50">
        <v>0.71299999999999997</v>
      </c>
      <c r="DL8" s="50">
        <v>0.41899999999999998</v>
      </c>
      <c r="DM8" s="50">
        <v>0.51300000000000001</v>
      </c>
      <c r="DN8" s="49">
        <v>0.379</v>
      </c>
      <c r="DO8" s="50">
        <v>0.39400000000000002</v>
      </c>
      <c r="DP8" s="49">
        <v>62.936999999999998</v>
      </c>
      <c r="DQ8" s="49">
        <v>58.381</v>
      </c>
      <c r="DR8" s="49">
        <v>53.048000000000002</v>
      </c>
      <c r="DS8" s="49">
        <v>50.862000000000002</v>
      </c>
      <c r="DT8" s="49">
        <v>3.69</v>
      </c>
      <c r="DU8" s="49">
        <v>4.0599999999999996</v>
      </c>
      <c r="DV8" s="49">
        <v>8.2100000000000009</v>
      </c>
      <c r="DW8" s="49">
        <v>6.61</v>
      </c>
      <c r="DX8" s="49">
        <v>3.87</v>
      </c>
      <c r="DY8" s="49">
        <v>4.01</v>
      </c>
      <c r="DZ8" s="49">
        <v>7.38</v>
      </c>
      <c r="EA8" s="49">
        <v>6.13</v>
      </c>
      <c r="EB8" s="49">
        <v>33.520000000000003</v>
      </c>
      <c r="EC8" s="49">
        <v>33.4</v>
      </c>
      <c r="ED8" s="49">
        <v>26.82</v>
      </c>
      <c r="EE8" s="49">
        <v>27.88</v>
      </c>
      <c r="EF8" s="50">
        <v>58.92</v>
      </c>
      <c r="EG8" s="50">
        <v>58.53</v>
      </c>
      <c r="EH8" s="50">
        <v>57.59</v>
      </c>
      <c r="EI8" s="50">
        <v>59.38</v>
      </c>
      <c r="EJ8" s="49">
        <v>5.8460000000000001</v>
      </c>
      <c r="EK8" s="49">
        <v>59.765999999999998</v>
      </c>
      <c r="EL8" s="50">
        <v>2.5499999999999998</v>
      </c>
      <c r="EM8" s="50">
        <v>1.7</v>
      </c>
      <c r="EN8" s="50">
        <v>1.17</v>
      </c>
      <c r="EO8" s="49">
        <v>1.17</v>
      </c>
      <c r="EP8" s="49">
        <v>-84.76</v>
      </c>
      <c r="EQ8" s="50">
        <v>-1.0880000000000001</v>
      </c>
      <c r="ER8" s="49">
        <v>84.453999999999994</v>
      </c>
      <c r="ES8" s="49">
        <v>1.2070000000000001</v>
      </c>
      <c r="ET8" s="49">
        <v>1.242</v>
      </c>
      <c r="EU8" s="49">
        <v>1.175</v>
      </c>
      <c r="EV8" s="49">
        <v>7.8979999999999997</v>
      </c>
      <c r="EW8" s="49">
        <v>2.657</v>
      </c>
      <c r="EX8" s="49">
        <v>-315.3</v>
      </c>
      <c r="EY8" s="50">
        <v>2.0009999999999999</v>
      </c>
      <c r="EZ8" s="49">
        <v>0</v>
      </c>
      <c r="FA8" s="50">
        <v>0</v>
      </c>
      <c r="FB8" s="49">
        <v>7.7050000000000001</v>
      </c>
      <c r="FC8" s="49">
        <v>68.734999999999999</v>
      </c>
      <c r="FD8" s="49">
        <v>64.066999999999993</v>
      </c>
      <c r="FE8" s="49">
        <v>71.335999999999999</v>
      </c>
      <c r="FF8" s="49">
        <v>68.501999999999995</v>
      </c>
      <c r="FG8" s="50">
        <v>0.96</v>
      </c>
      <c r="FH8" s="50">
        <v>0.96199999999999997</v>
      </c>
      <c r="FI8" s="50">
        <v>1.002</v>
      </c>
      <c r="FJ8" s="50">
        <v>1.004</v>
      </c>
      <c r="FK8" s="50">
        <v>0.10100000000000001</v>
      </c>
      <c r="FL8" s="50">
        <v>85</v>
      </c>
      <c r="FM8" s="49">
        <v>3.77</v>
      </c>
      <c r="FN8" s="49">
        <v>2.2400000000000002</v>
      </c>
      <c r="FO8" s="49">
        <v>5.36</v>
      </c>
      <c r="FP8" s="49">
        <v>3.9</v>
      </c>
      <c r="FQ8" s="50">
        <v>0.55000000000000004</v>
      </c>
      <c r="FR8" s="49">
        <v>5.15</v>
      </c>
      <c r="FS8" s="49">
        <v>6.6890000000000001</v>
      </c>
      <c r="FT8" s="50">
        <v>1081.8</v>
      </c>
      <c r="FU8" s="49">
        <v>7.06</v>
      </c>
      <c r="FV8" s="49">
        <v>5.57</v>
      </c>
      <c r="FW8" s="49">
        <v>3072.5</v>
      </c>
      <c r="FX8" s="49">
        <v>166000</v>
      </c>
      <c r="FY8" s="49">
        <v>167300</v>
      </c>
      <c r="FZ8" s="50">
        <v>48.637999999999998</v>
      </c>
      <c r="GA8" s="50">
        <v>48.68</v>
      </c>
      <c r="GB8" s="49">
        <v>2146.1999999999998</v>
      </c>
      <c r="GC8" s="50">
        <v>2278</v>
      </c>
      <c r="GD8" s="49">
        <v>2190.6999999999998</v>
      </c>
      <c r="GE8" s="50">
        <v>2487.4</v>
      </c>
      <c r="GF8" s="49">
        <v>1387.2030999999999</v>
      </c>
      <c r="GG8" s="50">
        <v>31</v>
      </c>
      <c r="GH8" s="50">
        <v>30.9</v>
      </c>
      <c r="GI8" s="50">
        <v>53.2</v>
      </c>
      <c r="GJ8" s="50">
        <v>58.1</v>
      </c>
      <c r="GK8" s="50">
        <v>98.5</v>
      </c>
      <c r="GL8" s="50">
        <v>90.2</v>
      </c>
      <c r="GM8" s="50">
        <v>0</v>
      </c>
      <c r="GN8" s="49">
        <v>27.611000000000001</v>
      </c>
      <c r="GO8" s="49">
        <v>84.76</v>
      </c>
      <c r="GP8" s="50">
        <v>0</v>
      </c>
      <c r="GQ8" s="50">
        <v>4.2480000000000002</v>
      </c>
      <c r="GR8" s="50">
        <v>0</v>
      </c>
      <c r="GS8" s="50">
        <v>5.1920000000000002</v>
      </c>
      <c r="GT8" s="50">
        <v>0</v>
      </c>
      <c r="GU8" s="50">
        <v>4.3659999999999997</v>
      </c>
      <c r="GV8" s="50">
        <v>0</v>
      </c>
      <c r="GW8" s="49">
        <v>10.52</v>
      </c>
      <c r="GX8" s="50">
        <v>23.911999999999999</v>
      </c>
      <c r="GY8" s="50">
        <v>0</v>
      </c>
      <c r="GZ8" s="50">
        <v>0</v>
      </c>
      <c r="HA8" s="50">
        <v>0</v>
      </c>
      <c r="HB8" s="50">
        <v>1</v>
      </c>
      <c r="HC8" s="49">
        <v>21.991</v>
      </c>
      <c r="HD8" s="50">
        <v>86</v>
      </c>
      <c r="HE8" s="50">
        <v>0</v>
      </c>
      <c r="HF8" s="50">
        <v>0</v>
      </c>
      <c r="HG8" s="50">
        <v>90.1</v>
      </c>
      <c r="HH8" s="49">
        <v>81.39</v>
      </c>
      <c r="HI8" s="50">
        <v>0</v>
      </c>
      <c r="HJ8" s="50">
        <v>0</v>
      </c>
      <c r="HK8" s="50">
        <v>0</v>
      </c>
      <c r="HL8" s="50">
        <v>64</v>
      </c>
      <c r="HM8" s="50">
        <v>51</v>
      </c>
      <c r="HN8" s="49">
        <v>64</v>
      </c>
      <c r="HO8" s="49">
        <v>57</v>
      </c>
      <c r="HP8" s="49">
        <v>59</v>
      </c>
      <c r="HQ8" s="49">
        <v>57</v>
      </c>
      <c r="HR8" s="49">
        <v>50</v>
      </c>
      <c r="HS8" s="50">
        <v>70</v>
      </c>
      <c r="HT8" s="49">
        <v>-1.3660000000000001</v>
      </c>
      <c r="HU8" s="50">
        <v>0</v>
      </c>
      <c r="HV8" s="49">
        <v>1.0329999999999999</v>
      </c>
      <c r="HW8" s="50">
        <v>37.21</v>
      </c>
      <c r="HX8" s="49">
        <v>48.83</v>
      </c>
      <c r="HY8" s="3"/>
      <c r="HZ8" s="3"/>
      <c r="IA8" s="49">
        <v>2.2650000000000001</v>
      </c>
      <c r="IB8" s="49">
        <v>100</v>
      </c>
      <c r="IC8" s="49">
        <v>19.428999999999998</v>
      </c>
      <c r="ID8" s="50">
        <v>-0.18</v>
      </c>
      <c r="IE8" s="50">
        <v>-8.3000000000000004E-2</v>
      </c>
      <c r="IF8" s="50">
        <v>812.9</v>
      </c>
      <c r="IG8" s="49">
        <v>697</v>
      </c>
      <c r="IH8" s="50">
        <v>816.9</v>
      </c>
      <c r="II8" s="49">
        <v>710</v>
      </c>
      <c r="IJ8" s="49">
        <v>1.2E-2</v>
      </c>
      <c r="IK8" s="49">
        <v>2.8000000000000001E-2</v>
      </c>
      <c r="IL8" s="50">
        <v>164.12100000000001</v>
      </c>
      <c r="IM8" s="50">
        <v>163.98</v>
      </c>
      <c r="IN8" s="49">
        <v>13.13</v>
      </c>
      <c r="IO8" s="49">
        <v>0.13600000000000001</v>
      </c>
      <c r="IP8" s="50">
        <v>10.1</v>
      </c>
      <c r="IQ8" s="49">
        <v>8.9999999999999993E-3</v>
      </c>
      <c r="IR8" s="49">
        <v>5.0000000000000001E-3</v>
      </c>
    </row>
    <row r="9" spans="2:252" x14ac:dyDescent="0.25">
      <c r="B9" s="2" t="s">
        <v>412</v>
      </c>
      <c r="C9" s="2" t="s">
        <v>43</v>
      </c>
      <c r="D9" s="61">
        <v>2.4575231481481483E-3</v>
      </c>
      <c r="E9" s="49">
        <v>212.33</v>
      </c>
      <c r="F9" s="49">
        <v>327.92</v>
      </c>
      <c r="G9" s="50">
        <v>6.07</v>
      </c>
      <c r="H9" s="49">
        <v>27.1</v>
      </c>
      <c r="I9" s="49">
        <v>0</v>
      </c>
      <c r="J9" s="49">
        <v>11.5</v>
      </c>
      <c r="K9" s="50">
        <v>6</v>
      </c>
      <c r="L9" s="50">
        <v>4</v>
      </c>
      <c r="M9" s="50">
        <v>7</v>
      </c>
      <c r="N9" s="50">
        <v>3</v>
      </c>
      <c r="O9" s="50">
        <v>3</v>
      </c>
      <c r="P9" s="49">
        <v>0.40100000000000002</v>
      </c>
      <c r="Q9" s="49">
        <v>1.034</v>
      </c>
      <c r="R9" s="49">
        <v>0.28999999999999998</v>
      </c>
      <c r="S9" s="49">
        <v>0.20899999999999999</v>
      </c>
      <c r="T9" s="49">
        <v>87.06</v>
      </c>
      <c r="U9" s="49">
        <v>61.19</v>
      </c>
      <c r="V9" s="49">
        <v>226.66</v>
      </c>
      <c r="W9" s="49">
        <v>258.33999999999997</v>
      </c>
      <c r="X9" s="49">
        <v>137.5</v>
      </c>
      <c r="Y9" s="49">
        <v>175</v>
      </c>
      <c r="Z9" s="49">
        <v>378.4</v>
      </c>
      <c r="AA9" s="49">
        <v>408.52</v>
      </c>
      <c r="AB9" s="49">
        <v>276.02</v>
      </c>
      <c r="AC9" s="49">
        <v>341.81</v>
      </c>
      <c r="AD9" s="49">
        <v>1.7170000000000001</v>
      </c>
      <c r="AE9" s="49">
        <v>1.756</v>
      </c>
      <c r="AF9" s="49">
        <v>1.7470000000000001</v>
      </c>
      <c r="AG9" s="49">
        <v>1.7929999999999999</v>
      </c>
      <c r="AH9" s="49">
        <v>75.7</v>
      </c>
      <c r="AI9" s="49">
        <v>71.92</v>
      </c>
      <c r="AJ9" s="49">
        <v>105</v>
      </c>
      <c r="AK9" s="49">
        <v>96.08</v>
      </c>
      <c r="AL9" s="49">
        <v>696.32399999999996</v>
      </c>
      <c r="AM9" s="49">
        <v>706.37099999999998</v>
      </c>
      <c r="AN9" s="49">
        <v>854.84900000000005</v>
      </c>
      <c r="AO9" s="49">
        <v>826.26599999999996</v>
      </c>
      <c r="AP9" s="50">
        <v>1.4690000000000001</v>
      </c>
      <c r="AQ9" s="49">
        <v>1.9330000000000001</v>
      </c>
      <c r="AR9" s="49">
        <v>40.15</v>
      </c>
      <c r="AS9" s="49">
        <v>35.54</v>
      </c>
      <c r="AT9" s="49">
        <v>83</v>
      </c>
      <c r="AU9" s="49">
        <v>116</v>
      </c>
      <c r="AV9" s="49">
        <v>1.7845</v>
      </c>
      <c r="AW9" s="50">
        <v>5.1044999999999998</v>
      </c>
      <c r="AX9" s="50">
        <v>1018.6</v>
      </c>
      <c r="AY9" s="49">
        <v>2.33</v>
      </c>
      <c r="AZ9" s="49">
        <v>5.6</v>
      </c>
      <c r="BA9" s="49">
        <v>139.24600000000001</v>
      </c>
      <c r="BB9" s="49">
        <v>140.38499999999999</v>
      </c>
      <c r="BC9" s="50">
        <v>7889</v>
      </c>
      <c r="BD9" s="49">
        <v>89</v>
      </c>
      <c r="BE9" s="49">
        <v>16.254999999999999</v>
      </c>
      <c r="BF9" s="49">
        <v>14.335000000000001</v>
      </c>
      <c r="BG9" s="49">
        <v>28.78</v>
      </c>
      <c r="BH9" s="49">
        <v>27.44</v>
      </c>
      <c r="BI9" s="3"/>
      <c r="BJ9" s="3"/>
      <c r="BK9" s="3"/>
      <c r="BL9" s="3"/>
      <c r="BM9" s="3"/>
      <c r="BN9" s="49">
        <v>97.975999999999999</v>
      </c>
      <c r="BO9" s="49">
        <v>98.488</v>
      </c>
      <c r="BP9" s="49">
        <v>117.36799999999999</v>
      </c>
      <c r="BQ9" s="49">
        <v>122.152</v>
      </c>
      <c r="BR9" s="3"/>
      <c r="BS9" s="49">
        <v>26.8</v>
      </c>
      <c r="BT9" s="49">
        <v>7376.94</v>
      </c>
      <c r="BU9" s="49">
        <v>49.427</v>
      </c>
      <c r="BV9" s="49">
        <v>52.652999999999999</v>
      </c>
      <c r="BW9" s="49">
        <v>53.585000000000001</v>
      </c>
      <c r="BX9" s="49">
        <v>54.463999999999999</v>
      </c>
      <c r="BY9" s="49">
        <v>1.615</v>
      </c>
      <c r="BZ9" s="49">
        <v>3.0590000000000002</v>
      </c>
      <c r="CA9" s="49">
        <v>3.5310000000000001</v>
      </c>
      <c r="CB9" s="49">
        <v>3.45</v>
      </c>
      <c r="CC9" s="49">
        <v>1.302</v>
      </c>
      <c r="CD9" s="50">
        <v>2.5510000000000002</v>
      </c>
      <c r="CE9" s="49">
        <v>1.375</v>
      </c>
      <c r="CF9" s="49">
        <v>2.1869999999999998</v>
      </c>
      <c r="CG9" s="49">
        <v>13.944000000000001</v>
      </c>
      <c r="CH9" s="49">
        <v>13.778</v>
      </c>
      <c r="CI9" s="49">
        <v>3.9449999999999998</v>
      </c>
      <c r="CJ9" s="49">
        <v>3.7210000000000001</v>
      </c>
      <c r="CK9" s="50">
        <v>1.7509999999999999</v>
      </c>
      <c r="CL9" s="50">
        <v>0.1</v>
      </c>
      <c r="CM9" s="49">
        <v>0.3</v>
      </c>
      <c r="CN9" s="50">
        <v>0</v>
      </c>
      <c r="CO9" s="49">
        <v>0</v>
      </c>
      <c r="CP9" s="49">
        <v>93.863</v>
      </c>
      <c r="CQ9" s="49">
        <v>95.319000000000003</v>
      </c>
      <c r="CR9" s="49">
        <v>103.673</v>
      </c>
      <c r="CS9" s="49">
        <v>109.34</v>
      </c>
      <c r="CT9" s="49">
        <v>0.311</v>
      </c>
      <c r="CU9" s="49">
        <v>1.2</v>
      </c>
      <c r="CV9" s="49">
        <v>0.995</v>
      </c>
      <c r="CW9" s="49">
        <v>1.099</v>
      </c>
      <c r="CX9" s="49">
        <v>0.997</v>
      </c>
      <c r="CY9" s="49">
        <v>0.89800000000000002</v>
      </c>
      <c r="CZ9" s="49">
        <v>0.59899999999999998</v>
      </c>
      <c r="DA9" s="49">
        <v>0.59899999999999998</v>
      </c>
      <c r="DB9" s="49">
        <v>1.496</v>
      </c>
      <c r="DC9" s="50">
        <v>0</v>
      </c>
      <c r="DD9" s="50">
        <v>0</v>
      </c>
      <c r="DE9" s="49">
        <v>0.115</v>
      </c>
      <c r="DF9" s="50">
        <v>2.5000000000000001E-2</v>
      </c>
      <c r="DG9" s="49">
        <v>0.34799999999999998</v>
      </c>
      <c r="DH9" s="49">
        <v>1.139</v>
      </c>
      <c r="DI9" s="49">
        <v>0.76100000000000001</v>
      </c>
      <c r="DJ9" s="49">
        <v>9.4E-2</v>
      </c>
      <c r="DK9" s="49">
        <v>0.64800000000000002</v>
      </c>
      <c r="DL9" s="49">
        <v>0.41699999999999998</v>
      </c>
      <c r="DM9" s="49">
        <v>0.46800000000000003</v>
      </c>
      <c r="DN9" s="49">
        <v>0.26700000000000002</v>
      </c>
      <c r="DO9" s="49">
        <v>0.308</v>
      </c>
      <c r="DP9" s="50">
        <v>68.171000000000006</v>
      </c>
      <c r="DQ9" s="49">
        <v>58.244999999999997</v>
      </c>
      <c r="DR9" s="49">
        <v>53.78</v>
      </c>
      <c r="DS9" s="49">
        <v>51.113</v>
      </c>
      <c r="DT9" s="49">
        <v>7.21</v>
      </c>
      <c r="DU9" s="49">
        <v>6.81</v>
      </c>
      <c r="DV9" s="49">
        <v>14.36</v>
      </c>
      <c r="DW9" s="49">
        <v>11.29</v>
      </c>
      <c r="DX9" s="49">
        <v>7.52</v>
      </c>
      <c r="DY9" s="49">
        <v>7.12</v>
      </c>
      <c r="DZ9" s="49">
        <v>13.71</v>
      </c>
      <c r="EA9" s="49">
        <v>10.89</v>
      </c>
      <c r="EB9" s="50">
        <v>41.8</v>
      </c>
      <c r="EC9" s="50">
        <v>40.94</v>
      </c>
      <c r="ED9" s="50">
        <v>31.7</v>
      </c>
      <c r="EE9" s="49">
        <v>34.22</v>
      </c>
      <c r="EF9" s="49">
        <v>43.48</v>
      </c>
      <c r="EG9" s="49">
        <v>45.13</v>
      </c>
      <c r="EH9" s="49">
        <v>40.229999999999997</v>
      </c>
      <c r="EI9" s="49">
        <v>43.6</v>
      </c>
      <c r="EJ9" s="49">
        <v>6.7039999999999997</v>
      </c>
      <c r="EK9" s="50">
        <v>61.185000000000002</v>
      </c>
      <c r="EL9" s="49">
        <v>2.15</v>
      </c>
      <c r="EM9" s="49">
        <v>1.75</v>
      </c>
      <c r="EN9" s="50">
        <v>1.17</v>
      </c>
      <c r="EO9" s="50">
        <v>1.18</v>
      </c>
      <c r="EP9" s="49">
        <v>-117.026</v>
      </c>
      <c r="EQ9" s="49">
        <v>-2.274</v>
      </c>
      <c r="ER9" s="49">
        <v>106.938</v>
      </c>
      <c r="ES9" s="50">
        <v>1.54</v>
      </c>
      <c r="ET9" s="50">
        <v>1.649</v>
      </c>
      <c r="EU9" s="50">
        <v>1.478</v>
      </c>
      <c r="EV9" s="50">
        <v>8.0860000000000003</v>
      </c>
      <c r="EW9" s="50">
        <v>2.9289999999999998</v>
      </c>
      <c r="EX9" s="49">
        <v>75</v>
      </c>
      <c r="EY9" s="49">
        <v>0</v>
      </c>
      <c r="EZ9" s="50">
        <v>0.432</v>
      </c>
      <c r="FA9" s="50">
        <v>0</v>
      </c>
      <c r="FB9" s="49">
        <v>9.15</v>
      </c>
      <c r="FC9" s="49">
        <v>68.11</v>
      </c>
      <c r="FD9" s="49">
        <v>63.695999999999998</v>
      </c>
      <c r="FE9" s="49">
        <v>74.03</v>
      </c>
      <c r="FF9" s="49">
        <v>71.072999999999993</v>
      </c>
      <c r="FG9" s="49">
        <v>0.91300000000000003</v>
      </c>
      <c r="FH9" s="49">
        <v>0.91400000000000003</v>
      </c>
      <c r="FI9" s="49">
        <v>0.997</v>
      </c>
      <c r="FJ9" s="49">
        <v>1</v>
      </c>
      <c r="FK9" s="49">
        <v>0</v>
      </c>
      <c r="FL9" s="49">
        <v>83</v>
      </c>
      <c r="FM9" s="50">
        <v>3.83</v>
      </c>
      <c r="FN9" s="49">
        <v>2.36</v>
      </c>
      <c r="FO9" s="49">
        <v>5.4</v>
      </c>
      <c r="FP9" s="3"/>
      <c r="FQ9" s="49">
        <v>4.75</v>
      </c>
      <c r="FR9" s="49">
        <v>5.15</v>
      </c>
      <c r="FS9" s="50">
        <v>6.8070000000000004</v>
      </c>
      <c r="FT9" s="49">
        <v>1077.4000000000001</v>
      </c>
      <c r="FU9" s="50">
        <v>7.17</v>
      </c>
      <c r="FV9" s="49">
        <v>11.64</v>
      </c>
      <c r="FW9" s="49">
        <v>3116</v>
      </c>
      <c r="FX9" s="50">
        <v>170100</v>
      </c>
      <c r="FY9" s="50">
        <v>172500</v>
      </c>
      <c r="FZ9" s="49">
        <v>47.570999999999998</v>
      </c>
      <c r="GA9" s="49">
        <v>47.698</v>
      </c>
      <c r="GB9" s="50">
        <v>2253.1</v>
      </c>
      <c r="GC9" s="49">
        <v>2205.9</v>
      </c>
      <c r="GD9" s="50">
        <v>2253.1</v>
      </c>
      <c r="GE9" s="49">
        <v>2205.9</v>
      </c>
      <c r="GF9" s="50">
        <v>1425.9375</v>
      </c>
      <c r="GG9" s="49">
        <v>29</v>
      </c>
      <c r="GH9" s="49">
        <v>28.9</v>
      </c>
      <c r="GI9" s="49">
        <v>47.8</v>
      </c>
      <c r="GJ9" s="49">
        <v>53.2</v>
      </c>
      <c r="GK9" s="49">
        <v>99.5</v>
      </c>
      <c r="GL9" s="49">
        <v>77.3</v>
      </c>
      <c r="GM9" s="50">
        <v>0</v>
      </c>
      <c r="GN9" s="49">
        <v>27.795999999999999</v>
      </c>
      <c r="GO9" s="49">
        <v>117.026</v>
      </c>
      <c r="GP9" s="49">
        <v>0.88500000000000001</v>
      </c>
      <c r="GQ9" s="49">
        <v>1.8879999999999999</v>
      </c>
      <c r="GR9" s="49">
        <v>1.298</v>
      </c>
      <c r="GS9" s="49">
        <v>2.0649999999999999</v>
      </c>
      <c r="GT9" s="49">
        <v>0.76700000000000002</v>
      </c>
      <c r="GU9" s="49">
        <v>1.8879999999999999</v>
      </c>
      <c r="GV9" s="49">
        <v>12.837999999999999</v>
      </c>
      <c r="GW9" s="49">
        <v>13.866</v>
      </c>
      <c r="GX9" s="49">
        <v>15.092000000000001</v>
      </c>
      <c r="GY9" s="50">
        <v>0</v>
      </c>
      <c r="GZ9" s="50">
        <v>0</v>
      </c>
      <c r="HA9" s="50">
        <v>0</v>
      </c>
      <c r="HB9" s="49">
        <v>0</v>
      </c>
      <c r="HC9" s="49">
        <v>23.164999999999999</v>
      </c>
      <c r="HD9" s="49">
        <v>78</v>
      </c>
      <c r="HE9" s="50">
        <v>0</v>
      </c>
      <c r="HF9" s="50">
        <v>0</v>
      </c>
      <c r="HG9" s="49">
        <v>69.239999999999995</v>
      </c>
      <c r="HH9" s="50">
        <v>81.59</v>
      </c>
      <c r="HI9" s="50">
        <v>0</v>
      </c>
      <c r="HJ9" s="50">
        <v>0</v>
      </c>
      <c r="HK9" s="50">
        <v>0</v>
      </c>
      <c r="HL9" s="49">
        <v>61</v>
      </c>
      <c r="HM9" s="50">
        <v>51</v>
      </c>
      <c r="HN9" s="49">
        <v>64</v>
      </c>
      <c r="HO9" s="49">
        <v>58</v>
      </c>
      <c r="HP9" s="49">
        <v>60</v>
      </c>
      <c r="HQ9" s="49">
        <v>59</v>
      </c>
      <c r="HR9" s="49">
        <v>50</v>
      </c>
      <c r="HS9" s="49">
        <v>62</v>
      </c>
      <c r="HT9" s="50">
        <v>-1.4015</v>
      </c>
      <c r="HU9" s="50">
        <v>0</v>
      </c>
      <c r="HV9" s="50">
        <v>1.2669999999999999</v>
      </c>
      <c r="HW9" s="50">
        <v>37.21</v>
      </c>
      <c r="HX9" s="49">
        <v>43.92</v>
      </c>
      <c r="HY9" s="49">
        <v>48.66</v>
      </c>
      <c r="HZ9" s="49">
        <v>60.22</v>
      </c>
      <c r="IA9" s="49">
        <v>2.585</v>
      </c>
      <c r="IB9" s="50">
        <v>104</v>
      </c>
      <c r="IC9" s="49">
        <v>22.228000000000002</v>
      </c>
      <c r="ID9" s="49">
        <v>-0.36799999999999999</v>
      </c>
      <c r="IE9" s="49">
        <v>-0.17799999999999999</v>
      </c>
      <c r="IF9" s="49">
        <v>805.5</v>
      </c>
      <c r="IG9" s="49">
        <v>759.6</v>
      </c>
      <c r="IH9" s="49">
        <v>814.8</v>
      </c>
      <c r="II9" s="49">
        <v>770.8</v>
      </c>
      <c r="IJ9" s="50">
        <v>1.6E-2</v>
      </c>
      <c r="IK9" s="49">
        <v>2.5000000000000001E-2</v>
      </c>
      <c r="IL9" s="49">
        <v>67.149000000000001</v>
      </c>
      <c r="IM9" s="49">
        <v>67.149000000000001</v>
      </c>
      <c r="IN9" s="49">
        <v>11.327</v>
      </c>
      <c r="IO9" s="49">
        <v>0.26300000000000001</v>
      </c>
      <c r="IP9" s="49">
        <v>9.8699999999999992</v>
      </c>
      <c r="IQ9" s="50">
        <v>1.2999999999999999E-2</v>
      </c>
      <c r="IR9" s="50">
        <v>6.0000000000000001E-3</v>
      </c>
    </row>
    <row r="10" spans="2:252" x14ac:dyDescent="0.25">
      <c r="B10" s="2" t="s">
        <v>412</v>
      </c>
      <c r="C10" s="2" t="s">
        <v>43</v>
      </c>
      <c r="D10" s="61">
        <v>2.4393518518518518E-3</v>
      </c>
      <c r="E10" s="49">
        <v>210.76</v>
      </c>
      <c r="F10" s="50">
        <v>330.56</v>
      </c>
      <c r="G10" s="50">
        <v>6.07</v>
      </c>
      <c r="H10" s="49">
        <v>27.2</v>
      </c>
      <c r="I10" s="49">
        <v>0</v>
      </c>
      <c r="J10" s="49">
        <v>13.7</v>
      </c>
      <c r="K10" s="50">
        <v>6</v>
      </c>
      <c r="L10" s="50">
        <v>4</v>
      </c>
      <c r="M10" s="50">
        <v>7</v>
      </c>
      <c r="N10" s="50">
        <v>3</v>
      </c>
      <c r="O10" s="50">
        <v>3</v>
      </c>
      <c r="P10" s="49">
        <v>0.42399999999999999</v>
      </c>
      <c r="Q10" s="49">
        <v>0.93100000000000005</v>
      </c>
      <c r="R10" s="49">
        <v>0.24</v>
      </c>
      <c r="S10" s="49">
        <v>0.27100000000000002</v>
      </c>
      <c r="T10" s="50">
        <v>93.72</v>
      </c>
      <c r="U10" s="49">
        <v>60.965000000000003</v>
      </c>
      <c r="V10" s="49">
        <v>238.34</v>
      </c>
      <c r="W10" s="49">
        <v>235</v>
      </c>
      <c r="X10" s="49">
        <v>187.5</v>
      </c>
      <c r="Y10" s="49">
        <v>225</v>
      </c>
      <c r="Z10" s="49">
        <v>388.7</v>
      </c>
      <c r="AA10" s="49">
        <v>390.52</v>
      </c>
      <c r="AB10" s="50">
        <v>316.60000000000002</v>
      </c>
      <c r="AC10" s="50">
        <v>380.46</v>
      </c>
      <c r="AD10" s="49">
        <v>1.7529999999999999</v>
      </c>
      <c r="AE10" s="49">
        <v>1.7949999999999999</v>
      </c>
      <c r="AF10" s="49">
        <v>1.827</v>
      </c>
      <c r="AG10" s="49">
        <v>1.867</v>
      </c>
      <c r="AH10" s="49">
        <v>81.41</v>
      </c>
      <c r="AI10" s="49">
        <v>80.010000000000005</v>
      </c>
      <c r="AJ10" s="49">
        <v>117.79</v>
      </c>
      <c r="AK10" s="49">
        <v>107.42</v>
      </c>
      <c r="AL10" s="50">
        <v>778.29700000000003</v>
      </c>
      <c r="AM10" s="49">
        <v>894.88800000000003</v>
      </c>
      <c r="AN10" s="50">
        <v>904.452</v>
      </c>
      <c r="AO10" s="50">
        <v>835.83799999999997</v>
      </c>
      <c r="AP10" s="49">
        <v>1.464</v>
      </c>
      <c r="AQ10" s="49">
        <v>1.9279999999999999</v>
      </c>
      <c r="AR10" s="50">
        <v>40.545999999999999</v>
      </c>
      <c r="AS10" s="50">
        <v>38.348999999999997</v>
      </c>
      <c r="AT10" s="49">
        <v>83</v>
      </c>
      <c r="AU10" s="49">
        <v>119</v>
      </c>
      <c r="AV10" s="50">
        <v>1.569</v>
      </c>
      <c r="AW10" s="49">
        <v>5.0918000000000001</v>
      </c>
      <c r="AX10" s="49">
        <v>1017.9</v>
      </c>
      <c r="AY10" s="49">
        <v>2.35</v>
      </c>
      <c r="AZ10" s="50">
        <v>5.55</v>
      </c>
      <c r="BA10" s="49">
        <v>140.92400000000001</v>
      </c>
      <c r="BB10" s="49">
        <v>139.68799999999999</v>
      </c>
      <c r="BC10" s="49">
        <v>7835</v>
      </c>
      <c r="BD10" s="49">
        <v>88.5</v>
      </c>
      <c r="BE10" s="50">
        <v>18.454999999999998</v>
      </c>
      <c r="BF10" s="50">
        <v>15.645</v>
      </c>
      <c r="BG10" s="49">
        <v>29.37</v>
      </c>
      <c r="BH10" s="49">
        <v>27.89</v>
      </c>
      <c r="BI10" s="3"/>
      <c r="BJ10" s="3"/>
      <c r="BK10" s="3"/>
      <c r="BL10" s="3"/>
      <c r="BM10" s="3"/>
      <c r="BN10" s="49">
        <v>99.64</v>
      </c>
      <c r="BO10" s="49">
        <v>101.48</v>
      </c>
      <c r="BP10" s="49">
        <v>129.72</v>
      </c>
      <c r="BQ10" s="49">
        <v>133.36799999999999</v>
      </c>
      <c r="BR10" s="3"/>
      <c r="BS10" s="49">
        <v>26.9</v>
      </c>
      <c r="BT10" s="50">
        <v>7396.0940000000001</v>
      </c>
      <c r="BU10" s="49">
        <v>51.7</v>
      </c>
      <c r="BV10" s="50">
        <v>54.813000000000002</v>
      </c>
      <c r="BW10" s="49">
        <v>52.448999999999998</v>
      </c>
      <c r="BX10" s="49">
        <v>54.222999999999999</v>
      </c>
      <c r="BY10" s="49">
        <v>1.417</v>
      </c>
      <c r="BZ10" s="50">
        <v>3.2509999999999999</v>
      </c>
      <c r="CA10" s="50">
        <v>3.8610000000000002</v>
      </c>
      <c r="CB10" s="50">
        <v>3.835</v>
      </c>
      <c r="CC10" s="50">
        <v>1.417</v>
      </c>
      <c r="CD10" s="49">
        <v>2.4239999999999999</v>
      </c>
      <c r="CE10" s="49">
        <v>1.345</v>
      </c>
      <c r="CF10" s="49">
        <v>2.1989999999999998</v>
      </c>
      <c r="CG10" s="49">
        <v>13.943</v>
      </c>
      <c r="CH10" s="49">
        <v>13.759</v>
      </c>
      <c r="CI10" s="49">
        <v>3.4740000000000002</v>
      </c>
      <c r="CJ10" s="50">
        <v>3.774</v>
      </c>
      <c r="CK10" s="49">
        <v>1.7110000000000001</v>
      </c>
      <c r="CL10" s="49">
        <v>0</v>
      </c>
      <c r="CM10" s="50">
        <v>5.0999999999999996</v>
      </c>
      <c r="CN10" s="50">
        <v>0</v>
      </c>
      <c r="CO10" s="50">
        <v>0.1</v>
      </c>
      <c r="CP10" s="49">
        <v>95.903000000000006</v>
      </c>
      <c r="CQ10" s="49">
        <v>96.100999999999999</v>
      </c>
      <c r="CR10" s="49">
        <v>119.596</v>
      </c>
      <c r="CS10" s="49">
        <v>125.05200000000001</v>
      </c>
      <c r="CT10" s="49">
        <v>0.29099999999999998</v>
      </c>
      <c r="CU10" s="49">
        <v>0.499</v>
      </c>
      <c r="CV10" s="49">
        <v>0.7</v>
      </c>
      <c r="CW10" s="49">
        <v>0.90200000000000002</v>
      </c>
      <c r="CX10" s="49">
        <v>1.4</v>
      </c>
      <c r="CY10" s="49">
        <v>0.9</v>
      </c>
      <c r="CZ10" s="49">
        <v>1</v>
      </c>
      <c r="DA10" s="49">
        <v>0.90100000000000002</v>
      </c>
      <c r="DB10" s="49">
        <v>1.3</v>
      </c>
      <c r="DC10" s="50">
        <v>0</v>
      </c>
      <c r="DD10" s="50">
        <v>0</v>
      </c>
      <c r="DE10" s="49">
        <v>0.106</v>
      </c>
      <c r="DF10" s="49">
        <v>1.7000000000000001E-2</v>
      </c>
      <c r="DG10" s="50">
        <v>0.98199999999999998</v>
      </c>
      <c r="DH10" s="50">
        <v>1.2410000000000001</v>
      </c>
      <c r="DI10" s="49">
        <v>0.76900000000000002</v>
      </c>
      <c r="DJ10" s="49">
        <v>2.7E-2</v>
      </c>
      <c r="DK10" s="49">
        <v>0.45800000000000002</v>
      </c>
      <c r="DL10" s="49">
        <v>0.39800000000000002</v>
      </c>
      <c r="DM10" s="49">
        <v>0.44700000000000001</v>
      </c>
      <c r="DN10" s="50">
        <v>0.46800000000000003</v>
      </c>
      <c r="DO10" s="49">
        <v>0.38300000000000001</v>
      </c>
      <c r="DP10" s="49">
        <v>64.066000000000003</v>
      </c>
      <c r="DQ10" s="50">
        <v>59.536999999999999</v>
      </c>
      <c r="DR10" s="50">
        <v>54.149000000000001</v>
      </c>
      <c r="DS10" s="49">
        <v>51.962000000000003</v>
      </c>
      <c r="DT10" s="49">
        <v>9.51</v>
      </c>
      <c r="DU10" s="49">
        <v>13.83</v>
      </c>
      <c r="DV10" s="50">
        <v>16.02</v>
      </c>
      <c r="DW10" s="50">
        <v>12.16</v>
      </c>
      <c r="DX10" s="49">
        <v>9.77</v>
      </c>
      <c r="DY10" s="49">
        <v>14.09</v>
      </c>
      <c r="DZ10" s="50">
        <v>15.49</v>
      </c>
      <c r="EA10" s="50">
        <v>11.82</v>
      </c>
      <c r="EB10" s="49">
        <v>39.4</v>
      </c>
      <c r="EC10" s="49">
        <v>34.64</v>
      </c>
      <c r="ED10" s="49">
        <v>30.93</v>
      </c>
      <c r="EE10" s="49">
        <v>34.22</v>
      </c>
      <c r="EF10" s="49">
        <v>41.32</v>
      </c>
      <c r="EG10" s="49">
        <v>37.44</v>
      </c>
      <c r="EH10" s="49">
        <v>37.56</v>
      </c>
      <c r="EI10" s="49">
        <v>41.81</v>
      </c>
      <c r="EJ10" s="49">
        <v>6.4850000000000003</v>
      </c>
      <c r="EK10" s="49">
        <v>60.924999999999997</v>
      </c>
      <c r="EL10" s="49">
        <v>2.2000000000000002</v>
      </c>
      <c r="EM10" s="49">
        <v>1.8</v>
      </c>
      <c r="EN10" s="49">
        <v>1.1599999999999999</v>
      </c>
      <c r="EO10" s="49">
        <v>1.17</v>
      </c>
      <c r="EP10" s="50">
        <v>-118.77800000000001</v>
      </c>
      <c r="EQ10" s="49">
        <v>-2.57</v>
      </c>
      <c r="ER10" s="49">
        <v>116.282</v>
      </c>
      <c r="ES10" s="49">
        <v>1.494</v>
      </c>
      <c r="ET10" s="49">
        <v>1.6459999999999999</v>
      </c>
      <c r="EU10" s="49">
        <v>1.4470000000000001</v>
      </c>
      <c r="EV10" s="49">
        <v>7.8780000000000001</v>
      </c>
      <c r="EW10" s="49">
        <v>2.7210000000000001</v>
      </c>
      <c r="EX10" s="50">
        <v>75.010000000000005</v>
      </c>
      <c r="EY10" s="49">
        <v>0</v>
      </c>
      <c r="EZ10" s="49">
        <v>0</v>
      </c>
      <c r="FA10" s="50">
        <v>0</v>
      </c>
      <c r="FB10" s="49">
        <v>9.1430000000000007</v>
      </c>
      <c r="FC10" s="49">
        <v>72.049000000000007</v>
      </c>
      <c r="FD10" s="49">
        <v>67.191999999999993</v>
      </c>
      <c r="FE10" s="49">
        <v>83.266000000000005</v>
      </c>
      <c r="FF10" s="49">
        <v>79.281999999999996</v>
      </c>
      <c r="FG10" s="49">
        <v>0.91200000000000003</v>
      </c>
      <c r="FH10" s="49">
        <v>0.91300000000000003</v>
      </c>
      <c r="FI10" s="49">
        <v>0.996</v>
      </c>
      <c r="FJ10" s="49">
        <v>1</v>
      </c>
      <c r="FK10" s="49">
        <v>0</v>
      </c>
      <c r="FL10" s="49">
        <v>83</v>
      </c>
      <c r="FM10" s="49">
        <v>3.7</v>
      </c>
      <c r="FN10" s="49">
        <v>1.8</v>
      </c>
      <c r="FO10" s="50">
        <v>5.35</v>
      </c>
      <c r="FP10" s="3"/>
      <c r="FQ10" s="49">
        <v>4.6500000000000004</v>
      </c>
      <c r="FR10" s="49">
        <v>5.0999999999999996</v>
      </c>
      <c r="FS10" s="49">
        <v>6.7619999999999996</v>
      </c>
      <c r="FT10" s="49">
        <v>1069.3</v>
      </c>
      <c r="FU10" s="49">
        <v>6.36</v>
      </c>
      <c r="FV10" s="49">
        <v>17.71</v>
      </c>
      <c r="FW10" s="50">
        <v>3125.5</v>
      </c>
      <c r="FX10" s="49">
        <v>166500</v>
      </c>
      <c r="FY10" s="49">
        <v>168000</v>
      </c>
      <c r="FZ10" s="49">
        <v>47.305</v>
      </c>
      <c r="GA10" s="49">
        <v>47.585000000000001</v>
      </c>
      <c r="GB10" s="49">
        <v>2146.1</v>
      </c>
      <c r="GC10" s="49">
        <v>2147.8000000000002</v>
      </c>
      <c r="GD10" s="49">
        <v>2221</v>
      </c>
      <c r="GE10" s="49">
        <v>2174.8000000000002</v>
      </c>
      <c r="GF10" s="49">
        <v>1396.2344000000001</v>
      </c>
      <c r="GG10" s="49">
        <v>29</v>
      </c>
      <c r="GH10" s="49">
        <v>29.4</v>
      </c>
      <c r="GI10" s="49">
        <v>46.8</v>
      </c>
      <c r="GJ10" s="49">
        <v>51.5</v>
      </c>
      <c r="GK10" s="49">
        <v>99.5</v>
      </c>
      <c r="GL10" s="49">
        <v>77.099999999999994</v>
      </c>
      <c r="GM10" s="50">
        <v>0</v>
      </c>
      <c r="GN10" s="49">
        <v>26.353000000000002</v>
      </c>
      <c r="GO10" s="49">
        <v>118.77800000000001</v>
      </c>
      <c r="GP10" s="49">
        <v>0.53100000000000003</v>
      </c>
      <c r="GQ10" s="49">
        <v>1.9470000000000001</v>
      </c>
      <c r="GR10" s="49">
        <v>1.298</v>
      </c>
      <c r="GS10" s="49">
        <v>2.0059999999999998</v>
      </c>
      <c r="GT10" s="49">
        <v>0.70799999999999996</v>
      </c>
      <c r="GU10" s="49">
        <v>1.829</v>
      </c>
      <c r="GV10" s="49">
        <v>12.74</v>
      </c>
      <c r="GW10" s="50">
        <v>13.87</v>
      </c>
      <c r="GX10" s="49">
        <v>15.288</v>
      </c>
      <c r="GY10" s="50">
        <v>0</v>
      </c>
      <c r="GZ10" s="50">
        <v>0</v>
      </c>
      <c r="HA10" s="50">
        <v>0</v>
      </c>
      <c r="HB10" s="49">
        <v>0</v>
      </c>
      <c r="HC10" s="49">
        <v>23.216000000000001</v>
      </c>
      <c r="HD10" s="49">
        <v>78</v>
      </c>
      <c r="HE10" s="50">
        <v>0</v>
      </c>
      <c r="HF10" s="50">
        <v>0</v>
      </c>
      <c r="HG10" s="49">
        <v>70.36</v>
      </c>
      <c r="HH10" s="49">
        <v>81.180000000000007</v>
      </c>
      <c r="HI10" s="50">
        <v>0</v>
      </c>
      <c r="HJ10" s="50">
        <v>0</v>
      </c>
      <c r="HK10" s="50">
        <v>0</v>
      </c>
      <c r="HL10" s="49">
        <v>60</v>
      </c>
      <c r="HM10" s="50">
        <v>51</v>
      </c>
      <c r="HN10" s="50">
        <v>65</v>
      </c>
      <c r="HO10" s="49">
        <v>58</v>
      </c>
      <c r="HP10" s="49">
        <v>61</v>
      </c>
      <c r="HQ10" s="49">
        <v>59</v>
      </c>
      <c r="HR10" s="49">
        <v>50</v>
      </c>
      <c r="HS10" s="49">
        <v>64</v>
      </c>
      <c r="HT10" s="49">
        <v>-1.3859999999999999</v>
      </c>
      <c r="HU10" s="50">
        <v>0</v>
      </c>
      <c r="HV10" s="49">
        <v>1.0429999999999999</v>
      </c>
      <c r="HW10" s="49">
        <v>40.299999999999997</v>
      </c>
      <c r="HX10" s="50">
        <v>43.82</v>
      </c>
      <c r="HY10" s="50">
        <v>50.93</v>
      </c>
      <c r="HZ10" s="50">
        <v>62.44</v>
      </c>
      <c r="IA10" s="50">
        <v>2.8719999999999999</v>
      </c>
      <c r="IB10" s="50">
        <v>104</v>
      </c>
      <c r="IC10" s="50">
        <v>22.783999999999999</v>
      </c>
      <c r="ID10" s="49">
        <v>-0.40600000000000003</v>
      </c>
      <c r="IE10" s="49">
        <v>-0.19800000000000001</v>
      </c>
      <c r="IF10" s="49">
        <v>803.2</v>
      </c>
      <c r="IG10" s="50">
        <v>761.4</v>
      </c>
      <c r="IH10" s="49">
        <v>816</v>
      </c>
      <c r="II10" s="50">
        <v>772.6</v>
      </c>
      <c r="IJ10" s="49">
        <v>-0.01</v>
      </c>
      <c r="IK10" s="50">
        <v>3.9E-2</v>
      </c>
      <c r="IL10" s="49">
        <v>66.528999999999996</v>
      </c>
      <c r="IM10" s="49">
        <v>66.528999999999996</v>
      </c>
      <c r="IN10" s="49">
        <v>11.247</v>
      </c>
      <c r="IO10" s="50">
        <v>0.27300000000000002</v>
      </c>
      <c r="IP10" s="49">
        <v>9.77</v>
      </c>
      <c r="IQ10" s="49">
        <v>0.01</v>
      </c>
      <c r="IR10" s="49">
        <v>4.0000000000000001E-3</v>
      </c>
    </row>
    <row r="11" spans="2:252" x14ac:dyDescent="0.25">
      <c r="B11" s="2" t="s">
        <v>412</v>
      </c>
      <c r="C11" s="2" t="s">
        <v>44</v>
      </c>
      <c r="D11" s="61">
        <v>2.8026620370370371E-3</v>
      </c>
      <c r="E11" s="49">
        <v>242.15100000000001</v>
      </c>
      <c r="F11" s="49">
        <v>330.47</v>
      </c>
      <c r="G11" s="49">
        <v>5.94</v>
      </c>
      <c r="H11" s="50">
        <v>27.4</v>
      </c>
      <c r="I11" s="49">
        <v>0</v>
      </c>
      <c r="J11" s="49">
        <v>16.8</v>
      </c>
      <c r="K11" s="50">
        <v>6</v>
      </c>
      <c r="L11" s="50">
        <v>4</v>
      </c>
      <c r="M11" s="50">
        <v>7</v>
      </c>
      <c r="N11" s="50">
        <v>3</v>
      </c>
      <c r="O11" s="50">
        <v>3</v>
      </c>
      <c r="P11" s="49">
        <v>0.34899999999999998</v>
      </c>
      <c r="Q11" s="49">
        <v>0.81200000000000006</v>
      </c>
      <c r="R11" s="49">
        <v>0.23699999999999999</v>
      </c>
      <c r="S11" s="49">
        <v>0.19700000000000001</v>
      </c>
      <c r="T11" s="49">
        <v>88.02</v>
      </c>
      <c r="U11" s="49">
        <v>60.674999999999997</v>
      </c>
      <c r="V11" s="49">
        <v>248.34</v>
      </c>
      <c r="W11" s="49">
        <v>268.33999999999997</v>
      </c>
      <c r="X11" s="49">
        <v>205</v>
      </c>
      <c r="Y11" s="49">
        <v>248.34</v>
      </c>
      <c r="Z11" s="50">
        <v>390.09</v>
      </c>
      <c r="AA11" s="50">
        <v>416.13</v>
      </c>
      <c r="AB11" s="49">
        <v>312.35000000000002</v>
      </c>
      <c r="AC11" s="49">
        <v>380.22</v>
      </c>
      <c r="AD11" s="50">
        <v>1.768</v>
      </c>
      <c r="AE11" s="50">
        <v>1.821</v>
      </c>
      <c r="AF11" s="50">
        <v>1.865</v>
      </c>
      <c r="AG11" s="50">
        <v>1.9039999999999999</v>
      </c>
      <c r="AH11" s="50">
        <v>82.79</v>
      </c>
      <c r="AI11" s="50">
        <v>81.599999999999994</v>
      </c>
      <c r="AJ11" s="50">
        <v>120.81</v>
      </c>
      <c r="AK11" s="50">
        <v>110.92</v>
      </c>
      <c r="AL11" s="49">
        <v>729.89800000000002</v>
      </c>
      <c r="AM11" s="50">
        <v>999.16800000000001</v>
      </c>
      <c r="AN11" s="49">
        <v>853.976</v>
      </c>
      <c r="AO11" s="49">
        <v>783.29899999999998</v>
      </c>
      <c r="AP11" s="50">
        <v>1.4690000000000001</v>
      </c>
      <c r="AQ11" s="49">
        <v>1.9179999999999999</v>
      </c>
      <c r="AR11" s="49">
        <v>39.704000000000001</v>
      </c>
      <c r="AS11" s="49">
        <v>37.844999999999999</v>
      </c>
      <c r="AT11" s="49">
        <v>83</v>
      </c>
      <c r="AU11" s="50">
        <v>120</v>
      </c>
      <c r="AV11" s="49">
        <v>2.0225</v>
      </c>
      <c r="AW11" s="49">
        <v>4.9574999999999996</v>
      </c>
      <c r="AX11" s="49">
        <v>1017.9</v>
      </c>
      <c r="AY11" s="49">
        <v>2.39</v>
      </c>
      <c r="AZ11" s="49">
        <v>5.58</v>
      </c>
      <c r="BA11" s="50">
        <v>69.203000000000003</v>
      </c>
      <c r="BB11" s="50">
        <v>69.599999999999994</v>
      </c>
      <c r="BC11" s="49">
        <v>7769</v>
      </c>
      <c r="BD11" s="49">
        <v>89.5</v>
      </c>
      <c r="BE11" s="49">
        <v>16.635000000000002</v>
      </c>
      <c r="BF11" s="49">
        <v>14.76</v>
      </c>
      <c r="BG11" s="50">
        <v>30.53</v>
      </c>
      <c r="BH11" s="50">
        <v>28.35</v>
      </c>
      <c r="BI11" s="50">
        <v>65.491</v>
      </c>
      <c r="BJ11" s="49">
        <v>80.082999999999998</v>
      </c>
      <c r="BK11" s="50">
        <v>63.948</v>
      </c>
      <c r="BL11" s="49">
        <v>75.617999999999995</v>
      </c>
      <c r="BM11" s="50">
        <v>79.882999999999996</v>
      </c>
      <c r="BN11" s="49">
        <v>117.24</v>
      </c>
      <c r="BO11" s="49">
        <v>116.184</v>
      </c>
      <c r="BP11" s="50">
        <v>140.28</v>
      </c>
      <c r="BQ11" s="50">
        <v>144.61600000000001</v>
      </c>
      <c r="BR11" s="50">
        <v>59.651000000000003</v>
      </c>
      <c r="BS11" s="50">
        <v>27.1</v>
      </c>
      <c r="BT11" s="49">
        <v>7289.3069999999998</v>
      </c>
      <c r="BU11" s="49">
        <v>51.408999999999999</v>
      </c>
      <c r="BV11" s="49">
        <v>53.343000000000004</v>
      </c>
      <c r="BW11" s="49">
        <v>54.003</v>
      </c>
      <c r="BX11" s="49">
        <v>52.25</v>
      </c>
      <c r="BY11" s="50">
        <v>1.879</v>
      </c>
      <c r="BZ11" s="49">
        <v>3.1389999999999998</v>
      </c>
      <c r="CA11" s="49">
        <v>3.2090000000000001</v>
      </c>
      <c r="CB11" s="49">
        <v>3.7069999999999999</v>
      </c>
      <c r="CC11" s="49">
        <v>1.3620000000000001</v>
      </c>
      <c r="CD11" s="49">
        <v>2.411</v>
      </c>
      <c r="CE11" s="50">
        <v>1.5089999999999999</v>
      </c>
      <c r="CF11" s="49">
        <v>2.2330000000000001</v>
      </c>
      <c r="CG11" s="50">
        <v>13.958</v>
      </c>
      <c r="CH11" s="49">
        <v>13.746</v>
      </c>
      <c r="CI11" s="3"/>
      <c r="CJ11" s="3"/>
      <c r="CK11" s="3"/>
      <c r="CL11" s="49">
        <v>0</v>
      </c>
      <c r="CM11" s="49">
        <v>0.2</v>
      </c>
      <c r="CN11" s="50">
        <v>0</v>
      </c>
      <c r="CO11" s="49">
        <v>0</v>
      </c>
      <c r="CP11" s="49">
        <v>98.706999999999994</v>
      </c>
      <c r="CQ11" s="49">
        <v>96.540999999999997</v>
      </c>
      <c r="CR11" s="50">
        <v>128.125</v>
      </c>
      <c r="CS11" s="50">
        <v>133.369</v>
      </c>
      <c r="CT11" s="50">
        <v>0.40600000000000003</v>
      </c>
      <c r="CU11" s="50">
        <v>3.3380000000000001</v>
      </c>
      <c r="CV11" s="50">
        <v>4.1369999999999996</v>
      </c>
      <c r="CW11" s="50">
        <v>3.44</v>
      </c>
      <c r="CX11" s="50">
        <v>3.7389999999999999</v>
      </c>
      <c r="CY11" s="50">
        <v>3.2370000000000001</v>
      </c>
      <c r="CZ11" s="50">
        <v>3.04</v>
      </c>
      <c r="DA11" s="50">
        <v>3.04</v>
      </c>
      <c r="DB11" s="50">
        <v>3.8370000000000002</v>
      </c>
      <c r="DC11" s="50">
        <v>0</v>
      </c>
      <c r="DD11" s="50">
        <v>0</v>
      </c>
      <c r="DE11" s="49">
        <v>7.5999999999999998E-2</v>
      </c>
      <c r="DF11" s="49">
        <v>-6.0000000000000001E-3</v>
      </c>
      <c r="DG11" s="49">
        <v>9.5000000000000001E-2</v>
      </c>
      <c r="DH11" s="49">
        <v>0.99099999999999999</v>
      </c>
      <c r="DI11" s="49">
        <v>0.70799999999999996</v>
      </c>
      <c r="DJ11" s="49">
        <v>-2.5999999999999999E-2</v>
      </c>
      <c r="DK11" s="49">
        <v>0.63200000000000001</v>
      </c>
      <c r="DL11" s="49">
        <v>0.34899999999999998</v>
      </c>
      <c r="DM11" s="49">
        <v>0.21</v>
      </c>
      <c r="DN11" s="49">
        <v>0.42599999999999999</v>
      </c>
      <c r="DO11" s="49">
        <v>0.183</v>
      </c>
      <c r="DP11" s="49">
        <v>67.884</v>
      </c>
      <c r="DQ11" s="49">
        <v>56.326999999999998</v>
      </c>
      <c r="DR11" s="49">
        <v>53.588000000000001</v>
      </c>
      <c r="DS11" s="50">
        <v>52.481000000000002</v>
      </c>
      <c r="DT11" s="50">
        <v>10.02</v>
      </c>
      <c r="DU11" s="50">
        <v>19.77</v>
      </c>
      <c r="DV11" s="49">
        <v>15.78</v>
      </c>
      <c r="DW11" s="49">
        <v>10.88</v>
      </c>
      <c r="DX11" s="50">
        <v>10.18</v>
      </c>
      <c r="DY11" s="50">
        <v>20.04</v>
      </c>
      <c r="DZ11" s="49">
        <v>15.36</v>
      </c>
      <c r="EA11" s="49">
        <v>10.68</v>
      </c>
      <c r="EB11" s="49">
        <v>38.22</v>
      </c>
      <c r="EC11" s="49">
        <v>28.55</v>
      </c>
      <c r="ED11" s="49">
        <v>29.85</v>
      </c>
      <c r="EE11" s="50">
        <v>35.049999999999997</v>
      </c>
      <c r="EF11" s="49">
        <v>41.58</v>
      </c>
      <c r="EG11" s="49">
        <v>31.63</v>
      </c>
      <c r="EH11" s="49">
        <v>39.01</v>
      </c>
      <c r="EI11" s="49">
        <v>43.38</v>
      </c>
      <c r="EJ11" s="50">
        <v>6.9059999999999997</v>
      </c>
      <c r="EK11" s="49">
        <v>61</v>
      </c>
      <c r="EL11" s="49">
        <v>2.2000000000000002</v>
      </c>
      <c r="EM11" s="49">
        <v>1.75</v>
      </c>
      <c r="EN11" s="50">
        <v>1.17</v>
      </c>
      <c r="EO11" s="49">
        <v>1.17</v>
      </c>
      <c r="EP11" s="49">
        <v>-111.47799999999999</v>
      </c>
      <c r="EQ11" s="49">
        <v>-2.3730000000000002</v>
      </c>
      <c r="ER11" s="50">
        <v>130.006</v>
      </c>
      <c r="ES11" s="49">
        <v>1.4990000000000001</v>
      </c>
      <c r="ET11" s="49">
        <v>1.63</v>
      </c>
      <c r="EU11" s="49">
        <v>1.4419999999999999</v>
      </c>
      <c r="EV11" s="49">
        <v>7.891</v>
      </c>
      <c r="EW11" s="49">
        <v>2.766</v>
      </c>
      <c r="EX11" s="49">
        <v>72.53</v>
      </c>
      <c r="EY11" s="49">
        <v>0.10100000000000001</v>
      </c>
      <c r="EZ11" s="49">
        <v>6.8000000000000005E-2</v>
      </c>
      <c r="FA11" s="50">
        <v>0</v>
      </c>
      <c r="FB11" s="50">
        <v>9.2110000000000003</v>
      </c>
      <c r="FC11" s="50">
        <v>74.525999999999996</v>
      </c>
      <c r="FD11" s="50">
        <v>69.869</v>
      </c>
      <c r="FE11" s="50">
        <v>88.808000000000007</v>
      </c>
      <c r="FF11" s="50">
        <v>84.352000000000004</v>
      </c>
      <c r="FG11" s="49">
        <v>0.91900000000000004</v>
      </c>
      <c r="FH11" s="49">
        <v>0.91800000000000004</v>
      </c>
      <c r="FI11" s="49">
        <v>0.996</v>
      </c>
      <c r="FJ11" s="49">
        <v>1</v>
      </c>
      <c r="FK11" s="49">
        <v>0</v>
      </c>
      <c r="FL11" s="49">
        <v>83</v>
      </c>
      <c r="FM11" s="49">
        <v>3.68</v>
      </c>
      <c r="FN11" s="50">
        <v>-0.05</v>
      </c>
      <c r="FO11" s="49">
        <v>5.47</v>
      </c>
      <c r="FP11" s="50">
        <v>3.8</v>
      </c>
      <c r="FQ11" s="49">
        <v>4.3499999999999996</v>
      </c>
      <c r="FR11" s="50">
        <v>5</v>
      </c>
      <c r="FS11" s="49">
        <v>6.7030000000000003</v>
      </c>
      <c r="FT11" s="49">
        <v>1069.9000000000001</v>
      </c>
      <c r="FU11" s="49">
        <v>6.39</v>
      </c>
      <c r="FV11" s="50">
        <v>23.65</v>
      </c>
      <c r="FW11" s="49">
        <v>3083.5</v>
      </c>
      <c r="FX11" s="49">
        <v>168900</v>
      </c>
      <c r="FY11" s="49">
        <v>170600</v>
      </c>
      <c r="FZ11" s="49">
        <v>47.597000000000001</v>
      </c>
      <c r="GA11" s="49">
        <v>47.69</v>
      </c>
      <c r="GB11" s="49">
        <v>2142.1999999999998</v>
      </c>
      <c r="GC11" s="49">
        <v>2212.1</v>
      </c>
      <c r="GD11" s="49">
        <v>2188.4</v>
      </c>
      <c r="GE11" s="49">
        <v>2212.1</v>
      </c>
      <c r="GF11" s="49">
        <v>1359.5938000000001</v>
      </c>
      <c r="GG11" s="49">
        <v>30</v>
      </c>
      <c r="GH11" s="49">
        <v>30</v>
      </c>
      <c r="GI11" s="49">
        <v>47.1</v>
      </c>
      <c r="GJ11" s="49">
        <v>51.9</v>
      </c>
      <c r="GK11" s="49">
        <v>99.5</v>
      </c>
      <c r="GL11" s="49">
        <v>74.2</v>
      </c>
      <c r="GM11" s="50">
        <v>0</v>
      </c>
      <c r="GN11" s="50">
        <v>28.184000000000001</v>
      </c>
      <c r="GO11" s="50">
        <v>130.006</v>
      </c>
      <c r="GP11" s="50">
        <v>0</v>
      </c>
      <c r="GQ11" s="49">
        <v>1.8879999999999999</v>
      </c>
      <c r="GR11" s="50">
        <v>0</v>
      </c>
      <c r="GS11" s="49">
        <v>2.0059999999999998</v>
      </c>
      <c r="GT11" s="50">
        <v>0</v>
      </c>
      <c r="GU11" s="49">
        <v>1.8879999999999999</v>
      </c>
      <c r="GV11" s="50">
        <v>0</v>
      </c>
      <c r="GW11" s="49">
        <v>13.788</v>
      </c>
      <c r="GX11" s="49">
        <v>15.288</v>
      </c>
      <c r="GY11" s="50">
        <v>0</v>
      </c>
      <c r="GZ11" s="50">
        <v>0</v>
      </c>
      <c r="HA11" s="50">
        <v>0</v>
      </c>
      <c r="HB11" s="49">
        <v>0</v>
      </c>
      <c r="HC11" s="50">
        <v>23.672999999999998</v>
      </c>
      <c r="HD11" s="49">
        <v>82</v>
      </c>
      <c r="HE11" s="50">
        <v>0</v>
      </c>
      <c r="HF11" s="50">
        <v>0</v>
      </c>
      <c r="HG11" s="49">
        <v>69.66</v>
      </c>
      <c r="HH11" s="49">
        <v>81.459999999999994</v>
      </c>
      <c r="HI11" s="50">
        <v>0</v>
      </c>
      <c r="HJ11" s="50">
        <v>0</v>
      </c>
      <c r="HK11" s="50">
        <v>0</v>
      </c>
      <c r="HL11" s="49">
        <v>61</v>
      </c>
      <c r="HM11" s="50">
        <v>51</v>
      </c>
      <c r="HN11" s="50">
        <v>65</v>
      </c>
      <c r="HO11" s="50">
        <v>59</v>
      </c>
      <c r="HP11" s="50">
        <v>62</v>
      </c>
      <c r="HQ11" s="50">
        <v>60</v>
      </c>
      <c r="HR11" s="50">
        <v>51</v>
      </c>
      <c r="HS11" s="50">
        <v>70</v>
      </c>
      <c r="HT11" s="49">
        <v>-1.373</v>
      </c>
      <c r="HU11" s="50">
        <v>0</v>
      </c>
      <c r="HV11" s="49">
        <v>0.37</v>
      </c>
      <c r="HW11" s="49">
        <v>41.08</v>
      </c>
      <c r="HX11" s="50">
        <v>43.82</v>
      </c>
      <c r="HY11" s="3"/>
      <c r="HZ11" s="3"/>
      <c r="IA11" s="49">
        <v>2.75</v>
      </c>
      <c r="IB11" s="50">
        <v>104</v>
      </c>
      <c r="IC11" s="49">
        <v>22.675000000000001</v>
      </c>
      <c r="ID11" s="49">
        <v>-0.31900000000000001</v>
      </c>
      <c r="IE11" s="49">
        <v>-0.151</v>
      </c>
      <c r="IF11" s="49">
        <v>803.2</v>
      </c>
      <c r="IG11" s="49">
        <v>748</v>
      </c>
      <c r="IH11" s="49">
        <v>815</v>
      </c>
      <c r="II11" s="49">
        <v>763.1</v>
      </c>
      <c r="IJ11" s="49">
        <v>-4.0000000000000001E-3</v>
      </c>
      <c r="IK11" s="49">
        <v>1.9E-2</v>
      </c>
      <c r="IL11" s="49">
        <v>80.989999999999995</v>
      </c>
      <c r="IM11" s="49">
        <v>80.989999999999995</v>
      </c>
      <c r="IN11" s="50">
        <v>15.064</v>
      </c>
      <c r="IO11" s="49">
        <v>0.23300000000000001</v>
      </c>
      <c r="IP11" s="49">
        <v>9.73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7989A-94F1-4A27-907E-153898869E6D}">
  <sheetPr codeName="Sheet9"/>
  <dimension ref="B1:IR10"/>
  <sheetViews>
    <sheetView workbookViewId="0">
      <selection activeCell="BD5" sqref="BD5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425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4.3872685185185186E-3</v>
      </c>
      <c r="E7" s="50">
        <v>379.05599999999998</v>
      </c>
      <c r="F7" s="49">
        <v>325.39</v>
      </c>
      <c r="G7" s="49">
        <v>5.91</v>
      </c>
      <c r="H7" s="49">
        <v>27.2</v>
      </c>
      <c r="I7" s="50">
        <v>1.43</v>
      </c>
      <c r="J7" s="50">
        <v>21.8</v>
      </c>
      <c r="K7" s="50">
        <v>6</v>
      </c>
      <c r="L7" s="50">
        <v>4</v>
      </c>
      <c r="M7" s="50">
        <v>7</v>
      </c>
      <c r="N7" s="50">
        <v>3</v>
      </c>
      <c r="O7" s="50">
        <v>3</v>
      </c>
      <c r="P7" s="50">
        <v>0.64300000000000002</v>
      </c>
      <c r="Q7" s="50">
        <v>1.417</v>
      </c>
      <c r="R7" s="50">
        <v>0.63200000000000001</v>
      </c>
      <c r="S7" s="50">
        <v>0.39300000000000002</v>
      </c>
      <c r="T7" s="49">
        <v>58.38</v>
      </c>
      <c r="U7" s="50">
        <v>62.188000000000002</v>
      </c>
      <c r="V7" s="50">
        <v>197.5</v>
      </c>
      <c r="W7" s="50">
        <v>216.66</v>
      </c>
      <c r="X7" s="50">
        <v>130</v>
      </c>
      <c r="Y7" s="50">
        <v>160</v>
      </c>
      <c r="Z7" s="49">
        <v>340.89</v>
      </c>
      <c r="AA7" s="49">
        <v>358.53</v>
      </c>
      <c r="AB7" s="49">
        <v>225.07</v>
      </c>
      <c r="AC7" s="49">
        <v>281.06</v>
      </c>
      <c r="AD7" s="49">
        <v>1.6850000000000001</v>
      </c>
      <c r="AE7" s="49">
        <v>1.78</v>
      </c>
      <c r="AF7" s="49">
        <v>1.5680000000000001</v>
      </c>
      <c r="AG7" s="49">
        <v>1.641</v>
      </c>
      <c r="AH7" s="49">
        <v>59.98</v>
      </c>
      <c r="AI7" s="49">
        <v>55.8</v>
      </c>
      <c r="AJ7" s="49">
        <v>67.06</v>
      </c>
      <c r="AK7" s="49">
        <v>65.75</v>
      </c>
      <c r="AL7" s="49">
        <v>574.09500000000003</v>
      </c>
      <c r="AM7" s="49">
        <v>586.26099999999997</v>
      </c>
      <c r="AN7" s="49">
        <v>720.16899999999998</v>
      </c>
      <c r="AO7" s="49">
        <v>725.91099999999994</v>
      </c>
      <c r="AP7" s="49">
        <v>1.42</v>
      </c>
      <c r="AQ7" s="49">
        <v>1.972</v>
      </c>
      <c r="AR7" s="50">
        <v>42.524999999999999</v>
      </c>
      <c r="AS7" s="49">
        <v>38.954999999999998</v>
      </c>
      <c r="AT7" s="50">
        <v>86</v>
      </c>
      <c r="AU7" s="49">
        <v>115</v>
      </c>
      <c r="AV7" s="49">
        <v>1.9770000000000001</v>
      </c>
      <c r="AW7" s="49">
        <v>4.7946999999999997</v>
      </c>
      <c r="AX7" s="49">
        <v>1019.5</v>
      </c>
      <c r="AY7" s="50">
        <v>2.93</v>
      </c>
      <c r="AZ7" s="49">
        <v>4.9000000000000004</v>
      </c>
      <c r="BA7" s="49">
        <v>69.7</v>
      </c>
      <c r="BB7" s="49">
        <v>69.8</v>
      </c>
      <c r="BC7" s="49">
        <v>7831</v>
      </c>
      <c r="BD7" s="49">
        <v>88.5</v>
      </c>
      <c r="BE7" s="49">
        <v>15.78</v>
      </c>
      <c r="BF7" s="49">
        <v>13.23</v>
      </c>
      <c r="BG7" s="49">
        <v>28.01</v>
      </c>
      <c r="BH7" s="49">
        <v>27.51</v>
      </c>
      <c r="BI7" s="49">
        <v>65.168000000000006</v>
      </c>
      <c r="BJ7" s="50">
        <v>82.186000000000007</v>
      </c>
      <c r="BK7" s="49">
        <v>63.368000000000002</v>
      </c>
      <c r="BL7" s="50">
        <v>79.932000000000002</v>
      </c>
      <c r="BM7" s="49">
        <v>78.998000000000005</v>
      </c>
      <c r="BN7" s="50">
        <v>151.352</v>
      </c>
      <c r="BO7" s="50">
        <v>152.16800000000001</v>
      </c>
      <c r="BP7" s="49">
        <v>128.66399999999999</v>
      </c>
      <c r="BQ7" s="49">
        <v>133.816</v>
      </c>
      <c r="BR7" s="49">
        <v>57.834000000000003</v>
      </c>
      <c r="BS7" s="49">
        <v>26.9</v>
      </c>
      <c r="BT7" s="49">
        <v>7401.9380000000001</v>
      </c>
      <c r="BU7" s="50">
        <v>50.814999999999998</v>
      </c>
      <c r="BV7" s="49">
        <v>54.093000000000004</v>
      </c>
      <c r="BW7" s="50">
        <v>55.018000000000001</v>
      </c>
      <c r="BX7" s="49">
        <v>55.360999999999997</v>
      </c>
      <c r="BY7" s="50">
        <v>1.599</v>
      </c>
      <c r="BZ7" s="49">
        <v>2.3319999999999999</v>
      </c>
      <c r="CA7" s="49">
        <v>3.1909999999999998</v>
      </c>
      <c r="CB7" s="49">
        <v>2.9670000000000001</v>
      </c>
      <c r="CC7" s="49">
        <v>1.0009999999999999</v>
      </c>
      <c r="CD7" s="49">
        <v>2.274</v>
      </c>
      <c r="CE7" s="49">
        <v>1.341</v>
      </c>
      <c r="CF7" s="50">
        <v>2.1840000000000002</v>
      </c>
      <c r="CG7" s="49">
        <v>13.696999999999999</v>
      </c>
      <c r="CH7" s="50">
        <v>10.012</v>
      </c>
      <c r="CI7" s="49">
        <v>4.508</v>
      </c>
      <c r="CJ7" s="49">
        <v>3.5339999999999998</v>
      </c>
      <c r="CK7" s="49">
        <v>1.4079999999999999</v>
      </c>
      <c r="CL7" s="49">
        <v>0</v>
      </c>
      <c r="CM7" s="49">
        <v>0.2</v>
      </c>
      <c r="CN7" s="50">
        <v>0</v>
      </c>
      <c r="CO7" s="50">
        <v>0</v>
      </c>
      <c r="CP7" s="50">
        <v>113.97199999999999</v>
      </c>
      <c r="CQ7" s="50">
        <v>115.31399999999999</v>
      </c>
      <c r="CR7" s="49">
        <v>112.361</v>
      </c>
      <c r="CS7" s="49">
        <v>118.261</v>
      </c>
      <c r="CT7" s="49">
        <v>0.44900000000000001</v>
      </c>
      <c r="CU7" s="50">
        <v>1.6970000000000001</v>
      </c>
      <c r="CV7" s="50">
        <v>2.5</v>
      </c>
      <c r="CW7" s="50">
        <v>1.7010000000000001</v>
      </c>
      <c r="CX7" s="49">
        <v>1.597</v>
      </c>
      <c r="CY7" s="50">
        <v>0.998</v>
      </c>
      <c r="CZ7" s="50">
        <v>1.3</v>
      </c>
      <c r="DA7" s="49">
        <v>0.59899999999999998</v>
      </c>
      <c r="DB7" s="50">
        <v>2.5950000000000002</v>
      </c>
      <c r="DC7" s="50">
        <v>0</v>
      </c>
      <c r="DD7" s="50">
        <v>0</v>
      </c>
      <c r="DE7" s="49">
        <v>0.216</v>
      </c>
      <c r="DF7" s="50">
        <v>0.11799999999999999</v>
      </c>
      <c r="DG7" s="49">
        <v>0.161</v>
      </c>
      <c r="DH7" s="50">
        <v>2.7490000000000001</v>
      </c>
      <c r="DI7" s="49">
        <v>0.73599999999999999</v>
      </c>
      <c r="DJ7" s="50">
        <v>0.192</v>
      </c>
      <c r="DK7" s="50">
        <v>0.72199999999999998</v>
      </c>
      <c r="DL7" s="50">
        <v>0.40799999999999997</v>
      </c>
      <c r="DM7" s="50">
        <v>0.47399999999999998</v>
      </c>
      <c r="DN7" s="49">
        <v>0.08</v>
      </c>
      <c r="DO7" s="50">
        <v>0.33900000000000002</v>
      </c>
      <c r="DP7" s="49">
        <v>63.279000000000003</v>
      </c>
      <c r="DQ7" s="49">
        <v>60.139000000000003</v>
      </c>
      <c r="DR7" s="49">
        <v>50.951999999999998</v>
      </c>
      <c r="DS7" s="49">
        <v>49.823</v>
      </c>
      <c r="DT7" s="49">
        <v>3.12</v>
      </c>
      <c r="DU7" s="49">
        <v>3.43</v>
      </c>
      <c r="DV7" s="49">
        <v>6.34</v>
      </c>
      <c r="DW7" s="49">
        <v>5.16</v>
      </c>
      <c r="DX7" s="49">
        <v>3.24</v>
      </c>
      <c r="DY7" s="49">
        <v>3.36</v>
      </c>
      <c r="DZ7" s="49">
        <v>5.7</v>
      </c>
      <c r="EA7" s="49">
        <v>4.75</v>
      </c>
      <c r="EB7" s="49">
        <v>27.51</v>
      </c>
      <c r="EC7" s="49">
        <v>26.79</v>
      </c>
      <c r="ED7" s="49">
        <v>22.64</v>
      </c>
      <c r="EE7" s="49">
        <v>23.7</v>
      </c>
      <c r="EF7" s="50">
        <v>66.13</v>
      </c>
      <c r="EG7" s="50">
        <v>66.42</v>
      </c>
      <c r="EH7" s="50">
        <v>65.319999999999993</v>
      </c>
      <c r="EI7" s="50">
        <v>66.39</v>
      </c>
      <c r="EJ7" s="49">
        <v>6.4669999999999996</v>
      </c>
      <c r="EK7" s="49">
        <v>60.603000000000002</v>
      </c>
      <c r="EL7" s="50">
        <v>2.6</v>
      </c>
      <c r="EM7" s="50">
        <v>1.75</v>
      </c>
      <c r="EN7" s="50">
        <v>1.21</v>
      </c>
      <c r="EO7" s="50">
        <v>1.2</v>
      </c>
      <c r="EP7" s="49">
        <v>-108.26600000000001</v>
      </c>
      <c r="EQ7" s="50">
        <v>-1.6910000000000001</v>
      </c>
      <c r="ER7" s="49">
        <v>97.593999999999994</v>
      </c>
      <c r="ES7" s="49">
        <v>1.3029999999999999</v>
      </c>
      <c r="ET7" s="49">
        <v>1.4219999999999999</v>
      </c>
      <c r="EU7" s="49">
        <v>1.266</v>
      </c>
      <c r="EV7" s="49">
        <v>7.6769999999999996</v>
      </c>
      <c r="EW7" s="49">
        <v>2.9289999999999998</v>
      </c>
      <c r="EX7" s="49">
        <v>71.55</v>
      </c>
      <c r="EY7" s="50">
        <v>3.0609999999999999</v>
      </c>
      <c r="EZ7" s="49">
        <v>0</v>
      </c>
      <c r="FA7" s="50">
        <v>0</v>
      </c>
      <c r="FB7" s="49">
        <v>8.2959999999999994</v>
      </c>
      <c r="FC7" s="49">
        <v>57.158999999999999</v>
      </c>
      <c r="FD7" s="49">
        <v>54.116</v>
      </c>
      <c r="FE7" s="49">
        <v>54.686999999999998</v>
      </c>
      <c r="FF7" s="49">
        <v>56.301000000000002</v>
      </c>
      <c r="FG7" s="50">
        <v>0.98799999999999999</v>
      </c>
      <c r="FH7" s="50">
        <v>0.96599999999999997</v>
      </c>
      <c r="FI7" s="50">
        <v>1.0009999999999999</v>
      </c>
      <c r="FJ7" s="50">
        <v>1.004</v>
      </c>
      <c r="FK7" s="50">
        <v>0.30199999999999999</v>
      </c>
      <c r="FL7" s="50">
        <v>87</v>
      </c>
      <c r="FM7" s="49">
        <v>3.66</v>
      </c>
      <c r="FN7" s="50">
        <v>-0.47</v>
      </c>
      <c r="FO7" s="49">
        <v>4.83</v>
      </c>
      <c r="FP7" s="50">
        <v>0.4</v>
      </c>
      <c r="FQ7" s="50">
        <v>1.85</v>
      </c>
      <c r="FR7" s="49">
        <v>5.05</v>
      </c>
      <c r="FS7" s="49">
        <v>6.6074999999999999</v>
      </c>
      <c r="FT7" s="49">
        <v>1078.2</v>
      </c>
      <c r="FU7" s="49">
        <v>5.98</v>
      </c>
      <c r="FV7" s="49">
        <v>29.56</v>
      </c>
      <c r="FW7" s="49">
        <v>2952</v>
      </c>
      <c r="FX7" s="49">
        <v>165100</v>
      </c>
      <c r="FY7" s="49">
        <v>165700</v>
      </c>
      <c r="FZ7" s="50">
        <v>48.505000000000003</v>
      </c>
      <c r="GA7" s="50">
        <v>48.457999999999998</v>
      </c>
      <c r="GB7" s="49">
        <v>2142.6999999999998</v>
      </c>
      <c r="GC7" s="50">
        <v>2197</v>
      </c>
      <c r="GD7" s="49">
        <v>2179.1</v>
      </c>
      <c r="GE7" s="49">
        <v>2197</v>
      </c>
      <c r="GF7" s="50">
        <v>1461.1719000000001</v>
      </c>
      <c r="GG7" s="49">
        <v>31</v>
      </c>
      <c r="GH7" s="49">
        <v>31.4</v>
      </c>
      <c r="GI7" s="50">
        <v>55.7</v>
      </c>
      <c r="GJ7" s="50">
        <v>59.9</v>
      </c>
      <c r="GK7" s="50">
        <v>95.5</v>
      </c>
      <c r="GL7" s="50">
        <v>100.5</v>
      </c>
      <c r="GM7" s="50">
        <v>0</v>
      </c>
      <c r="GN7" s="49">
        <v>27.949000000000002</v>
      </c>
      <c r="GO7" s="49">
        <v>108.26600000000001</v>
      </c>
      <c r="GP7" s="50">
        <v>0</v>
      </c>
      <c r="GQ7" s="50">
        <v>4.13</v>
      </c>
      <c r="GR7" s="50">
        <v>0</v>
      </c>
      <c r="GS7" s="50">
        <v>4.13</v>
      </c>
      <c r="GT7" s="50">
        <v>0</v>
      </c>
      <c r="GU7" s="50">
        <v>3.9529999999999998</v>
      </c>
      <c r="GV7" s="50">
        <v>0</v>
      </c>
      <c r="GW7" s="50">
        <v>2.1000000000000001E-2</v>
      </c>
      <c r="GX7" s="50">
        <v>22.245999999999999</v>
      </c>
      <c r="GY7" s="50">
        <v>0</v>
      </c>
      <c r="GZ7" s="49">
        <v>12.233000000000001</v>
      </c>
      <c r="HA7" s="50">
        <v>21.853999999999999</v>
      </c>
      <c r="HB7" s="50">
        <v>1</v>
      </c>
      <c r="HC7" s="50">
        <v>26.664999999999999</v>
      </c>
      <c r="HD7" s="50">
        <v>90</v>
      </c>
      <c r="HE7" s="50">
        <v>0</v>
      </c>
      <c r="HF7" s="50">
        <v>0</v>
      </c>
      <c r="HG7" s="50">
        <v>74.400000000000006</v>
      </c>
      <c r="HH7" s="49">
        <v>83.61</v>
      </c>
      <c r="HI7" s="50">
        <v>0</v>
      </c>
      <c r="HJ7" s="50">
        <v>0</v>
      </c>
      <c r="HK7" s="50">
        <v>0</v>
      </c>
      <c r="HL7" s="50">
        <v>66</v>
      </c>
      <c r="HM7" s="50">
        <v>53</v>
      </c>
      <c r="HN7" s="50">
        <v>66</v>
      </c>
      <c r="HO7" s="49">
        <v>58</v>
      </c>
      <c r="HP7" s="49">
        <v>61</v>
      </c>
      <c r="HQ7" s="49">
        <v>59</v>
      </c>
      <c r="HR7" s="50">
        <v>52</v>
      </c>
      <c r="HS7" s="49">
        <v>62</v>
      </c>
      <c r="HT7" s="49">
        <v>-1.3955</v>
      </c>
      <c r="HU7" s="50">
        <v>0</v>
      </c>
      <c r="HV7" s="49">
        <v>-8.1000000000000003E-2</v>
      </c>
      <c r="HW7" s="50">
        <v>39.229999999999997</v>
      </c>
      <c r="HX7" s="49">
        <v>40.36</v>
      </c>
      <c r="HY7" s="3"/>
      <c r="HZ7" s="3"/>
      <c r="IA7" s="49">
        <v>2.6779999999999999</v>
      </c>
      <c r="IB7" s="49">
        <v>100</v>
      </c>
      <c r="IC7" s="49">
        <v>19.253</v>
      </c>
      <c r="ID7" s="50">
        <v>-0.19</v>
      </c>
      <c r="IE7" s="50">
        <v>-7.6999999999999999E-2</v>
      </c>
      <c r="IF7" s="49">
        <v>794.4</v>
      </c>
      <c r="IG7" s="49">
        <v>672.3</v>
      </c>
      <c r="IH7" s="49">
        <v>806</v>
      </c>
      <c r="II7" s="49">
        <v>688.1</v>
      </c>
      <c r="IJ7" s="50">
        <v>2.8000000000000001E-2</v>
      </c>
      <c r="IK7" s="50">
        <v>2.7E-2</v>
      </c>
      <c r="IL7" s="50">
        <v>229.57400000000001</v>
      </c>
      <c r="IM7" s="50">
        <v>229.57400000000001</v>
      </c>
      <c r="IN7" s="50">
        <v>15.933</v>
      </c>
      <c r="IO7" s="49">
        <v>0.16300000000000001</v>
      </c>
      <c r="IP7" s="50">
        <v>9.83</v>
      </c>
      <c r="IQ7" s="49">
        <v>1E-3</v>
      </c>
      <c r="IR7" s="50">
        <v>0.01</v>
      </c>
    </row>
    <row r="8" spans="2:252" ht="15" customHeight="1" x14ac:dyDescent="0.25">
      <c r="B8" s="2" t="s">
        <v>412</v>
      </c>
      <c r="C8" s="2" t="s">
        <v>42</v>
      </c>
      <c r="D8" s="61">
        <v>2.4428240740740738E-3</v>
      </c>
      <c r="E8" s="49">
        <v>211.1</v>
      </c>
      <c r="F8" s="49">
        <v>328.27</v>
      </c>
      <c r="G8" s="49">
        <v>6.16</v>
      </c>
      <c r="H8" s="49">
        <v>27.2</v>
      </c>
      <c r="I8" s="49">
        <v>0</v>
      </c>
      <c r="J8" s="49">
        <v>12.1</v>
      </c>
      <c r="K8" s="50">
        <v>6</v>
      </c>
      <c r="L8" s="50">
        <v>4</v>
      </c>
      <c r="M8" s="50">
        <v>7</v>
      </c>
      <c r="N8" s="50">
        <v>3</v>
      </c>
      <c r="O8" s="50">
        <v>3</v>
      </c>
      <c r="P8" s="49">
        <v>0.54200000000000004</v>
      </c>
      <c r="Q8" s="49">
        <v>1.296</v>
      </c>
      <c r="R8" s="49">
        <v>0.51800000000000002</v>
      </c>
      <c r="S8" s="49">
        <v>0.253</v>
      </c>
      <c r="T8" s="49">
        <v>73.55</v>
      </c>
      <c r="U8" s="49">
        <v>60.529000000000003</v>
      </c>
      <c r="V8" s="49">
        <v>280</v>
      </c>
      <c r="W8" s="49">
        <v>307</v>
      </c>
      <c r="X8" s="49">
        <v>195</v>
      </c>
      <c r="Y8" s="49">
        <v>236.66</v>
      </c>
      <c r="Z8" s="50">
        <v>413.46</v>
      </c>
      <c r="AA8" s="50">
        <v>436.52</v>
      </c>
      <c r="AB8" s="49">
        <v>317.49</v>
      </c>
      <c r="AC8" s="49">
        <v>387.57</v>
      </c>
      <c r="AD8" s="49">
        <v>1.7689999999999999</v>
      </c>
      <c r="AE8" s="49">
        <v>1.85</v>
      </c>
      <c r="AF8" s="49">
        <v>1.744</v>
      </c>
      <c r="AG8" s="49">
        <v>1.796</v>
      </c>
      <c r="AH8" s="49">
        <v>77.069999999999993</v>
      </c>
      <c r="AI8" s="49">
        <v>68.63</v>
      </c>
      <c r="AJ8" s="49">
        <v>100.53</v>
      </c>
      <c r="AK8" s="49">
        <v>96.77</v>
      </c>
      <c r="AL8" s="50">
        <v>694.56399999999996</v>
      </c>
      <c r="AM8" s="49">
        <v>673.09</v>
      </c>
      <c r="AN8" s="49">
        <v>849.65800000000002</v>
      </c>
      <c r="AO8" s="50">
        <v>814.98400000000004</v>
      </c>
      <c r="AP8" s="50">
        <v>1.427</v>
      </c>
      <c r="AQ8" s="50">
        <v>1.986</v>
      </c>
      <c r="AR8" s="49">
        <v>42.209000000000003</v>
      </c>
      <c r="AS8" s="49">
        <v>39.088000000000001</v>
      </c>
      <c r="AT8" s="49">
        <v>83</v>
      </c>
      <c r="AU8" s="49">
        <v>119</v>
      </c>
      <c r="AV8" s="49">
        <v>1.5765</v>
      </c>
      <c r="AW8" s="49">
        <v>4.9851000000000001</v>
      </c>
      <c r="AX8" s="50">
        <v>1022.7</v>
      </c>
      <c r="AY8" s="49">
        <v>2.39</v>
      </c>
      <c r="AZ8" s="50">
        <v>4.74</v>
      </c>
      <c r="BA8" s="49">
        <v>118.717</v>
      </c>
      <c r="BB8" s="49">
        <v>118.003</v>
      </c>
      <c r="BC8" s="49">
        <v>7957</v>
      </c>
      <c r="BD8" s="50">
        <v>89.75</v>
      </c>
      <c r="BE8" s="50">
        <v>17.670000000000002</v>
      </c>
      <c r="BF8" s="49">
        <v>15.14</v>
      </c>
      <c r="BG8" s="49">
        <v>29.26</v>
      </c>
      <c r="BH8" s="49">
        <v>28.01</v>
      </c>
      <c r="BI8" s="3"/>
      <c r="BJ8" s="3"/>
      <c r="BK8" s="3"/>
      <c r="BL8" s="3"/>
      <c r="BM8" s="3"/>
      <c r="BN8" s="49">
        <v>107.72</v>
      </c>
      <c r="BO8" s="49">
        <v>107.352</v>
      </c>
      <c r="BP8" s="49">
        <v>130.71199999999999</v>
      </c>
      <c r="BQ8" s="49">
        <v>134.68</v>
      </c>
      <c r="BR8" s="3"/>
      <c r="BS8" s="49">
        <v>26.9</v>
      </c>
      <c r="BT8" s="49">
        <v>7431.1239999999998</v>
      </c>
      <c r="BU8" s="49">
        <v>49.871000000000002</v>
      </c>
      <c r="BV8" s="49">
        <v>53.268000000000001</v>
      </c>
      <c r="BW8" s="49">
        <v>54.265000000000001</v>
      </c>
      <c r="BX8" s="49">
        <v>55.268000000000001</v>
      </c>
      <c r="BY8" s="49">
        <v>1.3149999999999999</v>
      </c>
      <c r="BZ8" s="49">
        <v>3.0529999999999999</v>
      </c>
      <c r="CA8" s="49">
        <v>3.4540000000000002</v>
      </c>
      <c r="CB8" s="50">
        <v>4.1769999999999996</v>
      </c>
      <c r="CC8" s="49">
        <v>1.08</v>
      </c>
      <c r="CD8" s="49">
        <v>2.3290000000000002</v>
      </c>
      <c r="CE8" s="50">
        <v>1.373</v>
      </c>
      <c r="CF8" s="49">
        <v>2.1779999999999999</v>
      </c>
      <c r="CG8" s="49">
        <v>13.942</v>
      </c>
      <c r="CH8" s="49">
        <v>13.8</v>
      </c>
      <c r="CI8" s="50">
        <v>5.0519999999999996</v>
      </c>
      <c r="CJ8" s="50">
        <v>3.6680000000000001</v>
      </c>
      <c r="CK8" s="50">
        <v>1.6479999999999999</v>
      </c>
      <c r="CL8" s="49">
        <v>0</v>
      </c>
      <c r="CM8" s="50">
        <v>2</v>
      </c>
      <c r="CN8" s="50">
        <v>0</v>
      </c>
      <c r="CO8" s="50">
        <v>0</v>
      </c>
      <c r="CP8" s="49">
        <v>102.34</v>
      </c>
      <c r="CQ8" s="49">
        <v>102.949</v>
      </c>
      <c r="CR8" s="49">
        <v>118.357</v>
      </c>
      <c r="CS8" s="49">
        <v>124.435</v>
      </c>
      <c r="CT8" s="49">
        <v>0.379</v>
      </c>
      <c r="CU8" s="49">
        <v>1</v>
      </c>
      <c r="CV8" s="49">
        <v>1.4</v>
      </c>
      <c r="CW8" s="49">
        <v>0.79800000000000004</v>
      </c>
      <c r="CX8" s="49">
        <v>1.097</v>
      </c>
      <c r="CY8" s="49">
        <v>0.79600000000000004</v>
      </c>
      <c r="CZ8" s="49">
        <v>1.2989999999999999</v>
      </c>
      <c r="DA8" s="50">
        <v>1.3009999999999999</v>
      </c>
      <c r="DB8" s="49">
        <v>1.296</v>
      </c>
      <c r="DC8" s="50">
        <v>0</v>
      </c>
      <c r="DD8" s="50">
        <v>0</v>
      </c>
      <c r="DE8" s="50">
        <v>0.22900000000000001</v>
      </c>
      <c r="DF8" s="49">
        <v>7.1999999999999995E-2</v>
      </c>
      <c r="DG8" s="50">
        <v>1.3049999999999999</v>
      </c>
      <c r="DH8" s="49">
        <v>2.5870000000000002</v>
      </c>
      <c r="DI8" s="50">
        <v>0.98899999999999999</v>
      </c>
      <c r="DJ8" s="49">
        <v>0.11799999999999999</v>
      </c>
      <c r="DK8" s="49">
        <v>0.65800000000000003</v>
      </c>
      <c r="DL8" s="49">
        <v>0.40300000000000002</v>
      </c>
      <c r="DM8" s="49">
        <v>0.442</v>
      </c>
      <c r="DN8" s="49">
        <v>0.28599999999999998</v>
      </c>
      <c r="DO8" s="49">
        <v>0.309</v>
      </c>
      <c r="DP8" s="49">
        <v>64.42</v>
      </c>
      <c r="DQ8" s="49">
        <v>60.731000000000002</v>
      </c>
      <c r="DR8" s="49">
        <v>54.09</v>
      </c>
      <c r="DS8" s="49">
        <v>52.039000000000001</v>
      </c>
      <c r="DT8" s="49">
        <v>7.04</v>
      </c>
      <c r="DU8" s="49">
        <v>6.87</v>
      </c>
      <c r="DV8" s="49">
        <v>14.04</v>
      </c>
      <c r="DW8" s="49">
        <v>10.77</v>
      </c>
      <c r="DX8" s="49">
        <v>7.22</v>
      </c>
      <c r="DY8" s="49">
        <v>7.16</v>
      </c>
      <c r="DZ8" s="49">
        <v>13.17</v>
      </c>
      <c r="EA8" s="49">
        <v>10.48</v>
      </c>
      <c r="EB8" s="49">
        <v>41.48</v>
      </c>
      <c r="EC8" s="49">
        <v>40.89</v>
      </c>
      <c r="ED8" s="49">
        <v>31.87</v>
      </c>
      <c r="EE8" s="49">
        <v>35.21</v>
      </c>
      <c r="EF8" s="49">
        <v>44.26</v>
      </c>
      <c r="EG8" s="49">
        <v>45.08</v>
      </c>
      <c r="EH8" s="49">
        <v>40.92</v>
      </c>
      <c r="EI8" s="49">
        <v>43.54</v>
      </c>
      <c r="EJ8" s="49">
        <v>6.7649999999999997</v>
      </c>
      <c r="EK8" s="49">
        <v>61.347999999999999</v>
      </c>
      <c r="EL8" s="49">
        <v>2.15</v>
      </c>
      <c r="EM8" s="50">
        <v>1.75</v>
      </c>
      <c r="EN8" s="49">
        <v>1.18</v>
      </c>
      <c r="EO8" s="49">
        <v>1.18</v>
      </c>
      <c r="EP8" s="49">
        <v>-109.142</v>
      </c>
      <c r="EQ8" s="49">
        <v>-2.7149999999999999</v>
      </c>
      <c r="ER8" s="49">
        <v>99.346000000000004</v>
      </c>
      <c r="ES8" s="50">
        <v>1.4279999999999999</v>
      </c>
      <c r="ET8" s="50">
        <v>1.6259999999999999</v>
      </c>
      <c r="EU8" s="49">
        <v>1.4159999999999999</v>
      </c>
      <c r="EV8" s="49">
        <v>7.6980000000000004</v>
      </c>
      <c r="EW8" s="49">
        <v>2.9180000000000001</v>
      </c>
      <c r="EX8" s="49">
        <v>76.66</v>
      </c>
      <c r="EY8" s="49">
        <v>0</v>
      </c>
      <c r="EZ8" s="49">
        <v>5.0999999999999997E-2</v>
      </c>
      <c r="FA8" s="50">
        <v>0</v>
      </c>
      <c r="FB8" s="49">
        <v>9.1440000000000001</v>
      </c>
      <c r="FC8" s="49">
        <v>67.635000000000005</v>
      </c>
      <c r="FD8" s="49">
        <v>62.040999999999997</v>
      </c>
      <c r="FE8" s="49">
        <v>72.290999999999997</v>
      </c>
      <c r="FF8" s="49">
        <v>71.165999999999997</v>
      </c>
      <c r="FG8" s="49">
        <v>0.91800000000000004</v>
      </c>
      <c r="FH8" s="49">
        <v>0.91800000000000004</v>
      </c>
      <c r="FI8" s="49">
        <v>0.996</v>
      </c>
      <c r="FJ8" s="49">
        <v>1.002</v>
      </c>
      <c r="FK8" s="49">
        <v>0</v>
      </c>
      <c r="FL8" s="49">
        <v>83</v>
      </c>
      <c r="FM8" s="49">
        <v>3.67</v>
      </c>
      <c r="FN8" s="49">
        <v>-0.35</v>
      </c>
      <c r="FO8" s="50">
        <v>4.7300000000000004</v>
      </c>
      <c r="FP8" s="3"/>
      <c r="FQ8" s="49">
        <v>4.9000000000000004</v>
      </c>
      <c r="FR8" s="49">
        <v>5.15</v>
      </c>
      <c r="FS8" s="49">
        <v>6.5415000000000001</v>
      </c>
      <c r="FT8" s="50">
        <v>1086.8</v>
      </c>
      <c r="FU8" s="49">
        <v>6.12</v>
      </c>
      <c r="FV8" s="49">
        <v>35.72</v>
      </c>
      <c r="FW8" s="49">
        <v>2909.5</v>
      </c>
      <c r="FX8" s="50">
        <v>166000</v>
      </c>
      <c r="FY8" s="50">
        <v>166100</v>
      </c>
      <c r="FZ8" s="49">
        <v>47.570999999999998</v>
      </c>
      <c r="GA8" s="49">
        <v>47.747</v>
      </c>
      <c r="GB8" s="49">
        <v>2149</v>
      </c>
      <c r="GC8" s="49">
        <v>2158.1999999999998</v>
      </c>
      <c r="GD8" s="49">
        <v>2202</v>
      </c>
      <c r="GE8" s="50">
        <v>2201.8000000000002</v>
      </c>
      <c r="GF8" s="49">
        <v>1395.1094000000001</v>
      </c>
      <c r="GG8" s="49">
        <v>32</v>
      </c>
      <c r="GH8" s="49">
        <v>31.8</v>
      </c>
      <c r="GI8" s="49">
        <v>48.8</v>
      </c>
      <c r="GJ8" s="49">
        <v>54.2</v>
      </c>
      <c r="GK8" s="49">
        <v>99.5</v>
      </c>
      <c r="GL8" s="49">
        <v>89.7</v>
      </c>
      <c r="GM8" s="50">
        <v>0</v>
      </c>
      <c r="GN8" s="49">
        <v>27.423999999999999</v>
      </c>
      <c r="GO8" s="49">
        <v>109.142</v>
      </c>
      <c r="GP8" s="49">
        <v>0.53100000000000003</v>
      </c>
      <c r="GQ8" s="49">
        <v>1.8879999999999999</v>
      </c>
      <c r="GR8" s="49">
        <v>0.82599999999999996</v>
      </c>
      <c r="GS8" s="49">
        <v>2.0059999999999998</v>
      </c>
      <c r="GT8" s="49">
        <v>0.59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12.054</v>
      </c>
      <c r="GZ8" s="50">
        <v>13.901999999999999</v>
      </c>
      <c r="HA8" s="49">
        <v>15.875999999999999</v>
      </c>
      <c r="HB8" s="49">
        <v>0</v>
      </c>
      <c r="HC8" s="49">
        <v>23.393000000000001</v>
      </c>
      <c r="HD8" s="49">
        <v>78</v>
      </c>
      <c r="HE8" s="50">
        <v>0</v>
      </c>
      <c r="HF8" s="50">
        <v>0</v>
      </c>
      <c r="HG8" s="49">
        <v>71.650000000000006</v>
      </c>
      <c r="HH8" s="50">
        <v>83.81</v>
      </c>
      <c r="HI8" s="50">
        <v>0</v>
      </c>
      <c r="HJ8" s="50">
        <v>0</v>
      </c>
      <c r="HK8" s="50">
        <v>0</v>
      </c>
      <c r="HL8" s="49">
        <v>62</v>
      </c>
      <c r="HM8" s="49">
        <v>52</v>
      </c>
      <c r="HN8" s="49">
        <v>65</v>
      </c>
      <c r="HO8" s="50">
        <v>59</v>
      </c>
      <c r="HP8" s="49">
        <v>61</v>
      </c>
      <c r="HQ8" s="49">
        <v>59</v>
      </c>
      <c r="HR8" s="50">
        <v>52</v>
      </c>
      <c r="HS8" s="49">
        <v>66</v>
      </c>
      <c r="HT8" s="50">
        <v>-1.4319999999999999</v>
      </c>
      <c r="HU8" s="50">
        <v>0</v>
      </c>
      <c r="HV8" s="49">
        <v>0.30199999999999999</v>
      </c>
      <c r="HW8" s="50">
        <v>39.229999999999997</v>
      </c>
      <c r="HX8" s="50">
        <v>37.46</v>
      </c>
      <c r="HY8" s="49">
        <v>50.51</v>
      </c>
      <c r="HZ8" s="49">
        <v>61.19</v>
      </c>
      <c r="IA8" s="49">
        <v>2.9460000000000002</v>
      </c>
      <c r="IB8" s="49">
        <v>104</v>
      </c>
      <c r="IC8" s="49">
        <v>22.715</v>
      </c>
      <c r="ID8" s="49">
        <v>-0.33500000000000002</v>
      </c>
      <c r="IE8" s="49">
        <v>-0.13600000000000001</v>
      </c>
      <c r="IF8" s="49">
        <v>802</v>
      </c>
      <c r="IG8" s="49">
        <v>756.7</v>
      </c>
      <c r="IH8" s="49">
        <v>809.1</v>
      </c>
      <c r="II8" s="50">
        <v>769.1</v>
      </c>
      <c r="IJ8" s="49">
        <v>-2.1000000000000001E-2</v>
      </c>
      <c r="IK8" s="49">
        <v>1.6E-2</v>
      </c>
      <c r="IL8" s="49">
        <v>66.849999999999994</v>
      </c>
      <c r="IM8" s="49">
        <v>66.849999999999994</v>
      </c>
      <c r="IN8" s="49">
        <v>12.394</v>
      </c>
      <c r="IO8" s="49">
        <v>0.23100000000000001</v>
      </c>
      <c r="IP8" s="49">
        <v>9.5</v>
      </c>
      <c r="IQ8" s="49">
        <v>8.9999999999999993E-3</v>
      </c>
      <c r="IR8" s="49">
        <v>4.0000000000000001E-3</v>
      </c>
    </row>
    <row r="9" spans="2:252" x14ac:dyDescent="0.25">
      <c r="B9" s="2" t="s">
        <v>412</v>
      </c>
      <c r="C9" s="62" t="s">
        <v>43</v>
      </c>
      <c r="D9" s="63">
        <v>2.4230324074074076E-3</v>
      </c>
      <c r="E9" s="49">
        <v>209.39</v>
      </c>
      <c r="F9" s="50">
        <v>328.49</v>
      </c>
      <c r="G9" s="50">
        <v>6.18</v>
      </c>
      <c r="H9" s="50">
        <v>27.4</v>
      </c>
      <c r="I9" s="49">
        <v>0</v>
      </c>
      <c r="J9" s="49">
        <v>10.4</v>
      </c>
      <c r="K9" s="50">
        <v>6</v>
      </c>
      <c r="L9" s="50">
        <v>4</v>
      </c>
      <c r="M9" s="50">
        <v>7</v>
      </c>
      <c r="N9" s="50">
        <v>3</v>
      </c>
      <c r="O9" s="50">
        <v>3</v>
      </c>
      <c r="P9" s="49">
        <v>0.28599999999999998</v>
      </c>
      <c r="Q9" s="49">
        <v>0.92100000000000004</v>
      </c>
      <c r="R9" s="49">
        <v>9.6000000000000002E-2</v>
      </c>
      <c r="S9" s="49">
        <v>0.17499999999999999</v>
      </c>
      <c r="T9" s="50">
        <v>82.72</v>
      </c>
      <c r="U9" s="49">
        <v>60.125</v>
      </c>
      <c r="V9" s="49">
        <v>251.66</v>
      </c>
      <c r="W9" s="49">
        <v>288.33999999999997</v>
      </c>
      <c r="X9" s="49">
        <v>211.66</v>
      </c>
      <c r="Y9" s="49">
        <v>258.33999999999997</v>
      </c>
      <c r="Z9" s="49">
        <v>391.44</v>
      </c>
      <c r="AA9" s="49">
        <v>424.06</v>
      </c>
      <c r="AB9" s="50">
        <v>328.96</v>
      </c>
      <c r="AC9" s="50">
        <v>402.65</v>
      </c>
      <c r="AD9" s="49">
        <v>1.8069999999999999</v>
      </c>
      <c r="AE9" s="49">
        <v>1.881</v>
      </c>
      <c r="AF9" s="49">
        <v>1.8380000000000001</v>
      </c>
      <c r="AG9" s="49">
        <v>1.883</v>
      </c>
      <c r="AH9" s="50">
        <v>82.91</v>
      </c>
      <c r="AI9" s="50">
        <v>73.16</v>
      </c>
      <c r="AJ9" s="49">
        <v>113.31</v>
      </c>
      <c r="AK9" s="49">
        <v>108.98</v>
      </c>
      <c r="AL9" s="49">
        <v>689.09</v>
      </c>
      <c r="AM9" s="50">
        <v>685.53499999999997</v>
      </c>
      <c r="AN9" s="50">
        <v>887.22299999999996</v>
      </c>
      <c r="AO9" s="49">
        <v>803.75099999999998</v>
      </c>
      <c r="AP9" s="49">
        <v>1.411</v>
      </c>
      <c r="AQ9" s="49">
        <v>1.95</v>
      </c>
      <c r="AR9" s="49">
        <v>41.917999999999999</v>
      </c>
      <c r="AS9" s="49">
        <v>38.238</v>
      </c>
      <c r="AT9" s="49">
        <v>83</v>
      </c>
      <c r="AU9" s="49">
        <v>121</v>
      </c>
      <c r="AV9" s="50">
        <v>1.482</v>
      </c>
      <c r="AW9" s="50">
        <v>5.0186000000000002</v>
      </c>
      <c r="AX9" s="49">
        <v>1018.2</v>
      </c>
      <c r="AY9" s="49">
        <v>2.39</v>
      </c>
      <c r="AZ9" s="49">
        <v>4.9400000000000004</v>
      </c>
      <c r="BA9" s="49">
        <v>106.441</v>
      </c>
      <c r="BB9" s="49">
        <v>107.447</v>
      </c>
      <c r="BC9" s="50">
        <v>8054</v>
      </c>
      <c r="BD9" s="49">
        <v>89</v>
      </c>
      <c r="BE9" s="49">
        <v>17.405000000000001</v>
      </c>
      <c r="BF9" s="50">
        <v>15.34</v>
      </c>
      <c r="BG9" s="50">
        <v>30.28</v>
      </c>
      <c r="BH9" s="50">
        <v>29.58</v>
      </c>
      <c r="BI9" s="3"/>
      <c r="BJ9" s="3"/>
      <c r="BK9" s="3"/>
      <c r="BL9" s="3"/>
      <c r="BM9" s="3"/>
      <c r="BN9" s="49">
        <v>105.896</v>
      </c>
      <c r="BO9" s="49">
        <v>106.392</v>
      </c>
      <c r="BP9" s="49">
        <v>135.91200000000001</v>
      </c>
      <c r="BQ9" s="49">
        <v>141.06399999999999</v>
      </c>
      <c r="BR9" s="3"/>
      <c r="BS9" s="50">
        <v>27.1</v>
      </c>
      <c r="BT9" s="50">
        <v>7442.5240000000003</v>
      </c>
      <c r="BU9" s="49">
        <v>50.131</v>
      </c>
      <c r="BV9" s="50">
        <v>54.164999999999999</v>
      </c>
      <c r="BW9" s="49">
        <v>54.113</v>
      </c>
      <c r="BX9" s="49">
        <v>55.043999999999997</v>
      </c>
      <c r="BY9" s="49">
        <v>1.4550000000000001</v>
      </c>
      <c r="BZ9" s="50">
        <v>3.11</v>
      </c>
      <c r="CA9" s="50">
        <v>3.976</v>
      </c>
      <c r="CB9" s="49">
        <v>3.669</v>
      </c>
      <c r="CC9" s="50">
        <v>1.2</v>
      </c>
      <c r="CD9" s="50">
        <v>2.335</v>
      </c>
      <c r="CE9" s="49">
        <v>1.369</v>
      </c>
      <c r="CF9" s="49">
        <v>2.149</v>
      </c>
      <c r="CG9" s="49">
        <v>13.939</v>
      </c>
      <c r="CH9" s="49">
        <v>13.781000000000001</v>
      </c>
      <c r="CI9" s="49">
        <v>4.782</v>
      </c>
      <c r="CJ9" s="49">
        <v>3.4980000000000002</v>
      </c>
      <c r="CK9" s="49">
        <v>1.456</v>
      </c>
      <c r="CL9" s="50">
        <v>0.1</v>
      </c>
      <c r="CM9" s="49">
        <v>0.3</v>
      </c>
      <c r="CN9" s="50">
        <v>0</v>
      </c>
      <c r="CO9" s="50">
        <v>0</v>
      </c>
      <c r="CP9" s="49">
        <v>98.921999999999997</v>
      </c>
      <c r="CQ9" s="49">
        <v>101.74299999999999</v>
      </c>
      <c r="CR9" s="49">
        <v>128.85499999999999</v>
      </c>
      <c r="CS9" s="49">
        <v>134.90199999999999</v>
      </c>
      <c r="CT9" s="49">
        <v>0.39100000000000001</v>
      </c>
      <c r="CU9" s="49">
        <v>0.79900000000000004</v>
      </c>
      <c r="CV9" s="49">
        <v>1.103</v>
      </c>
      <c r="CW9" s="49">
        <v>1.202</v>
      </c>
      <c r="CX9" s="49">
        <v>1.6990000000000001</v>
      </c>
      <c r="CY9" s="50">
        <v>0.998</v>
      </c>
      <c r="CZ9" s="49">
        <v>1.198</v>
      </c>
      <c r="DA9" s="49">
        <v>0.79900000000000004</v>
      </c>
      <c r="DB9" s="49">
        <v>1.8</v>
      </c>
      <c r="DC9" s="50">
        <v>0</v>
      </c>
      <c r="DD9" s="50">
        <v>0</v>
      </c>
      <c r="DE9" s="49">
        <v>0.13700000000000001</v>
      </c>
      <c r="DF9" s="49">
        <v>5.3999999999999999E-2</v>
      </c>
      <c r="DG9" s="49">
        <v>0.68300000000000005</v>
      </c>
      <c r="DH9" s="49">
        <v>1.9159999999999999</v>
      </c>
      <c r="DI9" s="49">
        <v>0.66500000000000004</v>
      </c>
      <c r="DJ9" s="49">
        <v>-4.2999999999999997E-2</v>
      </c>
      <c r="DK9" s="49">
        <v>0.48199999999999998</v>
      </c>
      <c r="DL9" s="49">
        <v>0.40100000000000002</v>
      </c>
      <c r="DM9" s="49">
        <v>-0.95099999999999996</v>
      </c>
      <c r="DN9" s="49">
        <v>-6.69</v>
      </c>
      <c r="DO9" s="49">
        <v>0.23100000000000001</v>
      </c>
      <c r="DP9" s="49">
        <v>65.481999999999999</v>
      </c>
      <c r="DQ9" s="50">
        <v>61.500999999999998</v>
      </c>
      <c r="DR9" s="50">
        <v>55.179000000000002</v>
      </c>
      <c r="DS9" s="50">
        <v>52.686</v>
      </c>
      <c r="DT9" s="50">
        <v>7.16</v>
      </c>
      <c r="DU9" s="50">
        <v>6.98</v>
      </c>
      <c r="DV9" s="50">
        <v>14.26</v>
      </c>
      <c r="DW9" s="50">
        <v>10.95</v>
      </c>
      <c r="DX9" s="50">
        <v>7.24</v>
      </c>
      <c r="DY9" s="50">
        <v>7.25</v>
      </c>
      <c r="DZ9" s="50">
        <v>13.54</v>
      </c>
      <c r="EA9" s="50">
        <v>11</v>
      </c>
      <c r="EB9" s="49">
        <v>41.33</v>
      </c>
      <c r="EC9" s="49">
        <v>41.21</v>
      </c>
      <c r="ED9" s="49">
        <v>31.54</v>
      </c>
      <c r="EE9" s="50">
        <v>35.42</v>
      </c>
      <c r="EF9" s="49">
        <v>44.27</v>
      </c>
      <c r="EG9" s="49">
        <v>44.56</v>
      </c>
      <c r="EH9" s="49">
        <v>40.65</v>
      </c>
      <c r="EI9" s="49">
        <v>42.63</v>
      </c>
      <c r="EJ9" s="49">
        <v>6.851</v>
      </c>
      <c r="EK9" s="49">
        <v>61.427999999999997</v>
      </c>
      <c r="EL9" s="49">
        <v>2.25</v>
      </c>
      <c r="EM9" s="50">
        <v>1.75</v>
      </c>
      <c r="EN9" s="49">
        <v>1.17</v>
      </c>
      <c r="EO9" s="49">
        <v>1.17</v>
      </c>
      <c r="EP9" s="50">
        <v>-113.52200000000001</v>
      </c>
      <c r="EQ9" s="49">
        <v>-2.621</v>
      </c>
      <c r="ER9" s="50">
        <v>105.47799999999999</v>
      </c>
      <c r="ES9" s="49">
        <v>1.3979999999999999</v>
      </c>
      <c r="ET9" s="49">
        <v>1.6020000000000001</v>
      </c>
      <c r="EU9" s="49">
        <v>1.391</v>
      </c>
      <c r="EV9" s="49">
        <v>7.7290000000000001</v>
      </c>
      <c r="EW9" s="49">
        <v>2.919</v>
      </c>
      <c r="EX9" s="50">
        <v>76.84</v>
      </c>
      <c r="EY9" s="49">
        <v>0</v>
      </c>
      <c r="EZ9" s="49">
        <v>0</v>
      </c>
      <c r="FA9" s="50">
        <v>0</v>
      </c>
      <c r="FB9" s="49">
        <v>9.1359999999999992</v>
      </c>
      <c r="FC9" s="49">
        <v>73.069000000000003</v>
      </c>
      <c r="FD9" s="49">
        <v>66.691999999999993</v>
      </c>
      <c r="FE9" s="49">
        <v>84.167000000000002</v>
      </c>
      <c r="FF9" s="49">
        <v>81.843999999999994</v>
      </c>
      <c r="FG9" s="49">
        <v>0.91800000000000004</v>
      </c>
      <c r="FH9" s="49">
        <v>0.91800000000000004</v>
      </c>
      <c r="FI9" s="49">
        <v>0.996</v>
      </c>
      <c r="FJ9" s="49">
        <v>1.0009999999999999</v>
      </c>
      <c r="FK9" s="49">
        <v>0</v>
      </c>
      <c r="FL9" s="49">
        <v>83</v>
      </c>
      <c r="FM9" s="50">
        <v>3.69</v>
      </c>
      <c r="FN9" s="49">
        <v>0</v>
      </c>
      <c r="FO9" s="49">
        <v>4.92</v>
      </c>
      <c r="FP9" s="3"/>
      <c r="FQ9" s="49">
        <v>4.9000000000000004</v>
      </c>
      <c r="FR9" s="50">
        <v>4.95</v>
      </c>
      <c r="FS9" s="50">
        <v>6.6315</v>
      </c>
      <c r="FT9" s="49">
        <v>1071.0999999999999</v>
      </c>
      <c r="FU9" s="49">
        <v>6.22</v>
      </c>
      <c r="FV9" s="49">
        <v>41.89</v>
      </c>
      <c r="FW9" s="49">
        <v>2902.5</v>
      </c>
      <c r="FX9" s="49">
        <v>162700</v>
      </c>
      <c r="FY9" s="49">
        <v>164300</v>
      </c>
      <c r="FZ9" s="49">
        <v>47.253999999999998</v>
      </c>
      <c r="GA9" s="49">
        <v>47.280999999999999</v>
      </c>
      <c r="GB9" s="49">
        <v>2143.6</v>
      </c>
      <c r="GC9" s="49">
        <v>2147.6</v>
      </c>
      <c r="GD9" s="50">
        <v>2390.8000000000002</v>
      </c>
      <c r="GE9" s="49">
        <v>2179.1999999999998</v>
      </c>
      <c r="GF9" s="49">
        <v>1327.3905999999999</v>
      </c>
      <c r="GG9" s="50">
        <v>33</v>
      </c>
      <c r="GH9" s="49">
        <v>32.5</v>
      </c>
      <c r="GI9" s="49">
        <v>47.6</v>
      </c>
      <c r="GJ9" s="49">
        <v>52.5</v>
      </c>
      <c r="GK9" s="49">
        <v>99.5</v>
      </c>
      <c r="GL9" s="49">
        <v>90.3</v>
      </c>
      <c r="GM9" s="50">
        <v>0</v>
      </c>
      <c r="GN9" s="49">
        <v>27.596</v>
      </c>
      <c r="GO9" s="50">
        <v>113.52200000000001</v>
      </c>
      <c r="GP9" s="49">
        <v>0.41299999999999998</v>
      </c>
      <c r="GQ9" s="49">
        <v>1.8879999999999999</v>
      </c>
      <c r="GR9" s="49">
        <v>0.70799999999999996</v>
      </c>
      <c r="GS9" s="49">
        <v>2.0059999999999998</v>
      </c>
      <c r="GT9" s="49">
        <v>0.53100000000000003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12.544</v>
      </c>
      <c r="GZ9" s="49">
        <v>13.866</v>
      </c>
      <c r="HA9" s="49">
        <v>16.170000000000002</v>
      </c>
      <c r="HB9" s="49">
        <v>0</v>
      </c>
      <c r="HC9" s="49">
        <v>23.425999999999998</v>
      </c>
      <c r="HD9" s="49">
        <v>78</v>
      </c>
      <c r="HE9" s="50">
        <v>0</v>
      </c>
      <c r="HF9" s="50">
        <v>0</v>
      </c>
      <c r="HG9" s="49">
        <v>71.08</v>
      </c>
      <c r="HH9" s="49">
        <v>83.5</v>
      </c>
      <c r="HI9" s="50">
        <v>0</v>
      </c>
      <c r="HJ9" s="50">
        <v>0</v>
      </c>
      <c r="HK9" s="50">
        <v>0</v>
      </c>
      <c r="HL9" s="49">
        <v>62</v>
      </c>
      <c r="HM9" s="49">
        <v>52</v>
      </c>
      <c r="HN9" s="49">
        <v>65</v>
      </c>
      <c r="HO9" s="50">
        <v>59</v>
      </c>
      <c r="HP9" s="50">
        <v>62</v>
      </c>
      <c r="HQ9" s="50">
        <v>60</v>
      </c>
      <c r="HR9" s="49">
        <v>51</v>
      </c>
      <c r="HS9" s="50">
        <v>70</v>
      </c>
      <c r="HT9" s="49">
        <v>-1.4105000000000001</v>
      </c>
      <c r="HU9" s="50">
        <v>0</v>
      </c>
      <c r="HV9" s="50">
        <v>0.42</v>
      </c>
      <c r="HW9" s="49">
        <v>40.5</v>
      </c>
      <c r="HX9" s="50">
        <v>37.46</v>
      </c>
      <c r="HY9" s="50">
        <v>51.13</v>
      </c>
      <c r="HZ9" s="50">
        <v>61.89</v>
      </c>
      <c r="IA9" s="50">
        <v>3.1110000000000002</v>
      </c>
      <c r="IB9" s="50">
        <v>105</v>
      </c>
      <c r="IC9" s="50">
        <v>22.952999999999999</v>
      </c>
      <c r="ID9" s="49">
        <v>-0.39900000000000002</v>
      </c>
      <c r="IE9" s="49">
        <v>-0.159</v>
      </c>
      <c r="IF9" s="49">
        <v>804.4</v>
      </c>
      <c r="IG9" s="50">
        <v>756.8</v>
      </c>
      <c r="IH9" s="49">
        <v>802.6</v>
      </c>
      <c r="II9" s="49">
        <v>767.8</v>
      </c>
      <c r="IJ9" s="49">
        <v>-0.02</v>
      </c>
      <c r="IK9" s="49">
        <v>0</v>
      </c>
      <c r="IL9" s="49">
        <v>64.703999999999994</v>
      </c>
      <c r="IM9" s="49">
        <v>64.703999999999994</v>
      </c>
      <c r="IN9" s="49">
        <v>11.096</v>
      </c>
      <c r="IO9" s="50">
        <v>0.24399999999999999</v>
      </c>
      <c r="IP9" s="49">
        <v>9.48</v>
      </c>
      <c r="IQ9" s="50">
        <v>1.0999999999999999E-2</v>
      </c>
      <c r="IR9" s="49">
        <v>6.0000000000000001E-3</v>
      </c>
    </row>
    <row r="10" spans="2:252" x14ac:dyDescent="0.25">
      <c r="B10" s="2" t="s">
        <v>412</v>
      </c>
      <c r="C10" s="2" t="s">
        <v>44</v>
      </c>
      <c r="D10" s="61">
        <v>2.8606481481481482E-3</v>
      </c>
      <c r="E10" s="49">
        <v>247.16300000000001</v>
      </c>
      <c r="F10" s="49">
        <v>326.7</v>
      </c>
      <c r="G10" s="49">
        <v>5.98</v>
      </c>
      <c r="H10" s="49">
        <v>27.3</v>
      </c>
      <c r="I10" s="49">
        <v>0</v>
      </c>
      <c r="J10" s="49">
        <v>13.9</v>
      </c>
      <c r="K10" s="50">
        <v>6</v>
      </c>
      <c r="L10" s="50">
        <v>4</v>
      </c>
      <c r="M10" s="50">
        <v>7</v>
      </c>
      <c r="N10" s="50">
        <v>3</v>
      </c>
      <c r="O10" s="50">
        <v>3</v>
      </c>
      <c r="P10" s="49">
        <v>0.23599999999999999</v>
      </c>
      <c r="Q10" s="49">
        <v>0.72299999999999998</v>
      </c>
      <c r="R10" s="49">
        <v>0.12</v>
      </c>
      <c r="S10" s="49">
        <v>8.8999999999999996E-2</v>
      </c>
      <c r="T10" s="49">
        <v>75.09</v>
      </c>
      <c r="U10" s="49">
        <v>60.125</v>
      </c>
      <c r="V10" s="49">
        <v>260</v>
      </c>
      <c r="W10" s="49">
        <v>301</v>
      </c>
      <c r="X10" s="49">
        <v>215</v>
      </c>
      <c r="Y10" s="49">
        <v>271.66000000000003</v>
      </c>
      <c r="Z10" s="49">
        <v>391.68</v>
      </c>
      <c r="AA10" s="49">
        <v>419.65</v>
      </c>
      <c r="AB10" s="49">
        <v>305.27999999999997</v>
      </c>
      <c r="AC10" s="49">
        <v>375.97</v>
      </c>
      <c r="AD10" s="50">
        <v>1.8169999999999999</v>
      </c>
      <c r="AE10" s="50">
        <v>1.8939999999999999</v>
      </c>
      <c r="AF10" s="50">
        <v>1.8740000000000001</v>
      </c>
      <c r="AG10" s="50">
        <v>1.919</v>
      </c>
      <c r="AH10" s="49">
        <v>82.69</v>
      </c>
      <c r="AI10" s="49">
        <v>72.8</v>
      </c>
      <c r="AJ10" s="50">
        <v>113.91</v>
      </c>
      <c r="AK10" s="50">
        <v>110.59</v>
      </c>
      <c r="AL10" s="49">
        <v>636.36099999999999</v>
      </c>
      <c r="AM10" s="49">
        <v>633.74599999999998</v>
      </c>
      <c r="AN10" s="49">
        <v>780.56299999999999</v>
      </c>
      <c r="AO10" s="49">
        <v>778.40499999999997</v>
      </c>
      <c r="AP10" s="49">
        <v>1.4259999999999999</v>
      </c>
      <c r="AQ10" s="49">
        <v>1.9419999999999999</v>
      </c>
      <c r="AR10" s="49">
        <v>42.170999999999999</v>
      </c>
      <c r="AS10" s="50">
        <v>40.807000000000002</v>
      </c>
      <c r="AT10" s="49">
        <v>83</v>
      </c>
      <c r="AU10" s="50">
        <v>122</v>
      </c>
      <c r="AV10" s="49">
        <v>1.6635</v>
      </c>
      <c r="AW10" s="49">
        <v>4.8334000000000001</v>
      </c>
      <c r="AX10" s="49">
        <v>1014</v>
      </c>
      <c r="AY10" s="49">
        <v>2.39</v>
      </c>
      <c r="AZ10" s="49">
        <v>5.05</v>
      </c>
      <c r="BA10" s="50">
        <v>68.900000000000006</v>
      </c>
      <c r="BB10" s="50">
        <v>69.099999999999994</v>
      </c>
      <c r="BC10" s="49">
        <v>7750</v>
      </c>
      <c r="BD10" s="49">
        <v>89.25</v>
      </c>
      <c r="BE10" s="49">
        <v>17.04</v>
      </c>
      <c r="BF10" s="49">
        <v>12.97</v>
      </c>
      <c r="BG10" s="49">
        <v>30.24</v>
      </c>
      <c r="BH10" s="49">
        <v>26.21</v>
      </c>
      <c r="BI10" s="50">
        <v>66.48</v>
      </c>
      <c r="BJ10" s="49">
        <v>81.293999999999997</v>
      </c>
      <c r="BK10" s="50">
        <v>64.914000000000001</v>
      </c>
      <c r="BL10" s="49">
        <v>76.994</v>
      </c>
      <c r="BM10" s="50">
        <v>80.856999999999999</v>
      </c>
      <c r="BN10" s="49">
        <v>117.83199999999999</v>
      </c>
      <c r="BO10" s="49">
        <v>120.648</v>
      </c>
      <c r="BP10" s="50">
        <v>140.376</v>
      </c>
      <c r="BQ10" s="50">
        <v>144.15199999999999</v>
      </c>
      <c r="BR10" s="50">
        <v>60.170999999999999</v>
      </c>
      <c r="BS10" s="50">
        <v>27.1</v>
      </c>
      <c r="BT10" s="49">
        <v>7393.9979999999996</v>
      </c>
      <c r="BU10" s="49">
        <v>48.463999999999999</v>
      </c>
      <c r="BV10" s="49">
        <v>53.73</v>
      </c>
      <c r="BW10" s="49">
        <v>54.46</v>
      </c>
      <c r="BX10" s="50">
        <v>55.427</v>
      </c>
      <c r="BY10" s="49">
        <v>1.379</v>
      </c>
      <c r="BZ10" s="49">
        <v>3.0510000000000002</v>
      </c>
      <c r="CA10" s="49">
        <v>3.0920000000000001</v>
      </c>
      <c r="CB10" s="49">
        <v>3.3359999999999999</v>
      </c>
      <c r="CC10" s="49">
        <v>0.80100000000000005</v>
      </c>
      <c r="CD10" s="49">
        <v>2.2930000000000001</v>
      </c>
      <c r="CE10" s="49">
        <v>1.2829999999999999</v>
      </c>
      <c r="CF10" s="49">
        <v>2.0859999999999999</v>
      </c>
      <c r="CG10" s="50">
        <v>13.95</v>
      </c>
      <c r="CH10" s="49">
        <v>13.507999999999999</v>
      </c>
      <c r="CI10" s="3"/>
      <c r="CJ10" s="3"/>
      <c r="CK10" s="3"/>
      <c r="CL10" s="49">
        <v>0</v>
      </c>
      <c r="CM10" s="49">
        <v>0.2</v>
      </c>
      <c r="CN10" s="50">
        <v>0</v>
      </c>
      <c r="CO10" s="50">
        <v>0</v>
      </c>
      <c r="CP10" s="49">
        <v>100.038</v>
      </c>
      <c r="CQ10" s="49">
        <v>103.22799999999999</v>
      </c>
      <c r="CR10" s="50">
        <v>130.71799999999999</v>
      </c>
      <c r="CS10" s="50">
        <v>136.501</v>
      </c>
      <c r="CT10" s="50">
        <v>0.52</v>
      </c>
      <c r="CU10" s="49">
        <v>0.79800000000000004</v>
      </c>
      <c r="CV10" s="49">
        <v>0.90100000000000002</v>
      </c>
      <c r="CW10" s="50">
        <v>1.7010000000000001</v>
      </c>
      <c r="CX10" s="50">
        <v>1.7989999999999999</v>
      </c>
      <c r="CY10" s="49">
        <v>0.89900000000000002</v>
      </c>
      <c r="CZ10" s="49">
        <v>1.0009999999999999</v>
      </c>
      <c r="DA10" s="49">
        <v>0.3</v>
      </c>
      <c r="DB10" s="49">
        <v>2.4009999999999998</v>
      </c>
      <c r="DC10" s="50">
        <v>0</v>
      </c>
      <c r="DD10" s="50">
        <v>0</v>
      </c>
      <c r="DE10" s="49">
        <v>0.108</v>
      </c>
      <c r="DF10" s="49">
        <v>2.5000000000000001E-2</v>
      </c>
      <c r="DG10" s="49">
        <v>0.23100000000000001</v>
      </c>
      <c r="DH10" s="49">
        <v>1.2929999999999999</v>
      </c>
      <c r="DI10" s="49">
        <v>0.746</v>
      </c>
      <c r="DJ10" s="49">
        <v>-3.1E-2</v>
      </c>
      <c r="DK10" s="49">
        <v>0.51200000000000001</v>
      </c>
      <c r="DL10" s="50">
        <v>0.40799999999999997</v>
      </c>
      <c r="DM10" s="49">
        <v>0.46200000000000002</v>
      </c>
      <c r="DN10" s="50">
        <v>0.42599999999999999</v>
      </c>
      <c r="DO10" s="49">
        <v>0.26400000000000001</v>
      </c>
      <c r="DP10" s="50">
        <v>66.048000000000002</v>
      </c>
      <c r="DQ10" s="49">
        <v>61.183999999999997</v>
      </c>
      <c r="DR10" s="49">
        <v>54.466000000000001</v>
      </c>
      <c r="DS10" s="49">
        <v>52.421999999999997</v>
      </c>
      <c r="DT10" s="49">
        <v>5.2</v>
      </c>
      <c r="DU10" s="49">
        <v>5.51</v>
      </c>
      <c r="DV10" s="49">
        <v>11.81</v>
      </c>
      <c r="DW10" s="49">
        <v>9.3000000000000007</v>
      </c>
      <c r="DX10" s="49">
        <v>5.61</v>
      </c>
      <c r="DY10" s="49">
        <v>5.66</v>
      </c>
      <c r="DZ10" s="49">
        <v>11.06</v>
      </c>
      <c r="EA10" s="49">
        <v>8.7899999999999991</v>
      </c>
      <c r="EB10" s="50">
        <v>42.86</v>
      </c>
      <c r="EC10" s="50">
        <v>41.51</v>
      </c>
      <c r="ED10" s="50">
        <v>32.22</v>
      </c>
      <c r="EE10" s="49">
        <v>34.79</v>
      </c>
      <c r="EF10" s="49">
        <v>46.33</v>
      </c>
      <c r="EG10" s="49">
        <v>47.31</v>
      </c>
      <c r="EH10" s="49">
        <v>44.9</v>
      </c>
      <c r="EI10" s="49">
        <v>47.12</v>
      </c>
      <c r="EJ10" s="50">
        <v>7.33</v>
      </c>
      <c r="EK10" s="50">
        <v>61.683999999999997</v>
      </c>
      <c r="EL10" s="49">
        <v>2.2000000000000002</v>
      </c>
      <c r="EM10" s="50">
        <v>1.75</v>
      </c>
      <c r="EN10" s="49">
        <v>1.17</v>
      </c>
      <c r="EO10" s="49">
        <v>1.19</v>
      </c>
      <c r="EP10" s="49">
        <v>-105.346</v>
      </c>
      <c r="EQ10" s="49">
        <v>-2.4129999999999998</v>
      </c>
      <c r="ER10" s="49">
        <v>82.41</v>
      </c>
      <c r="ES10" s="49">
        <v>1.42</v>
      </c>
      <c r="ET10" s="49">
        <v>1.5960000000000001</v>
      </c>
      <c r="EU10" s="50">
        <v>1.417</v>
      </c>
      <c r="EV10" s="50">
        <v>7.8680000000000003</v>
      </c>
      <c r="EW10" s="50">
        <v>3.0739999999999998</v>
      </c>
      <c r="EX10" s="49">
        <v>71.25</v>
      </c>
      <c r="EY10" s="49">
        <v>8.1000000000000003E-2</v>
      </c>
      <c r="EZ10" s="50">
        <v>5.3999999999999999E-2</v>
      </c>
      <c r="FA10" s="50">
        <v>0</v>
      </c>
      <c r="FB10" s="50">
        <v>9.2319999999999993</v>
      </c>
      <c r="FC10" s="50">
        <v>74.343999999999994</v>
      </c>
      <c r="FD10" s="50">
        <v>68.003</v>
      </c>
      <c r="FE10" s="50">
        <v>88.382000000000005</v>
      </c>
      <c r="FF10" s="50">
        <v>86.067999999999998</v>
      </c>
      <c r="FG10" s="49">
        <v>0.92400000000000004</v>
      </c>
      <c r="FH10" s="49">
        <v>0.94299999999999995</v>
      </c>
      <c r="FI10" s="49">
        <v>0.997</v>
      </c>
      <c r="FJ10" s="49">
        <v>1</v>
      </c>
      <c r="FK10" s="49">
        <v>0</v>
      </c>
      <c r="FL10" s="49">
        <v>83</v>
      </c>
      <c r="FM10" s="50">
        <v>3.69</v>
      </c>
      <c r="FN10" s="49">
        <v>-0.43</v>
      </c>
      <c r="FO10" s="49">
        <v>4.97</v>
      </c>
      <c r="FP10" s="49">
        <v>2.95</v>
      </c>
      <c r="FQ10" s="49">
        <v>4.55</v>
      </c>
      <c r="FR10" s="50">
        <v>4.95</v>
      </c>
      <c r="FS10" s="49">
        <v>6.5549999999999997</v>
      </c>
      <c r="FT10" s="49">
        <v>1075.5</v>
      </c>
      <c r="FU10" s="50">
        <v>6.32</v>
      </c>
      <c r="FV10" s="50">
        <v>47.88</v>
      </c>
      <c r="FW10" s="50">
        <v>3005</v>
      </c>
      <c r="FX10" s="49">
        <v>161900</v>
      </c>
      <c r="FY10" s="49">
        <v>163100</v>
      </c>
      <c r="FZ10" s="49">
        <v>47.307000000000002</v>
      </c>
      <c r="GA10" s="49">
        <v>47.378999999999998</v>
      </c>
      <c r="GB10" s="50">
        <v>2156.8000000000002</v>
      </c>
      <c r="GC10" s="49">
        <v>2157.8000000000002</v>
      </c>
      <c r="GD10" s="49">
        <v>2270</v>
      </c>
      <c r="GE10" s="49">
        <v>2173.4</v>
      </c>
      <c r="GF10" s="49">
        <v>1373.9844000000001</v>
      </c>
      <c r="GG10" s="50">
        <v>33</v>
      </c>
      <c r="GH10" s="50">
        <v>33.299999999999997</v>
      </c>
      <c r="GI10" s="49">
        <v>47.8</v>
      </c>
      <c r="GJ10" s="49">
        <v>52.7</v>
      </c>
      <c r="GK10" s="49">
        <v>99.5</v>
      </c>
      <c r="GL10" s="49">
        <v>77.2</v>
      </c>
      <c r="GM10" s="50">
        <v>0</v>
      </c>
      <c r="GN10" s="50">
        <v>28.731000000000002</v>
      </c>
      <c r="GO10" s="49">
        <v>105.346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1.8879999999999999</v>
      </c>
      <c r="GV10" s="50">
        <v>0</v>
      </c>
      <c r="GW10" s="49">
        <v>0</v>
      </c>
      <c r="GX10" s="49">
        <v>0</v>
      </c>
      <c r="GY10" s="50">
        <v>0</v>
      </c>
      <c r="GZ10" s="49">
        <v>13.804</v>
      </c>
      <c r="HA10" s="49">
        <v>15.385999999999999</v>
      </c>
      <c r="HB10" s="50">
        <v>1</v>
      </c>
      <c r="HC10" s="49">
        <v>23.404</v>
      </c>
      <c r="HD10" s="49">
        <v>82</v>
      </c>
      <c r="HE10" s="50">
        <v>0</v>
      </c>
      <c r="HF10" s="50">
        <v>0</v>
      </c>
      <c r="HG10" s="49">
        <v>71.2</v>
      </c>
      <c r="HH10" s="49">
        <v>83.39</v>
      </c>
      <c r="HI10" s="50">
        <v>0</v>
      </c>
      <c r="HJ10" s="50">
        <v>0</v>
      </c>
      <c r="HK10" s="50">
        <v>0</v>
      </c>
      <c r="HL10" s="49">
        <v>61</v>
      </c>
      <c r="HM10" s="49">
        <v>52</v>
      </c>
      <c r="HN10" s="49">
        <v>65</v>
      </c>
      <c r="HO10" s="50">
        <v>59</v>
      </c>
      <c r="HP10" s="50">
        <v>62</v>
      </c>
      <c r="HQ10" s="50">
        <v>60</v>
      </c>
      <c r="HR10" s="49">
        <v>51</v>
      </c>
      <c r="HS10" s="49">
        <v>66</v>
      </c>
      <c r="HT10" s="49">
        <v>-1.3955</v>
      </c>
      <c r="HU10" s="50">
        <v>0</v>
      </c>
      <c r="HV10" s="49">
        <v>0.3</v>
      </c>
      <c r="HW10" s="49">
        <v>40.5</v>
      </c>
      <c r="HX10" s="49">
        <v>43.43</v>
      </c>
      <c r="HY10" s="3"/>
      <c r="HZ10" s="3"/>
      <c r="IA10" s="49">
        <v>2.7970000000000002</v>
      </c>
      <c r="IB10" s="49">
        <v>104</v>
      </c>
      <c r="IC10" s="49">
        <v>22.678999999999998</v>
      </c>
      <c r="ID10" s="49">
        <v>-0.249</v>
      </c>
      <c r="IE10" s="49">
        <v>-0.11</v>
      </c>
      <c r="IF10" s="50">
        <v>805.2</v>
      </c>
      <c r="IG10" s="49">
        <v>740.2</v>
      </c>
      <c r="IH10" s="50">
        <v>815.9</v>
      </c>
      <c r="II10" s="49">
        <v>753.8</v>
      </c>
      <c r="IJ10" s="49">
        <v>2E-3</v>
      </c>
      <c r="IK10" s="49">
        <v>0</v>
      </c>
      <c r="IL10" s="49">
        <v>78.893000000000001</v>
      </c>
      <c r="IM10" s="49">
        <v>78.893000000000001</v>
      </c>
      <c r="IN10" s="49">
        <v>13.632</v>
      </c>
      <c r="IO10" s="49">
        <v>0.17299999999999999</v>
      </c>
      <c r="IP10" s="49">
        <v>9.4700000000000006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075DE-3A00-450C-972E-EFBF42DD86D1}">
  <sheetPr codeName="Sheet10"/>
  <dimension ref="B1:IR11"/>
  <sheetViews>
    <sheetView zoomScale="70" zoomScaleNormal="70" workbookViewId="0">
      <selection activeCell="D11" sqref="D11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426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1.0271296296296296E-2</v>
      </c>
      <c r="E7" s="50">
        <v>887.43799999999999</v>
      </c>
      <c r="F7" s="49">
        <v>324.64999999999998</v>
      </c>
      <c r="G7" s="49">
        <v>5.76</v>
      </c>
      <c r="H7" s="49">
        <v>23.6</v>
      </c>
      <c r="I7" s="50">
        <v>0</v>
      </c>
      <c r="J7" s="50">
        <v>115.6</v>
      </c>
      <c r="K7" s="50">
        <v>6</v>
      </c>
      <c r="L7" s="50">
        <v>6</v>
      </c>
      <c r="M7" s="50">
        <v>7</v>
      </c>
      <c r="N7" s="50">
        <v>3</v>
      </c>
      <c r="O7" s="50">
        <v>3</v>
      </c>
      <c r="P7" s="49">
        <v>0.497</v>
      </c>
      <c r="Q7" s="49">
        <v>0.87</v>
      </c>
      <c r="R7" s="49">
        <v>0.26900000000000002</v>
      </c>
      <c r="S7" s="49">
        <v>0.17399999999999999</v>
      </c>
      <c r="T7" s="49">
        <v>69</v>
      </c>
      <c r="U7" s="49">
        <v>60.28</v>
      </c>
      <c r="V7" s="50">
        <v>60</v>
      </c>
      <c r="W7" s="50">
        <v>40</v>
      </c>
      <c r="X7" s="50">
        <v>80</v>
      </c>
      <c r="Y7" s="50">
        <v>70</v>
      </c>
      <c r="Z7" s="49">
        <v>124.77</v>
      </c>
      <c r="AA7" s="49">
        <v>119.02</v>
      </c>
      <c r="AB7" s="49">
        <v>111.72</v>
      </c>
      <c r="AC7" s="49">
        <v>121.77</v>
      </c>
      <c r="AD7" s="49">
        <v>0.496</v>
      </c>
      <c r="AE7" s="49">
        <v>0.51</v>
      </c>
      <c r="AF7" s="49">
        <v>0.45500000000000002</v>
      </c>
      <c r="AG7" s="49">
        <v>0.504</v>
      </c>
      <c r="AH7" s="49">
        <v>-9.11</v>
      </c>
      <c r="AI7" s="49">
        <v>-11.92</v>
      </c>
      <c r="AJ7" s="49">
        <v>-8.58</v>
      </c>
      <c r="AK7" s="49">
        <v>-6.79</v>
      </c>
      <c r="AL7" s="49">
        <v>603.54700000000003</v>
      </c>
      <c r="AM7" s="49">
        <v>619.34699999999998</v>
      </c>
      <c r="AN7" s="49">
        <v>734.36</v>
      </c>
      <c r="AO7" s="49">
        <v>736.47299999999996</v>
      </c>
      <c r="AP7" s="50">
        <v>1.464</v>
      </c>
      <c r="AQ7" s="50">
        <v>1.9259999999999999</v>
      </c>
      <c r="AR7" s="49">
        <v>41.654000000000003</v>
      </c>
      <c r="AS7" s="49">
        <v>37.027999999999999</v>
      </c>
      <c r="AT7" s="50">
        <v>82</v>
      </c>
      <c r="AU7" s="49">
        <v>90</v>
      </c>
      <c r="AV7" s="49">
        <v>2.0085000000000002</v>
      </c>
      <c r="AW7" s="50">
        <v>5.3992000000000004</v>
      </c>
      <c r="AX7" s="50">
        <v>1024.4000000000001</v>
      </c>
      <c r="AY7" s="50">
        <v>2.5499999999999998</v>
      </c>
      <c r="AZ7" s="50">
        <v>0.76</v>
      </c>
      <c r="BA7" s="49">
        <v>69.701999999999998</v>
      </c>
      <c r="BB7" s="49">
        <v>69.7</v>
      </c>
      <c r="BC7" s="49">
        <v>7730</v>
      </c>
      <c r="BD7" s="49">
        <v>88.75</v>
      </c>
      <c r="BE7" s="49">
        <v>14.42</v>
      </c>
      <c r="BF7" s="49">
        <v>12.09</v>
      </c>
      <c r="BG7" s="49">
        <v>29.07</v>
      </c>
      <c r="BH7" s="49">
        <v>28.29</v>
      </c>
      <c r="BI7" s="49">
        <v>65.491</v>
      </c>
      <c r="BJ7" s="49">
        <v>81.292000000000002</v>
      </c>
      <c r="BK7" s="49">
        <v>63.82</v>
      </c>
      <c r="BL7" s="50">
        <v>78.585999999999999</v>
      </c>
      <c r="BM7" s="49">
        <v>78.945999999999998</v>
      </c>
      <c r="BN7" s="49">
        <v>77.944000000000003</v>
      </c>
      <c r="BO7" s="49">
        <v>75.784000000000006</v>
      </c>
      <c r="BP7" s="49">
        <v>92.6</v>
      </c>
      <c r="BQ7" s="49">
        <v>94.376000000000005</v>
      </c>
      <c r="BR7" s="49">
        <v>57.326000000000001</v>
      </c>
      <c r="BS7" s="49">
        <v>22.8</v>
      </c>
      <c r="BT7" s="49">
        <v>7131.6369999999997</v>
      </c>
      <c r="BU7" s="49">
        <v>36.665999999999997</v>
      </c>
      <c r="BV7" s="49">
        <v>52.52</v>
      </c>
      <c r="BW7" s="50">
        <v>54.695999999999998</v>
      </c>
      <c r="BX7" s="49">
        <v>54.662999999999997</v>
      </c>
      <c r="BY7" s="49">
        <v>1.2949999999999999</v>
      </c>
      <c r="BZ7" s="49">
        <v>2.8159999999999998</v>
      </c>
      <c r="CA7" s="49">
        <v>3.2690000000000001</v>
      </c>
      <c r="CB7" s="49">
        <v>2.855</v>
      </c>
      <c r="CC7" s="50">
        <v>1.2749999999999999</v>
      </c>
      <c r="CD7" s="49">
        <v>2.4300000000000002</v>
      </c>
      <c r="CE7" s="50">
        <v>1.5149999999999999</v>
      </c>
      <c r="CF7" s="50">
        <v>2.2959999999999998</v>
      </c>
      <c r="CG7" s="49">
        <v>13.545</v>
      </c>
      <c r="CH7" s="50">
        <v>10.327999999999999</v>
      </c>
      <c r="CI7" s="49">
        <v>4.5830000000000002</v>
      </c>
      <c r="CJ7" s="49">
        <v>2.5110000000000001</v>
      </c>
      <c r="CK7" s="49">
        <v>1.2090000000000001</v>
      </c>
      <c r="CL7" s="49">
        <v>0</v>
      </c>
      <c r="CM7" s="49">
        <v>0.1</v>
      </c>
      <c r="CN7" s="50">
        <v>0</v>
      </c>
      <c r="CO7" s="50">
        <v>0</v>
      </c>
      <c r="CP7" s="49">
        <v>35.908000000000001</v>
      </c>
      <c r="CQ7" s="49">
        <v>34.481000000000002</v>
      </c>
      <c r="CR7" s="49">
        <v>39.75</v>
      </c>
      <c r="CS7" s="49">
        <v>37.417000000000002</v>
      </c>
      <c r="CT7" s="49">
        <v>0.224</v>
      </c>
      <c r="CU7" s="49">
        <v>1.296</v>
      </c>
      <c r="CV7" s="49">
        <v>1.2969999999999999</v>
      </c>
      <c r="CW7" s="49">
        <v>0.69799999999999995</v>
      </c>
      <c r="CX7" s="49">
        <v>0.999</v>
      </c>
      <c r="CY7" s="49">
        <v>0.1</v>
      </c>
      <c r="CZ7" s="49">
        <v>0.79900000000000004</v>
      </c>
      <c r="DA7" s="49">
        <v>0.499</v>
      </c>
      <c r="DB7" s="49">
        <v>0.9</v>
      </c>
      <c r="DC7" s="50">
        <v>0</v>
      </c>
      <c r="DD7" s="50">
        <v>0</v>
      </c>
      <c r="DE7" s="49">
        <v>5.3999999999999999E-2</v>
      </c>
      <c r="DF7" s="49">
        <v>0.05</v>
      </c>
      <c r="DG7" s="49">
        <v>9.5000000000000001E-2</v>
      </c>
      <c r="DH7" s="49">
        <v>0.94799999999999995</v>
      </c>
      <c r="DI7" s="49">
        <v>0.84799999999999998</v>
      </c>
      <c r="DJ7" s="50">
        <v>0.155</v>
      </c>
      <c r="DK7" s="49">
        <v>0.7</v>
      </c>
      <c r="DL7" s="50">
        <v>0.42</v>
      </c>
      <c r="DM7" s="49">
        <v>0.47399999999999998</v>
      </c>
      <c r="DN7" s="49">
        <v>0.49299999999999999</v>
      </c>
      <c r="DO7" s="49">
        <v>0.38500000000000001</v>
      </c>
      <c r="DP7" s="49">
        <v>60.348999999999997</v>
      </c>
      <c r="DQ7" s="49">
        <v>62.698</v>
      </c>
      <c r="DR7" s="49">
        <v>53.167000000000002</v>
      </c>
      <c r="DS7" s="49">
        <v>50.097000000000001</v>
      </c>
      <c r="DT7" s="49">
        <v>1.1200000000000001</v>
      </c>
      <c r="DU7" s="49">
        <v>1.18</v>
      </c>
      <c r="DV7" s="49">
        <v>2.09</v>
      </c>
      <c r="DW7" s="49">
        <v>1.63</v>
      </c>
      <c r="DX7" s="49">
        <v>1.24</v>
      </c>
      <c r="DY7" s="49">
        <v>1.1399999999999999</v>
      </c>
      <c r="DZ7" s="49">
        <v>1.93</v>
      </c>
      <c r="EA7" s="49">
        <v>1.51</v>
      </c>
      <c r="EB7" s="49">
        <v>13.33</v>
      </c>
      <c r="EC7" s="49">
        <v>13.56</v>
      </c>
      <c r="ED7" s="49">
        <v>11.21</v>
      </c>
      <c r="EE7" s="49">
        <v>11.93</v>
      </c>
      <c r="EF7" s="50">
        <v>84.31</v>
      </c>
      <c r="EG7" s="50">
        <v>84.12</v>
      </c>
      <c r="EH7" s="50">
        <v>84.77</v>
      </c>
      <c r="EI7" s="50">
        <v>84.93</v>
      </c>
      <c r="EJ7" s="49">
        <v>4.6749999999999998</v>
      </c>
      <c r="EK7" s="49">
        <v>55.771000000000001</v>
      </c>
      <c r="EL7" s="50">
        <v>2.5499999999999998</v>
      </c>
      <c r="EM7" s="50">
        <v>1.7</v>
      </c>
      <c r="EN7" s="49">
        <v>1.08</v>
      </c>
      <c r="EO7" s="49">
        <v>1.08</v>
      </c>
      <c r="EP7" s="49">
        <v>-103.886</v>
      </c>
      <c r="EQ7" s="50">
        <v>-1.0940000000000001</v>
      </c>
      <c r="ER7" s="49">
        <v>105.47799999999999</v>
      </c>
      <c r="ES7" s="49">
        <v>0.50900000000000001</v>
      </c>
      <c r="ET7" s="49">
        <v>0.52600000000000002</v>
      </c>
      <c r="EU7" s="49">
        <v>0.496</v>
      </c>
      <c r="EV7" s="50">
        <v>8.1010000000000009</v>
      </c>
      <c r="EW7" s="50">
        <v>2.996</v>
      </c>
      <c r="EX7" s="49">
        <v>-517.5</v>
      </c>
      <c r="EY7" s="50">
        <v>0.18</v>
      </c>
      <c r="EZ7" s="49">
        <v>18.079999999999998</v>
      </c>
      <c r="FA7" s="50">
        <v>0</v>
      </c>
      <c r="FB7" s="49">
        <v>2.387</v>
      </c>
      <c r="FC7" s="49">
        <v>18.696999999999999</v>
      </c>
      <c r="FD7" s="49">
        <v>17.725000000000001</v>
      </c>
      <c r="FE7" s="49">
        <v>19.21</v>
      </c>
      <c r="FF7" s="49">
        <v>20.542999999999999</v>
      </c>
      <c r="FG7" s="50">
        <v>1.0089999999999999</v>
      </c>
      <c r="FH7" s="50">
        <v>1.0089999999999999</v>
      </c>
      <c r="FI7" s="50">
        <v>1.0009999999999999</v>
      </c>
      <c r="FJ7" s="50">
        <v>1.002</v>
      </c>
      <c r="FK7" s="50">
        <v>0.2</v>
      </c>
      <c r="FL7" s="49">
        <v>82</v>
      </c>
      <c r="FM7" s="49">
        <v>3.61</v>
      </c>
      <c r="FN7" s="50">
        <v>-0.9</v>
      </c>
      <c r="FO7" s="50">
        <v>0.76</v>
      </c>
      <c r="FP7" s="50">
        <v>0.2</v>
      </c>
      <c r="FQ7" s="49">
        <v>4.7</v>
      </c>
      <c r="FR7" s="49">
        <v>5.2</v>
      </c>
      <c r="FS7" s="49">
        <v>6.6455000000000002</v>
      </c>
      <c r="FT7" s="49">
        <v>1069.2</v>
      </c>
      <c r="FU7" s="49">
        <v>4.38</v>
      </c>
      <c r="FV7" s="49">
        <v>5.76</v>
      </c>
      <c r="FW7" s="50">
        <v>16383.5</v>
      </c>
      <c r="FX7" s="49">
        <v>160300</v>
      </c>
      <c r="FY7" s="49">
        <v>161100</v>
      </c>
      <c r="FZ7" s="50">
        <v>48.447000000000003</v>
      </c>
      <c r="GA7" s="50">
        <v>48.341000000000001</v>
      </c>
      <c r="GB7" s="49">
        <v>2128.4</v>
      </c>
      <c r="GC7" s="49">
        <v>2133.6</v>
      </c>
      <c r="GD7" s="49">
        <v>2145.4</v>
      </c>
      <c r="GE7" s="49">
        <v>2236.3000000000002</v>
      </c>
      <c r="GF7" s="50">
        <v>1440.9530999999999</v>
      </c>
      <c r="GG7" s="50">
        <v>38</v>
      </c>
      <c r="GH7" s="50">
        <v>37.9</v>
      </c>
      <c r="GI7" s="50">
        <v>74.2</v>
      </c>
      <c r="GJ7" s="50">
        <v>75.5</v>
      </c>
      <c r="GK7" s="50">
        <v>96.5</v>
      </c>
      <c r="GL7" s="49">
        <v>109.4</v>
      </c>
      <c r="GM7" s="50">
        <v>0</v>
      </c>
      <c r="GN7" s="49">
        <v>22.739000000000001</v>
      </c>
      <c r="GO7" s="49">
        <v>105.47799999999999</v>
      </c>
      <c r="GP7" s="50">
        <v>0</v>
      </c>
      <c r="GQ7" s="49">
        <v>4.2480000000000002</v>
      </c>
      <c r="GR7" s="50">
        <v>0</v>
      </c>
      <c r="GS7" s="49">
        <v>4.7789999999999999</v>
      </c>
      <c r="GT7" s="50">
        <v>0</v>
      </c>
      <c r="GU7" s="49">
        <v>5.0739999999999998</v>
      </c>
      <c r="GV7" s="50">
        <v>0</v>
      </c>
      <c r="GW7" s="49">
        <v>4.1929999999999996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18.702999999999999</v>
      </c>
      <c r="HD7" s="49">
        <v>74</v>
      </c>
      <c r="HE7" s="50">
        <v>0</v>
      </c>
      <c r="HF7" s="50">
        <v>0</v>
      </c>
      <c r="HG7" s="49">
        <v>86.46</v>
      </c>
      <c r="HH7" s="49">
        <v>78.58</v>
      </c>
      <c r="HI7" s="50">
        <v>0</v>
      </c>
      <c r="HJ7" s="50">
        <v>0</v>
      </c>
      <c r="HK7" s="50">
        <v>0</v>
      </c>
      <c r="HL7" s="49">
        <v>53</v>
      </c>
      <c r="HM7" s="50">
        <v>50</v>
      </c>
      <c r="HN7" s="49">
        <v>54</v>
      </c>
      <c r="HO7" s="49">
        <v>47</v>
      </c>
      <c r="HP7" s="49">
        <v>50</v>
      </c>
      <c r="HQ7" s="49">
        <v>48</v>
      </c>
      <c r="HR7" s="49">
        <v>44</v>
      </c>
      <c r="HS7" s="49">
        <v>54</v>
      </c>
      <c r="HT7" s="49">
        <v>-1.3380000000000001</v>
      </c>
      <c r="HU7" s="50">
        <v>0</v>
      </c>
      <c r="HV7" s="49">
        <v>-1.7410000000000001</v>
      </c>
      <c r="HW7" s="49">
        <v>40.04</v>
      </c>
      <c r="HX7" s="49">
        <v>51.28</v>
      </c>
      <c r="HY7" s="3"/>
      <c r="HZ7" s="3"/>
      <c r="IA7" s="49">
        <v>2.3149999999999999</v>
      </c>
      <c r="IB7" s="49">
        <v>79</v>
      </c>
      <c r="IC7" s="49">
        <v>5.556</v>
      </c>
      <c r="ID7" s="50">
        <v>-8.1000000000000003E-2</v>
      </c>
      <c r="IE7" s="50">
        <v>-4.9000000000000002E-2</v>
      </c>
      <c r="IF7" s="49">
        <v>805.5</v>
      </c>
      <c r="IG7" s="49">
        <v>265.7</v>
      </c>
      <c r="IH7" s="49">
        <v>808.1</v>
      </c>
      <c r="II7" s="49">
        <v>274.89999999999998</v>
      </c>
      <c r="IJ7" s="49">
        <v>-7.0000000000000001E-3</v>
      </c>
      <c r="IK7" s="49">
        <v>-7.0000000000000001E-3</v>
      </c>
      <c r="IL7" s="50">
        <v>737.86599999999999</v>
      </c>
      <c r="IM7" s="50">
        <v>737.86599999999999</v>
      </c>
      <c r="IN7" s="49">
        <v>9.7799999999999994</v>
      </c>
      <c r="IO7" s="49">
        <v>5.3999999999999999E-2</v>
      </c>
      <c r="IP7" s="50">
        <v>9.42</v>
      </c>
      <c r="IQ7" s="50">
        <v>2.9000000000000001E-2</v>
      </c>
      <c r="IR7" s="50">
        <v>4.2000000000000003E-2</v>
      </c>
    </row>
    <row r="8" spans="2:252" x14ac:dyDescent="0.25">
      <c r="B8" s="2" t="s">
        <v>412</v>
      </c>
      <c r="C8" s="2" t="s">
        <v>42</v>
      </c>
      <c r="D8" s="61">
        <v>2.521064814814815E-3</v>
      </c>
      <c r="E8" s="49">
        <v>217.86</v>
      </c>
      <c r="F8" s="50">
        <v>331.66</v>
      </c>
      <c r="G8" s="49">
        <v>5.79</v>
      </c>
      <c r="H8" s="49">
        <v>24.5</v>
      </c>
      <c r="I8" s="50">
        <v>0</v>
      </c>
      <c r="J8" s="49">
        <v>15.7</v>
      </c>
      <c r="K8" s="50">
        <v>6</v>
      </c>
      <c r="L8" s="50">
        <v>6</v>
      </c>
      <c r="M8" s="50">
        <v>7</v>
      </c>
      <c r="N8" s="50">
        <v>3</v>
      </c>
      <c r="O8" s="50">
        <v>3</v>
      </c>
      <c r="P8" s="50">
        <v>0.60099999999999998</v>
      </c>
      <c r="Q8" s="50">
        <v>1.381</v>
      </c>
      <c r="R8" s="50">
        <v>0.42499999999999999</v>
      </c>
      <c r="S8" s="49">
        <v>0.14899999999999999</v>
      </c>
      <c r="T8" s="49">
        <v>80.97</v>
      </c>
      <c r="U8" s="49">
        <v>60.444000000000003</v>
      </c>
      <c r="V8" s="49">
        <v>211.66</v>
      </c>
      <c r="W8" s="49">
        <v>225</v>
      </c>
      <c r="X8" s="49">
        <v>162.5</v>
      </c>
      <c r="Y8" s="49">
        <v>205</v>
      </c>
      <c r="Z8" s="49">
        <v>369.5</v>
      </c>
      <c r="AA8" s="49">
        <v>380.52</v>
      </c>
      <c r="AB8" s="49">
        <v>271.81</v>
      </c>
      <c r="AC8" s="49">
        <v>339.08</v>
      </c>
      <c r="AD8" s="49">
        <v>1.8089999999999999</v>
      </c>
      <c r="AE8" s="49">
        <v>1.88</v>
      </c>
      <c r="AF8" s="49">
        <v>1.7869999999999999</v>
      </c>
      <c r="AG8" s="49">
        <v>1.857</v>
      </c>
      <c r="AH8" s="49">
        <v>73.91</v>
      </c>
      <c r="AI8" s="49">
        <v>65.89</v>
      </c>
      <c r="AJ8" s="49">
        <v>94.85</v>
      </c>
      <c r="AK8" s="49">
        <v>93.18</v>
      </c>
      <c r="AL8" s="49">
        <v>639.90800000000002</v>
      </c>
      <c r="AM8" s="49">
        <v>632.745</v>
      </c>
      <c r="AN8" s="49">
        <v>797.41200000000003</v>
      </c>
      <c r="AO8" s="50">
        <v>814.60299999999995</v>
      </c>
      <c r="AP8" s="49">
        <v>1.4610000000000001</v>
      </c>
      <c r="AQ8" s="49">
        <v>1.921</v>
      </c>
      <c r="AR8" s="49">
        <v>42.378999999999998</v>
      </c>
      <c r="AS8" s="50">
        <v>40.557000000000002</v>
      </c>
      <c r="AT8" s="50">
        <v>82</v>
      </c>
      <c r="AU8" s="49">
        <v>104</v>
      </c>
      <c r="AV8" s="49">
        <v>1.8674999999999999</v>
      </c>
      <c r="AW8" s="49">
        <v>4.9352999999999998</v>
      </c>
      <c r="AX8" s="49">
        <v>1012.7</v>
      </c>
      <c r="AY8" s="49">
        <v>2.4</v>
      </c>
      <c r="AZ8" s="49">
        <v>5.65</v>
      </c>
      <c r="BA8" s="49">
        <v>112.407</v>
      </c>
      <c r="BB8" s="49">
        <v>104.039</v>
      </c>
      <c r="BC8" s="49">
        <v>7713</v>
      </c>
      <c r="BD8" s="50">
        <v>89.5</v>
      </c>
      <c r="BE8" s="49">
        <v>14.09</v>
      </c>
      <c r="BF8" s="49">
        <v>12.53</v>
      </c>
      <c r="BG8" s="49">
        <v>27.91</v>
      </c>
      <c r="BH8" s="49">
        <v>27.74</v>
      </c>
      <c r="BI8" s="3"/>
      <c r="BJ8" s="3"/>
      <c r="BK8" s="3"/>
      <c r="BL8" s="3"/>
      <c r="BM8" s="3"/>
      <c r="BN8" s="49">
        <v>94.567999999999998</v>
      </c>
      <c r="BO8" s="49">
        <v>94.231999999999999</v>
      </c>
      <c r="BP8" s="49">
        <v>112.04</v>
      </c>
      <c r="BQ8" s="49">
        <v>115.416</v>
      </c>
      <c r="BR8" s="3"/>
      <c r="BS8" s="49">
        <v>24.1</v>
      </c>
      <c r="BT8" s="50">
        <v>7449.0240000000003</v>
      </c>
      <c r="BU8" s="49">
        <v>49.124000000000002</v>
      </c>
      <c r="BV8" s="49">
        <v>52.594999999999999</v>
      </c>
      <c r="BW8" s="49">
        <v>53.401000000000003</v>
      </c>
      <c r="BX8" s="49">
        <v>54.216000000000001</v>
      </c>
      <c r="BY8" s="49">
        <v>1.395</v>
      </c>
      <c r="BZ8" s="49">
        <v>2.9729999999999999</v>
      </c>
      <c r="CA8" s="50">
        <v>3.593</v>
      </c>
      <c r="CB8" s="49">
        <v>3.403</v>
      </c>
      <c r="CC8" s="49">
        <v>1.1970000000000001</v>
      </c>
      <c r="CD8" s="50">
        <v>2.5259999999999998</v>
      </c>
      <c r="CE8" s="49">
        <v>1.44</v>
      </c>
      <c r="CF8" s="49">
        <v>2.2309999999999999</v>
      </c>
      <c r="CG8" s="49">
        <v>13.768000000000001</v>
      </c>
      <c r="CH8" s="49">
        <v>13.651999999999999</v>
      </c>
      <c r="CI8" s="50">
        <v>5.4950000000000001</v>
      </c>
      <c r="CJ8" s="49">
        <v>3.5779999999999998</v>
      </c>
      <c r="CK8" s="49">
        <v>1.5860000000000001</v>
      </c>
      <c r="CL8" s="49">
        <v>0</v>
      </c>
      <c r="CM8" s="49">
        <v>0.2</v>
      </c>
      <c r="CN8" s="50">
        <v>0</v>
      </c>
      <c r="CO8" s="50">
        <v>0</v>
      </c>
      <c r="CP8" s="49">
        <v>86.096000000000004</v>
      </c>
      <c r="CQ8" s="49">
        <v>86.427000000000007</v>
      </c>
      <c r="CR8" s="49">
        <v>102.047</v>
      </c>
      <c r="CS8" s="49">
        <v>106.348</v>
      </c>
      <c r="CT8" s="49">
        <v>0.34899999999999998</v>
      </c>
      <c r="CU8" s="49">
        <v>0.70199999999999996</v>
      </c>
      <c r="CV8" s="49">
        <v>0.9</v>
      </c>
      <c r="CW8" s="50">
        <v>1.298</v>
      </c>
      <c r="CX8" s="49">
        <v>1.2030000000000001</v>
      </c>
      <c r="CY8" s="49">
        <v>0.6</v>
      </c>
      <c r="CZ8" s="49">
        <v>0.9</v>
      </c>
      <c r="DA8" s="50">
        <v>0.90100000000000002</v>
      </c>
      <c r="DB8" s="49">
        <v>1.7050000000000001</v>
      </c>
      <c r="DC8" s="50">
        <v>0</v>
      </c>
      <c r="DD8" s="50">
        <v>0</v>
      </c>
      <c r="DE8" s="50">
        <v>0.20599999999999999</v>
      </c>
      <c r="DF8" s="49">
        <v>4.4999999999999998E-2</v>
      </c>
      <c r="DG8" s="50">
        <v>0.56699999999999995</v>
      </c>
      <c r="DH8" s="50">
        <v>2.0739999999999998</v>
      </c>
      <c r="DI8" s="50">
        <v>1.0389999999999999</v>
      </c>
      <c r="DJ8" s="49">
        <v>7.3999999999999996E-2</v>
      </c>
      <c r="DK8" s="50">
        <v>0.82199999999999995</v>
      </c>
      <c r="DL8" s="50">
        <v>0.42</v>
      </c>
      <c r="DM8" s="49">
        <v>0.57999999999999996</v>
      </c>
      <c r="DN8" s="50">
        <v>0.82899999999999996</v>
      </c>
      <c r="DO8" s="50">
        <v>1.175</v>
      </c>
      <c r="DP8" s="49">
        <v>64.548000000000002</v>
      </c>
      <c r="DQ8" s="49">
        <v>61.433</v>
      </c>
      <c r="DR8" s="49">
        <v>54.655000000000001</v>
      </c>
      <c r="DS8" s="49">
        <v>53.037999999999997</v>
      </c>
      <c r="DT8" s="49">
        <v>5.47</v>
      </c>
      <c r="DU8" s="49">
        <v>5.26</v>
      </c>
      <c r="DV8" s="49">
        <v>10.53</v>
      </c>
      <c r="DW8" s="49">
        <v>7.65</v>
      </c>
      <c r="DX8" s="49">
        <v>5.69</v>
      </c>
      <c r="DY8" s="49">
        <v>5.42</v>
      </c>
      <c r="DZ8" s="49">
        <v>9.6999999999999993</v>
      </c>
      <c r="EA8" s="49">
        <v>7.15</v>
      </c>
      <c r="EB8" s="50">
        <v>43.29</v>
      </c>
      <c r="EC8" s="50">
        <v>42.49</v>
      </c>
      <c r="ED8" s="50">
        <v>35.56</v>
      </c>
      <c r="EE8" s="50">
        <v>38.51</v>
      </c>
      <c r="EF8" s="49">
        <v>45.55</v>
      </c>
      <c r="EG8" s="49">
        <v>46.83</v>
      </c>
      <c r="EH8" s="49">
        <v>44.21</v>
      </c>
      <c r="EI8" s="49">
        <v>46.7</v>
      </c>
      <c r="EJ8" s="49">
        <v>5.29</v>
      </c>
      <c r="EK8" s="49">
        <v>62.201999999999998</v>
      </c>
      <c r="EL8" s="49">
        <v>2.2000000000000002</v>
      </c>
      <c r="EM8" s="49">
        <v>1.8</v>
      </c>
      <c r="EN8" s="49">
        <v>1.21</v>
      </c>
      <c r="EO8" s="49">
        <v>1.21</v>
      </c>
      <c r="EP8" s="49">
        <v>-103.30200000000001</v>
      </c>
      <c r="EQ8" s="49">
        <v>-3.0009999999999999</v>
      </c>
      <c r="ER8" s="49">
        <v>78.614000000000004</v>
      </c>
      <c r="ES8" s="50">
        <v>1.5169999999999999</v>
      </c>
      <c r="ET8" s="49">
        <v>1.6</v>
      </c>
      <c r="EU8" s="50">
        <v>1.454</v>
      </c>
      <c r="EV8" s="49">
        <v>7.8280000000000003</v>
      </c>
      <c r="EW8" s="49">
        <v>2.9710000000000001</v>
      </c>
      <c r="EX8" s="49">
        <v>70.42</v>
      </c>
      <c r="EY8" s="49">
        <v>8.1000000000000003E-2</v>
      </c>
      <c r="EZ8" s="49">
        <v>25.306000000000001</v>
      </c>
      <c r="FA8" s="50">
        <v>0</v>
      </c>
      <c r="FB8" s="49">
        <v>8.9429999999999996</v>
      </c>
      <c r="FC8" s="49">
        <v>65.203000000000003</v>
      </c>
      <c r="FD8" s="49">
        <v>60.716000000000001</v>
      </c>
      <c r="FE8" s="49">
        <v>72.183999999999997</v>
      </c>
      <c r="FF8" s="49">
        <v>71.347999999999999</v>
      </c>
      <c r="FG8" s="49">
        <v>0.91600000000000004</v>
      </c>
      <c r="FH8" s="49">
        <v>0.91700000000000004</v>
      </c>
      <c r="FI8" s="49">
        <v>0.998</v>
      </c>
      <c r="FJ8" s="49">
        <v>1</v>
      </c>
      <c r="FK8" s="49">
        <v>0</v>
      </c>
      <c r="FL8" s="49">
        <v>82</v>
      </c>
      <c r="FM8" s="49">
        <v>3.71</v>
      </c>
      <c r="FN8" s="49">
        <v>-0.78</v>
      </c>
      <c r="FO8" s="49">
        <v>5.49</v>
      </c>
      <c r="FP8" s="3"/>
      <c r="FQ8" s="49">
        <v>4.7</v>
      </c>
      <c r="FR8" s="49">
        <v>5</v>
      </c>
      <c r="FS8" s="49">
        <v>6.694</v>
      </c>
      <c r="FT8" s="49">
        <v>1073.9000000000001</v>
      </c>
      <c r="FU8" s="49">
        <v>4.88</v>
      </c>
      <c r="FV8" s="49">
        <v>11.54</v>
      </c>
      <c r="FW8" s="49">
        <v>3299</v>
      </c>
      <c r="FX8" s="50">
        <v>165400</v>
      </c>
      <c r="FY8" s="49">
        <v>165500</v>
      </c>
      <c r="FZ8" s="49">
        <v>47.786999999999999</v>
      </c>
      <c r="GA8" s="49">
        <v>47.89</v>
      </c>
      <c r="GB8" s="50">
        <v>2211.1</v>
      </c>
      <c r="GC8" s="49">
        <v>2152.5</v>
      </c>
      <c r="GD8" s="50">
        <v>2345.5</v>
      </c>
      <c r="GE8" s="49">
        <v>2234.8000000000002</v>
      </c>
      <c r="GF8" s="49">
        <v>1401.75</v>
      </c>
      <c r="GG8" s="49">
        <v>26</v>
      </c>
      <c r="GH8" s="49">
        <v>26.3</v>
      </c>
      <c r="GI8" s="49">
        <v>48.7</v>
      </c>
      <c r="GJ8" s="49">
        <v>53.5</v>
      </c>
      <c r="GK8" s="49">
        <v>99.5</v>
      </c>
      <c r="GL8" s="50">
        <v>110.8</v>
      </c>
      <c r="GM8" s="50">
        <v>0</v>
      </c>
      <c r="GN8" s="49">
        <v>26.097999999999999</v>
      </c>
      <c r="GO8" s="49">
        <v>103.30200000000001</v>
      </c>
      <c r="GP8" s="49">
        <v>0.94399999999999995</v>
      </c>
      <c r="GQ8" s="49">
        <v>1.8879999999999999</v>
      </c>
      <c r="GR8" s="49">
        <v>1.2390000000000001</v>
      </c>
      <c r="GS8" s="49">
        <v>2.0059999999999998</v>
      </c>
      <c r="GT8" s="49">
        <v>0.70799999999999996</v>
      </c>
      <c r="GU8" s="49">
        <v>1.829</v>
      </c>
      <c r="GV8" s="49">
        <v>12.74</v>
      </c>
      <c r="GW8" s="50">
        <v>13.887</v>
      </c>
      <c r="GX8" s="49">
        <v>15.778</v>
      </c>
      <c r="GY8" s="50">
        <v>0</v>
      </c>
      <c r="GZ8" s="50">
        <v>0</v>
      </c>
      <c r="HA8" s="50">
        <v>0</v>
      </c>
      <c r="HB8" s="49">
        <v>0</v>
      </c>
      <c r="HC8" s="49">
        <v>35.014000000000003</v>
      </c>
      <c r="HD8" s="49">
        <v>78</v>
      </c>
      <c r="HE8" s="50">
        <v>0</v>
      </c>
      <c r="HF8" s="50">
        <v>0</v>
      </c>
      <c r="HG8" s="50">
        <v>86.91</v>
      </c>
      <c r="HH8" s="50">
        <v>79.790000000000006</v>
      </c>
      <c r="HI8" s="50">
        <v>0</v>
      </c>
      <c r="HJ8" s="50">
        <v>0</v>
      </c>
      <c r="HK8" s="50">
        <v>0</v>
      </c>
      <c r="HL8" s="49">
        <v>51</v>
      </c>
      <c r="HM8" s="49">
        <v>49</v>
      </c>
      <c r="HN8" s="49">
        <v>56</v>
      </c>
      <c r="HO8" s="49">
        <v>49</v>
      </c>
      <c r="HP8" s="49">
        <v>53</v>
      </c>
      <c r="HQ8" s="49">
        <v>51</v>
      </c>
      <c r="HR8" s="49">
        <v>44</v>
      </c>
      <c r="HS8" s="50">
        <v>70</v>
      </c>
      <c r="HT8" s="49">
        <v>-1.3720000000000001</v>
      </c>
      <c r="HU8" s="50">
        <v>0</v>
      </c>
      <c r="HV8" s="49">
        <v>-1.2E-2</v>
      </c>
      <c r="HW8" s="50">
        <v>39.58</v>
      </c>
      <c r="HX8" s="49">
        <v>49.87</v>
      </c>
      <c r="HY8" s="49">
        <v>51.98</v>
      </c>
      <c r="HZ8" s="49">
        <v>51.98</v>
      </c>
      <c r="IA8" s="49">
        <v>2.4660000000000002</v>
      </c>
      <c r="IB8" s="50">
        <v>103</v>
      </c>
      <c r="IC8" s="49">
        <v>21.74</v>
      </c>
      <c r="ID8" s="49">
        <v>-0.44600000000000001</v>
      </c>
      <c r="IE8" s="49">
        <v>-0.26300000000000001</v>
      </c>
      <c r="IF8" s="49">
        <v>805.5</v>
      </c>
      <c r="IG8" s="49">
        <v>755.8</v>
      </c>
      <c r="IH8" s="49">
        <v>817.3</v>
      </c>
      <c r="II8" s="49">
        <v>767.3</v>
      </c>
      <c r="IJ8" s="49">
        <v>-2.3E-2</v>
      </c>
      <c r="IK8" s="49">
        <v>-1E-3</v>
      </c>
      <c r="IL8" s="49">
        <v>78.742999999999995</v>
      </c>
      <c r="IM8" s="49">
        <v>78.742999999999995</v>
      </c>
      <c r="IN8" s="49">
        <v>11.456</v>
      </c>
      <c r="IO8" s="49">
        <v>0.183</v>
      </c>
      <c r="IP8" s="49">
        <v>8.77</v>
      </c>
      <c r="IQ8" s="49">
        <v>1.0999999999999999E-2</v>
      </c>
      <c r="IR8" s="49">
        <v>0.01</v>
      </c>
    </row>
    <row r="9" spans="2:252" x14ac:dyDescent="0.25">
      <c r="B9" s="2" t="s">
        <v>412</v>
      </c>
      <c r="C9" s="2" t="s">
        <v>43</v>
      </c>
      <c r="D9" s="61">
        <v>2.5363425925925926E-3</v>
      </c>
      <c r="E9" s="49">
        <v>219.18</v>
      </c>
      <c r="F9" s="49">
        <v>327.05</v>
      </c>
      <c r="G9" s="49">
        <v>5.7</v>
      </c>
      <c r="H9" s="49">
        <v>25.1</v>
      </c>
      <c r="I9" s="50">
        <v>0</v>
      </c>
      <c r="J9" s="49">
        <v>22.3</v>
      </c>
      <c r="K9" s="50">
        <v>6</v>
      </c>
      <c r="L9" s="50">
        <v>6</v>
      </c>
      <c r="M9" s="50">
        <v>7</v>
      </c>
      <c r="N9" s="50">
        <v>3</v>
      </c>
      <c r="O9" s="50">
        <v>3</v>
      </c>
      <c r="P9" s="49">
        <v>0.46200000000000002</v>
      </c>
      <c r="Q9" s="49">
        <v>1.137</v>
      </c>
      <c r="R9" s="49">
        <v>0.33600000000000002</v>
      </c>
      <c r="S9" s="49">
        <v>0.121</v>
      </c>
      <c r="T9" s="49">
        <v>73.19</v>
      </c>
      <c r="U9" s="50">
        <v>60.557000000000002</v>
      </c>
      <c r="V9" s="49">
        <v>213.34</v>
      </c>
      <c r="W9" s="49">
        <v>231.66</v>
      </c>
      <c r="X9" s="49">
        <v>150</v>
      </c>
      <c r="Y9" s="49">
        <v>190</v>
      </c>
      <c r="Z9" s="49">
        <v>354.84</v>
      </c>
      <c r="AA9" s="49">
        <v>370.31</v>
      </c>
      <c r="AB9" s="49">
        <v>249.33</v>
      </c>
      <c r="AC9" s="49">
        <v>316.01</v>
      </c>
      <c r="AD9" s="49">
        <v>1.825</v>
      </c>
      <c r="AE9" s="49">
        <v>1.8919999999999999</v>
      </c>
      <c r="AF9" s="49">
        <v>1.83</v>
      </c>
      <c r="AG9" s="49">
        <v>1.8939999999999999</v>
      </c>
      <c r="AH9" s="49">
        <v>76.77</v>
      </c>
      <c r="AI9" s="49">
        <v>67.53</v>
      </c>
      <c r="AJ9" s="49">
        <v>100.71</v>
      </c>
      <c r="AK9" s="49">
        <v>98.61</v>
      </c>
      <c r="AL9" s="49">
        <v>649.54600000000005</v>
      </c>
      <c r="AM9" s="49">
        <v>653.94100000000003</v>
      </c>
      <c r="AN9" s="50">
        <v>863.35900000000004</v>
      </c>
      <c r="AO9" s="49">
        <v>785.06899999999996</v>
      </c>
      <c r="AP9" s="49">
        <v>1.427</v>
      </c>
      <c r="AQ9" s="49">
        <v>1.9139999999999999</v>
      </c>
      <c r="AR9" s="49">
        <v>40.857999999999997</v>
      </c>
      <c r="AS9" s="49">
        <v>38.558999999999997</v>
      </c>
      <c r="AT9" s="50">
        <v>82</v>
      </c>
      <c r="AU9" s="49">
        <v>110</v>
      </c>
      <c r="AV9" s="49">
        <v>1.7769999999999999</v>
      </c>
      <c r="AW9" s="49">
        <v>4.9229000000000003</v>
      </c>
      <c r="AX9" s="49">
        <v>1013.9</v>
      </c>
      <c r="AY9" s="49">
        <v>2.36</v>
      </c>
      <c r="AZ9" s="49">
        <v>5.64</v>
      </c>
      <c r="BA9" s="49">
        <v>120.566</v>
      </c>
      <c r="BB9" s="49">
        <v>119.041</v>
      </c>
      <c r="BC9" s="50">
        <v>7799</v>
      </c>
      <c r="BD9" s="49">
        <v>89</v>
      </c>
      <c r="BE9" s="49">
        <v>14.67</v>
      </c>
      <c r="BF9" s="50">
        <v>13.645</v>
      </c>
      <c r="BG9" s="50">
        <v>30.05</v>
      </c>
      <c r="BH9" s="49">
        <v>28.08</v>
      </c>
      <c r="BI9" s="3"/>
      <c r="BJ9" s="3"/>
      <c r="BK9" s="3"/>
      <c r="BL9" s="3"/>
      <c r="BM9" s="3"/>
      <c r="BN9" s="49">
        <v>95.927999999999997</v>
      </c>
      <c r="BO9" s="49">
        <v>97.016000000000005</v>
      </c>
      <c r="BP9" s="49">
        <v>111.91200000000001</v>
      </c>
      <c r="BQ9" s="49">
        <v>117.91200000000001</v>
      </c>
      <c r="BR9" s="3"/>
      <c r="BS9" s="49">
        <v>24.8</v>
      </c>
      <c r="BT9" s="49">
        <v>7333.6940000000004</v>
      </c>
      <c r="BU9" s="49">
        <v>49.484999999999999</v>
      </c>
      <c r="BV9" s="49">
        <v>51.475999999999999</v>
      </c>
      <c r="BW9" s="49">
        <v>53.738999999999997</v>
      </c>
      <c r="BX9" s="49">
        <v>53.735999999999997</v>
      </c>
      <c r="BY9" s="49">
        <v>1.468</v>
      </c>
      <c r="BZ9" s="49">
        <v>3.19</v>
      </c>
      <c r="CA9" s="49">
        <v>3.2949999999999999</v>
      </c>
      <c r="CB9" s="49">
        <v>3.133</v>
      </c>
      <c r="CC9" s="49">
        <v>1.0009999999999999</v>
      </c>
      <c r="CD9" s="49">
        <v>2.2890000000000001</v>
      </c>
      <c r="CE9" s="49">
        <v>1.4470000000000001</v>
      </c>
      <c r="CF9" s="49">
        <v>2.2080000000000002</v>
      </c>
      <c r="CG9" s="49">
        <v>13.759</v>
      </c>
      <c r="CH9" s="49">
        <v>13.624000000000001</v>
      </c>
      <c r="CI9" s="49">
        <v>4.6879999999999997</v>
      </c>
      <c r="CJ9" s="50">
        <v>3.6749999999999998</v>
      </c>
      <c r="CK9" s="50">
        <v>1.6779999999999999</v>
      </c>
      <c r="CL9" s="50">
        <v>0.5</v>
      </c>
      <c r="CM9" s="49">
        <v>0.4</v>
      </c>
      <c r="CN9" s="50">
        <v>0</v>
      </c>
      <c r="CO9" s="50">
        <v>0</v>
      </c>
      <c r="CP9" s="49">
        <v>91.620999999999995</v>
      </c>
      <c r="CQ9" s="49">
        <v>92.914000000000001</v>
      </c>
      <c r="CR9" s="49">
        <v>105.651</v>
      </c>
      <c r="CS9" s="49">
        <v>112.014</v>
      </c>
      <c r="CT9" s="49">
        <v>0.39600000000000002</v>
      </c>
      <c r="CU9" s="50">
        <v>1.7010000000000001</v>
      </c>
      <c r="CV9" s="50">
        <v>1.4970000000000001</v>
      </c>
      <c r="CW9" s="49">
        <v>0.999</v>
      </c>
      <c r="CX9" s="49">
        <v>1.095</v>
      </c>
      <c r="CY9" s="49">
        <v>0.503</v>
      </c>
      <c r="CZ9" s="49">
        <v>0.89800000000000002</v>
      </c>
      <c r="DA9" s="49">
        <v>0.4</v>
      </c>
      <c r="DB9" s="50">
        <v>2.496</v>
      </c>
      <c r="DC9" s="50">
        <v>0</v>
      </c>
      <c r="DD9" s="50">
        <v>0</v>
      </c>
      <c r="DE9" s="49">
        <v>0.13200000000000001</v>
      </c>
      <c r="DF9" s="49">
        <v>3.2000000000000001E-2</v>
      </c>
      <c r="DG9" s="49">
        <v>0.33600000000000002</v>
      </c>
      <c r="DH9" s="49">
        <v>1.409</v>
      </c>
      <c r="DI9" s="49">
        <v>0.69799999999999995</v>
      </c>
      <c r="DJ9" s="49">
        <v>5.0999999999999997E-2</v>
      </c>
      <c r="DK9" s="49">
        <v>0.64500000000000002</v>
      </c>
      <c r="DL9" s="49">
        <v>0.41199999999999998</v>
      </c>
      <c r="DM9" s="50">
        <v>0.70199999999999996</v>
      </c>
      <c r="DN9" s="49">
        <v>0.41899999999999998</v>
      </c>
      <c r="DO9" s="49">
        <v>0.35299999999999998</v>
      </c>
      <c r="DP9" s="49">
        <v>66.626000000000005</v>
      </c>
      <c r="DQ9" s="49">
        <v>61.338000000000001</v>
      </c>
      <c r="DR9" s="50">
        <v>54.741</v>
      </c>
      <c r="DS9" s="49">
        <v>52.817</v>
      </c>
      <c r="DT9" s="50">
        <v>6.36</v>
      </c>
      <c r="DU9" s="50">
        <v>6.23</v>
      </c>
      <c r="DV9" s="50">
        <v>11.2</v>
      </c>
      <c r="DW9" s="49">
        <v>8.51</v>
      </c>
      <c r="DX9" s="50">
        <v>6.84</v>
      </c>
      <c r="DY9" s="50">
        <v>6.48</v>
      </c>
      <c r="DZ9" s="50">
        <v>10.64</v>
      </c>
      <c r="EA9" s="49">
        <v>8.0500000000000007</v>
      </c>
      <c r="EB9" s="49">
        <v>42.29</v>
      </c>
      <c r="EC9" s="49">
        <v>41.42</v>
      </c>
      <c r="ED9" s="49">
        <v>35.25</v>
      </c>
      <c r="EE9" s="49">
        <v>38.17</v>
      </c>
      <c r="EF9" s="49">
        <v>44.51</v>
      </c>
      <c r="EG9" s="49">
        <v>45.86</v>
      </c>
      <c r="EH9" s="49">
        <v>42.91</v>
      </c>
      <c r="EI9" s="49">
        <v>45.28</v>
      </c>
      <c r="EJ9" s="49">
        <v>5.8940000000000001</v>
      </c>
      <c r="EK9" s="49">
        <v>62.148000000000003</v>
      </c>
      <c r="EL9" s="49">
        <v>2.2000000000000002</v>
      </c>
      <c r="EM9" s="49">
        <v>1.75</v>
      </c>
      <c r="EN9" s="50">
        <v>1.25</v>
      </c>
      <c r="EO9" s="50">
        <v>1.26</v>
      </c>
      <c r="EP9" s="49">
        <v>-91.622</v>
      </c>
      <c r="EQ9" s="49">
        <v>-2.59</v>
      </c>
      <c r="ER9" s="50">
        <v>112.77800000000001</v>
      </c>
      <c r="ES9" s="49">
        <v>1.4830000000000001</v>
      </c>
      <c r="ET9" s="49">
        <v>1.611</v>
      </c>
      <c r="EU9" s="49">
        <v>1.4370000000000001</v>
      </c>
      <c r="EV9" s="49">
        <v>7.6870000000000003</v>
      </c>
      <c r="EW9" s="49">
        <v>2.85</v>
      </c>
      <c r="EX9" s="49">
        <v>69.44</v>
      </c>
      <c r="EY9" s="49">
        <v>0</v>
      </c>
      <c r="EZ9" s="49">
        <v>1.5289999999999999</v>
      </c>
      <c r="FA9" s="50">
        <v>0</v>
      </c>
      <c r="FB9" s="49">
        <v>9.0020000000000007</v>
      </c>
      <c r="FC9" s="49">
        <v>67.558000000000007</v>
      </c>
      <c r="FD9" s="49">
        <v>62.256999999999998</v>
      </c>
      <c r="FE9" s="49">
        <v>76.608000000000004</v>
      </c>
      <c r="FF9" s="49">
        <v>75.126000000000005</v>
      </c>
      <c r="FG9" s="49">
        <v>0.91800000000000004</v>
      </c>
      <c r="FH9" s="49">
        <v>0.91800000000000004</v>
      </c>
      <c r="FI9" s="49">
        <v>0.996</v>
      </c>
      <c r="FJ9" s="49">
        <v>0.998</v>
      </c>
      <c r="FK9" s="49">
        <v>0</v>
      </c>
      <c r="FL9" s="50">
        <v>83</v>
      </c>
      <c r="FM9" s="49">
        <v>3.79</v>
      </c>
      <c r="FN9" s="49">
        <v>-0.56000000000000005</v>
      </c>
      <c r="FO9" s="49">
        <v>5.46</v>
      </c>
      <c r="FP9" s="49">
        <v>4.1500000000000004</v>
      </c>
      <c r="FQ9" s="50">
        <v>4.4000000000000004</v>
      </c>
      <c r="FR9" s="49">
        <v>5</v>
      </c>
      <c r="FS9" s="49">
        <v>6.7184999999999997</v>
      </c>
      <c r="FT9" s="49">
        <v>1068.4000000000001</v>
      </c>
      <c r="FU9" s="49">
        <v>5.51</v>
      </c>
      <c r="FV9" s="49">
        <v>17.25</v>
      </c>
      <c r="FW9" s="49">
        <v>3205</v>
      </c>
      <c r="FX9" s="49">
        <v>164400</v>
      </c>
      <c r="FY9" s="50">
        <v>166200</v>
      </c>
      <c r="FZ9" s="49">
        <v>47.911000000000001</v>
      </c>
      <c r="GA9" s="49">
        <v>47.88</v>
      </c>
      <c r="GB9" s="49">
        <v>2151.1999999999998</v>
      </c>
      <c r="GC9" s="50">
        <v>2241.9</v>
      </c>
      <c r="GD9" s="49">
        <v>2232.8000000000002</v>
      </c>
      <c r="GE9" s="49">
        <v>2241.9</v>
      </c>
      <c r="GF9" s="49">
        <v>1413.7655999999999</v>
      </c>
      <c r="GG9" s="49">
        <v>27</v>
      </c>
      <c r="GH9" s="49">
        <v>26.9</v>
      </c>
      <c r="GI9" s="49">
        <v>44.9</v>
      </c>
      <c r="GJ9" s="49">
        <v>49.9</v>
      </c>
      <c r="GK9" s="49">
        <v>99.5</v>
      </c>
      <c r="GL9" s="50">
        <v>110.8</v>
      </c>
      <c r="GM9" s="50">
        <v>0</v>
      </c>
      <c r="GN9" s="50">
        <v>27.2</v>
      </c>
      <c r="GO9" s="50">
        <v>112.77800000000001</v>
      </c>
      <c r="GP9" s="49">
        <v>0.76700000000000002</v>
      </c>
      <c r="GQ9" s="49">
        <v>1.829</v>
      </c>
      <c r="GR9" s="49">
        <v>1.298</v>
      </c>
      <c r="GS9" s="49">
        <v>2.0059999999999998</v>
      </c>
      <c r="GT9" s="49">
        <v>0.70799999999999996</v>
      </c>
      <c r="GU9" s="49">
        <v>1.829</v>
      </c>
      <c r="GV9" s="49">
        <v>12.641999999999999</v>
      </c>
      <c r="GW9" s="49">
        <v>13.865</v>
      </c>
      <c r="GX9" s="49">
        <v>15.582000000000001</v>
      </c>
      <c r="GY9" s="50">
        <v>0</v>
      </c>
      <c r="GZ9" s="50">
        <v>0</v>
      </c>
      <c r="HA9" s="50">
        <v>0</v>
      </c>
      <c r="HB9" s="49">
        <v>0</v>
      </c>
      <c r="HC9" s="49">
        <v>35.799999999999997</v>
      </c>
      <c r="HD9" s="49">
        <v>78</v>
      </c>
      <c r="HE9" s="50">
        <v>0</v>
      </c>
      <c r="HF9" s="50">
        <v>0</v>
      </c>
      <c r="HG9" s="49">
        <v>73.75</v>
      </c>
      <c r="HH9" s="49">
        <v>79.19</v>
      </c>
      <c r="HI9" s="50">
        <v>0</v>
      </c>
      <c r="HJ9" s="50">
        <v>0</v>
      </c>
      <c r="HK9" s="50">
        <v>0</v>
      </c>
      <c r="HL9" s="49">
        <v>54</v>
      </c>
      <c r="HM9" s="49">
        <v>48</v>
      </c>
      <c r="HN9" s="49">
        <v>58</v>
      </c>
      <c r="HO9" s="49">
        <v>51</v>
      </c>
      <c r="HP9" s="49">
        <v>55</v>
      </c>
      <c r="HQ9" s="49">
        <v>53</v>
      </c>
      <c r="HR9" s="49">
        <v>46</v>
      </c>
      <c r="HS9" s="49">
        <v>62</v>
      </c>
      <c r="HT9" s="49">
        <v>-1.3779999999999999</v>
      </c>
      <c r="HU9" s="50">
        <v>0</v>
      </c>
      <c r="HV9" s="49">
        <v>0.51300000000000001</v>
      </c>
      <c r="HW9" s="50">
        <v>39.58</v>
      </c>
      <c r="HX9" s="50">
        <v>45.47</v>
      </c>
      <c r="HY9" s="49">
        <v>51.67</v>
      </c>
      <c r="HZ9" s="49">
        <v>51.67</v>
      </c>
      <c r="IA9" s="49">
        <v>2.5459999999999998</v>
      </c>
      <c r="IB9" s="50">
        <v>103</v>
      </c>
      <c r="IC9" s="49">
        <v>21.888999999999999</v>
      </c>
      <c r="ID9" s="49">
        <v>-0.373</v>
      </c>
      <c r="IE9" s="49">
        <v>-0.222</v>
      </c>
      <c r="IF9" s="49">
        <v>803.6</v>
      </c>
      <c r="IG9" s="49">
        <v>751.4</v>
      </c>
      <c r="IH9" s="49">
        <v>813.2</v>
      </c>
      <c r="II9" s="49">
        <v>763.6</v>
      </c>
      <c r="IJ9" s="50">
        <v>1.4E-2</v>
      </c>
      <c r="IK9" s="49">
        <v>0.02</v>
      </c>
      <c r="IL9" s="49">
        <v>85.325999999999993</v>
      </c>
      <c r="IM9" s="49">
        <v>85.325999999999993</v>
      </c>
      <c r="IN9" s="49">
        <v>12.321999999999999</v>
      </c>
      <c r="IO9" s="49">
        <v>0.16600000000000001</v>
      </c>
      <c r="IP9" s="49">
        <v>9</v>
      </c>
      <c r="IQ9" s="49">
        <v>8.9999999999999993E-3</v>
      </c>
      <c r="IR9" s="49">
        <v>6.0000000000000001E-3</v>
      </c>
    </row>
    <row r="10" spans="2:252" x14ac:dyDescent="0.25">
      <c r="B10" s="2" t="s">
        <v>412</v>
      </c>
      <c r="C10" s="62" t="s">
        <v>44</v>
      </c>
      <c r="D10" s="63">
        <v>2.4795138888888892E-3</v>
      </c>
      <c r="E10" s="49">
        <v>214.27</v>
      </c>
      <c r="F10" s="49">
        <v>329.49</v>
      </c>
      <c r="G10" s="50">
        <v>5.98</v>
      </c>
      <c r="H10" s="50">
        <v>25.4</v>
      </c>
      <c r="I10" s="50">
        <v>0</v>
      </c>
      <c r="J10" s="49">
        <v>15.4</v>
      </c>
      <c r="K10" s="50">
        <v>6</v>
      </c>
      <c r="L10" s="50">
        <v>6</v>
      </c>
      <c r="M10" s="50">
        <v>7</v>
      </c>
      <c r="N10" s="50">
        <v>3</v>
      </c>
      <c r="O10" s="50">
        <v>3</v>
      </c>
      <c r="P10" s="49">
        <v>0.38500000000000001</v>
      </c>
      <c r="Q10" s="49">
        <v>0.92</v>
      </c>
      <c r="R10" s="49">
        <v>0.10299999999999999</v>
      </c>
      <c r="S10" s="50">
        <v>0.20300000000000001</v>
      </c>
      <c r="T10" s="50">
        <v>90.5</v>
      </c>
      <c r="U10" s="49">
        <v>60.509</v>
      </c>
      <c r="V10" s="49">
        <v>225</v>
      </c>
      <c r="W10" s="49">
        <v>241.66</v>
      </c>
      <c r="X10" s="49">
        <v>165</v>
      </c>
      <c r="Y10" s="49">
        <v>210</v>
      </c>
      <c r="Z10" s="50">
        <v>372.54</v>
      </c>
      <c r="AA10" s="50">
        <v>382.47</v>
      </c>
      <c r="AB10" s="49">
        <v>271.33999999999997</v>
      </c>
      <c r="AC10" s="49">
        <v>342.45</v>
      </c>
      <c r="AD10" s="49">
        <v>1.829</v>
      </c>
      <c r="AE10" s="49">
        <v>1.8979999999999999</v>
      </c>
      <c r="AF10" s="49">
        <v>1.8560000000000001</v>
      </c>
      <c r="AG10" s="49">
        <v>1.917</v>
      </c>
      <c r="AH10" s="49">
        <v>77.77</v>
      </c>
      <c r="AI10" s="49">
        <v>68.58</v>
      </c>
      <c r="AJ10" s="49">
        <v>103.64</v>
      </c>
      <c r="AK10" s="49">
        <v>101.15</v>
      </c>
      <c r="AL10" s="50">
        <v>655.24699999999996</v>
      </c>
      <c r="AM10" s="49">
        <v>653.55600000000004</v>
      </c>
      <c r="AN10" s="49">
        <v>840.10699999999997</v>
      </c>
      <c r="AO10" s="49">
        <v>784.52599999999995</v>
      </c>
      <c r="AP10" s="49">
        <v>1.425</v>
      </c>
      <c r="AQ10" s="49">
        <v>1.88</v>
      </c>
      <c r="AR10" s="49">
        <v>40.710999999999999</v>
      </c>
      <c r="AS10" s="49">
        <v>37.984000000000002</v>
      </c>
      <c r="AT10" s="50">
        <v>82</v>
      </c>
      <c r="AU10" s="49">
        <v>116</v>
      </c>
      <c r="AV10" s="49">
        <v>1.69</v>
      </c>
      <c r="AW10" s="49">
        <v>5.0046999999999997</v>
      </c>
      <c r="AX10" s="49">
        <v>1015.5</v>
      </c>
      <c r="AY10" s="49">
        <v>2.41</v>
      </c>
      <c r="AZ10" s="49">
        <v>5.73</v>
      </c>
      <c r="BA10" s="49">
        <v>139.70599999999999</v>
      </c>
      <c r="BB10" s="49">
        <v>137.63900000000001</v>
      </c>
      <c r="BC10" s="49">
        <v>7683</v>
      </c>
      <c r="BD10" s="49">
        <v>89</v>
      </c>
      <c r="BE10" s="49">
        <v>14.645</v>
      </c>
      <c r="BF10" s="49">
        <v>13.23</v>
      </c>
      <c r="BG10" s="49">
        <v>28.82</v>
      </c>
      <c r="BH10" s="49">
        <v>27.97</v>
      </c>
      <c r="BI10" s="3"/>
      <c r="BJ10" s="3"/>
      <c r="BK10" s="3"/>
      <c r="BL10" s="3"/>
      <c r="BM10" s="3"/>
      <c r="BN10" s="49">
        <v>94.712000000000003</v>
      </c>
      <c r="BO10" s="49">
        <v>95.304000000000002</v>
      </c>
      <c r="BP10" s="49">
        <v>114.872</v>
      </c>
      <c r="BQ10" s="49">
        <v>119.512</v>
      </c>
      <c r="BR10" s="3"/>
      <c r="BS10" s="50">
        <v>25.1</v>
      </c>
      <c r="BT10" s="49">
        <v>7350.2290000000003</v>
      </c>
      <c r="BU10" s="50">
        <v>49.564999999999998</v>
      </c>
      <c r="BV10" s="50">
        <v>52.991999999999997</v>
      </c>
      <c r="BW10" s="49">
        <v>52.125</v>
      </c>
      <c r="BX10" s="49">
        <v>54.161999999999999</v>
      </c>
      <c r="BY10" s="49">
        <v>1.2529999999999999</v>
      </c>
      <c r="BZ10" s="50">
        <v>3.31</v>
      </c>
      <c r="CA10" s="49">
        <v>3.4159999999999999</v>
      </c>
      <c r="CB10" s="49">
        <v>3.3170000000000002</v>
      </c>
      <c r="CC10" s="49">
        <v>1.2070000000000001</v>
      </c>
      <c r="CD10" s="49">
        <v>2.3839999999999999</v>
      </c>
      <c r="CE10" s="49">
        <v>1.33</v>
      </c>
      <c r="CF10" s="49">
        <v>2.1</v>
      </c>
      <c r="CG10" s="49">
        <v>13.747</v>
      </c>
      <c r="CH10" s="49">
        <v>13.587999999999999</v>
      </c>
      <c r="CI10" s="49">
        <v>3.944</v>
      </c>
      <c r="CJ10" s="49">
        <v>3.4580000000000002</v>
      </c>
      <c r="CK10" s="49">
        <v>1.47</v>
      </c>
      <c r="CL10" s="49">
        <v>0.1</v>
      </c>
      <c r="CM10" s="49">
        <v>1</v>
      </c>
      <c r="CN10" s="50">
        <v>0</v>
      </c>
      <c r="CO10" s="50">
        <v>0</v>
      </c>
      <c r="CP10" s="49">
        <v>91.215999999999994</v>
      </c>
      <c r="CQ10" s="49">
        <v>92.259</v>
      </c>
      <c r="CR10" s="49">
        <v>106.741</v>
      </c>
      <c r="CS10" s="49">
        <v>113.67700000000001</v>
      </c>
      <c r="CT10" s="49">
        <v>0.32200000000000001</v>
      </c>
      <c r="CU10" s="49">
        <v>0.80200000000000005</v>
      </c>
      <c r="CV10" s="49">
        <v>1.3959999999999999</v>
      </c>
      <c r="CW10" s="49">
        <v>1.103</v>
      </c>
      <c r="CX10" s="50">
        <v>1.296</v>
      </c>
      <c r="CY10" s="49">
        <v>0.30199999999999999</v>
      </c>
      <c r="CZ10" s="49">
        <v>0.79700000000000004</v>
      </c>
      <c r="DA10" s="49">
        <v>0.4</v>
      </c>
      <c r="DB10" s="49">
        <v>1.5</v>
      </c>
      <c r="DC10" s="50">
        <v>0</v>
      </c>
      <c r="DD10" s="50">
        <v>0</v>
      </c>
      <c r="DE10" s="49">
        <v>0.125</v>
      </c>
      <c r="DF10" s="49">
        <v>4.3999999999999997E-2</v>
      </c>
      <c r="DG10" s="49">
        <v>0.496</v>
      </c>
      <c r="DH10" s="49">
        <v>1.0129999999999999</v>
      </c>
      <c r="DI10" s="49">
        <v>0.67100000000000004</v>
      </c>
      <c r="DJ10" s="49">
        <v>2E-3</v>
      </c>
      <c r="DK10" s="49">
        <v>0.77800000000000002</v>
      </c>
      <c r="DL10" s="49">
        <v>0.41799999999999998</v>
      </c>
      <c r="DM10" s="49">
        <v>0.435</v>
      </c>
      <c r="DN10" s="49">
        <v>0.28299999999999997</v>
      </c>
      <c r="DO10" s="49">
        <v>0.27100000000000002</v>
      </c>
      <c r="DP10" s="49">
        <v>65.945999999999998</v>
      </c>
      <c r="DQ10" s="49">
        <v>59.715000000000003</v>
      </c>
      <c r="DR10" s="49">
        <v>54.274000000000001</v>
      </c>
      <c r="DS10" s="49">
        <v>52.204000000000001</v>
      </c>
      <c r="DT10" s="49">
        <v>5.99</v>
      </c>
      <c r="DU10" s="49">
        <v>6.1</v>
      </c>
      <c r="DV10" s="49">
        <v>10.95</v>
      </c>
      <c r="DW10" s="50">
        <v>8.5299999999999994</v>
      </c>
      <c r="DX10" s="49">
        <v>6.18</v>
      </c>
      <c r="DY10" s="49">
        <v>6.12</v>
      </c>
      <c r="DZ10" s="49">
        <v>10.31</v>
      </c>
      <c r="EA10" s="50">
        <v>8.1300000000000008</v>
      </c>
      <c r="EB10" s="49">
        <v>42.49</v>
      </c>
      <c r="EC10" s="49">
        <v>41.65</v>
      </c>
      <c r="ED10" s="49">
        <v>35.44</v>
      </c>
      <c r="EE10" s="49">
        <v>37.96</v>
      </c>
      <c r="EF10" s="49">
        <v>45.33</v>
      </c>
      <c r="EG10" s="49">
        <v>46.12</v>
      </c>
      <c r="EH10" s="49">
        <v>43.3</v>
      </c>
      <c r="EI10" s="49">
        <v>45.38</v>
      </c>
      <c r="EJ10" s="49">
        <v>6.681</v>
      </c>
      <c r="EK10" s="50">
        <v>62.828000000000003</v>
      </c>
      <c r="EL10" s="49">
        <v>2.2000000000000002</v>
      </c>
      <c r="EM10" s="49">
        <v>1.85</v>
      </c>
      <c r="EN10" s="49">
        <v>1.19</v>
      </c>
      <c r="EO10" s="49">
        <v>1.19</v>
      </c>
      <c r="EP10" s="50">
        <v>-105.346</v>
      </c>
      <c r="EQ10" s="49">
        <v>-2.9470000000000001</v>
      </c>
      <c r="ER10" s="49">
        <v>97.885999999999996</v>
      </c>
      <c r="ES10" s="49">
        <v>1.4450000000000001</v>
      </c>
      <c r="ET10" s="50">
        <v>1.6140000000000001</v>
      </c>
      <c r="EU10" s="49">
        <v>1.4159999999999999</v>
      </c>
      <c r="EV10" s="49">
        <v>7.875</v>
      </c>
      <c r="EW10" s="49">
        <v>2.9420000000000002</v>
      </c>
      <c r="EX10" s="50">
        <v>73.58</v>
      </c>
      <c r="EY10" s="49">
        <v>0</v>
      </c>
      <c r="EZ10" s="50">
        <v>187.66499999999999</v>
      </c>
      <c r="FA10" s="50">
        <v>0</v>
      </c>
      <c r="FB10" s="49">
        <v>9.0129999999999999</v>
      </c>
      <c r="FC10" s="49">
        <v>67.899000000000001</v>
      </c>
      <c r="FD10" s="49">
        <v>62.656999999999996</v>
      </c>
      <c r="FE10" s="49">
        <v>78.369</v>
      </c>
      <c r="FF10" s="49">
        <v>76.707999999999998</v>
      </c>
      <c r="FG10" s="49">
        <v>0.91400000000000003</v>
      </c>
      <c r="FH10" s="49">
        <v>0.91400000000000003</v>
      </c>
      <c r="FI10" s="49">
        <v>0.996</v>
      </c>
      <c r="FJ10" s="49">
        <v>0.998</v>
      </c>
      <c r="FK10" s="49">
        <v>0</v>
      </c>
      <c r="FL10" s="50">
        <v>83</v>
      </c>
      <c r="FM10" s="49">
        <v>3.76</v>
      </c>
      <c r="FN10" s="49">
        <v>-0.25</v>
      </c>
      <c r="FO10" s="49">
        <v>5.52</v>
      </c>
      <c r="FP10" s="3"/>
      <c r="FQ10" s="49">
        <v>4.6500000000000004</v>
      </c>
      <c r="FR10" s="50">
        <v>4.95</v>
      </c>
      <c r="FS10" s="50">
        <v>6.7220000000000004</v>
      </c>
      <c r="FT10" s="50">
        <v>1075.3</v>
      </c>
      <c r="FU10" s="49">
        <v>6.19</v>
      </c>
      <c r="FV10" s="49">
        <v>23.23</v>
      </c>
      <c r="FW10" s="49">
        <v>3189.5</v>
      </c>
      <c r="FX10" s="49">
        <v>160800</v>
      </c>
      <c r="FY10" s="49">
        <v>163100</v>
      </c>
      <c r="FZ10" s="49">
        <v>47.406999999999996</v>
      </c>
      <c r="GA10" s="49">
        <v>47.581000000000003</v>
      </c>
      <c r="GB10" s="49">
        <v>2150</v>
      </c>
      <c r="GC10" s="49">
        <v>2151.8000000000002</v>
      </c>
      <c r="GD10" s="49">
        <v>2163.6</v>
      </c>
      <c r="GE10" s="50">
        <v>2275.5</v>
      </c>
      <c r="GF10" s="49">
        <v>1363.4219000000001</v>
      </c>
      <c r="GG10" s="49">
        <v>27</v>
      </c>
      <c r="GH10" s="49">
        <v>27.4</v>
      </c>
      <c r="GI10" s="49">
        <v>44.8</v>
      </c>
      <c r="GJ10" s="49">
        <v>50</v>
      </c>
      <c r="GK10" s="49">
        <v>99.5</v>
      </c>
      <c r="GL10" s="49">
        <v>110.2</v>
      </c>
      <c r="GM10" s="50">
        <v>0</v>
      </c>
      <c r="GN10" s="49">
        <v>25.06</v>
      </c>
      <c r="GO10" s="49">
        <v>105.346</v>
      </c>
      <c r="GP10" s="49">
        <v>0.53100000000000003</v>
      </c>
      <c r="GQ10" s="49">
        <v>1.829</v>
      </c>
      <c r="GR10" s="49">
        <v>1.121</v>
      </c>
      <c r="GS10" s="49">
        <v>1.9470000000000001</v>
      </c>
      <c r="GT10" s="49">
        <v>0.70799999999999996</v>
      </c>
      <c r="GU10" s="49">
        <v>1.829</v>
      </c>
      <c r="GV10" s="49">
        <v>12.544</v>
      </c>
      <c r="GW10" s="49">
        <v>13.823</v>
      </c>
      <c r="GX10" s="49">
        <v>14.896000000000001</v>
      </c>
      <c r="GY10" s="50">
        <v>0</v>
      </c>
      <c r="GZ10" s="50">
        <v>0</v>
      </c>
      <c r="HA10" s="50">
        <v>0</v>
      </c>
      <c r="HB10" s="49">
        <v>0</v>
      </c>
      <c r="HC10" s="50">
        <v>36.133000000000003</v>
      </c>
      <c r="HD10" s="50">
        <v>82</v>
      </c>
      <c r="HE10" s="50">
        <v>0</v>
      </c>
      <c r="HF10" s="50">
        <v>0</v>
      </c>
      <c r="HG10" s="49">
        <v>86.73</v>
      </c>
      <c r="HH10" s="49">
        <v>79.430000000000007</v>
      </c>
      <c r="HI10" s="50">
        <v>0</v>
      </c>
      <c r="HJ10" s="50">
        <v>0</v>
      </c>
      <c r="HK10" s="50">
        <v>0</v>
      </c>
      <c r="HL10" s="49">
        <v>55</v>
      </c>
      <c r="HM10" s="49">
        <v>48</v>
      </c>
      <c r="HN10" s="49">
        <v>59</v>
      </c>
      <c r="HO10" s="49">
        <v>53</v>
      </c>
      <c r="HP10" s="49">
        <v>57</v>
      </c>
      <c r="HQ10" s="49">
        <v>55</v>
      </c>
      <c r="HR10" s="49">
        <v>47</v>
      </c>
      <c r="HS10" s="50">
        <v>70</v>
      </c>
      <c r="HT10" s="49">
        <v>-1.3859999999999999</v>
      </c>
      <c r="HU10" s="50">
        <v>0</v>
      </c>
      <c r="HV10" s="49">
        <v>0.63300000000000001</v>
      </c>
      <c r="HW10" s="49">
        <v>43.79</v>
      </c>
      <c r="HX10" s="50">
        <v>45.47</v>
      </c>
      <c r="HY10" s="50">
        <v>52.25</v>
      </c>
      <c r="HZ10" s="50">
        <v>52.25</v>
      </c>
      <c r="IA10" s="50">
        <v>2.7370000000000001</v>
      </c>
      <c r="IB10" s="50">
        <v>103</v>
      </c>
      <c r="IC10" s="49">
        <v>22.193999999999999</v>
      </c>
      <c r="ID10" s="49">
        <v>-0.46200000000000002</v>
      </c>
      <c r="IE10" s="49">
        <v>-0.26800000000000002</v>
      </c>
      <c r="IF10" s="49">
        <v>808</v>
      </c>
      <c r="IG10" s="50">
        <v>758.8</v>
      </c>
      <c r="IH10" s="49">
        <v>816</v>
      </c>
      <c r="II10" s="50">
        <v>770.4</v>
      </c>
      <c r="IJ10" s="49">
        <v>-1.9E-2</v>
      </c>
      <c r="IK10" s="49">
        <v>1E-3</v>
      </c>
      <c r="IL10" s="49">
        <v>73.025999999999996</v>
      </c>
      <c r="IM10" s="49">
        <v>73.025999999999996</v>
      </c>
      <c r="IN10" s="49">
        <v>11.718999999999999</v>
      </c>
      <c r="IO10" s="49">
        <v>0.25700000000000001</v>
      </c>
      <c r="IP10" s="49">
        <v>9.1300000000000008</v>
      </c>
      <c r="IQ10" s="49">
        <v>7.0000000000000001E-3</v>
      </c>
      <c r="IR10" s="49">
        <v>5.0000000000000001E-3</v>
      </c>
    </row>
    <row r="11" spans="2:252" x14ac:dyDescent="0.25">
      <c r="B11" s="2" t="s">
        <v>412</v>
      </c>
      <c r="C11" s="2" t="s">
        <v>45</v>
      </c>
      <c r="D11" s="61">
        <v>2.8502314814814814E-3</v>
      </c>
      <c r="E11" s="49">
        <v>246.261</v>
      </c>
      <c r="F11" s="49">
        <v>328.78</v>
      </c>
      <c r="G11" s="49">
        <v>-23.23</v>
      </c>
      <c r="H11" s="50">
        <v>25.4</v>
      </c>
      <c r="I11" s="50">
        <v>0</v>
      </c>
      <c r="J11" s="49">
        <v>18.7</v>
      </c>
      <c r="K11" s="50">
        <v>6</v>
      </c>
      <c r="L11" s="50">
        <v>6</v>
      </c>
      <c r="M11" s="50">
        <v>7</v>
      </c>
      <c r="N11" s="50">
        <v>3</v>
      </c>
      <c r="O11" s="50">
        <v>3</v>
      </c>
      <c r="P11" s="49">
        <v>0.437</v>
      </c>
      <c r="Q11" s="49">
        <v>1.1739999999999999</v>
      </c>
      <c r="R11" s="49">
        <v>0.36</v>
      </c>
      <c r="S11" s="49">
        <v>0.11</v>
      </c>
      <c r="T11" s="49">
        <v>84.18</v>
      </c>
      <c r="U11" s="49">
        <v>60.496000000000002</v>
      </c>
      <c r="V11" s="49">
        <v>228.34</v>
      </c>
      <c r="W11" s="49">
        <v>255</v>
      </c>
      <c r="X11" s="49">
        <v>175</v>
      </c>
      <c r="Y11" s="49">
        <v>220</v>
      </c>
      <c r="Z11" s="49">
        <v>366.75</v>
      </c>
      <c r="AA11" s="49">
        <v>380.79</v>
      </c>
      <c r="AB11" s="50">
        <v>274.54000000000002</v>
      </c>
      <c r="AC11" s="50">
        <v>344.46</v>
      </c>
      <c r="AD11" s="50">
        <v>1.841</v>
      </c>
      <c r="AE11" s="50">
        <v>1.909</v>
      </c>
      <c r="AF11" s="50">
        <v>1.8839999999999999</v>
      </c>
      <c r="AG11" s="50">
        <v>1.9430000000000001</v>
      </c>
      <c r="AH11" s="50">
        <v>79</v>
      </c>
      <c r="AI11" s="50">
        <v>70</v>
      </c>
      <c r="AJ11" s="50">
        <v>105.92</v>
      </c>
      <c r="AK11" s="50">
        <v>103.35</v>
      </c>
      <c r="AL11" s="49">
        <v>645.16499999999996</v>
      </c>
      <c r="AM11" s="50">
        <v>666.73299999999995</v>
      </c>
      <c r="AN11" s="49">
        <v>814.11199999999997</v>
      </c>
      <c r="AO11" s="49">
        <v>801.46299999999997</v>
      </c>
      <c r="AP11" s="49">
        <v>1.417</v>
      </c>
      <c r="AQ11" s="49">
        <v>1.8859999999999999</v>
      </c>
      <c r="AR11" s="50">
        <v>42.817999999999998</v>
      </c>
      <c r="AS11" s="49">
        <v>40.524000000000001</v>
      </c>
      <c r="AT11" s="50">
        <v>82</v>
      </c>
      <c r="AU11" s="50">
        <v>118</v>
      </c>
      <c r="AV11" s="50">
        <v>1.6445000000000001</v>
      </c>
      <c r="AW11" s="49">
        <v>4.7873000000000001</v>
      </c>
      <c r="AX11" s="49">
        <v>1016.2</v>
      </c>
      <c r="AY11" s="49">
        <v>2.4</v>
      </c>
      <c r="AZ11" s="49">
        <v>5.64</v>
      </c>
      <c r="BA11" s="50">
        <v>69.2</v>
      </c>
      <c r="BB11" s="50">
        <v>69.307000000000002</v>
      </c>
      <c r="BC11" s="49">
        <v>7686</v>
      </c>
      <c r="BD11" s="49">
        <v>89.25</v>
      </c>
      <c r="BE11" s="50">
        <v>15.045</v>
      </c>
      <c r="BF11" s="49">
        <v>13.345000000000001</v>
      </c>
      <c r="BG11" s="49">
        <v>29.18</v>
      </c>
      <c r="BH11" s="50">
        <v>29.86</v>
      </c>
      <c r="BI11" s="50">
        <v>66.22</v>
      </c>
      <c r="BJ11" s="50">
        <v>81.793000000000006</v>
      </c>
      <c r="BK11" s="50">
        <v>64.572999999999993</v>
      </c>
      <c r="BL11" s="49">
        <v>78.567999999999998</v>
      </c>
      <c r="BM11" s="50">
        <v>80.039000000000001</v>
      </c>
      <c r="BN11" s="50">
        <v>109.496</v>
      </c>
      <c r="BO11" s="50">
        <v>108.63200000000001</v>
      </c>
      <c r="BP11" s="50">
        <v>127.4</v>
      </c>
      <c r="BQ11" s="50">
        <v>131.72</v>
      </c>
      <c r="BR11" s="50">
        <v>60.253999999999998</v>
      </c>
      <c r="BS11" s="50">
        <v>25.1</v>
      </c>
      <c r="BT11" s="49">
        <v>7328.9489999999996</v>
      </c>
      <c r="BU11" s="49">
        <v>48.627000000000002</v>
      </c>
      <c r="BV11" s="49">
        <v>51.779000000000003</v>
      </c>
      <c r="BW11" s="49">
        <v>51.682000000000002</v>
      </c>
      <c r="BX11" s="50">
        <v>54.83</v>
      </c>
      <c r="BY11" s="50">
        <v>1.762</v>
      </c>
      <c r="BZ11" s="49">
        <v>3.2360000000000002</v>
      </c>
      <c r="CA11" s="49">
        <v>3.0529999999999999</v>
      </c>
      <c r="CB11" s="50">
        <v>3.456</v>
      </c>
      <c r="CC11" s="49">
        <v>1.0109999999999999</v>
      </c>
      <c r="CD11" s="49">
        <v>2.3959999999999999</v>
      </c>
      <c r="CE11" s="49">
        <v>1.341</v>
      </c>
      <c r="CF11" s="49">
        <v>2.056</v>
      </c>
      <c r="CG11" s="50">
        <v>13.769</v>
      </c>
      <c r="CH11" s="49">
        <v>13.388</v>
      </c>
      <c r="CI11" s="3"/>
      <c r="CJ11" s="3"/>
      <c r="CK11" s="3"/>
      <c r="CL11" s="49">
        <v>0</v>
      </c>
      <c r="CM11" s="50">
        <v>3.2</v>
      </c>
      <c r="CN11" s="50">
        <v>0</v>
      </c>
      <c r="CO11" s="50">
        <v>0</v>
      </c>
      <c r="CP11" s="50">
        <v>93.465000000000003</v>
      </c>
      <c r="CQ11" s="50">
        <v>93.841999999999999</v>
      </c>
      <c r="CR11" s="50">
        <v>114.06100000000001</v>
      </c>
      <c r="CS11" s="50">
        <v>120.34</v>
      </c>
      <c r="CT11" s="50">
        <v>0.61099999999999999</v>
      </c>
      <c r="CU11" s="49">
        <v>0.89700000000000002</v>
      </c>
      <c r="CV11" s="49">
        <v>0.9</v>
      </c>
      <c r="CW11" s="49">
        <v>0.9</v>
      </c>
      <c r="CX11" s="49">
        <v>0.8</v>
      </c>
      <c r="CY11" s="50">
        <v>0.70099999999999996</v>
      </c>
      <c r="CZ11" s="50">
        <v>1.198</v>
      </c>
      <c r="DA11" s="49">
        <v>0.89800000000000002</v>
      </c>
      <c r="DB11" s="49">
        <v>1.3979999999999999</v>
      </c>
      <c r="DC11" s="50">
        <v>0</v>
      </c>
      <c r="DD11" s="50">
        <v>0</v>
      </c>
      <c r="DE11" s="49">
        <v>0.14299999999999999</v>
      </c>
      <c r="DF11" s="50">
        <v>5.0999999999999997E-2</v>
      </c>
      <c r="DG11" s="49">
        <v>0.28199999999999997</v>
      </c>
      <c r="DH11" s="49">
        <v>1.494</v>
      </c>
      <c r="DI11" s="49">
        <v>0.67400000000000004</v>
      </c>
      <c r="DJ11" s="49">
        <v>5.8000000000000003E-2</v>
      </c>
      <c r="DK11" s="49">
        <v>0.65200000000000002</v>
      </c>
      <c r="DL11" s="49">
        <v>0.41399999999999998</v>
      </c>
      <c r="DM11" s="49">
        <v>0.35899999999999999</v>
      </c>
      <c r="DN11" s="49">
        <v>0.375</v>
      </c>
      <c r="DO11" s="49">
        <v>0.19400000000000001</v>
      </c>
      <c r="DP11" s="50">
        <v>67.825999999999993</v>
      </c>
      <c r="DQ11" s="50">
        <v>62.767000000000003</v>
      </c>
      <c r="DR11" s="49">
        <v>53.828000000000003</v>
      </c>
      <c r="DS11" s="50">
        <v>53.088999999999999</v>
      </c>
      <c r="DT11" s="49">
        <v>5.61</v>
      </c>
      <c r="DU11" s="49">
        <v>5.99</v>
      </c>
      <c r="DV11" s="49">
        <v>10.35</v>
      </c>
      <c r="DW11" s="49">
        <v>8.14</v>
      </c>
      <c r="DX11" s="49">
        <v>5.75</v>
      </c>
      <c r="DY11" s="49">
        <v>6.16</v>
      </c>
      <c r="DZ11" s="49">
        <v>9.83</v>
      </c>
      <c r="EA11" s="49">
        <v>7.93</v>
      </c>
      <c r="EB11" s="49">
        <v>42.73</v>
      </c>
      <c r="EC11" s="49">
        <v>40.840000000000003</v>
      </c>
      <c r="ED11" s="49">
        <v>34.56</v>
      </c>
      <c r="EE11" s="49">
        <v>36.49</v>
      </c>
      <c r="EF11" s="49">
        <v>45.91</v>
      </c>
      <c r="EG11" s="49">
        <v>47.02</v>
      </c>
      <c r="EH11" s="49">
        <v>45.26</v>
      </c>
      <c r="EI11" s="49">
        <v>47.44</v>
      </c>
      <c r="EJ11" s="50">
        <v>6.6959999999999997</v>
      </c>
      <c r="EK11" s="49">
        <v>62.624000000000002</v>
      </c>
      <c r="EL11" s="49">
        <v>2.2999999999999998</v>
      </c>
      <c r="EM11" s="49">
        <v>1.85</v>
      </c>
      <c r="EN11" s="49">
        <v>1.18</v>
      </c>
      <c r="EO11" s="49">
        <v>1.18</v>
      </c>
      <c r="EP11" s="49">
        <v>-93.665999999999997</v>
      </c>
      <c r="EQ11" s="49">
        <v>-2.63</v>
      </c>
      <c r="ER11" s="49">
        <v>82.701999999999998</v>
      </c>
      <c r="ES11" s="49">
        <v>1.425</v>
      </c>
      <c r="ET11" s="49">
        <v>1.579</v>
      </c>
      <c r="EU11" s="49">
        <v>1.405</v>
      </c>
      <c r="EV11" s="49">
        <v>7.7409999999999997</v>
      </c>
      <c r="EW11" s="49">
        <v>2.786</v>
      </c>
      <c r="EX11" s="49">
        <v>71.099999999999994</v>
      </c>
      <c r="EY11" s="49">
        <v>8.1000000000000003E-2</v>
      </c>
      <c r="EZ11" s="49">
        <v>0</v>
      </c>
      <c r="FA11" s="50">
        <v>0</v>
      </c>
      <c r="FB11" s="50">
        <v>9.0830000000000002</v>
      </c>
      <c r="FC11" s="50">
        <v>68.87</v>
      </c>
      <c r="FD11" s="50">
        <v>63.32</v>
      </c>
      <c r="FE11" s="50">
        <v>80.747</v>
      </c>
      <c r="FF11" s="50">
        <v>78.831000000000003</v>
      </c>
      <c r="FG11" s="49">
        <v>0.93100000000000005</v>
      </c>
      <c r="FH11" s="49">
        <v>0.92500000000000004</v>
      </c>
      <c r="FI11" s="49">
        <v>0.996</v>
      </c>
      <c r="FJ11" s="49">
        <v>0.998</v>
      </c>
      <c r="FK11" s="49">
        <v>0</v>
      </c>
      <c r="FL11" s="50">
        <v>83</v>
      </c>
      <c r="FM11" s="50">
        <v>3.82</v>
      </c>
      <c r="FN11" s="49">
        <v>0.84</v>
      </c>
      <c r="FO11" s="49">
        <v>5.45</v>
      </c>
      <c r="FP11" s="49">
        <v>3.85</v>
      </c>
      <c r="FQ11" s="49">
        <v>4.5</v>
      </c>
      <c r="FR11" s="49">
        <v>5.05</v>
      </c>
      <c r="FS11" s="49">
        <v>6.6505000000000001</v>
      </c>
      <c r="FT11" s="49">
        <v>1073.8</v>
      </c>
      <c r="FU11" s="50">
        <v>6.27</v>
      </c>
      <c r="FV11" s="50">
        <v>29.1</v>
      </c>
      <c r="FW11" s="49">
        <v>3141.5</v>
      </c>
      <c r="FX11" s="49">
        <v>162000</v>
      </c>
      <c r="FY11" s="49">
        <v>163100</v>
      </c>
      <c r="FZ11" s="49">
        <v>47.183</v>
      </c>
      <c r="GA11" s="49">
        <v>47.557000000000002</v>
      </c>
      <c r="GB11" s="49">
        <v>2145</v>
      </c>
      <c r="GC11" s="49">
        <v>2147.1999999999998</v>
      </c>
      <c r="GD11" s="49">
        <v>2198.5</v>
      </c>
      <c r="GE11" s="49">
        <v>2201.9</v>
      </c>
      <c r="GF11" s="49">
        <v>1293.1875</v>
      </c>
      <c r="GG11" s="49">
        <v>28</v>
      </c>
      <c r="GH11" s="49">
        <v>28.3</v>
      </c>
      <c r="GI11" s="49">
        <v>44.8</v>
      </c>
      <c r="GJ11" s="49">
        <v>50.2</v>
      </c>
      <c r="GK11" s="49">
        <v>99.5</v>
      </c>
      <c r="GL11" s="49">
        <v>108.8</v>
      </c>
      <c r="GM11" s="50">
        <v>0</v>
      </c>
      <c r="GN11" s="49">
        <v>26.277000000000001</v>
      </c>
      <c r="GO11" s="49">
        <v>93.665999999999997</v>
      </c>
      <c r="GP11" s="50">
        <v>0</v>
      </c>
      <c r="GQ11" s="50">
        <v>5.1920000000000002</v>
      </c>
      <c r="GR11" s="50">
        <v>0</v>
      </c>
      <c r="GS11" s="50">
        <v>5.2510000000000003</v>
      </c>
      <c r="GT11" s="50">
        <v>0</v>
      </c>
      <c r="GU11" s="50">
        <v>5.1920000000000002</v>
      </c>
      <c r="GV11" s="50">
        <v>0</v>
      </c>
      <c r="GW11" s="49">
        <v>13.483000000000001</v>
      </c>
      <c r="GX11" s="49">
        <v>15.092000000000001</v>
      </c>
      <c r="GY11" s="50">
        <v>0</v>
      </c>
      <c r="GZ11" s="50">
        <v>0</v>
      </c>
      <c r="HA11" s="50">
        <v>0</v>
      </c>
      <c r="HB11" s="49">
        <v>0</v>
      </c>
      <c r="HC11" s="49">
        <v>34.386000000000003</v>
      </c>
      <c r="HD11" s="50">
        <v>82</v>
      </c>
      <c r="HE11" s="50">
        <v>0</v>
      </c>
      <c r="HF11" s="50">
        <v>0</v>
      </c>
      <c r="HG11" s="49">
        <v>74.930000000000007</v>
      </c>
      <c r="HH11" s="49">
        <v>78.510000000000005</v>
      </c>
      <c r="HI11" s="50">
        <v>0</v>
      </c>
      <c r="HJ11" s="50">
        <v>0</v>
      </c>
      <c r="HK11" s="50">
        <v>0</v>
      </c>
      <c r="HL11" s="50">
        <v>56</v>
      </c>
      <c r="HM11" s="49">
        <v>49</v>
      </c>
      <c r="HN11" s="50">
        <v>61</v>
      </c>
      <c r="HO11" s="50">
        <v>54</v>
      </c>
      <c r="HP11" s="50">
        <v>58</v>
      </c>
      <c r="HQ11" s="50">
        <v>56</v>
      </c>
      <c r="HR11" s="50">
        <v>48</v>
      </c>
      <c r="HS11" s="49">
        <v>62</v>
      </c>
      <c r="HT11" s="50">
        <v>-1.407</v>
      </c>
      <c r="HU11" s="50">
        <v>0</v>
      </c>
      <c r="HV11" s="50">
        <v>0.74099999999999999</v>
      </c>
      <c r="HW11" s="49">
        <v>45.97</v>
      </c>
      <c r="HX11" s="49">
        <v>47.68</v>
      </c>
      <c r="HY11" s="3"/>
      <c r="HZ11" s="3"/>
      <c r="IA11" s="49">
        <v>2.6659999999999999</v>
      </c>
      <c r="IB11" s="50">
        <v>103</v>
      </c>
      <c r="IC11" s="50">
        <v>22.233000000000001</v>
      </c>
      <c r="ID11" s="49">
        <v>-0.36099999999999999</v>
      </c>
      <c r="IE11" s="49">
        <v>-0.20300000000000001</v>
      </c>
      <c r="IF11" s="50">
        <v>817.5</v>
      </c>
      <c r="IG11" s="49">
        <v>746</v>
      </c>
      <c r="IH11" s="50">
        <v>822.4</v>
      </c>
      <c r="II11" s="49">
        <v>759.9</v>
      </c>
      <c r="IJ11" s="49">
        <v>-0.03</v>
      </c>
      <c r="IK11" s="50">
        <v>2.1999999999999999E-2</v>
      </c>
      <c r="IL11" s="49">
        <v>84.573999999999998</v>
      </c>
      <c r="IM11" s="49">
        <v>84.573999999999998</v>
      </c>
      <c r="IN11" s="50">
        <v>14.093999999999999</v>
      </c>
      <c r="IO11" s="50">
        <v>0.25900000000000001</v>
      </c>
      <c r="IP11" s="49">
        <v>9.32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110E-3BBE-4610-86F2-2DF7E9FB88A5}">
  <sheetPr codeName="Sheet16"/>
  <dimension ref="B1:IR11"/>
  <sheetViews>
    <sheetView zoomScale="80" zoomScaleNormal="80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427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3.5311342592592595E-3</v>
      </c>
      <c r="E7" s="50">
        <v>305.09100000000001</v>
      </c>
      <c r="F7" s="49">
        <v>329.67</v>
      </c>
      <c r="G7" s="49">
        <v>5.74</v>
      </c>
      <c r="H7" s="49">
        <v>25.3</v>
      </c>
      <c r="I7" s="50">
        <v>0</v>
      </c>
      <c r="J7" s="50">
        <v>35.299999999999997</v>
      </c>
      <c r="K7" s="50">
        <v>6</v>
      </c>
      <c r="L7" s="50">
        <v>6</v>
      </c>
      <c r="M7" s="50">
        <v>7</v>
      </c>
      <c r="N7" s="50">
        <v>2</v>
      </c>
      <c r="O7" s="50">
        <v>3</v>
      </c>
      <c r="P7" s="49">
        <v>0.42599999999999999</v>
      </c>
      <c r="Q7" s="49">
        <v>0.80500000000000005</v>
      </c>
      <c r="R7" s="49">
        <v>0.433</v>
      </c>
      <c r="S7" s="49">
        <v>0.26800000000000002</v>
      </c>
      <c r="T7" s="49">
        <v>59.75</v>
      </c>
      <c r="U7" s="50">
        <v>61.497999999999998</v>
      </c>
      <c r="V7" s="50">
        <v>165</v>
      </c>
      <c r="W7" s="50">
        <v>192.5</v>
      </c>
      <c r="X7" s="50">
        <v>122.5</v>
      </c>
      <c r="Y7" s="50">
        <v>147.5</v>
      </c>
      <c r="Z7" s="49">
        <v>322.42</v>
      </c>
      <c r="AA7" s="49">
        <v>341.2</v>
      </c>
      <c r="AB7" s="49">
        <v>217.3</v>
      </c>
      <c r="AC7" s="49">
        <v>276.20999999999998</v>
      </c>
      <c r="AD7" s="49">
        <v>1.8089999999999999</v>
      </c>
      <c r="AE7" s="49">
        <v>1.827</v>
      </c>
      <c r="AF7" s="49">
        <v>1.782</v>
      </c>
      <c r="AG7" s="49">
        <v>1.8129999999999999</v>
      </c>
      <c r="AH7" s="49">
        <v>68.37</v>
      </c>
      <c r="AI7" s="49">
        <v>61.03</v>
      </c>
      <c r="AJ7" s="49">
        <v>89.34</v>
      </c>
      <c r="AK7" s="49">
        <v>81.400000000000006</v>
      </c>
      <c r="AL7" s="49">
        <v>623.78099999999995</v>
      </c>
      <c r="AM7" s="49">
        <v>639.47500000000002</v>
      </c>
      <c r="AN7" s="49">
        <v>807.61400000000003</v>
      </c>
      <c r="AO7" s="49">
        <v>792.39499999999998</v>
      </c>
      <c r="AP7" s="50">
        <v>1.4430000000000001</v>
      </c>
      <c r="AQ7" s="50">
        <v>1.9119999999999999</v>
      </c>
      <c r="AR7" s="49">
        <v>41.627000000000002</v>
      </c>
      <c r="AS7" s="49">
        <v>38.433999999999997</v>
      </c>
      <c r="AT7" s="50">
        <v>85</v>
      </c>
      <c r="AU7" s="49">
        <v>114</v>
      </c>
      <c r="AV7" s="49">
        <v>1.6975</v>
      </c>
      <c r="AW7" s="49">
        <v>4.5468000000000002</v>
      </c>
      <c r="AX7" s="50">
        <v>1020.4</v>
      </c>
      <c r="AY7" s="50">
        <v>2.93</v>
      </c>
      <c r="AZ7" s="49">
        <v>5.71</v>
      </c>
      <c r="BA7" s="50">
        <v>65.706000000000003</v>
      </c>
      <c r="BB7" s="50">
        <v>66.7</v>
      </c>
      <c r="BC7" s="49">
        <v>7779</v>
      </c>
      <c r="BD7" s="49">
        <v>87.5</v>
      </c>
      <c r="BE7" s="49">
        <v>15.65</v>
      </c>
      <c r="BF7" s="49">
        <v>12.87</v>
      </c>
      <c r="BG7" s="49">
        <v>28.95</v>
      </c>
      <c r="BH7" s="49">
        <v>27.89</v>
      </c>
      <c r="BI7" s="49">
        <v>64.840999999999994</v>
      </c>
      <c r="BJ7" s="49">
        <v>80.683999999999997</v>
      </c>
      <c r="BK7" s="49">
        <v>63.165999999999997</v>
      </c>
      <c r="BL7" s="49">
        <v>78.260000000000005</v>
      </c>
      <c r="BM7" s="49">
        <v>78.043000000000006</v>
      </c>
      <c r="BN7" s="50">
        <v>132.63200000000001</v>
      </c>
      <c r="BO7" s="50">
        <v>133.4</v>
      </c>
      <c r="BP7" s="49">
        <v>126.248</v>
      </c>
      <c r="BQ7" s="49">
        <v>131.89599999999999</v>
      </c>
      <c r="BR7" s="49">
        <v>58.121000000000002</v>
      </c>
      <c r="BS7" s="49">
        <v>25.1</v>
      </c>
      <c r="BT7" s="49">
        <v>7363.2020000000002</v>
      </c>
      <c r="BU7" s="50">
        <v>54.411000000000001</v>
      </c>
      <c r="BV7" s="50">
        <v>54.363999999999997</v>
      </c>
      <c r="BW7" s="50">
        <v>55.774000000000001</v>
      </c>
      <c r="BX7" s="49">
        <v>56.703000000000003</v>
      </c>
      <c r="BY7" s="49">
        <v>1.375</v>
      </c>
      <c r="BZ7" s="49">
        <v>2.33</v>
      </c>
      <c r="CA7" s="49">
        <v>3.2930000000000001</v>
      </c>
      <c r="CB7" s="49">
        <v>3.145</v>
      </c>
      <c r="CC7" s="49">
        <v>1.101</v>
      </c>
      <c r="CD7" s="49">
        <v>2.3159999999999998</v>
      </c>
      <c r="CE7" s="50">
        <v>1.3260000000000001</v>
      </c>
      <c r="CF7" s="50">
        <v>2.1829999999999998</v>
      </c>
      <c r="CG7" s="49">
        <v>13.616</v>
      </c>
      <c r="CH7" s="50">
        <v>10.093999999999999</v>
      </c>
      <c r="CI7" s="50">
        <v>4.8680000000000003</v>
      </c>
      <c r="CJ7" s="49">
        <v>3.3090000000000002</v>
      </c>
      <c r="CK7" s="49">
        <v>1.5580000000000001</v>
      </c>
      <c r="CL7" s="49">
        <v>0</v>
      </c>
      <c r="CM7" s="49">
        <v>1.5</v>
      </c>
      <c r="CN7" s="50">
        <v>0</v>
      </c>
      <c r="CO7" s="50">
        <v>0</v>
      </c>
      <c r="CP7" s="50">
        <v>105.851</v>
      </c>
      <c r="CQ7" s="50">
        <v>106.821</v>
      </c>
      <c r="CR7" s="49">
        <v>109.239</v>
      </c>
      <c r="CS7" s="49">
        <v>115.483</v>
      </c>
      <c r="CT7" s="49">
        <v>0.19700000000000001</v>
      </c>
      <c r="CU7" s="49">
        <v>0.996</v>
      </c>
      <c r="CV7" s="49">
        <v>2.0920000000000001</v>
      </c>
      <c r="CW7" s="49">
        <v>1.298</v>
      </c>
      <c r="CX7" s="49">
        <v>1.796</v>
      </c>
      <c r="CY7" s="49">
        <v>0.995</v>
      </c>
      <c r="CZ7" s="49">
        <v>1.4950000000000001</v>
      </c>
      <c r="DA7" s="49">
        <v>0.60099999999999998</v>
      </c>
      <c r="DB7" s="49">
        <v>1.8959999999999999</v>
      </c>
      <c r="DC7" s="50">
        <v>0</v>
      </c>
      <c r="DD7" s="50">
        <v>0</v>
      </c>
      <c r="DE7" s="49">
        <v>0.151</v>
      </c>
      <c r="DF7" s="49">
        <v>0.08</v>
      </c>
      <c r="DG7" s="49">
        <v>0.17299999999999999</v>
      </c>
      <c r="DH7" s="49">
        <v>1.53</v>
      </c>
      <c r="DI7" s="49">
        <v>0.74299999999999999</v>
      </c>
      <c r="DJ7" s="50">
        <v>0.155</v>
      </c>
      <c r="DK7" s="49">
        <v>0.69099999999999995</v>
      </c>
      <c r="DL7" s="50">
        <v>0.41499999999999998</v>
      </c>
      <c r="DM7" s="50">
        <v>0.504</v>
      </c>
      <c r="DN7" s="49">
        <v>0.51100000000000001</v>
      </c>
      <c r="DO7" s="50">
        <v>0.90500000000000003</v>
      </c>
      <c r="DP7" s="49">
        <v>65.323999999999998</v>
      </c>
      <c r="DQ7" s="49">
        <v>60.719000000000001</v>
      </c>
      <c r="DR7" s="49">
        <v>54.206000000000003</v>
      </c>
      <c r="DS7" s="49">
        <v>51.322000000000003</v>
      </c>
      <c r="DT7" s="49">
        <v>3.86</v>
      </c>
      <c r="DU7" s="49">
        <v>3.87</v>
      </c>
      <c r="DV7" s="49">
        <v>7.3</v>
      </c>
      <c r="DW7" s="49">
        <v>5.69</v>
      </c>
      <c r="DX7" s="49">
        <v>4.16</v>
      </c>
      <c r="DY7" s="49">
        <v>3.93</v>
      </c>
      <c r="DZ7" s="49">
        <v>6.72</v>
      </c>
      <c r="EA7" s="49">
        <v>5.31</v>
      </c>
      <c r="EB7" s="49">
        <v>34.590000000000003</v>
      </c>
      <c r="EC7" s="49">
        <v>34.9</v>
      </c>
      <c r="ED7" s="49">
        <v>29.43</v>
      </c>
      <c r="EE7" s="49">
        <v>30.64</v>
      </c>
      <c r="EF7" s="50">
        <v>57.38</v>
      </c>
      <c r="EG7" s="50">
        <v>57.3</v>
      </c>
      <c r="EH7" s="50">
        <v>56.55</v>
      </c>
      <c r="EI7" s="50">
        <v>58.36</v>
      </c>
      <c r="EJ7" s="49">
        <v>6.5659999999999998</v>
      </c>
      <c r="EK7" s="49">
        <v>62.186999999999998</v>
      </c>
      <c r="EL7" s="50">
        <v>2.65</v>
      </c>
      <c r="EM7" s="49">
        <v>1.85</v>
      </c>
      <c r="EN7" s="49">
        <v>1.17</v>
      </c>
      <c r="EO7" s="49">
        <v>1.18</v>
      </c>
      <c r="EP7" s="49">
        <v>-94.25</v>
      </c>
      <c r="EQ7" s="50">
        <v>-2.0049999999999999</v>
      </c>
      <c r="ER7" s="49">
        <v>108.398</v>
      </c>
      <c r="ES7" s="49">
        <v>1.1870000000000001</v>
      </c>
      <c r="ET7" s="49">
        <v>1.2330000000000001</v>
      </c>
      <c r="EU7" s="49">
        <v>1.149</v>
      </c>
      <c r="EV7" s="49">
        <v>7.8170000000000002</v>
      </c>
      <c r="EW7" s="49">
        <v>2.9079999999999999</v>
      </c>
      <c r="EX7" s="49">
        <v>-284.02</v>
      </c>
      <c r="EY7" s="49">
        <v>0</v>
      </c>
      <c r="EZ7" s="49">
        <v>0</v>
      </c>
      <c r="FA7" s="50">
        <v>0</v>
      </c>
      <c r="FB7" s="49">
        <v>7.82</v>
      </c>
      <c r="FC7" s="49">
        <v>67.478999999999999</v>
      </c>
      <c r="FD7" s="49">
        <v>62.256</v>
      </c>
      <c r="FE7" s="49">
        <v>76.004000000000005</v>
      </c>
      <c r="FF7" s="49">
        <v>74.438999999999993</v>
      </c>
      <c r="FG7" s="49">
        <v>0.96499999999999997</v>
      </c>
      <c r="FH7" s="49">
        <v>0.97</v>
      </c>
      <c r="FI7" s="50">
        <v>1</v>
      </c>
      <c r="FJ7" s="50">
        <v>1.002</v>
      </c>
      <c r="FK7" s="50">
        <v>0.20100000000000001</v>
      </c>
      <c r="FL7" s="50">
        <v>85</v>
      </c>
      <c r="FM7" s="49">
        <v>3.72</v>
      </c>
      <c r="FN7" s="49">
        <v>-0.09</v>
      </c>
      <c r="FO7" s="49">
        <v>5.49</v>
      </c>
      <c r="FP7" s="50">
        <v>0.35</v>
      </c>
      <c r="FQ7" s="50">
        <v>1.8</v>
      </c>
      <c r="FR7" s="49">
        <v>5.15</v>
      </c>
      <c r="FS7" s="49">
        <v>6.6455000000000002</v>
      </c>
      <c r="FT7" s="49">
        <v>1073.5999999999999</v>
      </c>
      <c r="FU7" s="49">
        <v>5.94</v>
      </c>
      <c r="FV7" s="49">
        <v>5.74</v>
      </c>
      <c r="FW7" s="49">
        <v>3210</v>
      </c>
      <c r="FX7" s="50">
        <v>166500</v>
      </c>
      <c r="FY7" s="50">
        <v>168300</v>
      </c>
      <c r="FZ7" s="50">
        <v>47.725000000000001</v>
      </c>
      <c r="GA7" s="50">
        <v>48.034999999999997</v>
      </c>
      <c r="GB7" s="50">
        <v>2185.1</v>
      </c>
      <c r="GC7" s="49">
        <v>2185.9</v>
      </c>
      <c r="GD7" s="49">
        <v>2185.1</v>
      </c>
      <c r="GE7" s="49">
        <v>2185.9</v>
      </c>
      <c r="GF7" s="49">
        <v>1259.875</v>
      </c>
      <c r="GG7" s="50">
        <v>29</v>
      </c>
      <c r="GH7" s="49">
        <v>29</v>
      </c>
      <c r="GI7" s="50">
        <v>49.8</v>
      </c>
      <c r="GJ7" s="50">
        <v>55.8</v>
      </c>
      <c r="GK7" s="50">
        <v>98</v>
      </c>
      <c r="GL7" s="50">
        <v>114</v>
      </c>
      <c r="GM7" s="50">
        <v>0</v>
      </c>
      <c r="GN7" s="49">
        <v>23.785</v>
      </c>
      <c r="GO7" s="49">
        <v>108.398</v>
      </c>
      <c r="GP7" s="50">
        <v>0</v>
      </c>
      <c r="GQ7" s="49">
        <v>3.4809999999999999</v>
      </c>
      <c r="GR7" s="50">
        <v>0</v>
      </c>
      <c r="GS7" s="49">
        <v>3.6579999999999999</v>
      </c>
      <c r="GT7" s="50">
        <v>0</v>
      </c>
      <c r="GU7" s="49">
        <v>4.4249999999999998</v>
      </c>
      <c r="GV7" s="50">
        <v>0</v>
      </c>
      <c r="GW7" s="49">
        <v>10.547000000000001</v>
      </c>
      <c r="GX7" s="49">
        <v>17.835999999999999</v>
      </c>
      <c r="GY7" s="50">
        <v>0</v>
      </c>
      <c r="GZ7" s="49">
        <v>0</v>
      </c>
      <c r="HA7" s="49">
        <v>0</v>
      </c>
      <c r="HB7" s="50">
        <v>1</v>
      </c>
      <c r="HC7" s="49">
        <v>32.238999999999997</v>
      </c>
      <c r="HD7" s="50">
        <v>90</v>
      </c>
      <c r="HE7" s="50">
        <v>0</v>
      </c>
      <c r="HF7" s="50">
        <v>0</v>
      </c>
      <c r="HG7" s="50">
        <v>87.44</v>
      </c>
      <c r="HH7" s="49">
        <v>80.7</v>
      </c>
      <c r="HI7" s="50">
        <v>0</v>
      </c>
      <c r="HJ7" s="50">
        <v>0</v>
      </c>
      <c r="HK7" s="50">
        <v>0</v>
      </c>
      <c r="HL7" s="50">
        <v>61</v>
      </c>
      <c r="HM7" s="50">
        <v>50</v>
      </c>
      <c r="HN7" s="49">
        <v>62</v>
      </c>
      <c r="HO7" s="49">
        <v>55</v>
      </c>
      <c r="HP7" s="49">
        <v>58</v>
      </c>
      <c r="HQ7" s="49">
        <v>56</v>
      </c>
      <c r="HR7" s="49">
        <v>50</v>
      </c>
      <c r="HS7" s="49">
        <v>62</v>
      </c>
      <c r="HT7" s="49">
        <v>-1.421</v>
      </c>
      <c r="HU7" s="50">
        <v>0</v>
      </c>
      <c r="HV7" s="49">
        <v>0.13100000000000001</v>
      </c>
      <c r="HW7" s="49">
        <v>42.33</v>
      </c>
      <c r="HX7" s="49">
        <v>49.07</v>
      </c>
      <c r="HY7" s="3"/>
      <c r="HZ7" s="3"/>
      <c r="IA7" s="49">
        <v>2.4620000000000002</v>
      </c>
      <c r="IB7" s="49">
        <v>100</v>
      </c>
      <c r="IC7" s="49">
        <v>18.878</v>
      </c>
      <c r="ID7" s="50">
        <v>-0.23100000000000001</v>
      </c>
      <c r="IE7" s="50">
        <v>-0.125</v>
      </c>
      <c r="IF7" s="49">
        <v>817.7</v>
      </c>
      <c r="IG7" s="49">
        <v>670.3</v>
      </c>
      <c r="IH7" s="49">
        <v>812.6</v>
      </c>
      <c r="II7" s="49">
        <v>686.9</v>
      </c>
      <c r="IJ7" s="50">
        <v>5.0000000000000001E-3</v>
      </c>
      <c r="IK7" s="49">
        <v>2.5000000000000001E-2</v>
      </c>
      <c r="IL7" s="50">
        <v>160.32400000000001</v>
      </c>
      <c r="IM7" s="50">
        <v>160.32400000000001</v>
      </c>
      <c r="IN7" s="50">
        <v>16.867000000000001</v>
      </c>
      <c r="IO7" s="49">
        <v>0.19700000000000001</v>
      </c>
      <c r="IP7" s="50">
        <v>9.6</v>
      </c>
      <c r="IQ7" s="49">
        <v>3.0000000000000001E-3</v>
      </c>
      <c r="IR7" s="49">
        <v>-1E-3</v>
      </c>
    </row>
    <row r="8" spans="2:252" x14ac:dyDescent="0.25">
      <c r="B8" s="2" t="s">
        <v>412</v>
      </c>
      <c r="C8" s="2" t="s">
        <v>42</v>
      </c>
      <c r="D8" s="61">
        <v>2.5193287037037037E-3</v>
      </c>
      <c r="E8" s="49">
        <v>217.67</v>
      </c>
      <c r="F8" s="49">
        <v>328</v>
      </c>
      <c r="G8" s="50">
        <v>5.96</v>
      </c>
      <c r="H8" s="49">
        <v>25.3</v>
      </c>
      <c r="I8" s="50">
        <v>0</v>
      </c>
      <c r="J8" s="49">
        <v>17.600000000000001</v>
      </c>
      <c r="K8" s="50">
        <v>6</v>
      </c>
      <c r="L8" s="50">
        <v>6</v>
      </c>
      <c r="M8" s="50">
        <v>7</v>
      </c>
      <c r="N8" s="50">
        <v>2</v>
      </c>
      <c r="O8" s="50">
        <v>3</v>
      </c>
      <c r="P8" s="50">
        <v>0.48499999999999999</v>
      </c>
      <c r="Q8" s="49">
        <v>1.0349999999999999</v>
      </c>
      <c r="R8" s="50">
        <v>0.52500000000000002</v>
      </c>
      <c r="S8" s="49">
        <v>0.16700000000000001</v>
      </c>
      <c r="T8" s="49">
        <v>63.63</v>
      </c>
      <c r="U8" s="49">
        <v>60.412999999999997</v>
      </c>
      <c r="V8" s="49">
        <v>228.34</v>
      </c>
      <c r="W8" s="49">
        <v>253.34</v>
      </c>
      <c r="X8" s="49">
        <v>152.5</v>
      </c>
      <c r="Y8" s="49">
        <v>200</v>
      </c>
      <c r="Z8" s="49">
        <v>378.25</v>
      </c>
      <c r="AA8" s="49">
        <v>405.65</v>
      </c>
      <c r="AB8" s="49">
        <v>273.27</v>
      </c>
      <c r="AC8" s="49">
        <v>344.6</v>
      </c>
      <c r="AD8" s="49">
        <v>1.8169999999999999</v>
      </c>
      <c r="AE8" s="49">
        <v>1.8260000000000001</v>
      </c>
      <c r="AF8" s="49">
        <v>1.8149999999999999</v>
      </c>
      <c r="AG8" s="49">
        <v>1.8420000000000001</v>
      </c>
      <c r="AH8" s="49">
        <v>75.290000000000006</v>
      </c>
      <c r="AI8" s="49">
        <v>66.900000000000006</v>
      </c>
      <c r="AJ8" s="49">
        <v>97.17</v>
      </c>
      <c r="AK8" s="49">
        <v>95.71</v>
      </c>
      <c r="AL8" s="49">
        <v>664.58299999999997</v>
      </c>
      <c r="AM8" s="49">
        <v>670.80499999999995</v>
      </c>
      <c r="AN8" s="49">
        <v>830.21900000000005</v>
      </c>
      <c r="AO8" s="49">
        <v>804.73599999999999</v>
      </c>
      <c r="AP8" s="49">
        <v>1.4239999999999999</v>
      </c>
      <c r="AQ8" s="49">
        <v>1.8939999999999999</v>
      </c>
      <c r="AR8" s="49">
        <v>41.542000000000002</v>
      </c>
      <c r="AS8" s="49">
        <v>38.468000000000004</v>
      </c>
      <c r="AT8" s="49">
        <v>82</v>
      </c>
      <c r="AU8" s="49">
        <v>117</v>
      </c>
      <c r="AV8" s="49">
        <v>1.6445000000000001</v>
      </c>
      <c r="AW8" s="49">
        <v>4.8011999999999997</v>
      </c>
      <c r="AX8" s="49">
        <v>1018.8</v>
      </c>
      <c r="AY8" s="49">
        <v>2.4300000000000002</v>
      </c>
      <c r="AZ8" s="50">
        <v>5.5</v>
      </c>
      <c r="BA8" s="49">
        <v>134.56100000000001</v>
      </c>
      <c r="BB8" s="49">
        <v>132.79400000000001</v>
      </c>
      <c r="BC8" s="49">
        <v>7746</v>
      </c>
      <c r="BD8" s="49">
        <v>88.75</v>
      </c>
      <c r="BE8" s="50">
        <v>17.77</v>
      </c>
      <c r="BF8" s="49">
        <v>13.445</v>
      </c>
      <c r="BG8" s="50">
        <v>29.62</v>
      </c>
      <c r="BH8" s="49">
        <v>28.21</v>
      </c>
      <c r="BI8" s="3"/>
      <c r="BJ8" s="3"/>
      <c r="BK8" s="3"/>
      <c r="BL8" s="3"/>
      <c r="BM8" s="3"/>
      <c r="BN8" s="49">
        <v>98.903999999999996</v>
      </c>
      <c r="BO8" s="49">
        <v>99.575999999999993</v>
      </c>
      <c r="BP8" s="49">
        <v>116.42400000000001</v>
      </c>
      <c r="BQ8" s="49">
        <v>121.11199999999999</v>
      </c>
      <c r="BR8" s="3"/>
      <c r="BS8" s="49">
        <v>25.1</v>
      </c>
      <c r="BT8" s="50">
        <v>7454.5680000000002</v>
      </c>
      <c r="BU8" s="49">
        <v>51.231999999999999</v>
      </c>
      <c r="BV8" s="49">
        <v>53.42</v>
      </c>
      <c r="BW8" s="49">
        <v>55.561999999999998</v>
      </c>
      <c r="BX8" s="50">
        <v>57.28</v>
      </c>
      <c r="BY8" s="49">
        <v>1.4710000000000001</v>
      </c>
      <c r="BZ8" s="49">
        <v>2.5880000000000001</v>
      </c>
      <c r="CA8" s="49">
        <v>3.34</v>
      </c>
      <c r="CB8" s="49">
        <v>3.04</v>
      </c>
      <c r="CC8" s="49">
        <v>1.1339999999999999</v>
      </c>
      <c r="CD8" s="50">
        <v>2.3959999999999999</v>
      </c>
      <c r="CE8" s="49">
        <v>1.3149999999999999</v>
      </c>
      <c r="CF8" s="49">
        <v>2.133</v>
      </c>
      <c r="CG8" s="50">
        <v>13.736000000000001</v>
      </c>
      <c r="CH8" s="49">
        <v>13.553000000000001</v>
      </c>
      <c r="CI8" s="49">
        <v>4.7960000000000003</v>
      </c>
      <c r="CJ8" s="50">
        <v>3.718</v>
      </c>
      <c r="CK8" s="49">
        <v>1.548</v>
      </c>
      <c r="CL8" s="49">
        <v>0.1</v>
      </c>
      <c r="CM8" s="49">
        <v>0.6</v>
      </c>
      <c r="CN8" s="50">
        <v>0</v>
      </c>
      <c r="CO8" s="50">
        <v>0</v>
      </c>
      <c r="CP8" s="49">
        <v>94.066000000000003</v>
      </c>
      <c r="CQ8" s="49">
        <v>96</v>
      </c>
      <c r="CR8" s="49">
        <v>106.97799999999999</v>
      </c>
      <c r="CS8" s="49">
        <v>114.32</v>
      </c>
      <c r="CT8" s="49">
        <v>0.32800000000000001</v>
      </c>
      <c r="CU8" s="49">
        <v>0.6</v>
      </c>
      <c r="CV8" s="49">
        <v>1.198</v>
      </c>
      <c r="CW8" s="49">
        <v>1.1020000000000001</v>
      </c>
      <c r="CX8" s="49">
        <v>1.6020000000000001</v>
      </c>
      <c r="CY8" s="49">
        <v>0.3</v>
      </c>
      <c r="CZ8" s="49">
        <v>1.403</v>
      </c>
      <c r="DA8" s="49">
        <v>0.89700000000000002</v>
      </c>
      <c r="DB8" s="49">
        <v>1.3979999999999999</v>
      </c>
      <c r="DC8" s="50">
        <v>0</v>
      </c>
      <c r="DD8" s="50">
        <v>0</v>
      </c>
      <c r="DE8" s="49">
        <v>0.183</v>
      </c>
      <c r="DF8" s="49">
        <v>5.2999999999999999E-2</v>
      </c>
      <c r="DG8" s="49">
        <v>0.65800000000000003</v>
      </c>
      <c r="DH8" s="49">
        <v>1.79</v>
      </c>
      <c r="DI8" s="49">
        <v>0.70299999999999996</v>
      </c>
      <c r="DJ8" s="49">
        <v>9.2999999999999999E-2</v>
      </c>
      <c r="DK8" s="49">
        <v>0.69599999999999995</v>
      </c>
      <c r="DL8" s="50">
        <v>0.41499999999999998</v>
      </c>
      <c r="DM8" s="49">
        <v>0.46300000000000002</v>
      </c>
      <c r="DN8" s="50">
        <v>0.64300000000000002</v>
      </c>
      <c r="DO8" s="49">
        <v>0.36699999999999999</v>
      </c>
      <c r="DP8" s="49">
        <v>65.436000000000007</v>
      </c>
      <c r="DQ8" s="49">
        <v>60.472000000000001</v>
      </c>
      <c r="DR8" s="49">
        <v>53.27</v>
      </c>
      <c r="DS8" s="49">
        <v>51.088999999999999</v>
      </c>
      <c r="DT8" s="49">
        <v>6.24</v>
      </c>
      <c r="DU8" s="49">
        <v>6.18</v>
      </c>
      <c r="DV8" s="49">
        <v>11.57</v>
      </c>
      <c r="DW8" s="50">
        <v>8.94</v>
      </c>
      <c r="DX8" s="49">
        <v>6.61</v>
      </c>
      <c r="DY8" s="49">
        <v>6.41</v>
      </c>
      <c r="DZ8" s="49">
        <v>11.19</v>
      </c>
      <c r="EA8" s="50">
        <v>8.7200000000000006</v>
      </c>
      <c r="EB8" s="49">
        <v>42.06</v>
      </c>
      <c r="EC8" s="50">
        <v>41.72</v>
      </c>
      <c r="ED8" s="50">
        <v>35.130000000000003</v>
      </c>
      <c r="EE8" s="49">
        <v>37.43</v>
      </c>
      <c r="EF8" s="49">
        <v>45.09</v>
      </c>
      <c r="EG8" s="49">
        <v>45.69</v>
      </c>
      <c r="EH8" s="49">
        <v>42.11</v>
      </c>
      <c r="EI8" s="49">
        <v>44.91</v>
      </c>
      <c r="EJ8" s="49">
        <v>6.7839999999999998</v>
      </c>
      <c r="EK8" s="50">
        <v>62.843000000000004</v>
      </c>
      <c r="EL8" s="49">
        <v>2.2000000000000002</v>
      </c>
      <c r="EM8" s="50">
        <v>1.8</v>
      </c>
      <c r="EN8" s="49">
        <v>1.2</v>
      </c>
      <c r="EO8" s="49">
        <v>1.21</v>
      </c>
      <c r="EP8" s="49">
        <v>-105.054</v>
      </c>
      <c r="EQ8" s="49">
        <v>-3.3410000000000002</v>
      </c>
      <c r="ER8" s="49">
        <v>82.41</v>
      </c>
      <c r="ES8" s="50">
        <v>1.52</v>
      </c>
      <c r="ET8" s="49">
        <v>1.6120000000000001</v>
      </c>
      <c r="EU8" s="50">
        <v>1.456</v>
      </c>
      <c r="EV8" s="50">
        <v>7.9749999999999996</v>
      </c>
      <c r="EW8" s="50">
        <v>3.097</v>
      </c>
      <c r="EX8" s="50">
        <v>73.08</v>
      </c>
      <c r="EY8" s="49">
        <v>0</v>
      </c>
      <c r="EZ8" s="50">
        <v>1.39</v>
      </c>
      <c r="FA8" s="50">
        <v>0</v>
      </c>
      <c r="FB8" s="49">
        <v>9</v>
      </c>
      <c r="FC8" s="49">
        <v>66.594999999999999</v>
      </c>
      <c r="FD8" s="49">
        <v>61.45</v>
      </c>
      <c r="FE8" s="49">
        <v>74</v>
      </c>
      <c r="FF8" s="49">
        <v>73.507000000000005</v>
      </c>
      <c r="FG8" s="49">
        <v>0.91700000000000004</v>
      </c>
      <c r="FH8" s="49">
        <v>0.91800000000000004</v>
      </c>
      <c r="FI8" s="49">
        <v>0.996</v>
      </c>
      <c r="FJ8" s="49">
        <v>0.998</v>
      </c>
      <c r="FK8" s="49">
        <v>0</v>
      </c>
      <c r="FL8" s="49">
        <v>83</v>
      </c>
      <c r="FM8" s="49">
        <v>3.76</v>
      </c>
      <c r="FN8" s="49">
        <v>-0.22</v>
      </c>
      <c r="FO8" s="49">
        <v>5.31</v>
      </c>
      <c r="FP8" s="3"/>
      <c r="FQ8" s="49">
        <v>4.55</v>
      </c>
      <c r="FR8" s="49">
        <v>4.95</v>
      </c>
      <c r="FS8" s="49">
        <v>6.6245000000000003</v>
      </c>
      <c r="FT8" s="50">
        <v>1078.9000000000001</v>
      </c>
      <c r="FU8" s="49">
        <v>5.92</v>
      </c>
      <c r="FV8" s="49">
        <v>11.69</v>
      </c>
      <c r="FW8" s="50">
        <v>3213.5</v>
      </c>
      <c r="FX8" s="49">
        <v>162700</v>
      </c>
      <c r="FY8" s="49">
        <v>163800</v>
      </c>
      <c r="FZ8" s="49">
        <v>47.283000000000001</v>
      </c>
      <c r="GA8" s="49">
        <v>47.927</v>
      </c>
      <c r="GB8" s="49">
        <v>2142.5</v>
      </c>
      <c r="GC8" s="49">
        <v>2137.4</v>
      </c>
      <c r="GD8" s="49">
        <v>2187.5</v>
      </c>
      <c r="GE8" s="49">
        <v>2170.5</v>
      </c>
      <c r="GF8" s="49">
        <v>1479.4688000000001</v>
      </c>
      <c r="GG8" s="49">
        <v>28</v>
      </c>
      <c r="GH8" s="49">
        <v>27.6</v>
      </c>
      <c r="GI8" s="49">
        <v>45.8</v>
      </c>
      <c r="GJ8" s="49">
        <v>51.2</v>
      </c>
      <c r="GK8" s="49">
        <v>99.5</v>
      </c>
      <c r="GL8" s="49">
        <v>109.1</v>
      </c>
      <c r="GM8" s="50">
        <v>0</v>
      </c>
      <c r="GN8" s="49">
        <v>25.087</v>
      </c>
      <c r="GO8" s="49">
        <v>105.054</v>
      </c>
      <c r="GP8" s="49">
        <v>0.94399999999999995</v>
      </c>
      <c r="GQ8" s="49">
        <v>1.829</v>
      </c>
      <c r="GR8" s="49">
        <v>1.2390000000000001</v>
      </c>
      <c r="GS8" s="49">
        <v>1.9470000000000001</v>
      </c>
      <c r="GT8" s="49">
        <v>0.76700000000000002</v>
      </c>
      <c r="GU8" s="49">
        <v>1.829</v>
      </c>
      <c r="GV8" s="49">
        <v>12.348000000000001</v>
      </c>
      <c r="GW8" s="49">
        <v>13.778</v>
      </c>
      <c r="GX8" s="49">
        <v>15.19</v>
      </c>
      <c r="GY8" s="50">
        <v>0</v>
      </c>
      <c r="GZ8" s="49">
        <v>0</v>
      </c>
      <c r="HA8" s="49">
        <v>0</v>
      </c>
      <c r="HB8" s="49">
        <v>0</v>
      </c>
      <c r="HC8" s="49">
        <v>36.371000000000002</v>
      </c>
      <c r="HD8" s="49">
        <v>82</v>
      </c>
      <c r="HE8" s="50">
        <v>0</v>
      </c>
      <c r="HF8" s="50">
        <v>0</v>
      </c>
      <c r="HG8" s="49">
        <v>73.91</v>
      </c>
      <c r="HH8" s="49">
        <v>80.63</v>
      </c>
      <c r="HI8" s="50">
        <v>0</v>
      </c>
      <c r="HJ8" s="50">
        <v>0</v>
      </c>
      <c r="HK8" s="50">
        <v>0</v>
      </c>
      <c r="HL8" s="49">
        <v>57</v>
      </c>
      <c r="HM8" s="49">
        <v>49</v>
      </c>
      <c r="HN8" s="49">
        <v>62</v>
      </c>
      <c r="HO8" s="49">
        <v>56</v>
      </c>
      <c r="HP8" s="49">
        <v>59</v>
      </c>
      <c r="HQ8" s="49">
        <v>57</v>
      </c>
      <c r="HR8" s="49">
        <v>50</v>
      </c>
      <c r="HS8" s="49">
        <v>70</v>
      </c>
      <c r="HT8" s="49">
        <v>-1.4155</v>
      </c>
      <c r="HU8" s="50">
        <v>0</v>
      </c>
      <c r="HV8" s="49">
        <v>0.65400000000000003</v>
      </c>
      <c r="HW8" s="50">
        <v>37.17</v>
      </c>
      <c r="HX8" s="49">
        <v>49.07</v>
      </c>
      <c r="HY8" s="49">
        <v>52.49</v>
      </c>
      <c r="HZ8" s="49">
        <v>52.49</v>
      </c>
      <c r="IA8" s="49">
        <v>2.4980000000000002</v>
      </c>
      <c r="IB8" s="50">
        <v>103</v>
      </c>
      <c r="IC8" s="49">
        <v>22.029</v>
      </c>
      <c r="ID8" s="49">
        <v>-0.39600000000000002</v>
      </c>
      <c r="IE8" s="49">
        <v>-0.23100000000000001</v>
      </c>
      <c r="IF8" s="50">
        <v>830.6</v>
      </c>
      <c r="IG8" s="50">
        <v>761.2</v>
      </c>
      <c r="IH8" s="49">
        <v>825</v>
      </c>
      <c r="II8" s="50">
        <v>770.5</v>
      </c>
      <c r="IJ8" s="49">
        <v>-3.1E-2</v>
      </c>
      <c r="IK8" s="49">
        <v>4.8000000000000001E-2</v>
      </c>
      <c r="IL8" s="49">
        <v>76.902000000000001</v>
      </c>
      <c r="IM8" s="49">
        <v>76.902000000000001</v>
      </c>
      <c r="IN8" s="49">
        <v>9.7200000000000006</v>
      </c>
      <c r="IO8" s="50">
        <v>0.39500000000000002</v>
      </c>
      <c r="IP8" s="49">
        <v>9.5</v>
      </c>
      <c r="IQ8" s="49">
        <v>5.0000000000000001E-3</v>
      </c>
      <c r="IR8" s="50">
        <v>7.0000000000000001E-3</v>
      </c>
    </row>
    <row r="9" spans="2:252" x14ac:dyDescent="0.25">
      <c r="B9" s="2" t="s">
        <v>412</v>
      </c>
      <c r="C9" s="2" t="s">
        <v>43</v>
      </c>
      <c r="D9" s="61">
        <v>2.5099537037037035E-3</v>
      </c>
      <c r="E9" s="49">
        <v>216.86</v>
      </c>
      <c r="F9" s="49">
        <v>331.06</v>
      </c>
      <c r="G9" s="49">
        <v>5.91</v>
      </c>
      <c r="H9" s="49">
        <v>25.6</v>
      </c>
      <c r="I9" s="50">
        <v>0</v>
      </c>
      <c r="J9" s="49">
        <v>18.100000000000001</v>
      </c>
      <c r="K9" s="50">
        <v>6</v>
      </c>
      <c r="L9" s="50">
        <v>6</v>
      </c>
      <c r="M9" s="50">
        <v>7</v>
      </c>
      <c r="N9" s="50">
        <v>2</v>
      </c>
      <c r="O9" s="50">
        <v>3</v>
      </c>
      <c r="P9" s="49">
        <v>0.39600000000000002</v>
      </c>
      <c r="Q9" s="49">
        <v>0.89500000000000002</v>
      </c>
      <c r="R9" s="49">
        <v>0.29499999999999998</v>
      </c>
      <c r="S9" s="49">
        <v>0.17399999999999999</v>
      </c>
      <c r="T9" s="49">
        <v>72.66</v>
      </c>
      <c r="U9" s="49">
        <v>60.43</v>
      </c>
      <c r="V9" s="49">
        <v>230</v>
      </c>
      <c r="W9" s="49">
        <v>260</v>
      </c>
      <c r="X9" s="49">
        <v>165</v>
      </c>
      <c r="Y9" s="49">
        <v>213.34</v>
      </c>
      <c r="Z9" s="50">
        <v>382.41</v>
      </c>
      <c r="AA9" s="50">
        <v>409.94</v>
      </c>
      <c r="AB9" s="50">
        <v>285.05</v>
      </c>
      <c r="AC9" s="50">
        <v>357.48</v>
      </c>
      <c r="AD9" s="49">
        <v>1.835</v>
      </c>
      <c r="AE9" s="49">
        <v>1.8420000000000001</v>
      </c>
      <c r="AF9" s="49">
        <v>1.851</v>
      </c>
      <c r="AG9" s="49">
        <v>1.8779999999999999</v>
      </c>
      <c r="AH9" s="49">
        <v>78.959999999999994</v>
      </c>
      <c r="AI9" s="49">
        <v>68.819999999999993</v>
      </c>
      <c r="AJ9" s="49">
        <v>102.52</v>
      </c>
      <c r="AK9" s="49">
        <v>100.94</v>
      </c>
      <c r="AL9" s="49">
        <v>649.79600000000005</v>
      </c>
      <c r="AM9" s="49">
        <v>664.173</v>
      </c>
      <c r="AN9" s="49">
        <v>813.44399999999996</v>
      </c>
      <c r="AO9" s="49">
        <v>796.59100000000001</v>
      </c>
      <c r="AP9" s="49">
        <v>1.4019999999999999</v>
      </c>
      <c r="AQ9" s="49">
        <v>1.89</v>
      </c>
      <c r="AR9" s="49">
        <v>42.082999999999998</v>
      </c>
      <c r="AS9" s="49">
        <v>39.183999999999997</v>
      </c>
      <c r="AT9" s="49">
        <v>83</v>
      </c>
      <c r="AU9" s="49">
        <v>119</v>
      </c>
      <c r="AV9" s="49">
        <v>1.7430000000000001</v>
      </c>
      <c r="AW9" s="50">
        <v>4.8494000000000002</v>
      </c>
      <c r="AX9" s="49">
        <v>1016.1</v>
      </c>
      <c r="AY9" s="49">
        <v>2.4</v>
      </c>
      <c r="AZ9" s="49">
        <v>5.71</v>
      </c>
      <c r="BA9" s="49">
        <v>100.06699999999999</v>
      </c>
      <c r="BB9" s="49">
        <v>99.566999999999993</v>
      </c>
      <c r="BC9" s="49">
        <v>7685</v>
      </c>
      <c r="BD9" s="49">
        <v>87.5</v>
      </c>
      <c r="BE9" s="49">
        <v>17.254999999999999</v>
      </c>
      <c r="BF9" s="49">
        <v>13.395</v>
      </c>
      <c r="BG9" s="49">
        <v>29.48</v>
      </c>
      <c r="BH9" s="49">
        <v>27.97</v>
      </c>
      <c r="BI9" s="3"/>
      <c r="BJ9" s="3"/>
      <c r="BK9" s="3"/>
      <c r="BL9" s="3"/>
      <c r="BM9" s="3"/>
      <c r="BN9" s="49">
        <v>99.944000000000003</v>
      </c>
      <c r="BO9" s="49">
        <v>102.52</v>
      </c>
      <c r="BP9" s="49">
        <v>121.752</v>
      </c>
      <c r="BQ9" s="49">
        <v>126.712</v>
      </c>
      <c r="BR9" s="3"/>
      <c r="BS9" s="49">
        <v>25.3</v>
      </c>
      <c r="BT9" s="49">
        <v>7414.8649999999998</v>
      </c>
      <c r="BU9" s="49">
        <v>51.326999999999998</v>
      </c>
      <c r="BV9" s="49">
        <v>53.289000000000001</v>
      </c>
      <c r="BW9" s="49">
        <v>55.697000000000003</v>
      </c>
      <c r="BX9" s="49">
        <v>56.863999999999997</v>
      </c>
      <c r="BY9" s="49">
        <v>1.3919999999999999</v>
      </c>
      <c r="BZ9" s="49">
        <v>2.7170000000000001</v>
      </c>
      <c r="CA9" s="49">
        <v>3.4420000000000002</v>
      </c>
      <c r="CB9" s="49">
        <v>3.0070000000000001</v>
      </c>
      <c r="CC9" s="49">
        <v>1.022</v>
      </c>
      <c r="CD9" s="49">
        <v>2.3290000000000002</v>
      </c>
      <c r="CE9" s="49">
        <v>1.3069999999999999</v>
      </c>
      <c r="CF9" s="49">
        <v>2.1150000000000002</v>
      </c>
      <c r="CG9" s="49">
        <v>13.734</v>
      </c>
      <c r="CH9" s="49">
        <v>13.557</v>
      </c>
      <c r="CI9" s="49">
        <v>4.7279999999999998</v>
      </c>
      <c r="CJ9" s="49">
        <v>3.7160000000000002</v>
      </c>
      <c r="CK9" s="50">
        <v>1.611</v>
      </c>
      <c r="CL9" s="50">
        <v>0.4</v>
      </c>
      <c r="CM9" s="49">
        <v>0.6</v>
      </c>
      <c r="CN9" s="50">
        <v>0</v>
      </c>
      <c r="CO9" s="50">
        <v>0</v>
      </c>
      <c r="CP9" s="49">
        <v>95.63</v>
      </c>
      <c r="CQ9" s="49">
        <v>98.686000000000007</v>
      </c>
      <c r="CR9" s="49">
        <v>114.602</v>
      </c>
      <c r="CS9" s="49">
        <v>120.753</v>
      </c>
      <c r="CT9" s="50">
        <v>0.38200000000000001</v>
      </c>
      <c r="CU9" s="49">
        <v>0.60099999999999998</v>
      </c>
      <c r="CV9" s="49">
        <v>1.5940000000000001</v>
      </c>
      <c r="CW9" s="49">
        <v>0.999</v>
      </c>
      <c r="CX9" s="50">
        <v>1.9</v>
      </c>
      <c r="CY9" s="49">
        <v>0.89700000000000002</v>
      </c>
      <c r="CZ9" s="49">
        <v>1.2010000000000001</v>
      </c>
      <c r="DA9" s="49">
        <v>0.4</v>
      </c>
      <c r="DB9" s="49">
        <v>1.198</v>
      </c>
      <c r="DC9" s="50">
        <v>0</v>
      </c>
      <c r="DD9" s="50">
        <v>0</v>
      </c>
      <c r="DE9" s="49">
        <v>0.17100000000000001</v>
      </c>
      <c r="DF9" s="49">
        <v>0.06</v>
      </c>
      <c r="DG9" s="49">
        <v>0.52200000000000002</v>
      </c>
      <c r="DH9" s="50">
        <v>1.8360000000000001</v>
      </c>
      <c r="DI9" s="49">
        <v>0.64800000000000002</v>
      </c>
      <c r="DJ9" s="49">
        <v>6.5000000000000002E-2</v>
      </c>
      <c r="DK9" s="49">
        <v>0.70499999999999996</v>
      </c>
      <c r="DL9" s="49">
        <v>0.41199999999999998</v>
      </c>
      <c r="DM9" s="49">
        <v>0.48299999999999998</v>
      </c>
      <c r="DN9" s="49">
        <v>0.48799999999999999</v>
      </c>
      <c r="DO9" s="49">
        <v>0.86699999999999999</v>
      </c>
      <c r="DP9" s="49">
        <v>67.932000000000002</v>
      </c>
      <c r="DQ9" s="49">
        <v>60.893000000000001</v>
      </c>
      <c r="DR9" s="50">
        <v>55.106999999999999</v>
      </c>
      <c r="DS9" s="49">
        <v>52.38</v>
      </c>
      <c r="DT9" s="49">
        <v>6.07</v>
      </c>
      <c r="DU9" s="49">
        <v>6.13</v>
      </c>
      <c r="DV9" s="49">
        <v>11.49</v>
      </c>
      <c r="DW9" s="49">
        <v>8.66</v>
      </c>
      <c r="DX9" s="49">
        <v>6.67</v>
      </c>
      <c r="DY9" s="49">
        <v>6.32</v>
      </c>
      <c r="DZ9" s="49">
        <v>11.24</v>
      </c>
      <c r="EA9" s="49">
        <v>8.32</v>
      </c>
      <c r="EB9" s="50">
        <v>42.58</v>
      </c>
      <c r="EC9" s="49">
        <v>41.12</v>
      </c>
      <c r="ED9" s="50">
        <v>35.130000000000003</v>
      </c>
      <c r="EE9" s="50">
        <v>37.53</v>
      </c>
      <c r="EF9" s="49">
        <v>44.68</v>
      </c>
      <c r="EG9" s="49">
        <v>46.43</v>
      </c>
      <c r="EH9" s="49">
        <v>42.14</v>
      </c>
      <c r="EI9" s="49">
        <v>45.49</v>
      </c>
      <c r="EJ9" s="49">
        <v>6.5659999999999998</v>
      </c>
      <c r="EK9" s="49">
        <v>62.466000000000001</v>
      </c>
      <c r="EL9" s="49">
        <v>2.25</v>
      </c>
      <c r="EM9" s="49">
        <v>1.85</v>
      </c>
      <c r="EN9" s="49">
        <v>1.2</v>
      </c>
      <c r="EO9" s="49">
        <v>1.21</v>
      </c>
      <c r="EP9" s="49">
        <v>-106.22199999999999</v>
      </c>
      <c r="EQ9" s="49">
        <v>-3.0760000000000001</v>
      </c>
      <c r="ER9" s="49">
        <v>96.426000000000002</v>
      </c>
      <c r="ES9" s="49">
        <v>1.4830000000000001</v>
      </c>
      <c r="ET9" s="49">
        <v>1.6160000000000001</v>
      </c>
      <c r="EU9" s="49">
        <v>1.4259999999999999</v>
      </c>
      <c r="EV9" s="49">
        <v>7.6040000000000001</v>
      </c>
      <c r="EW9" s="49">
        <v>2.8559999999999999</v>
      </c>
      <c r="EX9" s="49">
        <v>72.36</v>
      </c>
      <c r="EY9" s="49">
        <v>0</v>
      </c>
      <c r="EZ9" s="49">
        <v>6.0999999999999999E-2</v>
      </c>
      <c r="FA9" s="50">
        <v>0</v>
      </c>
      <c r="FB9" s="49">
        <v>8.9879999999999995</v>
      </c>
      <c r="FC9" s="49">
        <v>68.864000000000004</v>
      </c>
      <c r="FD9" s="49">
        <v>63.499000000000002</v>
      </c>
      <c r="FE9" s="49">
        <v>78.197000000000003</v>
      </c>
      <c r="FF9" s="49">
        <v>77.284000000000006</v>
      </c>
      <c r="FG9" s="49">
        <v>0.91400000000000003</v>
      </c>
      <c r="FH9" s="49">
        <v>0.91400000000000003</v>
      </c>
      <c r="FI9" s="49">
        <v>0.995</v>
      </c>
      <c r="FJ9" s="49">
        <v>0.997</v>
      </c>
      <c r="FK9" s="49">
        <v>0</v>
      </c>
      <c r="FL9" s="49">
        <v>83</v>
      </c>
      <c r="FM9" s="49">
        <v>3.73</v>
      </c>
      <c r="FN9" s="50">
        <v>-0.63</v>
      </c>
      <c r="FO9" s="49">
        <v>5.39</v>
      </c>
      <c r="FP9" s="3"/>
      <c r="FQ9" s="49">
        <v>4.55</v>
      </c>
      <c r="FR9" s="50">
        <v>4.75</v>
      </c>
      <c r="FS9" s="50">
        <v>6.6820000000000004</v>
      </c>
      <c r="FT9" s="49">
        <v>1069.8</v>
      </c>
      <c r="FU9" s="49">
        <v>6.33</v>
      </c>
      <c r="FV9" s="49">
        <v>17.61</v>
      </c>
      <c r="FW9" s="49">
        <v>3049.5</v>
      </c>
      <c r="FX9" s="49">
        <v>163000</v>
      </c>
      <c r="FY9" s="49">
        <v>164800</v>
      </c>
      <c r="FZ9" s="49">
        <v>47.055</v>
      </c>
      <c r="GA9" s="49">
        <v>47.64</v>
      </c>
      <c r="GB9" s="49">
        <v>2135.6</v>
      </c>
      <c r="GC9" s="50">
        <v>2352.4</v>
      </c>
      <c r="GD9" s="50">
        <v>2258.1999999999998</v>
      </c>
      <c r="GE9" s="50">
        <v>2352.4</v>
      </c>
      <c r="GF9" s="49">
        <v>1472.7969000000001</v>
      </c>
      <c r="GG9" s="49">
        <v>28</v>
      </c>
      <c r="GH9" s="49">
        <v>28.1</v>
      </c>
      <c r="GI9" s="49">
        <v>45.2</v>
      </c>
      <c r="GJ9" s="49">
        <v>50</v>
      </c>
      <c r="GK9" s="49">
        <v>99.5</v>
      </c>
      <c r="GL9" s="49">
        <v>112.6</v>
      </c>
      <c r="GM9" s="50">
        <v>0</v>
      </c>
      <c r="GN9" s="50">
        <v>25.27</v>
      </c>
      <c r="GO9" s="49">
        <v>106.22199999999999</v>
      </c>
      <c r="GP9" s="49">
        <v>0.76700000000000002</v>
      </c>
      <c r="GQ9" s="49">
        <v>1.829</v>
      </c>
      <c r="GR9" s="49">
        <v>1.2390000000000001</v>
      </c>
      <c r="GS9" s="49">
        <v>1.9470000000000001</v>
      </c>
      <c r="GT9" s="49">
        <v>0.76700000000000002</v>
      </c>
      <c r="GU9" s="49">
        <v>1.829</v>
      </c>
      <c r="GV9" s="49">
        <v>12.74</v>
      </c>
      <c r="GW9" s="49">
        <v>13.787000000000001</v>
      </c>
      <c r="GX9" s="49">
        <v>14.896000000000001</v>
      </c>
      <c r="GY9" s="50">
        <v>0</v>
      </c>
      <c r="GZ9" s="49">
        <v>0</v>
      </c>
      <c r="HA9" s="49">
        <v>0</v>
      </c>
      <c r="HB9" s="49">
        <v>0</v>
      </c>
      <c r="HC9" s="49">
        <v>36.348999999999997</v>
      </c>
      <c r="HD9" s="49">
        <v>78</v>
      </c>
      <c r="HE9" s="50">
        <v>0</v>
      </c>
      <c r="HF9" s="50">
        <v>0</v>
      </c>
      <c r="HG9" s="49">
        <v>72.31</v>
      </c>
      <c r="HH9" s="49">
        <v>80.55</v>
      </c>
      <c r="HI9" s="50">
        <v>0</v>
      </c>
      <c r="HJ9" s="50">
        <v>0</v>
      </c>
      <c r="HK9" s="50">
        <v>0</v>
      </c>
      <c r="HL9" s="49">
        <v>57</v>
      </c>
      <c r="HM9" s="49">
        <v>49</v>
      </c>
      <c r="HN9" s="49">
        <v>63</v>
      </c>
      <c r="HO9" s="49">
        <v>57</v>
      </c>
      <c r="HP9" s="49">
        <v>60</v>
      </c>
      <c r="HQ9" s="49">
        <v>58</v>
      </c>
      <c r="HR9" s="49">
        <v>51</v>
      </c>
      <c r="HS9" s="49">
        <v>70</v>
      </c>
      <c r="HT9" s="50">
        <v>-1.4315</v>
      </c>
      <c r="HU9" s="50">
        <v>0</v>
      </c>
      <c r="HV9" s="50">
        <v>0.73699999999999999</v>
      </c>
      <c r="HW9" s="50">
        <v>37.17</v>
      </c>
      <c r="HX9" s="49">
        <v>51.76</v>
      </c>
      <c r="HY9" s="49">
        <v>52.13</v>
      </c>
      <c r="HZ9" s="49">
        <v>52.13</v>
      </c>
      <c r="IA9" s="49">
        <v>2.7130000000000001</v>
      </c>
      <c r="IB9" s="50">
        <v>103</v>
      </c>
      <c r="IC9" s="50">
        <v>22.186</v>
      </c>
      <c r="ID9" s="49">
        <v>-0.42099999999999999</v>
      </c>
      <c r="IE9" s="49">
        <v>-0.23400000000000001</v>
      </c>
      <c r="IF9" s="49">
        <v>820.1</v>
      </c>
      <c r="IG9" s="49">
        <v>759.7</v>
      </c>
      <c r="IH9" s="50">
        <v>830.7</v>
      </c>
      <c r="II9" s="50">
        <v>770.5</v>
      </c>
      <c r="IJ9" s="49">
        <v>-3.3000000000000002E-2</v>
      </c>
      <c r="IK9" s="50">
        <v>5.7000000000000002E-2</v>
      </c>
      <c r="IL9" s="49">
        <v>76.620999999999995</v>
      </c>
      <c r="IM9" s="49">
        <v>76.620999999999995</v>
      </c>
      <c r="IN9" s="49">
        <v>11.426</v>
      </c>
      <c r="IO9" s="49">
        <v>0.35099999999999998</v>
      </c>
      <c r="IP9" s="49">
        <v>9.3800000000000008</v>
      </c>
      <c r="IQ9" s="49">
        <v>4.0000000000000001E-3</v>
      </c>
      <c r="IR9" s="49">
        <v>1E-3</v>
      </c>
    </row>
    <row r="10" spans="2:252" x14ac:dyDescent="0.25">
      <c r="B10" s="2" t="s">
        <v>412</v>
      </c>
      <c r="C10" s="62" t="s">
        <v>44</v>
      </c>
      <c r="D10" s="63">
        <v>2.5057870370370368E-3</v>
      </c>
      <c r="E10" s="49">
        <v>216.5</v>
      </c>
      <c r="F10" s="50">
        <v>331.68</v>
      </c>
      <c r="G10" s="49">
        <v>5.9</v>
      </c>
      <c r="H10" s="50">
        <v>25.7</v>
      </c>
      <c r="I10" s="50">
        <v>0</v>
      </c>
      <c r="J10" s="49">
        <v>16.8</v>
      </c>
      <c r="K10" s="50">
        <v>6</v>
      </c>
      <c r="L10" s="50">
        <v>6</v>
      </c>
      <c r="M10" s="50">
        <v>7</v>
      </c>
      <c r="N10" s="50">
        <v>2</v>
      </c>
      <c r="O10" s="50">
        <v>3</v>
      </c>
      <c r="P10" s="49">
        <v>0.38200000000000001</v>
      </c>
      <c r="Q10" s="49">
        <v>0.73099999999999998</v>
      </c>
      <c r="R10" s="49">
        <v>0.46200000000000002</v>
      </c>
      <c r="S10" s="49">
        <v>0.20100000000000001</v>
      </c>
      <c r="T10" s="49">
        <v>70.56</v>
      </c>
      <c r="U10" s="49">
        <v>60.451999999999998</v>
      </c>
      <c r="V10" s="49">
        <v>245</v>
      </c>
      <c r="W10" s="49">
        <v>278.33999999999997</v>
      </c>
      <c r="X10" s="49">
        <v>170</v>
      </c>
      <c r="Y10" s="49">
        <v>216.66</v>
      </c>
      <c r="Z10" s="49">
        <v>381.35</v>
      </c>
      <c r="AA10" s="49">
        <v>407.83</v>
      </c>
      <c r="AB10" s="49">
        <v>270.57</v>
      </c>
      <c r="AC10" s="49">
        <v>342.74</v>
      </c>
      <c r="AD10" s="49">
        <v>1.835</v>
      </c>
      <c r="AE10" s="49">
        <v>1.8440000000000001</v>
      </c>
      <c r="AF10" s="49">
        <v>1.8580000000000001</v>
      </c>
      <c r="AG10" s="49">
        <v>1.8779999999999999</v>
      </c>
      <c r="AH10" s="49">
        <v>78.61</v>
      </c>
      <c r="AI10" s="49">
        <v>68.77</v>
      </c>
      <c r="AJ10" s="49">
        <v>101.74</v>
      </c>
      <c r="AK10" s="49">
        <v>100.8</v>
      </c>
      <c r="AL10" s="49">
        <v>659.96</v>
      </c>
      <c r="AM10" s="49">
        <v>671.26199999999994</v>
      </c>
      <c r="AN10" s="50">
        <v>855.08600000000001</v>
      </c>
      <c r="AO10" s="49">
        <v>782.95399999999995</v>
      </c>
      <c r="AP10" s="49">
        <v>1.4039999999999999</v>
      </c>
      <c r="AQ10" s="49">
        <v>1.8759999999999999</v>
      </c>
      <c r="AR10" s="50">
        <v>42.274000000000001</v>
      </c>
      <c r="AS10" s="50">
        <v>39.247</v>
      </c>
      <c r="AT10" s="49">
        <v>83</v>
      </c>
      <c r="AU10" s="49">
        <v>119</v>
      </c>
      <c r="AV10" s="49">
        <v>1.6595</v>
      </c>
      <c r="AW10" s="49">
        <v>4.8063000000000002</v>
      </c>
      <c r="AX10" s="49">
        <v>1015.3</v>
      </c>
      <c r="AY10" s="49">
        <v>2.4300000000000002</v>
      </c>
      <c r="AZ10" s="49">
        <v>5.53</v>
      </c>
      <c r="BA10" s="49">
        <v>95.2</v>
      </c>
      <c r="BB10" s="49">
        <v>91.725999999999999</v>
      </c>
      <c r="BC10" s="50">
        <v>7860</v>
      </c>
      <c r="BD10" s="49">
        <v>88.75</v>
      </c>
      <c r="BE10" s="49">
        <v>15.93</v>
      </c>
      <c r="BF10" s="49">
        <v>14.9</v>
      </c>
      <c r="BG10" s="49">
        <v>28.46</v>
      </c>
      <c r="BH10" s="50">
        <v>31.4</v>
      </c>
      <c r="BI10" s="3"/>
      <c r="BJ10" s="3"/>
      <c r="BK10" s="3"/>
      <c r="BL10" s="3"/>
      <c r="BM10" s="3"/>
      <c r="BN10" s="49">
        <v>103.032</v>
      </c>
      <c r="BO10" s="49">
        <v>107.08</v>
      </c>
      <c r="BP10" s="49">
        <v>122.024</v>
      </c>
      <c r="BQ10" s="49">
        <v>126.88800000000001</v>
      </c>
      <c r="BR10" s="3"/>
      <c r="BS10" s="50">
        <v>25.5</v>
      </c>
      <c r="BT10" s="49">
        <v>7381.6769999999997</v>
      </c>
      <c r="BU10" s="49">
        <v>51.085000000000001</v>
      </c>
      <c r="BV10" s="49">
        <v>52.597999999999999</v>
      </c>
      <c r="BW10" s="49">
        <v>54.244</v>
      </c>
      <c r="BX10" s="49">
        <v>56.256999999999998</v>
      </c>
      <c r="BY10" s="49">
        <v>1.589</v>
      </c>
      <c r="BZ10" s="50">
        <v>2.9889999999999999</v>
      </c>
      <c r="CA10" s="50">
        <v>3.6190000000000002</v>
      </c>
      <c r="CB10" s="49">
        <v>3.137</v>
      </c>
      <c r="CC10" s="49">
        <v>0.81699999999999995</v>
      </c>
      <c r="CD10" s="49">
        <v>2.2349999999999999</v>
      </c>
      <c r="CE10" s="49">
        <v>1.3220000000000001</v>
      </c>
      <c r="CF10" s="49">
        <v>2.141</v>
      </c>
      <c r="CG10" s="49">
        <v>13.734</v>
      </c>
      <c r="CH10" s="49">
        <v>13.602</v>
      </c>
      <c r="CI10" s="49">
        <v>4.5720000000000001</v>
      </c>
      <c r="CJ10" s="49">
        <v>3.5019999999999998</v>
      </c>
      <c r="CK10" s="49">
        <v>1.603</v>
      </c>
      <c r="CL10" s="49">
        <v>0</v>
      </c>
      <c r="CM10" s="50">
        <v>2.8</v>
      </c>
      <c r="CN10" s="50">
        <v>0</v>
      </c>
      <c r="CO10" s="50">
        <v>0</v>
      </c>
      <c r="CP10" s="49">
        <v>96.852999999999994</v>
      </c>
      <c r="CQ10" s="49">
        <v>99.968999999999994</v>
      </c>
      <c r="CR10" s="49">
        <v>114.70399999999999</v>
      </c>
      <c r="CS10" s="49">
        <v>120.866</v>
      </c>
      <c r="CT10" s="49">
        <v>0.252</v>
      </c>
      <c r="CU10" s="50">
        <v>1.1040000000000001</v>
      </c>
      <c r="CV10" s="50">
        <v>2.101</v>
      </c>
      <c r="CW10" s="50">
        <v>1.4970000000000001</v>
      </c>
      <c r="CX10" s="49">
        <v>1.8</v>
      </c>
      <c r="CY10" s="50">
        <v>1.2050000000000001</v>
      </c>
      <c r="CZ10" s="49">
        <v>0.9</v>
      </c>
      <c r="DA10" s="50">
        <v>1.5</v>
      </c>
      <c r="DB10" s="50">
        <v>2.0979999999999999</v>
      </c>
      <c r="DC10" s="50">
        <v>0</v>
      </c>
      <c r="DD10" s="50">
        <v>0</v>
      </c>
      <c r="DE10" s="50">
        <v>0.20200000000000001</v>
      </c>
      <c r="DF10" s="49">
        <v>8.6999999999999994E-2</v>
      </c>
      <c r="DG10" s="50">
        <v>0.92</v>
      </c>
      <c r="DH10" s="49">
        <v>1.732</v>
      </c>
      <c r="DI10" s="49">
        <v>0.79900000000000004</v>
      </c>
      <c r="DJ10" s="49">
        <v>0.14699999999999999</v>
      </c>
      <c r="DK10" s="50">
        <v>0.82099999999999995</v>
      </c>
      <c r="DL10" s="49">
        <v>0.41299999999999998</v>
      </c>
      <c r="DM10" s="49">
        <v>0.42799999999999999</v>
      </c>
      <c r="DN10" s="49">
        <v>0.374</v>
      </c>
      <c r="DO10" s="49">
        <v>0.41699999999999998</v>
      </c>
      <c r="DP10" s="49">
        <v>68.281000000000006</v>
      </c>
      <c r="DQ10" s="49">
        <v>59.500999999999998</v>
      </c>
      <c r="DR10" s="49">
        <v>54.378</v>
      </c>
      <c r="DS10" s="50">
        <v>53.454000000000001</v>
      </c>
      <c r="DT10" s="50">
        <v>6.37</v>
      </c>
      <c r="DU10" s="50">
        <v>6.63</v>
      </c>
      <c r="DV10" s="50">
        <v>12.2</v>
      </c>
      <c r="DW10" s="49">
        <v>8.77</v>
      </c>
      <c r="DX10" s="50">
        <v>6.88</v>
      </c>
      <c r="DY10" s="50">
        <v>7.04</v>
      </c>
      <c r="DZ10" s="50">
        <v>11.6</v>
      </c>
      <c r="EA10" s="49">
        <v>8.5500000000000007</v>
      </c>
      <c r="EB10" s="49">
        <v>42.14</v>
      </c>
      <c r="EC10" s="49">
        <v>41.35</v>
      </c>
      <c r="ED10" s="49">
        <v>34.53</v>
      </c>
      <c r="EE10" s="49">
        <v>37.46</v>
      </c>
      <c r="EF10" s="49">
        <v>44.6</v>
      </c>
      <c r="EG10" s="49">
        <v>44.98</v>
      </c>
      <c r="EH10" s="49">
        <v>41.67</v>
      </c>
      <c r="EI10" s="49">
        <v>45.23</v>
      </c>
      <c r="EJ10" s="49">
        <v>6.734</v>
      </c>
      <c r="EK10" s="49">
        <v>62.48</v>
      </c>
      <c r="EL10" s="49">
        <v>2.25</v>
      </c>
      <c r="EM10" s="49">
        <v>1.85</v>
      </c>
      <c r="EN10" s="49">
        <v>1.21</v>
      </c>
      <c r="EO10" s="49">
        <v>1.21</v>
      </c>
      <c r="EP10" s="50">
        <v>-112.062</v>
      </c>
      <c r="EQ10" s="49">
        <v>-3.0550000000000002</v>
      </c>
      <c r="ER10" s="50">
        <v>113.07</v>
      </c>
      <c r="ES10" s="49">
        <v>1.44</v>
      </c>
      <c r="ET10" s="50">
        <v>1.6220000000000001</v>
      </c>
      <c r="EU10" s="49">
        <v>1.4059999999999999</v>
      </c>
      <c r="EV10" s="49">
        <v>7.6059999999999999</v>
      </c>
      <c r="EW10" s="49">
        <v>2.823</v>
      </c>
      <c r="EX10" s="49">
        <v>72.22</v>
      </c>
      <c r="EY10" s="49">
        <v>0</v>
      </c>
      <c r="EZ10" s="49">
        <v>0</v>
      </c>
      <c r="FA10" s="50">
        <v>0</v>
      </c>
      <c r="FB10" s="49">
        <v>8.9819999999999993</v>
      </c>
      <c r="FC10" s="49">
        <v>69.757000000000005</v>
      </c>
      <c r="FD10" s="49">
        <v>64.521000000000001</v>
      </c>
      <c r="FE10" s="49">
        <v>79.534999999999997</v>
      </c>
      <c r="FF10" s="49">
        <v>78.593999999999994</v>
      </c>
      <c r="FG10" s="49">
        <v>0.91600000000000004</v>
      </c>
      <c r="FH10" s="49">
        <v>0.91500000000000004</v>
      </c>
      <c r="FI10" s="49">
        <v>0.995</v>
      </c>
      <c r="FJ10" s="49">
        <v>0.997</v>
      </c>
      <c r="FK10" s="49">
        <v>0</v>
      </c>
      <c r="FL10" s="49">
        <v>83</v>
      </c>
      <c r="FM10" s="49">
        <v>3.72</v>
      </c>
      <c r="FN10" s="49">
        <v>-0.56000000000000005</v>
      </c>
      <c r="FO10" s="49">
        <v>5.5</v>
      </c>
      <c r="FP10" s="49">
        <v>4.55</v>
      </c>
      <c r="FQ10" s="49">
        <v>4.5</v>
      </c>
      <c r="FR10" s="49">
        <v>5.05</v>
      </c>
      <c r="FS10" s="49">
        <v>6.6055000000000001</v>
      </c>
      <c r="FT10" s="49">
        <v>1078.7</v>
      </c>
      <c r="FU10" s="50">
        <v>6.36</v>
      </c>
      <c r="FV10" s="49">
        <v>23.51</v>
      </c>
      <c r="FW10" s="49">
        <v>3189.5</v>
      </c>
      <c r="FX10" s="49">
        <v>162700</v>
      </c>
      <c r="FY10" s="49">
        <v>163200</v>
      </c>
      <c r="FZ10" s="49">
        <v>47.341000000000001</v>
      </c>
      <c r="GA10" s="49">
        <v>47.637999999999998</v>
      </c>
      <c r="GB10" s="49">
        <v>2156.6</v>
      </c>
      <c r="GC10" s="49">
        <v>2168.3000000000002</v>
      </c>
      <c r="GD10" s="49">
        <v>2215.1999999999998</v>
      </c>
      <c r="GE10" s="49">
        <v>2217</v>
      </c>
      <c r="GF10" s="50">
        <v>1621.5625</v>
      </c>
      <c r="GG10" s="50">
        <v>29</v>
      </c>
      <c r="GH10" s="49">
        <v>28.6</v>
      </c>
      <c r="GI10" s="49">
        <v>45.6</v>
      </c>
      <c r="GJ10" s="49">
        <v>50.5</v>
      </c>
      <c r="GK10" s="49">
        <v>99.5</v>
      </c>
      <c r="GL10" s="49">
        <v>109.2</v>
      </c>
      <c r="GM10" s="50">
        <v>0</v>
      </c>
      <c r="GN10" s="49">
        <v>22.712</v>
      </c>
      <c r="GO10" s="50">
        <v>113.07</v>
      </c>
      <c r="GP10" s="49">
        <v>0.53100000000000003</v>
      </c>
      <c r="GQ10" s="49">
        <v>1.829</v>
      </c>
      <c r="GR10" s="49">
        <v>1.298</v>
      </c>
      <c r="GS10" s="49">
        <v>2.0059999999999998</v>
      </c>
      <c r="GT10" s="49">
        <v>0.70799999999999996</v>
      </c>
      <c r="GU10" s="49">
        <v>1.829</v>
      </c>
      <c r="GV10" s="49">
        <v>12.641999999999999</v>
      </c>
      <c r="GW10" s="50">
        <v>13.81</v>
      </c>
      <c r="GX10" s="49">
        <v>14.994</v>
      </c>
      <c r="GY10" s="50">
        <v>0</v>
      </c>
      <c r="GZ10" s="49">
        <v>0</v>
      </c>
      <c r="HA10" s="49">
        <v>0</v>
      </c>
      <c r="HB10" s="49">
        <v>0</v>
      </c>
      <c r="HC10" s="50">
        <v>36.390999999999998</v>
      </c>
      <c r="HD10" s="49">
        <v>82</v>
      </c>
      <c r="HE10" s="50">
        <v>0</v>
      </c>
      <c r="HF10" s="50">
        <v>0</v>
      </c>
      <c r="HG10" s="49">
        <v>74.790000000000006</v>
      </c>
      <c r="HH10" s="50">
        <v>80.97</v>
      </c>
      <c r="HI10" s="50">
        <v>0</v>
      </c>
      <c r="HJ10" s="50">
        <v>0</v>
      </c>
      <c r="HK10" s="50">
        <v>0</v>
      </c>
      <c r="HL10" s="49">
        <v>58</v>
      </c>
      <c r="HM10" s="50">
        <v>50</v>
      </c>
      <c r="HN10" s="50">
        <v>64</v>
      </c>
      <c r="HO10" s="49">
        <v>57</v>
      </c>
      <c r="HP10" s="50">
        <v>61</v>
      </c>
      <c r="HQ10" s="50">
        <v>59</v>
      </c>
      <c r="HR10" s="49">
        <v>51</v>
      </c>
      <c r="HS10" s="50">
        <v>82</v>
      </c>
      <c r="HT10" s="49">
        <v>-1.4035</v>
      </c>
      <c r="HU10" s="50">
        <v>0</v>
      </c>
      <c r="HV10" s="49">
        <v>0.72399999999999998</v>
      </c>
      <c r="HW10" s="49">
        <v>38.119999999999997</v>
      </c>
      <c r="HX10" s="50">
        <v>48.18</v>
      </c>
      <c r="HY10" s="50">
        <v>52.59</v>
      </c>
      <c r="HZ10" s="50">
        <v>52.59</v>
      </c>
      <c r="IA10" s="49">
        <v>2.6120000000000001</v>
      </c>
      <c r="IB10" s="50">
        <v>103</v>
      </c>
      <c r="IC10" s="49">
        <v>22.08</v>
      </c>
      <c r="ID10" s="49">
        <v>-0.41599999999999998</v>
      </c>
      <c r="IE10" s="49">
        <v>-0.23499999999999999</v>
      </c>
      <c r="IF10" s="49">
        <v>802.3</v>
      </c>
      <c r="IG10" s="49">
        <v>757.4</v>
      </c>
      <c r="IH10" s="49">
        <v>815.1</v>
      </c>
      <c r="II10" s="49">
        <v>769.1</v>
      </c>
      <c r="IJ10" s="49">
        <v>-1.6E-2</v>
      </c>
      <c r="IK10" s="49">
        <v>3.7999999999999999E-2</v>
      </c>
      <c r="IL10" s="49">
        <v>77.326999999999998</v>
      </c>
      <c r="IM10" s="49">
        <v>77.326999999999998</v>
      </c>
      <c r="IN10" s="49">
        <v>11.754</v>
      </c>
      <c r="IO10" s="49">
        <v>0.26800000000000002</v>
      </c>
      <c r="IP10" s="49">
        <v>9.35</v>
      </c>
      <c r="IQ10" s="50">
        <v>8.9999999999999993E-3</v>
      </c>
      <c r="IR10" s="50">
        <v>7.0000000000000001E-3</v>
      </c>
    </row>
    <row r="11" spans="2:252" x14ac:dyDescent="0.25">
      <c r="B11" s="2" t="s">
        <v>412</v>
      </c>
      <c r="C11" s="2" t="s">
        <v>45</v>
      </c>
      <c r="D11" s="61">
        <v>2.9621527777777784E-3</v>
      </c>
      <c r="E11" s="49">
        <v>255.928</v>
      </c>
      <c r="F11" s="49">
        <v>330.06</v>
      </c>
      <c r="G11" s="49">
        <v>-23.51</v>
      </c>
      <c r="H11" s="49">
        <v>25.6</v>
      </c>
      <c r="I11" s="50">
        <v>0</v>
      </c>
      <c r="J11" s="49">
        <v>27.2</v>
      </c>
      <c r="K11" s="50">
        <v>6</v>
      </c>
      <c r="L11" s="50">
        <v>6</v>
      </c>
      <c r="M11" s="50">
        <v>7</v>
      </c>
      <c r="N11" s="50">
        <v>2</v>
      </c>
      <c r="O11" s="50">
        <v>3</v>
      </c>
      <c r="P11" s="49">
        <v>0.46899999999999997</v>
      </c>
      <c r="Q11" s="50">
        <v>1.0569999999999999</v>
      </c>
      <c r="R11" s="49">
        <v>0.214</v>
      </c>
      <c r="S11" s="50">
        <v>0.28199999999999997</v>
      </c>
      <c r="T11" s="50">
        <v>74.3</v>
      </c>
      <c r="U11" s="49">
        <v>60.576000000000001</v>
      </c>
      <c r="V11" s="49">
        <v>230</v>
      </c>
      <c r="W11" s="49">
        <v>261.66000000000003</v>
      </c>
      <c r="X11" s="49">
        <v>165</v>
      </c>
      <c r="Y11" s="49">
        <v>208.34</v>
      </c>
      <c r="Z11" s="49">
        <v>369.09</v>
      </c>
      <c r="AA11" s="49">
        <v>395.64</v>
      </c>
      <c r="AB11" s="49">
        <v>274.7</v>
      </c>
      <c r="AC11" s="49">
        <v>339.75</v>
      </c>
      <c r="AD11" s="50">
        <v>1.855</v>
      </c>
      <c r="AE11" s="50">
        <v>1.861</v>
      </c>
      <c r="AF11" s="50">
        <v>1.88</v>
      </c>
      <c r="AG11" s="50">
        <v>1.9019999999999999</v>
      </c>
      <c r="AH11" s="50">
        <v>81.040000000000006</v>
      </c>
      <c r="AI11" s="50">
        <v>70.540000000000006</v>
      </c>
      <c r="AJ11" s="50">
        <v>104.46</v>
      </c>
      <c r="AK11" s="50">
        <v>102.85</v>
      </c>
      <c r="AL11" s="50">
        <v>692.88699999999994</v>
      </c>
      <c r="AM11" s="50">
        <v>707.35400000000004</v>
      </c>
      <c r="AN11" s="49">
        <v>850.84299999999996</v>
      </c>
      <c r="AO11" s="50">
        <v>859.53499999999997</v>
      </c>
      <c r="AP11" s="49">
        <v>1.4039999999999999</v>
      </c>
      <c r="AQ11" s="49">
        <v>1.87</v>
      </c>
      <c r="AR11" s="49">
        <v>41.984000000000002</v>
      </c>
      <c r="AS11" s="49">
        <v>38.508000000000003</v>
      </c>
      <c r="AT11" s="49">
        <v>83</v>
      </c>
      <c r="AU11" s="50">
        <v>120</v>
      </c>
      <c r="AV11" s="50">
        <v>1.5085</v>
      </c>
      <c r="AW11" s="49">
        <v>4.6585999999999999</v>
      </c>
      <c r="AX11" s="49">
        <v>1015.6</v>
      </c>
      <c r="AY11" s="49">
        <v>2.4300000000000002</v>
      </c>
      <c r="AZ11" s="49">
        <v>5.64</v>
      </c>
      <c r="BA11" s="49">
        <v>69.400000000000006</v>
      </c>
      <c r="BB11" s="49">
        <v>69.400000000000006</v>
      </c>
      <c r="BC11" s="49">
        <v>7698</v>
      </c>
      <c r="BD11" s="50">
        <v>89</v>
      </c>
      <c r="BE11" s="49">
        <v>17.57</v>
      </c>
      <c r="BF11" s="50">
        <v>15.065</v>
      </c>
      <c r="BG11" s="49">
        <v>29.29</v>
      </c>
      <c r="BH11" s="49">
        <v>27.78</v>
      </c>
      <c r="BI11" s="50">
        <v>65.841999999999999</v>
      </c>
      <c r="BJ11" s="50">
        <v>82.007000000000005</v>
      </c>
      <c r="BK11" s="50">
        <v>64.132999999999996</v>
      </c>
      <c r="BL11" s="50">
        <v>78.867999999999995</v>
      </c>
      <c r="BM11" s="50">
        <v>79.977999999999994</v>
      </c>
      <c r="BN11" s="49">
        <v>117.464</v>
      </c>
      <c r="BO11" s="49">
        <v>120.47199999999999</v>
      </c>
      <c r="BP11" s="50">
        <v>132.77600000000001</v>
      </c>
      <c r="BQ11" s="50">
        <v>134.136</v>
      </c>
      <c r="BR11" s="50">
        <v>59.98</v>
      </c>
      <c r="BS11" s="49">
        <v>25.4</v>
      </c>
      <c r="BT11" s="49">
        <v>7389.9120000000003</v>
      </c>
      <c r="BU11" s="49">
        <v>51.503999999999998</v>
      </c>
      <c r="BV11" s="49">
        <v>51.771999999999998</v>
      </c>
      <c r="BW11" s="49">
        <v>54.317</v>
      </c>
      <c r="BX11" s="49">
        <v>57.076000000000001</v>
      </c>
      <c r="BY11" s="50">
        <v>1.744</v>
      </c>
      <c r="BZ11" s="49">
        <v>2.8769999999999998</v>
      </c>
      <c r="CA11" s="49">
        <v>3.3220000000000001</v>
      </c>
      <c r="CB11" s="50">
        <v>3.53</v>
      </c>
      <c r="CC11" s="50">
        <v>1.1419999999999999</v>
      </c>
      <c r="CD11" s="49">
        <v>2.323</v>
      </c>
      <c r="CE11" s="49">
        <v>1.2929999999999999</v>
      </c>
      <c r="CF11" s="49">
        <v>2.0920000000000001</v>
      </c>
      <c r="CG11" s="49">
        <v>13.718999999999999</v>
      </c>
      <c r="CH11" s="49">
        <v>10.382999999999999</v>
      </c>
      <c r="CI11" s="3"/>
      <c r="CJ11" s="3"/>
      <c r="CK11" s="3"/>
      <c r="CL11" s="49">
        <v>0.1</v>
      </c>
      <c r="CM11" s="49">
        <v>0</v>
      </c>
      <c r="CN11" s="50">
        <v>0</v>
      </c>
      <c r="CO11" s="50">
        <v>0</v>
      </c>
      <c r="CP11" s="49">
        <v>96.768000000000001</v>
      </c>
      <c r="CQ11" s="49">
        <v>99.141000000000005</v>
      </c>
      <c r="CR11" s="50">
        <v>116.035</v>
      </c>
      <c r="CS11" s="50">
        <v>121.15300000000001</v>
      </c>
      <c r="CT11" s="49">
        <v>0.312</v>
      </c>
      <c r="CU11" s="49">
        <v>0.70099999999999996</v>
      </c>
      <c r="CV11" s="49">
        <v>1.2010000000000001</v>
      </c>
      <c r="CW11" s="49">
        <v>1.198</v>
      </c>
      <c r="CX11" s="49">
        <v>1.5</v>
      </c>
      <c r="CY11" s="49">
        <v>1.002</v>
      </c>
      <c r="CZ11" s="50">
        <v>1.7989999999999999</v>
      </c>
      <c r="DA11" s="49">
        <v>0.79900000000000004</v>
      </c>
      <c r="DB11" s="49">
        <v>1.7030000000000001</v>
      </c>
      <c r="DC11" s="50">
        <v>0</v>
      </c>
      <c r="DD11" s="50">
        <v>0</v>
      </c>
      <c r="DE11" s="49">
        <v>0.18</v>
      </c>
      <c r="DF11" s="50">
        <v>0.104</v>
      </c>
      <c r="DG11" s="49">
        <v>0.216</v>
      </c>
      <c r="DH11" s="49">
        <v>1.829</v>
      </c>
      <c r="DI11" s="50">
        <v>0.81699999999999995</v>
      </c>
      <c r="DJ11" s="49">
        <v>3.1E-2</v>
      </c>
      <c r="DK11" s="49">
        <v>0.79100000000000004</v>
      </c>
      <c r="DL11" s="49">
        <v>0.40400000000000003</v>
      </c>
      <c r="DM11" s="49">
        <v>0.45800000000000002</v>
      </c>
      <c r="DN11" s="49">
        <v>-2.528</v>
      </c>
      <c r="DO11" s="49">
        <v>0.29399999999999998</v>
      </c>
      <c r="DP11" s="50">
        <v>68.653000000000006</v>
      </c>
      <c r="DQ11" s="50">
        <v>61.756999999999998</v>
      </c>
      <c r="DR11" s="49">
        <v>53.162999999999997</v>
      </c>
      <c r="DS11" s="49">
        <v>53.389000000000003</v>
      </c>
      <c r="DT11" s="49">
        <v>6.19</v>
      </c>
      <c r="DU11" s="49">
        <v>6.48</v>
      </c>
      <c r="DV11" s="49">
        <v>10.59</v>
      </c>
      <c r="DW11" s="49">
        <v>8.3000000000000007</v>
      </c>
      <c r="DX11" s="49">
        <v>6.31</v>
      </c>
      <c r="DY11" s="49">
        <v>6.69</v>
      </c>
      <c r="DZ11" s="49">
        <v>10.199999999999999</v>
      </c>
      <c r="EA11" s="49">
        <v>8.24</v>
      </c>
      <c r="EB11" s="49">
        <v>40.65</v>
      </c>
      <c r="EC11" s="49">
        <v>39.89</v>
      </c>
      <c r="ED11" s="49">
        <v>33.31</v>
      </c>
      <c r="EE11" s="49">
        <v>34.76</v>
      </c>
      <c r="EF11" s="49">
        <v>46.85</v>
      </c>
      <c r="EG11" s="49">
        <v>46.94</v>
      </c>
      <c r="EH11" s="49">
        <v>45.9</v>
      </c>
      <c r="EI11" s="49">
        <v>48.7</v>
      </c>
      <c r="EJ11" s="50">
        <v>6.8579999999999997</v>
      </c>
      <c r="EK11" s="49">
        <v>62.610999999999997</v>
      </c>
      <c r="EL11" s="49">
        <v>2.2999999999999998</v>
      </c>
      <c r="EM11" s="49">
        <v>1.85</v>
      </c>
      <c r="EN11" s="50">
        <v>1.22</v>
      </c>
      <c r="EO11" s="50">
        <v>1.24</v>
      </c>
      <c r="EP11" s="49">
        <v>-100.96599999999999</v>
      </c>
      <c r="EQ11" s="49">
        <v>-2.8220000000000001</v>
      </c>
      <c r="ER11" s="49">
        <v>110.44199999999999</v>
      </c>
      <c r="ES11" s="49">
        <v>1.4259999999999999</v>
      </c>
      <c r="ET11" s="49">
        <v>1.59</v>
      </c>
      <c r="EU11" s="49">
        <v>1.393</v>
      </c>
      <c r="EV11" s="49">
        <v>7.7350000000000003</v>
      </c>
      <c r="EW11" s="49">
        <v>2.9289999999999998</v>
      </c>
      <c r="EX11" s="49">
        <v>71.02</v>
      </c>
      <c r="EY11" s="50">
        <v>1.9E-2</v>
      </c>
      <c r="EZ11" s="49">
        <v>0</v>
      </c>
      <c r="FA11" s="50">
        <v>0</v>
      </c>
      <c r="FB11" s="50">
        <v>9.0470000000000006</v>
      </c>
      <c r="FC11" s="50">
        <v>70.337999999999994</v>
      </c>
      <c r="FD11" s="50">
        <v>64.778000000000006</v>
      </c>
      <c r="FE11" s="50">
        <v>80.358000000000004</v>
      </c>
      <c r="FF11" s="50">
        <v>79.242999999999995</v>
      </c>
      <c r="FG11" s="50">
        <v>0.98299999999999998</v>
      </c>
      <c r="FH11" s="50">
        <v>1.01</v>
      </c>
      <c r="FI11" s="49">
        <v>0.995</v>
      </c>
      <c r="FJ11" s="49">
        <v>0.997</v>
      </c>
      <c r="FK11" s="49">
        <v>0</v>
      </c>
      <c r="FL11" s="49">
        <v>83</v>
      </c>
      <c r="FM11" s="50">
        <v>3.84</v>
      </c>
      <c r="FN11" s="49">
        <v>-0.37</v>
      </c>
      <c r="FO11" s="50">
        <v>5.28</v>
      </c>
      <c r="FP11" s="49">
        <v>3.7</v>
      </c>
      <c r="FQ11" s="49">
        <v>4.55</v>
      </c>
      <c r="FR11" s="49">
        <v>4.8499999999999996</v>
      </c>
      <c r="FS11" s="49">
        <v>6.5759999999999996</v>
      </c>
      <c r="FT11" s="49">
        <v>1071.5</v>
      </c>
      <c r="FU11" s="49">
        <v>6.32</v>
      </c>
      <c r="FV11" s="50">
        <v>29.36</v>
      </c>
      <c r="FW11" s="49">
        <v>3158.5</v>
      </c>
      <c r="FX11" s="49">
        <v>165000</v>
      </c>
      <c r="FY11" s="49">
        <v>164300</v>
      </c>
      <c r="FZ11" s="49">
        <v>47.021999999999998</v>
      </c>
      <c r="GA11" s="49">
        <v>47.345999999999997</v>
      </c>
      <c r="GB11" s="49">
        <v>2169</v>
      </c>
      <c r="GC11" s="49">
        <v>2171.6</v>
      </c>
      <c r="GD11" s="49">
        <v>2179.6999999999998</v>
      </c>
      <c r="GE11" s="49">
        <v>2262.9</v>
      </c>
      <c r="GF11" s="49">
        <v>1357.8280999999999</v>
      </c>
      <c r="GG11" s="50">
        <v>29</v>
      </c>
      <c r="GH11" s="50">
        <v>29.2</v>
      </c>
      <c r="GI11" s="49">
        <v>45.5</v>
      </c>
      <c r="GJ11" s="49">
        <v>50.9</v>
      </c>
      <c r="GK11" s="49">
        <v>98.5</v>
      </c>
      <c r="GL11" s="49">
        <v>109.5</v>
      </c>
      <c r="GM11" s="50">
        <v>0</v>
      </c>
      <c r="GN11" s="49">
        <v>24.843</v>
      </c>
      <c r="GO11" s="49">
        <v>110.44199999999999</v>
      </c>
      <c r="GP11" s="50">
        <v>0</v>
      </c>
      <c r="GQ11" s="50">
        <v>5.782</v>
      </c>
      <c r="GR11" s="50">
        <v>0</v>
      </c>
      <c r="GS11" s="50">
        <v>4.8380000000000001</v>
      </c>
      <c r="GT11" s="50">
        <v>0</v>
      </c>
      <c r="GU11" s="50">
        <v>5.9589999999999996</v>
      </c>
      <c r="GV11" s="50">
        <v>0</v>
      </c>
      <c r="GW11" s="49">
        <v>12.455</v>
      </c>
      <c r="GX11" s="50">
        <v>20.972000000000001</v>
      </c>
      <c r="GY11" s="50">
        <v>0</v>
      </c>
      <c r="GZ11" s="50">
        <v>0.68400000000000005</v>
      </c>
      <c r="HA11" s="50">
        <v>24.99</v>
      </c>
      <c r="HB11" s="50">
        <v>1</v>
      </c>
      <c r="HC11" s="49">
        <v>33.935000000000002</v>
      </c>
      <c r="HD11" s="49">
        <v>86</v>
      </c>
      <c r="HE11" s="50">
        <v>0</v>
      </c>
      <c r="HF11" s="50">
        <v>0</v>
      </c>
      <c r="HG11" s="49">
        <v>73.73</v>
      </c>
      <c r="HH11" s="49">
        <v>80.81</v>
      </c>
      <c r="HI11" s="50">
        <v>0</v>
      </c>
      <c r="HJ11" s="50">
        <v>0</v>
      </c>
      <c r="HK11" s="50">
        <v>0</v>
      </c>
      <c r="HL11" s="49">
        <v>57</v>
      </c>
      <c r="HM11" s="50">
        <v>50</v>
      </c>
      <c r="HN11" s="50">
        <v>64</v>
      </c>
      <c r="HO11" s="50">
        <v>58</v>
      </c>
      <c r="HP11" s="50">
        <v>61</v>
      </c>
      <c r="HQ11" s="50">
        <v>59</v>
      </c>
      <c r="HR11" s="50">
        <v>52</v>
      </c>
      <c r="HS11" s="49">
        <v>62</v>
      </c>
      <c r="HT11" s="49">
        <v>-1.407</v>
      </c>
      <c r="HU11" s="50">
        <v>0</v>
      </c>
      <c r="HV11" s="49">
        <v>0.40200000000000002</v>
      </c>
      <c r="HW11" s="49">
        <v>38.119999999999997</v>
      </c>
      <c r="HX11" s="50">
        <v>48.18</v>
      </c>
      <c r="HY11" s="3"/>
      <c r="HZ11" s="3"/>
      <c r="IA11" s="50">
        <v>2.8069999999999999</v>
      </c>
      <c r="IB11" s="50">
        <v>103</v>
      </c>
      <c r="IC11" s="49">
        <v>21.882999999999999</v>
      </c>
      <c r="ID11" s="49">
        <v>-0.30599999999999999</v>
      </c>
      <c r="IE11" s="49">
        <v>-0.17100000000000001</v>
      </c>
      <c r="IF11" s="49">
        <v>819.2</v>
      </c>
      <c r="IG11" s="49">
        <v>734.1</v>
      </c>
      <c r="IH11" s="49">
        <v>815.4</v>
      </c>
      <c r="II11" s="49">
        <v>748.2</v>
      </c>
      <c r="IJ11" s="49">
        <v>-3.7999999999999999E-2</v>
      </c>
      <c r="IK11" s="49">
        <v>2E-3</v>
      </c>
      <c r="IL11" s="49">
        <v>95.932000000000002</v>
      </c>
      <c r="IM11" s="49">
        <v>95.932000000000002</v>
      </c>
      <c r="IN11" s="49">
        <v>14.2</v>
      </c>
      <c r="IO11" s="49">
        <v>0.22600000000000001</v>
      </c>
      <c r="IP11" s="49">
        <v>9.24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20E61-1FE2-46EC-8F20-9239E44D5456}">
  <sheetPr codeName="Sheet17"/>
  <dimension ref="B1:IR11"/>
  <sheetViews>
    <sheetView zoomScale="85" zoomScaleNormal="85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428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3.457638888888889E-3</v>
      </c>
      <c r="E7" s="49">
        <v>298.74400000000003</v>
      </c>
      <c r="F7" s="49">
        <v>328.48</v>
      </c>
      <c r="G7" s="49">
        <v>5.76</v>
      </c>
      <c r="H7" s="49">
        <v>25.6</v>
      </c>
      <c r="I7" s="50">
        <v>0</v>
      </c>
      <c r="J7" s="49">
        <v>71.400000000000006</v>
      </c>
      <c r="K7" s="50">
        <v>6</v>
      </c>
      <c r="L7" s="50">
        <v>6</v>
      </c>
      <c r="M7" s="50">
        <v>7</v>
      </c>
      <c r="N7" s="50">
        <v>2</v>
      </c>
      <c r="O7" s="50">
        <v>3</v>
      </c>
      <c r="P7" s="49">
        <v>0.44700000000000001</v>
      </c>
      <c r="Q7" s="49">
        <v>0.76900000000000002</v>
      </c>
      <c r="R7" s="49">
        <v>0.49</v>
      </c>
      <c r="S7" s="50">
        <v>0.35299999999999998</v>
      </c>
      <c r="T7" s="49">
        <v>55.09</v>
      </c>
      <c r="U7" s="50">
        <v>60.917000000000002</v>
      </c>
      <c r="V7" s="49">
        <v>218.34</v>
      </c>
      <c r="W7" s="49">
        <v>235</v>
      </c>
      <c r="X7" s="49">
        <v>140</v>
      </c>
      <c r="Y7" s="49">
        <v>167.5</v>
      </c>
      <c r="Z7" s="49">
        <v>343.51</v>
      </c>
      <c r="AA7" s="49">
        <v>366.32</v>
      </c>
      <c r="AB7" s="49">
        <v>219.12</v>
      </c>
      <c r="AC7" s="49">
        <v>270.56</v>
      </c>
      <c r="AD7" s="49">
        <v>1.823</v>
      </c>
      <c r="AE7" s="49">
        <v>1.8360000000000001</v>
      </c>
      <c r="AF7" s="49">
        <v>1.8049999999999999</v>
      </c>
      <c r="AG7" s="49">
        <v>1.831</v>
      </c>
      <c r="AH7" s="49">
        <v>70.37</v>
      </c>
      <c r="AI7" s="49">
        <v>62.51</v>
      </c>
      <c r="AJ7" s="49">
        <v>90.16</v>
      </c>
      <c r="AK7" s="49">
        <v>89.29</v>
      </c>
      <c r="AL7" s="49">
        <v>619.399</v>
      </c>
      <c r="AM7" s="49">
        <v>664.77800000000002</v>
      </c>
      <c r="AN7" s="49">
        <v>805.03300000000002</v>
      </c>
      <c r="AO7" s="49">
        <v>771.17899999999997</v>
      </c>
      <c r="AP7" s="50">
        <v>1.429</v>
      </c>
      <c r="AQ7" s="49">
        <v>1.8979999999999999</v>
      </c>
      <c r="AR7" s="50">
        <v>43.402999999999999</v>
      </c>
      <c r="AS7" s="50">
        <v>40.890999999999998</v>
      </c>
      <c r="AT7" s="50">
        <v>84</v>
      </c>
      <c r="AU7" s="49">
        <v>116</v>
      </c>
      <c r="AV7" s="49">
        <v>1.5805</v>
      </c>
      <c r="AW7" s="49">
        <v>4.4134000000000002</v>
      </c>
      <c r="AX7" s="50">
        <v>1020.1</v>
      </c>
      <c r="AY7" s="50">
        <v>2.89</v>
      </c>
      <c r="AZ7" s="50">
        <v>4.41</v>
      </c>
      <c r="BA7" s="50">
        <v>65.602000000000004</v>
      </c>
      <c r="BB7" s="50">
        <v>66.3</v>
      </c>
      <c r="BC7" s="49">
        <v>7769</v>
      </c>
      <c r="BD7" s="49">
        <v>89</v>
      </c>
      <c r="BE7" s="49">
        <v>15.565</v>
      </c>
      <c r="BF7" s="49">
        <v>13.205</v>
      </c>
      <c r="BG7" s="49">
        <v>28.31</v>
      </c>
      <c r="BH7" s="50">
        <v>29.84</v>
      </c>
      <c r="BI7" s="50">
        <v>65.328999999999994</v>
      </c>
      <c r="BJ7" s="49">
        <v>80.89</v>
      </c>
      <c r="BK7" s="50">
        <v>63.683999999999997</v>
      </c>
      <c r="BL7" s="49">
        <v>78.507000000000005</v>
      </c>
      <c r="BM7" s="49">
        <v>78.298000000000002</v>
      </c>
      <c r="BN7" s="50">
        <v>133.672</v>
      </c>
      <c r="BO7" s="50">
        <v>139.68799999999999</v>
      </c>
      <c r="BP7" s="49">
        <v>129.72</v>
      </c>
      <c r="BQ7" s="49">
        <v>131.864</v>
      </c>
      <c r="BR7" s="49">
        <v>57.972000000000001</v>
      </c>
      <c r="BS7" s="49">
        <v>25.3</v>
      </c>
      <c r="BT7" s="49">
        <v>7194.3829999999998</v>
      </c>
      <c r="BU7" s="50">
        <v>54.183</v>
      </c>
      <c r="BV7" s="50">
        <v>55.414999999999999</v>
      </c>
      <c r="BW7" s="50">
        <v>55.636000000000003</v>
      </c>
      <c r="BX7" s="49">
        <v>56.11</v>
      </c>
      <c r="BY7" s="49">
        <v>1.4390000000000001</v>
      </c>
      <c r="BZ7" s="49">
        <v>2.218</v>
      </c>
      <c r="CA7" s="49">
        <v>2.9670000000000001</v>
      </c>
      <c r="CB7" s="49">
        <v>2.9329999999999998</v>
      </c>
      <c r="CC7" s="49">
        <v>1.048</v>
      </c>
      <c r="CD7" s="49">
        <v>2.4630000000000001</v>
      </c>
      <c r="CE7" s="50">
        <v>1.381</v>
      </c>
      <c r="CF7" s="50">
        <v>2.2040000000000002</v>
      </c>
      <c r="CG7" s="49">
        <v>13.555</v>
      </c>
      <c r="CH7" s="50">
        <v>9.91</v>
      </c>
      <c r="CI7" s="50">
        <v>4.8250000000000002</v>
      </c>
      <c r="CJ7" s="50">
        <v>4.01</v>
      </c>
      <c r="CK7" s="49">
        <v>1.0489999999999999</v>
      </c>
      <c r="CL7" s="49">
        <v>0.1</v>
      </c>
      <c r="CM7" s="49">
        <v>0.4</v>
      </c>
      <c r="CN7" s="50">
        <v>0</v>
      </c>
      <c r="CO7" s="50">
        <v>0</v>
      </c>
      <c r="CP7" s="50">
        <v>109.23399999999999</v>
      </c>
      <c r="CQ7" s="50">
        <v>112.61799999999999</v>
      </c>
      <c r="CR7" s="49">
        <v>110.258</v>
      </c>
      <c r="CS7" s="49">
        <v>113.425</v>
      </c>
      <c r="CT7" s="49">
        <v>0.27500000000000002</v>
      </c>
      <c r="CU7" s="50">
        <v>1.5</v>
      </c>
      <c r="CV7" s="50">
        <v>2.0939999999999999</v>
      </c>
      <c r="CW7" s="49">
        <v>1.8009999999999999</v>
      </c>
      <c r="CX7" s="50">
        <v>2.194</v>
      </c>
      <c r="CY7" s="49">
        <v>0.89800000000000002</v>
      </c>
      <c r="CZ7" s="49">
        <v>1.6</v>
      </c>
      <c r="DA7" s="49">
        <v>0.89900000000000002</v>
      </c>
      <c r="DB7" s="49">
        <v>1.8</v>
      </c>
      <c r="DC7" s="50">
        <v>0</v>
      </c>
      <c r="DD7" s="50">
        <v>0</v>
      </c>
      <c r="DE7" s="49">
        <v>0.16700000000000001</v>
      </c>
      <c r="DF7" s="50">
        <v>0.105</v>
      </c>
      <c r="DG7" s="49">
        <v>0.28199999999999997</v>
      </c>
      <c r="DH7" s="49">
        <v>1.55</v>
      </c>
      <c r="DI7" s="50">
        <v>0.94</v>
      </c>
      <c r="DJ7" s="49">
        <v>9.5000000000000001E-2</v>
      </c>
      <c r="DK7" s="49">
        <v>0.77300000000000002</v>
      </c>
      <c r="DL7" s="50">
        <v>0.41099999999999998</v>
      </c>
      <c r="DM7" s="49">
        <v>0.50600000000000001</v>
      </c>
      <c r="DN7" s="49">
        <v>2.5000000000000001E-2</v>
      </c>
      <c r="DO7" s="50">
        <v>0.42899999999999999</v>
      </c>
      <c r="DP7" s="49">
        <v>63.33</v>
      </c>
      <c r="DQ7" s="49">
        <v>59.701999999999998</v>
      </c>
      <c r="DR7" s="50">
        <v>55.33</v>
      </c>
      <c r="DS7" s="49">
        <v>52.33</v>
      </c>
      <c r="DT7" s="49">
        <v>3.69</v>
      </c>
      <c r="DU7" s="49">
        <v>4.53</v>
      </c>
      <c r="DV7" s="49">
        <v>7.28</v>
      </c>
      <c r="DW7" s="49">
        <v>5.54</v>
      </c>
      <c r="DX7" s="49">
        <v>3.99</v>
      </c>
      <c r="DY7" s="49">
        <v>4.54</v>
      </c>
      <c r="DZ7" s="49">
        <v>6.7</v>
      </c>
      <c r="EA7" s="49">
        <v>5.21</v>
      </c>
      <c r="EB7" s="49">
        <v>35.17</v>
      </c>
      <c r="EC7" s="49">
        <v>34.65</v>
      </c>
      <c r="ED7" s="49">
        <v>29.74</v>
      </c>
      <c r="EE7" s="49">
        <v>33.25</v>
      </c>
      <c r="EF7" s="50">
        <v>57.14</v>
      </c>
      <c r="EG7" s="49">
        <v>56.28</v>
      </c>
      <c r="EH7" s="49">
        <v>56.27</v>
      </c>
      <c r="EI7" s="49">
        <v>55.99</v>
      </c>
      <c r="EJ7" s="49">
        <v>6.556</v>
      </c>
      <c r="EK7" s="49">
        <v>61.942999999999998</v>
      </c>
      <c r="EL7" s="50">
        <v>2.7</v>
      </c>
      <c r="EM7" s="49">
        <v>1.85</v>
      </c>
      <c r="EN7" s="49">
        <v>1.19</v>
      </c>
      <c r="EO7" s="49">
        <v>1.2</v>
      </c>
      <c r="EP7" s="49">
        <v>-101.842</v>
      </c>
      <c r="EQ7" s="49">
        <v>-1.84</v>
      </c>
      <c r="ER7" s="50">
        <v>99.054000000000002</v>
      </c>
      <c r="ES7" s="49">
        <v>1.244</v>
      </c>
      <c r="ET7" s="49">
        <v>1.304</v>
      </c>
      <c r="EU7" s="49">
        <v>1.2130000000000001</v>
      </c>
      <c r="EV7" s="49">
        <v>7.5670000000000002</v>
      </c>
      <c r="EW7" s="49">
        <v>2.661</v>
      </c>
      <c r="EX7" s="49">
        <v>-287.76</v>
      </c>
      <c r="EY7" s="49">
        <v>0</v>
      </c>
      <c r="EZ7" s="49">
        <v>0</v>
      </c>
      <c r="FA7" s="50">
        <v>0</v>
      </c>
      <c r="FB7" s="49">
        <v>7.9720000000000004</v>
      </c>
      <c r="FC7" s="49">
        <v>68.778000000000006</v>
      </c>
      <c r="FD7" s="49">
        <v>64.200999999999993</v>
      </c>
      <c r="FE7" s="50">
        <v>76.14</v>
      </c>
      <c r="FF7" s="50">
        <v>75.125</v>
      </c>
      <c r="FG7" s="49">
        <v>0.96299999999999997</v>
      </c>
      <c r="FH7" s="49">
        <v>0.96799999999999997</v>
      </c>
      <c r="FI7" s="49">
        <v>0.998</v>
      </c>
      <c r="FJ7" s="49">
        <v>1.0009999999999999</v>
      </c>
      <c r="FK7" s="50">
        <v>0.10100000000000001</v>
      </c>
      <c r="FL7" s="50">
        <v>86</v>
      </c>
      <c r="FM7" s="50">
        <v>3.72</v>
      </c>
      <c r="FN7" s="49">
        <v>-0.41</v>
      </c>
      <c r="FO7" s="50">
        <v>4.4400000000000004</v>
      </c>
      <c r="FP7" s="50">
        <v>0.55000000000000004</v>
      </c>
      <c r="FQ7" s="50">
        <v>4.3499999999999996</v>
      </c>
      <c r="FR7" s="49">
        <v>5</v>
      </c>
      <c r="FS7" s="50">
        <v>6.5220000000000002</v>
      </c>
      <c r="FT7" s="49">
        <v>1075.5</v>
      </c>
      <c r="FU7" s="50">
        <v>6.41</v>
      </c>
      <c r="FV7" s="49">
        <v>5.76</v>
      </c>
      <c r="FW7" s="50">
        <v>3046</v>
      </c>
      <c r="FX7" s="50">
        <v>163000</v>
      </c>
      <c r="FY7" s="50">
        <v>163900</v>
      </c>
      <c r="FZ7" s="50">
        <v>47.970999999999997</v>
      </c>
      <c r="GA7" s="49">
        <v>48.171999999999997</v>
      </c>
      <c r="GB7" s="49">
        <v>2162.4</v>
      </c>
      <c r="GC7" s="49">
        <v>2164</v>
      </c>
      <c r="GD7" s="49">
        <v>2263.8000000000002</v>
      </c>
      <c r="GE7" s="49">
        <v>2262.1999999999998</v>
      </c>
      <c r="GF7" s="49">
        <v>1409.2655999999999</v>
      </c>
      <c r="GG7" s="50">
        <v>30</v>
      </c>
      <c r="GH7" s="49">
        <v>29.7</v>
      </c>
      <c r="GI7" s="50">
        <v>50.5</v>
      </c>
      <c r="GJ7" s="49">
        <v>55.8</v>
      </c>
      <c r="GK7" s="50">
        <v>97</v>
      </c>
      <c r="GL7" s="49">
        <v>111.1</v>
      </c>
      <c r="GM7" s="50">
        <v>0</v>
      </c>
      <c r="GN7" s="49">
        <v>23.843</v>
      </c>
      <c r="GO7" s="49">
        <v>101.842</v>
      </c>
      <c r="GP7" s="50">
        <v>0</v>
      </c>
      <c r="GQ7" s="49">
        <v>3.8940000000000001</v>
      </c>
      <c r="GR7" s="50">
        <v>0</v>
      </c>
      <c r="GS7" s="49">
        <v>4.0119999999999996</v>
      </c>
      <c r="GT7" s="50">
        <v>0</v>
      </c>
      <c r="GU7" s="49">
        <v>4.1890000000000001</v>
      </c>
      <c r="GV7" s="50">
        <v>0</v>
      </c>
      <c r="GW7" s="50">
        <v>0.02</v>
      </c>
      <c r="GX7" s="50">
        <v>19.795999999999999</v>
      </c>
      <c r="GY7" s="50">
        <v>0</v>
      </c>
      <c r="GZ7" s="49">
        <v>10.821999999999999</v>
      </c>
      <c r="HA7" s="49">
        <v>20.58</v>
      </c>
      <c r="HB7" s="50">
        <v>1</v>
      </c>
      <c r="HC7" s="49">
        <v>33.64</v>
      </c>
      <c r="HD7" s="50">
        <v>90</v>
      </c>
      <c r="HE7" s="50">
        <v>0</v>
      </c>
      <c r="HF7" s="50">
        <v>0</v>
      </c>
      <c r="HG7" s="50">
        <v>78.459999999999994</v>
      </c>
      <c r="HH7" s="50">
        <v>100</v>
      </c>
      <c r="HI7" s="50">
        <v>0</v>
      </c>
      <c r="HJ7" s="50">
        <v>0</v>
      </c>
      <c r="HK7" s="50">
        <v>0</v>
      </c>
      <c r="HL7" s="50">
        <v>63</v>
      </c>
      <c r="HM7" s="50">
        <v>51</v>
      </c>
      <c r="HN7" s="49">
        <v>64</v>
      </c>
      <c r="HO7" s="49">
        <v>57</v>
      </c>
      <c r="HP7" s="49">
        <v>61</v>
      </c>
      <c r="HQ7" s="50">
        <v>59</v>
      </c>
      <c r="HR7" s="49">
        <v>53</v>
      </c>
      <c r="HS7" s="50">
        <v>70</v>
      </c>
      <c r="HT7" s="49">
        <v>-1.4139999999999999</v>
      </c>
      <c r="HU7" s="50">
        <v>0</v>
      </c>
      <c r="HV7" s="49">
        <v>0.24199999999999999</v>
      </c>
      <c r="HW7" s="49">
        <v>42.11</v>
      </c>
      <c r="HX7" s="49">
        <v>45.08</v>
      </c>
      <c r="HY7" s="3"/>
      <c r="HZ7" s="3"/>
      <c r="IA7" s="49">
        <v>2.6850000000000001</v>
      </c>
      <c r="IB7" s="49">
        <v>100</v>
      </c>
      <c r="IC7" s="49">
        <v>19.13</v>
      </c>
      <c r="ID7" s="49">
        <v>-0.154</v>
      </c>
      <c r="IE7" s="49">
        <v>-8.1000000000000003E-2</v>
      </c>
      <c r="IF7" s="49">
        <v>805.9</v>
      </c>
      <c r="IG7" s="49">
        <v>670.6</v>
      </c>
      <c r="IH7" s="49">
        <v>807.1</v>
      </c>
      <c r="II7" s="49">
        <v>685.2</v>
      </c>
      <c r="IJ7" s="49">
        <v>-1E-3</v>
      </c>
      <c r="IK7" s="49">
        <v>7.0000000000000001E-3</v>
      </c>
      <c r="IL7" s="49">
        <v>154.096</v>
      </c>
      <c r="IM7" s="49">
        <v>154.096</v>
      </c>
      <c r="IN7" s="49">
        <v>14.9</v>
      </c>
      <c r="IO7" s="49">
        <v>0.159</v>
      </c>
      <c r="IP7" s="50">
        <v>9.31</v>
      </c>
      <c r="IQ7" s="49">
        <v>8.9999999999999993E-3</v>
      </c>
      <c r="IR7" s="49">
        <v>4.0000000000000001E-3</v>
      </c>
    </row>
    <row r="8" spans="2:252" x14ac:dyDescent="0.25">
      <c r="B8" s="2" t="s">
        <v>412</v>
      </c>
      <c r="C8" s="2" t="s">
        <v>42</v>
      </c>
      <c r="D8" s="61">
        <v>3.1888888888888891E-3</v>
      </c>
      <c r="E8" s="49">
        <v>275.56</v>
      </c>
      <c r="F8" s="50">
        <v>331.93</v>
      </c>
      <c r="G8" s="49">
        <v>5.59</v>
      </c>
      <c r="H8" s="50">
        <v>25.8</v>
      </c>
      <c r="I8" s="50">
        <v>0</v>
      </c>
      <c r="J8" s="49">
        <v>10.4</v>
      </c>
      <c r="K8" s="50">
        <v>6</v>
      </c>
      <c r="L8" s="50">
        <v>6</v>
      </c>
      <c r="M8" s="50">
        <v>7</v>
      </c>
      <c r="N8" s="50">
        <v>2</v>
      </c>
      <c r="O8" s="50">
        <v>3</v>
      </c>
      <c r="P8" s="50">
        <v>0.66</v>
      </c>
      <c r="Q8" s="49">
        <v>0.90500000000000003</v>
      </c>
      <c r="R8" s="50">
        <v>0.71599999999999997</v>
      </c>
      <c r="S8" s="3"/>
      <c r="T8" s="49">
        <v>62.41</v>
      </c>
      <c r="U8" s="49">
        <v>60.054000000000002</v>
      </c>
      <c r="V8" s="49">
        <v>203.34</v>
      </c>
      <c r="W8" s="49">
        <v>231.66</v>
      </c>
      <c r="X8" s="49">
        <v>185</v>
      </c>
      <c r="Y8" s="49">
        <v>220</v>
      </c>
      <c r="Z8" s="49">
        <v>382.33</v>
      </c>
      <c r="AA8" s="50">
        <v>409.23</v>
      </c>
      <c r="AB8" s="50">
        <v>297.18</v>
      </c>
      <c r="AC8" s="50">
        <v>358.71</v>
      </c>
      <c r="AD8" s="50">
        <v>1.8380000000000001</v>
      </c>
      <c r="AE8" s="50">
        <v>1.843</v>
      </c>
      <c r="AF8" s="50">
        <v>1.843</v>
      </c>
      <c r="AG8" s="50">
        <v>1.8580000000000001</v>
      </c>
      <c r="AH8" s="50">
        <v>75.8</v>
      </c>
      <c r="AI8" s="50">
        <v>67.16</v>
      </c>
      <c r="AJ8" s="50">
        <v>96.45</v>
      </c>
      <c r="AK8" s="50">
        <v>93.85</v>
      </c>
      <c r="AL8" s="50">
        <v>758.51599999999996</v>
      </c>
      <c r="AM8" s="50">
        <v>705.95600000000002</v>
      </c>
      <c r="AN8" s="49">
        <v>928.68299999999999</v>
      </c>
      <c r="AO8" s="50">
        <v>816.32500000000005</v>
      </c>
      <c r="AP8" s="49">
        <v>1.3939999999999999</v>
      </c>
      <c r="AQ8" s="50">
        <v>1.905</v>
      </c>
      <c r="AR8" s="49">
        <v>42.44</v>
      </c>
      <c r="AS8" s="49">
        <v>38.563000000000002</v>
      </c>
      <c r="AT8" s="49">
        <v>83</v>
      </c>
      <c r="AU8" s="50">
        <v>118</v>
      </c>
      <c r="AV8" s="49">
        <v>2.2519999999999998</v>
      </c>
      <c r="AW8" s="49">
        <v>4.4794</v>
      </c>
      <c r="AX8" s="49">
        <v>1018.3</v>
      </c>
      <c r="AY8" s="49">
        <v>2.48</v>
      </c>
      <c r="AZ8" s="49">
        <v>4.8899999999999997</v>
      </c>
      <c r="BA8" s="49">
        <v>70.903000000000006</v>
      </c>
      <c r="BB8" s="49">
        <v>72.739000000000004</v>
      </c>
      <c r="BC8" s="49">
        <v>7787</v>
      </c>
      <c r="BD8" s="49">
        <v>88.75</v>
      </c>
      <c r="BE8" s="50">
        <v>17</v>
      </c>
      <c r="BF8" s="50">
        <v>15.654999999999999</v>
      </c>
      <c r="BG8" s="50">
        <v>31.25</v>
      </c>
      <c r="BH8" s="49">
        <v>29.46</v>
      </c>
      <c r="BI8" s="3"/>
      <c r="BJ8" s="3"/>
      <c r="BK8" s="3"/>
      <c r="BL8" s="3"/>
      <c r="BM8" s="3"/>
      <c r="BN8" s="49">
        <v>128.072</v>
      </c>
      <c r="BO8" s="49">
        <v>130.26400000000001</v>
      </c>
      <c r="BP8" s="50">
        <v>148.52000000000001</v>
      </c>
      <c r="BQ8" s="49">
        <v>147.624</v>
      </c>
      <c r="BR8" s="3"/>
      <c r="BS8" s="50">
        <v>25.4</v>
      </c>
      <c r="BT8" s="49">
        <v>7138.2610000000004</v>
      </c>
      <c r="BU8" s="49">
        <v>46.683999999999997</v>
      </c>
      <c r="BV8" s="49">
        <v>54.206000000000003</v>
      </c>
      <c r="BW8" s="49">
        <v>54.902000000000001</v>
      </c>
      <c r="BX8" s="49">
        <v>56.42</v>
      </c>
      <c r="BY8" s="49">
        <v>1.363</v>
      </c>
      <c r="BZ8" s="50">
        <v>3.0859999999999999</v>
      </c>
      <c r="CA8" s="49">
        <v>3.008</v>
      </c>
      <c r="CB8" s="50">
        <v>4.0579999999999998</v>
      </c>
      <c r="CC8" s="50">
        <v>1.1859999999999999</v>
      </c>
      <c r="CD8" s="49">
        <v>2.5</v>
      </c>
      <c r="CE8" s="49">
        <v>1.3089999999999999</v>
      </c>
      <c r="CF8" s="49">
        <v>2.15</v>
      </c>
      <c r="CG8" s="50">
        <v>13.76</v>
      </c>
      <c r="CH8" s="49">
        <v>13.574999999999999</v>
      </c>
      <c r="CI8" s="49">
        <v>4.4850000000000003</v>
      </c>
      <c r="CJ8" s="49">
        <v>3.2109999999999999</v>
      </c>
      <c r="CK8" s="49">
        <v>1.37</v>
      </c>
      <c r="CL8" s="49">
        <v>0.2</v>
      </c>
      <c r="CM8" s="49">
        <v>0.1</v>
      </c>
      <c r="CN8" s="50">
        <v>0</v>
      </c>
      <c r="CO8" s="50">
        <v>0</v>
      </c>
      <c r="CP8" s="49">
        <v>109.16</v>
      </c>
      <c r="CQ8" s="49">
        <v>110.755</v>
      </c>
      <c r="CR8" s="50">
        <v>124.80800000000001</v>
      </c>
      <c r="CS8" s="49">
        <v>126.488</v>
      </c>
      <c r="CT8" s="49">
        <v>0.40300000000000002</v>
      </c>
      <c r="CU8" s="49">
        <v>0.79800000000000004</v>
      </c>
      <c r="CV8" s="49">
        <v>1.198</v>
      </c>
      <c r="CW8" s="49">
        <v>1.796</v>
      </c>
      <c r="CX8" s="49">
        <v>2.0009999999999999</v>
      </c>
      <c r="CY8" s="50">
        <v>0.998</v>
      </c>
      <c r="CZ8" s="49">
        <v>1.595</v>
      </c>
      <c r="DA8" s="49">
        <v>1</v>
      </c>
      <c r="DB8" s="49">
        <v>1.5029999999999999</v>
      </c>
      <c r="DC8" s="50">
        <v>0</v>
      </c>
      <c r="DD8" s="50">
        <v>0</v>
      </c>
      <c r="DE8" s="49">
        <v>0.17699999999999999</v>
      </c>
      <c r="DF8" s="49">
        <v>0.08</v>
      </c>
      <c r="DG8" s="49">
        <v>0.28999999999999998</v>
      </c>
      <c r="DH8" s="49">
        <v>1.7629999999999999</v>
      </c>
      <c r="DI8" s="49">
        <v>0.93899999999999995</v>
      </c>
      <c r="DJ8" s="49">
        <v>9.1999999999999998E-2</v>
      </c>
      <c r="DK8" s="50">
        <v>1.032</v>
      </c>
      <c r="DL8" s="49">
        <v>0.39500000000000002</v>
      </c>
      <c r="DM8" s="49">
        <v>0.38500000000000001</v>
      </c>
      <c r="DN8" s="49">
        <v>0.109</v>
      </c>
      <c r="DO8" s="49">
        <v>-0.30599999999999999</v>
      </c>
      <c r="DP8" s="50">
        <v>65.257000000000005</v>
      </c>
      <c r="DQ8" s="50">
        <v>62.396999999999998</v>
      </c>
      <c r="DR8" s="49">
        <v>55.161999999999999</v>
      </c>
      <c r="DS8" s="50">
        <v>52.654000000000003</v>
      </c>
      <c r="DT8" s="49">
        <v>4.6399999999999997</v>
      </c>
      <c r="DU8" s="49">
        <v>4.3099999999999996</v>
      </c>
      <c r="DV8" s="49">
        <v>7.72</v>
      </c>
      <c r="DW8" s="49">
        <v>5.63</v>
      </c>
      <c r="DX8" s="49">
        <v>4.57</v>
      </c>
      <c r="DY8" s="49">
        <v>4.62</v>
      </c>
      <c r="DZ8" s="49">
        <v>7.27</v>
      </c>
      <c r="EA8" s="49">
        <v>5.6</v>
      </c>
      <c r="EB8" s="49">
        <v>42.2</v>
      </c>
      <c r="EC8" s="49">
        <v>42.5</v>
      </c>
      <c r="ED8" s="49">
        <v>35.380000000000003</v>
      </c>
      <c r="EE8" s="49">
        <v>38.06</v>
      </c>
      <c r="EF8" s="49">
        <v>48.58</v>
      </c>
      <c r="EG8" s="49">
        <v>48.57</v>
      </c>
      <c r="EH8" s="49">
        <v>49.62</v>
      </c>
      <c r="EI8" s="49">
        <v>50.71</v>
      </c>
      <c r="EJ8" s="49">
        <v>7.165</v>
      </c>
      <c r="EK8" s="49">
        <v>62.25</v>
      </c>
      <c r="EL8" s="49">
        <v>2.25</v>
      </c>
      <c r="EM8" s="49">
        <v>1.8</v>
      </c>
      <c r="EN8" s="49">
        <v>1.44</v>
      </c>
      <c r="EO8" s="49">
        <v>1.43</v>
      </c>
      <c r="EP8" s="50">
        <v>-133.96199999999999</v>
      </c>
      <c r="EQ8" s="49">
        <v>-2.3439999999999999</v>
      </c>
      <c r="ER8" s="49">
        <v>88.834000000000003</v>
      </c>
      <c r="ES8" s="50">
        <v>1.5409999999999999</v>
      </c>
      <c r="ET8" s="49">
        <v>1.6279999999999999</v>
      </c>
      <c r="EU8" s="50">
        <v>1.5109999999999999</v>
      </c>
      <c r="EV8" s="49">
        <v>7.468</v>
      </c>
      <c r="EW8" s="49">
        <v>2.8439999999999999</v>
      </c>
      <c r="EX8" s="49">
        <v>66.959999999999994</v>
      </c>
      <c r="EY8" s="49">
        <v>0</v>
      </c>
      <c r="EZ8" s="49">
        <v>1.0999999999999999E-2</v>
      </c>
      <c r="FA8" s="50">
        <v>0</v>
      </c>
      <c r="FB8" s="49">
        <v>9.1010000000000009</v>
      </c>
      <c r="FC8" s="50">
        <v>69.546000000000006</v>
      </c>
      <c r="FD8" s="50">
        <v>64.260000000000005</v>
      </c>
      <c r="FE8" s="49">
        <v>76.045000000000002</v>
      </c>
      <c r="FF8" s="49">
        <v>74.302000000000007</v>
      </c>
      <c r="FG8" s="49">
        <v>0.91700000000000004</v>
      </c>
      <c r="FH8" s="49">
        <v>0.91900000000000004</v>
      </c>
      <c r="FI8" s="49">
        <v>0.99299999999999999</v>
      </c>
      <c r="FJ8" s="49">
        <v>0.998</v>
      </c>
      <c r="FK8" s="49">
        <v>0</v>
      </c>
      <c r="FL8" s="49">
        <v>83</v>
      </c>
      <c r="FM8" s="49">
        <v>3.7</v>
      </c>
      <c r="FN8" s="49">
        <v>0.05</v>
      </c>
      <c r="FO8" s="49">
        <v>4.99</v>
      </c>
      <c r="FP8" s="49">
        <v>4.3499999999999996</v>
      </c>
      <c r="FQ8" s="49">
        <v>4.5</v>
      </c>
      <c r="FR8" s="50">
        <v>4.9000000000000004</v>
      </c>
      <c r="FS8" s="49">
        <v>6.4335000000000004</v>
      </c>
      <c r="FT8" s="50">
        <v>1076.3</v>
      </c>
      <c r="FU8" s="49">
        <v>6.21</v>
      </c>
      <c r="FV8" s="49">
        <v>11.35</v>
      </c>
      <c r="FW8" s="49">
        <v>2888.5</v>
      </c>
      <c r="FX8" s="49">
        <v>159400</v>
      </c>
      <c r="FY8" s="49">
        <v>161300</v>
      </c>
      <c r="FZ8" s="49">
        <v>47.689</v>
      </c>
      <c r="GA8" s="49">
        <v>48.408999999999999</v>
      </c>
      <c r="GB8" s="49">
        <v>2145.6</v>
      </c>
      <c r="GC8" s="49">
        <v>2146.1</v>
      </c>
      <c r="GD8" s="49">
        <v>2162.6</v>
      </c>
      <c r="GE8" s="50">
        <v>2305.4</v>
      </c>
      <c r="GF8" s="49">
        <v>1527.5155999999999</v>
      </c>
      <c r="GG8" s="49">
        <v>29</v>
      </c>
      <c r="GH8" s="49">
        <v>28.6</v>
      </c>
      <c r="GI8" s="49">
        <v>46.7</v>
      </c>
      <c r="GJ8" s="49">
        <v>52.4</v>
      </c>
      <c r="GK8" s="49">
        <v>99.5</v>
      </c>
      <c r="GL8" s="50">
        <v>114.4</v>
      </c>
      <c r="GM8" s="50">
        <v>0</v>
      </c>
      <c r="GN8" s="49">
        <v>24.821000000000002</v>
      </c>
      <c r="GO8" s="50">
        <v>133.96199999999999</v>
      </c>
      <c r="GP8" s="49">
        <v>0.94399999999999995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49">
        <v>0</v>
      </c>
      <c r="GX8" s="49">
        <v>0</v>
      </c>
      <c r="GY8" s="49">
        <v>12.25</v>
      </c>
      <c r="GZ8" s="50">
        <v>13.794</v>
      </c>
      <c r="HA8" s="49">
        <v>15.19</v>
      </c>
      <c r="HB8" s="49">
        <v>0</v>
      </c>
      <c r="HC8" s="49">
        <v>36.237000000000002</v>
      </c>
      <c r="HD8" s="50">
        <v>90</v>
      </c>
      <c r="HE8" s="50">
        <v>0</v>
      </c>
      <c r="HF8" s="50">
        <v>0</v>
      </c>
      <c r="HG8" s="49">
        <v>70.53</v>
      </c>
      <c r="HH8" s="49">
        <v>80.099999999999994</v>
      </c>
      <c r="HI8" s="50">
        <v>0</v>
      </c>
      <c r="HJ8" s="50">
        <v>0</v>
      </c>
      <c r="HK8" s="50">
        <v>0</v>
      </c>
      <c r="HL8" s="49">
        <v>60</v>
      </c>
      <c r="HM8" s="50">
        <v>51</v>
      </c>
      <c r="HN8" s="49">
        <v>64</v>
      </c>
      <c r="HO8" s="50">
        <v>58</v>
      </c>
      <c r="HP8" s="50">
        <v>62</v>
      </c>
      <c r="HQ8" s="50">
        <v>59</v>
      </c>
      <c r="HR8" s="49">
        <v>53</v>
      </c>
      <c r="HS8" s="50">
        <v>70</v>
      </c>
      <c r="HT8" s="49">
        <v>-1.4515</v>
      </c>
      <c r="HU8" s="50">
        <v>0</v>
      </c>
      <c r="HV8" s="50">
        <v>0.442</v>
      </c>
      <c r="HW8" s="49">
        <v>41.09</v>
      </c>
      <c r="HX8" s="49">
        <v>45.08</v>
      </c>
      <c r="HY8" s="3"/>
      <c r="HZ8" s="3"/>
      <c r="IA8" s="49">
        <v>2.7229999999999999</v>
      </c>
      <c r="IB8" s="49">
        <v>101</v>
      </c>
      <c r="IC8" s="49">
        <v>20.940999999999999</v>
      </c>
      <c r="ID8" s="49">
        <v>-0.22600000000000001</v>
      </c>
      <c r="IE8" s="49">
        <v>-0.124</v>
      </c>
      <c r="IF8" s="49">
        <v>806.3</v>
      </c>
      <c r="IG8" s="49">
        <v>694.2</v>
      </c>
      <c r="IH8" s="49">
        <v>815.3</v>
      </c>
      <c r="II8" s="49">
        <v>709.4</v>
      </c>
      <c r="IJ8" s="49">
        <v>-8.0000000000000002E-3</v>
      </c>
      <c r="IK8" s="50">
        <v>5.1999999999999998E-2</v>
      </c>
      <c r="IL8" s="49">
        <v>153.63</v>
      </c>
      <c r="IM8" s="49">
        <v>153.63</v>
      </c>
      <c r="IN8" s="49">
        <v>15.512</v>
      </c>
      <c r="IO8" s="49">
        <v>0.28899999999999998</v>
      </c>
      <c r="IP8" s="49">
        <v>9.14</v>
      </c>
      <c r="IQ8" s="49">
        <v>6.0000000000000001E-3</v>
      </c>
      <c r="IR8" s="49">
        <v>6.0000000000000001E-3</v>
      </c>
    </row>
    <row r="9" spans="2:252" x14ac:dyDescent="0.25">
      <c r="B9" s="2" t="s">
        <v>412</v>
      </c>
      <c r="C9" s="2" t="s">
        <v>43</v>
      </c>
      <c r="D9" s="61">
        <v>2.83125E-3</v>
      </c>
      <c r="E9" s="49">
        <v>244.68</v>
      </c>
      <c r="F9" s="49">
        <v>329.08</v>
      </c>
      <c r="G9" s="49">
        <v>5.74</v>
      </c>
      <c r="H9" s="49">
        <v>25.5</v>
      </c>
      <c r="I9" s="50">
        <v>0</v>
      </c>
      <c r="J9" s="49">
        <v>15</v>
      </c>
      <c r="K9" s="50">
        <v>6</v>
      </c>
      <c r="L9" s="50">
        <v>6</v>
      </c>
      <c r="M9" s="50">
        <v>7</v>
      </c>
      <c r="N9" s="50">
        <v>2</v>
      </c>
      <c r="O9" s="50">
        <v>3</v>
      </c>
      <c r="P9" s="49">
        <v>0.58799999999999997</v>
      </c>
      <c r="Q9" s="49">
        <v>1.1240000000000001</v>
      </c>
      <c r="R9" s="49">
        <v>0.48799999999999999</v>
      </c>
      <c r="S9" s="49">
        <v>0.29799999999999999</v>
      </c>
      <c r="T9" s="49">
        <v>73.3</v>
      </c>
      <c r="U9" s="49">
        <v>60.319000000000003</v>
      </c>
      <c r="V9" s="49">
        <v>225</v>
      </c>
      <c r="W9" s="49">
        <v>248.34</v>
      </c>
      <c r="X9" s="49">
        <v>162.5</v>
      </c>
      <c r="Y9" s="49">
        <v>210</v>
      </c>
      <c r="Z9" s="49">
        <v>364.18</v>
      </c>
      <c r="AA9" s="49">
        <v>389.95</v>
      </c>
      <c r="AB9" s="49">
        <v>274.14</v>
      </c>
      <c r="AC9" s="49">
        <v>351.72</v>
      </c>
      <c r="AD9" s="49">
        <v>1.796</v>
      </c>
      <c r="AE9" s="49">
        <v>1.8029999999999999</v>
      </c>
      <c r="AF9" s="49">
        <v>1.8069999999999999</v>
      </c>
      <c r="AG9" s="49">
        <v>1.821</v>
      </c>
      <c r="AH9" s="49">
        <v>68.77</v>
      </c>
      <c r="AI9" s="49">
        <v>60.6</v>
      </c>
      <c r="AJ9" s="49">
        <v>89.33</v>
      </c>
      <c r="AK9" s="49">
        <v>86.66</v>
      </c>
      <c r="AL9" s="49">
        <v>642.25</v>
      </c>
      <c r="AM9" s="49">
        <v>644.29600000000005</v>
      </c>
      <c r="AN9" s="49">
        <v>810.471</v>
      </c>
      <c r="AO9" s="49">
        <v>762.37699999999995</v>
      </c>
      <c r="AP9" s="49">
        <v>1.413</v>
      </c>
      <c r="AQ9" s="49">
        <v>1.8740000000000001</v>
      </c>
      <c r="AR9" s="49">
        <v>40.372</v>
      </c>
      <c r="AS9" s="49">
        <v>37.076000000000001</v>
      </c>
      <c r="AT9" s="49">
        <v>82</v>
      </c>
      <c r="AU9" s="49">
        <v>115</v>
      </c>
      <c r="AV9" s="49">
        <v>1.8485</v>
      </c>
      <c r="AW9" s="49">
        <v>4.5849000000000002</v>
      </c>
      <c r="AX9" s="49">
        <v>1014.2</v>
      </c>
      <c r="AY9" s="49">
        <v>2.41</v>
      </c>
      <c r="AZ9" s="49">
        <v>4.8600000000000003</v>
      </c>
      <c r="BA9" s="49">
        <v>73.822000000000003</v>
      </c>
      <c r="BB9" s="49">
        <v>73.900000000000006</v>
      </c>
      <c r="BC9" s="49">
        <v>7670</v>
      </c>
      <c r="BD9" s="50">
        <v>89.25</v>
      </c>
      <c r="BE9" s="49">
        <v>15.715</v>
      </c>
      <c r="BF9" s="49">
        <v>14.22</v>
      </c>
      <c r="BG9" s="49">
        <v>28.9</v>
      </c>
      <c r="BH9" s="49">
        <v>26.04</v>
      </c>
      <c r="BI9" s="3"/>
      <c r="BJ9" s="3"/>
      <c r="BK9" s="3"/>
      <c r="BL9" s="3"/>
      <c r="BM9" s="3"/>
      <c r="BN9" s="49">
        <v>115.048</v>
      </c>
      <c r="BO9" s="49">
        <v>117.64</v>
      </c>
      <c r="BP9" s="49">
        <v>137.36799999999999</v>
      </c>
      <c r="BQ9" s="49">
        <v>140.96799999999999</v>
      </c>
      <c r="BR9" s="3"/>
      <c r="BS9" s="49">
        <v>25.2</v>
      </c>
      <c r="BT9" s="49">
        <v>7142.442</v>
      </c>
      <c r="BU9" s="49">
        <v>47.988999999999997</v>
      </c>
      <c r="BV9" s="49">
        <v>54.753999999999998</v>
      </c>
      <c r="BW9" s="49">
        <v>54.097999999999999</v>
      </c>
      <c r="BX9" s="49">
        <v>57.225000000000001</v>
      </c>
      <c r="BY9" s="49">
        <v>1.43</v>
      </c>
      <c r="BZ9" s="49">
        <v>2.782</v>
      </c>
      <c r="CA9" s="49">
        <v>2.7330000000000001</v>
      </c>
      <c r="CB9" s="49">
        <v>3.3969999999999998</v>
      </c>
      <c r="CC9" s="49">
        <v>1.0489999999999999</v>
      </c>
      <c r="CD9" s="49">
        <v>2.2890000000000001</v>
      </c>
      <c r="CE9" s="49">
        <v>1.2669999999999999</v>
      </c>
      <c r="CF9" s="49">
        <v>2.0619999999999998</v>
      </c>
      <c r="CG9" s="49">
        <v>13.749000000000001</v>
      </c>
      <c r="CH9" s="49">
        <v>13.56</v>
      </c>
      <c r="CI9" s="49">
        <v>4.6950000000000003</v>
      </c>
      <c r="CJ9" s="49">
        <v>3.7309999999999999</v>
      </c>
      <c r="CK9" s="50">
        <v>1.6619999999999999</v>
      </c>
      <c r="CL9" s="50">
        <v>0.5</v>
      </c>
      <c r="CM9" s="50">
        <v>0.9</v>
      </c>
      <c r="CN9" s="50">
        <v>0</v>
      </c>
      <c r="CO9" s="50">
        <v>0</v>
      </c>
      <c r="CP9" s="49">
        <v>100.672</v>
      </c>
      <c r="CQ9" s="49">
        <v>103.505</v>
      </c>
      <c r="CR9" s="49">
        <v>122.47799999999999</v>
      </c>
      <c r="CS9" s="50">
        <v>127.776</v>
      </c>
      <c r="CT9" s="50">
        <v>0.47</v>
      </c>
      <c r="CU9" s="49">
        <v>0.89900000000000002</v>
      </c>
      <c r="CV9" s="49">
        <v>1.9990000000000001</v>
      </c>
      <c r="CW9" s="49">
        <v>1.9019999999999999</v>
      </c>
      <c r="CX9" s="49">
        <v>1.8979999999999999</v>
      </c>
      <c r="CY9" s="49">
        <v>0.7</v>
      </c>
      <c r="CZ9" s="49">
        <v>1.6</v>
      </c>
      <c r="DA9" s="50">
        <v>1.3009999999999999</v>
      </c>
      <c r="DB9" s="50">
        <v>2.2050000000000001</v>
      </c>
      <c r="DC9" s="50">
        <v>0</v>
      </c>
      <c r="DD9" s="50">
        <v>0</v>
      </c>
      <c r="DE9" s="49">
        <v>0.186</v>
      </c>
      <c r="DF9" s="49">
        <v>7.3999999999999996E-2</v>
      </c>
      <c r="DG9" s="50">
        <v>0.66800000000000004</v>
      </c>
      <c r="DH9" s="49">
        <v>1.478</v>
      </c>
      <c r="DI9" s="49">
        <v>0.73599999999999999</v>
      </c>
      <c r="DJ9" s="50">
        <v>0.187</v>
      </c>
      <c r="DK9" s="49">
        <v>0.95399999999999996</v>
      </c>
      <c r="DL9" s="49">
        <v>0.41</v>
      </c>
      <c r="DM9" s="49">
        <v>0.39400000000000002</v>
      </c>
      <c r="DN9" s="49">
        <v>-0.999</v>
      </c>
      <c r="DO9" s="49">
        <v>0.31900000000000001</v>
      </c>
      <c r="DP9" s="49">
        <v>62.857999999999997</v>
      </c>
      <c r="DQ9" s="49">
        <v>61.436999999999998</v>
      </c>
      <c r="DR9" s="49">
        <v>53.933</v>
      </c>
      <c r="DS9" s="49">
        <v>52.085999999999999</v>
      </c>
      <c r="DT9" s="49">
        <v>4.9800000000000004</v>
      </c>
      <c r="DU9" s="49">
        <v>4.84</v>
      </c>
      <c r="DV9" s="49">
        <v>8.91</v>
      </c>
      <c r="DW9" s="49">
        <v>6.77</v>
      </c>
      <c r="DX9" s="49">
        <v>5.1100000000000003</v>
      </c>
      <c r="DY9" s="49">
        <v>4.96</v>
      </c>
      <c r="DZ9" s="49">
        <v>8.3000000000000007</v>
      </c>
      <c r="EA9" s="49">
        <v>6.57</v>
      </c>
      <c r="EB9" s="49">
        <v>42.46</v>
      </c>
      <c r="EC9" s="50">
        <v>42.63</v>
      </c>
      <c r="ED9" s="50">
        <v>36.17</v>
      </c>
      <c r="EE9" s="50">
        <v>38.75</v>
      </c>
      <c r="EF9" s="49">
        <v>47.44</v>
      </c>
      <c r="EG9" s="49">
        <v>47.57</v>
      </c>
      <c r="EH9" s="49">
        <v>46.62</v>
      </c>
      <c r="EI9" s="49">
        <v>47.92</v>
      </c>
      <c r="EJ9" s="49">
        <v>7.024</v>
      </c>
      <c r="EK9" s="49">
        <v>62.633000000000003</v>
      </c>
      <c r="EL9" s="49">
        <v>2.2000000000000002</v>
      </c>
      <c r="EM9" s="50">
        <v>1.75</v>
      </c>
      <c r="EN9" s="49">
        <v>1.25</v>
      </c>
      <c r="EO9" s="49">
        <v>1.25</v>
      </c>
      <c r="EP9" s="49">
        <v>-98.046000000000006</v>
      </c>
      <c r="EQ9" s="49">
        <v>-2.617</v>
      </c>
      <c r="ER9" s="49">
        <v>82.41</v>
      </c>
      <c r="ES9" s="49">
        <v>1.516</v>
      </c>
      <c r="ET9" s="50">
        <v>1.633</v>
      </c>
      <c r="EU9" s="49">
        <v>1.4810000000000001</v>
      </c>
      <c r="EV9" s="50">
        <v>7.6680000000000001</v>
      </c>
      <c r="EW9" s="49">
        <v>2.867</v>
      </c>
      <c r="EX9" s="49">
        <v>69.06</v>
      </c>
      <c r="EY9" s="50">
        <v>9.9000000000000005E-2</v>
      </c>
      <c r="EZ9" s="50">
        <v>1.9450000000000001</v>
      </c>
      <c r="FA9" s="50">
        <v>0</v>
      </c>
      <c r="FB9" s="49">
        <v>9.0980000000000008</v>
      </c>
      <c r="FC9" s="49">
        <v>67.37</v>
      </c>
      <c r="FD9" s="49">
        <v>62.777000000000001</v>
      </c>
      <c r="FE9" s="49">
        <v>74.984999999999999</v>
      </c>
      <c r="FF9" s="49">
        <v>73.225999999999999</v>
      </c>
      <c r="FG9" s="49">
        <v>0.92300000000000004</v>
      </c>
      <c r="FH9" s="49">
        <v>0.92300000000000004</v>
      </c>
      <c r="FI9" s="49">
        <v>0.998</v>
      </c>
      <c r="FJ9" s="49">
        <v>1.002</v>
      </c>
      <c r="FK9" s="49">
        <v>0</v>
      </c>
      <c r="FL9" s="49">
        <v>83</v>
      </c>
      <c r="FM9" s="49">
        <v>3.54</v>
      </c>
      <c r="FN9" s="50">
        <v>-0.71</v>
      </c>
      <c r="FO9" s="49">
        <v>5.16</v>
      </c>
      <c r="FP9" s="49">
        <v>4.5999999999999996</v>
      </c>
      <c r="FQ9" s="49">
        <v>4.55</v>
      </c>
      <c r="FR9" s="49">
        <v>5.05</v>
      </c>
      <c r="FS9" s="49">
        <v>6.3710000000000004</v>
      </c>
      <c r="FT9" s="49">
        <v>1069.7</v>
      </c>
      <c r="FU9" s="49">
        <v>6.05</v>
      </c>
      <c r="FV9" s="49">
        <v>17.09</v>
      </c>
      <c r="FW9" s="49">
        <v>2961.5</v>
      </c>
      <c r="FX9" s="49">
        <v>160700</v>
      </c>
      <c r="FY9" s="49">
        <v>161200</v>
      </c>
      <c r="FZ9" s="49">
        <v>47.750999999999998</v>
      </c>
      <c r="GA9" s="50">
        <v>48.534999999999997</v>
      </c>
      <c r="GB9" s="49">
        <v>2151.3000000000002</v>
      </c>
      <c r="GC9" s="49">
        <v>2154.1999999999998</v>
      </c>
      <c r="GD9" s="49">
        <v>2170.3000000000002</v>
      </c>
      <c r="GE9" s="49">
        <v>2172.6999999999998</v>
      </c>
      <c r="GF9" s="50">
        <v>1658.1719000000001</v>
      </c>
      <c r="GG9" s="49">
        <v>29</v>
      </c>
      <c r="GH9" s="49">
        <v>29.1</v>
      </c>
      <c r="GI9" s="49">
        <v>46.9</v>
      </c>
      <c r="GJ9" s="49">
        <v>52.4</v>
      </c>
      <c r="GK9" s="49">
        <v>99.5</v>
      </c>
      <c r="GL9" s="49">
        <v>108.1</v>
      </c>
      <c r="GM9" s="50">
        <v>0</v>
      </c>
      <c r="GN9" s="50">
        <v>26.094000000000001</v>
      </c>
      <c r="GO9" s="49">
        <v>98.046000000000006</v>
      </c>
      <c r="GP9" s="49">
        <v>0.88500000000000001</v>
      </c>
      <c r="GQ9" s="49">
        <v>1.9470000000000001</v>
      </c>
      <c r="GR9" s="49">
        <v>1.298</v>
      </c>
      <c r="GS9" s="49">
        <v>2.0059999999999998</v>
      </c>
      <c r="GT9" s="49">
        <v>0.76700000000000002</v>
      </c>
      <c r="GU9" s="49">
        <v>1.829</v>
      </c>
      <c r="GV9" s="50">
        <v>0</v>
      </c>
      <c r="GW9" s="49">
        <v>0</v>
      </c>
      <c r="GX9" s="49">
        <v>0</v>
      </c>
      <c r="GY9" s="49">
        <v>11.858000000000001</v>
      </c>
      <c r="GZ9" s="49">
        <v>13.75</v>
      </c>
      <c r="HA9" s="49">
        <v>15.68</v>
      </c>
      <c r="HB9" s="49">
        <v>0</v>
      </c>
      <c r="HC9" s="50">
        <v>36.314999999999998</v>
      </c>
      <c r="HD9" s="49">
        <v>86</v>
      </c>
      <c r="HE9" s="50">
        <v>0</v>
      </c>
      <c r="HF9" s="50">
        <v>0</v>
      </c>
      <c r="HG9" s="49">
        <v>70.41</v>
      </c>
      <c r="HH9" s="49">
        <v>79.760000000000005</v>
      </c>
      <c r="HI9" s="50">
        <v>0</v>
      </c>
      <c r="HJ9" s="50">
        <v>0</v>
      </c>
      <c r="HK9" s="50">
        <v>0</v>
      </c>
      <c r="HL9" s="49">
        <v>61</v>
      </c>
      <c r="HM9" s="49">
        <v>50</v>
      </c>
      <c r="HN9" s="49">
        <v>64</v>
      </c>
      <c r="HO9" s="50">
        <v>58</v>
      </c>
      <c r="HP9" s="49">
        <v>61</v>
      </c>
      <c r="HQ9" s="50">
        <v>59</v>
      </c>
      <c r="HR9" s="49">
        <v>53</v>
      </c>
      <c r="HS9" s="49">
        <v>62</v>
      </c>
      <c r="HT9" s="49">
        <v>-1.456</v>
      </c>
      <c r="HU9" s="50">
        <v>0</v>
      </c>
      <c r="HV9" s="49">
        <v>9.6000000000000002E-2</v>
      </c>
      <c r="HW9" s="50">
        <v>35.299999999999997</v>
      </c>
      <c r="HX9" s="49">
        <v>46</v>
      </c>
      <c r="HY9" s="50">
        <v>56.22</v>
      </c>
      <c r="HZ9" s="50">
        <v>56.22</v>
      </c>
      <c r="IA9" s="50">
        <v>3.0070000000000001</v>
      </c>
      <c r="IB9" s="49">
        <v>101</v>
      </c>
      <c r="IC9" s="49">
        <v>20.481000000000002</v>
      </c>
      <c r="ID9" s="49">
        <v>-0.11700000000000001</v>
      </c>
      <c r="IE9" s="49">
        <v>-6.3E-2</v>
      </c>
      <c r="IF9" s="49">
        <v>807.1</v>
      </c>
      <c r="IG9" s="49">
        <v>739.4</v>
      </c>
      <c r="IH9" s="50">
        <v>827.3</v>
      </c>
      <c r="II9" s="49">
        <v>751.9</v>
      </c>
      <c r="IJ9" s="50">
        <v>2E-3</v>
      </c>
      <c r="IK9" s="49">
        <v>3.2000000000000001E-2</v>
      </c>
      <c r="IL9" s="49">
        <v>105.727</v>
      </c>
      <c r="IM9" s="49">
        <v>105.727</v>
      </c>
      <c r="IN9" s="49">
        <v>12.699</v>
      </c>
      <c r="IO9" s="49">
        <v>0.36299999999999999</v>
      </c>
      <c r="IP9" s="49">
        <v>9.15</v>
      </c>
      <c r="IQ9" s="49">
        <v>2E-3</v>
      </c>
      <c r="IR9" s="49">
        <v>4.0000000000000001E-3</v>
      </c>
    </row>
    <row r="10" spans="2:252" x14ac:dyDescent="0.25">
      <c r="B10" s="2" t="s">
        <v>412</v>
      </c>
      <c r="C10" s="62" t="s">
        <v>44</v>
      </c>
      <c r="D10" s="63">
        <v>2.5331018518518519E-3</v>
      </c>
      <c r="E10" s="49">
        <v>218.9</v>
      </c>
      <c r="F10" s="49">
        <v>329.12</v>
      </c>
      <c r="G10" s="50">
        <v>6.04</v>
      </c>
      <c r="H10" s="49">
        <v>25.3</v>
      </c>
      <c r="I10" s="50">
        <v>0</v>
      </c>
      <c r="J10" s="49">
        <v>10.4</v>
      </c>
      <c r="K10" s="50">
        <v>6</v>
      </c>
      <c r="L10" s="50">
        <v>6</v>
      </c>
      <c r="M10" s="50">
        <v>7</v>
      </c>
      <c r="N10" s="50">
        <v>2</v>
      </c>
      <c r="O10" s="50">
        <v>3</v>
      </c>
      <c r="P10" s="49">
        <v>0.40799999999999997</v>
      </c>
      <c r="Q10" s="50">
        <v>1.1819999999999999</v>
      </c>
      <c r="R10" s="49">
        <v>0.12</v>
      </c>
      <c r="S10" s="49">
        <v>2.3E-2</v>
      </c>
      <c r="T10" s="50">
        <v>76.39</v>
      </c>
      <c r="U10" s="49">
        <v>60.238</v>
      </c>
      <c r="V10" s="49">
        <v>228.34</v>
      </c>
      <c r="W10" s="49">
        <v>248.34</v>
      </c>
      <c r="X10" s="49">
        <v>150</v>
      </c>
      <c r="Y10" s="49">
        <v>200</v>
      </c>
      <c r="Z10" s="50">
        <v>384</v>
      </c>
      <c r="AA10" s="49">
        <v>407.3</v>
      </c>
      <c r="AB10" s="49">
        <v>280.67</v>
      </c>
      <c r="AC10" s="49">
        <v>357.44</v>
      </c>
      <c r="AD10" s="49">
        <v>1.7969999999999999</v>
      </c>
      <c r="AE10" s="49">
        <v>1.8080000000000001</v>
      </c>
      <c r="AF10" s="49">
        <v>1.819</v>
      </c>
      <c r="AG10" s="49">
        <v>1.8320000000000001</v>
      </c>
      <c r="AH10" s="49">
        <v>71.59</v>
      </c>
      <c r="AI10" s="49">
        <v>63.1</v>
      </c>
      <c r="AJ10" s="49">
        <v>93.1</v>
      </c>
      <c r="AK10" s="49">
        <v>91.14</v>
      </c>
      <c r="AL10" s="49">
        <v>660.23900000000003</v>
      </c>
      <c r="AM10" s="49">
        <v>674.15499999999997</v>
      </c>
      <c r="AN10" s="49">
        <v>848.44200000000001</v>
      </c>
      <c r="AO10" s="49">
        <v>798.87699999999995</v>
      </c>
      <c r="AP10" s="49">
        <v>1.3959999999999999</v>
      </c>
      <c r="AQ10" s="49">
        <v>1.869</v>
      </c>
      <c r="AR10" s="49">
        <v>41.786000000000001</v>
      </c>
      <c r="AS10" s="49">
        <v>38.802999999999997</v>
      </c>
      <c r="AT10" s="49">
        <v>83</v>
      </c>
      <c r="AU10" s="49">
        <v>115</v>
      </c>
      <c r="AV10" s="50">
        <v>1.3839999999999999</v>
      </c>
      <c r="AW10" s="50">
        <v>4.7634999999999996</v>
      </c>
      <c r="AX10" s="49">
        <v>1013.4</v>
      </c>
      <c r="AY10" s="49">
        <v>2.46</v>
      </c>
      <c r="AZ10" s="49">
        <v>4.8899999999999997</v>
      </c>
      <c r="BA10" s="49">
        <v>95.126000000000005</v>
      </c>
      <c r="BB10" s="49">
        <v>95.466999999999999</v>
      </c>
      <c r="BC10" s="50">
        <v>7795</v>
      </c>
      <c r="BD10" s="50">
        <v>89.25</v>
      </c>
      <c r="BE10" s="49">
        <v>14.62</v>
      </c>
      <c r="BF10" s="49">
        <v>11.74</v>
      </c>
      <c r="BG10" s="49">
        <v>29.75</v>
      </c>
      <c r="BH10" s="49">
        <v>29.03</v>
      </c>
      <c r="BI10" s="3"/>
      <c r="BJ10" s="3"/>
      <c r="BK10" s="3"/>
      <c r="BL10" s="3"/>
      <c r="BM10" s="3"/>
      <c r="BN10" s="49">
        <v>102.392</v>
      </c>
      <c r="BO10" s="49">
        <v>104.024</v>
      </c>
      <c r="BP10" s="49">
        <v>124.712</v>
      </c>
      <c r="BQ10" s="49">
        <v>130.12</v>
      </c>
      <c r="BR10" s="3"/>
      <c r="BS10" s="49">
        <v>25</v>
      </c>
      <c r="BT10" s="50">
        <v>7236.0479999999998</v>
      </c>
      <c r="BU10" s="49">
        <v>50.600999999999999</v>
      </c>
      <c r="BV10" s="49">
        <v>53.741999999999997</v>
      </c>
      <c r="BW10" s="49">
        <v>54.762</v>
      </c>
      <c r="BX10" s="49">
        <v>56.462000000000003</v>
      </c>
      <c r="BY10" s="50">
        <v>1.6639999999999999</v>
      </c>
      <c r="BZ10" s="49">
        <v>3.008</v>
      </c>
      <c r="CA10" s="50">
        <v>3.6259999999999999</v>
      </c>
      <c r="CB10" s="49">
        <v>4.0110000000000001</v>
      </c>
      <c r="CC10" s="49">
        <v>0.96599999999999997</v>
      </c>
      <c r="CD10" s="49">
        <v>2.2530000000000001</v>
      </c>
      <c r="CE10" s="49">
        <v>1.29</v>
      </c>
      <c r="CF10" s="49">
        <v>2.141</v>
      </c>
      <c r="CG10" s="49">
        <v>13.738</v>
      </c>
      <c r="CH10" s="49">
        <v>13.531000000000001</v>
      </c>
      <c r="CI10" s="49">
        <v>3.3180000000000001</v>
      </c>
      <c r="CJ10" s="49">
        <v>2.8860000000000001</v>
      </c>
      <c r="CK10" s="49">
        <v>1.1599999999999999</v>
      </c>
      <c r="CL10" s="49">
        <v>0.1</v>
      </c>
      <c r="CM10" s="49">
        <v>0.6</v>
      </c>
      <c r="CN10" s="50">
        <v>0</v>
      </c>
      <c r="CO10" s="50">
        <v>0</v>
      </c>
      <c r="CP10" s="49">
        <v>95.433000000000007</v>
      </c>
      <c r="CQ10" s="49">
        <v>97.16</v>
      </c>
      <c r="CR10" s="49">
        <v>113.148</v>
      </c>
      <c r="CS10" s="49">
        <v>120.87</v>
      </c>
      <c r="CT10" s="49">
        <v>0.40799999999999997</v>
      </c>
      <c r="CU10" s="49">
        <v>0.79700000000000004</v>
      </c>
      <c r="CV10" s="49">
        <v>1.4990000000000001</v>
      </c>
      <c r="CW10" s="49">
        <v>1.401</v>
      </c>
      <c r="CX10" s="49">
        <v>1.8029999999999999</v>
      </c>
      <c r="CY10" s="49">
        <v>0.80100000000000005</v>
      </c>
      <c r="CZ10" s="50">
        <v>2.198</v>
      </c>
      <c r="DA10" s="49">
        <v>0.9</v>
      </c>
      <c r="DB10" s="49">
        <v>1.298</v>
      </c>
      <c r="DC10" s="50">
        <v>0</v>
      </c>
      <c r="DD10" s="50">
        <v>0</v>
      </c>
      <c r="DE10" s="50">
        <v>0.19600000000000001</v>
      </c>
      <c r="DF10" s="49">
        <v>5.5E-2</v>
      </c>
      <c r="DG10" s="49">
        <v>0.58499999999999996</v>
      </c>
      <c r="DH10" s="50">
        <v>2.129</v>
      </c>
      <c r="DI10" s="49">
        <v>0.879</v>
      </c>
      <c r="DJ10" s="49">
        <v>0.11799999999999999</v>
      </c>
      <c r="DK10" s="49">
        <v>0.79700000000000004</v>
      </c>
      <c r="DL10" s="49">
        <v>0.41</v>
      </c>
      <c r="DM10" s="50">
        <v>0.621</v>
      </c>
      <c r="DN10" s="49">
        <v>0.45500000000000002</v>
      </c>
      <c r="DO10" s="49">
        <v>0.35599999999999998</v>
      </c>
      <c r="DP10" s="49">
        <v>64.346999999999994</v>
      </c>
      <c r="DQ10" s="49">
        <v>62.231000000000002</v>
      </c>
      <c r="DR10" s="49">
        <v>53.908000000000001</v>
      </c>
      <c r="DS10" s="49">
        <v>51.756</v>
      </c>
      <c r="DT10" s="50">
        <v>6.13</v>
      </c>
      <c r="DU10" s="50">
        <v>5.93</v>
      </c>
      <c r="DV10" s="50">
        <v>11.6</v>
      </c>
      <c r="DW10" s="50">
        <v>8.52</v>
      </c>
      <c r="DX10" s="50">
        <v>6.37</v>
      </c>
      <c r="DY10" s="50">
        <v>6.28</v>
      </c>
      <c r="DZ10" s="50">
        <v>11.07</v>
      </c>
      <c r="EA10" s="50">
        <v>8.26</v>
      </c>
      <c r="EB10" s="50">
        <v>42.62</v>
      </c>
      <c r="EC10" s="49">
        <v>42.17</v>
      </c>
      <c r="ED10" s="49">
        <v>35.020000000000003</v>
      </c>
      <c r="EE10" s="49">
        <v>37.9</v>
      </c>
      <c r="EF10" s="49">
        <v>44.87</v>
      </c>
      <c r="EG10" s="49">
        <v>45.63</v>
      </c>
      <c r="EH10" s="49">
        <v>42.3</v>
      </c>
      <c r="EI10" s="49">
        <v>45.32</v>
      </c>
      <c r="EJ10" s="49">
        <v>6.6779999999999999</v>
      </c>
      <c r="EK10" s="50">
        <v>62.843000000000004</v>
      </c>
      <c r="EL10" s="49">
        <v>2.2999999999999998</v>
      </c>
      <c r="EM10" s="49">
        <v>1.85</v>
      </c>
      <c r="EN10" s="49">
        <v>1.2</v>
      </c>
      <c r="EO10" s="49">
        <v>1.2</v>
      </c>
      <c r="EP10" s="49">
        <v>-103.886</v>
      </c>
      <c r="EQ10" s="49">
        <v>-2.9950000000000001</v>
      </c>
      <c r="ER10" s="49">
        <v>98.762</v>
      </c>
      <c r="ES10" s="49">
        <v>1.4670000000000001</v>
      </c>
      <c r="ET10" s="49">
        <v>1.63</v>
      </c>
      <c r="EU10" s="49">
        <v>1.4330000000000001</v>
      </c>
      <c r="EV10" s="49">
        <v>7.556</v>
      </c>
      <c r="EW10" s="49">
        <v>2.77</v>
      </c>
      <c r="EX10" s="50">
        <v>74.22</v>
      </c>
      <c r="EY10" s="49">
        <v>4.1000000000000002E-2</v>
      </c>
      <c r="EZ10" s="49">
        <v>0</v>
      </c>
      <c r="FA10" s="50">
        <v>0</v>
      </c>
      <c r="FB10" s="49">
        <v>9.1120000000000001</v>
      </c>
      <c r="FC10" s="49">
        <v>65.772999999999996</v>
      </c>
      <c r="FD10" s="49">
        <v>61.332999999999998</v>
      </c>
      <c r="FE10" s="49">
        <v>74.186000000000007</v>
      </c>
      <c r="FF10" s="49">
        <v>72.84</v>
      </c>
      <c r="FG10" s="49">
        <v>0.92100000000000004</v>
      </c>
      <c r="FH10" s="49">
        <v>0.92200000000000004</v>
      </c>
      <c r="FI10" s="49">
        <v>0.997</v>
      </c>
      <c r="FJ10" s="49">
        <v>1.002</v>
      </c>
      <c r="FK10" s="49">
        <v>0</v>
      </c>
      <c r="FL10" s="49">
        <v>83</v>
      </c>
      <c r="FM10" s="49">
        <v>3.67</v>
      </c>
      <c r="FN10" s="49">
        <v>-0.7</v>
      </c>
      <c r="FO10" s="49">
        <v>4.83</v>
      </c>
      <c r="FP10" s="3"/>
      <c r="FQ10" s="49">
        <v>4.95</v>
      </c>
      <c r="FR10" s="49">
        <v>5.05</v>
      </c>
      <c r="FS10" s="49">
        <v>6.4489999999999998</v>
      </c>
      <c r="FT10" s="49">
        <v>1071.7</v>
      </c>
      <c r="FU10" s="49">
        <v>6.37</v>
      </c>
      <c r="FV10" s="49">
        <v>23.13</v>
      </c>
      <c r="FW10" s="49">
        <v>2962.5</v>
      </c>
      <c r="FX10" s="49">
        <v>160400</v>
      </c>
      <c r="FY10" s="49">
        <v>162500</v>
      </c>
      <c r="FZ10" s="49">
        <v>46.911000000000001</v>
      </c>
      <c r="GA10" s="49">
        <v>47.918999999999997</v>
      </c>
      <c r="GB10" s="50">
        <v>2166.6</v>
      </c>
      <c r="GC10" s="49">
        <v>2166.4</v>
      </c>
      <c r="GD10" s="49">
        <v>2206.4</v>
      </c>
      <c r="GE10" s="49">
        <v>2207.9</v>
      </c>
      <c r="GF10" s="49">
        <v>1381.9375</v>
      </c>
      <c r="GG10" s="49">
        <v>29</v>
      </c>
      <c r="GH10" s="49">
        <v>29.5</v>
      </c>
      <c r="GI10" s="49">
        <v>45.7</v>
      </c>
      <c r="GJ10" s="49">
        <v>51.3</v>
      </c>
      <c r="GK10" s="49">
        <v>99.5</v>
      </c>
      <c r="GL10" s="49">
        <v>107.6</v>
      </c>
      <c r="GM10" s="50">
        <v>0</v>
      </c>
      <c r="GN10" s="49">
        <v>25.363</v>
      </c>
      <c r="GO10" s="49">
        <v>103.886</v>
      </c>
      <c r="GP10" s="49">
        <v>0.76700000000000002</v>
      </c>
      <c r="GQ10" s="49">
        <v>1.8879999999999999</v>
      </c>
      <c r="GR10" s="49">
        <v>1.2390000000000001</v>
      </c>
      <c r="GS10" s="49">
        <v>2.0649999999999999</v>
      </c>
      <c r="GT10" s="49">
        <v>0.76700000000000002</v>
      </c>
      <c r="GU10" s="49">
        <v>1.8879999999999999</v>
      </c>
      <c r="GV10" s="50">
        <v>0</v>
      </c>
      <c r="GW10" s="49">
        <v>0</v>
      </c>
      <c r="GX10" s="49">
        <v>0</v>
      </c>
      <c r="GY10" s="49">
        <v>12.151999999999999</v>
      </c>
      <c r="GZ10" s="49">
        <v>13.644</v>
      </c>
      <c r="HA10" s="49">
        <v>15.288</v>
      </c>
      <c r="HB10" s="49">
        <v>0</v>
      </c>
      <c r="HC10" s="49">
        <v>36.124000000000002</v>
      </c>
      <c r="HD10" s="49">
        <v>82</v>
      </c>
      <c r="HE10" s="50">
        <v>0</v>
      </c>
      <c r="HF10" s="50">
        <v>0</v>
      </c>
      <c r="HG10" s="49">
        <v>71.73</v>
      </c>
      <c r="HH10" s="49">
        <v>80.22</v>
      </c>
      <c r="HI10" s="50">
        <v>0</v>
      </c>
      <c r="HJ10" s="50">
        <v>0</v>
      </c>
      <c r="HK10" s="50">
        <v>0</v>
      </c>
      <c r="HL10" s="49">
        <v>59</v>
      </c>
      <c r="HM10" s="49">
        <v>50</v>
      </c>
      <c r="HN10" s="49">
        <v>64</v>
      </c>
      <c r="HO10" s="50">
        <v>58</v>
      </c>
      <c r="HP10" s="50">
        <v>62</v>
      </c>
      <c r="HQ10" s="50">
        <v>59</v>
      </c>
      <c r="HR10" s="49">
        <v>53</v>
      </c>
      <c r="HS10" s="49">
        <v>62</v>
      </c>
      <c r="HT10" s="50">
        <v>-1.4575</v>
      </c>
      <c r="HU10" s="50">
        <v>0</v>
      </c>
      <c r="HV10" s="49">
        <v>0.374</v>
      </c>
      <c r="HW10" s="50">
        <v>35.299999999999997</v>
      </c>
      <c r="HX10" s="50">
        <v>42.68</v>
      </c>
      <c r="HY10" s="3"/>
      <c r="HZ10" s="3"/>
      <c r="IA10" s="49">
        <v>2.7069999999999999</v>
      </c>
      <c r="IB10" s="50">
        <v>103</v>
      </c>
      <c r="IC10" s="50">
        <v>21.436</v>
      </c>
      <c r="ID10" s="49">
        <v>-0.14299999999999999</v>
      </c>
      <c r="IE10" s="49">
        <v>-8.4000000000000005E-2</v>
      </c>
      <c r="IF10" s="50">
        <v>807.4</v>
      </c>
      <c r="IG10" s="50">
        <v>757.1</v>
      </c>
      <c r="IH10" s="49">
        <v>806.8</v>
      </c>
      <c r="II10" s="50">
        <v>767.6</v>
      </c>
      <c r="IJ10" s="49">
        <v>-2.3E-2</v>
      </c>
      <c r="IK10" s="49">
        <v>2.1000000000000001E-2</v>
      </c>
      <c r="IL10" s="49">
        <v>75.084999999999994</v>
      </c>
      <c r="IM10" s="49">
        <v>75.084999999999994</v>
      </c>
      <c r="IN10" s="49">
        <v>10.516999999999999</v>
      </c>
      <c r="IO10" s="50">
        <v>0.52400000000000002</v>
      </c>
      <c r="IP10" s="49">
        <v>9.07</v>
      </c>
      <c r="IQ10" s="50">
        <v>1.2999999999999999E-2</v>
      </c>
      <c r="IR10" s="50">
        <v>7.0000000000000001E-3</v>
      </c>
    </row>
    <row r="11" spans="2:252" x14ac:dyDescent="0.25">
      <c r="B11" s="2" t="s">
        <v>412</v>
      </c>
      <c r="C11" s="2" t="s">
        <v>45</v>
      </c>
      <c r="D11" s="61">
        <v>5.7333333333333333E-3</v>
      </c>
      <c r="E11" s="50">
        <v>495.36200000000002</v>
      </c>
      <c r="F11" s="49">
        <v>329.95</v>
      </c>
      <c r="G11" s="49">
        <v>-23.13</v>
      </c>
      <c r="H11" s="49">
        <v>25.3</v>
      </c>
      <c r="I11" s="50">
        <v>0</v>
      </c>
      <c r="J11" s="50">
        <v>73.7</v>
      </c>
      <c r="K11" s="50">
        <v>6</v>
      </c>
      <c r="L11" s="50">
        <v>6</v>
      </c>
      <c r="M11" s="50">
        <v>7</v>
      </c>
      <c r="N11" s="50">
        <v>2</v>
      </c>
      <c r="O11" s="50">
        <v>3</v>
      </c>
      <c r="P11" s="49">
        <v>0.42799999999999999</v>
      </c>
      <c r="Q11" s="49">
        <v>0.80300000000000005</v>
      </c>
      <c r="R11" s="49">
        <v>0.17</v>
      </c>
      <c r="S11" s="3"/>
      <c r="T11" s="49">
        <v>75.92</v>
      </c>
      <c r="U11" s="49">
        <v>60.814999999999998</v>
      </c>
      <c r="V11" s="50">
        <v>70</v>
      </c>
      <c r="W11" s="50">
        <v>40</v>
      </c>
      <c r="X11" s="50">
        <v>90</v>
      </c>
      <c r="Y11" s="50">
        <v>90</v>
      </c>
      <c r="Z11" s="49">
        <v>210.16</v>
      </c>
      <c r="AA11" s="49">
        <v>222.65</v>
      </c>
      <c r="AB11" s="49">
        <v>185.1</v>
      </c>
      <c r="AC11" s="49">
        <v>221.51</v>
      </c>
      <c r="AD11" s="49">
        <v>1.7370000000000001</v>
      </c>
      <c r="AE11" s="49">
        <v>1.756</v>
      </c>
      <c r="AF11" s="49">
        <v>1.738</v>
      </c>
      <c r="AG11" s="49">
        <v>1.754</v>
      </c>
      <c r="AH11" s="49">
        <v>61.14</v>
      </c>
      <c r="AI11" s="49">
        <v>52.81</v>
      </c>
      <c r="AJ11" s="49">
        <v>77.92</v>
      </c>
      <c r="AK11" s="49">
        <v>76.45</v>
      </c>
      <c r="AL11" s="49">
        <v>694.06</v>
      </c>
      <c r="AM11" s="49">
        <v>684.577</v>
      </c>
      <c r="AN11" s="50">
        <v>973.57799999999997</v>
      </c>
      <c r="AO11" s="49">
        <v>761.73800000000006</v>
      </c>
      <c r="AP11" s="49">
        <v>1.389</v>
      </c>
      <c r="AQ11" s="49">
        <v>1.865</v>
      </c>
      <c r="AR11" s="49">
        <v>42.722999999999999</v>
      </c>
      <c r="AS11" s="49">
        <v>39.052999999999997</v>
      </c>
      <c r="AT11" s="49">
        <v>83</v>
      </c>
      <c r="AU11" s="49">
        <v>117</v>
      </c>
      <c r="AV11" s="49">
        <v>2.3290000000000002</v>
      </c>
      <c r="AW11" s="49">
        <v>4.6193999999999997</v>
      </c>
      <c r="AX11" s="49">
        <v>1012.3</v>
      </c>
      <c r="AY11" s="49">
        <v>2.4900000000000002</v>
      </c>
      <c r="AZ11" s="49">
        <v>5.16</v>
      </c>
      <c r="BA11" s="49">
        <v>69.408000000000001</v>
      </c>
      <c r="BB11" s="49">
        <v>70.703999999999994</v>
      </c>
      <c r="BC11" s="49">
        <v>7659</v>
      </c>
      <c r="BD11" s="49">
        <v>88.75</v>
      </c>
      <c r="BE11" s="49">
        <v>15.335000000000001</v>
      </c>
      <c r="BF11" s="49">
        <v>13.02</v>
      </c>
      <c r="BG11" s="49">
        <v>28.29</v>
      </c>
      <c r="BH11" s="49">
        <v>24.09</v>
      </c>
      <c r="BI11" s="49">
        <v>65.037000000000006</v>
      </c>
      <c r="BJ11" s="50">
        <v>82.475999999999999</v>
      </c>
      <c r="BK11" s="49">
        <v>63.192999999999998</v>
      </c>
      <c r="BL11" s="50">
        <v>79.593999999999994</v>
      </c>
      <c r="BM11" s="50">
        <v>79.783000000000001</v>
      </c>
      <c r="BN11" s="49">
        <v>118.92</v>
      </c>
      <c r="BO11" s="49">
        <v>121.752</v>
      </c>
      <c r="BP11" s="49">
        <v>144.24799999999999</v>
      </c>
      <c r="BQ11" s="50">
        <v>148.71199999999999</v>
      </c>
      <c r="BR11" s="50">
        <v>59.981000000000002</v>
      </c>
      <c r="BS11" s="49">
        <v>24.8</v>
      </c>
      <c r="BT11" s="49">
        <v>6739.116</v>
      </c>
      <c r="BU11" s="49">
        <v>39.86</v>
      </c>
      <c r="BV11" s="49">
        <v>53.070999999999998</v>
      </c>
      <c r="BW11" s="49">
        <v>54.241999999999997</v>
      </c>
      <c r="BX11" s="50">
        <v>57.277000000000001</v>
      </c>
      <c r="BY11" s="49">
        <v>1.3580000000000001</v>
      </c>
      <c r="BZ11" s="49">
        <v>2.9039999999999999</v>
      </c>
      <c r="CA11" s="49">
        <v>3.0630000000000002</v>
      </c>
      <c r="CB11" s="49">
        <v>3.3879999999999999</v>
      </c>
      <c r="CC11" s="49">
        <v>0.89600000000000002</v>
      </c>
      <c r="CD11" s="50">
        <v>2.5550000000000002</v>
      </c>
      <c r="CE11" s="49">
        <v>1.24</v>
      </c>
      <c r="CF11" s="49">
        <v>2.11</v>
      </c>
      <c r="CG11" s="49">
        <v>13.712999999999999</v>
      </c>
      <c r="CH11" s="49">
        <v>10.504</v>
      </c>
      <c r="CI11" s="3"/>
      <c r="CJ11" s="3"/>
      <c r="CK11" s="3"/>
      <c r="CL11" s="49">
        <v>0.3</v>
      </c>
      <c r="CM11" s="49">
        <v>0</v>
      </c>
      <c r="CN11" s="50">
        <v>0</v>
      </c>
      <c r="CO11" s="50">
        <v>0</v>
      </c>
      <c r="CP11" s="49">
        <v>94.742000000000004</v>
      </c>
      <c r="CQ11" s="49">
        <v>98.176000000000002</v>
      </c>
      <c r="CR11" s="49">
        <v>115.286</v>
      </c>
      <c r="CS11" s="49">
        <v>120.45399999999999</v>
      </c>
      <c r="CT11" s="49">
        <v>0.16</v>
      </c>
      <c r="CU11" s="49">
        <v>0.6</v>
      </c>
      <c r="CV11" s="49">
        <v>1.401</v>
      </c>
      <c r="CW11" s="50">
        <v>2.8010000000000002</v>
      </c>
      <c r="CX11" s="49">
        <v>0.998</v>
      </c>
      <c r="CY11" s="49">
        <v>0.6</v>
      </c>
      <c r="CZ11" s="49">
        <v>0.80500000000000005</v>
      </c>
      <c r="DA11" s="49">
        <v>0.59599999999999997</v>
      </c>
      <c r="DB11" s="49">
        <v>0.999</v>
      </c>
      <c r="DC11" s="50">
        <v>0</v>
      </c>
      <c r="DD11" s="50">
        <v>0</v>
      </c>
      <c r="DE11" s="49">
        <v>7.6999999999999999E-2</v>
      </c>
      <c r="DF11" s="49">
        <v>7.2999999999999995E-2</v>
      </c>
      <c r="DG11" s="49">
        <v>0.10199999999999999</v>
      </c>
      <c r="DH11" s="49">
        <v>0.71799999999999997</v>
      </c>
      <c r="DI11" s="49">
        <v>0.72299999999999998</v>
      </c>
      <c r="DJ11" s="49">
        <v>1E-3</v>
      </c>
      <c r="DK11" s="49">
        <v>0.61099999999999999</v>
      </c>
      <c r="DL11" s="49">
        <v>0.40799999999999997</v>
      </c>
      <c r="DM11" s="49">
        <v>0.48799999999999999</v>
      </c>
      <c r="DN11" s="50">
        <v>0.92900000000000005</v>
      </c>
      <c r="DO11" s="49">
        <v>0.13500000000000001</v>
      </c>
      <c r="DP11" s="49">
        <v>63.162999999999997</v>
      </c>
      <c r="DQ11" s="49">
        <v>61.527000000000001</v>
      </c>
      <c r="DR11" s="49">
        <v>55.088999999999999</v>
      </c>
      <c r="DS11" s="49">
        <v>52.372</v>
      </c>
      <c r="DT11" s="49">
        <v>1.69</v>
      </c>
      <c r="DU11" s="49">
        <v>1.59</v>
      </c>
      <c r="DV11" s="49">
        <v>2.69</v>
      </c>
      <c r="DW11" s="49">
        <v>1.88</v>
      </c>
      <c r="DX11" s="49">
        <v>1.72</v>
      </c>
      <c r="DY11" s="49">
        <v>1.72</v>
      </c>
      <c r="DZ11" s="49">
        <v>2.52</v>
      </c>
      <c r="EA11" s="49">
        <v>1.91</v>
      </c>
      <c r="EB11" s="49">
        <v>39.78</v>
      </c>
      <c r="EC11" s="49">
        <v>39.56</v>
      </c>
      <c r="ED11" s="49">
        <v>33.270000000000003</v>
      </c>
      <c r="EE11" s="49">
        <v>33.4</v>
      </c>
      <c r="EF11" s="49">
        <v>56.81</v>
      </c>
      <c r="EG11" s="50">
        <v>57.13</v>
      </c>
      <c r="EH11" s="50">
        <v>61.51</v>
      </c>
      <c r="EI11" s="50">
        <v>62.79</v>
      </c>
      <c r="EJ11" s="50">
        <v>7.2069999999999999</v>
      </c>
      <c r="EK11" s="49">
        <v>61.542999999999999</v>
      </c>
      <c r="EL11" s="49">
        <v>2.2999999999999998</v>
      </c>
      <c r="EM11" s="49">
        <v>1.9</v>
      </c>
      <c r="EN11" s="50">
        <v>1.62</v>
      </c>
      <c r="EO11" s="50">
        <v>1.6</v>
      </c>
      <c r="EP11" s="49">
        <v>-118.194</v>
      </c>
      <c r="EQ11" s="50">
        <v>-1.1120000000000001</v>
      </c>
      <c r="ER11" s="49">
        <v>93.506</v>
      </c>
      <c r="ES11" s="49">
        <v>1.498</v>
      </c>
      <c r="ET11" s="49">
        <v>1.58</v>
      </c>
      <c r="EU11" s="49">
        <v>1.48</v>
      </c>
      <c r="EV11" s="49">
        <v>7.53</v>
      </c>
      <c r="EW11" s="50">
        <v>2.9369999999999998</v>
      </c>
      <c r="EX11" s="49">
        <v>39.4</v>
      </c>
      <c r="EY11" s="49">
        <v>0</v>
      </c>
      <c r="EZ11" s="49">
        <v>0.26</v>
      </c>
      <c r="FA11" s="50">
        <v>0</v>
      </c>
      <c r="FB11" s="50">
        <v>9.2799999999999994</v>
      </c>
      <c r="FC11" s="49">
        <v>65.281999999999996</v>
      </c>
      <c r="FD11" s="49">
        <v>61.34</v>
      </c>
      <c r="FE11" s="49">
        <v>74.22</v>
      </c>
      <c r="FF11" s="49">
        <v>73.019000000000005</v>
      </c>
      <c r="FG11" s="50">
        <v>1.133</v>
      </c>
      <c r="FH11" s="50">
        <v>1.1240000000000001</v>
      </c>
      <c r="FI11" s="50">
        <v>1</v>
      </c>
      <c r="FJ11" s="50">
        <v>1.0029999999999999</v>
      </c>
      <c r="FK11" s="49">
        <v>0</v>
      </c>
      <c r="FL11" s="49">
        <v>83</v>
      </c>
      <c r="FM11" s="49">
        <v>3.48</v>
      </c>
      <c r="FN11" s="49">
        <v>0.31</v>
      </c>
      <c r="FO11" s="49">
        <v>5.2</v>
      </c>
      <c r="FP11" s="49">
        <v>4.3</v>
      </c>
      <c r="FQ11" s="49">
        <v>4.5999999999999996</v>
      </c>
      <c r="FR11" s="49">
        <v>5</v>
      </c>
      <c r="FS11" s="49">
        <v>6.4145000000000003</v>
      </c>
      <c r="FT11" s="49">
        <v>1069.3</v>
      </c>
      <c r="FU11" s="49">
        <v>6.12</v>
      </c>
      <c r="FV11" s="50">
        <v>27.1</v>
      </c>
      <c r="FW11" s="49">
        <v>2860</v>
      </c>
      <c r="FX11" s="49">
        <v>160900</v>
      </c>
      <c r="FY11" s="49">
        <v>162600</v>
      </c>
      <c r="FZ11" s="49">
        <v>46.679000000000002</v>
      </c>
      <c r="GA11" s="49">
        <v>47.765000000000001</v>
      </c>
      <c r="GB11" s="49">
        <v>2141.4</v>
      </c>
      <c r="GC11" s="50">
        <v>2188.4</v>
      </c>
      <c r="GD11" s="50">
        <v>2404.5</v>
      </c>
      <c r="GE11" s="49">
        <v>2225.4</v>
      </c>
      <c r="GF11" s="49">
        <v>1391.5</v>
      </c>
      <c r="GG11" s="50">
        <v>30</v>
      </c>
      <c r="GH11" s="50">
        <v>30.4</v>
      </c>
      <c r="GI11" s="50">
        <v>50.5</v>
      </c>
      <c r="GJ11" s="50">
        <v>57.2</v>
      </c>
      <c r="GK11" s="50">
        <v>97</v>
      </c>
      <c r="GL11" s="49">
        <v>110.2</v>
      </c>
      <c r="GM11" s="50">
        <v>0</v>
      </c>
      <c r="GN11" s="49">
        <v>23.263000000000002</v>
      </c>
      <c r="GO11" s="49">
        <v>118.194</v>
      </c>
      <c r="GP11" s="50">
        <v>0</v>
      </c>
      <c r="GQ11" s="50">
        <v>5.9</v>
      </c>
      <c r="GR11" s="50">
        <v>0</v>
      </c>
      <c r="GS11" s="50">
        <v>4.484</v>
      </c>
      <c r="GT11" s="50">
        <v>0</v>
      </c>
      <c r="GU11" s="50">
        <v>6.1360000000000001</v>
      </c>
      <c r="GV11" s="50">
        <v>0</v>
      </c>
      <c r="GW11" s="49">
        <v>6.0000000000000001E-3</v>
      </c>
      <c r="GX11" s="49">
        <v>19.501999999999999</v>
      </c>
      <c r="GY11" s="50">
        <v>0</v>
      </c>
      <c r="GZ11" s="49">
        <v>12.356</v>
      </c>
      <c r="HA11" s="50">
        <v>21.07</v>
      </c>
      <c r="HB11" s="49">
        <v>0</v>
      </c>
      <c r="HC11" s="49">
        <v>33.271999999999998</v>
      </c>
      <c r="HD11" s="50">
        <v>90</v>
      </c>
      <c r="HE11" s="50">
        <v>0</v>
      </c>
      <c r="HF11" s="50">
        <v>0</v>
      </c>
      <c r="HG11" s="49">
        <v>71.62</v>
      </c>
      <c r="HH11" s="49">
        <v>79.69</v>
      </c>
      <c r="HI11" s="50">
        <v>0</v>
      </c>
      <c r="HJ11" s="50">
        <v>0</v>
      </c>
      <c r="HK11" s="50">
        <v>0</v>
      </c>
      <c r="HL11" s="49">
        <v>59</v>
      </c>
      <c r="HM11" s="49">
        <v>50</v>
      </c>
      <c r="HN11" s="50">
        <v>65</v>
      </c>
      <c r="HO11" s="50">
        <v>58</v>
      </c>
      <c r="HP11" s="50">
        <v>62</v>
      </c>
      <c r="HQ11" s="50">
        <v>59</v>
      </c>
      <c r="HR11" s="50">
        <v>55</v>
      </c>
      <c r="HS11" s="49">
        <v>60</v>
      </c>
      <c r="HT11" s="49">
        <v>-1.4384999999999999</v>
      </c>
      <c r="HU11" s="50">
        <v>0</v>
      </c>
      <c r="HV11" s="49">
        <v>0.114</v>
      </c>
      <c r="HW11" s="49">
        <v>40.64</v>
      </c>
      <c r="HX11" s="50">
        <v>42.68</v>
      </c>
      <c r="HY11" s="3"/>
      <c r="HZ11" s="3"/>
      <c r="IA11" s="49">
        <v>2.8679999999999999</v>
      </c>
      <c r="IB11" s="49">
        <v>95</v>
      </c>
      <c r="IC11" s="49">
        <v>15.797000000000001</v>
      </c>
      <c r="ID11" s="50">
        <v>-4.5999999999999999E-2</v>
      </c>
      <c r="IE11" s="50">
        <v>-2.5999999999999999E-2</v>
      </c>
      <c r="IF11" s="49">
        <v>804.6</v>
      </c>
      <c r="IG11" s="49">
        <v>560.79999999999995</v>
      </c>
      <c r="IH11" s="49">
        <v>812.3</v>
      </c>
      <c r="II11" s="49">
        <v>584.6</v>
      </c>
      <c r="IJ11" s="49">
        <v>-1.4999999999999999E-2</v>
      </c>
      <c r="IK11" s="49">
        <v>4.0000000000000001E-3</v>
      </c>
      <c r="IL11" s="50">
        <v>393.89100000000002</v>
      </c>
      <c r="IM11" s="50">
        <v>393.89100000000002</v>
      </c>
      <c r="IN11" s="50">
        <v>23.931000000000001</v>
      </c>
      <c r="IO11" s="49">
        <v>0.129</v>
      </c>
      <c r="IP11" s="49">
        <v>9.27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C877A-1D1E-434C-B397-C8581C51B5EB}">
  <sheetPr codeName="Sheet19"/>
  <dimension ref="B1:IR10"/>
  <sheetViews>
    <sheetView zoomScale="70" zoomScaleNormal="70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429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4.3629629629629635E-3</v>
      </c>
      <c r="E7" s="50">
        <v>376.96100000000001</v>
      </c>
      <c r="F7" s="49">
        <v>329.19</v>
      </c>
      <c r="G7" s="49">
        <v>5.73</v>
      </c>
      <c r="H7" s="49">
        <v>24.9</v>
      </c>
      <c r="I7" s="50">
        <v>0.42</v>
      </c>
      <c r="J7" s="50">
        <v>153.4</v>
      </c>
      <c r="K7" s="50">
        <v>6</v>
      </c>
      <c r="L7" s="50">
        <v>6</v>
      </c>
      <c r="M7" s="50">
        <v>7</v>
      </c>
      <c r="N7" s="49">
        <v>2</v>
      </c>
      <c r="O7" s="50">
        <v>3</v>
      </c>
      <c r="P7" s="50">
        <v>0.92100000000000004</v>
      </c>
      <c r="Q7" s="50">
        <v>1.605</v>
      </c>
      <c r="R7" s="50">
        <v>0.91700000000000004</v>
      </c>
      <c r="S7" s="49">
        <v>0.65300000000000002</v>
      </c>
      <c r="T7" s="49">
        <v>76.14</v>
      </c>
      <c r="U7" s="50">
        <v>60.688000000000002</v>
      </c>
      <c r="V7" s="50">
        <v>70</v>
      </c>
      <c r="W7" s="50">
        <v>40</v>
      </c>
      <c r="X7" s="50">
        <v>80</v>
      </c>
      <c r="Y7" s="50">
        <v>90</v>
      </c>
      <c r="Z7" s="49">
        <v>241.73</v>
      </c>
      <c r="AA7" s="49">
        <v>247.09</v>
      </c>
      <c r="AB7" s="49">
        <v>193.97</v>
      </c>
      <c r="AC7" s="49">
        <v>236.91</v>
      </c>
      <c r="AD7" s="50">
        <v>1.9810000000000001</v>
      </c>
      <c r="AE7" s="50">
        <v>2.085</v>
      </c>
      <c r="AF7" s="50">
        <v>1.992</v>
      </c>
      <c r="AG7" s="50">
        <v>2.0659999999999998</v>
      </c>
      <c r="AH7" s="49">
        <v>76.36</v>
      </c>
      <c r="AI7" s="50">
        <v>71.739999999999995</v>
      </c>
      <c r="AJ7" s="49">
        <v>82.88</v>
      </c>
      <c r="AK7" s="49">
        <v>79.64</v>
      </c>
      <c r="AL7" s="49">
        <v>657.02800000000002</v>
      </c>
      <c r="AM7" s="49">
        <v>678.52300000000002</v>
      </c>
      <c r="AN7" s="49">
        <v>821.54499999999996</v>
      </c>
      <c r="AO7" s="49">
        <v>802.91099999999994</v>
      </c>
      <c r="AP7" s="50">
        <v>1.4339999999999999</v>
      </c>
      <c r="AQ7" s="50">
        <v>1.9119999999999999</v>
      </c>
      <c r="AR7" s="50">
        <v>42.494999999999997</v>
      </c>
      <c r="AS7" s="49">
        <v>37.665999999999997</v>
      </c>
      <c r="AT7" s="49">
        <v>82</v>
      </c>
      <c r="AU7" s="49">
        <v>100</v>
      </c>
      <c r="AV7" s="49">
        <v>1.8109999999999999</v>
      </c>
      <c r="AW7" s="50">
        <v>4.8564999999999996</v>
      </c>
      <c r="AX7" s="49">
        <v>1014.2</v>
      </c>
      <c r="AY7" s="50">
        <v>2.54</v>
      </c>
      <c r="AZ7" s="50">
        <v>4.46</v>
      </c>
      <c r="BA7" s="50">
        <v>66.8</v>
      </c>
      <c r="BB7" s="50">
        <v>67.5</v>
      </c>
      <c r="BC7" s="49">
        <v>7632</v>
      </c>
      <c r="BD7" s="49">
        <v>88</v>
      </c>
      <c r="BE7" s="49">
        <v>15.35</v>
      </c>
      <c r="BF7" s="49">
        <v>12.68</v>
      </c>
      <c r="BG7" s="49">
        <v>29.01</v>
      </c>
      <c r="BH7" s="49">
        <v>28.42</v>
      </c>
      <c r="BI7" s="50">
        <v>66.158000000000001</v>
      </c>
      <c r="BJ7" s="49">
        <v>79.459000000000003</v>
      </c>
      <c r="BK7" s="50">
        <v>64.751000000000005</v>
      </c>
      <c r="BL7" s="50">
        <v>77.349999999999994</v>
      </c>
      <c r="BM7" s="49">
        <v>77.313999999999993</v>
      </c>
      <c r="BN7" s="49">
        <v>80.391999999999996</v>
      </c>
      <c r="BO7" s="49">
        <v>80.087999999999994</v>
      </c>
      <c r="BP7" s="49">
        <v>96.936000000000007</v>
      </c>
      <c r="BQ7" s="49">
        <v>100.84</v>
      </c>
      <c r="BR7" s="49">
        <v>57.597999999999999</v>
      </c>
      <c r="BS7" s="49">
        <v>24.4</v>
      </c>
      <c r="BT7" s="49">
        <v>7168.4139999999998</v>
      </c>
      <c r="BU7" s="49">
        <v>46.981000000000002</v>
      </c>
      <c r="BV7" s="50">
        <v>52.865000000000002</v>
      </c>
      <c r="BW7" s="50">
        <v>53.101999999999997</v>
      </c>
      <c r="BX7" s="49">
        <v>54.655000000000001</v>
      </c>
      <c r="BY7" s="50">
        <v>1.623</v>
      </c>
      <c r="BZ7" s="49">
        <v>3.0209999999999999</v>
      </c>
      <c r="CA7" s="49">
        <v>3.4980000000000002</v>
      </c>
      <c r="CB7" s="49">
        <v>3.714</v>
      </c>
      <c r="CC7" s="49">
        <v>1.177</v>
      </c>
      <c r="CD7" s="49">
        <v>2.3439999999999999</v>
      </c>
      <c r="CE7" s="50">
        <v>1.397</v>
      </c>
      <c r="CF7" s="49">
        <v>2.1179999999999999</v>
      </c>
      <c r="CG7" s="49">
        <v>13.57</v>
      </c>
      <c r="CH7" s="50">
        <v>9.9160000000000004</v>
      </c>
      <c r="CI7" s="50">
        <v>4.7690000000000001</v>
      </c>
      <c r="CJ7" s="49">
        <v>3.544</v>
      </c>
      <c r="CK7" s="49">
        <v>1.29</v>
      </c>
      <c r="CL7" s="49">
        <v>0</v>
      </c>
      <c r="CM7" s="49">
        <v>0.1</v>
      </c>
      <c r="CN7" s="50">
        <v>0</v>
      </c>
      <c r="CO7" s="50">
        <v>0</v>
      </c>
      <c r="CP7" s="49">
        <v>60.435000000000002</v>
      </c>
      <c r="CQ7" s="49">
        <v>61.542999999999999</v>
      </c>
      <c r="CR7" s="49">
        <v>71.962999999999994</v>
      </c>
      <c r="CS7" s="49">
        <v>73.867000000000004</v>
      </c>
      <c r="CT7" s="50">
        <v>0.34</v>
      </c>
      <c r="CU7" s="50">
        <v>1.099</v>
      </c>
      <c r="CV7" s="49">
        <v>1.599</v>
      </c>
      <c r="CW7" s="50">
        <v>1.202</v>
      </c>
      <c r="CX7" s="49">
        <v>1.4</v>
      </c>
      <c r="CY7" s="49">
        <v>0.2</v>
      </c>
      <c r="CZ7" s="50">
        <v>1.3009999999999999</v>
      </c>
      <c r="DA7" s="49">
        <v>0.70099999999999996</v>
      </c>
      <c r="DB7" s="49">
        <v>1.798</v>
      </c>
      <c r="DC7" s="50">
        <v>0</v>
      </c>
      <c r="DD7" s="50">
        <v>0</v>
      </c>
      <c r="DE7" s="50">
        <v>0.32800000000000001</v>
      </c>
      <c r="DF7" s="50">
        <v>0.11</v>
      </c>
      <c r="DG7" s="49">
        <v>0.33700000000000002</v>
      </c>
      <c r="DH7" s="49">
        <v>1.889</v>
      </c>
      <c r="DI7" s="50">
        <v>1.357</v>
      </c>
      <c r="DJ7" s="50">
        <v>0.312</v>
      </c>
      <c r="DK7" s="50">
        <v>0.98699999999999999</v>
      </c>
      <c r="DL7" s="50">
        <v>0.41799999999999998</v>
      </c>
      <c r="DM7" s="49">
        <v>0.47699999999999998</v>
      </c>
      <c r="DN7" s="49">
        <v>0.45700000000000002</v>
      </c>
      <c r="DO7" s="49">
        <v>0.35899999999999999</v>
      </c>
      <c r="DP7" s="49">
        <v>65.486000000000004</v>
      </c>
      <c r="DQ7" s="49">
        <v>59.42</v>
      </c>
      <c r="DR7" s="49">
        <v>53.856999999999999</v>
      </c>
      <c r="DS7" s="49">
        <v>49.819000000000003</v>
      </c>
      <c r="DT7" s="49">
        <v>3.31</v>
      </c>
      <c r="DU7" s="49">
        <v>3.47</v>
      </c>
      <c r="DV7" s="49">
        <v>5.98</v>
      </c>
      <c r="DW7" s="49">
        <v>4.91</v>
      </c>
      <c r="DX7" s="49">
        <v>3.51</v>
      </c>
      <c r="DY7" s="49">
        <v>3.4</v>
      </c>
      <c r="DZ7" s="49">
        <v>5.61</v>
      </c>
      <c r="EA7" s="49">
        <v>4.74</v>
      </c>
      <c r="EB7" s="49">
        <v>27.12</v>
      </c>
      <c r="EC7" s="49">
        <v>26.31</v>
      </c>
      <c r="ED7" s="49">
        <v>22.82</v>
      </c>
      <c r="EE7" s="49">
        <v>24.69</v>
      </c>
      <c r="EF7" s="50">
        <v>66.06</v>
      </c>
      <c r="EG7" s="50">
        <v>66.819999999999993</v>
      </c>
      <c r="EH7" s="50">
        <v>65.58</v>
      </c>
      <c r="EI7" s="50">
        <v>65.66</v>
      </c>
      <c r="EJ7" s="49">
        <v>6.0510000000000002</v>
      </c>
      <c r="EK7" s="49">
        <v>61.331000000000003</v>
      </c>
      <c r="EL7" s="49">
        <v>2.2999999999999998</v>
      </c>
      <c r="EM7" s="50">
        <v>1.8</v>
      </c>
      <c r="EN7" s="49">
        <v>1.19</v>
      </c>
      <c r="EO7" s="50">
        <v>1.2</v>
      </c>
      <c r="EP7" s="49">
        <v>-96.001999999999995</v>
      </c>
      <c r="EQ7" s="50">
        <v>-1.177</v>
      </c>
      <c r="ER7" s="49">
        <v>93.506</v>
      </c>
      <c r="ES7" s="49">
        <v>1.423</v>
      </c>
      <c r="ET7" s="49">
        <v>1.472</v>
      </c>
      <c r="EU7" s="49">
        <v>1.3859999999999999</v>
      </c>
      <c r="EV7" s="50">
        <v>7.9329999999999998</v>
      </c>
      <c r="EW7" s="49">
        <v>3.5670000000000002</v>
      </c>
      <c r="EX7" s="49">
        <v>-250.82</v>
      </c>
      <c r="EY7" s="50">
        <v>0.98</v>
      </c>
      <c r="EZ7" s="49">
        <v>0</v>
      </c>
      <c r="FA7" s="50">
        <v>0</v>
      </c>
      <c r="FB7" s="49">
        <v>8.08</v>
      </c>
      <c r="FC7" s="50">
        <v>86.897000000000006</v>
      </c>
      <c r="FD7" s="50">
        <v>86.981999999999999</v>
      </c>
      <c r="FE7" s="50">
        <v>85.97</v>
      </c>
      <c r="FF7" s="50">
        <v>83.757000000000005</v>
      </c>
      <c r="FG7" s="49">
        <v>0.93500000000000005</v>
      </c>
      <c r="FH7" s="50">
        <v>0.93500000000000005</v>
      </c>
      <c r="FI7" s="50">
        <v>1.0029999999999999</v>
      </c>
      <c r="FJ7" s="50">
        <v>1.0049999999999999</v>
      </c>
      <c r="FK7" s="50">
        <v>0.30299999999999999</v>
      </c>
      <c r="FL7" s="49">
        <v>82</v>
      </c>
      <c r="FM7" s="49">
        <v>3.8</v>
      </c>
      <c r="FN7" s="50">
        <v>-0.22</v>
      </c>
      <c r="FO7" s="49">
        <v>4.34</v>
      </c>
      <c r="FP7" s="49">
        <v>4.5</v>
      </c>
      <c r="FQ7" s="50">
        <v>0.45</v>
      </c>
      <c r="FR7" s="49">
        <v>5.0999999999999996</v>
      </c>
      <c r="FS7" s="49">
        <v>6.4335000000000004</v>
      </c>
      <c r="FT7" s="49">
        <v>1071.4000000000001</v>
      </c>
      <c r="FU7" s="49">
        <v>6.51</v>
      </c>
      <c r="FV7" s="49">
        <v>5.73</v>
      </c>
      <c r="FW7" s="50">
        <v>3204</v>
      </c>
      <c r="FX7" s="49">
        <v>159900</v>
      </c>
      <c r="FY7" s="49">
        <v>160700</v>
      </c>
      <c r="FZ7" s="50">
        <v>47.633000000000003</v>
      </c>
      <c r="GA7" s="50">
        <v>48.204000000000001</v>
      </c>
      <c r="GB7" s="49">
        <v>2131.5</v>
      </c>
      <c r="GC7" s="49">
        <v>2136.3000000000002</v>
      </c>
      <c r="GD7" s="49">
        <v>2155.4</v>
      </c>
      <c r="GE7" s="49">
        <v>2155.6</v>
      </c>
      <c r="GF7" s="49">
        <v>1394.2655999999999</v>
      </c>
      <c r="GG7" s="50">
        <v>32</v>
      </c>
      <c r="GH7" s="50">
        <v>31.7</v>
      </c>
      <c r="GI7" s="50">
        <v>63</v>
      </c>
      <c r="GJ7" s="50">
        <v>68.099999999999994</v>
      </c>
      <c r="GK7" s="50">
        <v>95.5</v>
      </c>
      <c r="GL7" s="49">
        <v>109.9</v>
      </c>
      <c r="GM7" s="50">
        <v>0</v>
      </c>
      <c r="GN7" s="50">
        <v>24.936</v>
      </c>
      <c r="GO7" s="49">
        <v>96.001999999999995</v>
      </c>
      <c r="GP7" s="50">
        <v>0</v>
      </c>
      <c r="GQ7" s="50">
        <v>3.9529999999999998</v>
      </c>
      <c r="GR7" s="50">
        <v>0</v>
      </c>
      <c r="GS7" s="50">
        <v>4.72</v>
      </c>
      <c r="GT7" s="50">
        <v>0</v>
      </c>
      <c r="GU7" s="50">
        <v>3.8940000000000001</v>
      </c>
      <c r="GV7" s="50">
        <v>0</v>
      </c>
      <c r="GW7" s="50">
        <v>1.0999999999999999E-2</v>
      </c>
      <c r="GX7" s="50">
        <v>19.501999999999999</v>
      </c>
      <c r="GY7" s="50">
        <v>0</v>
      </c>
      <c r="GZ7" s="49">
        <v>12.454000000000001</v>
      </c>
      <c r="HA7" s="50">
        <v>19.600000000000001</v>
      </c>
      <c r="HB7" s="50">
        <v>1</v>
      </c>
      <c r="HC7" s="50">
        <v>38.941000000000003</v>
      </c>
      <c r="HD7" s="50">
        <v>86</v>
      </c>
      <c r="HE7" s="50">
        <v>0</v>
      </c>
      <c r="HF7" s="50">
        <v>0</v>
      </c>
      <c r="HG7" s="50">
        <v>88.04</v>
      </c>
      <c r="HH7" s="50">
        <v>77.650000000000006</v>
      </c>
      <c r="HI7" s="50">
        <v>0</v>
      </c>
      <c r="HJ7" s="50">
        <v>0</v>
      </c>
      <c r="HK7" s="50">
        <v>0</v>
      </c>
      <c r="HL7" s="50">
        <v>62</v>
      </c>
      <c r="HM7" s="50">
        <v>51</v>
      </c>
      <c r="HN7" s="49">
        <v>64</v>
      </c>
      <c r="HO7" s="49">
        <v>56</v>
      </c>
      <c r="HP7" s="49">
        <v>59</v>
      </c>
      <c r="HQ7" s="49">
        <v>57</v>
      </c>
      <c r="HR7" s="50">
        <v>55</v>
      </c>
      <c r="HS7" s="49">
        <v>58</v>
      </c>
      <c r="HT7" s="49">
        <v>-1.4444999999999999</v>
      </c>
      <c r="HU7" s="50">
        <v>0</v>
      </c>
      <c r="HV7" s="49">
        <v>0.497</v>
      </c>
      <c r="HW7" s="50">
        <v>36.85</v>
      </c>
      <c r="HX7" s="50">
        <v>42.22</v>
      </c>
      <c r="HY7" s="3"/>
      <c r="HZ7" s="3"/>
      <c r="IA7" s="49">
        <v>2.589</v>
      </c>
      <c r="IB7" s="49">
        <v>96</v>
      </c>
      <c r="IC7" s="49">
        <v>16.544</v>
      </c>
      <c r="ID7" s="50">
        <v>-0.34799999999999998</v>
      </c>
      <c r="IE7" s="49">
        <v>-0.193</v>
      </c>
      <c r="IF7" s="49">
        <v>801.3</v>
      </c>
      <c r="IG7" s="49">
        <v>668</v>
      </c>
      <c r="IH7" s="49">
        <v>809</v>
      </c>
      <c r="II7" s="49">
        <v>674.8</v>
      </c>
      <c r="IJ7" s="50">
        <v>-3.2000000000000001E-2</v>
      </c>
      <c r="IK7" s="49">
        <v>4.4999999999999998E-2</v>
      </c>
      <c r="IL7" s="50">
        <v>234.11799999999999</v>
      </c>
      <c r="IM7" s="50">
        <v>233.958</v>
      </c>
      <c r="IN7" s="49">
        <v>8.5009999999999994</v>
      </c>
      <c r="IO7" s="49">
        <v>0.249</v>
      </c>
      <c r="IP7" s="50">
        <v>9.16</v>
      </c>
      <c r="IQ7" s="50">
        <v>1.4999999999999999E-2</v>
      </c>
      <c r="IR7" s="49">
        <v>1E-3</v>
      </c>
    </row>
    <row r="8" spans="2:252" x14ac:dyDescent="0.25">
      <c r="B8" s="2" t="s">
        <v>412</v>
      </c>
      <c r="C8" s="2" t="s">
        <v>42</v>
      </c>
      <c r="D8" s="61">
        <v>2.4775462962962963E-3</v>
      </c>
      <c r="E8" s="49">
        <v>214.1</v>
      </c>
      <c r="F8" s="49">
        <v>333</v>
      </c>
      <c r="G8" s="49">
        <v>6.03</v>
      </c>
      <c r="H8" s="49">
        <v>25.4</v>
      </c>
      <c r="I8" s="49">
        <v>0</v>
      </c>
      <c r="J8" s="49">
        <v>12.9</v>
      </c>
      <c r="K8" s="50">
        <v>6</v>
      </c>
      <c r="L8" s="50">
        <v>6</v>
      </c>
      <c r="M8" s="50">
        <v>7</v>
      </c>
      <c r="N8" s="49">
        <v>2</v>
      </c>
      <c r="O8" s="50">
        <v>3</v>
      </c>
      <c r="P8" s="49">
        <v>0.754</v>
      </c>
      <c r="Q8" s="49">
        <v>1.337</v>
      </c>
      <c r="R8" s="49">
        <v>0.61699999999999999</v>
      </c>
      <c r="S8" s="50">
        <v>0.71099999999999997</v>
      </c>
      <c r="T8" s="49">
        <v>84.45</v>
      </c>
      <c r="U8" s="49">
        <v>60.088000000000001</v>
      </c>
      <c r="V8" s="49">
        <v>225</v>
      </c>
      <c r="W8" s="49">
        <v>245</v>
      </c>
      <c r="X8" s="49">
        <v>185</v>
      </c>
      <c r="Y8" s="49">
        <v>225</v>
      </c>
      <c r="Z8" s="50">
        <v>377.59</v>
      </c>
      <c r="AA8" s="50">
        <v>397.02</v>
      </c>
      <c r="AB8" s="50">
        <v>312.33999999999997</v>
      </c>
      <c r="AC8" s="50">
        <v>381.34</v>
      </c>
      <c r="AD8" s="49">
        <v>1.8069999999999999</v>
      </c>
      <c r="AE8" s="49">
        <v>1.8740000000000001</v>
      </c>
      <c r="AF8" s="49">
        <v>1.8460000000000001</v>
      </c>
      <c r="AG8" s="49">
        <v>1.9159999999999999</v>
      </c>
      <c r="AH8" s="49">
        <v>75.739999999999995</v>
      </c>
      <c r="AI8" s="49">
        <v>70.14</v>
      </c>
      <c r="AJ8" s="49">
        <v>103.83</v>
      </c>
      <c r="AK8" s="49">
        <v>103.79</v>
      </c>
      <c r="AL8" s="50">
        <v>702.18299999999999</v>
      </c>
      <c r="AM8" s="49">
        <v>678.93600000000004</v>
      </c>
      <c r="AN8" s="50">
        <v>937.13099999999997</v>
      </c>
      <c r="AO8" s="49">
        <v>845.59199999999998</v>
      </c>
      <c r="AP8" s="49">
        <v>1.4279999999999999</v>
      </c>
      <c r="AQ8" s="49">
        <v>1.9039999999999999</v>
      </c>
      <c r="AR8" s="49">
        <v>40.259</v>
      </c>
      <c r="AS8" s="49">
        <v>36.529000000000003</v>
      </c>
      <c r="AT8" s="50">
        <v>83</v>
      </c>
      <c r="AU8" s="49">
        <v>112</v>
      </c>
      <c r="AV8" s="49">
        <v>1.3839999999999999</v>
      </c>
      <c r="AW8" s="49">
        <v>4.7845000000000004</v>
      </c>
      <c r="AX8" s="49">
        <v>1015.9</v>
      </c>
      <c r="AY8" s="49">
        <v>2.4500000000000002</v>
      </c>
      <c r="AZ8" s="49">
        <v>4.87</v>
      </c>
      <c r="BA8" s="49">
        <v>69.813999999999993</v>
      </c>
      <c r="BB8" s="49">
        <v>69.096999999999994</v>
      </c>
      <c r="BC8" s="49">
        <v>7734</v>
      </c>
      <c r="BD8" s="49">
        <v>88.25</v>
      </c>
      <c r="BE8" s="50">
        <v>16.684999999999999</v>
      </c>
      <c r="BF8" s="49">
        <v>11.715</v>
      </c>
      <c r="BG8" s="49">
        <v>29.09</v>
      </c>
      <c r="BH8" s="49">
        <v>28.46</v>
      </c>
      <c r="BI8" s="3"/>
      <c r="BJ8" s="3"/>
      <c r="BK8" s="3"/>
      <c r="BL8" s="3"/>
      <c r="BM8" s="3"/>
      <c r="BN8" s="49">
        <v>95.671999999999997</v>
      </c>
      <c r="BO8" s="49">
        <v>95.896000000000001</v>
      </c>
      <c r="BP8" s="49">
        <v>124.84</v>
      </c>
      <c r="BQ8" s="49">
        <v>129.08000000000001</v>
      </c>
      <c r="BR8" s="3"/>
      <c r="BS8" s="49">
        <v>25.1</v>
      </c>
      <c r="BT8" s="49">
        <v>7328.8860000000004</v>
      </c>
      <c r="BU8" s="50">
        <v>49.433</v>
      </c>
      <c r="BV8" s="49">
        <v>52.183</v>
      </c>
      <c r="BW8" s="49">
        <v>52.107999999999997</v>
      </c>
      <c r="BX8" s="50">
        <v>55.768000000000001</v>
      </c>
      <c r="BY8" s="49">
        <v>1.399</v>
      </c>
      <c r="BZ8" s="49">
        <v>3.0209999999999999</v>
      </c>
      <c r="CA8" s="49">
        <v>3.8879999999999999</v>
      </c>
      <c r="CB8" s="50">
        <v>4.0949999999999998</v>
      </c>
      <c r="CC8" s="50">
        <v>1.3380000000000001</v>
      </c>
      <c r="CD8" s="50">
        <v>2.4300000000000002</v>
      </c>
      <c r="CE8" s="49">
        <v>1.371</v>
      </c>
      <c r="CF8" s="50">
        <v>2.25</v>
      </c>
      <c r="CG8" s="49">
        <v>13.733000000000001</v>
      </c>
      <c r="CH8" s="49">
        <v>13.6</v>
      </c>
      <c r="CI8" s="49">
        <v>4.5410000000000004</v>
      </c>
      <c r="CJ8" s="50">
        <v>3.7280000000000002</v>
      </c>
      <c r="CK8" s="50">
        <v>1.659</v>
      </c>
      <c r="CL8" s="49">
        <v>0</v>
      </c>
      <c r="CM8" s="49">
        <v>0.1</v>
      </c>
      <c r="CN8" s="50">
        <v>0</v>
      </c>
      <c r="CO8" s="50">
        <v>0</v>
      </c>
      <c r="CP8" s="49">
        <v>86.918999999999997</v>
      </c>
      <c r="CQ8" s="49">
        <v>88.278999999999996</v>
      </c>
      <c r="CR8" s="49">
        <v>110.631</v>
      </c>
      <c r="CS8" s="49">
        <v>116.056</v>
      </c>
      <c r="CT8" s="49">
        <v>0.28599999999999998</v>
      </c>
      <c r="CU8" s="50">
        <v>1.099</v>
      </c>
      <c r="CV8" s="49">
        <v>1.2</v>
      </c>
      <c r="CW8" s="49">
        <v>1.2010000000000001</v>
      </c>
      <c r="CX8" s="49">
        <v>1.4</v>
      </c>
      <c r="CY8" s="49">
        <v>0.499</v>
      </c>
      <c r="CZ8" s="49">
        <v>1.0980000000000001</v>
      </c>
      <c r="DA8" s="49">
        <v>0.4</v>
      </c>
      <c r="DB8" s="50">
        <v>2.2010000000000001</v>
      </c>
      <c r="DC8" s="50">
        <v>0</v>
      </c>
      <c r="DD8" s="50">
        <v>0</v>
      </c>
      <c r="DE8" s="49">
        <v>0.26</v>
      </c>
      <c r="DF8" s="49">
        <v>7.9000000000000001E-2</v>
      </c>
      <c r="DG8" s="50">
        <v>0.81</v>
      </c>
      <c r="DH8" s="50">
        <v>2.0390000000000001</v>
      </c>
      <c r="DI8" s="50">
        <v>1.357</v>
      </c>
      <c r="DJ8" s="49">
        <v>0.249</v>
      </c>
      <c r="DK8" s="49">
        <v>0.84099999999999997</v>
      </c>
      <c r="DL8" s="49">
        <v>0.41499999999999998</v>
      </c>
      <c r="DM8" s="50">
        <v>0.51100000000000001</v>
      </c>
      <c r="DN8" s="50">
        <v>0.65500000000000003</v>
      </c>
      <c r="DO8" s="50">
        <v>0.433</v>
      </c>
      <c r="DP8" s="49">
        <v>64.882999999999996</v>
      </c>
      <c r="DQ8" s="49">
        <v>59.253</v>
      </c>
      <c r="DR8" s="49">
        <v>54.563000000000002</v>
      </c>
      <c r="DS8" s="49">
        <v>50.368000000000002</v>
      </c>
      <c r="DT8" s="49">
        <v>6.53</v>
      </c>
      <c r="DU8" s="49">
        <v>6.34</v>
      </c>
      <c r="DV8" s="49">
        <v>11.92</v>
      </c>
      <c r="DW8" s="49">
        <v>9.3699999999999992</v>
      </c>
      <c r="DX8" s="49">
        <v>7.04</v>
      </c>
      <c r="DY8" s="49">
        <v>6.64</v>
      </c>
      <c r="DZ8" s="49">
        <v>11.37</v>
      </c>
      <c r="EA8" s="49">
        <v>8.99</v>
      </c>
      <c r="EB8" s="50">
        <v>42.71</v>
      </c>
      <c r="EC8" s="50">
        <v>42.31</v>
      </c>
      <c r="ED8" s="50">
        <v>34.54</v>
      </c>
      <c r="EE8" s="50">
        <v>37.79</v>
      </c>
      <c r="EF8" s="49">
        <v>43.72</v>
      </c>
      <c r="EG8" s="49">
        <v>44.7</v>
      </c>
      <c r="EH8" s="49">
        <v>42.17</v>
      </c>
      <c r="EI8" s="49">
        <v>43.86</v>
      </c>
      <c r="EJ8" s="49">
        <v>6.6420000000000003</v>
      </c>
      <c r="EK8" s="49">
        <v>62.902999999999999</v>
      </c>
      <c r="EL8" s="49">
        <v>2.25</v>
      </c>
      <c r="EM8" s="49">
        <v>1.9</v>
      </c>
      <c r="EN8" s="49">
        <v>1.17</v>
      </c>
      <c r="EO8" s="49">
        <v>1.18</v>
      </c>
      <c r="EP8" s="49">
        <v>-97.754000000000005</v>
      </c>
      <c r="EQ8" s="49">
        <v>-2.38</v>
      </c>
      <c r="ER8" s="49">
        <v>95.841999999999999</v>
      </c>
      <c r="ES8" s="50">
        <v>1.5209999999999999</v>
      </c>
      <c r="ET8" s="49">
        <v>1.61</v>
      </c>
      <c r="EU8" s="50">
        <v>1.4670000000000001</v>
      </c>
      <c r="EV8" s="49">
        <v>7.9279999999999999</v>
      </c>
      <c r="EW8" s="50">
        <v>3.6539999999999999</v>
      </c>
      <c r="EX8" s="49">
        <v>73.66</v>
      </c>
      <c r="EY8" s="49">
        <v>0</v>
      </c>
      <c r="EZ8" s="49">
        <v>0</v>
      </c>
      <c r="FA8" s="50">
        <v>0</v>
      </c>
      <c r="FB8" s="49">
        <v>8.9469999999999992</v>
      </c>
      <c r="FC8" s="49">
        <v>72.39</v>
      </c>
      <c r="FD8" s="49">
        <v>69.539000000000001</v>
      </c>
      <c r="FE8" s="49">
        <v>80.549000000000007</v>
      </c>
      <c r="FF8" s="49">
        <v>78.122</v>
      </c>
      <c r="FG8" s="49">
        <v>0.91300000000000003</v>
      </c>
      <c r="FH8" s="49">
        <v>0.91300000000000003</v>
      </c>
      <c r="FI8" s="49">
        <v>0.995</v>
      </c>
      <c r="FJ8" s="49">
        <v>1</v>
      </c>
      <c r="FK8" s="49">
        <v>0</v>
      </c>
      <c r="FL8" s="50">
        <v>83</v>
      </c>
      <c r="FM8" s="49">
        <v>3.92</v>
      </c>
      <c r="FN8" s="49">
        <v>1.33</v>
      </c>
      <c r="FO8" s="49">
        <v>4.9800000000000004</v>
      </c>
      <c r="FP8" s="3"/>
      <c r="FQ8" s="49">
        <v>4.55</v>
      </c>
      <c r="FR8" s="49">
        <v>5</v>
      </c>
      <c r="FS8" s="50">
        <v>6.6040000000000001</v>
      </c>
      <c r="FT8" s="49">
        <v>1075.8</v>
      </c>
      <c r="FU8" s="49">
        <v>6.09</v>
      </c>
      <c r="FV8" s="49">
        <v>11.76</v>
      </c>
      <c r="FW8" s="49">
        <v>3014</v>
      </c>
      <c r="FX8" s="50">
        <v>163600</v>
      </c>
      <c r="FY8" s="49">
        <v>163600</v>
      </c>
      <c r="FZ8" s="49">
        <v>47.302</v>
      </c>
      <c r="GA8" s="49">
        <v>47.9</v>
      </c>
      <c r="GB8" s="49">
        <v>2166.1</v>
      </c>
      <c r="GC8" s="50">
        <v>2167.5</v>
      </c>
      <c r="GD8" s="49">
        <v>2295.4</v>
      </c>
      <c r="GE8" s="49">
        <v>2219.1999999999998</v>
      </c>
      <c r="GF8" s="49">
        <v>1329.7344000000001</v>
      </c>
      <c r="GG8" s="49">
        <v>29</v>
      </c>
      <c r="GH8" s="49">
        <v>29.3</v>
      </c>
      <c r="GI8" s="49">
        <v>48</v>
      </c>
      <c r="GJ8" s="49">
        <v>53.6</v>
      </c>
      <c r="GK8" s="49">
        <v>99.5</v>
      </c>
      <c r="GL8" s="49">
        <v>109.8</v>
      </c>
      <c r="GM8" s="50">
        <v>0</v>
      </c>
      <c r="GN8" s="49">
        <v>23.864000000000001</v>
      </c>
      <c r="GO8" s="49">
        <v>97.754000000000005</v>
      </c>
      <c r="GP8" s="49">
        <v>1.0029999999999999</v>
      </c>
      <c r="GQ8" s="49">
        <v>1.8879999999999999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50">
        <v>0</v>
      </c>
      <c r="GW8" s="49">
        <v>0</v>
      </c>
      <c r="GX8" s="49">
        <v>0</v>
      </c>
      <c r="GY8" s="49">
        <v>11.956</v>
      </c>
      <c r="GZ8" s="50">
        <v>13.557</v>
      </c>
      <c r="HA8" s="49">
        <v>15.778</v>
      </c>
      <c r="HB8" s="49">
        <v>0</v>
      </c>
      <c r="HC8" s="49">
        <v>36.207000000000001</v>
      </c>
      <c r="HD8" s="49">
        <v>78</v>
      </c>
      <c r="HE8" s="50">
        <v>0</v>
      </c>
      <c r="HF8" s="50">
        <v>0</v>
      </c>
      <c r="HG8" s="49">
        <v>72.260000000000005</v>
      </c>
      <c r="HH8" s="49">
        <v>77.13</v>
      </c>
      <c r="HI8" s="50">
        <v>0</v>
      </c>
      <c r="HJ8" s="50">
        <v>0</v>
      </c>
      <c r="HK8" s="50">
        <v>0</v>
      </c>
      <c r="HL8" s="49">
        <v>55</v>
      </c>
      <c r="HM8" s="50">
        <v>51</v>
      </c>
      <c r="HN8" s="49">
        <v>64</v>
      </c>
      <c r="HO8" s="49">
        <v>57</v>
      </c>
      <c r="HP8" s="49">
        <v>60</v>
      </c>
      <c r="HQ8" s="50">
        <v>59</v>
      </c>
      <c r="HR8" s="49">
        <v>54</v>
      </c>
      <c r="HS8" s="49">
        <v>62</v>
      </c>
      <c r="HT8" s="49">
        <v>-1.454</v>
      </c>
      <c r="HU8" s="50">
        <v>0</v>
      </c>
      <c r="HV8" s="49">
        <v>1.206</v>
      </c>
      <c r="HW8" s="50">
        <v>36.85</v>
      </c>
      <c r="HX8" s="50">
        <v>42.22</v>
      </c>
      <c r="HY8" s="50">
        <v>51.09</v>
      </c>
      <c r="HZ8" s="50">
        <v>51.09</v>
      </c>
      <c r="IA8" s="49">
        <v>2.7890000000000001</v>
      </c>
      <c r="IB8" s="49">
        <v>103</v>
      </c>
      <c r="IC8" s="49">
        <v>22.102</v>
      </c>
      <c r="ID8" s="49">
        <v>-0.50700000000000001</v>
      </c>
      <c r="IE8" s="49">
        <v>-0.26600000000000001</v>
      </c>
      <c r="IF8" s="49">
        <v>805.5</v>
      </c>
      <c r="IG8" s="50">
        <v>764.5</v>
      </c>
      <c r="IH8" s="49">
        <v>817.1</v>
      </c>
      <c r="II8" s="50">
        <v>775.6</v>
      </c>
      <c r="IJ8" s="49">
        <v>-0.06</v>
      </c>
      <c r="IK8" s="49">
        <v>4.9000000000000002E-2</v>
      </c>
      <c r="IL8" s="49">
        <v>72.873999999999995</v>
      </c>
      <c r="IM8" s="49">
        <v>72.873999999999995</v>
      </c>
      <c r="IN8" s="49">
        <v>11.125</v>
      </c>
      <c r="IO8" s="49">
        <v>0.442</v>
      </c>
      <c r="IP8" s="49">
        <v>8.84</v>
      </c>
      <c r="IQ8" s="49">
        <v>1.2E-2</v>
      </c>
      <c r="IR8" s="49">
        <v>0</v>
      </c>
    </row>
    <row r="9" spans="2:252" x14ac:dyDescent="0.25">
      <c r="B9" s="2" t="s">
        <v>412</v>
      </c>
      <c r="C9" s="62" t="s">
        <v>43</v>
      </c>
      <c r="D9" s="63">
        <v>2.4431712962962962E-3</v>
      </c>
      <c r="E9" s="49">
        <v>211.13</v>
      </c>
      <c r="F9" s="49">
        <v>330.24</v>
      </c>
      <c r="G9" s="50">
        <v>6.04</v>
      </c>
      <c r="H9" s="49">
        <v>25.7</v>
      </c>
      <c r="I9" s="49">
        <v>0</v>
      </c>
      <c r="J9" s="49">
        <v>13.5</v>
      </c>
      <c r="K9" s="50">
        <v>6</v>
      </c>
      <c r="L9" s="50">
        <v>6</v>
      </c>
      <c r="M9" s="50">
        <v>7</v>
      </c>
      <c r="N9" s="49">
        <v>2</v>
      </c>
      <c r="O9" s="50">
        <v>3</v>
      </c>
      <c r="P9" s="49">
        <v>0.57799999999999996</v>
      </c>
      <c r="Q9" s="49">
        <v>1.1910000000000001</v>
      </c>
      <c r="R9" s="49">
        <v>0.434</v>
      </c>
      <c r="S9" s="49">
        <v>0.373</v>
      </c>
      <c r="T9" s="50">
        <v>91.27</v>
      </c>
      <c r="U9" s="49">
        <v>60.052999999999997</v>
      </c>
      <c r="V9" s="49">
        <v>223.34</v>
      </c>
      <c r="W9" s="49">
        <v>243.34</v>
      </c>
      <c r="X9" s="49">
        <v>187.5</v>
      </c>
      <c r="Y9" s="49">
        <v>230</v>
      </c>
      <c r="Z9" s="49">
        <v>372.54</v>
      </c>
      <c r="AA9" s="49">
        <v>390.41</v>
      </c>
      <c r="AB9" s="49">
        <v>303.69</v>
      </c>
      <c r="AC9" s="49">
        <v>375.01</v>
      </c>
      <c r="AD9" s="49">
        <v>1.8</v>
      </c>
      <c r="AE9" s="49">
        <v>1.8560000000000001</v>
      </c>
      <c r="AF9" s="49">
        <v>1.877</v>
      </c>
      <c r="AG9" s="49">
        <v>1.944</v>
      </c>
      <c r="AH9" s="49">
        <v>75.88</v>
      </c>
      <c r="AI9" s="49">
        <v>69.739999999999995</v>
      </c>
      <c r="AJ9" s="49">
        <v>109.39</v>
      </c>
      <c r="AK9" s="49">
        <v>108.93</v>
      </c>
      <c r="AL9" s="49">
        <v>674.50400000000002</v>
      </c>
      <c r="AM9" s="50">
        <v>698.51099999999997</v>
      </c>
      <c r="AN9" s="49">
        <v>894.61500000000001</v>
      </c>
      <c r="AO9" s="50">
        <v>912.87699999999995</v>
      </c>
      <c r="AP9" s="49">
        <v>1.421</v>
      </c>
      <c r="AQ9" s="49">
        <v>1.8839999999999999</v>
      </c>
      <c r="AR9" s="49">
        <v>40.74</v>
      </c>
      <c r="AS9" s="49">
        <v>39.274000000000001</v>
      </c>
      <c r="AT9" s="50">
        <v>83</v>
      </c>
      <c r="AU9" s="49">
        <v>117</v>
      </c>
      <c r="AV9" s="50">
        <v>1.331</v>
      </c>
      <c r="AW9" s="49">
        <v>4.7579000000000002</v>
      </c>
      <c r="AX9" s="50">
        <v>1017</v>
      </c>
      <c r="AY9" s="49">
        <v>2.5</v>
      </c>
      <c r="AZ9" s="49">
        <v>5.07</v>
      </c>
      <c r="BA9" s="49">
        <v>128.19999999999999</v>
      </c>
      <c r="BB9" s="49">
        <v>127</v>
      </c>
      <c r="BC9" s="50">
        <v>7809</v>
      </c>
      <c r="BD9" s="50">
        <v>89.5</v>
      </c>
      <c r="BE9" s="49">
        <v>15.41</v>
      </c>
      <c r="BF9" s="50">
        <v>15.705</v>
      </c>
      <c r="BG9" s="50">
        <v>29.33</v>
      </c>
      <c r="BH9" s="49">
        <v>28.63</v>
      </c>
      <c r="BI9" s="3"/>
      <c r="BJ9" s="3"/>
      <c r="BK9" s="3"/>
      <c r="BL9" s="3"/>
      <c r="BM9" s="3"/>
      <c r="BN9" s="49">
        <v>97.24</v>
      </c>
      <c r="BO9" s="49">
        <v>97.784000000000006</v>
      </c>
      <c r="BP9" s="50">
        <v>128.93600000000001</v>
      </c>
      <c r="BQ9" s="50">
        <v>133.672</v>
      </c>
      <c r="BR9" s="3"/>
      <c r="BS9" s="49">
        <v>25.4</v>
      </c>
      <c r="BT9" s="49">
        <v>7366.5659999999998</v>
      </c>
      <c r="BU9" s="49">
        <v>48.503999999999998</v>
      </c>
      <c r="BV9" s="49">
        <v>50.57</v>
      </c>
      <c r="BW9" s="49">
        <v>52.442999999999998</v>
      </c>
      <c r="BX9" s="49">
        <v>53.673999999999999</v>
      </c>
      <c r="BY9" s="49">
        <v>1.48</v>
      </c>
      <c r="BZ9" s="50">
        <v>3.3410000000000002</v>
      </c>
      <c r="CA9" s="50">
        <v>4.1760000000000002</v>
      </c>
      <c r="CB9" s="49">
        <v>3.597</v>
      </c>
      <c r="CC9" s="49">
        <v>1.222</v>
      </c>
      <c r="CD9" s="49">
        <v>2.4249999999999998</v>
      </c>
      <c r="CE9" s="49">
        <v>1.3580000000000001</v>
      </c>
      <c r="CF9" s="49">
        <v>2.0680000000000001</v>
      </c>
      <c r="CG9" s="49">
        <v>13.727</v>
      </c>
      <c r="CH9" s="49">
        <v>13.542999999999999</v>
      </c>
      <c r="CI9" s="49">
        <v>4.3419999999999996</v>
      </c>
      <c r="CJ9" s="49">
        <v>3.407</v>
      </c>
      <c r="CK9" s="49">
        <v>1.5529999999999999</v>
      </c>
      <c r="CL9" s="49">
        <v>0.1</v>
      </c>
      <c r="CM9" s="50">
        <v>0.9</v>
      </c>
      <c r="CN9" s="50">
        <v>0</v>
      </c>
      <c r="CO9" s="50">
        <v>0</v>
      </c>
      <c r="CP9" s="49">
        <v>92.492999999999995</v>
      </c>
      <c r="CQ9" s="49">
        <v>93.641000000000005</v>
      </c>
      <c r="CR9" s="50">
        <v>121.28</v>
      </c>
      <c r="CS9" s="50">
        <v>127.18</v>
      </c>
      <c r="CT9" s="49">
        <v>0.33600000000000002</v>
      </c>
      <c r="CU9" s="49">
        <v>0.79900000000000004</v>
      </c>
      <c r="CV9" s="49">
        <v>1.5009999999999999</v>
      </c>
      <c r="CW9" s="49">
        <v>1.2010000000000001</v>
      </c>
      <c r="CX9" s="50">
        <v>2</v>
      </c>
      <c r="CY9" s="50">
        <v>1.5980000000000001</v>
      </c>
      <c r="CZ9" s="49">
        <v>1.296</v>
      </c>
      <c r="DA9" s="50">
        <v>1.3959999999999999</v>
      </c>
      <c r="DB9" s="49">
        <v>1.7989999999999999</v>
      </c>
      <c r="DC9" s="50">
        <v>0</v>
      </c>
      <c r="DD9" s="50">
        <v>0</v>
      </c>
      <c r="DE9" s="49">
        <v>0.20300000000000001</v>
      </c>
      <c r="DF9" s="49">
        <v>7.4999999999999997E-2</v>
      </c>
      <c r="DG9" s="49">
        <v>0.76800000000000002</v>
      </c>
      <c r="DH9" s="49">
        <v>1.784</v>
      </c>
      <c r="DI9" s="49">
        <v>0.99199999999999999</v>
      </c>
      <c r="DJ9" s="49">
        <v>0.217</v>
      </c>
      <c r="DK9" s="49">
        <v>0.96499999999999997</v>
      </c>
      <c r="DL9" s="49">
        <v>0.41699999999999998</v>
      </c>
      <c r="DM9" s="49">
        <v>0.16900000000000001</v>
      </c>
      <c r="DN9" s="49">
        <v>-2.3170000000000002</v>
      </c>
      <c r="DO9" s="49">
        <v>0.32600000000000001</v>
      </c>
      <c r="DP9" s="50">
        <v>67.796000000000006</v>
      </c>
      <c r="DQ9" s="49">
        <v>58.35</v>
      </c>
      <c r="DR9" s="50">
        <v>54.826000000000001</v>
      </c>
      <c r="DS9" s="50">
        <v>50.595999999999997</v>
      </c>
      <c r="DT9" s="50">
        <v>6.76</v>
      </c>
      <c r="DU9" s="50">
        <v>7.06</v>
      </c>
      <c r="DV9" s="50">
        <v>12.41</v>
      </c>
      <c r="DW9" s="50">
        <v>9.9700000000000006</v>
      </c>
      <c r="DX9" s="50">
        <v>7.14</v>
      </c>
      <c r="DY9" s="50">
        <v>7.19</v>
      </c>
      <c r="DZ9" s="50">
        <v>12</v>
      </c>
      <c r="EA9" s="50">
        <v>9.8699999999999992</v>
      </c>
      <c r="EB9" s="49">
        <v>42.1</v>
      </c>
      <c r="EC9" s="49">
        <v>40.700000000000003</v>
      </c>
      <c r="ED9" s="49">
        <v>34.29</v>
      </c>
      <c r="EE9" s="49">
        <v>36.92</v>
      </c>
      <c r="EF9" s="49">
        <v>44</v>
      </c>
      <c r="EG9" s="49">
        <v>45.06</v>
      </c>
      <c r="EH9" s="49">
        <v>41.29</v>
      </c>
      <c r="EI9" s="49">
        <v>43.25</v>
      </c>
      <c r="EJ9" s="49">
        <v>7.0289999999999999</v>
      </c>
      <c r="EK9" s="50">
        <v>62.969000000000001</v>
      </c>
      <c r="EL9" s="49">
        <v>2.2999999999999998</v>
      </c>
      <c r="EM9" s="49">
        <v>1.85</v>
      </c>
      <c r="EN9" s="49">
        <v>1.18</v>
      </c>
      <c r="EO9" s="49">
        <v>1.19</v>
      </c>
      <c r="EP9" s="49">
        <v>-101.842</v>
      </c>
      <c r="EQ9" s="49">
        <v>-2.3140000000000001</v>
      </c>
      <c r="ER9" s="50">
        <v>114.238</v>
      </c>
      <c r="ES9" s="49">
        <v>1.4690000000000001</v>
      </c>
      <c r="ET9" s="50">
        <v>1.6140000000000001</v>
      </c>
      <c r="EU9" s="49">
        <v>1.417</v>
      </c>
      <c r="EV9" s="49">
        <v>7.8940000000000001</v>
      </c>
      <c r="EW9" s="49">
        <v>3.5720000000000001</v>
      </c>
      <c r="EX9" s="50">
        <v>74.28</v>
      </c>
      <c r="EY9" s="49">
        <v>0</v>
      </c>
      <c r="EZ9" s="49">
        <v>0</v>
      </c>
      <c r="FA9" s="50">
        <v>0</v>
      </c>
      <c r="FB9" s="49">
        <v>8.9510000000000005</v>
      </c>
      <c r="FC9" s="49">
        <v>70.614999999999995</v>
      </c>
      <c r="FD9" s="49">
        <v>65.813999999999993</v>
      </c>
      <c r="FE9" s="49">
        <v>83.036000000000001</v>
      </c>
      <c r="FF9" s="49">
        <v>80.228999999999999</v>
      </c>
      <c r="FG9" s="49">
        <v>0.91600000000000004</v>
      </c>
      <c r="FH9" s="49">
        <v>0.91700000000000004</v>
      </c>
      <c r="FI9" s="49">
        <v>0.99399999999999999</v>
      </c>
      <c r="FJ9" s="49">
        <v>0.999</v>
      </c>
      <c r="FK9" s="49">
        <v>0</v>
      </c>
      <c r="FL9" s="50">
        <v>83</v>
      </c>
      <c r="FM9" s="49">
        <v>3.98</v>
      </c>
      <c r="FN9" s="49">
        <v>2.58</v>
      </c>
      <c r="FO9" s="50">
        <v>4.29</v>
      </c>
      <c r="FP9" s="3"/>
      <c r="FQ9" s="49">
        <v>4.55</v>
      </c>
      <c r="FR9" s="49">
        <v>5.05</v>
      </c>
      <c r="FS9" s="49">
        <v>6.4995000000000003</v>
      </c>
      <c r="FT9" s="50">
        <v>1077.4000000000001</v>
      </c>
      <c r="FU9" s="50">
        <v>6.53</v>
      </c>
      <c r="FV9" s="49">
        <v>17.8</v>
      </c>
      <c r="FW9" s="49">
        <v>2990.5</v>
      </c>
      <c r="FX9" s="49">
        <v>161800</v>
      </c>
      <c r="FY9" s="49">
        <v>162200</v>
      </c>
      <c r="FZ9" s="49">
        <v>46.904000000000003</v>
      </c>
      <c r="GA9" s="49">
        <v>47.741999999999997</v>
      </c>
      <c r="GB9" s="49">
        <v>2218.3000000000002</v>
      </c>
      <c r="GC9" s="49">
        <v>2146.1999999999998</v>
      </c>
      <c r="GD9" s="49">
        <v>2265.3000000000002</v>
      </c>
      <c r="GE9" s="50">
        <v>2266.1999999999998</v>
      </c>
      <c r="GF9" s="50">
        <v>1528.5313000000001</v>
      </c>
      <c r="GG9" s="49">
        <v>30</v>
      </c>
      <c r="GH9" s="49">
        <v>29.8</v>
      </c>
      <c r="GI9" s="49">
        <v>45.8</v>
      </c>
      <c r="GJ9" s="49">
        <v>50.6</v>
      </c>
      <c r="GK9" s="49">
        <v>99.5</v>
      </c>
      <c r="GL9" s="50">
        <v>110.7</v>
      </c>
      <c r="GM9" s="50">
        <v>0</v>
      </c>
      <c r="GN9" s="49">
        <v>24.25</v>
      </c>
      <c r="GO9" s="50">
        <v>114.238</v>
      </c>
      <c r="GP9" s="49">
        <v>0.47199999999999998</v>
      </c>
      <c r="GQ9" s="49">
        <v>1.8879999999999999</v>
      </c>
      <c r="GR9" s="49">
        <v>1.2390000000000001</v>
      </c>
      <c r="GS9" s="49">
        <v>1.9470000000000001</v>
      </c>
      <c r="GT9" s="49">
        <v>0.70799999999999996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11.76</v>
      </c>
      <c r="GZ9" s="49">
        <v>13.548</v>
      </c>
      <c r="HA9" s="49">
        <v>14.896000000000001</v>
      </c>
      <c r="HB9" s="49">
        <v>0</v>
      </c>
      <c r="HC9" s="49">
        <v>36.398000000000003</v>
      </c>
      <c r="HD9" s="49">
        <v>82</v>
      </c>
      <c r="HE9" s="50">
        <v>0</v>
      </c>
      <c r="HF9" s="50">
        <v>0</v>
      </c>
      <c r="HG9" s="49">
        <v>67.400000000000006</v>
      </c>
      <c r="HH9" s="49">
        <v>76.739999999999995</v>
      </c>
      <c r="HI9" s="50">
        <v>0</v>
      </c>
      <c r="HJ9" s="50">
        <v>0</v>
      </c>
      <c r="HK9" s="50">
        <v>0</v>
      </c>
      <c r="HL9" s="49">
        <v>56</v>
      </c>
      <c r="HM9" s="49">
        <v>50</v>
      </c>
      <c r="HN9" s="49">
        <v>64</v>
      </c>
      <c r="HO9" s="50">
        <v>58</v>
      </c>
      <c r="HP9" s="49">
        <v>61</v>
      </c>
      <c r="HQ9" s="50">
        <v>59</v>
      </c>
      <c r="HR9" s="49">
        <v>54</v>
      </c>
      <c r="HS9" s="49">
        <v>62</v>
      </c>
      <c r="HT9" s="50">
        <v>-1.476</v>
      </c>
      <c r="HU9" s="50">
        <v>0</v>
      </c>
      <c r="HV9" s="50">
        <v>1.3320000000000001</v>
      </c>
      <c r="HW9" s="49">
        <v>37.61</v>
      </c>
      <c r="HX9" s="49">
        <v>44.39</v>
      </c>
      <c r="HY9" s="49">
        <v>50.68</v>
      </c>
      <c r="HZ9" s="49">
        <v>50.68</v>
      </c>
      <c r="IA9" s="50">
        <v>2.859</v>
      </c>
      <c r="IB9" s="50">
        <v>104</v>
      </c>
      <c r="IC9" s="50">
        <v>22.375</v>
      </c>
      <c r="ID9" s="49">
        <v>-0.45100000000000001</v>
      </c>
      <c r="IE9" s="49">
        <v>-0.23</v>
      </c>
      <c r="IF9" s="50">
        <v>807.6</v>
      </c>
      <c r="IG9" s="49">
        <v>760.4</v>
      </c>
      <c r="IH9" s="49">
        <v>814.1</v>
      </c>
      <c r="II9" s="49">
        <v>771.8</v>
      </c>
      <c r="IJ9" s="49">
        <v>-9.9000000000000005E-2</v>
      </c>
      <c r="IK9" s="50">
        <v>6.3E-2</v>
      </c>
      <c r="IL9" s="49">
        <v>72.069999999999993</v>
      </c>
      <c r="IM9" s="49">
        <v>72.069999999999993</v>
      </c>
      <c r="IN9" s="49">
        <v>11.542</v>
      </c>
      <c r="IO9" s="50">
        <v>0.53100000000000003</v>
      </c>
      <c r="IP9" s="49">
        <v>8.9499999999999993</v>
      </c>
      <c r="IQ9" s="49">
        <v>0.01</v>
      </c>
      <c r="IR9" s="50">
        <v>7.0000000000000001E-3</v>
      </c>
    </row>
    <row r="10" spans="2:252" x14ac:dyDescent="0.25">
      <c r="B10" s="2" t="s">
        <v>412</v>
      </c>
      <c r="C10" s="2" t="s">
        <v>44</v>
      </c>
      <c r="D10" s="61">
        <v>2.8603009259259259E-3</v>
      </c>
      <c r="E10" s="49">
        <v>247.13499999999999</v>
      </c>
      <c r="F10" s="50">
        <v>334.35</v>
      </c>
      <c r="G10" s="49">
        <v>5.76</v>
      </c>
      <c r="H10" s="50">
        <v>26</v>
      </c>
      <c r="I10" s="49">
        <v>0</v>
      </c>
      <c r="J10" s="49">
        <v>19.7</v>
      </c>
      <c r="K10" s="50">
        <v>6</v>
      </c>
      <c r="L10" s="50">
        <v>6</v>
      </c>
      <c r="M10" s="50">
        <v>7</v>
      </c>
      <c r="N10" s="50">
        <v>3</v>
      </c>
      <c r="O10" s="50">
        <v>3</v>
      </c>
      <c r="P10" s="49">
        <v>0.70899999999999996</v>
      </c>
      <c r="Q10" s="49">
        <v>1.448</v>
      </c>
      <c r="R10" s="49">
        <v>0.503</v>
      </c>
      <c r="S10" s="49">
        <v>0.48399999999999999</v>
      </c>
      <c r="T10" s="49">
        <v>83.06</v>
      </c>
      <c r="U10" s="49">
        <v>60.338000000000001</v>
      </c>
      <c r="V10" s="49">
        <v>231.66</v>
      </c>
      <c r="W10" s="49">
        <v>251.66</v>
      </c>
      <c r="X10" s="49">
        <v>175</v>
      </c>
      <c r="Y10" s="49">
        <v>221.66</v>
      </c>
      <c r="Z10" s="49">
        <v>361.01</v>
      </c>
      <c r="AA10" s="49">
        <v>376.94</v>
      </c>
      <c r="AB10" s="49">
        <v>270.36</v>
      </c>
      <c r="AC10" s="49">
        <v>338.84</v>
      </c>
      <c r="AD10" s="49">
        <v>1.7949999999999999</v>
      </c>
      <c r="AE10" s="49">
        <v>1.8580000000000001</v>
      </c>
      <c r="AF10" s="49">
        <v>1.889</v>
      </c>
      <c r="AG10" s="49">
        <v>1.9650000000000001</v>
      </c>
      <c r="AH10" s="50">
        <v>76.56</v>
      </c>
      <c r="AI10" s="49">
        <v>70.22</v>
      </c>
      <c r="AJ10" s="50">
        <v>110.17</v>
      </c>
      <c r="AK10" s="50">
        <v>111.08</v>
      </c>
      <c r="AL10" s="49">
        <v>666.33299999999997</v>
      </c>
      <c r="AM10" s="49">
        <v>675.40899999999999</v>
      </c>
      <c r="AN10" s="49">
        <v>866.96100000000001</v>
      </c>
      <c r="AO10" s="49">
        <v>847.84299999999996</v>
      </c>
      <c r="AP10" s="49">
        <v>1.41</v>
      </c>
      <c r="AQ10" s="49">
        <v>1.88</v>
      </c>
      <c r="AR10" s="49">
        <v>41.423999999999999</v>
      </c>
      <c r="AS10" s="50">
        <v>40.418999999999997</v>
      </c>
      <c r="AT10" s="50">
        <v>83</v>
      </c>
      <c r="AU10" s="50">
        <v>119</v>
      </c>
      <c r="AV10" s="49">
        <v>1.361</v>
      </c>
      <c r="AW10" s="49">
        <v>4.5216000000000003</v>
      </c>
      <c r="AX10" s="49">
        <v>1014.8</v>
      </c>
      <c r="AY10" s="49">
        <v>2.4700000000000002</v>
      </c>
      <c r="AZ10" s="49">
        <v>5.0599999999999996</v>
      </c>
      <c r="BA10" s="49">
        <v>95.513999999999996</v>
      </c>
      <c r="BB10" s="49">
        <v>99.313999999999993</v>
      </c>
      <c r="BC10" s="49">
        <v>7771</v>
      </c>
      <c r="BD10" s="50">
        <v>89.5</v>
      </c>
      <c r="BE10" s="49">
        <v>14.78</v>
      </c>
      <c r="BF10" s="49">
        <v>13.535</v>
      </c>
      <c r="BG10" s="49">
        <v>28.14</v>
      </c>
      <c r="BH10" s="50">
        <v>31.23</v>
      </c>
      <c r="BI10" s="49">
        <v>65.36</v>
      </c>
      <c r="BJ10" s="50">
        <v>79.491</v>
      </c>
      <c r="BK10" s="49">
        <v>63.866</v>
      </c>
      <c r="BL10" s="49">
        <v>76.787000000000006</v>
      </c>
      <c r="BM10" s="50">
        <v>77.677000000000007</v>
      </c>
      <c r="BN10" s="50">
        <v>109.176</v>
      </c>
      <c r="BO10" s="50">
        <v>109.08</v>
      </c>
      <c r="BP10" s="49">
        <v>125.8</v>
      </c>
      <c r="BQ10" s="49">
        <v>130.68</v>
      </c>
      <c r="BR10" s="50">
        <v>60.183</v>
      </c>
      <c r="BS10" s="50">
        <v>25.7</v>
      </c>
      <c r="BT10" s="50">
        <v>7391.5640000000003</v>
      </c>
      <c r="BU10" s="49">
        <v>48.085999999999999</v>
      </c>
      <c r="BV10" s="49">
        <v>52.14</v>
      </c>
      <c r="BW10" s="49">
        <v>51.101999999999997</v>
      </c>
      <c r="BX10" s="49">
        <v>53.19</v>
      </c>
      <c r="BY10" s="49">
        <v>1.601</v>
      </c>
      <c r="BZ10" s="49">
        <v>3.2890000000000001</v>
      </c>
      <c r="CA10" s="49">
        <v>3.0539999999999998</v>
      </c>
      <c r="CB10" s="49">
        <v>3.335</v>
      </c>
      <c r="CC10" s="49">
        <v>1.329</v>
      </c>
      <c r="CD10" s="49">
        <v>2.36</v>
      </c>
      <c r="CE10" s="49">
        <v>1.2769999999999999</v>
      </c>
      <c r="CF10" s="49">
        <v>2.0659999999999998</v>
      </c>
      <c r="CG10" s="50">
        <v>13.754</v>
      </c>
      <c r="CH10" s="49">
        <v>13.433</v>
      </c>
      <c r="CI10" s="3"/>
      <c r="CJ10" s="3"/>
      <c r="CK10" s="3"/>
      <c r="CL10" s="50">
        <v>0.2</v>
      </c>
      <c r="CM10" s="49">
        <v>0.4</v>
      </c>
      <c r="CN10" s="50">
        <v>0</v>
      </c>
      <c r="CO10" s="50">
        <v>0</v>
      </c>
      <c r="CP10" s="50">
        <v>94.141999999999996</v>
      </c>
      <c r="CQ10" s="50">
        <v>94.671999999999997</v>
      </c>
      <c r="CR10" s="49">
        <v>118.43</v>
      </c>
      <c r="CS10" s="49">
        <v>124.753</v>
      </c>
      <c r="CT10" s="49">
        <v>0.28499999999999998</v>
      </c>
      <c r="CU10" s="49">
        <v>1.0980000000000001</v>
      </c>
      <c r="CV10" s="50">
        <v>2.1</v>
      </c>
      <c r="CW10" s="49">
        <v>0.9</v>
      </c>
      <c r="CX10" s="49">
        <v>1.702</v>
      </c>
      <c r="CY10" s="49">
        <v>0.89800000000000002</v>
      </c>
      <c r="CZ10" s="49">
        <v>1.202</v>
      </c>
      <c r="DA10" s="49">
        <v>0.69899999999999995</v>
      </c>
      <c r="DB10" s="49">
        <v>1.1970000000000001</v>
      </c>
      <c r="DC10" s="50">
        <v>0</v>
      </c>
      <c r="DD10" s="50">
        <v>0</v>
      </c>
      <c r="DE10" s="49">
        <v>0.186</v>
      </c>
      <c r="DF10" s="49">
        <v>8.5999999999999993E-2</v>
      </c>
      <c r="DG10" s="49">
        <v>0.29199999999999998</v>
      </c>
      <c r="DH10" s="49">
        <v>1.52</v>
      </c>
      <c r="DI10" s="49">
        <v>0.88600000000000001</v>
      </c>
      <c r="DJ10" s="49">
        <v>1.9E-2</v>
      </c>
      <c r="DK10" s="49">
        <v>0.74199999999999999</v>
      </c>
      <c r="DL10" s="49">
        <v>0.41599999999999998</v>
      </c>
      <c r="DM10" s="49">
        <v>6.0999999999999999E-2</v>
      </c>
      <c r="DN10" s="49">
        <v>-11.182</v>
      </c>
      <c r="DO10" s="49">
        <v>0.30199999999999999</v>
      </c>
      <c r="DP10" s="49">
        <v>66.903999999999996</v>
      </c>
      <c r="DQ10" s="50">
        <v>61.429000000000002</v>
      </c>
      <c r="DR10" s="49">
        <v>53.887999999999998</v>
      </c>
      <c r="DS10" s="49">
        <v>50.424999999999997</v>
      </c>
      <c r="DT10" s="49">
        <v>5.85</v>
      </c>
      <c r="DU10" s="49">
        <v>5.94</v>
      </c>
      <c r="DV10" s="49">
        <v>10.7</v>
      </c>
      <c r="DW10" s="49">
        <v>8.69</v>
      </c>
      <c r="DX10" s="49">
        <v>6.09</v>
      </c>
      <c r="DY10" s="49">
        <v>6.17</v>
      </c>
      <c r="DZ10" s="49">
        <v>10.28</v>
      </c>
      <c r="EA10" s="49">
        <v>8.43</v>
      </c>
      <c r="EB10" s="49">
        <v>41.76</v>
      </c>
      <c r="EC10" s="49">
        <v>41.09</v>
      </c>
      <c r="ED10" s="49">
        <v>33.82</v>
      </c>
      <c r="EE10" s="49">
        <v>36.39</v>
      </c>
      <c r="EF10" s="49">
        <v>46.29</v>
      </c>
      <c r="EG10" s="49">
        <v>46.79</v>
      </c>
      <c r="EH10" s="49">
        <v>45.19</v>
      </c>
      <c r="EI10" s="49">
        <v>46.49</v>
      </c>
      <c r="EJ10" s="50">
        <v>7.1669999999999998</v>
      </c>
      <c r="EK10" s="49">
        <v>62.567999999999998</v>
      </c>
      <c r="EL10" s="50">
        <v>2.35</v>
      </c>
      <c r="EM10" s="49">
        <v>1.85</v>
      </c>
      <c r="EN10" s="50">
        <v>1.23</v>
      </c>
      <c r="EO10" s="50">
        <v>1.2</v>
      </c>
      <c r="EP10" s="50">
        <v>-103.886</v>
      </c>
      <c r="EQ10" s="49">
        <v>-2.2410000000000001</v>
      </c>
      <c r="ER10" s="49">
        <v>84.162000000000006</v>
      </c>
      <c r="ES10" s="49">
        <v>1.4410000000000001</v>
      </c>
      <c r="ET10" s="49">
        <v>1.5740000000000001</v>
      </c>
      <c r="EU10" s="49">
        <v>1.393</v>
      </c>
      <c r="EV10" s="49">
        <v>7.6280000000000001</v>
      </c>
      <c r="EW10" s="49">
        <v>3.4239999999999999</v>
      </c>
      <c r="EX10" s="49">
        <v>69.28</v>
      </c>
      <c r="EY10" s="49">
        <v>0.18</v>
      </c>
      <c r="EZ10" s="50">
        <v>1.7909999999999999</v>
      </c>
      <c r="FA10" s="50">
        <v>0</v>
      </c>
      <c r="FB10" s="50">
        <v>9.0459999999999994</v>
      </c>
      <c r="FC10" s="49">
        <v>70.378</v>
      </c>
      <c r="FD10" s="49">
        <v>65.165999999999997</v>
      </c>
      <c r="FE10" s="49">
        <v>84.025000000000006</v>
      </c>
      <c r="FF10" s="49">
        <v>81.611999999999995</v>
      </c>
      <c r="FG10" s="50">
        <v>0.97099999999999997</v>
      </c>
      <c r="FH10" s="49">
        <v>0.92400000000000004</v>
      </c>
      <c r="FI10" s="49">
        <v>0.995</v>
      </c>
      <c r="FJ10" s="49">
        <v>0.999</v>
      </c>
      <c r="FK10" s="49">
        <v>0</v>
      </c>
      <c r="FL10" s="50">
        <v>83</v>
      </c>
      <c r="FM10" s="50">
        <v>3.99</v>
      </c>
      <c r="FN10" s="49">
        <v>2.21</v>
      </c>
      <c r="FO10" s="49">
        <v>4.8099999999999996</v>
      </c>
      <c r="FP10" s="50">
        <v>3.7</v>
      </c>
      <c r="FQ10" s="49">
        <v>4.5</v>
      </c>
      <c r="FR10" s="50">
        <v>4.95</v>
      </c>
      <c r="FS10" s="49">
        <v>6.5774999999999997</v>
      </c>
      <c r="FT10" s="49">
        <v>1074</v>
      </c>
      <c r="FU10" s="49">
        <v>5.99</v>
      </c>
      <c r="FV10" s="50">
        <v>23.56</v>
      </c>
      <c r="FW10" s="49">
        <v>3058</v>
      </c>
      <c r="FX10" s="49">
        <v>163500</v>
      </c>
      <c r="FY10" s="50">
        <v>164700</v>
      </c>
      <c r="FZ10" s="49">
        <v>47.238999999999997</v>
      </c>
      <c r="GA10" s="49">
        <v>47.627000000000002</v>
      </c>
      <c r="GB10" s="50">
        <v>2301.1</v>
      </c>
      <c r="GC10" s="49">
        <v>2136.6</v>
      </c>
      <c r="GD10" s="50">
        <v>2358.3000000000002</v>
      </c>
      <c r="GE10" s="49">
        <v>2224.9</v>
      </c>
      <c r="GF10" s="49">
        <v>1268.5</v>
      </c>
      <c r="GG10" s="49">
        <v>30</v>
      </c>
      <c r="GH10" s="49">
        <v>30.4</v>
      </c>
      <c r="GI10" s="49">
        <v>45.9</v>
      </c>
      <c r="GJ10" s="49">
        <v>51.2</v>
      </c>
      <c r="GK10" s="49">
        <v>99.5</v>
      </c>
      <c r="GL10" s="49">
        <v>109.3</v>
      </c>
      <c r="GM10" s="50">
        <v>0</v>
      </c>
      <c r="GN10" s="49">
        <v>23.401</v>
      </c>
      <c r="GO10" s="49">
        <v>103.886</v>
      </c>
      <c r="GP10" s="50">
        <v>0</v>
      </c>
      <c r="GQ10" s="49">
        <v>1.8879999999999999</v>
      </c>
      <c r="GR10" s="50">
        <v>0</v>
      </c>
      <c r="GS10" s="49">
        <v>1.9470000000000001</v>
      </c>
      <c r="GT10" s="50">
        <v>0</v>
      </c>
      <c r="GU10" s="49">
        <v>1.8879999999999999</v>
      </c>
      <c r="GV10" s="50">
        <v>0</v>
      </c>
      <c r="GW10" s="49">
        <v>0</v>
      </c>
      <c r="GX10" s="49">
        <v>0</v>
      </c>
      <c r="GY10" s="50">
        <v>0</v>
      </c>
      <c r="GZ10" s="49">
        <v>13.253</v>
      </c>
      <c r="HA10" s="49">
        <v>14.896000000000001</v>
      </c>
      <c r="HB10" s="49">
        <v>0</v>
      </c>
      <c r="HC10" s="49">
        <v>34.704000000000001</v>
      </c>
      <c r="HD10" s="50">
        <v>86</v>
      </c>
      <c r="HE10" s="50">
        <v>0</v>
      </c>
      <c r="HF10" s="50">
        <v>0</v>
      </c>
      <c r="HG10" s="49">
        <v>66.900000000000006</v>
      </c>
      <c r="HH10" s="49">
        <v>76.47</v>
      </c>
      <c r="HI10" s="50">
        <v>0</v>
      </c>
      <c r="HJ10" s="50">
        <v>0</v>
      </c>
      <c r="HK10" s="50">
        <v>0</v>
      </c>
      <c r="HL10" s="49">
        <v>57</v>
      </c>
      <c r="HM10" s="49">
        <v>50</v>
      </c>
      <c r="HN10" s="50">
        <v>65</v>
      </c>
      <c r="HO10" s="50">
        <v>58</v>
      </c>
      <c r="HP10" s="50">
        <v>62</v>
      </c>
      <c r="HQ10" s="50">
        <v>59</v>
      </c>
      <c r="HR10" s="49">
        <v>54</v>
      </c>
      <c r="HS10" s="50">
        <v>70</v>
      </c>
      <c r="HT10" s="49">
        <v>-1.4630000000000001</v>
      </c>
      <c r="HU10" s="50">
        <v>0</v>
      </c>
      <c r="HV10" s="49">
        <v>1.091</v>
      </c>
      <c r="HW10" s="49">
        <v>44.42</v>
      </c>
      <c r="HX10" s="49">
        <v>44.39</v>
      </c>
      <c r="HY10" s="3"/>
      <c r="HZ10" s="3"/>
      <c r="IA10" s="49">
        <v>2.7469999999999999</v>
      </c>
      <c r="IB10" s="49">
        <v>103</v>
      </c>
      <c r="IC10" s="49">
        <v>22.172999999999998</v>
      </c>
      <c r="ID10" s="49">
        <v>-0.373</v>
      </c>
      <c r="IE10" s="50">
        <v>-0.191</v>
      </c>
      <c r="IF10" s="49">
        <v>807.5</v>
      </c>
      <c r="IG10" s="49">
        <v>741.4</v>
      </c>
      <c r="IH10" s="50">
        <v>822</v>
      </c>
      <c r="II10" s="49">
        <v>755</v>
      </c>
      <c r="IJ10" s="49">
        <v>-4.5999999999999999E-2</v>
      </c>
      <c r="IK10" s="49">
        <v>1.2999999999999999E-2</v>
      </c>
      <c r="IL10" s="49">
        <v>88.605999999999995</v>
      </c>
      <c r="IM10" s="49">
        <v>88.605999999999995</v>
      </c>
      <c r="IN10" s="50">
        <v>13.603999999999999</v>
      </c>
      <c r="IO10" s="49">
        <v>0.26500000000000001</v>
      </c>
      <c r="IP10" s="49">
        <v>9.1300000000000008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B5646-9722-4F53-A2A6-807976FD7CF6}">
  <sheetPr codeName="Sheet20"/>
  <dimension ref="B1:IR9"/>
  <sheetViews>
    <sheetView zoomScale="70" zoomScaleNormal="70" workbookViewId="0">
      <selection activeCell="D11" sqref="D11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430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3.3234953703703708E-3</v>
      </c>
      <c r="E7" s="50">
        <v>287.154</v>
      </c>
      <c r="F7" s="49">
        <v>327.02999999999997</v>
      </c>
      <c r="G7" s="49">
        <v>5.82</v>
      </c>
      <c r="H7" s="49">
        <v>26</v>
      </c>
      <c r="I7" s="50">
        <v>0</v>
      </c>
      <c r="J7" s="50">
        <v>64</v>
      </c>
      <c r="K7" s="49">
        <v>6</v>
      </c>
      <c r="L7" s="50">
        <v>6</v>
      </c>
      <c r="M7" s="50">
        <v>7</v>
      </c>
      <c r="N7" s="50">
        <v>3</v>
      </c>
      <c r="O7" s="50">
        <v>3</v>
      </c>
      <c r="P7" s="50">
        <v>0.84199999999999997</v>
      </c>
      <c r="Q7" s="50">
        <v>1.355</v>
      </c>
      <c r="R7" s="50">
        <v>1.069</v>
      </c>
      <c r="S7" s="49">
        <v>0.65100000000000002</v>
      </c>
      <c r="T7" s="49">
        <v>65.28</v>
      </c>
      <c r="U7" s="50">
        <v>61.334000000000003</v>
      </c>
      <c r="V7" s="50">
        <v>203.34</v>
      </c>
      <c r="W7" s="50">
        <v>213.34</v>
      </c>
      <c r="X7" s="50">
        <v>127.5</v>
      </c>
      <c r="Y7" s="50">
        <v>155</v>
      </c>
      <c r="Z7" s="49">
        <v>340.11</v>
      </c>
      <c r="AA7" s="49">
        <v>352.89</v>
      </c>
      <c r="AB7" s="49">
        <v>213.73</v>
      </c>
      <c r="AC7" s="49">
        <v>273.85000000000002</v>
      </c>
      <c r="AD7" s="49">
        <v>1.756</v>
      </c>
      <c r="AE7" s="49">
        <v>1.792</v>
      </c>
      <c r="AF7" s="49">
        <v>1.7529999999999999</v>
      </c>
      <c r="AG7" s="49">
        <v>1.786</v>
      </c>
      <c r="AH7" s="49">
        <v>66.75</v>
      </c>
      <c r="AI7" s="49">
        <v>61.22</v>
      </c>
      <c r="AJ7" s="49">
        <v>92.71</v>
      </c>
      <c r="AK7" s="49">
        <v>93.85</v>
      </c>
      <c r="AL7" s="49">
        <v>637.64300000000003</v>
      </c>
      <c r="AM7" s="49">
        <v>638.34500000000003</v>
      </c>
      <c r="AN7" s="49">
        <v>828.05700000000002</v>
      </c>
      <c r="AO7" s="49">
        <v>814.99699999999996</v>
      </c>
      <c r="AP7" s="50">
        <v>1.363</v>
      </c>
      <c r="AQ7" s="49">
        <v>1.81</v>
      </c>
      <c r="AR7" s="49">
        <v>42.613</v>
      </c>
      <c r="AS7" s="49">
        <v>37.720999999999997</v>
      </c>
      <c r="AT7" s="50">
        <v>84</v>
      </c>
      <c r="AU7" s="49">
        <v>116</v>
      </c>
      <c r="AV7" s="49">
        <v>1.5385</v>
      </c>
      <c r="AW7" s="49">
        <v>4.3726000000000003</v>
      </c>
      <c r="AX7" s="50">
        <v>1016.7</v>
      </c>
      <c r="AY7" s="50">
        <v>2.89</v>
      </c>
      <c r="AZ7" s="49">
        <v>4.82</v>
      </c>
      <c r="BA7" s="50">
        <v>65.106999999999999</v>
      </c>
      <c r="BB7" s="50">
        <v>66.900000000000006</v>
      </c>
      <c r="BC7" s="49">
        <v>7795</v>
      </c>
      <c r="BD7" s="49">
        <v>89</v>
      </c>
      <c r="BE7" s="49">
        <v>15.36</v>
      </c>
      <c r="BF7" s="49">
        <v>14.375</v>
      </c>
      <c r="BG7" s="49">
        <v>27.5</v>
      </c>
      <c r="BH7" s="49">
        <v>28.63</v>
      </c>
      <c r="BI7" s="49">
        <v>65.331000000000003</v>
      </c>
      <c r="BJ7" s="49">
        <v>79.213999999999999</v>
      </c>
      <c r="BK7" s="49">
        <v>63.863</v>
      </c>
      <c r="BL7" s="49">
        <v>77.247</v>
      </c>
      <c r="BM7" s="49">
        <v>76.742000000000004</v>
      </c>
      <c r="BN7" s="50">
        <v>128.66399999999999</v>
      </c>
      <c r="BO7" s="50">
        <v>127.16</v>
      </c>
      <c r="BP7" s="49">
        <v>127.032</v>
      </c>
      <c r="BQ7" s="49">
        <v>130.68</v>
      </c>
      <c r="BR7" s="49">
        <v>57.912999999999997</v>
      </c>
      <c r="BS7" s="49">
        <v>25.7</v>
      </c>
      <c r="BT7" s="49">
        <v>7300.2309999999998</v>
      </c>
      <c r="BU7" s="50">
        <v>51.393999999999998</v>
      </c>
      <c r="BV7" s="50">
        <v>51.39</v>
      </c>
      <c r="BW7" s="50">
        <v>54.497999999999998</v>
      </c>
      <c r="BX7" s="50">
        <v>54.552999999999997</v>
      </c>
      <c r="BY7" s="50">
        <v>1.609</v>
      </c>
      <c r="BZ7" s="49">
        <v>2.9660000000000002</v>
      </c>
      <c r="CA7" s="50">
        <v>3.5990000000000002</v>
      </c>
      <c r="CB7" s="49">
        <v>4.1550000000000002</v>
      </c>
      <c r="CC7" s="49">
        <v>0.83</v>
      </c>
      <c r="CD7" s="50">
        <v>2.298</v>
      </c>
      <c r="CE7" s="49">
        <v>1.254</v>
      </c>
      <c r="CF7" s="49">
        <v>1.9950000000000001</v>
      </c>
      <c r="CG7" s="49">
        <v>13.593999999999999</v>
      </c>
      <c r="CH7" s="50">
        <v>10.19</v>
      </c>
      <c r="CI7" s="50">
        <v>5.4059999999999997</v>
      </c>
      <c r="CJ7" s="49">
        <v>3.3319999999999999</v>
      </c>
      <c r="CK7" s="49">
        <v>1.355</v>
      </c>
      <c r="CL7" s="50">
        <v>0.2</v>
      </c>
      <c r="CM7" s="49">
        <v>0.5</v>
      </c>
      <c r="CN7" s="49">
        <v>0</v>
      </c>
      <c r="CO7" s="49">
        <v>0</v>
      </c>
      <c r="CP7" s="50">
        <v>105.846</v>
      </c>
      <c r="CQ7" s="50">
        <v>105.628</v>
      </c>
      <c r="CR7" s="49">
        <v>107.294</v>
      </c>
      <c r="CS7" s="49">
        <v>111.90600000000001</v>
      </c>
      <c r="CT7" s="50">
        <v>0.49299999999999999</v>
      </c>
      <c r="CU7" s="49">
        <v>1.1990000000000001</v>
      </c>
      <c r="CV7" s="49">
        <v>1.6990000000000001</v>
      </c>
      <c r="CW7" s="50">
        <v>1.7</v>
      </c>
      <c r="CX7" s="50">
        <v>2.097</v>
      </c>
      <c r="CY7" s="50">
        <v>1.298</v>
      </c>
      <c r="CZ7" s="49">
        <v>1.202</v>
      </c>
      <c r="DA7" s="50">
        <v>1.101</v>
      </c>
      <c r="DB7" s="50">
        <v>2.1989999999999998</v>
      </c>
      <c r="DC7" s="50">
        <v>8.0000000000000002E-3</v>
      </c>
      <c r="DD7" s="50">
        <v>0</v>
      </c>
      <c r="DE7" s="49">
        <v>0.23599999999999999</v>
      </c>
      <c r="DF7" s="49">
        <v>0.13400000000000001</v>
      </c>
      <c r="DG7" s="49">
        <v>0.38500000000000001</v>
      </c>
      <c r="DH7" s="49">
        <v>2.4180000000000001</v>
      </c>
      <c r="DI7" s="49">
        <v>1.216</v>
      </c>
      <c r="DJ7" s="49">
        <v>0.221</v>
      </c>
      <c r="DK7" s="49">
        <v>0.93200000000000005</v>
      </c>
      <c r="DL7" s="50">
        <v>0.40799999999999997</v>
      </c>
      <c r="DM7" s="49">
        <v>0.91300000000000003</v>
      </c>
      <c r="DN7" s="49">
        <v>0.47899999999999998</v>
      </c>
      <c r="DO7" s="50">
        <v>0.47199999999999998</v>
      </c>
      <c r="DP7" s="49">
        <v>65.909000000000006</v>
      </c>
      <c r="DQ7" s="50">
        <v>60.524999999999999</v>
      </c>
      <c r="DR7" s="50">
        <v>55.527000000000001</v>
      </c>
      <c r="DS7" s="50">
        <v>51.17</v>
      </c>
      <c r="DT7" s="49">
        <v>4.34</v>
      </c>
      <c r="DU7" s="49">
        <v>4.4400000000000004</v>
      </c>
      <c r="DV7" s="49">
        <v>8.26</v>
      </c>
      <c r="DW7" s="49">
        <v>6.59</v>
      </c>
      <c r="DX7" s="49">
        <v>4.51</v>
      </c>
      <c r="DY7" s="49">
        <v>4.3899999999999997</v>
      </c>
      <c r="DZ7" s="49">
        <v>7.82</v>
      </c>
      <c r="EA7" s="49">
        <v>6.22</v>
      </c>
      <c r="EB7" s="49">
        <v>35.51</v>
      </c>
      <c r="EC7" s="49">
        <v>35.380000000000003</v>
      </c>
      <c r="ED7" s="49">
        <v>28.8</v>
      </c>
      <c r="EE7" s="49">
        <v>31.74</v>
      </c>
      <c r="EF7" s="50">
        <v>55.64</v>
      </c>
      <c r="EG7" s="50">
        <v>55.79</v>
      </c>
      <c r="EH7" s="50">
        <v>55.12</v>
      </c>
      <c r="EI7" s="50">
        <v>55.46</v>
      </c>
      <c r="EJ7" s="49">
        <v>7.0149999999999997</v>
      </c>
      <c r="EK7" s="49">
        <v>62.448</v>
      </c>
      <c r="EL7" s="50">
        <v>2.65</v>
      </c>
      <c r="EM7" s="50">
        <v>1.9</v>
      </c>
      <c r="EN7" s="49">
        <v>1.19</v>
      </c>
      <c r="EO7" s="50">
        <v>1.2</v>
      </c>
      <c r="EP7" s="49">
        <v>-86.95</v>
      </c>
      <c r="EQ7" s="50">
        <v>-1.359</v>
      </c>
      <c r="ER7" s="49">
        <v>101.974</v>
      </c>
      <c r="ES7" s="49">
        <v>1.1479999999999999</v>
      </c>
      <c r="ET7" s="49">
        <v>1.2629999999999999</v>
      </c>
      <c r="EU7" s="49">
        <v>1.1080000000000001</v>
      </c>
      <c r="EV7" s="49">
        <v>7.5860000000000003</v>
      </c>
      <c r="EW7" s="49">
        <v>3.4049999999999998</v>
      </c>
      <c r="EX7" s="49">
        <v>-215.48</v>
      </c>
      <c r="EY7" s="50">
        <v>0.10100000000000001</v>
      </c>
      <c r="EZ7" s="49">
        <v>0</v>
      </c>
      <c r="FA7" s="50">
        <v>0</v>
      </c>
      <c r="FB7" s="49">
        <v>8.02</v>
      </c>
      <c r="FC7" s="49">
        <v>67.948999999999998</v>
      </c>
      <c r="FD7" s="49">
        <v>63.55</v>
      </c>
      <c r="FE7" s="49">
        <v>76.501000000000005</v>
      </c>
      <c r="FF7" s="49">
        <v>75.245999999999995</v>
      </c>
      <c r="FG7" s="49">
        <v>1</v>
      </c>
      <c r="FH7" s="50">
        <v>1.012</v>
      </c>
      <c r="FI7" s="50">
        <v>1</v>
      </c>
      <c r="FJ7" s="50">
        <v>1.004</v>
      </c>
      <c r="FK7" s="50">
        <v>0.20200000000000001</v>
      </c>
      <c r="FL7" s="50">
        <v>84</v>
      </c>
      <c r="FM7" s="50">
        <v>3.92</v>
      </c>
      <c r="FN7" s="49">
        <v>1.63</v>
      </c>
      <c r="FO7" s="49">
        <v>4.82</v>
      </c>
      <c r="FP7" s="50">
        <v>0.45</v>
      </c>
      <c r="FQ7" s="49">
        <v>4.75</v>
      </c>
      <c r="FR7" s="50">
        <v>4.95</v>
      </c>
      <c r="FS7" s="50">
        <v>6.4684999999999997</v>
      </c>
      <c r="FT7" s="50">
        <v>1071.2</v>
      </c>
      <c r="FU7" s="49">
        <v>6.02</v>
      </c>
      <c r="FV7" s="49">
        <v>29.38</v>
      </c>
      <c r="FW7" s="49">
        <v>2904.5</v>
      </c>
      <c r="FX7" s="49">
        <v>161400</v>
      </c>
      <c r="FY7" s="49">
        <v>162500</v>
      </c>
      <c r="FZ7" s="50">
        <v>47.887</v>
      </c>
      <c r="GA7" s="50">
        <v>48.317</v>
      </c>
      <c r="GB7" s="50">
        <v>2181.1</v>
      </c>
      <c r="GC7" s="49">
        <v>2141.8000000000002</v>
      </c>
      <c r="GD7" s="49">
        <v>2186</v>
      </c>
      <c r="GE7" s="49">
        <v>2186.3000000000002</v>
      </c>
      <c r="GF7" s="50">
        <v>1474.2813000000001</v>
      </c>
      <c r="GG7" s="49">
        <v>31</v>
      </c>
      <c r="GH7" s="49">
        <v>31.2</v>
      </c>
      <c r="GI7" s="50">
        <v>49.7</v>
      </c>
      <c r="GJ7" s="50">
        <v>55.3</v>
      </c>
      <c r="GK7" s="50">
        <v>98</v>
      </c>
      <c r="GL7" s="49">
        <v>110.8</v>
      </c>
      <c r="GM7" s="50">
        <v>0</v>
      </c>
      <c r="GN7" s="49">
        <v>24.363</v>
      </c>
      <c r="GO7" s="49">
        <v>101.974</v>
      </c>
      <c r="GP7" s="50">
        <v>0</v>
      </c>
      <c r="GQ7" s="50">
        <v>3.2450000000000001</v>
      </c>
      <c r="GR7" s="50">
        <v>0</v>
      </c>
      <c r="GS7" s="50">
        <v>3.363</v>
      </c>
      <c r="GT7" s="50">
        <v>0</v>
      </c>
      <c r="GU7" s="50">
        <v>4.484</v>
      </c>
      <c r="GV7" s="50">
        <v>0</v>
      </c>
      <c r="GW7" s="50">
        <v>0.01</v>
      </c>
      <c r="GX7" s="50">
        <v>21.56</v>
      </c>
      <c r="GY7" s="50">
        <v>0</v>
      </c>
      <c r="GZ7" s="49">
        <v>10.728999999999999</v>
      </c>
      <c r="HA7" s="50">
        <v>21.265999999999998</v>
      </c>
      <c r="HB7" s="50">
        <v>1</v>
      </c>
      <c r="HC7" s="49">
        <v>33.119999999999997</v>
      </c>
      <c r="HD7" s="50">
        <v>90</v>
      </c>
      <c r="HE7" s="50">
        <v>0</v>
      </c>
      <c r="HF7" s="50">
        <v>0</v>
      </c>
      <c r="HG7" s="50">
        <v>77.78</v>
      </c>
      <c r="HH7" s="50">
        <v>100</v>
      </c>
      <c r="HI7" s="50">
        <v>0</v>
      </c>
      <c r="HJ7" s="50">
        <v>0</v>
      </c>
      <c r="HK7" s="50">
        <v>0</v>
      </c>
      <c r="HL7" s="50">
        <v>61</v>
      </c>
      <c r="HM7" s="50">
        <v>51</v>
      </c>
      <c r="HN7" s="50">
        <v>65</v>
      </c>
      <c r="HO7" s="50">
        <v>58</v>
      </c>
      <c r="HP7" s="49">
        <v>61</v>
      </c>
      <c r="HQ7" s="50">
        <v>59</v>
      </c>
      <c r="HR7" s="50">
        <v>54</v>
      </c>
      <c r="HS7" s="50">
        <v>64</v>
      </c>
      <c r="HT7" s="49">
        <v>-1.4730000000000001</v>
      </c>
      <c r="HU7" s="50">
        <v>0</v>
      </c>
      <c r="HV7" s="49">
        <v>0.66600000000000004</v>
      </c>
      <c r="HW7" s="49">
        <v>41.22</v>
      </c>
      <c r="HX7" s="49">
        <v>42.01</v>
      </c>
      <c r="HY7" s="3"/>
      <c r="HZ7" s="3"/>
      <c r="IA7" s="49">
        <v>2.8220000000000001</v>
      </c>
      <c r="IB7" s="49">
        <v>100</v>
      </c>
      <c r="IC7" s="49">
        <v>19.143000000000001</v>
      </c>
      <c r="ID7" s="50">
        <v>-0.19700000000000001</v>
      </c>
      <c r="IE7" s="50">
        <v>-0.10100000000000001</v>
      </c>
      <c r="IF7" s="49">
        <v>802.3</v>
      </c>
      <c r="IG7" s="49">
        <v>678.1</v>
      </c>
      <c r="IH7" s="49">
        <v>810.1</v>
      </c>
      <c r="II7" s="49">
        <v>694.9</v>
      </c>
      <c r="IJ7" s="50">
        <v>-8.0000000000000002E-3</v>
      </c>
      <c r="IK7" s="50">
        <v>2.1000000000000001E-2</v>
      </c>
      <c r="IL7" s="50">
        <v>141.631</v>
      </c>
      <c r="IM7" s="50">
        <v>141.631</v>
      </c>
      <c r="IN7" s="50">
        <v>17.189</v>
      </c>
      <c r="IO7" s="49">
        <v>0.22800000000000001</v>
      </c>
      <c r="IP7" s="50">
        <v>9.2899999999999991</v>
      </c>
      <c r="IQ7" s="49">
        <v>3.0000000000000001E-3</v>
      </c>
      <c r="IR7" s="50">
        <v>4.0000000000000001E-3</v>
      </c>
    </row>
    <row r="8" spans="2:252" x14ac:dyDescent="0.25">
      <c r="B8" s="2" t="s">
        <v>412</v>
      </c>
      <c r="C8" s="62" t="s">
        <v>42</v>
      </c>
      <c r="D8" s="63">
        <v>2.4440972222222221E-3</v>
      </c>
      <c r="E8" s="49">
        <v>211.17</v>
      </c>
      <c r="F8" s="49">
        <v>330.92</v>
      </c>
      <c r="G8" s="50">
        <v>6.09</v>
      </c>
      <c r="H8" s="50">
        <v>26.1</v>
      </c>
      <c r="I8" s="50">
        <v>0</v>
      </c>
      <c r="J8" s="49">
        <v>11</v>
      </c>
      <c r="K8" s="50">
        <v>7</v>
      </c>
      <c r="L8" s="50">
        <v>6</v>
      </c>
      <c r="M8" s="50">
        <v>7</v>
      </c>
      <c r="N8" s="50">
        <v>3</v>
      </c>
      <c r="O8" s="50">
        <v>3</v>
      </c>
      <c r="P8" s="49">
        <v>0.76200000000000001</v>
      </c>
      <c r="Q8" s="49">
        <v>1.28</v>
      </c>
      <c r="R8" s="49">
        <v>0.79200000000000004</v>
      </c>
      <c r="S8" s="50">
        <v>0.79</v>
      </c>
      <c r="T8" s="50">
        <v>78.73</v>
      </c>
      <c r="U8" s="49">
        <v>60.177</v>
      </c>
      <c r="V8" s="49">
        <v>240</v>
      </c>
      <c r="W8" s="49">
        <v>263.33999999999997</v>
      </c>
      <c r="X8" s="49">
        <v>172.5</v>
      </c>
      <c r="Y8" s="49">
        <v>213.34</v>
      </c>
      <c r="Z8" s="50">
        <v>384.97</v>
      </c>
      <c r="AA8" s="50">
        <v>403.85</v>
      </c>
      <c r="AB8" s="50">
        <v>296.8</v>
      </c>
      <c r="AC8" s="50">
        <v>362.16</v>
      </c>
      <c r="AD8" s="49">
        <v>1.7809999999999999</v>
      </c>
      <c r="AE8" s="49">
        <v>1.7969999999999999</v>
      </c>
      <c r="AF8" s="49">
        <v>1.804</v>
      </c>
      <c r="AG8" s="49">
        <v>1.8149999999999999</v>
      </c>
      <c r="AH8" s="49">
        <v>75.2</v>
      </c>
      <c r="AI8" s="49">
        <v>69.06</v>
      </c>
      <c r="AJ8" s="49">
        <v>104.14</v>
      </c>
      <c r="AK8" s="49">
        <v>104.42</v>
      </c>
      <c r="AL8" s="50">
        <v>705.846</v>
      </c>
      <c r="AM8" s="50">
        <v>715.86699999999996</v>
      </c>
      <c r="AN8" s="50">
        <v>947.755</v>
      </c>
      <c r="AO8" s="50">
        <v>888.95399999999995</v>
      </c>
      <c r="AP8" s="49">
        <v>1.3520000000000001</v>
      </c>
      <c r="AQ8" s="50">
        <v>1.8280000000000001</v>
      </c>
      <c r="AR8" s="49">
        <v>40.567</v>
      </c>
      <c r="AS8" s="49">
        <v>36.206000000000003</v>
      </c>
      <c r="AT8" s="49">
        <v>83</v>
      </c>
      <c r="AU8" s="49">
        <v>120</v>
      </c>
      <c r="AV8" s="50">
        <v>1.244</v>
      </c>
      <c r="AW8" s="50">
        <v>4.7260999999999997</v>
      </c>
      <c r="AX8" s="49">
        <v>1015.2</v>
      </c>
      <c r="AY8" s="49">
        <v>2.5099999999999998</v>
      </c>
      <c r="AZ8" s="50">
        <v>4.66</v>
      </c>
      <c r="BA8" s="49">
        <v>113.934</v>
      </c>
      <c r="BB8" s="49">
        <v>113.82599999999999</v>
      </c>
      <c r="BC8" s="50">
        <v>8250</v>
      </c>
      <c r="BD8" s="49">
        <v>88.75</v>
      </c>
      <c r="BE8" s="50">
        <v>17.329999999999998</v>
      </c>
      <c r="BF8" s="49">
        <v>14.234999999999999</v>
      </c>
      <c r="BG8" s="50">
        <v>30.2</v>
      </c>
      <c r="BH8" s="50">
        <v>29.99</v>
      </c>
      <c r="BI8" s="3"/>
      <c r="BJ8" s="3"/>
      <c r="BK8" s="3"/>
      <c r="BL8" s="3"/>
      <c r="BM8" s="3"/>
      <c r="BN8" s="49">
        <v>100.47199999999999</v>
      </c>
      <c r="BO8" s="49">
        <v>99.128</v>
      </c>
      <c r="BP8" s="49">
        <v>123.11199999999999</v>
      </c>
      <c r="BQ8" s="49">
        <v>125.57599999999999</v>
      </c>
      <c r="BR8" s="3"/>
      <c r="BS8" s="49">
        <v>25.8</v>
      </c>
      <c r="BT8" s="49">
        <v>7267.8249999999998</v>
      </c>
      <c r="BU8" s="49">
        <v>47.854999999999997</v>
      </c>
      <c r="BV8" s="49">
        <v>51.006</v>
      </c>
      <c r="BW8" s="49">
        <v>51.082999999999998</v>
      </c>
      <c r="BX8" s="49">
        <v>52.53</v>
      </c>
      <c r="BY8" s="49">
        <v>1.3580000000000001</v>
      </c>
      <c r="BZ8" s="50">
        <v>3.6640000000000001</v>
      </c>
      <c r="CA8" s="49">
        <v>3.4089999999999998</v>
      </c>
      <c r="CB8" s="50">
        <v>4.1769999999999996</v>
      </c>
      <c r="CC8" s="49">
        <v>0.88900000000000001</v>
      </c>
      <c r="CD8" s="49">
        <v>2.13</v>
      </c>
      <c r="CE8" s="50">
        <v>1.2829999999999999</v>
      </c>
      <c r="CF8" s="50">
        <v>2.0499999999999998</v>
      </c>
      <c r="CG8" s="49">
        <v>13.726000000000001</v>
      </c>
      <c r="CH8" s="49">
        <v>13.541</v>
      </c>
      <c r="CI8" s="49">
        <v>4.1749999999999998</v>
      </c>
      <c r="CJ8" s="50">
        <v>3.472</v>
      </c>
      <c r="CK8" s="50">
        <v>1.73</v>
      </c>
      <c r="CL8" s="49">
        <v>0.1</v>
      </c>
      <c r="CM8" s="49">
        <v>0.7</v>
      </c>
      <c r="CN8" s="49">
        <v>0</v>
      </c>
      <c r="CO8" s="49">
        <v>0</v>
      </c>
      <c r="CP8" s="49">
        <v>95.4</v>
      </c>
      <c r="CQ8" s="49">
        <v>95.899000000000001</v>
      </c>
      <c r="CR8" s="49">
        <v>110.965</v>
      </c>
      <c r="CS8" s="49">
        <v>116.298</v>
      </c>
      <c r="CT8" s="49">
        <v>0.29799999999999999</v>
      </c>
      <c r="CU8" s="49">
        <v>1.1000000000000001</v>
      </c>
      <c r="CV8" s="49">
        <v>1.4</v>
      </c>
      <c r="CW8" s="49">
        <v>0.70099999999999996</v>
      </c>
      <c r="CX8" s="49">
        <v>1.099</v>
      </c>
      <c r="CY8" s="49">
        <v>0.30099999999999999</v>
      </c>
      <c r="CZ8" s="50">
        <v>1.204</v>
      </c>
      <c r="DA8" s="49">
        <v>0.499</v>
      </c>
      <c r="DB8" s="49">
        <v>1.2989999999999999</v>
      </c>
      <c r="DC8" s="49">
        <v>0</v>
      </c>
      <c r="DD8" s="50">
        <v>0</v>
      </c>
      <c r="DE8" s="50">
        <v>0.312</v>
      </c>
      <c r="DF8" s="50">
        <v>0.16500000000000001</v>
      </c>
      <c r="DG8" s="50">
        <v>1.0469999999999999</v>
      </c>
      <c r="DH8" s="50">
        <v>2.4630000000000001</v>
      </c>
      <c r="DI8" s="50">
        <v>1.252</v>
      </c>
      <c r="DJ8" s="50">
        <v>0.32800000000000001</v>
      </c>
      <c r="DK8" s="49">
        <v>0.96499999999999997</v>
      </c>
      <c r="DL8" s="49">
        <v>0.40600000000000003</v>
      </c>
      <c r="DM8" s="50">
        <v>0.95899999999999996</v>
      </c>
      <c r="DN8" s="49">
        <v>0.42799999999999999</v>
      </c>
      <c r="DO8" s="49">
        <v>-0.9</v>
      </c>
      <c r="DP8" s="50">
        <v>65.912000000000006</v>
      </c>
      <c r="DQ8" s="49">
        <v>58.831000000000003</v>
      </c>
      <c r="DR8" s="49">
        <v>53.976999999999997</v>
      </c>
      <c r="DS8" s="49">
        <v>49.771000000000001</v>
      </c>
      <c r="DT8" s="50">
        <v>6.62</v>
      </c>
      <c r="DU8" s="50">
        <v>6.59</v>
      </c>
      <c r="DV8" s="50">
        <v>12.82</v>
      </c>
      <c r="DW8" s="50">
        <v>9.75</v>
      </c>
      <c r="DX8" s="50">
        <v>7.16</v>
      </c>
      <c r="DY8" s="50">
        <v>6.9</v>
      </c>
      <c r="DZ8" s="50">
        <v>12.31</v>
      </c>
      <c r="EA8" s="50">
        <v>9.8800000000000008</v>
      </c>
      <c r="EB8" s="50">
        <v>42.46</v>
      </c>
      <c r="EC8" s="50">
        <v>41.78</v>
      </c>
      <c r="ED8" s="49">
        <v>33.619999999999997</v>
      </c>
      <c r="EE8" s="50">
        <v>37.130000000000003</v>
      </c>
      <c r="EF8" s="49">
        <v>43.76</v>
      </c>
      <c r="EG8" s="49">
        <v>44.73</v>
      </c>
      <c r="EH8" s="49">
        <v>41.25</v>
      </c>
      <c r="EI8" s="49">
        <v>43.24</v>
      </c>
      <c r="EJ8" s="49">
        <v>7.476</v>
      </c>
      <c r="EK8" s="50">
        <v>62.978000000000002</v>
      </c>
      <c r="EL8" s="49">
        <v>2.2999999999999998</v>
      </c>
      <c r="EM8" s="50">
        <v>1.9</v>
      </c>
      <c r="EN8" s="49">
        <v>1.18</v>
      </c>
      <c r="EO8" s="49">
        <v>1.19</v>
      </c>
      <c r="EP8" s="49">
        <v>-106.514</v>
      </c>
      <c r="EQ8" s="49">
        <v>-2.484</v>
      </c>
      <c r="ER8" s="50">
        <v>113.946</v>
      </c>
      <c r="ES8" s="50">
        <v>1.401</v>
      </c>
      <c r="ET8" s="50">
        <v>1.5980000000000001</v>
      </c>
      <c r="EU8" s="50">
        <v>1.381</v>
      </c>
      <c r="EV8" s="50">
        <v>7.6379999999999999</v>
      </c>
      <c r="EW8" s="49">
        <v>3.54</v>
      </c>
      <c r="EX8" s="50">
        <v>75.239999999999995</v>
      </c>
      <c r="EY8" s="49">
        <v>0</v>
      </c>
      <c r="EZ8" s="50">
        <v>2.7E-2</v>
      </c>
      <c r="FA8" s="50">
        <v>0</v>
      </c>
      <c r="FB8" s="49">
        <v>8.9960000000000004</v>
      </c>
      <c r="FC8" s="49">
        <v>68.394999999999996</v>
      </c>
      <c r="FD8" s="49">
        <v>63.332000000000001</v>
      </c>
      <c r="FE8" s="49">
        <v>76.537000000000006</v>
      </c>
      <c r="FF8" s="49">
        <v>74.695999999999998</v>
      </c>
      <c r="FG8" s="49">
        <v>0.91700000000000004</v>
      </c>
      <c r="FH8" s="49">
        <v>0.91800000000000004</v>
      </c>
      <c r="FI8" s="49">
        <v>0.997</v>
      </c>
      <c r="FJ8" s="49">
        <v>1.0029999999999999</v>
      </c>
      <c r="FK8" s="49">
        <v>0</v>
      </c>
      <c r="FL8" s="49">
        <v>83</v>
      </c>
      <c r="FM8" s="49">
        <v>3.78</v>
      </c>
      <c r="FN8" s="49">
        <v>1.29</v>
      </c>
      <c r="FO8" s="50">
        <v>4.79</v>
      </c>
      <c r="FP8" s="3"/>
      <c r="FQ8" s="49">
        <v>4.6500000000000004</v>
      </c>
      <c r="FR8" s="49">
        <v>5</v>
      </c>
      <c r="FS8" s="49">
        <v>6.4005000000000001</v>
      </c>
      <c r="FT8" s="49">
        <v>1067.5</v>
      </c>
      <c r="FU8" s="49">
        <v>6.03</v>
      </c>
      <c r="FV8" s="49">
        <v>35.47</v>
      </c>
      <c r="FW8" s="49">
        <v>2911.5</v>
      </c>
      <c r="FX8" s="50">
        <v>164800</v>
      </c>
      <c r="FY8" s="50">
        <v>166100</v>
      </c>
      <c r="FZ8" s="49">
        <v>46.765999999999998</v>
      </c>
      <c r="GA8" s="49">
        <v>47.186999999999998</v>
      </c>
      <c r="GB8" s="49">
        <v>2154.3000000000002</v>
      </c>
      <c r="GC8" s="50">
        <v>2154.1</v>
      </c>
      <c r="GD8" s="49">
        <v>2172.1</v>
      </c>
      <c r="GE8" s="49">
        <v>2173.5</v>
      </c>
      <c r="GF8" s="49">
        <v>1289.0313000000001</v>
      </c>
      <c r="GG8" s="49">
        <v>32</v>
      </c>
      <c r="GH8" s="49">
        <v>31.8</v>
      </c>
      <c r="GI8" s="49">
        <v>46.9</v>
      </c>
      <c r="GJ8" s="49">
        <v>52.1</v>
      </c>
      <c r="GK8" s="49">
        <v>99.5</v>
      </c>
      <c r="GL8" s="49">
        <v>107.6</v>
      </c>
      <c r="GM8" s="50">
        <v>0</v>
      </c>
      <c r="GN8" s="49">
        <v>25.050999999999998</v>
      </c>
      <c r="GO8" s="50">
        <v>113.946</v>
      </c>
      <c r="GP8" s="49">
        <v>0.47199999999999998</v>
      </c>
      <c r="GQ8" s="49">
        <v>1.829</v>
      </c>
      <c r="GR8" s="49">
        <v>0.76700000000000002</v>
      </c>
      <c r="GS8" s="49">
        <v>2.0059999999999998</v>
      </c>
      <c r="GT8" s="49">
        <v>0.53100000000000003</v>
      </c>
      <c r="GU8" s="49">
        <v>1.829</v>
      </c>
      <c r="GV8" s="50">
        <v>0</v>
      </c>
      <c r="GW8" s="49">
        <v>0</v>
      </c>
      <c r="GX8" s="49">
        <v>0</v>
      </c>
      <c r="GY8" s="49">
        <v>11.76</v>
      </c>
      <c r="GZ8" s="50">
        <v>13.579000000000001</v>
      </c>
      <c r="HA8" s="49">
        <v>14.994</v>
      </c>
      <c r="HB8" s="49">
        <v>0</v>
      </c>
      <c r="HC8" s="50">
        <v>36.558</v>
      </c>
      <c r="HD8" s="49">
        <v>82</v>
      </c>
      <c r="HE8" s="50">
        <v>0</v>
      </c>
      <c r="HF8" s="50">
        <v>0</v>
      </c>
      <c r="HG8" s="49">
        <v>66.8</v>
      </c>
      <c r="HH8" s="49">
        <v>78.010000000000005</v>
      </c>
      <c r="HI8" s="50">
        <v>0</v>
      </c>
      <c r="HJ8" s="50">
        <v>0</v>
      </c>
      <c r="HK8" s="50">
        <v>0</v>
      </c>
      <c r="HL8" s="49">
        <v>58</v>
      </c>
      <c r="HM8" s="50">
        <v>51</v>
      </c>
      <c r="HN8" s="50">
        <v>65</v>
      </c>
      <c r="HO8" s="50">
        <v>58</v>
      </c>
      <c r="HP8" s="50">
        <v>62</v>
      </c>
      <c r="HQ8" s="50">
        <v>59</v>
      </c>
      <c r="HR8" s="50">
        <v>54</v>
      </c>
      <c r="HS8" s="49">
        <v>62</v>
      </c>
      <c r="HT8" s="49">
        <v>-1.5115000000000001</v>
      </c>
      <c r="HU8" s="50">
        <v>0</v>
      </c>
      <c r="HV8" s="50">
        <v>0.97899999999999998</v>
      </c>
      <c r="HW8" s="50">
        <v>40.409999999999997</v>
      </c>
      <c r="HX8" s="50">
        <v>40.15</v>
      </c>
      <c r="HY8" s="50">
        <v>50.74</v>
      </c>
      <c r="HZ8" s="50">
        <v>50.74</v>
      </c>
      <c r="IA8" s="49">
        <v>2.9350000000000001</v>
      </c>
      <c r="IB8" s="50">
        <v>104</v>
      </c>
      <c r="IC8" s="50">
        <v>22.454000000000001</v>
      </c>
      <c r="ID8" s="49">
        <v>-0.26500000000000001</v>
      </c>
      <c r="IE8" s="49">
        <v>-0.14499999999999999</v>
      </c>
      <c r="IF8" s="49">
        <v>805.1</v>
      </c>
      <c r="IG8" s="50">
        <v>758.1</v>
      </c>
      <c r="IH8" s="50">
        <v>811.1</v>
      </c>
      <c r="II8" s="50">
        <v>769.3</v>
      </c>
      <c r="IJ8" s="49">
        <v>-6.0999999999999999E-2</v>
      </c>
      <c r="IK8" s="49">
        <v>-1.7999999999999999E-2</v>
      </c>
      <c r="IL8" s="49">
        <v>66.807000000000002</v>
      </c>
      <c r="IM8" s="49">
        <v>66.807000000000002</v>
      </c>
      <c r="IN8" s="49">
        <v>11.423999999999999</v>
      </c>
      <c r="IO8" s="50">
        <v>0.33</v>
      </c>
      <c r="IP8" s="49">
        <v>9.19</v>
      </c>
      <c r="IQ8" s="50">
        <v>8.0000000000000002E-3</v>
      </c>
      <c r="IR8" s="50">
        <v>4.0000000000000001E-3</v>
      </c>
    </row>
    <row r="9" spans="2:252" x14ac:dyDescent="0.25">
      <c r="B9" s="2" t="s">
        <v>412</v>
      </c>
      <c r="C9" s="2" t="s">
        <v>43</v>
      </c>
      <c r="D9" s="61">
        <v>2.9267361111111113E-3</v>
      </c>
      <c r="E9" s="49">
        <v>252.86600000000001</v>
      </c>
      <c r="F9" s="50">
        <v>333.12</v>
      </c>
      <c r="G9" s="49">
        <v>5.99</v>
      </c>
      <c r="H9" s="50">
        <v>26.1</v>
      </c>
      <c r="I9" s="50">
        <v>0</v>
      </c>
      <c r="J9" s="49">
        <v>27.7</v>
      </c>
      <c r="K9" s="50">
        <v>7</v>
      </c>
      <c r="L9" s="50">
        <v>6</v>
      </c>
      <c r="M9" s="50">
        <v>7</v>
      </c>
      <c r="N9" s="50">
        <v>3</v>
      </c>
      <c r="O9" s="50">
        <v>3</v>
      </c>
      <c r="P9" s="49">
        <v>0.72899999999999998</v>
      </c>
      <c r="Q9" s="49">
        <v>1.2290000000000001</v>
      </c>
      <c r="R9" s="49">
        <v>0.78600000000000003</v>
      </c>
      <c r="S9" s="49">
        <v>0.59699999999999998</v>
      </c>
      <c r="T9" s="49">
        <v>75.36</v>
      </c>
      <c r="U9" s="49">
        <v>60.167000000000002</v>
      </c>
      <c r="V9" s="49">
        <v>250</v>
      </c>
      <c r="W9" s="49">
        <v>270</v>
      </c>
      <c r="X9" s="49">
        <v>187.5</v>
      </c>
      <c r="Y9" s="49">
        <v>225</v>
      </c>
      <c r="Z9" s="49">
        <v>380.78</v>
      </c>
      <c r="AA9" s="49">
        <v>398.6</v>
      </c>
      <c r="AB9" s="49">
        <v>286.33999999999997</v>
      </c>
      <c r="AC9" s="49">
        <v>344.41</v>
      </c>
      <c r="AD9" s="50">
        <v>1.7969999999999999</v>
      </c>
      <c r="AE9" s="50">
        <v>1.821</v>
      </c>
      <c r="AF9" s="50">
        <v>1.8440000000000001</v>
      </c>
      <c r="AG9" s="50">
        <v>1.857</v>
      </c>
      <c r="AH9" s="50">
        <v>77.430000000000007</v>
      </c>
      <c r="AI9" s="50">
        <v>71.86</v>
      </c>
      <c r="AJ9" s="50">
        <v>108.16</v>
      </c>
      <c r="AK9" s="50">
        <v>109.15</v>
      </c>
      <c r="AL9" s="49">
        <v>677.971</v>
      </c>
      <c r="AM9" s="49">
        <v>665.11500000000001</v>
      </c>
      <c r="AN9" s="49">
        <v>870.96</v>
      </c>
      <c r="AO9" s="49">
        <v>883.62</v>
      </c>
      <c r="AP9" s="49">
        <v>1.335</v>
      </c>
      <c r="AQ9" s="49">
        <v>1.8089999999999999</v>
      </c>
      <c r="AR9" s="50">
        <v>43.127000000000002</v>
      </c>
      <c r="AS9" s="50">
        <v>38.177999999999997</v>
      </c>
      <c r="AT9" s="49">
        <v>83</v>
      </c>
      <c r="AU9" s="50">
        <v>122</v>
      </c>
      <c r="AV9" s="49">
        <v>1.331</v>
      </c>
      <c r="AW9" s="49">
        <v>4.5163000000000002</v>
      </c>
      <c r="AX9" s="49">
        <v>1014.9</v>
      </c>
      <c r="AY9" s="49">
        <v>2.48</v>
      </c>
      <c r="AZ9" s="49">
        <v>5.08</v>
      </c>
      <c r="BA9" s="49">
        <v>69.3</v>
      </c>
      <c r="BB9" s="49">
        <v>69.307000000000002</v>
      </c>
      <c r="BC9" s="49">
        <v>8076</v>
      </c>
      <c r="BD9" s="50">
        <v>90</v>
      </c>
      <c r="BE9" s="49">
        <v>16.535</v>
      </c>
      <c r="BF9" s="50">
        <v>14.885</v>
      </c>
      <c r="BG9" s="49">
        <v>28.56</v>
      </c>
      <c r="BH9" s="49">
        <v>29.6</v>
      </c>
      <c r="BI9" s="50">
        <v>65.474999999999994</v>
      </c>
      <c r="BJ9" s="50">
        <v>80.010999999999996</v>
      </c>
      <c r="BK9" s="50">
        <v>63.938000000000002</v>
      </c>
      <c r="BL9" s="50">
        <v>77.293999999999997</v>
      </c>
      <c r="BM9" s="50">
        <v>78.08</v>
      </c>
      <c r="BN9" s="49">
        <v>115.91200000000001</v>
      </c>
      <c r="BO9" s="49">
        <v>120.47199999999999</v>
      </c>
      <c r="BP9" s="50">
        <v>134.55199999999999</v>
      </c>
      <c r="BQ9" s="50">
        <v>135</v>
      </c>
      <c r="BR9" s="50">
        <v>60.195999999999998</v>
      </c>
      <c r="BS9" s="50">
        <v>25.9</v>
      </c>
      <c r="BT9" s="50">
        <v>7327.4849999999997</v>
      </c>
      <c r="BU9" s="49">
        <v>48.040999999999997</v>
      </c>
      <c r="BV9" s="49">
        <v>50.121000000000002</v>
      </c>
      <c r="BW9" s="49">
        <v>52.182000000000002</v>
      </c>
      <c r="BX9" s="49">
        <v>53.563000000000002</v>
      </c>
      <c r="BY9" s="49">
        <v>1.389</v>
      </c>
      <c r="BZ9" s="49">
        <v>3.12</v>
      </c>
      <c r="CA9" s="49">
        <v>3.157</v>
      </c>
      <c r="CB9" s="49">
        <v>3.6259999999999999</v>
      </c>
      <c r="CC9" s="50">
        <v>1.123</v>
      </c>
      <c r="CD9" s="49">
        <v>2.2389999999999999</v>
      </c>
      <c r="CE9" s="49">
        <v>1.2010000000000001</v>
      </c>
      <c r="CF9" s="49">
        <v>1.9910000000000001</v>
      </c>
      <c r="CG9" s="50">
        <v>13.738</v>
      </c>
      <c r="CH9" s="49">
        <v>13.22</v>
      </c>
      <c r="CI9" s="3"/>
      <c r="CJ9" s="3"/>
      <c r="CK9" s="3"/>
      <c r="CL9" s="49">
        <v>0</v>
      </c>
      <c r="CM9" s="50">
        <v>0.8</v>
      </c>
      <c r="CN9" s="50">
        <v>0.1</v>
      </c>
      <c r="CO9" s="50">
        <v>0.1</v>
      </c>
      <c r="CP9" s="49">
        <v>97.188000000000002</v>
      </c>
      <c r="CQ9" s="49">
        <v>98.480999999999995</v>
      </c>
      <c r="CR9" s="50">
        <v>119.557</v>
      </c>
      <c r="CS9" s="50">
        <v>122.593</v>
      </c>
      <c r="CT9" s="49">
        <v>0.38200000000000001</v>
      </c>
      <c r="CU9" s="50">
        <v>1.3029999999999999</v>
      </c>
      <c r="CV9" s="50">
        <v>1.7050000000000001</v>
      </c>
      <c r="CW9" s="49">
        <v>1.099</v>
      </c>
      <c r="CX9" s="49">
        <v>0.79900000000000004</v>
      </c>
      <c r="CY9" s="49">
        <v>0.498</v>
      </c>
      <c r="CZ9" s="49">
        <v>1.0009999999999999</v>
      </c>
      <c r="DA9" s="49">
        <v>0.60099999999999998</v>
      </c>
      <c r="DB9" s="49">
        <v>1.599</v>
      </c>
      <c r="DC9" s="49">
        <v>0</v>
      </c>
      <c r="DD9" s="50">
        <v>0</v>
      </c>
      <c r="DE9" s="49">
        <v>0.246</v>
      </c>
      <c r="DF9" s="49">
        <v>0.13200000000000001</v>
      </c>
      <c r="DG9" s="49">
        <v>0.41599999999999998</v>
      </c>
      <c r="DH9" s="49">
        <v>1.9379999999999999</v>
      </c>
      <c r="DI9" s="49">
        <v>0.94</v>
      </c>
      <c r="DJ9" s="49">
        <v>0.127</v>
      </c>
      <c r="DK9" s="50">
        <v>1.1020000000000001</v>
      </c>
      <c r="DL9" s="49">
        <v>0.40699999999999997</v>
      </c>
      <c r="DM9" s="49">
        <v>5.7000000000000002E-2</v>
      </c>
      <c r="DN9" s="50">
        <v>0.48</v>
      </c>
      <c r="DO9" s="49">
        <v>0.40300000000000002</v>
      </c>
      <c r="DP9" s="49">
        <v>64.971999999999994</v>
      </c>
      <c r="DQ9" s="49">
        <v>56.716999999999999</v>
      </c>
      <c r="DR9" s="49">
        <v>52.737000000000002</v>
      </c>
      <c r="DS9" s="49">
        <v>50.621000000000002</v>
      </c>
      <c r="DT9" s="49">
        <v>5.65</v>
      </c>
      <c r="DU9" s="49">
        <v>5.51</v>
      </c>
      <c r="DV9" s="49">
        <v>10.48</v>
      </c>
      <c r="DW9" s="49">
        <v>8.18</v>
      </c>
      <c r="DX9" s="49">
        <v>5.93</v>
      </c>
      <c r="DY9" s="49">
        <v>5.69</v>
      </c>
      <c r="DZ9" s="49">
        <v>10.19</v>
      </c>
      <c r="EA9" s="49">
        <v>8.16</v>
      </c>
      <c r="EB9" s="49">
        <v>41.43</v>
      </c>
      <c r="EC9" s="49">
        <v>40.43</v>
      </c>
      <c r="ED9" s="50">
        <v>33.83</v>
      </c>
      <c r="EE9" s="49">
        <v>35.17</v>
      </c>
      <c r="EF9" s="49">
        <v>46.99</v>
      </c>
      <c r="EG9" s="49">
        <v>48.37</v>
      </c>
      <c r="EH9" s="49">
        <v>45.5</v>
      </c>
      <c r="EI9" s="49">
        <v>48.49</v>
      </c>
      <c r="EJ9" s="50">
        <v>7.6150000000000002</v>
      </c>
      <c r="EK9" s="49">
        <v>62.896000000000001</v>
      </c>
      <c r="EL9" s="49">
        <v>2.4</v>
      </c>
      <c r="EM9" s="50">
        <v>1.9</v>
      </c>
      <c r="EN9" s="50">
        <v>1.25</v>
      </c>
      <c r="EO9" s="50">
        <v>1.2</v>
      </c>
      <c r="EP9" s="50">
        <v>-112.646</v>
      </c>
      <c r="EQ9" s="49">
        <v>-2.0139999999999998</v>
      </c>
      <c r="ER9" s="49">
        <v>101.39</v>
      </c>
      <c r="ES9" s="49">
        <v>1.329</v>
      </c>
      <c r="ET9" s="49">
        <v>1.496</v>
      </c>
      <c r="EU9" s="49">
        <v>1.3129999999999999</v>
      </c>
      <c r="EV9" s="49">
        <v>7.4930000000000003</v>
      </c>
      <c r="EW9" s="50">
        <v>3.5640000000000001</v>
      </c>
      <c r="EX9" s="49">
        <v>72.739999999999995</v>
      </c>
      <c r="EY9" s="49">
        <v>0</v>
      </c>
      <c r="EZ9" s="49">
        <v>0</v>
      </c>
      <c r="FA9" s="50">
        <v>0</v>
      </c>
      <c r="FB9" s="50">
        <v>9.0790000000000006</v>
      </c>
      <c r="FC9" s="50">
        <v>70.614000000000004</v>
      </c>
      <c r="FD9" s="50">
        <v>65.525000000000006</v>
      </c>
      <c r="FE9" s="50">
        <v>81.846999999999994</v>
      </c>
      <c r="FF9" s="50">
        <v>79.366</v>
      </c>
      <c r="FG9" s="50">
        <v>1.06</v>
      </c>
      <c r="FH9" s="49">
        <v>0.98099999999999998</v>
      </c>
      <c r="FI9" s="49">
        <v>0.997</v>
      </c>
      <c r="FJ9" s="49">
        <v>1.002</v>
      </c>
      <c r="FK9" s="49">
        <v>0</v>
      </c>
      <c r="FL9" s="49">
        <v>83</v>
      </c>
      <c r="FM9" s="49">
        <v>3.78</v>
      </c>
      <c r="FN9" s="50">
        <v>0.78</v>
      </c>
      <c r="FO9" s="49">
        <v>5.09</v>
      </c>
      <c r="FP9" s="49">
        <v>3.9</v>
      </c>
      <c r="FQ9" s="50">
        <v>4.5</v>
      </c>
      <c r="FR9" s="49">
        <v>5.05</v>
      </c>
      <c r="FS9" s="49">
        <v>6.4390000000000001</v>
      </c>
      <c r="FT9" s="49">
        <v>1069.7</v>
      </c>
      <c r="FU9" s="50">
        <v>6.3</v>
      </c>
      <c r="FV9" s="50">
        <v>41.46</v>
      </c>
      <c r="FW9" s="50">
        <v>2953.5</v>
      </c>
      <c r="FX9" s="49">
        <v>163400</v>
      </c>
      <c r="FY9" s="49">
        <v>164900</v>
      </c>
      <c r="FZ9" s="49">
        <v>46.707000000000001</v>
      </c>
      <c r="GA9" s="49">
        <v>47.112000000000002</v>
      </c>
      <c r="GB9" s="49">
        <v>2146.8000000000002</v>
      </c>
      <c r="GC9" s="49">
        <v>2151.9</v>
      </c>
      <c r="GD9" s="50">
        <v>2384.5</v>
      </c>
      <c r="GE9" s="50">
        <v>2201.8000000000002</v>
      </c>
      <c r="GF9" s="49">
        <v>1385.0625</v>
      </c>
      <c r="GG9" s="50">
        <v>33</v>
      </c>
      <c r="GH9" s="50">
        <v>32.5</v>
      </c>
      <c r="GI9" s="49">
        <v>46.4</v>
      </c>
      <c r="GJ9" s="49">
        <v>51.2</v>
      </c>
      <c r="GK9" s="49">
        <v>99</v>
      </c>
      <c r="GL9" s="50">
        <v>112</v>
      </c>
      <c r="GM9" s="50">
        <v>0</v>
      </c>
      <c r="GN9" s="50">
        <v>26.012</v>
      </c>
      <c r="GO9" s="49">
        <v>112.646</v>
      </c>
      <c r="GP9" s="50">
        <v>0</v>
      </c>
      <c r="GQ9" s="49">
        <v>1.8879999999999999</v>
      </c>
      <c r="GR9" s="50">
        <v>0</v>
      </c>
      <c r="GS9" s="49">
        <v>2.0059999999999998</v>
      </c>
      <c r="GT9" s="50">
        <v>0</v>
      </c>
      <c r="GU9" s="49">
        <v>1.829</v>
      </c>
      <c r="GV9" s="50">
        <v>0</v>
      </c>
      <c r="GW9" s="49">
        <v>0</v>
      </c>
      <c r="GX9" s="49">
        <v>0</v>
      </c>
      <c r="GY9" s="50">
        <v>0</v>
      </c>
      <c r="GZ9" s="49">
        <v>12.813000000000001</v>
      </c>
      <c r="HA9" s="49">
        <v>16.170000000000002</v>
      </c>
      <c r="HB9" s="49">
        <v>0</v>
      </c>
      <c r="HC9" s="49">
        <v>34.106999999999999</v>
      </c>
      <c r="HD9" s="49">
        <v>82</v>
      </c>
      <c r="HE9" s="50">
        <v>0</v>
      </c>
      <c r="HF9" s="50">
        <v>0</v>
      </c>
      <c r="HG9" s="49">
        <v>66.91</v>
      </c>
      <c r="HH9" s="49">
        <v>78.27</v>
      </c>
      <c r="HI9" s="50">
        <v>0</v>
      </c>
      <c r="HJ9" s="50">
        <v>0</v>
      </c>
      <c r="HK9" s="50">
        <v>0</v>
      </c>
      <c r="HL9" s="49">
        <v>58</v>
      </c>
      <c r="HM9" s="50">
        <v>51</v>
      </c>
      <c r="HN9" s="50">
        <v>65</v>
      </c>
      <c r="HO9" s="50">
        <v>58</v>
      </c>
      <c r="HP9" s="50">
        <v>62</v>
      </c>
      <c r="HQ9" s="50">
        <v>59</v>
      </c>
      <c r="HR9" s="50">
        <v>54</v>
      </c>
      <c r="HS9" s="50">
        <v>64</v>
      </c>
      <c r="HT9" s="50">
        <v>-1.5149999999999999</v>
      </c>
      <c r="HU9" s="50">
        <v>0</v>
      </c>
      <c r="HV9" s="49">
        <v>0.61399999999999999</v>
      </c>
      <c r="HW9" s="50">
        <v>40.409999999999997</v>
      </c>
      <c r="HX9" s="50">
        <v>40.15</v>
      </c>
      <c r="HY9" s="3"/>
      <c r="HZ9" s="3"/>
      <c r="IA9" s="50">
        <v>2.9969999999999999</v>
      </c>
      <c r="IB9" s="49">
        <v>103</v>
      </c>
      <c r="IC9" s="49">
        <v>22.143999999999998</v>
      </c>
      <c r="ID9" s="49">
        <v>-0.29799999999999999</v>
      </c>
      <c r="IE9" s="49">
        <v>-0.16200000000000001</v>
      </c>
      <c r="IF9" s="50">
        <v>808.7</v>
      </c>
      <c r="IG9" s="49">
        <v>736.4</v>
      </c>
      <c r="IH9" s="50">
        <v>811.1</v>
      </c>
      <c r="II9" s="49">
        <v>749.6</v>
      </c>
      <c r="IJ9" s="49">
        <v>-6.9000000000000006E-2</v>
      </c>
      <c r="IK9" s="49">
        <v>-1.7000000000000001E-2</v>
      </c>
      <c r="IL9" s="49">
        <v>87.584000000000003</v>
      </c>
      <c r="IM9" s="49">
        <v>87.584000000000003</v>
      </c>
      <c r="IN9" s="49">
        <v>13.590999999999999</v>
      </c>
      <c r="IO9" s="49">
        <v>0.26</v>
      </c>
      <c r="IP9" s="49">
        <v>9.07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B893-4108-4757-99D6-AD7736286DE9}">
  <sheetPr codeName="Sheet21"/>
  <dimension ref="B1:IR10"/>
  <sheetViews>
    <sheetView zoomScale="85" zoomScaleNormal="85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431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ht="30" x14ac:dyDescent="0.25">
      <c r="B7" s="2" t="s">
        <v>412</v>
      </c>
      <c r="C7" s="2" t="s">
        <v>41</v>
      </c>
      <c r="D7" s="2" t="s">
        <v>432</v>
      </c>
      <c r="E7" s="49">
        <v>291.16500000000002</v>
      </c>
      <c r="F7" s="49">
        <v>329.48</v>
      </c>
      <c r="G7" s="49">
        <v>5.84</v>
      </c>
      <c r="H7" s="49">
        <v>25.9</v>
      </c>
      <c r="I7" s="50">
        <v>0</v>
      </c>
      <c r="J7" s="49">
        <v>30.3</v>
      </c>
      <c r="K7" s="50">
        <v>7</v>
      </c>
      <c r="L7" s="50">
        <v>6</v>
      </c>
      <c r="M7" s="50">
        <v>7</v>
      </c>
      <c r="N7" s="50">
        <v>3</v>
      </c>
      <c r="O7" s="50">
        <v>3</v>
      </c>
      <c r="P7" s="49">
        <v>0.78300000000000003</v>
      </c>
      <c r="Q7" s="49">
        <v>1.0740000000000001</v>
      </c>
      <c r="R7" s="49">
        <v>0.879</v>
      </c>
      <c r="S7" s="49">
        <v>0.76600000000000001</v>
      </c>
      <c r="T7" s="49">
        <v>59.96</v>
      </c>
      <c r="U7" s="50">
        <v>60.444000000000003</v>
      </c>
      <c r="V7" s="49">
        <v>170</v>
      </c>
      <c r="W7" s="49">
        <v>187.5</v>
      </c>
      <c r="X7" s="49">
        <v>130</v>
      </c>
      <c r="Y7" s="49">
        <v>152.5</v>
      </c>
      <c r="Z7" s="49">
        <v>327.14</v>
      </c>
      <c r="AA7" s="49">
        <v>338.9</v>
      </c>
      <c r="AB7" s="49">
        <v>226.18</v>
      </c>
      <c r="AC7" s="49">
        <v>283.89999999999998</v>
      </c>
      <c r="AD7" s="49">
        <v>1.754</v>
      </c>
      <c r="AE7" s="49">
        <v>1.7929999999999999</v>
      </c>
      <c r="AF7" s="49">
        <v>1.7529999999999999</v>
      </c>
      <c r="AG7" s="49">
        <v>1.7789999999999999</v>
      </c>
      <c r="AH7" s="49">
        <v>67.12</v>
      </c>
      <c r="AI7" s="49">
        <v>62.46</v>
      </c>
      <c r="AJ7" s="49">
        <v>91.41</v>
      </c>
      <c r="AK7" s="49">
        <v>93.94</v>
      </c>
      <c r="AL7" s="49">
        <v>639.18799999999999</v>
      </c>
      <c r="AM7" s="49">
        <v>651.673</v>
      </c>
      <c r="AN7" s="49">
        <v>815.05600000000004</v>
      </c>
      <c r="AO7" s="49">
        <v>833.13699999999994</v>
      </c>
      <c r="AP7" s="50">
        <v>1.3620000000000001</v>
      </c>
      <c r="AQ7" s="49">
        <v>1.8029999999999999</v>
      </c>
      <c r="AR7" s="49">
        <v>41.061999999999998</v>
      </c>
      <c r="AS7" s="49">
        <v>37.262</v>
      </c>
      <c r="AT7" s="50">
        <v>85</v>
      </c>
      <c r="AU7" s="49">
        <v>118</v>
      </c>
      <c r="AV7" s="49">
        <v>1.4365000000000001</v>
      </c>
      <c r="AW7" s="49">
        <v>4.3083</v>
      </c>
      <c r="AX7" s="50">
        <v>1018</v>
      </c>
      <c r="AY7" s="50">
        <v>2.95</v>
      </c>
      <c r="AZ7" s="49">
        <v>4.79</v>
      </c>
      <c r="BA7" s="50">
        <v>65.5</v>
      </c>
      <c r="BB7" s="50">
        <v>66.400000000000006</v>
      </c>
      <c r="BC7" s="49">
        <v>7736</v>
      </c>
      <c r="BD7" s="50">
        <v>89.75</v>
      </c>
      <c r="BE7" s="49">
        <v>15.78</v>
      </c>
      <c r="BF7" s="50">
        <v>14.65</v>
      </c>
      <c r="BG7" s="49">
        <v>28.16</v>
      </c>
      <c r="BH7" s="50">
        <v>32.049999999999997</v>
      </c>
      <c r="BI7" s="49">
        <v>65.602000000000004</v>
      </c>
      <c r="BJ7" s="49">
        <v>79.552000000000007</v>
      </c>
      <c r="BK7" s="49">
        <v>64.126999999999995</v>
      </c>
      <c r="BL7" s="49">
        <v>77.350999999999999</v>
      </c>
      <c r="BM7" s="49">
        <v>77.293000000000006</v>
      </c>
      <c r="BN7" s="50">
        <v>131.99199999999999</v>
      </c>
      <c r="BO7" s="50">
        <v>139.19200000000001</v>
      </c>
      <c r="BP7" s="50">
        <v>134.584</v>
      </c>
      <c r="BQ7" s="50">
        <v>135.17599999999999</v>
      </c>
      <c r="BR7" s="49">
        <v>58.173000000000002</v>
      </c>
      <c r="BS7" s="49">
        <v>25.6</v>
      </c>
      <c r="BT7" s="49">
        <v>7359.6840000000002</v>
      </c>
      <c r="BU7" s="50">
        <v>52.62</v>
      </c>
      <c r="BV7" s="49">
        <v>51.691000000000003</v>
      </c>
      <c r="BW7" s="50">
        <v>53.719000000000001</v>
      </c>
      <c r="BX7" s="50">
        <v>54.162999999999997</v>
      </c>
      <c r="BY7" s="50">
        <v>1.516</v>
      </c>
      <c r="BZ7" s="49">
        <v>2.629</v>
      </c>
      <c r="CA7" s="49">
        <v>3.3410000000000002</v>
      </c>
      <c r="CB7" s="49">
        <v>3.202</v>
      </c>
      <c r="CC7" s="50">
        <v>1.0049999999999999</v>
      </c>
      <c r="CD7" s="49">
        <v>2.0739999999999998</v>
      </c>
      <c r="CE7" s="50">
        <v>1.1970000000000001</v>
      </c>
      <c r="CF7" s="50">
        <v>1.9930000000000001</v>
      </c>
      <c r="CG7" s="49">
        <v>13.532</v>
      </c>
      <c r="CH7" s="50">
        <v>10.131</v>
      </c>
      <c r="CI7" s="49">
        <v>5.6210000000000004</v>
      </c>
      <c r="CJ7" s="49">
        <v>3.3879999999999999</v>
      </c>
      <c r="CK7" s="49">
        <v>1.4359999999999999</v>
      </c>
      <c r="CL7" s="49">
        <v>0</v>
      </c>
      <c r="CM7" s="49">
        <v>0.2</v>
      </c>
      <c r="CN7" s="50">
        <v>0</v>
      </c>
      <c r="CO7" s="50">
        <v>0</v>
      </c>
      <c r="CP7" s="50">
        <v>105.282</v>
      </c>
      <c r="CQ7" s="50">
        <v>108.79900000000001</v>
      </c>
      <c r="CR7" s="50">
        <v>113.35</v>
      </c>
      <c r="CS7" s="50">
        <v>116.307</v>
      </c>
      <c r="CT7" s="49">
        <v>0.32400000000000001</v>
      </c>
      <c r="CU7" s="49">
        <v>0.79900000000000004</v>
      </c>
      <c r="CV7" s="49">
        <v>0.30199999999999999</v>
      </c>
      <c r="CW7" s="49">
        <v>1.202</v>
      </c>
      <c r="CX7" s="49">
        <v>1.1990000000000001</v>
      </c>
      <c r="CY7" s="49">
        <v>0.5</v>
      </c>
      <c r="CZ7" s="50">
        <v>1.897</v>
      </c>
      <c r="DA7" s="49">
        <v>0.80200000000000005</v>
      </c>
      <c r="DB7" s="49">
        <v>1.399</v>
      </c>
      <c r="DC7" s="50">
        <v>6.0000000000000001E-3</v>
      </c>
      <c r="DD7" s="50">
        <v>0</v>
      </c>
      <c r="DE7" s="49">
        <v>0.23100000000000001</v>
      </c>
      <c r="DF7" s="49">
        <v>0.152</v>
      </c>
      <c r="DG7" s="49">
        <v>0.189</v>
      </c>
      <c r="DH7" s="49">
        <v>1.8380000000000001</v>
      </c>
      <c r="DI7" s="49">
        <v>1.113</v>
      </c>
      <c r="DJ7" s="49">
        <v>0.26400000000000001</v>
      </c>
      <c r="DK7" s="49">
        <v>0.91200000000000003</v>
      </c>
      <c r="DL7" s="49">
        <v>0.39500000000000002</v>
      </c>
      <c r="DM7" s="49">
        <v>0.504</v>
      </c>
      <c r="DN7" s="49">
        <v>0.438</v>
      </c>
      <c r="DO7" s="49">
        <v>0.35899999999999999</v>
      </c>
      <c r="DP7" s="49">
        <v>65.254000000000005</v>
      </c>
      <c r="DQ7" s="49">
        <v>58.994999999999997</v>
      </c>
      <c r="DR7" s="49">
        <v>54.752000000000002</v>
      </c>
      <c r="DS7" s="49">
        <v>49.886000000000003</v>
      </c>
      <c r="DT7" s="49">
        <v>4.2300000000000004</v>
      </c>
      <c r="DU7" s="49">
        <v>4.72</v>
      </c>
      <c r="DV7" s="49">
        <v>8.2799999999999994</v>
      </c>
      <c r="DW7" s="49">
        <v>6.68</v>
      </c>
      <c r="DX7" s="49">
        <v>4.5</v>
      </c>
      <c r="DY7" s="49">
        <v>4.6500000000000004</v>
      </c>
      <c r="DZ7" s="49">
        <v>7.85</v>
      </c>
      <c r="EA7" s="49">
        <v>6.45</v>
      </c>
      <c r="EB7" s="49">
        <v>34.44</v>
      </c>
      <c r="EC7" s="49">
        <v>33.159999999999997</v>
      </c>
      <c r="ED7" s="49">
        <v>29.23</v>
      </c>
      <c r="EE7" s="49">
        <v>30.82</v>
      </c>
      <c r="EF7" s="50">
        <v>56.83</v>
      </c>
      <c r="EG7" s="50">
        <v>57.47</v>
      </c>
      <c r="EH7" s="49">
        <v>54.64</v>
      </c>
      <c r="EI7" s="49">
        <v>56.04</v>
      </c>
      <c r="EJ7" s="49">
        <v>7.202</v>
      </c>
      <c r="EK7" s="49">
        <v>62.445999999999998</v>
      </c>
      <c r="EL7" s="50">
        <v>2.75</v>
      </c>
      <c r="EM7" s="50">
        <v>1.9</v>
      </c>
      <c r="EN7" s="49">
        <v>1.17</v>
      </c>
      <c r="EO7" s="49">
        <v>1.18</v>
      </c>
      <c r="EP7" s="49">
        <v>-99.213999999999999</v>
      </c>
      <c r="EQ7" s="49">
        <v>-0.91500000000000004</v>
      </c>
      <c r="ER7" s="50">
        <v>115.69799999999999</v>
      </c>
      <c r="ES7" s="49">
        <v>1.097</v>
      </c>
      <c r="ET7" s="49">
        <v>1.232</v>
      </c>
      <c r="EU7" s="49">
        <v>1.089</v>
      </c>
      <c r="EV7" s="50">
        <v>7.7560000000000002</v>
      </c>
      <c r="EW7" s="49">
        <v>3.4569999999999999</v>
      </c>
      <c r="EX7" s="49">
        <v>-148.04</v>
      </c>
      <c r="EY7" s="50">
        <v>0.38</v>
      </c>
      <c r="EZ7" s="50">
        <v>0</v>
      </c>
      <c r="FA7" s="50">
        <v>0</v>
      </c>
      <c r="FB7" s="49">
        <v>7.8460000000000001</v>
      </c>
      <c r="FC7" s="49">
        <v>68.575999999999993</v>
      </c>
      <c r="FD7" s="50">
        <v>64.734999999999999</v>
      </c>
      <c r="FE7" s="49">
        <v>76.375</v>
      </c>
      <c r="FF7" s="49">
        <v>75.260999999999996</v>
      </c>
      <c r="FG7" s="49">
        <v>0.96899999999999997</v>
      </c>
      <c r="FH7" s="50">
        <v>0.97199999999999998</v>
      </c>
      <c r="FI7" s="49">
        <v>1.002</v>
      </c>
      <c r="FJ7" s="49">
        <v>1.006</v>
      </c>
      <c r="FK7" s="50">
        <v>0.10299999999999999</v>
      </c>
      <c r="FL7" s="50">
        <v>86</v>
      </c>
      <c r="FM7" s="49">
        <v>3.82</v>
      </c>
      <c r="FN7" s="49">
        <v>1.07</v>
      </c>
      <c r="FO7" s="49">
        <v>4.75</v>
      </c>
      <c r="FP7" s="50">
        <v>0.8</v>
      </c>
      <c r="FQ7" s="49">
        <v>4.6500000000000004</v>
      </c>
      <c r="FR7" s="50">
        <v>4.9000000000000004</v>
      </c>
      <c r="FS7" s="49">
        <v>6.5724999999999998</v>
      </c>
      <c r="FT7" s="49">
        <v>1066.8</v>
      </c>
      <c r="FU7" s="49">
        <v>5.58</v>
      </c>
      <c r="FV7" s="49">
        <v>47.3</v>
      </c>
      <c r="FW7" s="49">
        <v>3088.5</v>
      </c>
      <c r="FX7" s="49">
        <v>163400</v>
      </c>
      <c r="FY7" s="49">
        <v>164300</v>
      </c>
      <c r="FZ7" s="50">
        <v>47.831000000000003</v>
      </c>
      <c r="GA7" s="50">
        <v>48.027999999999999</v>
      </c>
      <c r="GB7" s="49">
        <v>2143.4</v>
      </c>
      <c r="GC7" s="49">
        <v>2145.8000000000002</v>
      </c>
      <c r="GD7" s="49">
        <v>2174.5</v>
      </c>
      <c r="GE7" s="49">
        <v>2203.1999999999998</v>
      </c>
      <c r="GF7" s="49">
        <v>1219.0938000000001</v>
      </c>
      <c r="GG7" s="49">
        <v>33</v>
      </c>
      <c r="GH7" s="49">
        <v>33.4</v>
      </c>
      <c r="GI7" s="50">
        <v>50.5</v>
      </c>
      <c r="GJ7" s="49">
        <v>55.7</v>
      </c>
      <c r="GK7" s="50">
        <v>97</v>
      </c>
      <c r="GL7" s="50">
        <v>111.1</v>
      </c>
      <c r="GM7" s="50">
        <v>0</v>
      </c>
      <c r="GN7" s="50">
        <v>25.738</v>
      </c>
      <c r="GO7" s="49">
        <v>115.69799999999999</v>
      </c>
      <c r="GP7" s="50">
        <v>0</v>
      </c>
      <c r="GQ7" s="50">
        <v>4.1890000000000001</v>
      </c>
      <c r="GR7" s="50">
        <v>0</v>
      </c>
      <c r="GS7" s="50">
        <v>3.4220000000000002</v>
      </c>
      <c r="GT7" s="50">
        <v>0</v>
      </c>
      <c r="GU7" s="50">
        <v>3.5990000000000002</v>
      </c>
      <c r="GV7" s="50">
        <v>0</v>
      </c>
      <c r="GW7" s="50">
        <v>8.9999999999999993E-3</v>
      </c>
      <c r="GX7" s="50">
        <v>20.678000000000001</v>
      </c>
      <c r="GY7" s="50">
        <v>0</v>
      </c>
      <c r="GZ7" s="49">
        <v>10.685</v>
      </c>
      <c r="HA7" s="50">
        <v>20.384</v>
      </c>
      <c r="HB7" s="50">
        <v>1</v>
      </c>
      <c r="HC7" s="49">
        <v>33.783999999999999</v>
      </c>
      <c r="HD7" s="50">
        <v>90</v>
      </c>
      <c r="HE7" s="50">
        <v>0</v>
      </c>
      <c r="HF7" s="50">
        <v>0</v>
      </c>
      <c r="HG7" s="49">
        <v>75.680000000000007</v>
      </c>
      <c r="HH7" s="49">
        <v>77.900000000000006</v>
      </c>
      <c r="HI7" s="50">
        <v>0</v>
      </c>
      <c r="HJ7" s="50">
        <v>0</v>
      </c>
      <c r="HK7" s="50">
        <v>0</v>
      </c>
      <c r="HL7" s="50">
        <v>62</v>
      </c>
      <c r="HM7" s="50">
        <v>52</v>
      </c>
      <c r="HN7" s="49">
        <v>65</v>
      </c>
      <c r="HO7" s="49">
        <v>58</v>
      </c>
      <c r="HP7" s="49">
        <v>61</v>
      </c>
      <c r="HQ7" s="49">
        <v>59</v>
      </c>
      <c r="HR7" s="49">
        <v>54</v>
      </c>
      <c r="HS7" s="50">
        <v>70</v>
      </c>
      <c r="HT7" s="49">
        <v>-1.4984999999999999</v>
      </c>
      <c r="HU7" s="50">
        <v>0</v>
      </c>
      <c r="HV7" s="49">
        <v>0.54700000000000004</v>
      </c>
      <c r="HW7" s="49">
        <v>43.43</v>
      </c>
      <c r="HX7" s="50">
        <v>43.64</v>
      </c>
      <c r="HY7" s="3"/>
      <c r="HZ7" s="3"/>
      <c r="IA7" s="49">
        <v>2.6659999999999999</v>
      </c>
      <c r="IB7" s="49">
        <v>100</v>
      </c>
      <c r="IC7" s="49">
        <v>19.155000000000001</v>
      </c>
      <c r="ID7" s="49">
        <v>-0.23300000000000001</v>
      </c>
      <c r="IE7" s="49">
        <v>-0.122</v>
      </c>
      <c r="IF7" s="49">
        <v>803.8</v>
      </c>
      <c r="IG7" s="49">
        <v>677.7</v>
      </c>
      <c r="IH7" s="49">
        <v>813</v>
      </c>
      <c r="II7" s="49">
        <v>694</v>
      </c>
      <c r="IJ7" s="49">
        <v>-1.2E-2</v>
      </c>
      <c r="IK7" s="49">
        <v>8.0000000000000002E-3</v>
      </c>
      <c r="IL7" s="49">
        <v>143.334</v>
      </c>
      <c r="IM7" s="49">
        <v>143.334</v>
      </c>
      <c r="IN7" s="49">
        <v>16.584</v>
      </c>
      <c r="IO7" s="49">
        <v>0.16800000000000001</v>
      </c>
      <c r="IP7" s="50">
        <v>9.09</v>
      </c>
      <c r="IQ7" s="49">
        <v>0.01</v>
      </c>
      <c r="IR7" s="49">
        <v>5.0000000000000001E-3</v>
      </c>
    </row>
    <row r="8" spans="2:252" ht="30" x14ac:dyDescent="0.25">
      <c r="B8" s="2" t="s">
        <v>412</v>
      </c>
      <c r="C8" s="62" t="s">
        <v>42</v>
      </c>
      <c r="D8" s="62" t="s">
        <v>433</v>
      </c>
      <c r="E8" s="49">
        <v>211.94</v>
      </c>
      <c r="F8" s="49">
        <v>330.58</v>
      </c>
      <c r="G8" s="50">
        <v>6.02</v>
      </c>
      <c r="H8" s="49">
        <v>25.8</v>
      </c>
      <c r="I8" s="50">
        <v>0</v>
      </c>
      <c r="J8" s="49">
        <v>13.4</v>
      </c>
      <c r="K8" s="50">
        <v>7</v>
      </c>
      <c r="L8" s="50">
        <v>6</v>
      </c>
      <c r="M8" s="50">
        <v>7</v>
      </c>
      <c r="N8" s="50">
        <v>3</v>
      </c>
      <c r="O8" s="50">
        <v>3</v>
      </c>
      <c r="P8" s="49">
        <v>0.875</v>
      </c>
      <c r="Q8" s="49">
        <v>1.2410000000000001</v>
      </c>
      <c r="R8" s="49">
        <v>0.90700000000000003</v>
      </c>
      <c r="S8" s="50">
        <v>0.82299999999999995</v>
      </c>
      <c r="T8" s="49">
        <v>71.72</v>
      </c>
      <c r="U8" s="49">
        <v>60.015000000000001</v>
      </c>
      <c r="V8" s="49">
        <v>230</v>
      </c>
      <c r="W8" s="49">
        <v>246.66</v>
      </c>
      <c r="X8" s="49">
        <v>165</v>
      </c>
      <c r="Y8" s="49">
        <v>206.66</v>
      </c>
      <c r="Z8" s="50">
        <v>377.99</v>
      </c>
      <c r="AA8" s="50">
        <v>389.08</v>
      </c>
      <c r="AB8" s="50">
        <v>279.22000000000003</v>
      </c>
      <c r="AC8" s="50">
        <v>345.88</v>
      </c>
      <c r="AD8" s="49">
        <v>1.7689999999999999</v>
      </c>
      <c r="AE8" s="49">
        <v>1.79</v>
      </c>
      <c r="AF8" s="49">
        <v>1.788</v>
      </c>
      <c r="AG8" s="49">
        <v>1.806</v>
      </c>
      <c r="AH8" s="49">
        <v>75.03</v>
      </c>
      <c r="AI8" s="49">
        <v>69.930000000000007</v>
      </c>
      <c r="AJ8" s="49">
        <v>100.73</v>
      </c>
      <c r="AK8" s="49">
        <v>102.64</v>
      </c>
      <c r="AL8" s="50">
        <v>700.21</v>
      </c>
      <c r="AM8" s="50">
        <v>704.45500000000004</v>
      </c>
      <c r="AN8" s="49">
        <v>866.36300000000006</v>
      </c>
      <c r="AO8" s="49">
        <v>850.40700000000004</v>
      </c>
      <c r="AP8" s="49">
        <v>1.339</v>
      </c>
      <c r="AQ8" s="50">
        <v>1.804</v>
      </c>
      <c r="AR8" s="49">
        <v>41.563000000000002</v>
      </c>
      <c r="AS8" s="49">
        <v>38.549999999999997</v>
      </c>
      <c r="AT8" s="49">
        <v>83</v>
      </c>
      <c r="AU8" s="49">
        <v>120</v>
      </c>
      <c r="AV8" s="50">
        <v>1.2855000000000001</v>
      </c>
      <c r="AW8" s="50">
        <v>4.6193999999999997</v>
      </c>
      <c r="AX8" s="49">
        <v>1017.4</v>
      </c>
      <c r="AY8" s="49">
        <v>2.4700000000000002</v>
      </c>
      <c r="AZ8" s="49">
        <v>4.79</v>
      </c>
      <c r="BA8" s="49">
        <v>98.03</v>
      </c>
      <c r="BB8" s="49">
        <v>98.53</v>
      </c>
      <c r="BC8" s="49">
        <v>7683</v>
      </c>
      <c r="BD8" s="49">
        <v>88.75</v>
      </c>
      <c r="BE8" s="49">
        <v>15.89</v>
      </c>
      <c r="BF8" s="49">
        <v>14.55</v>
      </c>
      <c r="BG8" s="50">
        <v>28.65</v>
      </c>
      <c r="BH8" s="49">
        <v>31.61</v>
      </c>
      <c r="BI8" s="3"/>
      <c r="BJ8" s="3"/>
      <c r="BK8" s="3"/>
      <c r="BL8" s="3"/>
      <c r="BM8" s="3"/>
      <c r="BN8" s="49">
        <v>96.855999999999995</v>
      </c>
      <c r="BO8" s="49">
        <v>98.152000000000001</v>
      </c>
      <c r="BP8" s="49">
        <v>117.464</v>
      </c>
      <c r="BQ8" s="49">
        <v>121.928</v>
      </c>
      <c r="BR8" s="3"/>
      <c r="BS8" s="49">
        <v>25.5</v>
      </c>
      <c r="BT8" s="49">
        <v>7429.759</v>
      </c>
      <c r="BU8" s="49">
        <v>49.052</v>
      </c>
      <c r="BV8" s="49">
        <v>51.228999999999999</v>
      </c>
      <c r="BW8" s="49">
        <v>51.573999999999998</v>
      </c>
      <c r="BX8" s="49">
        <v>52.985999999999997</v>
      </c>
      <c r="BY8" s="49">
        <v>1.4490000000000001</v>
      </c>
      <c r="BZ8" s="49">
        <v>2.7629999999999999</v>
      </c>
      <c r="CA8" s="49">
        <v>3.5059999999999998</v>
      </c>
      <c r="CB8" s="50">
        <v>3.6539999999999999</v>
      </c>
      <c r="CC8" s="49">
        <v>0.88200000000000001</v>
      </c>
      <c r="CD8" s="49">
        <v>2.0630000000000002</v>
      </c>
      <c r="CE8" s="49">
        <v>1.1830000000000001</v>
      </c>
      <c r="CF8" s="49">
        <v>1.98</v>
      </c>
      <c r="CG8" s="49">
        <v>13.728999999999999</v>
      </c>
      <c r="CH8" s="49">
        <v>13.558999999999999</v>
      </c>
      <c r="CI8" s="50">
        <v>5.6680000000000001</v>
      </c>
      <c r="CJ8" s="50">
        <v>3.8050000000000002</v>
      </c>
      <c r="CK8" s="50">
        <v>1.63</v>
      </c>
      <c r="CL8" s="49">
        <v>0.1</v>
      </c>
      <c r="CM8" s="49">
        <v>0.3</v>
      </c>
      <c r="CN8" s="50">
        <v>0</v>
      </c>
      <c r="CO8" s="50">
        <v>0</v>
      </c>
      <c r="CP8" s="49">
        <v>92.578000000000003</v>
      </c>
      <c r="CQ8" s="49">
        <v>93.799000000000007</v>
      </c>
      <c r="CR8" s="49">
        <v>109.032</v>
      </c>
      <c r="CS8" s="49">
        <v>115.566</v>
      </c>
      <c r="CT8" s="50">
        <v>0.38700000000000001</v>
      </c>
      <c r="CU8" s="49">
        <v>0.59799999999999998</v>
      </c>
      <c r="CV8" s="49">
        <v>0.60199999999999998</v>
      </c>
      <c r="CW8" s="49">
        <v>0.90100000000000002</v>
      </c>
      <c r="CX8" s="49">
        <v>1.1000000000000001</v>
      </c>
      <c r="CY8" s="50">
        <v>1.3</v>
      </c>
      <c r="CZ8" s="49">
        <v>1.4990000000000001</v>
      </c>
      <c r="DA8" s="49">
        <v>0.70299999999999996</v>
      </c>
      <c r="DB8" s="49">
        <v>1.3979999999999999</v>
      </c>
      <c r="DC8" s="49">
        <v>0</v>
      </c>
      <c r="DD8" s="50">
        <v>0</v>
      </c>
      <c r="DE8" s="50">
        <v>0.34100000000000003</v>
      </c>
      <c r="DF8" s="50">
        <v>0.18099999999999999</v>
      </c>
      <c r="DG8" s="50">
        <v>0.93300000000000005</v>
      </c>
      <c r="DH8" s="50">
        <v>2.2029999999999998</v>
      </c>
      <c r="DI8" s="50">
        <v>1.276</v>
      </c>
      <c r="DJ8" s="49">
        <v>0.25800000000000001</v>
      </c>
      <c r="DK8" s="49">
        <v>1.1859999999999999</v>
      </c>
      <c r="DL8" s="49">
        <v>0.40400000000000003</v>
      </c>
      <c r="DM8" s="49">
        <v>0.47499999999999998</v>
      </c>
      <c r="DN8" s="49">
        <v>0.46400000000000002</v>
      </c>
      <c r="DO8" s="49">
        <v>0.307</v>
      </c>
      <c r="DP8" s="49">
        <v>66.343000000000004</v>
      </c>
      <c r="DQ8" s="49">
        <v>59.47</v>
      </c>
      <c r="DR8" s="50">
        <v>55.151000000000003</v>
      </c>
      <c r="DS8" s="49">
        <v>51.29</v>
      </c>
      <c r="DT8" s="50">
        <v>7.27</v>
      </c>
      <c r="DU8" s="50">
        <v>7.48</v>
      </c>
      <c r="DV8" s="50">
        <v>13.18</v>
      </c>
      <c r="DW8" s="50">
        <v>10.39</v>
      </c>
      <c r="DX8" s="50">
        <v>7.6</v>
      </c>
      <c r="DY8" s="50">
        <v>7.87</v>
      </c>
      <c r="DZ8" s="50">
        <v>12.82</v>
      </c>
      <c r="EA8" s="50">
        <v>10.01</v>
      </c>
      <c r="EB8" s="49">
        <v>41.43</v>
      </c>
      <c r="EC8" s="49">
        <v>40.74</v>
      </c>
      <c r="ED8" s="49">
        <v>33.31</v>
      </c>
      <c r="EE8" s="49">
        <v>36.130000000000003</v>
      </c>
      <c r="EF8" s="49">
        <v>43.7</v>
      </c>
      <c r="EG8" s="49">
        <v>43.91</v>
      </c>
      <c r="EH8" s="49">
        <v>40.69</v>
      </c>
      <c r="EI8" s="49">
        <v>43.48</v>
      </c>
      <c r="EJ8" s="49">
        <v>7.1230000000000002</v>
      </c>
      <c r="EK8" s="50">
        <v>62.820999999999998</v>
      </c>
      <c r="EL8" s="49">
        <v>2.2999999999999998</v>
      </c>
      <c r="EM8" s="49">
        <v>1.95</v>
      </c>
      <c r="EN8" s="49">
        <v>1.19</v>
      </c>
      <c r="EO8" s="49">
        <v>1.2</v>
      </c>
      <c r="EP8" s="49">
        <v>-108.55800000000001</v>
      </c>
      <c r="EQ8" s="49">
        <v>-2.19</v>
      </c>
      <c r="ER8" s="49">
        <v>99.638000000000005</v>
      </c>
      <c r="ES8" s="49">
        <v>1.337</v>
      </c>
      <c r="ET8" s="49">
        <v>1.5289999999999999</v>
      </c>
      <c r="EU8" s="49">
        <v>1.3280000000000001</v>
      </c>
      <c r="EV8" s="49">
        <v>7.5090000000000003</v>
      </c>
      <c r="EW8" s="49">
        <v>3.375</v>
      </c>
      <c r="EX8" s="50">
        <v>73.5</v>
      </c>
      <c r="EY8" s="49">
        <v>0.28000000000000003</v>
      </c>
      <c r="EZ8" s="50">
        <v>0</v>
      </c>
      <c r="FA8" s="50">
        <v>0</v>
      </c>
      <c r="FB8" s="49">
        <v>8.9949999999999992</v>
      </c>
      <c r="FC8" s="49">
        <v>67.028000000000006</v>
      </c>
      <c r="FD8" s="49">
        <v>62.87</v>
      </c>
      <c r="FE8" s="49">
        <v>75.274000000000001</v>
      </c>
      <c r="FF8" s="49">
        <v>74.150999999999996</v>
      </c>
      <c r="FG8" s="49">
        <v>0.91600000000000004</v>
      </c>
      <c r="FH8" s="49">
        <v>0.91600000000000004</v>
      </c>
      <c r="FI8" s="49">
        <v>0.997</v>
      </c>
      <c r="FJ8" s="49">
        <v>1.004</v>
      </c>
      <c r="FK8" s="49">
        <v>0</v>
      </c>
      <c r="FL8" s="49">
        <v>83</v>
      </c>
      <c r="FM8" s="49">
        <v>3.78</v>
      </c>
      <c r="FN8" s="49">
        <v>0.49</v>
      </c>
      <c r="FO8" s="49">
        <v>4.83</v>
      </c>
      <c r="FP8" s="3"/>
      <c r="FQ8" s="49">
        <v>4.5999999999999996</v>
      </c>
      <c r="FR8" s="49">
        <v>5.05</v>
      </c>
      <c r="FS8" s="49">
        <v>6.4820000000000002</v>
      </c>
      <c r="FT8" s="49">
        <v>1068.5</v>
      </c>
      <c r="FU8" s="49">
        <v>5.81</v>
      </c>
      <c r="FV8" s="49">
        <v>53.32</v>
      </c>
      <c r="FW8" s="49">
        <v>2907</v>
      </c>
      <c r="FX8" s="50">
        <v>170200</v>
      </c>
      <c r="FY8" s="50">
        <v>171000</v>
      </c>
      <c r="FZ8" s="49">
        <v>47.274999999999999</v>
      </c>
      <c r="GA8" s="49">
        <v>47.651000000000003</v>
      </c>
      <c r="GB8" s="49">
        <v>2141.8000000000002</v>
      </c>
      <c r="GC8" s="50">
        <v>2427.1</v>
      </c>
      <c r="GD8" s="49">
        <v>2169.6</v>
      </c>
      <c r="GE8" s="50">
        <v>2428.8000000000002</v>
      </c>
      <c r="GF8" s="50">
        <v>1555.9063000000001</v>
      </c>
      <c r="GG8" s="49">
        <v>34</v>
      </c>
      <c r="GH8" s="49">
        <v>34.200000000000003</v>
      </c>
      <c r="GI8" s="49">
        <v>47.1</v>
      </c>
      <c r="GJ8" s="49">
        <v>52</v>
      </c>
      <c r="GK8" s="49">
        <v>99.5</v>
      </c>
      <c r="GL8" s="49">
        <v>109.7</v>
      </c>
      <c r="GM8" s="50">
        <v>0</v>
      </c>
      <c r="GN8" s="49">
        <v>23.91</v>
      </c>
      <c r="GO8" s="49">
        <v>108.55800000000001</v>
      </c>
      <c r="GP8" s="49">
        <v>0.29499999999999998</v>
      </c>
      <c r="GQ8" s="49">
        <v>1.829</v>
      </c>
      <c r="GR8" s="49">
        <v>0.59</v>
      </c>
      <c r="GS8" s="49">
        <v>1.9470000000000001</v>
      </c>
      <c r="GT8" s="49">
        <v>0.53100000000000003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11.858000000000001</v>
      </c>
      <c r="GZ8" s="49">
        <v>13.561</v>
      </c>
      <c r="HA8" s="49">
        <v>15.092000000000001</v>
      </c>
      <c r="HB8" s="49">
        <v>0</v>
      </c>
      <c r="HC8" s="50">
        <v>36.188000000000002</v>
      </c>
      <c r="HD8" s="49">
        <v>82</v>
      </c>
      <c r="HE8" s="50">
        <v>0</v>
      </c>
      <c r="HF8" s="50">
        <v>0</v>
      </c>
      <c r="HG8" s="50">
        <v>83.22</v>
      </c>
      <c r="HH8" s="50">
        <v>78.95</v>
      </c>
      <c r="HI8" s="50">
        <v>0</v>
      </c>
      <c r="HJ8" s="50">
        <v>0</v>
      </c>
      <c r="HK8" s="50">
        <v>0</v>
      </c>
      <c r="HL8" s="49">
        <v>58</v>
      </c>
      <c r="HM8" s="49">
        <v>51</v>
      </c>
      <c r="HN8" s="49">
        <v>65</v>
      </c>
      <c r="HO8" s="49">
        <v>58</v>
      </c>
      <c r="HP8" s="50">
        <v>62</v>
      </c>
      <c r="HQ8" s="49">
        <v>59</v>
      </c>
      <c r="HR8" s="49">
        <v>54</v>
      </c>
      <c r="HS8" s="49">
        <v>62</v>
      </c>
      <c r="HT8" s="49">
        <v>-1.4995000000000001</v>
      </c>
      <c r="HU8" s="50">
        <v>0</v>
      </c>
      <c r="HV8" s="49">
        <v>0.58299999999999996</v>
      </c>
      <c r="HW8" s="50">
        <v>40.380000000000003</v>
      </c>
      <c r="HX8" s="50">
        <v>43.64</v>
      </c>
      <c r="HY8" s="3"/>
      <c r="HZ8" s="3"/>
      <c r="IA8" s="50">
        <v>2.8610000000000002</v>
      </c>
      <c r="IB8" s="50">
        <v>104</v>
      </c>
      <c r="IC8" s="49">
        <v>22.446999999999999</v>
      </c>
      <c r="ID8" s="49">
        <v>-0.38700000000000001</v>
      </c>
      <c r="IE8" s="49">
        <v>-0.215</v>
      </c>
      <c r="IF8" s="50">
        <v>818.2</v>
      </c>
      <c r="IG8" s="50">
        <v>760.2</v>
      </c>
      <c r="IH8" s="49">
        <v>831.3</v>
      </c>
      <c r="II8" s="50">
        <v>771.6</v>
      </c>
      <c r="IJ8" s="49">
        <v>-5.0999999999999997E-2</v>
      </c>
      <c r="IK8" s="49">
        <v>3.0000000000000001E-3</v>
      </c>
      <c r="IL8" s="49">
        <v>72.774000000000001</v>
      </c>
      <c r="IM8" s="49">
        <v>72.774000000000001</v>
      </c>
      <c r="IN8" s="49">
        <v>11.727</v>
      </c>
      <c r="IO8" s="49">
        <v>0.308</v>
      </c>
      <c r="IP8" s="49">
        <v>9.0399999999999991</v>
      </c>
      <c r="IQ8" s="49">
        <v>8.9999999999999993E-3</v>
      </c>
      <c r="IR8" s="49">
        <v>6.0000000000000001E-3</v>
      </c>
    </row>
    <row r="9" spans="2:252" x14ac:dyDescent="0.25">
      <c r="B9" s="2" t="s">
        <v>412</v>
      </c>
      <c r="C9" s="2" t="s">
        <v>43</v>
      </c>
      <c r="D9" s="61">
        <v>2.4789351851851851E-3</v>
      </c>
      <c r="E9" s="49">
        <v>214.22</v>
      </c>
      <c r="F9" s="50">
        <v>333.29</v>
      </c>
      <c r="G9" s="49">
        <v>5.93</v>
      </c>
      <c r="H9" s="50">
        <v>26</v>
      </c>
      <c r="I9" s="50">
        <v>0</v>
      </c>
      <c r="J9" s="49">
        <v>16.2</v>
      </c>
      <c r="K9" s="50">
        <v>7</v>
      </c>
      <c r="L9" s="50">
        <v>6</v>
      </c>
      <c r="M9" s="50">
        <v>7</v>
      </c>
      <c r="N9" s="50">
        <v>3</v>
      </c>
      <c r="O9" s="50">
        <v>3</v>
      </c>
      <c r="P9" s="49">
        <v>0.83899999999999997</v>
      </c>
      <c r="Q9" s="49">
        <v>1.2030000000000001</v>
      </c>
      <c r="R9" s="49">
        <v>0.88200000000000001</v>
      </c>
      <c r="S9" s="49">
        <v>0.76500000000000001</v>
      </c>
      <c r="T9" s="49">
        <v>71.569999999999993</v>
      </c>
      <c r="U9" s="49">
        <v>60.109000000000002</v>
      </c>
      <c r="V9" s="49">
        <v>231.66</v>
      </c>
      <c r="W9" s="49">
        <v>241.66</v>
      </c>
      <c r="X9" s="49">
        <v>165</v>
      </c>
      <c r="Y9" s="49">
        <v>203.34</v>
      </c>
      <c r="Z9" s="49">
        <v>373.06</v>
      </c>
      <c r="AA9" s="49">
        <v>386.24</v>
      </c>
      <c r="AB9" s="49">
        <v>255.94</v>
      </c>
      <c r="AC9" s="49">
        <v>318.66000000000003</v>
      </c>
      <c r="AD9" s="50">
        <v>1.78</v>
      </c>
      <c r="AE9" s="50">
        <v>1.8069999999999999</v>
      </c>
      <c r="AF9" s="50">
        <v>1.8129999999999999</v>
      </c>
      <c r="AG9" s="50">
        <v>1.8240000000000001</v>
      </c>
      <c r="AH9" s="50">
        <v>77.73</v>
      </c>
      <c r="AI9" s="50">
        <v>73.56</v>
      </c>
      <c r="AJ9" s="50">
        <v>104.38</v>
      </c>
      <c r="AK9" s="50">
        <v>105.06</v>
      </c>
      <c r="AL9" s="49">
        <v>669.78800000000001</v>
      </c>
      <c r="AM9" s="49">
        <v>671.40899999999999</v>
      </c>
      <c r="AN9" s="50">
        <v>881.21400000000006</v>
      </c>
      <c r="AO9" s="50">
        <v>854.19899999999996</v>
      </c>
      <c r="AP9" s="49">
        <v>1.282</v>
      </c>
      <c r="AQ9" s="49">
        <v>1.7749999999999999</v>
      </c>
      <c r="AR9" s="50">
        <v>44.564</v>
      </c>
      <c r="AS9" s="50">
        <v>40.921999999999997</v>
      </c>
      <c r="AT9" s="49">
        <v>83</v>
      </c>
      <c r="AU9" s="50">
        <v>121</v>
      </c>
      <c r="AV9" s="49">
        <v>1.3759999999999999</v>
      </c>
      <c r="AW9" s="49">
        <v>4.5937000000000001</v>
      </c>
      <c r="AX9" s="49">
        <v>1015.5</v>
      </c>
      <c r="AY9" s="49">
        <v>2.4500000000000002</v>
      </c>
      <c r="AZ9" s="50">
        <v>4.33</v>
      </c>
      <c r="BA9" s="49">
        <v>92.814999999999998</v>
      </c>
      <c r="BB9" s="49">
        <v>92.59</v>
      </c>
      <c r="BC9" s="49">
        <v>7710</v>
      </c>
      <c r="BD9" s="49">
        <v>88</v>
      </c>
      <c r="BE9" s="50">
        <v>16.71</v>
      </c>
      <c r="BF9" s="49">
        <v>14.01</v>
      </c>
      <c r="BG9" s="49">
        <v>28.35</v>
      </c>
      <c r="BH9" s="49">
        <v>31.34</v>
      </c>
      <c r="BI9" s="3"/>
      <c r="BJ9" s="3"/>
      <c r="BK9" s="3"/>
      <c r="BL9" s="3"/>
      <c r="BM9" s="3"/>
      <c r="BN9" s="49">
        <v>98.792000000000002</v>
      </c>
      <c r="BO9" s="49">
        <v>98.2</v>
      </c>
      <c r="BP9" s="49">
        <v>115.416</v>
      </c>
      <c r="BQ9" s="49">
        <v>120.056</v>
      </c>
      <c r="BR9" s="3"/>
      <c r="BS9" s="50">
        <v>25.8</v>
      </c>
      <c r="BT9" s="49">
        <v>7425.5559999999996</v>
      </c>
      <c r="BU9" s="49">
        <v>48.493000000000002</v>
      </c>
      <c r="BV9" s="50">
        <v>51.942</v>
      </c>
      <c r="BW9" s="49">
        <v>51.237000000000002</v>
      </c>
      <c r="BX9" s="49">
        <v>54.018999999999998</v>
      </c>
      <c r="BY9" s="49">
        <v>1.4870000000000001</v>
      </c>
      <c r="BZ9" s="50">
        <v>2.83</v>
      </c>
      <c r="CA9" s="49">
        <v>3.343</v>
      </c>
      <c r="CB9" s="49">
        <v>3.609</v>
      </c>
      <c r="CC9" s="49">
        <v>0.92900000000000005</v>
      </c>
      <c r="CD9" s="50">
        <v>2.16</v>
      </c>
      <c r="CE9" s="49">
        <v>1.121</v>
      </c>
      <c r="CF9" s="49">
        <v>1.984</v>
      </c>
      <c r="CG9" s="49">
        <v>13.73</v>
      </c>
      <c r="CH9" s="49">
        <v>13.606</v>
      </c>
      <c r="CI9" s="49">
        <v>4.1589999999999998</v>
      </c>
      <c r="CJ9" s="49">
        <v>2.8420000000000001</v>
      </c>
      <c r="CK9" s="49">
        <v>1.137</v>
      </c>
      <c r="CL9" s="50">
        <v>0.2</v>
      </c>
      <c r="CM9" s="50">
        <v>0.5</v>
      </c>
      <c r="CN9" s="50">
        <v>0</v>
      </c>
      <c r="CO9" s="50">
        <v>0</v>
      </c>
      <c r="CP9" s="49">
        <v>93.757000000000005</v>
      </c>
      <c r="CQ9" s="49">
        <v>94.307000000000002</v>
      </c>
      <c r="CR9" s="49">
        <v>109.367</v>
      </c>
      <c r="CS9" s="49">
        <v>113.54600000000001</v>
      </c>
      <c r="CT9" s="49">
        <v>0.311</v>
      </c>
      <c r="CU9" s="50">
        <v>1.2969999999999999</v>
      </c>
      <c r="CV9" s="50">
        <v>1.897</v>
      </c>
      <c r="CW9" s="50">
        <v>1.399</v>
      </c>
      <c r="CX9" s="50">
        <v>1.401</v>
      </c>
      <c r="CY9" s="49">
        <v>1.1000000000000001</v>
      </c>
      <c r="CZ9" s="49">
        <v>1.097</v>
      </c>
      <c r="DA9" s="50">
        <v>0.998</v>
      </c>
      <c r="DB9" s="50">
        <v>1.4990000000000001</v>
      </c>
      <c r="DC9" s="49">
        <v>0</v>
      </c>
      <c r="DD9" s="50">
        <v>0</v>
      </c>
      <c r="DE9" s="49">
        <v>0.312</v>
      </c>
      <c r="DF9" s="49">
        <v>0.17499999999999999</v>
      </c>
      <c r="DG9" s="49">
        <v>0.83899999999999997</v>
      </c>
      <c r="DH9" s="49">
        <v>1.8520000000000001</v>
      </c>
      <c r="DI9" s="49">
        <v>1.0409999999999999</v>
      </c>
      <c r="DJ9" s="49">
        <v>0.29099999999999998</v>
      </c>
      <c r="DK9" s="50">
        <v>1.288</v>
      </c>
      <c r="DL9" s="49">
        <v>0.40400000000000003</v>
      </c>
      <c r="DM9" s="49">
        <v>0.432</v>
      </c>
      <c r="DN9" s="49">
        <v>3.9E-2</v>
      </c>
      <c r="DO9" s="49">
        <v>6.5000000000000002E-2</v>
      </c>
      <c r="DP9" s="50">
        <v>68.364999999999995</v>
      </c>
      <c r="DQ9" s="49">
        <v>58.713999999999999</v>
      </c>
      <c r="DR9" s="49">
        <v>54.576999999999998</v>
      </c>
      <c r="DS9" s="49">
        <v>51.191000000000003</v>
      </c>
      <c r="DT9" s="49">
        <v>7.07</v>
      </c>
      <c r="DU9" s="49">
        <v>6.62</v>
      </c>
      <c r="DV9" s="49">
        <v>12.6</v>
      </c>
      <c r="DW9" s="49">
        <v>10.08</v>
      </c>
      <c r="DX9" s="49">
        <v>7.35</v>
      </c>
      <c r="DY9" s="49">
        <v>7.1</v>
      </c>
      <c r="DZ9" s="49">
        <v>11.95</v>
      </c>
      <c r="EA9" s="49">
        <v>9.75</v>
      </c>
      <c r="EB9" s="49">
        <v>41.48</v>
      </c>
      <c r="EC9" s="49">
        <v>41.28</v>
      </c>
      <c r="ED9" s="49">
        <v>33.72</v>
      </c>
      <c r="EE9" s="50">
        <v>36.770000000000003</v>
      </c>
      <c r="EF9" s="49">
        <v>44.1</v>
      </c>
      <c r="EG9" s="49">
        <v>45</v>
      </c>
      <c r="EH9" s="49">
        <v>41.73</v>
      </c>
      <c r="EI9" s="49">
        <v>43.39</v>
      </c>
      <c r="EJ9" s="49">
        <v>7.1379999999999999</v>
      </c>
      <c r="EK9" s="49">
        <v>62.526000000000003</v>
      </c>
      <c r="EL9" s="49">
        <v>2.2999999999999998</v>
      </c>
      <c r="EM9" s="49">
        <v>1.95</v>
      </c>
      <c r="EN9" s="49">
        <v>1.22</v>
      </c>
      <c r="EO9" s="49">
        <v>1.22</v>
      </c>
      <c r="EP9" s="49">
        <v>-109.726</v>
      </c>
      <c r="EQ9" s="49">
        <v>-2.117</v>
      </c>
      <c r="ER9" s="49">
        <v>91.17</v>
      </c>
      <c r="ES9" s="49">
        <v>1.3180000000000001</v>
      </c>
      <c r="ET9" s="49">
        <v>1.4770000000000001</v>
      </c>
      <c r="EU9" s="49">
        <v>1.292</v>
      </c>
      <c r="EV9" s="49">
        <v>7.117</v>
      </c>
      <c r="EW9" s="49">
        <v>3.13</v>
      </c>
      <c r="EX9" s="49">
        <v>72.040000000000006</v>
      </c>
      <c r="EY9" s="49">
        <v>0</v>
      </c>
      <c r="EZ9" s="50">
        <v>0</v>
      </c>
      <c r="FA9" s="50">
        <v>0</v>
      </c>
      <c r="FB9" s="49">
        <v>8.9860000000000007</v>
      </c>
      <c r="FC9" s="50">
        <v>69.13</v>
      </c>
      <c r="FD9" s="49">
        <v>64.69</v>
      </c>
      <c r="FE9" s="50">
        <v>78.762</v>
      </c>
      <c r="FF9" s="50">
        <v>76.777000000000001</v>
      </c>
      <c r="FG9" s="49">
        <v>0.91500000000000004</v>
      </c>
      <c r="FH9" s="49">
        <v>0.91700000000000004</v>
      </c>
      <c r="FI9" s="49">
        <v>0.997</v>
      </c>
      <c r="FJ9" s="49">
        <v>1.004</v>
      </c>
      <c r="FK9" s="49">
        <v>0</v>
      </c>
      <c r="FL9" s="49">
        <v>83</v>
      </c>
      <c r="FM9" s="50">
        <v>3.89</v>
      </c>
      <c r="FN9" s="50">
        <v>0.19</v>
      </c>
      <c r="FO9" s="50">
        <v>4.37</v>
      </c>
      <c r="FP9" s="3"/>
      <c r="FQ9" s="49">
        <v>4.55</v>
      </c>
      <c r="FR9" s="49">
        <v>5</v>
      </c>
      <c r="FS9" s="50">
        <v>6.6040000000000001</v>
      </c>
      <c r="FT9" s="50">
        <v>1083</v>
      </c>
      <c r="FU9" s="50">
        <v>6.09</v>
      </c>
      <c r="FV9" s="49">
        <v>59.24</v>
      </c>
      <c r="FW9" s="50">
        <v>3190</v>
      </c>
      <c r="FX9" s="49">
        <v>167300</v>
      </c>
      <c r="FY9" s="49">
        <v>167900</v>
      </c>
      <c r="FZ9" s="49">
        <v>47.360999999999997</v>
      </c>
      <c r="GA9" s="49">
        <v>47.817</v>
      </c>
      <c r="GB9" s="50">
        <v>2228.3000000000002</v>
      </c>
      <c r="GC9" s="49">
        <v>2153.9</v>
      </c>
      <c r="GD9" s="50">
        <v>2263.9</v>
      </c>
      <c r="GE9" s="49">
        <v>2245</v>
      </c>
      <c r="GF9" s="49">
        <v>1309.4530999999999</v>
      </c>
      <c r="GG9" s="49">
        <v>35</v>
      </c>
      <c r="GH9" s="49">
        <v>35</v>
      </c>
      <c r="GI9" s="49">
        <v>46.9</v>
      </c>
      <c r="GJ9" s="49">
        <v>51.8</v>
      </c>
      <c r="GK9" s="49">
        <v>99.5</v>
      </c>
      <c r="GL9" s="49">
        <v>108.6</v>
      </c>
      <c r="GM9" s="50">
        <v>0</v>
      </c>
      <c r="GN9" s="49">
        <v>25.632000000000001</v>
      </c>
      <c r="GO9" s="49">
        <v>109.726</v>
      </c>
      <c r="GP9" s="49">
        <v>0.35399999999999998</v>
      </c>
      <c r="GQ9" s="49">
        <v>1.829</v>
      </c>
      <c r="GR9" s="49">
        <v>0.59</v>
      </c>
      <c r="GS9" s="49">
        <v>1.9470000000000001</v>
      </c>
      <c r="GT9" s="49">
        <v>0.53100000000000003</v>
      </c>
      <c r="GU9" s="49">
        <v>1.829</v>
      </c>
      <c r="GV9" s="50">
        <v>0</v>
      </c>
      <c r="GW9" s="49">
        <v>0</v>
      </c>
      <c r="GX9" s="49">
        <v>0</v>
      </c>
      <c r="GY9" s="49">
        <v>11.27</v>
      </c>
      <c r="GZ9" s="49">
        <v>13.590999999999999</v>
      </c>
      <c r="HA9" s="49">
        <v>15.092000000000001</v>
      </c>
      <c r="HB9" s="49">
        <v>0</v>
      </c>
      <c r="HC9" s="49">
        <v>36.148000000000003</v>
      </c>
      <c r="HD9" s="49">
        <v>82</v>
      </c>
      <c r="HE9" s="50">
        <v>0</v>
      </c>
      <c r="HF9" s="50">
        <v>0</v>
      </c>
      <c r="HG9" s="49">
        <v>69.540000000000006</v>
      </c>
      <c r="HH9" s="49">
        <v>78.28</v>
      </c>
      <c r="HI9" s="50">
        <v>0</v>
      </c>
      <c r="HJ9" s="50">
        <v>0</v>
      </c>
      <c r="HK9" s="50">
        <v>0</v>
      </c>
      <c r="HL9" s="49">
        <v>57</v>
      </c>
      <c r="HM9" s="49">
        <v>51</v>
      </c>
      <c r="HN9" s="49">
        <v>65</v>
      </c>
      <c r="HO9" s="49">
        <v>58</v>
      </c>
      <c r="HP9" s="50">
        <v>62</v>
      </c>
      <c r="HQ9" s="50">
        <v>60</v>
      </c>
      <c r="HR9" s="49">
        <v>54</v>
      </c>
      <c r="HS9" s="49">
        <v>62</v>
      </c>
      <c r="HT9" s="50">
        <v>-1.518</v>
      </c>
      <c r="HU9" s="50">
        <v>0</v>
      </c>
      <c r="HV9" s="50">
        <v>0.751</v>
      </c>
      <c r="HW9" s="50">
        <v>40.380000000000003</v>
      </c>
      <c r="HX9" s="49">
        <v>46.15</v>
      </c>
      <c r="HY9" s="3"/>
      <c r="HZ9" s="3"/>
      <c r="IA9" s="49">
        <v>2.8330000000000002</v>
      </c>
      <c r="IB9" s="50">
        <v>104</v>
      </c>
      <c r="IC9" s="50">
        <v>22.472000000000001</v>
      </c>
      <c r="ID9" s="49">
        <v>-0.41199999999999998</v>
      </c>
      <c r="IE9" s="49">
        <v>-0.21099999999999999</v>
      </c>
      <c r="IF9" s="49">
        <v>804.1</v>
      </c>
      <c r="IG9" s="49">
        <v>755.6</v>
      </c>
      <c r="IH9" s="49">
        <v>810.1</v>
      </c>
      <c r="II9" s="49">
        <v>765</v>
      </c>
      <c r="IJ9" s="49">
        <v>-2.1000000000000001E-2</v>
      </c>
      <c r="IK9" s="50">
        <v>4.4999999999999998E-2</v>
      </c>
      <c r="IL9" s="49">
        <v>78.507999999999996</v>
      </c>
      <c r="IM9" s="49">
        <v>78.507999999999996</v>
      </c>
      <c r="IN9" s="49">
        <v>10.16</v>
      </c>
      <c r="IO9" s="50">
        <v>0.33500000000000002</v>
      </c>
      <c r="IP9" s="49">
        <v>8.8699999999999992</v>
      </c>
      <c r="IQ9" s="50">
        <v>1.4999999999999999E-2</v>
      </c>
      <c r="IR9" s="50">
        <v>8.0000000000000002E-3</v>
      </c>
    </row>
    <row r="10" spans="2:252" ht="30" x14ac:dyDescent="0.25">
      <c r="B10" s="2" t="s">
        <v>412</v>
      </c>
      <c r="C10" s="2" t="s">
        <v>44</v>
      </c>
      <c r="D10" s="2" t="s">
        <v>434</v>
      </c>
      <c r="E10" s="50">
        <v>462.06799999999998</v>
      </c>
      <c r="F10" s="49">
        <v>330.35</v>
      </c>
      <c r="G10" s="49">
        <v>3.84</v>
      </c>
      <c r="H10" s="49">
        <v>25.9</v>
      </c>
      <c r="I10" s="50">
        <v>0</v>
      </c>
      <c r="J10" s="50">
        <v>43.1</v>
      </c>
      <c r="K10" s="50">
        <v>7</v>
      </c>
      <c r="L10" s="50">
        <v>6</v>
      </c>
      <c r="M10" s="50">
        <v>7</v>
      </c>
      <c r="N10" s="49">
        <v>2</v>
      </c>
      <c r="O10" s="50">
        <v>3</v>
      </c>
      <c r="P10" s="50">
        <v>1.046</v>
      </c>
      <c r="Q10" s="50">
        <v>1.4570000000000001</v>
      </c>
      <c r="R10" s="50">
        <v>1.056</v>
      </c>
      <c r="S10" s="3"/>
      <c r="T10" s="50">
        <v>72.13</v>
      </c>
      <c r="U10" s="49">
        <v>60.433999999999997</v>
      </c>
      <c r="V10" s="50">
        <v>70</v>
      </c>
      <c r="W10" s="50">
        <v>40</v>
      </c>
      <c r="X10" s="50">
        <v>80</v>
      </c>
      <c r="Y10" s="50">
        <v>80</v>
      </c>
      <c r="Z10" s="49">
        <v>195.5</v>
      </c>
      <c r="AA10" s="49">
        <v>200.41</v>
      </c>
      <c r="AB10" s="49">
        <v>152.16</v>
      </c>
      <c r="AC10" s="49">
        <v>181.05</v>
      </c>
      <c r="AD10" s="49">
        <v>1.6659999999999999</v>
      </c>
      <c r="AE10" s="49">
        <v>1.7050000000000001</v>
      </c>
      <c r="AF10" s="49">
        <v>1.6379999999999999</v>
      </c>
      <c r="AG10" s="49">
        <v>1.67</v>
      </c>
      <c r="AH10" s="49">
        <v>60.42</v>
      </c>
      <c r="AI10" s="49">
        <v>57.97</v>
      </c>
      <c r="AJ10" s="49">
        <v>77.59</v>
      </c>
      <c r="AK10" s="49">
        <v>79.599999999999994</v>
      </c>
      <c r="AL10" s="49">
        <v>640.19000000000005</v>
      </c>
      <c r="AM10" s="49">
        <v>644.55799999999999</v>
      </c>
      <c r="AN10" s="49">
        <v>815.47299999999996</v>
      </c>
      <c r="AO10" s="49">
        <v>823.28300000000002</v>
      </c>
      <c r="AP10" s="49">
        <v>1.3109999999999999</v>
      </c>
      <c r="AQ10" s="49">
        <v>1.78</v>
      </c>
      <c r="AR10" s="49">
        <v>42.420999999999999</v>
      </c>
      <c r="AS10" s="49">
        <v>38.817</v>
      </c>
      <c r="AT10" s="49">
        <v>83</v>
      </c>
      <c r="AU10" s="50">
        <v>121</v>
      </c>
      <c r="AV10" s="49">
        <v>1.966</v>
      </c>
      <c r="AW10" s="49">
        <v>4.4268000000000001</v>
      </c>
      <c r="AX10" s="49">
        <v>1007.4</v>
      </c>
      <c r="AY10" s="49">
        <v>2.5099999999999998</v>
      </c>
      <c r="AZ10" s="49">
        <v>4.9000000000000004</v>
      </c>
      <c r="BA10" s="49">
        <v>73.793000000000006</v>
      </c>
      <c r="BB10" s="49">
        <v>74.5</v>
      </c>
      <c r="BC10" s="50">
        <v>7785</v>
      </c>
      <c r="BD10" s="49">
        <v>88.75</v>
      </c>
      <c r="BE10" s="49">
        <v>15.17</v>
      </c>
      <c r="BF10" s="49">
        <v>11.715</v>
      </c>
      <c r="BG10" s="49">
        <v>26.48</v>
      </c>
      <c r="BH10" s="49">
        <v>23.44</v>
      </c>
      <c r="BI10" s="50">
        <v>65.674000000000007</v>
      </c>
      <c r="BJ10" s="50">
        <v>80.254000000000005</v>
      </c>
      <c r="BK10" s="50">
        <v>64.132000000000005</v>
      </c>
      <c r="BL10" s="50">
        <v>77.988</v>
      </c>
      <c r="BM10" s="50">
        <v>77.858000000000004</v>
      </c>
      <c r="BN10" s="49">
        <v>107.72</v>
      </c>
      <c r="BO10" s="49">
        <v>109.27200000000001</v>
      </c>
      <c r="BP10" s="49">
        <v>118.872</v>
      </c>
      <c r="BQ10" s="49">
        <v>120.92</v>
      </c>
      <c r="BR10" s="50">
        <v>59.468000000000004</v>
      </c>
      <c r="BS10" s="49">
        <v>25.5</v>
      </c>
      <c r="BT10" s="50">
        <v>7487.8540000000003</v>
      </c>
      <c r="BU10" s="49">
        <v>35.606999999999999</v>
      </c>
      <c r="BV10" s="49">
        <v>49.078000000000003</v>
      </c>
      <c r="BW10" s="49">
        <v>52.923999999999999</v>
      </c>
      <c r="BX10" s="49">
        <v>53.890999999999998</v>
      </c>
      <c r="BY10" s="49">
        <v>1.3169999999999999</v>
      </c>
      <c r="BZ10" s="49">
        <v>2.7280000000000002</v>
      </c>
      <c r="CA10" s="50">
        <v>3.718</v>
      </c>
      <c r="CB10" s="49">
        <v>3.0049999999999999</v>
      </c>
      <c r="CC10" s="49">
        <v>0.95299999999999996</v>
      </c>
      <c r="CD10" s="49">
        <v>1.925</v>
      </c>
      <c r="CE10" s="49">
        <v>1.1930000000000001</v>
      </c>
      <c r="CF10" s="49">
        <v>1.964</v>
      </c>
      <c r="CG10" s="50">
        <v>13.798999999999999</v>
      </c>
      <c r="CH10" s="49">
        <v>10.278</v>
      </c>
      <c r="CI10" s="3"/>
      <c r="CJ10" s="3"/>
      <c r="CK10" s="3"/>
      <c r="CL10" s="49">
        <v>0.1</v>
      </c>
      <c r="CM10" s="49">
        <v>0</v>
      </c>
      <c r="CN10" s="50">
        <v>0</v>
      </c>
      <c r="CO10" s="50">
        <v>0</v>
      </c>
      <c r="CP10" s="49">
        <v>87.899000000000001</v>
      </c>
      <c r="CQ10" s="49">
        <v>89.2</v>
      </c>
      <c r="CR10" s="49">
        <v>96.882999999999996</v>
      </c>
      <c r="CS10" s="49">
        <v>99.947999999999993</v>
      </c>
      <c r="CT10" s="49">
        <v>0.11700000000000001</v>
      </c>
      <c r="CU10" s="49">
        <v>0.70099999999999996</v>
      </c>
      <c r="CV10" s="49">
        <v>0.8</v>
      </c>
      <c r="CW10" s="49">
        <v>1.1000000000000001</v>
      </c>
      <c r="CX10" s="49">
        <v>0.90100000000000002</v>
      </c>
      <c r="CY10" s="49">
        <v>0.7</v>
      </c>
      <c r="CZ10" s="49">
        <v>0.70099999999999996</v>
      </c>
      <c r="DA10" s="49">
        <v>0.1</v>
      </c>
      <c r="DB10" s="49">
        <v>1.1000000000000001</v>
      </c>
      <c r="DC10" s="49">
        <v>0</v>
      </c>
      <c r="DD10" s="50">
        <v>0</v>
      </c>
      <c r="DE10" s="49">
        <v>0.14099999999999999</v>
      </c>
      <c r="DF10" s="49">
        <v>9.0999999999999998E-2</v>
      </c>
      <c r="DG10" s="49">
        <v>0.20899999999999999</v>
      </c>
      <c r="DH10" s="49">
        <v>0.84899999999999998</v>
      </c>
      <c r="DI10" s="49">
        <v>0.94299999999999995</v>
      </c>
      <c r="DJ10" s="50">
        <v>0.41099999999999998</v>
      </c>
      <c r="DK10" s="49">
        <v>1.0449999999999999</v>
      </c>
      <c r="DL10" s="50">
        <v>0.40699999999999997</v>
      </c>
      <c r="DM10" s="50">
        <v>0.53400000000000003</v>
      </c>
      <c r="DN10" s="50">
        <v>0.61299999999999999</v>
      </c>
      <c r="DO10" s="50">
        <v>0.41899999999999998</v>
      </c>
      <c r="DP10" s="49">
        <v>66.771000000000001</v>
      </c>
      <c r="DQ10" s="50">
        <v>61.070999999999998</v>
      </c>
      <c r="DR10" s="49">
        <v>54.631</v>
      </c>
      <c r="DS10" s="50">
        <v>52.253999999999998</v>
      </c>
      <c r="DT10" s="49">
        <v>1.51</v>
      </c>
      <c r="DU10" s="49">
        <v>1.51</v>
      </c>
      <c r="DV10" s="49">
        <v>2.65</v>
      </c>
      <c r="DW10" s="49">
        <v>2.04</v>
      </c>
      <c r="DX10" s="49">
        <v>1.59</v>
      </c>
      <c r="DY10" s="49">
        <v>1.68</v>
      </c>
      <c r="DZ10" s="49">
        <v>2.48</v>
      </c>
      <c r="EA10" s="49">
        <v>2.0299999999999998</v>
      </c>
      <c r="EB10" s="50">
        <v>42.41</v>
      </c>
      <c r="EC10" s="50">
        <v>42.95</v>
      </c>
      <c r="ED10" s="50">
        <v>34.65</v>
      </c>
      <c r="EE10" s="49">
        <v>34.01</v>
      </c>
      <c r="EF10" s="49">
        <v>54.49</v>
      </c>
      <c r="EG10" s="49">
        <v>53.86</v>
      </c>
      <c r="EH10" s="50">
        <v>60.23</v>
      </c>
      <c r="EI10" s="50">
        <v>61.92</v>
      </c>
      <c r="EJ10" s="50">
        <v>8.2680000000000007</v>
      </c>
      <c r="EK10" s="49">
        <v>61.936999999999998</v>
      </c>
      <c r="EL10" s="49">
        <v>2.2999999999999998</v>
      </c>
      <c r="EM10" s="49">
        <v>2</v>
      </c>
      <c r="EN10" s="50">
        <v>1.53</v>
      </c>
      <c r="EO10" s="50">
        <v>1.52</v>
      </c>
      <c r="EP10" s="50">
        <v>-118.194</v>
      </c>
      <c r="EQ10" s="50">
        <v>-0.56699999999999995</v>
      </c>
      <c r="ER10" s="49">
        <v>90.001999999999995</v>
      </c>
      <c r="ES10" s="50">
        <v>1.5169999999999999</v>
      </c>
      <c r="ET10" s="50">
        <v>1.6220000000000001</v>
      </c>
      <c r="EU10" s="50">
        <v>1.512</v>
      </c>
      <c r="EV10" s="49">
        <v>7.51</v>
      </c>
      <c r="EW10" s="50">
        <v>3.4860000000000002</v>
      </c>
      <c r="EX10" s="49">
        <v>35.840000000000003</v>
      </c>
      <c r="EY10" s="49">
        <v>0</v>
      </c>
      <c r="EZ10" s="50">
        <v>0</v>
      </c>
      <c r="FA10" s="50">
        <v>0</v>
      </c>
      <c r="FB10" s="50">
        <v>9.3249999999999993</v>
      </c>
      <c r="FC10" s="49">
        <v>65.239000000000004</v>
      </c>
      <c r="FD10" s="49">
        <v>61.991</v>
      </c>
      <c r="FE10" s="49">
        <v>72.183000000000007</v>
      </c>
      <c r="FF10" s="49">
        <v>70.873000000000005</v>
      </c>
      <c r="FG10" s="50">
        <v>0.97199999999999998</v>
      </c>
      <c r="FH10" s="49">
        <v>0.95599999999999996</v>
      </c>
      <c r="FI10" s="50">
        <v>1.0209999999999999</v>
      </c>
      <c r="FJ10" s="50">
        <v>1.022</v>
      </c>
      <c r="FK10" s="49">
        <v>0</v>
      </c>
      <c r="FL10" s="49">
        <v>83</v>
      </c>
      <c r="FM10" s="49">
        <v>3.86</v>
      </c>
      <c r="FN10" s="49">
        <v>1.59</v>
      </c>
      <c r="FO10" s="49">
        <v>4.8899999999999997</v>
      </c>
      <c r="FP10" s="49">
        <v>4.05</v>
      </c>
      <c r="FQ10" s="50">
        <v>4.45</v>
      </c>
      <c r="FR10" s="49">
        <v>5.2</v>
      </c>
      <c r="FS10" s="49">
        <v>6.3765000000000001</v>
      </c>
      <c r="FT10" s="49">
        <v>1073.5999999999999</v>
      </c>
      <c r="FU10" s="49">
        <v>5.81</v>
      </c>
      <c r="FV10" s="50">
        <v>63.09</v>
      </c>
      <c r="FW10" s="49">
        <v>2872</v>
      </c>
      <c r="FX10" s="49">
        <v>165300</v>
      </c>
      <c r="FY10" s="49">
        <v>165800</v>
      </c>
      <c r="FZ10" s="49">
        <v>47.023000000000003</v>
      </c>
      <c r="GA10" s="49">
        <v>47.509</v>
      </c>
      <c r="GB10" s="49">
        <v>2152.6999999999998</v>
      </c>
      <c r="GC10" s="49">
        <v>2166.1</v>
      </c>
      <c r="GD10" s="49">
        <v>2222.1999999999998</v>
      </c>
      <c r="GE10" s="49">
        <v>2222.6999999999998</v>
      </c>
      <c r="GF10" s="49">
        <v>1300.0625</v>
      </c>
      <c r="GG10" s="50">
        <v>36</v>
      </c>
      <c r="GH10" s="50">
        <v>35.6</v>
      </c>
      <c r="GI10" s="49">
        <v>49.6</v>
      </c>
      <c r="GJ10" s="50">
        <v>56.4</v>
      </c>
      <c r="GK10" s="49">
        <v>99</v>
      </c>
      <c r="GL10" s="49">
        <v>110.4</v>
      </c>
      <c r="GM10" s="50">
        <v>0</v>
      </c>
      <c r="GN10" s="49">
        <v>24.422000000000001</v>
      </c>
      <c r="GO10" s="50">
        <v>118.194</v>
      </c>
      <c r="GP10" s="50">
        <v>0</v>
      </c>
      <c r="GQ10" s="49">
        <v>1.9470000000000001</v>
      </c>
      <c r="GR10" s="50">
        <v>0</v>
      </c>
      <c r="GS10" s="49">
        <v>2.1240000000000001</v>
      </c>
      <c r="GT10" s="50">
        <v>0</v>
      </c>
      <c r="GU10" s="49">
        <v>2.1240000000000001</v>
      </c>
      <c r="GV10" s="50">
        <v>0</v>
      </c>
      <c r="GW10" s="49">
        <v>0</v>
      </c>
      <c r="GX10" s="49">
        <v>0</v>
      </c>
      <c r="GY10" s="50">
        <v>0</v>
      </c>
      <c r="GZ10" s="50">
        <v>13.949</v>
      </c>
      <c r="HA10" s="49">
        <v>17.346</v>
      </c>
      <c r="HB10" s="50">
        <v>1</v>
      </c>
      <c r="HC10" s="49">
        <v>35.215000000000003</v>
      </c>
      <c r="HD10" s="50">
        <v>90</v>
      </c>
      <c r="HE10" s="50">
        <v>0</v>
      </c>
      <c r="HF10" s="50">
        <v>0</v>
      </c>
      <c r="HG10" s="49">
        <v>69.08</v>
      </c>
      <c r="HH10" s="49">
        <v>78.37</v>
      </c>
      <c r="HI10" s="50">
        <v>0</v>
      </c>
      <c r="HJ10" s="50">
        <v>0</v>
      </c>
      <c r="HK10" s="50">
        <v>0</v>
      </c>
      <c r="HL10" s="49">
        <v>58</v>
      </c>
      <c r="HM10" s="50">
        <v>52</v>
      </c>
      <c r="HN10" s="50">
        <v>66</v>
      </c>
      <c r="HO10" s="50">
        <v>59</v>
      </c>
      <c r="HP10" s="50">
        <v>62</v>
      </c>
      <c r="HQ10" s="50">
        <v>60</v>
      </c>
      <c r="HR10" s="50">
        <v>55</v>
      </c>
      <c r="HS10" s="49">
        <v>64</v>
      </c>
      <c r="HT10" s="49">
        <v>-1.5089999999999999</v>
      </c>
      <c r="HU10" s="50">
        <v>0</v>
      </c>
      <c r="HV10" s="49">
        <v>0.40500000000000003</v>
      </c>
      <c r="HW10" s="49">
        <v>41.2</v>
      </c>
      <c r="HX10" s="49">
        <v>47.05</v>
      </c>
      <c r="HY10" s="3"/>
      <c r="HZ10" s="3"/>
      <c r="IA10" s="49">
        <v>2.6850000000000001</v>
      </c>
      <c r="IB10" s="49">
        <v>96</v>
      </c>
      <c r="IC10" s="49">
        <v>16.716000000000001</v>
      </c>
      <c r="ID10" s="50">
        <v>-0.1</v>
      </c>
      <c r="IE10" s="50">
        <v>-5.8999999999999997E-2</v>
      </c>
      <c r="IF10" s="49">
        <v>802.6</v>
      </c>
      <c r="IG10" s="49">
        <v>600.1</v>
      </c>
      <c r="IH10" s="50">
        <v>834.5</v>
      </c>
      <c r="II10" s="49">
        <v>619</v>
      </c>
      <c r="IJ10" s="50">
        <v>-0.01</v>
      </c>
      <c r="IK10" s="49">
        <v>7.0000000000000001E-3</v>
      </c>
      <c r="IL10" s="50">
        <v>336.43599999999998</v>
      </c>
      <c r="IM10" s="50">
        <v>336.43599999999998</v>
      </c>
      <c r="IN10" s="50">
        <v>18.815999999999999</v>
      </c>
      <c r="IO10" s="49">
        <v>6.3E-2</v>
      </c>
      <c r="IP10" s="49">
        <v>9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22"/>
  <sheetViews>
    <sheetView zoomScale="60" zoomScaleNormal="60" workbookViewId="0">
      <selection activeCell="G20" sqref="G20:G22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1472.097</v>
      </c>
      <c r="C2" s="49">
        <v>4.92</v>
      </c>
      <c r="D2" s="49">
        <v>1.0369999999999999</v>
      </c>
      <c r="E2" s="50">
        <v>14.084</v>
      </c>
      <c r="F2" s="50">
        <v>15.163</v>
      </c>
      <c r="G2" s="49">
        <v>64.44</v>
      </c>
    </row>
    <row r="3" spans="2:7" x14ac:dyDescent="0.25">
      <c r="B3" s="49">
        <v>220.05</v>
      </c>
      <c r="C3" s="49">
        <v>5.82</v>
      </c>
      <c r="D3" s="49">
        <v>1.4430000000000001</v>
      </c>
      <c r="E3" s="49">
        <v>4.8849999999999998</v>
      </c>
      <c r="F3" s="49">
        <v>3.3439999999999999</v>
      </c>
      <c r="G3" s="49">
        <v>74.239999999999995</v>
      </c>
    </row>
    <row r="4" spans="2:7" x14ac:dyDescent="0.25">
      <c r="B4" s="49">
        <v>212.38</v>
      </c>
      <c r="C4" s="50">
        <v>5.96</v>
      </c>
      <c r="D4" s="50">
        <v>1.718</v>
      </c>
      <c r="E4" s="49">
        <v>5.5789999999999997</v>
      </c>
      <c r="F4" s="49">
        <v>2.9060000000000001</v>
      </c>
      <c r="G4" s="50">
        <v>76.599999999999994</v>
      </c>
    </row>
    <row r="5" spans="2:7" x14ac:dyDescent="0.25">
      <c r="B5" s="49">
        <v>237.499</v>
      </c>
      <c r="C5" s="49">
        <v>5.88</v>
      </c>
      <c r="D5" s="3"/>
      <c r="E5" s="3"/>
      <c r="F5" s="3"/>
      <c r="G5" s="49">
        <v>75</v>
      </c>
    </row>
    <row r="6" spans="2:7" x14ac:dyDescent="0.25">
      <c r="B6" s="50">
        <v>364.68900000000002</v>
      </c>
      <c r="C6" s="49">
        <v>4.72</v>
      </c>
      <c r="D6" s="49">
        <v>1.2949999999999999</v>
      </c>
      <c r="E6" s="49">
        <v>2.3690000000000002</v>
      </c>
      <c r="F6" s="49">
        <v>2.2589999999999999</v>
      </c>
      <c r="G6" s="49">
        <v>-196.62</v>
      </c>
    </row>
    <row r="7" spans="2:7" x14ac:dyDescent="0.25">
      <c r="B7" s="49">
        <v>341.03</v>
      </c>
      <c r="C7" s="49">
        <v>4.8</v>
      </c>
      <c r="D7" s="49">
        <v>1.504</v>
      </c>
      <c r="E7" s="49">
        <v>3.254</v>
      </c>
      <c r="F7" s="49">
        <v>2.698</v>
      </c>
      <c r="G7" s="49">
        <v>52.7</v>
      </c>
    </row>
    <row r="8" spans="2:7" x14ac:dyDescent="0.25">
      <c r="B8" s="49">
        <v>214.92</v>
      </c>
      <c r="C8" s="49">
        <v>6.04</v>
      </c>
      <c r="D8" s="50">
        <v>1.655</v>
      </c>
      <c r="E8" s="49">
        <v>4.641</v>
      </c>
      <c r="F8" s="50">
        <v>3.327</v>
      </c>
      <c r="G8" s="49">
        <v>74.34</v>
      </c>
    </row>
    <row r="9" spans="2:7" x14ac:dyDescent="0.25">
      <c r="B9" s="49">
        <v>211.19</v>
      </c>
      <c r="C9" s="50">
        <v>6.1</v>
      </c>
      <c r="D9" s="49">
        <v>1.522</v>
      </c>
      <c r="E9" s="50">
        <v>4.7240000000000002</v>
      </c>
      <c r="F9" s="49">
        <v>3.214</v>
      </c>
      <c r="G9" s="50">
        <v>74.94</v>
      </c>
    </row>
    <row r="10" spans="2:7" x14ac:dyDescent="0.25">
      <c r="B10" s="49">
        <v>240.93100000000001</v>
      </c>
      <c r="C10" s="49">
        <v>5.84</v>
      </c>
      <c r="D10" s="3"/>
      <c r="E10" s="3"/>
      <c r="F10" s="3"/>
      <c r="G10" s="49">
        <v>70.28</v>
      </c>
    </row>
    <row r="11" spans="2:7" x14ac:dyDescent="0.25">
      <c r="B11" s="50">
        <v>379.05599999999998</v>
      </c>
      <c r="C11" s="49">
        <v>5.91</v>
      </c>
      <c r="D11" s="49">
        <v>1.4079999999999999</v>
      </c>
      <c r="E11" s="49">
        <v>4.508</v>
      </c>
      <c r="F11" s="49">
        <v>3.5339999999999998</v>
      </c>
      <c r="G11" s="49">
        <v>71.55</v>
      </c>
    </row>
    <row r="12" spans="2:7" x14ac:dyDescent="0.25">
      <c r="B12" s="49">
        <v>211.1</v>
      </c>
      <c r="C12" s="49">
        <v>6.16</v>
      </c>
      <c r="D12" s="50">
        <v>1.6479999999999999</v>
      </c>
      <c r="E12" s="50">
        <v>5.0519999999999996</v>
      </c>
      <c r="F12" s="50">
        <v>3.6680000000000001</v>
      </c>
      <c r="G12" s="49">
        <v>76.66</v>
      </c>
    </row>
    <row r="13" spans="2:7" x14ac:dyDescent="0.25">
      <c r="B13" s="49">
        <v>209.39</v>
      </c>
      <c r="C13" s="50">
        <v>6.18</v>
      </c>
      <c r="D13" s="49">
        <v>1.456</v>
      </c>
      <c r="E13" s="49">
        <v>4.782</v>
      </c>
      <c r="F13" s="49">
        <v>3.4980000000000002</v>
      </c>
      <c r="G13" s="50">
        <v>76.84</v>
      </c>
    </row>
    <row r="14" spans="2:7" x14ac:dyDescent="0.25">
      <c r="B14" s="49">
        <v>247.16300000000001</v>
      </c>
      <c r="C14" s="49">
        <v>5.98</v>
      </c>
      <c r="D14" s="3"/>
      <c r="E14" s="3"/>
      <c r="F14" s="3"/>
      <c r="G14" s="49">
        <v>71.25</v>
      </c>
    </row>
    <row r="15" spans="2:7" x14ac:dyDescent="0.25">
      <c r="B15" s="49">
        <v>298.74400000000003</v>
      </c>
      <c r="C15" s="49">
        <v>5.76</v>
      </c>
      <c r="D15" s="49">
        <v>1.0489999999999999</v>
      </c>
      <c r="E15" s="50">
        <v>4.8250000000000002</v>
      </c>
      <c r="F15" s="50">
        <v>4.01</v>
      </c>
      <c r="G15" s="49">
        <v>-287.76</v>
      </c>
    </row>
    <row r="16" spans="2:7" x14ac:dyDescent="0.25">
      <c r="B16" s="49">
        <v>275.56</v>
      </c>
      <c r="C16" s="49">
        <v>5.59</v>
      </c>
      <c r="D16" s="49">
        <v>1.37</v>
      </c>
      <c r="E16" s="49">
        <v>4.4850000000000003</v>
      </c>
      <c r="F16" s="49">
        <v>3.2109999999999999</v>
      </c>
      <c r="G16" s="49">
        <v>66.959999999999994</v>
      </c>
    </row>
    <row r="17" spans="2:7" x14ac:dyDescent="0.25">
      <c r="B17" s="49">
        <v>244.68</v>
      </c>
      <c r="C17" s="49">
        <v>5.74</v>
      </c>
      <c r="D17" s="50">
        <v>1.6619999999999999</v>
      </c>
      <c r="E17" s="49">
        <v>4.6950000000000003</v>
      </c>
      <c r="F17" s="49">
        <v>3.7309999999999999</v>
      </c>
      <c r="G17" s="49">
        <v>69.06</v>
      </c>
    </row>
    <row r="18" spans="2:7" x14ac:dyDescent="0.25">
      <c r="B18" s="49">
        <v>218.9</v>
      </c>
      <c r="C18" s="50">
        <v>6.04</v>
      </c>
      <c r="D18" s="49">
        <v>1.1599999999999999</v>
      </c>
      <c r="E18" s="49">
        <v>3.3180000000000001</v>
      </c>
      <c r="F18" s="49">
        <v>2.8860000000000001</v>
      </c>
      <c r="G18" s="50">
        <v>74.22</v>
      </c>
    </row>
    <row r="19" spans="2:7" x14ac:dyDescent="0.25">
      <c r="B19" s="50">
        <v>495.36200000000002</v>
      </c>
      <c r="C19" s="49">
        <v>-23.13</v>
      </c>
      <c r="D19" s="3"/>
      <c r="E19" s="3"/>
      <c r="F19" s="3"/>
      <c r="G19" s="49">
        <v>39.4</v>
      </c>
    </row>
    <row r="20" spans="2:7" x14ac:dyDescent="0.25">
      <c r="B20" s="50">
        <v>287.154</v>
      </c>
      <c r="C20" s="49">
        <v>5.82</v>
      </c>
      <c r="D20" s="49">
        <v>1.355</v>
      </c>
      <c r="E20" s="50">
        <v>5.4059999999999997</v>
      </c>
      <c r="F20" s="49">
        <v>3.3319999999999999</v>
      </c>
      <c r="G20" s="49">
        <v>-215.48</v>
      </c>
    </row>
    <row r="21" spans="2:7" x14ac:dyDescent="0.25">
      <c r="B21" s="49">
        <v>211.17</v>
      </c>
      <c r="C21" s="50">
        <v>6.09</v>
      </c>
      <c r="D21" s="50">
        <v>1.73</v>
      </c>
      <c r="E21" s="49">
        <v>4.1749999999999998</v>
      </c>
      <c r="F21" s="50">
        <v>3.472</v>
      </c>
      <c r="G21" s="50">
        <v>75.239999999999995</v>
      </c>
    </row>
    <row r="22" spans="2:7" x14ac:dyDescent="0.25">
      <c r="B22" s="49">
        <v>252.86600000000001</v>
      </c>
      <c r="C22" s="49">
        <v>5.99</v>
      </c>
      <c r="D22" s="3"/>
      <c r="E22" s="3"/>
      <c r="F22" s="3"/>
      <c r="G22" s="49">
        <v>72.739999999999995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29"/>
  <sheetViews>
    <sheetView zoomScale="40" zoomScaleNormal="40" workbookViewId="0">
      <selection activeCell="G26" sqref="G26:G29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289.77800000000002</v>
      </c>
      <c r="C2" s="49">
        <v>5.62</v>
      </c>
      <c r="D2" s="49">
        <v>1.58</v>
      </c>
      <c r="E2" s="50">
        <v>6.0579999999999998</v>
      </c>
      <c r="F2" s="49">
        <v>3.3</v>
      </c>
      <c r="G2" s="49">
        <v>-221.12</v>
      </c>
    </row>
    <row r="3" spans="2:7" x14ac:dyDescent="0.25">
      <c r="B3" s="49">
        <v>213.59</v>
      </c>
      <c r="C3" s="49">
        <v>5.77</v>
      </c>
      <c r="D3" s="49">
        <v>1.6819999999999999</v>
      </c>
      <c r="E3" s="49">
        <v>5.3479999999999999</v>
      </c>
      <c r="F3" s="50">
        <v>3.415</v>
      </c>
      <c r="G3" s="49">
        <v>73.64</v>
      </c>
    </row>
    <row r="4" spans="2:7" x14ac:dyDescent="0.25">
      <c r="B4" s="49">
        <v>213.11</v>
      </c>
      <c r="C4" s="49">
        <v>5.84</v>
      </c>
      <c r="D4" s="50">
        <v>1.81</v>
      </c>
      <c r="E4" s="49">
        <v>4.25</v>
      </c>
      <c r="F4" s="49">
        <v>3.3260000000000001</v>
      </c>
      <c r="G4" s="49">
        <v>74.64</v>
      </c>
    </row>
    <row r="5" spans="2:7" x14ac:dyDescent="0.25">
      <c r="B5" s="49">
        <v>211.4</v>
      </c>
      <c r="C5" s="50">
        <v>5.85</v>
      </c>
      <c r="D5" s="49">
        <v>1.649</v>
      </c>
      <c r="E5" s="49">
        <v>4.4020000000000001</v>
      </c>
      <c r="F5" s="49">
        <v>3.194</v>
      </c>
      <c r="G5" s="50">
        <v>74.94</v>
      </c>
    </row>
    <row r="6" spans="2:7" x14ac:dyDescent="0.25">
      <c r="B6" s="49">
        <v>243.68</v>
      </c>
      <c r="C6" s="49">
        <v>5.61</v>
      </c>
      <c r="D6" s="49">
        <v>1.357</v>
      </c>
      <c r="E6" s="49">
        <v>5.0460000000000003</v>
      </c>
      <c r="F6" s="49">
        <v>3.2109999999999999</v>
      </c>
      <c r="G6" s="49">
        <v>70.36</v>
      </c>
    </row>
    <row r="7" spans="2:7" x14ac:dyDescent="0.25">
      <c r="B7" s="49">
        <v>212.9</v>
      </c>
      <c r="C7" s="49">
        <v>5.81</v>
      </c>
      <c r="D7" s="49">
        <v>1.43</v>
      </c>
      <c r="E7" s="49">
        <v>5.0339999999999998</v>
      </c>
      <c r="F7" s="49">
        <v>3.2730000000000001</v>
      </c>
      <c r="G7" s="49">
        <v>74.2</v>
      </c>
    </row>
    <row r="8" spans="2:7" x14ac:dyDescent="0.25">
      <c r="B8" s="49">
        <v>240.51300000000001</v>
      </c>
      <c r="C8" s="49">
        <v>5.63</v>
      </c>
      <c r="D8" s="3"/>
      <c r="E8" s="3"/>
      <c r="F8" s="3"/>
      <c r="G8" s="49">
        <v>70.94</v>
      </c>
    </row>
    <row r="9" spans="2:7" x14ac:dyDescent="0.25">
      <c r="B9" s="50">
        <v>415.78500000000003</v>
      </c>
      <c r="C9" s="49">
        <v>4.96</v>
      </c>
      <c r="D9" s="49">
        <v>1.3839999999999999</v>
      </c>
      <c r="E9" s="49">
        <v>5.1760000000000002</v>
      </c>
      <c r="F9" s="49">
        <v>-573.15499999999997</v>
      </c>
      <c r="G9" s="49">
        <v>-451.18</v>
      </c>
    </row>
    <row r="10" spans="2:7" x14ac:dyDescent="0.25">
      <c r="B10" s="49">
        <v>213.71</v>
      </c>
      <c r="C10" s="49">
        <v>5.84</v>
      </c>
      <c r="D10" s="49">
        <v>1.63</v>
      </c>
      <c r="E10" s="50">
        <v>5.4240000000000004</v>
      </c>
      <c r="F10" s="49">
        <v>-748.80399999999997</v>
      </c>
      <c r="G10" s="49">
        <v>73.06</v>
      </c>
    </row>
    <row r="11" spans="2:7" x14ac:dyDescent="0.25">
      <c r="B11" s="49">
        <v>210.2</v>
      </c>
      <c r="C11" s="50">
        <v>5.95</v>
      </c>
      <c r="D11" s="50">
        <v>1.641</v>
      </c>
      <c r="E11" s="49">
        <v>4.8440000000000003</v>
      </c>
      <c r="F11" s="49">
        <v>-103.21299999999999</v>
      </c>
      <c r="G11" s="50">
        <v>74.739999999999995</v>
      </c>
    </row>
    <row r="12" spans="2:7" x14ac:dyDescent="0.25">
      <c r="B12" s="49">
        <v>212.72</v>
      </c>
      <c r="C12" s="49">
        <v>5.64</v>
      </c>
      <c r="D12" s="49">
        <v>1.615</v>
      </c>
      <c r="E12" s="49">
        <v>4.6740000000000004</v>
      </c>
      <c r="F12" s="49">
        <v>-33.445</v>
      </c>
      <c r="G12" s="49">
        <v>70</v>
      </c>
    </row>
    <row r="13" spans="2:7" x14ac:dyDescent="0.25">
      <c r="B13" s="49">
        <v>211.07</v>
      </c>
      <c r="C13" s="49">
        <v>5.88</v>
      </c>
      <c r="D13" s="49">
        <v>1.417</v>
      </c>
      <c r="E13" s="49">
        <v>4.0910000000000002</v>
      </c>
      <c r="F13" s="50">
        <v>328.32900000000001</v>
      </c>
      <c r="G13" s="49">
        <v>73.92</v>
      </c>
    </row>
    <row r="14" spans="2:7" x14ac:dyDescent="0.25">
      <c r="B14" s="49">
        <v>246.28899999999999</v>
      </c>
      <c r="C14" s="49">
        <v>-28.27</v>
      </c>
      <c r="D14" s="3"/>
      <c r="E14" s="3"/>
      <c r="F14" s="3"/>
      <c r="G14" s="49">
        <v>69.680000000000007</v>
      </c>
    </row>
    <row r="15" spans="2:7" x14ac:dyDescent="0.25">
      <c r="B15" s="50">
        <v>1301.5999999999999</v>
      </c>
      <c r="C15" s="49">
        <v>5.53</v>
      </c>
      <c r="D15" s="49">
        <v>1.0649999999999999</v>
      </c>
      <c r="E15" s="49">
        <v>4.5979999999999999</v>
      </c>
      <c r="F15" s="49">
        <v>-930411.30900000001</v>
      </c>
      <c r="G15" s="49">
        <v>-258.95999999999998</v>
      </c>
    </row>
    <row r="16" spans="2:7" x14ac:dyDescent="0.25">
      <c r="B16" s="49">
        <v>309.52</v>
      </c>
      <c r="C16" s="49">
        <v>5.0199999999999996</v>
      </c>
      <c r="D16" s="49">
        <v>0.89200000000000002</v>
      </c>
      <c r="E16" s="50">
        <v>5.016</v>
      </c>
      <c r="F16" s="49">
        <v>-116.81699999999999</v>
      </c>
      <c r="G16" s="49">
        <v>58.04</v>
      </c>
    </row>
    <row r="17" spans="2:7" x14ac:dyDescent="0.25">
      <c r="B17" s="49">
        <v>380.99</v>
      </c>
      <c r="C17" s="49">
        <v>4.4000000000000004</v>
      </c>
      <c r="D17" s="49">
        <v>1.31</v>
      </c>
      <c r="E17" s="49">
        <v>4.391</v>
      </c>
      <c r="F17" s="49">
        <v>-92.903999999999996</v>
      </c>
      <c r="G17" s="49">
        <v>45.22</v>
      </c>
    </row>
    <row r="18" spans="2:7" x14ac:dyDescent="0.25">
      <c r="B18" s="49">
        <v>210.3</v>
      </c>
      <c r="C18" s="49">
        <v>5.98</v>
      </c>
      <c r="D18" s="50">
        <v>1.702</v>
      </c>
      <c r="E18" s="49">
        <v>4.7679999999999998</v>
      </c>
      <c r="F18" s="50">
        <v>-73.218999999999994</v>
      </c>
      <c r="G18" s="49">
        <v>74.22</v>
      </c>
    </row>
    <row r="19" spans="2:7" x14ac:dyDescent="0.25">
      <c r="B19" s="49">
        <v>209.71</v>
      </c>
      <c r="C19" s="50">
        <v>6.04</v>
      </c>
      <c r="D19" s="49">
        <v>1.3440000000000001</v>
      </c>
      <c r="E19" s="49">
        <v>4.2830000000000004</v>
      </c>
      <c r="F19" s="49">
        <v>-90.393000000000001</v>
      </c>
      <c r="G19" s="50">
        <v>75.319999999999993</v>
      </c>
    </row>
    <row r="20" spans="2:7" x14ac:dyDescent="0.25">
      <c r="B20" s="49">
        <v>279.577</v>
      </c>
      <c r="C20" s="49">
        <v>-26.97</v>
      </c>
      <c r="D20" s="3"/>
      <c r="E20" s="3"/>
      <c r="F20" s="3"/>
      <c r="G20" s="49">
        <v>64.400000000000006</v>
      </c>
    </row>
    <row r="21" spans="2:7" x14ac:dyDescent="0.25">
      <c r="B21" s="50">
        <v>305.09100000000001</v>
      </c>
      <c r="C21" s="49">
        <v>5.74</v>
      </c>
      <c r="D21" s="49">
        <v>1.5580000000000001</v>
      </c>
      <c r="E21" s="50">
        <v>4.8680000000000003</v>
      </c>
      <c r="F21" s="49">
        <v>3.3090000000000002</v>
      </c>
      <c r="G21" s="49">
        <v>-284.02</v>
      </c>
    </row>
    <row r="22" spans="2:7" x14ac:dyDescent="0.25">
      <c r="B22" s="49">
        <v>217.67</v>
      </c>
      <c r="C22" s="50">
        <v>5.96</v>
      </c>
      <c r="D22" s="49">
        <v>1.548</v>
      </c>
      <c r="E22" s="49">
        <v>4.7960000000000003</v>
      </c>
      <c r="F22" s="50">
        <v>3.718</v>
      </c>
      <c r="G22" s="50">
        <v>73.08</v>
      </c>
    </row>
    <row r="23" spans="2:7" x14ac:dyDescent="0.25">
      <c r="B23" s="49">
        <v>216.86</v>
      </c>
      <c r="C23" s="49">
        <v>5.91</v>
      </c>
      <c r="D23" s="50">
        <v>1.611</v>
      </c>
      <c r="E23" s="49">
        <v>4.7279999999999998</v>
      </c>
      <c r="F23" s="49">
        <v>3.7160000000000002</v>
      </c>
      <c r="G23" s="49">
        <v>72.36</v>
      </c>
    </row>
    <row r="24" spans="2:7" x14ac:dyDescent="0.25">
      <c r="B24" s="49">
        <v>216.5</v>
      </c>
      <c r="C24" s="49">
        <v>5.9</v>
      </c>
      <c r="D24" s="49">
        <v>1.603</v>
      </c>
      <c r="E24" s="49">
        <v>4.5720000000000001</v>
      </c>
      <c r="F24" s="49">
        <v>3.5019999999999998</v>
      </c>
      <c r="G24" s="49">
        <v>72.22</v>
      </c>
    </row>
    <row r="25" spans="2:7" x14ac:dyDescent="0.25">
      <c r="B25" s="49">
        <v>255.928</v>
      </c>
      <c r="C25" s="49">
        <v>-23.51</v>
      </c>
      <c r="D25" s="3"/>
      <c r="E25" s="3"/>
      <c r="F25" s="3"/>
      <c r="G25" s="49">
        <v>71.02</v>
      </c>
    </row>
    <row r="26" spans="2:7" x14ac:dyDescent="0.25">
      <c r="B26" s="49">
        <v>291.16500000000002</v>
      </c>
      <c r="C26" s="49">
        <v>5.84</v>
      </c>
      <c r="D26" s="49">
        <v>1.4359999999999999</v>
      </c>
      <c r="E26" s="49">
        <v>5.6210000000000004</v>
      </c>
      <c r="F26" s="49">
        <v>3.3879999999999999</v>
      </c>
      <c r="G26" s="49">
        <v>-148.04</v>
      </c>
    </row>
    <row r="27" spans="2:7" x14ac:dyDescent="0.25">
      <c r="B27" s="49">
        <v>211.94</v>
      </c>
      <c r="C27" s="50">
        <v>6.02</v>
      </c>
      <c r="D27" s="50">
        <v>1.63</v>
      </c>
      <c r="E27" s="50">
        <v>5.6680000000000001</v>
      </c>
      <c r="F27" s="50">
        <v>3.8050000000000002</v>
      </c>
      <c r="G27" s="50">
        <v>73.5</v>
      </c>
    </row>
    <row r="28" spans="2:7" x14ac:dyDescent="0.25">
      <c r="B28" s="49">
        <v>214.22</v>
      </c>
      <c r="C28" s="49">
        <v>5.93</v>
      </c>
      <c r="D28" s="49">
        <v>1.137</v>
      </c>
      <c r="E28" s="49">
        <v>4.1589999999999998</v>
      </c>
      <c r="F28" s="49">
        <v>2.8420000000000001</v>
      </c>
      <c r="G28" s="49">
        <v>72.040000000000006</v>
      </c>
    </row>
    <row r="29" spans="2:7" x14ac:dyDescent="0.25">
      <c r="B29" s="50">
        <v>462.06799999999998</v>
      </c>
      <c r="C29" s="49">
        <v>3.84</v>
      </c>
      <c r="D29" s="3"/>
      <c r="E29" s="3"/>
      <c r="F29" s="3"/>
      <c r="G29" s="49">
        <v>35.840000000000003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25"/>
  <sheetViews>
    <sheetView zoomScale="50" zoomScaleNormal="50" workbookViewId="0">
      <selection activeCell="G22" sqref="G22:G25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253.63800000000001</v>
      </c>
      <c r="C2" s="49">
        <v>5.65</v>
      </c>
      <c r="D2" s="49">
        <v>1.083</v>
      </c>
      <c r="E2" s="49">
        <v>3.7050000000000001</v>
      </c>
      <c r="F2" s="49">
        <v>3.36</v>
      </c>
      <c r="G2" s="49">
        <v>-348.8</v>
      </c>
    </row>
    <row r="3" spans="2:7" x14ac:dyDescent="0.25">
      <c r="B3" s="49">
        <v>221.6</v>
      </c>
      <c r="C3" s="49">
        <v>5.72</v>
      </c>
      <c r="D3" s="49">
        <v>1.363</v>
      </c>
      <c r="E3" s="49">
        <v>3.7709999999999999</v>
      </c>
      <c r="F3" s="49">
        <v>3.5779999999999998</v>
      </c>
      <c r="G3" s="49">
        <v>72</v>
      </c>
    </row>
    <row r="4" spans="2:7" x14ac:dyDescent="0.25">
      <c r="B4" s="49">
        <v>214.96</v>
      </c>
      <c r="C4" s="49">
        <v>5.86</v>
      </c>
      <c r="D4" s="49">
        <v>1.4650000000000001</v>
      </c>
      <c r="E4" s="49">
        <v>3.5990000000000002</v>
      </c>
      <c r="F4" s="49">
        <v>3.504</v>
      </c>
      <c r="G4" s="49">
        <v>73.98</v>
      </c>
    </row>
    <row r="5" spans="2:7" x14ac:dyDescent="0.25">
      <c r="B5" s="49">
        <v>219.07</v>
      </c>
      <c r="C5" s="50">
        <v>5.92</v>
      </c>
      <c r="D5" s="50">
        <v>1.4830000000000001</v>
      </c>
      <c r="E5" s="50">
        <v>3.859</v>
      </c>
      <c r="F5" s="50">
        <v>3.5910000000000002</v>
      </c>
      <c r="G5" s="50">
        <v>75.02</v>
      </c>
    </row>
    <row r="6" spans="2:7" x14ac:dyDescent="0.25">
      <c r="B6" s="49">
        <v>212</v>
      </c>
      <c r="C6" s="49">
        <v>5.91</v>
      </c>
      <c r="D6" s="49">
        <v>1.19</v>
      </c>
      <c r="E6" s="49">
        <v>3.5209999999999999</v>
      </c>
      <c r="F6" s="49">
        <v>3.3</v>
      </c>
      <c r="G6" s="49">
        <v>74.900000000000006</v>
      </c>
    </row>
    <row r="7" spans="2:7" x14ac:dyDescent="0.25">
      <c r="B7" s="49">
        <v>250.76300000000001</v>
      </c>
      <c r="C7" s="49">
        <v>5.47</v>
      </c>
      <c r="D7" s="3"/>
      <c r="E7" s="3"/>
      <c r="F7" s="3"/>
      <c r="G7" s="49">
        <v>66.86</v>
      </c>
    </row>
    <row r="8" spans="2:7" x14ac:dyDescent="0.25">
      <c r="B8" s="50">
        <v>1487.1030000000001</v>
      </c>
      <c r="C8" s="49">
        <v>5.71</v>
      </c>
      <c r="D8" s="49">
        <v>1.018</v>
      </c>
      <c r="E8" s="50">
        <v>3.32</v>
      </c>
      <c r="F8" s="49">
        <v>2.2810000000000001</v>
      </c>
      <c r="G8" s="49">
        <v>-364.1</v>
      </c>
    </row>
    <row r="9" spans="2:7" x14ac:dyDescent="0.25">
      <c r="B9" s="49">
        <v>214.57</v>
      </c>
      <c r="C9" s="49">
        <v>5.78</v>
      </c>
      <c r="D9" s="50">
        <v>1.4510000000000001</v>
      </c>
      <c r="E9" s="49">
        <v>3.105</v>
      </c>
      <c r="F9" s="50">
        <v>3.41</v>
      </c>
      <c r="G9" s="49">
        <v>70.78</v>
      </c>
    </row>
    <row r="10" spans="2:7" x14ac:dyDescent="0.25">
      <c r="B10" s="49">
        <v>226.76</v>
      </c>
      <c r="C10" s="50">
        <v>5.84</v>
      </c>
      <c r="D10" s="49">
        <v>0.92900000000000005</v>
      </c>
      <c r="E10" s="49">
        <v>3.0259999999999998</v>
      </c>
      <c r="F10" s="49">
        <v>2.476</v>
      </c>
      <c r="G10" s="50">
        <v>71.52</v>
      </c>
    </row>
    <row r="11" spans="2:7" x14ac:dyDescent="0.25">
      <c r="B11" s="49">
        <v>426.31700000000001</v>
      </c>
      <c r="C11" s="49">
        <v>-17.32</v>
      </c>
      <c r="D11" s="3"/>
      <c r="E11" s="3"/>
      <c r="F11" s="3"/>
      <c r="G11" s="49">
        <v>38.1</v>
      </c>
    </row>
    <row r="12" spans="2:7" x14ac:dyDescent="0.25">
      <c r="B12" s="7">
        <v>29.062000000000001</v>
      </c>
      <c r="C12" s="7">
        <v>0</v>
      </c>
      <c r="D12" s="3"/>
      <c r="E12" s="3"/>
      <c r="F12" s="7">
        <v>1.895</v>
      </c>
      <c r="G12" s="7">
        <v>0</v>
      </c>
    </row>
    <row r="13" spans="2:7" x14ac:dyDescent="0.25">
      <c r="B13" s="50">
        <v>310.892</v>
      </c>
      <c r="C13" s="49">
        <v>5.57</v>
      </c>
      <c r="D13" s="49">
        <v>1.4039999999999999</v>
      </c>
      <c r="E13" s="50">
        <v>4.0919999999999996</v>
      </c>
      <c r="F13" s="49">
        <v>3.5169999999999999</v>
      </c>
      <c r="G13" s="49">
        <v>-315.3</v>
      </c>
    </row>
    <row r="14" spans="2:7" x14ac:dyDescent="0.25">
      <c r="B14" s="49">
        <v>212.33</v>
      </c>
      <c r="C14" s="50">
        <v>6.07</v>
      </c>
      <c r="D14" s="50">
        <v>1.7509999999999999</v>
      </c>
      <c r="E14" s="49">
        <v>3.9449999999999998</v>
      </c>
      <c r="F14" s="49">
        <v>3.7210000000000001</v>
      </c>
      <c r="G14" s="49">
        <v>75</v>
      </c>
    </row>
    <row r="15" spans="2:7" x14ac:dyDescent="0.25">
      <c r="B15" s="49">
        <v>210.76</v>
      </c>
      <c r="C15" s="50">
        <v>6.07</v>
      </c>
      <c r="D15" s="49">
        <v>1.7110000000000001</v>
      </c>
      <c r="E15" s="49">
        <v>3.4740000000000002</v>
      </c>
      <c r="F15" s="50">
        <v>3.774</v>
      </c>
      <c r="G15" s="50">
        <v>75.010000000000005</v>
      </c>
    </row>
    <row r="16" spans="2:7" x14ac:dyDescent="0.25">
      <c r="B16" s="49">
        <v>242.15100000000001</v>
      </c>
      <c r="C16" s="49">
        <v>5.94</v>
      </c>
      <c r="D16" s="3"/>
      <c r="E16" s="3"/>
      <c r="F16" s="3"/>
      <c r="G16" s="49">
        <v>72.53</v>
      </c>
    </row>
    <row r="17" spans="2:7" x14ac:dyDescent="0.25">
      <c r="B17" s="50">
        <v>887.43799999999999</v>
      </c>
      <c r="C17" s="49">
        <v>5.76</v>
      </c>
      <c r="D17" s="49">
        <v>1.2090000000000001</v>
      </c>
      <c r="E17" s="49">
        <v>4.5830000000000002</v>
      </c>
      <c r="F17" s="49">
        <v>2.5110000000000001</v>
      </c>
      <c r="G17" s="49">
        <v>-517.5</v>
      </c>
    </row>
    <row r="18" spans="2:7" x14ac:dyDescent="0.25">
      <c r="B18" s="49">
        <v>217.86</v>
      </c>
      <c r="C18" s="49">
        <v>5.79</v>
      </c>
      <c r="D18" s="49">
        <v>1.5860000000000001</v>
      </c>
      <c r="E18" s="50">
        <v>5.4950000000000001</v>
      </c>
      <c r="F18" s="49">
        <v>3.5779999999999998</v>
      </c>
      <c r="G18" s="49">
        <v>70.42</v>
      </c>
    </row>
    <row r="19" spans="2:7" x14ac:dyDescent="0.25">
      <c r="B19" s="49">
        <v>219.18</v>
      </c>
      <c r="C19" s="49">
        <v>5.7</v>
      </c>
      <c r="D19" s="50">
        <v>1.6779999999999999</v>
      </c>
      <c r="E19" s="49">
        <v>4.6879999999999997</v>
      </c>
      <c r="F19" s="50">
        <v>3.6749999999999998</v>
      </c>
      <c r="G19" s="49">
        <v>69.44</v>
      </c>
    </row>
    <row r="20" spans="2:7" x14ac:dyDescent="0.25">
      <c r="B20" s="49">
        <v>214.27</v>
      </c>
      <c r="C20" s="50">
        <v>5.98</v>
      </c>
      <c r="D20" s="49">
        <v>1.47</v>
      </c>
      <c r="E20" s="49">
        <v>3.944</v>
      </c>
      <c r="F20" s="49">
        <v>3.4580000000000002</v>
      </c>
      <c r="G20" s="50">
        <v>73.58</v>
      </c>
    </row>
    <row r="21" spans="2:7" x14ac:dyDescent="0.25">
      <c r="B21" s="49">
        <v>246.261</v>
      </c>
      <c r="C21" s="49">
        <v>-23.23</v>
      </c>
      <c r="D21" s="3"/>
      <c r="E21" s="3"/>
      <c r="F21" s="3"/>
      <c r="G21" s="49">
        <v>71.099999999999994</v>
      </c>
    </row>
    <row r="22" spans="2:7" x14ac:dyDescent="0.25">
      <c r="B22" s="50">
        <v>376.96100000000001</v>
      </c>
      <c r="C22" s="49">
        <v>5.73</v>
      </c>
      <c r="D22" s="49">
        <v>1.29</v>
      </c>
      <c r="E22" s="50">
        <v>4.7690000000000001</v>
      </c>
      <c r="F22" s="49">
        <v>3.544</v>
      </c>
      <c r="G22" s="49">
        <v>-250.82</v>
      </c>
    </row>
    <row r="23" spans="2:7" x14ac:dyDescent="0.25">
      <c r="B23" s="49">
        <v>214.1</v>
      </c>
      <c r="C23" s="49">
        <v>6.03</v>
      </c>
      <c r="D23" s="50">
        <v>1.659</v>
      </c>
      <c r="E23" s="49">
        <v>4.5410000000000004</v>
      </c>
      <c r="F23" s="50">
        <v>3.7280000000000002</v>
      </c>
      <c r="G23" s="49">
        <v>73.66</v>
      </c>
    </row>
    <row r="24" spans="2:7" x14ac:dyDescent="0.25">
      <c r="B24" s="49">
        <v>211.13</v>
      </c>
      <c r="C24" s="50">
        <v>6.04</v>
      </c>
      <c r="D24" s="49">
        <v>1.5529999999999999</v>
      </c>
      <c r="E24" s="49">
        <v>4.3419999999999996</v>
      </c>
      <c r="F24" s="49">
        <v>3.407</v>
      </c>
      <c r="G24" s="50">
        <v>74.28</v>
      </c>
    </row>
    <row r="25" spans="2:7" x14ac:dyDescent="0.25">
      <c r="B25" s="49">
        <v>247.13499999999999</v>
      </c>
      <c r="C25" s="49">
        <v>5.76</v>
      </c>
      <c r="D25" s="3"/>
      <c r="E25" s="3"/>
      <c r="F25" s="3"/>
      <c r="G25" s="49">
        <v>69.28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CTRL</vt:lpstr>
      <vt:lpstr>Plot_Export</vt:lpstr>
      <vt:lpstr>All</vt:lpstr>
      <vt:lpstr>709_FP1_Outing 1</vt:lpstr>
      <vt:lpstr>709_FP1_Outing 2</vt:lpstr>
      <vt:lpstr>709_FP1_Outing 3</vt:lpstr>
      <vt:lpstr>709_FP1_Outing 4</vt:lpstr>
      <vt:lpstr>709_FP1_Outing 5</vt:lpstr>
      <vt:lpstr>709_FP1_Outing 6</vt:lpstr>
      <vt:lpstr>709_Quali_Outing1</vt:lpstr>
      <vt:lpstr>709_Quali_Outing2</vt:lpstr>
      <vt:lpstr>709_Quali_Outing 3</vt:lpstr>
      <vt:lpstr>709_FP2_Outing1</vt:lpstr>
      <vt:lpstr>709_FP2_Outing2</vt:lpstr>
      <vt:lpstr>709_FP2_Outing 3</vt:lpstr>
      <vt:lpstr>709_FP2_Outing 4</vt:lpstr>
      <vt:lpstr>709_FP2_Outing 5</vt:lpstr>
      <vt:lpstr>709_FP2_Outing 6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2021-08-18T22:45:25Z</cp:lastPrinted>
  <dcterms:created xsi:type="dcterms:W3CDTF">2021-07-23T10:36:36Z</dcterms:created>
  <dcterms:modified xsi:type="dcterms:W3CDTF">2021-08-18T22:45:33Z</dcterms:modified>
</cp:coreProperties>
</file>